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4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left"/>
    </xf>
    <xf numFmtId="3" fontId="1" fillId="4" borderId="5" applyAlignment="1" pivotButton="0" quotePrefix="0" xfId="0">
      <alignment horizontal="center"/>
    </xf>
    <xf numFmtId="10" fontId="1" fillId="4" borderId="5" applyAlignment="1" pivotButton="0" quotePrefix="0" xfId="0">
      <alignment horizontal="center"/>
    </xf>
    <xf numFmtId="0" fontId="0" fillId="0" borderId="5" applyAlignment="1" pivotButton="0" quotePrefix="0" xfId="0">
      <alignment horizontal="left" vertical="center"/>
    </xf>
    <xf numFmtId="3" fontId="1" fillId="5" borderId="5" applyAlignment="1" pivotButton="0" quotePrefix="0" xfId="0">
      <alignment horizontal="center"/>
    </xf>
    <xf numFmtId="0" fontId="2" fillId="6" borderId="5" applyAlignment="1" pivotButton="0" quotePrefix="0" xfId="0">
      <alignment horizontal="center" vertical="center"/>
    </xf>
    <xf numFmtId="10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3" fontId="1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14921284</t>
        </is>
      </c>
      <c r="B2" t="inlineStr">
        <is>
          <t>dfe3a969-a3f2-41f5-bfb3-801228643f48</t>
        </is>
      </c>
      <c r="D2" t="inlineStr">
        <is>
          <t>111111124</t>
        </is>
      </c>
      <c r="E2" t="inlineStr">
        <is>
          <t>Vodacom Life 20260617</t>
        </is>
      </c>
      <c r="G2" t="inlineStr">
        <is>
          <t>OLANEA</t>
        </is>
      </c>
      <c r="H2" t="inlineStr">
        <is>
          <t>NKOSI</t>
        </is>
      </c>
      <c r="J2" t="inlineStr">
        <is>
          <t>AFTHRS</t>
        </is>
      </c>
      <c r="K2" t="inlineStr">
        <is>
          <t>Inbound After Hours Drop</t>
        </is>
      </c>
      <c r="L2" t="n">
        <v>5</v>
      </c>
      <c r="M2" t="inlineStr">
        <is>
          <t>2026-06-29 16:57:27</t>
        </is>
      </c>
      <c r="N2" t="inlineStr">
        <is>
          <t>system</t>
        </is>
      </c>
      <c r="O2" t="inlineStr">
        <is>
          <t>2026-06-17 14:10:06</t>
        </is>
      </c>
      <c r="P2" t="inlineStr">
        <is>
          <t>2026-06-17 14:10:06</t>
        </is>
      </c>
      <c r="Y2" t="inlineStr">
        <is>
          <t>27723249819</t>
        </is>
      </c>
    </row>
    <row r="3">
      <c r="A3" t="inlineStr">
        <is>
          <t>14921410</t>
        </is>
      </c>
      <c r="B3" t="inlineStr">
        <is>
          <t>2035c09e-7329-44e0-a1b4-9d0cb411aee6</t>
        </is>
      </c>
      <c r="D3" t="inlineStr">
        <is>
          <t>111111124</t>
        </is>
      </c>
      <c r="E3" t="inlineStr">
        <is>
          <t>Vodacom Life 20260617</t>
        </is>
      </c>
      <c r="G3" t="inlineStr">
        <is>
          <t>ROFHIWA</t>
        </is>
      </c>
      <c r="H3" t="inlineStr">
        <is>
          <t>MUNGONI</t>
        </is>
      </c>
      <c r="J3" t="inlineStr">
        <is>
          <t>IABDN</t>
        </is>
      </c>
      <c r="K3" t="inlineStr">
        <is>
          <t>Inbound Abandon</t>
        </is>
      </c>
      <c r="L3" t="n">
        <v>5</v>
      </c>
      <c r="M3" t="inlineStr">
        <is>
          <t>2026-06-29 15:48:44</t>
        </is>
      </c>
      <c r="N3" t="inlineStr">
        <is>
          <t>system</t>
        </is>
      </c>
      <c r="O3" t="inlineStr">
        <is>
          <t>2026-06-17 14:10:06</t>
        </is>
      </c>
      <c r="P3" t="inlineStr">
        <is>
          <t>2026-06-17 14:10:06</t>
        </is>
      </c>
      <c r="Y3" t="inlineStr">
        <is>
          <t>27727696604</t>
        </is>
      </c>
    </row>
    <row r="4">
      <c r="A4" t="inlineStr">
        <is>
          <t>14921563</t>
        </is>
      </c>
      <c r="B4" t="inlineStr">
        <is>
          <t>355351aa-e300-4e6d-82a3-d977b45c7dc4</t>
        </is>
      </c>
      <c r="D4" t="inlineStr">
        <is>
          <t>111111124</t>
        </is>
      </c>
      <c r="E4" t="inlineStr">
        <is>
          <t>Vodacom Life 20260617</t>
        </is>
      </c>
      <c r="G4" t="inlineStr">
        <is>
          <t>COENRAAD</t>
        </is>
      </c>
      <c r="H4" t="inlineStr">
        <is>
          <t>NOLTE</t>
        </is>
      </c>
      <c r="J4" t="inlineStr">
        <is>
          <t>IABDN</t>
        </is>
      </c>
      <c r="K4" t="inlineStr">
        <is>
          <t>Inbound Abandon</t>
        </is>
      </c>
      <c r="L4" t="n">
        <v>5</v>
      </c>
      <c r="M4" t="inlineStr">
        <is>
          <t>2026-06-29 15:37:34</t>
        </is>
      </c>
      <c r="N4" t="inlineStr">
        <is>
          <t>system</t>
        </is>
      </c>
      <c r="O4" t="inlineStr">
        <is>
          <t>2026-06-17 14:10:06</t>
        </is>
      </c>
      <c r="P4" t="inlineStr">
        <is>
          <t>2026-06-17 14:10:06</t>
        </is>
      </c>
      <c r="Y4" t="inlineStr">
        <is>
          <t>27661882064</t>
        </is>
      </c>
    </row>
    <row r="5">
      <c r="A5" t="inlineStr">
        <is>
          <t>14921581</t>
        </is>
      </c>
      <c r="B5" t="inlineStr">
        <is>
          <t>f159181a-07e9-4e59-889c-4f4b88b5c2e7</t>
        </is>
      </c>
      <c r="D5" t="inlineStr">
        <is>
          <t>111111124</t>
        </is>
      </c>
      <c r="E5" t="inlineStr">
        <is>
          <t>Vodacom Life 20260617</t>
        </is>
      </c>
      <c r="G5" t="inlineStr">
        <is>
          <t>NOXOLO</t>
        </is>
      </c>
      <c r="H5" t="inlineStr">
        <is>
          <t>MDLALOSE</t>
        </is>
      </c>
      <c r="J5" t="inlineStr">
        <is>
          <t>CU</t>
        </is>
      </c>
      <c r="K5" t="inlineStr">
        <is>
          <t>Client Hung Up</t>
        </is>
      </c>
      <c r="L5" t="n">
        <v>5</v>
      </c>
      <c r="M5" t="inlineStr">
        <is>
          <t>2026-06-29 14:49:14</t>
        </is>
      </c>
      <c r="N5" t="inlineStr">
        <is>
          <t>Vanessa Kekana</t>
        </is>
      </c>
      <c r="O5" t="inlineStr">
        <is>
          <t>2026-06-17 14:10:06</t>
        </is>
      </c>
      <c r="P5" t="inlineStr">
        <is>
          <t>2026-06-17 14:10:06</t>
        </is>
      </c>
      <c r="Y5" t="inlineStr">
        <is>
          <t>27795015710</t>
        </is>
      </c>
    </row>
    <row r="6">
      <c r="A6" t="inlineStr">
        <is>
          <t>14920658</t>
        </is>
      </c>
      <c r="B6" t="inlineStr">
        <is>
          <t>ea95f004-7b39-45e6-bd6d-2170bf7c6f28</t>
        </is>
      </c>
      <c r="D6" t="inlineStr">
        <is>
          <t>111111124</t>
        </is>
      </c>
      <c r="E6" t="inlineStr">
        <is>
          <t>Vodacom Life 20260617</t>
        </is>
      </c>
      <c r="G6" t="inlineStr">
        <is>
          <t>MADONNA</t>
        </is>
      </c>
      <c r="H6" t="inlineStr">
        <is>
          <t>MKHABA</t>
        </is>
      </c>
      <c r="J6" t="inlineStr">
        <is>
          <t>CCB</t>
        </is>
      </c>
      <c r="K6" t="inlineStr">
        <is>
          <t>Call Dropped</t>
        </is>
      </c>
      <c r="L6" t="n">
        <v>5</v>
      </c>
      <c r="M6" t="inlineStr">
        <is>
          <t>2026-06-29 14:46:16</t>
        </is>
      </c>
      <c r="N6" t="inlineStr">
        <is>
          <t>Khensane Mabasa</t>
        </is>
      </c>
      <c r="O6" t="inlineStr">
        <is>
          <t>2026-06-17 14:10:06</t>
        </is>
      </c>
      <c r="P6" t="inlineStr">
        <is>
          <t>2026-06-17 14:10:06</t>
        </is>
      </c>
      <c r="Y6" t="inlineStr">
        <is>
          <t>27728341837</t>
        </is>
      </c>
    </row>
    <row r="7">
      <c r="A7" t="inlineStr">
        <is>
          <t>14921291</t>
        </is>
      </c>
      <c r="B7" t="inlineStr">
        <is>
          <t>bfa58c59-7660-4a56-92ac-c263464f7bac</t>
        </is>
      </c>
      <c r="D7" t="inlineStr">
        <is>
          <t>111111124</t>
        </is>
      </c>
      <c r="E7" t="inlineStr">
        <is>
          <t>Vodacom Life 20260617</t>
        </is>
      </c>
      <c r="G7" t="inlineStr">
        <is>
          <t>THEMBISO</t>
        </is>
      </c>
      <c r="H7" t="inlineStr">
        <is>
          <t>DUBE</t>
        </is>
      </c>
      <c r="J7" t="inlineStr">
        <is>
          <t>CU</t>
        </is>
      </c>
      <c r="K7" t="inlineStr">
        <is>
          <t>Client Hung Up</t>
        </is>
      </c>
      <c r="L7" t="n">
        <v>6</v>
      </c>
      <c r="M7" t="inlineStr">
        <is>
          <t>2026-06-29 14:41:04</t>
        </is>
      </c>
      <c r="N7" t="inlineStr">
        <is>
          <t>Khensane Mabasa</t>
        </is>
      </c>
      <c r="O7" t="inlineStr">
        <is>
          <t>2026-06-17 14:10:06</t>
        </is>
      </c>
      <c r="P7" t="inlineStr">
        <is>
          <t>2026-06-17 14:10:06</t>
        </is>
      </c>
      <c r="Y7" t="inlineStr">
        <is>
          <t>27762823602</t>
        </is>
      </c>
    </row>
    <row r="8">
      <c r="A8" t="inlineStr">
        <is>
          <t>14921565</t>
        </is>
      </c>
      <c r="B8" t="inlineStr">
        <is>
          <t>a715c11d-b14b-4a3a-bcca-73276d7a45d2</t>
        </is>
      </c>
      <c r="D8" t="inlineStr">
        <is>
          <t>111111124</t>
        </is>
      </c>
      <c r="E8" t="inlineStr">
        <is>
          <t>Vodacom Life 20260617</t>
        </is>
      </c>
      <c r="G8" t="inlineStr">
        <is>
          <t>ROSELINA</t>
        </is>
      </c>
      <c r="H8" t="inlineStr">
        <is>
          <t>NTHOLENG</t>
        </is>
      </c>
      <c r="J8" t="inlineStr">
        <is>
          <t>IABDN</t>
        </is>
      </c>
      <c r="K8" t="inlineStr">
        <is>
          <t>Inbound Abandon</t>
        </is>
      </c>
      <c r="L8" t="n">
        <v>5</v>
      </c>
      <c r="M8" t="inlineStr">
        <is>
          <t>2026-06-29 14:38:38</t>
        </is>
      </c>
      <c r="N8" t="inlineStr">
        <is>
          <t>system</t>
        </is>
      </c>
      <c r="O8" t="inlineStr">
        <is>
          <t>2026-06-17 14:10:06</t>
        </is>
      </c>
      <c r="P8" t="inlineStr">
        <is>
          <t>2026-06-17 14:10:06</t>
        </is>
      </c>
      <c r="Y8" t="inlineStr">
        <is>
          <t>27734693701</t>
        </is>
      </c>
    </row>
    <row r="9">
      <c r="A9" t="inlineStr">
        <is>
          <t>14921593</t>
        </is>
      </c>
      <c r="B9" t="inlineStr">
        <is>
          <t>f4a2efc3-5980-42f2-bdde-73d0be5029e0</t>
        </is>
      </c>
      <c r="D9" t="inlineStr">
        <is>
          <t>111111124</t>
        </is>
      </c>
      <c r="E9" t="inlineStr">
        <is>
          <t>Vodacom Life 20260617</t>
        </is>
      </c>
      <c r="G9" t="inlineStr">
        <is>
          <t>WELCOME</t>
        </is>
      </c>
      <c r="H9" t="inlineStr">
        <is>
          <t>MASEKO</t>
        </is>
      </c>
      <c r="J9" t="inlineStr">
        <is>
          <t>IABDN</t>
        </is>
      </c>
      <c r="K9" t="inlineStr">
        <is>
          <t>Inbound Abandon</t>
        </is>
      </c>
      <c r="L9" t="n">
        <v>5</v>
      </c>
      <c r="M9" t="inlineStr">
        <is>
          <t>2026-06-29 14:35:50</t>
        </is>
      </c>
      <c r="N9" t="inlineStr">
        <is>
          <t>system</t>
        </is>
      </c>
      <c r="O9" t="inlineStr">
        <is>
          <t>2026-06-17 14:10:06</t>
        </is>
      </c>
      <c r="P9" t="inlineStr">
        <is>
          <t>2026-06-17 14:10:06</t>
        </is>
      </c>
      <c r="Y9" t="inlineStr">
        <is>
          <t>27716178741</t>
        </is>
      </c>
    </row>
    <row r="10">
      <c r="A10" t="inlineStr">
        <is>
          <t>14921769</t>
        </is>
      </c>
      <c r="B10" t="inlineStr">
        <is>
          <t>ee548fbf-2b50-4d15-af18-f7f4d0dc32fc</t>
        </is>
      </c>
      <c r="D10" t="inlineStr">
        <is>
          <t>111111124</t>
        </is>
      </c>
      <c r="E10" t="inlineStr">
        <is>
          <t>Vodacom Life 20260617</t>
        </is>
      </c>
      <c r="G10" t="inlineStr">
        <is>
          <t>JAPPIE</t>
        </is>
      </c>
      <c r="H10" t="inlineStr">
        <is>
          <t>MATSHIA</t>
        </is>
      </c>
      <c r="J10" t="inlineStr">
        <is>
          <t>AC</t>
        </is>
      </c>
      <c r="K10" t="inlineStr">
        <is>
          <t>Already Contacted</t>
        </is>
      </c>
      <c r="L10" t="n">
        <v>4</v>
      </c>
      <c r="M10" t="inlineStr">
        <is>
          <t>2026-06-29 14:27:05</t>
        </is>
      </c>
      <c r="N10" t="inlineStr">
        <is>
          <t>Maureen Ntsoko</t>
        </is>
      </c>
      <c r="O10" t="inlineStr">
        <is>
          <t>2026-06-17 14:10:06</t>
        </is>
      </c>
      <c r="P10" t="inlineStr">
        <is>
          <t>2026-06-17 14:10:06</t>
        </is>
      </c>
      <c r="Y10" t="inlineStr">
        <is>
          <t>27607280452</t>
        </is>
      </c>
    </row>
    <row r="11">
      <c r="A11" t="inlineStr">
        <is>
          <t>14921622</t>
        </is>
      </c>
      <c r="B11" t="inlineStr">
        <is>
          <t>9b91b38d-a240-412a-968e-418a1a57d2f4</t>
        </is>
      </c>
      <c r="D11" t="inlineStr">
        <is>
          <t>111111124</t>
        </is>
      </c>
      <c r="E11" t="inlineStr">
        <is>
          <t>Vodacom Life 20260617</t>
        </is>
      </c>
      <c r="G11" t="inlineStr">
        <is>
          <t>KAMOGELO</t>
        </is>
      </c>
      <c r="H11" t="inlineStr">
        <is>
          <t>VISAGIE</t>
        </is>
      </c>
      <c r="J11" t="inlineStr">
        <is>
          <t>CB</t>
        </is>
      </c>
      <c r="K11" t="inlineStr">
        <is>
          <t>Busy Tone</t>
        </is>
      </c>
      <c r="L11" t="n">
        <v>6</v>
      </c>
      <c r="M11" t="inlineStr">
        <is>
          <t>2026-06-29 14:26:18</t>
        </is>
      </c>
      <c r="N11" t="inlineStr">
        <is>
          <t>Maureen Ntsoko</t>
        </is>
      </c>
      <c r="O11" t="inlineStr">
        <is>
          <t>2026-06-17 14:10:06</t>
        </is>
      </c>
      <c r="P11" t="inlineStr">
        <is>
          <t>2026-06-17 14:10:06</t>
        </is>
      </c>
      <c r="Y11" t="inlineStr">
        <is>
          <t>27608491456</t>
        </is>
      </c>
    </row>
    <row r="12">
      <c r="A12" t="inlineStr">
        <is>
          <t>14920678</t>
        </is>
      </c>
      <c r="B12" t="inlineStr">
        <is>
          <t>c397bea7-6357-48ee-8def-1e589b2b5794</t>
        </is>
      </c>
      <c r="D12" t="inlineStr">
        <is>
          <t>111111124</t>
        </is>
      </c>
      <c r="E12" t="inlineStr">
        <is>
          <t>Vodacom Life 20260617</t>
        </is>
      </c>
      <c r="G12" t="inlineStr">
        <is>
          <t>GOITSIMANG</t>
        </is>
      </c>
      <c r="H12" t="inlineStr">
        <is>
          <t>MOELETSI</t>
        </is>
      </c>
      <c r="J12" t="inlineStr">
        <is>
          <t>A</t>
        </is>
      </c>
      <c r="K12" t="inlineStr">
        <is>
          <t>Answering Machine</t>
        </is>
      </c>
      <c r="L12" t="n">
        <v>9</v>
      </c>
      <c r="M12" t="inlineStr">
        <is>
          <t>2026-06-29 14:25:15</t>
        </is>
      </c>
      <c r="N12" t="inlineStr">
        <is>
          <t>Maureen Ntsoko</t>
        </is>
      </c>
      <c r="O12" t="inlineStr">
        <is>
          <t>2026-06-17 14:10:06</t>
        </is>
      </c>
      <c r="P12" t="inlineStr">
        <is>
          <t>2026-06-17 14:10:06</t>
        </is>
      </c>
      <c r="Y12" t="inlineStr">
        <is>
          <t>27767833453</t>
        </is>
      </c>
    </row>
    <row r="13">
      <c r="A13" t="inlineStr">
        <is>
          <t>14920594</t>
        </is>
      </c>
      <c r="B13" t="inlineStr">
        <is>
          <t>c0769749-8fdc-474c-8cd2-326c4e4440f6</t>
        </is>
      </c>
      <c r="D13" t="inlineStr">
        <is>
          <t>111111124</t>
        </is>
      </c>
      <c r="E13" t="inlineStr">
        <is>
          <t>Vodacom Life 20260617</t>
        </is>
      </c>
      <c r="G13" t="inlineStr">
        <is>
          <t>MAKUZE</t>
        </is>
      </c>
      <c r="H13" t="inlineStr">
        <is>
          <t>PEZA</t>
        </is>
      </c>
      <c r="J13" t="inlineStr">
        <is>
          <t>NI</t>
        </is>
      </c>
      <c r="K13" t="inlineStr">
        <is>
          <t>Not Interested</t>
        </is>
      </c>
      <c r="L13" t="n">
        <v>2</v>
      </c>
      <c r="M13" t="inlineStr">
        <is>
          <t>2026-06-29 14:23:15</t>
        </is>
      </c>
      <c r="N13" t="inlineStr">
        <is>
          <t>Maureen Ntsoko</t>
        </is>
      </c>
      <c r="O13" t="inlineStr">
        <is>
          <t>2026-06-17 14:10:06</t>
        </is>
      </c>
      <c r="P13" t="inlineStr">
        <is>
          <t>2026-06-17 14:10:06</t>
        </is>
      </c>
      <c r="Y13" t="inlineStr">
        <is>
          <t>27762451526</t>
        </is>
      </c>
    </row>
    <row r="14">
      <c r="A14" t="inlineStr">
        <is>
          <t>14921294</t>
        </is>
      </c>
      <c r="B14" t="inlineStr">
        <is>
          <t>e29feb8b-6d35-4386-9e5b-c3ced8ea973a</t>
        </is>
      </c>
      <c r="D14" t="inlineStr">
        <is>
          <t>111111124</t>
        </is>
      </c>
      <c r="E14" t="inlineStr">
        <is>
          <t>Vodacom Life 20260617</t>
        </is>
      </c>
      <c r="G14" t="inlineStr">
        <is>
          <t>LENA</t>
        </is>
      </c>
      <c r="H14" t="inlineStr">
        <is>
          <t>STERN</t>
        </is>
      </c>
      <c r="J14" t="inlineStr">
        <is>
          <t>NI</t>
        </is>
      </c>
      <c r="K14" t="inlineStr">
        <is>
          <t>Not Interested</t>
        </is>
      </c>
      <c r="L14" t="n">
        <v>2</v>
      </c>
      <c r="M14" t="inlineStr">
        <is>
          <t>2026-06-29 14:17:49</t>
        </is>
      </c>
      <c r="N14" t="inlineStr">
        <is>
          <t>Maureen Ntsoko</t>
        </is>
      </c>
      <c r="O14" t="inlineStr">
        <is>
          <t>2026-06-17 14:10:06</t>
        </is>
      </c>
      <c r="P14" t="inlineStr">
        <is>
          <t>2026-06-17 14:10:06</t>
        </is>
      </c>
      <c r="Y14" t="inlineStr">
        <is>
          <t>27827861712</t>
        </is>
      </c>
    </row>
    <row r="15">
      <c r="A15" t="inlineStr">
        <is>
          <t>14921852</t>
        </is>
      </c>
      <c r="B15" t="inlineStr">
        <is>
          <t>6c3187bb-6837-46f0-b16c-4019a0f4a454</t>
        </is>
      </c>
      <c r="D15" t="inlineStr">
        <is>
          <t>111111124</t>
        </is>
      </c>
      <c r="E15" t="inlineStr">
        <is>
          <t>Vodacom Life 20260617</t>
        </is>
      </c>
      <c r="G15" t="inlineStr">
        <is>
          <t>THENJISWA</t>
        </is>
      </c>
      <c r="H15" t="inlineStr">
        <is>
          <t>DZINGWA</t>
        </is>
      </c>
      <c r="J15" t="inlineStr">
        <is>
          <t>IABDN</t>
        </is>
      </c>
      <c r="K15" t="inlineStr">
        <is>
          <t>Inbound Abandon</t>
        </is>
      </c>
      <c r="L15" t="n">
        <v>5</v>
      </c>
      <c r="M15" t="inlineStr">
        <is>
          <t>2026-06-29 14:17:40</t>
        </is>
      </c>
      <c r="N15" t="inlineStr">
        <is>
          <t>system</t>
        </is>
      </c>
      <c r="O15" t="inlineStr">
        <is>
          <t>2026-06-17 14:10:06</t>
        </is>
      </c>
      <c r="P15" t="inlineStr">
        <is>
          <t>2026-06-17 14:10:06</t>
        </is>
      </c>
      <c r="Y15" t="inlineStr">
        <is>
          <t>27721780241</t>
        </is>
      </c>
    </row>
    <row r="16">
      <c r="A16" t="inlineStr">
        <is>
          <t>14920861</t>
        </is>
      </c>
      <c r="B16" t="inlineStr">
        <is>
          <t>ac6d8c71-9114-49f6-8df0-12a5d993cf1b</t>
        </is>
      </c>
      <c r="D16" t="inlineStr">
        <is>
          <t>111111124</t>
        </is>
      </c>
      <c r="E16" t="inlineStr">
        <is>
          <t>Vodacom Life 20260617</t>
        </is>
      </c>
      <c r="G16" t="inlineStr">
        <is>
          <t>CHRISTINA</t>
        </is>
      </c>
      <c r="H16" t="inlineStr">
        <is>
          <t>MPHELA</t>
        </is>
      </c>
      <c r="J16" t="inlineStr">
        <is>
          <t>NI</t>
        </is>
      </c>
      <c r="K16" t="inlineStr">
        <is>
          <t>Not Interested</t>
        </is>
      </c>
      <c r="L16" t="n">
        <v>5</v>
      </c>
      <c r="M16" t="inlineStr">
        <is>
          <t>2026-06-29 14:10:52</t>
        </is>
      </c>
      <c r="N16" t="inlineStr">
        <is>
          <t>Khensane Mabasa</t>
        </is>
      </c>
      <c r="O16" t="inlineStr">
        <is>
          <t>2026-06-17 14:10:06</t>
        </is>
      </c>
      <c r="P16" t="inlineStr">
        <is>
          <t>2026-06-17 14:10:06</t>
        </is>
      </c>
      <c r="Y16" t="inlineStr">
        <is>
          <t>27826540943</t>
        </is>
      </c>
    </row>
    <row r="17">
      <c r="A17" t="inlineStr">
        <is>
          <t>14920854</t>
        </is>
      </c>
      <c r="B17" t="inlineStr">
        <is>
          <t>5f2bdfbb-cb16-4ecc-b769-f5961a8906e6</t>
        </is>
      </c>
      <c r="D17" t="inlineStr">
        <is>
          <t>111111124</t>
        </is>
      </c>
      <c r="E17" t="inlineStr">
        <is>
          <t>Vodacom Life 20260617</t>
        </is>
      </c>
      <c r="G17" t="inlineStr">
        <is>
          <t>SKHUMBUZO</t>
        </is>
      </c>
      <c r="H17" t="inlineStr">
        <is>
          <t>TWALA</t>
        </is>
      </c>
      <c r="J17" t="inlineStr">
        <is>
          <t>AA</t>
        </is>
      </c>
      <c r="K17" t="inlineStr">
        <is>
          <t>Answering Machine Autodial</t>
        </is>
      </c>
      <c r="L17" t="n">
        <v>5</v>
      </c>
      <c r="M17" t="inlineStr">
        <is>
          <t>2026-06-29 14:10:30</t>
        </is>
      </c>
      <c r="N17" t="inlineStr">
        <is>
          <t>system</t>
        </is>
      </c>
      <c r="O17" t="inlineStr">
        <is>
          <t>2026-06-17 14:10:06</t>
        </is>
      </c>
      <c r="P17" t="inlineStr">
        <is>
          <t>2026-06-17 14:10:06</t>
        </is>
      </c>
      <c r="Y17" t="inlineStr">
        <is>
          <t>27717543734</t>
        </is>
      </c>
    </row>
    <row r="18">
      <c r="A18" t="inlineStr">
        <is>
          <t>14920855</t>
        </is>
      </c>
      <c r="B18" t="inlineStr">
        <is>
          <t>c1f866ad-736f-4498-a8f0-e7f7d2b13504</t>
        </is>
      </c>
      <c r="D18" t="inlineStr">
        <is>
          <t>111111124</t>
        </is>
      </c>
      <c r="E18" t="inlineStr">
        <is>
          <t>Vodacom Life 20260617</t>
        </is>
      </c>
      <c r="G18" t="inlineStr">
        <is>
          <t>PHUMZA</t>
        </is>
      </c>
      <c r="H18" t="inlineStr">
        <is>
          <t>MNIKI</t>
        </is>
      </c>
      <c r="J18" t="inlineStr">
        <is>
          <t>ADC</t>
        </is>
      </c>
      <c r="K18" t="inlineStr">
        <is>
          <t>Auto Dial Disconnected</t>
        </is>
      </c>
      <c r="L18" t="n">
        <v>5</v>
      </c>
      <c r="M18" t="inlineStr">
        <is>
          <t>2026-06-29 14:10:30</t>
        </is>
      </c>
      <c r="N18" t="inlineStr">
        <is>
          <t>system</t>
        </is>
      </c>
      <c r="O18" t="inlineStr">
        <is>
          <t>2026-06-17 14:10:06</t>
        </is>
      </c>
      <c r="P18" t="inlineStr">
        <is>
          <t>2026-06-17 14:10:06</t>
        </is>
      </c>
      <c r="Y18" t="inlineStr">
        <is>
          <t>27725570539</t>
        </is>
      </c>
    </row>
    <row r="19">
      <c r="A19" t="inlineStr">
        <is>
          <t>14920857</t>
        </is>
      </c>
      <c r="B19" t="inlineStr">
        <is>
          <t>393f2fae-8ad6-41bd-90c7-62c9ec6bd3ce</t>
        </is>
      </c>
      <c r="D19" t="inlineStr">
        <is>
          <t>111111124</t>
        </is>
      </c>
      <c r="E19" t="inlineStr">
        <is>
          <t>Vodacom Life 20260617</t>
        </is>
      </c>
      <c r="G19" t="inlineStr">
        <is>
          <t>KGOTHATSO</t>
        </is>
      </c>
      <c r="H19" t="inlineStr">
        <is>
          <t>MASHILE</t>
        </is>
      </c>
      <c r="J19" t="inlineStr">
        <is>
          <t>NA</t>
        </is>
      </c>
      <c r="K19" t="inlineStr">
        <is>
          <t>No Answer Autodial</t>
        </is>
      </c>
      <c r="L19" t="n">
        <v>5</v>
      </c>
      <c r="M19" t="inlineStr">
        <is>
          <t>2026-06-29 14:10:30</t>
        </is>
      </c>
      <c r="N19" t="inlineStr">
        <is>
          <t>system</t>
        </is>
      </c>
      <c r="O19" t="inlineStr">
        <is>
          <t>2026-06-17 14:10:06</t>
        </is>
      </c>
      <c r="P19" t="inlineStr">
        <is>
          <t>2026-06-17 14:10:06</t>
        </is>
      </c>
      <c r="Y19" t="inlineStr">
        <is>
          <t>27826812647</t>
        </is>
      </c>
    </row>
    <row r="20">
      <c r="A20" t="inlineStr">
        <is>
          <t>14920856</t>
        </is>
      </c>
      <c r="B20" t="inlineStr">
        <is>
          <t>ae8c7d57-c0d7-45d4-9198-4c5ce999f212</t>
        </is>
      </c>
      <c r="D20" t="inlineStr">
        <is>
          <t>111111124</t>
        </is>
      </c>
      <c r="E20" t="inlineStr">
        <is>
          <t>Vodacom Life 20260617</t>
        </is>
      </c>
      <c r="G20" t="inlineStr">
        <is>
          <t>FARHANA</t>
        </is>
      </c>
      <c r="H20" t="inlineStr">
        <is>
          <t>ONIA</t>
        </is>
      </c>
      <c r="J20" t="inlineStr">
        <is>
          <t>DROP</t>
        </is>
      </c>
      <c r="K20" t="inlineStr">
        <is>
          <t>Dropped</t>
        </is>
      </c>
      <c r="L20" t="n">
        <v>5</v>
      </c>
      <c r="M20" t="inlineStr">
        <is>
          <t>2026-06-29 14:10:29</t>
        </is>
      </c>
      <c r="N20" t="inlineStr">
        <is>
          <t>system</t>
        </is>
      </c>
      <c r="O20" t="inlineStr">
        <is>
          <t>2026-06-17 14:10:06</t>
        </is>
      </c>
      <c r="P20" t="inlineStr">
        <is>
          <t>2026-06-17 14:10:06</t>
        </is>
      </c>
      <c r="Y20" t="inlineStr">
        <is>
          <t>27826529723</t>
        </is>
      </c>
    </row>
    <row r="21">
      <c r="A21" t="inlineStr">
        <is>
          <t>14920858</t>
        </is>
      </c>
      <c r="B21" t="inlineStr">
        <is>
          <t>b7e27e3f-796e-44fa-b04b-26dbefe7e68a</t>
        </is>
      </c>
      <c r="D21" t="inlineStr">
        <is>
          <t>111111124</t>
        </is>
      </c>
      <c r="E21" t="inlineStr">
        <is>
          <t>Vodacom Life 20260617</t>
        </is>
      </c>
      <c r="G21" t="inlineStr">
        <is>
          <t>FEZIWE</t>
        </is>
      </c>
      <c r="H21" t="inlineStr">
        <is>
          <t>GQOBO</t>
        </is>
      </c>
      <c r="J21" t="inlineStr">
        <is>
          <t>AE</t>
        </is>
      </c>
      <c r="K21" t="inlineStr">
        <is>
          <t>Auto Engaged</t>
        </is>
      </c>
      <c r="L21" t="n">
        <v>5</v>
      </c>
      <c r="M21" t="inlineStr">
        <is>
          <t>2026-06-29 14:10:29</t>
        </is>
      </c>
      <c r="N21" t="inlineStr">
        <is>
          <t>system</t>
        </is>
      </c>
      <c r="O21" t="inlineStr">
        <is>
          <t>2026-06-17 14:10:06</t>
        </is>
      </c>
      <c r="P21" t="inlineStr">
        <is>
          <t>2026-06-17 14:10:06</t>
        </is>
      </c>
      <c r="Y21" t="inlineStr">
        <is>
          <t>27767280432</t>
        </is>
      </c>
    </row>
    <row r="22">
      <c r="A22" t="inlineStr">
        <is>
          <t>14920860</t>
        </is>
      </c>
      <c r="B22" t="inlineStr">
        <is>
          <t>276ed439-6109-45b4-8c0f-963db7103a3e</t>
        </is>
      </c>
      <c r="D22" t="inlineStr">
        <is>
          <t>111111124</t>
        </is>
      </c>
      <c r="E22" t="inlineStr">
        <is>
          <t>Vodacom Life 20260617</t>
        </is>
      </c>
      <c r="G22" t="inlineStr">
        <is>
          <t>WELHEMINAH</t>
        </is>
      </c>
      <c r="H22" t="inlineStr">
        <is>
          <t>MOOBI</t>
        </is>
      </c>
      <c r="J22" t="inlineStr">
        <is>
          <t>AA</t>
        </is>
      </c>
      <c r="K22" t="inlineStr">
        <is>
          <t>Answering Machine Autodial</t>
        </is>
      </c>
      <c r="L22" t="n">
        <v>5</v>
      </c>
      <c r="M22" t="inlineStr">
        <is>
          <t>2026-06-29 14:10:29</t>
        </is>
      </c>
      <c r="N22" t="inlineStr">
        <is>
          <t>system</t>
        </is>
      </c>
      <c r="O22" t="inlineStr">
        <is>
          <t>2026-06-17 14:10:06</t>
        </is>
      </c>
      <c r="P22" t="inlineStr">
        <is>
          <t>2026-06-17 14:10:06</t>
        </is>
      </c>
      <c r="Y22" t="inlineStr">
        <is>
          <t>27799998140</t>
        </is>
      </c>
    </row>
    <row r="23">
      <c r="A23" t="inlineStr">
        <is>
          <t>14921613</t>
        </is>
      </c>
      <c r="B23" t="inlineStr">
        <is>
          <t>7a1863c9-2d2e-4245-994a-aed5a3e4f897</t>
        </is>
      </c>
      <c r="D23" t="inlineStr">
        <is>
          <t>111111124</t>
        </is>
      </c>
      <c r="E23" t="inlineStr">
        <is>
          <t>Vodacom Life 20260617</t>
        </is>
      </c>
      <c r="G23" t="inlineStr">
        <is>
          <t>THULANI</t>
        </is>
      </c>
      <c r="H23" t="inlineStr">
        <is>
          <t>LUTHULI</t>
        </is>
      </c>
      <c r="J23" t="inlineStr">
        <is>
          <t>AE</t>
        </is>
      </c>
      <c r="K23" t="inlineStr">
        <is>
          <t>Auto Engaged</t>
        </is>
      </c>
      <c r="L23" t="n">
        <v>5</v>
      </c>
      <c r="M23" t="inlineStr">
        <is>
          <t>2026-06-29 14:09:48</t>
        </is>
      </c>
      <c r="N23" t="inlineStr">
        <is>
          <t>system</t>
        </is>
      </c>
      <c r="O23" t="inlineStr">
        <is>
          <t>2026-06-17 14:10:06</t>
        </is>
      </c>
      <c r="P23" t="inlineStr">
        <is>
          <t>2026-06-17 14:10:06</t>
        </is>
      </c>
      <c r="Y23" t="inlineStr">
        <is>
          <t>27726662321</t>
        </is>
      </c>
    </row>
    <row r="24">
      <c r="A24" t="inlineStr">
        <is>
          <t>14921614</t>
        </is>
      </c>
      <c r="B24" t="inlineStr">
        <is>
          <t>ca0ee1e4-c926-4ab9-9bf5-ca8a5cac4d56</t>
        </is>
      </c>
      <c r="D24" t="inlineStr">
        <is>
          <t>111111124</t>
        </is>
      </c>
      <c r="E24" t="inlineStr">
        <is>
          <t>Vodacom Life 20260617</t>
        </is>
      </c>
      <c r="G24" t="inlineStr">
        <is>
          <t>WAWA</t>
        </is>
      </c>
      <c r="H24" t="inlineStr">
        <is>
          <t>NKOSI</t>
        </is>
      </c>
      <c r="J24" t="inlineStr">
        <is>
          <t>CBACK</t>
        </is>
      </c>
      <c r="K24" t="inlineStr">
        <is>
          <t>Callback</t>
        </is>
      </c>
      <c r="L24" t="n">
        <v>5</v>
      </c>
      <c r="M24" t="inlineStr">
        <is>
          <t>2026-06-29 14:09:42</t>
        </is>
      </c>
      <c r="N24" t="inlineStr">
        <is>
          <t>Vanessa Kekana</t>
        </is>
      </c>
      <c r="O24" t="inlineStr">
        <is>
          <t>2026-06-17 14:10:06</t>
        </is>
      </c>
      <c r="P24" t="inlineStr">
        <is>
          <t>2026-06-17 14:10:06</t>
        </is>
      </c>
      <c r="Y24" t="inlineStr">
        <is>
          <t>27649786207</t>
        </is>
      </c>
    </row>
    <row r="25">
      <c r="A25" t="inlineStr">
        <is>
          <t>14920850</t>
        </is>
      </c>
      <c r="B25" t="inlineStr">
        <is>
          <t>bd7adb59-fca1-4d20-a9ad-828da9b0163c</t>
        </is>
      </c>
      <c r="D25" t="inlineStr">
        <is>
          <t>111111124</t>
        </is>
      </c>
      <c r="E25" t="inlineStr">
        <is>
          <t>Vodacom Life 20260617</t>
        </is>
      </c>
      <c r="G25" t="inlineStr">
        <is>
          <t>LANA</t>
        </is>
      </c>
      <c r="H25" t="inlineStr">
        <is>
          <t>JACOBS</t>
        </is>
      </c>
      <c r="J25" t="inlineStr">
        <is>
          <t>DROP</t>
        </is>
      </c>
      <c r="K25" t="inlineStr">
        <is>
          <t>Dropped</t>
        </is>
      </c>
      <c r="L25" t="n">
        <v>5</v>
      </c>
      <c r="M25" t="inlineStr">
        <is>
          <t>2026-06-29 14:09:41</t>
        </is>
      </c>
      <c r="N25" t="inlineStr">
        <is>
          <t>system</t>
        </is>
      </c>
      <c r="O25" t="inlineStr">
        <is>
          <t>2026-06-17 14:10:06</t>
        </is>
      </c>
      <c r="P25" t="inlineStr">
        <is>
          <t>2026-06-17 14:10:06</t>
        </is>
      </c>
      <c r="Y25" t="inlineStr">
        <is>
          <t>27827875882</t>
        </is>
      </c>
    </row>
    <row r="26">
      <c r="A26" t="inlineStr">
        <is>
          <t>14920853</t>
        </is>
      </c>
      <c r="B26" t="inlineStr">
        <is>
          <t>dbc1a310-27a4-4d19-a508-c8c9f6a42ad6</t>
        </is>
      </c>
      <c r="D26" t="inlineStr">
        <is>
          <t>111111124</t>
        </is>
      </c>
      <c r="E26" t="inlineStr">
        <is>
          <t>Vodacom Life 20260617</t>
        </is>
      </c>
      <c r="G26" t="inlineStr">
        <is>
          <t>NERUSCHKE</t>
        </is>
      </c>
      <c r="H26" t="inlineStr">
        <is>
          <t>BLAKE</t>
        </is>
      </c>
      <c r="J26" t="inlineStr">
        <is>
          <t>DROP</t>
        </is>
      </c>
      <c r="K26" t="inlineStr">
        <is>
          <t>Dropped</t>
        </is>
      </c>
      <c r="L26" t="n">
        <v>5</v>
      </c>
      <c r="M26" t="inlineStr">
        <is>
          <t>2026-06-29 14:09:41</t>
        </is>
      </c>
      <c r="N26" t="inlineStr">
        <is>
          <t>system</t>
        </is>
      </c>
      <c r="O26" t="inlineStr">
        <is>
          <t>2026-06-17 14:10:06</t>
        </is>
      </c>
      <c r="P26" t="inlineStr">
        <is>
          <t>2026-06-17 14:10:06</t>
        </is>
      </c>
      <c r="Y26" t="inlineStr">
        <is>
          <t>27609953535</t>
        </is>
      </c>
    </row>
    <row r="27">
      <c r="A27" t="inlineStr">
        <is>
          <t>14921554</t>
        </is>
      </c>
      <c r="B27" t="inlineStr">
        <is>
          <t>86fa280d-1c88-4527-bde5-45c61ed7fe1d</t>
        </is>
      </c>
      <c r="D27" t="inlineStr">
        <is>
          <t>111111124</t>
        </is>
      </c>
      <c r="E27" t="inlineStr">
        <is>
          <t>Vodacom Life 20260617</t>
        </is>
      </c>
      <c r="G27" t="inlineStr">
        <is>
          <t>KHULEKANI</t>
        </is>
      </c>
      <c r="H27" t="inlineStr">
        <is>
          <t>MKIZE</t>
        </is>
      </c>
      <c r="J27" t="inlineStr">
        <is>
          <t>DROP</t>
        </is>
      </c>
      <c r="K27" t="inlineStr">
        <is>
          <t>Dropped</t>
        </is>
      </c>
      <c r="L27" t="n">
        <v>5</v>
      </c>
      <c r="M27" t="inlineStr">
        <is>
          <t>2026-06-29 14:09:41</t>
        </is>
      </c>
      <c r="N27" t="inlineStr">
        <is>
          <t>system</t>
        </is>
      </c>
      <c r="O27" t="inlineStr">
        <is>
          <t>2026-06-17 14:10:06</t>
        </is>
      </c>
      <c r="P27" t="inlineStr">
        <is>
          <t>2026-06-17 14:10:06</t>
        </is>
      </c>
      <c r="Y27" t="inlineStr">
        <is>
          <t>27768855150</t>
        </is>
      </c>
    </row>
    <row r="28">
      <c r="A28" t="inlineStr">
        <is>
          <t>14921615</t>
        </is>
      </c>
      <c r="B28" t="inlineStr">
        <is>
          <t>2cbc7065-fc2a-4a95-b895-dbff95f10fcd</t>
        </is>
      </c>
      <c r="D28" t="inlineStr">
        <is>
          <t>111111124</t>
        </is>
      </c>
      <c r="E28" t="inlineStr">
        <is>
          <t>Vodacom Life 20260617</t>
        </is>
      </c>
      <c r="G28" t="inlineStr">
        <is>
          <t>JANAP</t>
        </is>
      </c>
      <c r="H28" t="inlineStr">
        <is>
          <t>MATTHEWS</t>
        </is>
      </c>
      <c r="J28" t="inlineStr">
        <is>
          <t>AE</t>
        </is>
      </c>
      <c r="K28" t="inlineStr">
        <is>
          <t>Auto Engaged</t>
        </is>
      </c>
      <c r="L28" t="n">
        <v>5</v>
      </c>
      <c r="M28" t="inlineStr">
        <is>
          <t>2026-06-29 14:09:41</t>
        </is>
      </c>
      <c r="N28" t="inlineStr">
        <is>
          <t>system</t>
        </is>
      </c>
      <c r="O28" t="inlineStr">
        <is>
          <t>2026-06-17 14:10:06</t>
        </is>
      </c>
      <c r="P28" t="inlineStr">
        <is>
          <t>2026-06-17 14:10:06</t>
        </is>
      </c>
      <c r="Y28" t="inlineStr">
        <is>
          <t>27829631963</t>
        </is>
      </c>
    </row>
    <row r="29">
      <c r="A29" t="inlineStr">
        <is>
          <t>14921555</t>
        </is>
      </c>
      <c r="B29" t="inlineStr">
        <is>
          <t>290fdf79-7e61-49f5-8623-82aaec336b94</t>
        </is>
      </c>
      <c r="D29" t="inlineStr">
        <is>
          <t>111111124</t>
        </is>
      </c>
      <c r="E29" t="inlineStr">
        <is>
          <t>Vodacom Life 20260617</t>
        </is>
      </c>
      <c r="G29" t="inlineStr">
        <is>
          <t>DAVID</t>
        </is>
      </c>
      <c r="H29" t="inlineStr">
        <is>
          <t>RISTOW</t>
        </is>
      </c>
      <c r="J29" t="inlineStr">
        <is>
          <t>DROP</t>
        </is>
      </c>
      <c r="K29" t="inlineStr">
        <is>
          <t>Dropped</t>
        </is>
      </c>
      <c r="L29" t="n">
        <v>5</v>
      </c>
      <c r="M29" t="inlineStr">
        <is>
          <t>2026-06-29 14:09:40</t>
        </is>
      </c>
      <c r="N29" t="inlineStr">
        <is>
          <t>system</t>
        </is>
      </c>
      <c r="O29" t="inlineStr">
        <is>
          <t>2026-06-17 14:10:06</t>
        </is>
      </c>
      <c r="P29" t="inlineStr">
        <is>
          <t>2026-06-17 14:10:06</t>
        </is>
      </c>
      <c r="Y29" t="inlineStr">
        <is>
          <t>27662068622</t>
        </is>
      </c>
    </row>
    <row r="30">
      <c r="A30" t="inlineStr">
        <is>
          <t>14921556</t>
        </is>
      </c>
      <c r="B30" t="inlineStr">
        <is>
          <t>0af76fb6-8927-4d4c-bb24-c1ed0bf63760</t>
        </is>
      </c>
      <c r="D30" t="inlineStr">
        <is>
          <t>111111124</t>
        </is>
      </c>
      <c r="E30" t="inlineStr">
        <is>
          <t>Vodacom Life 20260617</t>
        </is>
      </c>
      <c r="G30" t="inlineStr">
        <is>
          <t>ABEL</t>
        </is>
      </c>
      <c r="H30" t="inlineStr">
        <is>
          <t>PIENAAR</t>
        </is>
      </c>
      <c r="J30" t="inlineStr">
        <is>
          <t>DROP</t>
        </is>
      </c>
      <c r="K30" t="inlineStr">
        <is>
          <t>Dropped</t>
        </is>
      </c>
      <c r="L30" t="n">
        <v>5</v>
      </c>
      <c r="M30" t="inlineStr">
        <is>
          <t>2026-06-29 14:09:40</t>
        </is>
      </c>
      <c r="N30" t="inlineStr">
        <is>
          <t>system</t>
        </is>
      </c>
      <c r="O30" t="inlineStr">
        <is>
          <t>2026-06-17 14:10:06</t>
        </is>
      </c>
      <c r="P30" t="inlineStr">
        <is>
          <t>2026-06-17 14:10:06</t>
        </is>
      </c>
      <c r="Y30" t="inlineStr">
        <is>
          <t>27662579884</t>
        </is>
      </c>
    </row>
    <row r="31">
      <c r="A31" t="inlineStr">
        <is>
          <t>14921557</t>
        </is>
      </c>
      <c r="B31" t="inlineStr">
        <is>
          <t>e6df294b-3574-42e4-a738-86ac24aae4b1</t>
        </is>
      </c>
      <c r="D31" t="inlineStr">
        <is>
          <t>111111124</t>
        </is>
      </c>
      <c r="E31" t="inlineStr">
        <is>
          <t>Vodacom Life 20260617</t>
        </is>
      </c>
      <c r="G31" t="inlineStr">
        <is>
          <t>TITINYANE</t>
        </is>
      </c>
      <c r="H31" t="inlineStr">
        <is>
          <t>SEAKGWA</t>
        </is>
      </c>
      <c r="J31" t="inlineStr">
        <is>
          <t>AE</t>
        </is>
      </c>
      <c r="K31" t="inlineStr">
        <is>
          <t>Auto Engaged</t>
        </is>
      </c>
      <c r="L31" t="n">
        <v>5</v>
      </c>
      <c r="M31" t="inlineStr">
        <is>
          <t>2026-06-29 14:09:40</t>
        </is>
      </c>
      <c r="N31" t="inlineStr">
        <is>
          <t>system</t>
        </is>
      </c>
      <c r="O31" t="inlineStr">
        <is>
          <t>2026-06-17 14:10:06</t>
        </is>
      </c>
      <c r="P31" t="inlineStr">
        <is>
          <t>2026-06-17 14:10:06</t>
        </is>
      </c>
      <c r="Y31" t="inlineStr">
        <is>
          <t>27760514020</t>
        </is>
      </c>
    </row>
    <row r="32">
      <c r="A32" t="inlineStr">
        <is>
          <t>14921560</t>
        </is>
      </c>
      <c r="B32" t="inlineStr">
        <is>
          <t>c2da69e1-eb49-4918-ae09-1b485335e7a9</t>
        </is>
      </c>
      <c r="D32" t="inlineStr">
        <is>
          <t>111111124</t>
        </is>
      </c>
      <c r="E32" t="inlineStr">
        <is>
          <t>Vodacom Life 20260617</t>
        </is>
      </c>
      <c r="G32" t="inlineStr">
        <is>
          <t>JODI</t>
        </is>
      </c>
      <c r="H32" t="inlineStr">
        <is>
          <t>HARTLEY</t>
        </is>
      </c>
      <c r="J32" t="inlineStr">
        <is>
          <t>DROP</t>
        </is>
      </c>
      <c r="K32" t="inlineStr">
        <is>
          <t>Dropped</t>
        </is>
      </c>
      <c r="L32" t="n">
        <v>5</v>
      </c>
      <c r="M32" t="inlineStr">
        <is>
          <t>2026-06-29 14:09:40</t>
        </is>
      </c>
      <c r="N32" t="inlineStr">
        <is>
          <t>system</t>
        </is>
      </c>
      <c r="O32" t="inlineStr">
        <is>
          <t>2026-06-17 14:10:06</t>
        </is>
      </c>
      <c r="P32" t="inlineStr">
        <is>
          <t>2026-06-17 14:10:06</t>
        </is>
      </c>
      <c r="Y32" t="inlineStr">
        <is>
          <t>27720403713</t>
        </is>
      </c>
    </row>
    <row r="33">
      <c r="A33" t="inlineStr">
        <is>
          <t>14921561</t>
        </is>
      </c>
      <c r="B33" t="inlineStr">
        <is>
          <t>2c8c73af-8a50-4063-a5c8-a4980c95c056</t>
        </is>
      </c>
      <c r="D33" t="inlineStr">
        <is>
          <t>111111124</t>
        </is>
      </c>
      <c r="E33" t="inlineStr">
        <is>
          <t>Vodacom Life 20260617</t>
        </is>
      </c>
      <c r="G33" t="inlineStr">
        <is>
          <t>DAVID</t>
        </is>
      </c>
      <c r="H33" t="inlineStr">
        <is>
          <t>LEYSHON</t>
        </is>
      </c>
      <c r="J33" t="inlineStr">
        <is>
          <t>DROP</t>
        </is>
      </c>
      <c r="K33" t="inlineStr">
        <is>
          <t>Dropped</t>
        </is>
      </c>
      <c r="L33" t="n">
        <v>5</v>
      </c>
      <c r="M33" t="inlineStr">
        <is>
          <t>2026-06-29 14:09:12</t>
        </is>
      </c>
      <c r="N33" t="inlineStr">
        <is>
          <t>system</t>
        </is>
      </c>
      <c r="O33" t="inlineStr">
        <is>
          <t>2026-06-17 14:10:06</t>
        </is>
      </c>
      <c r="P33" t="inlineStr">
        <is>
          <t>2026-06-17 14:10:06</t>
        </is>
      </c>
      <c r="Y33" t="inlineStr">
        <is>
          <t>27722689330</t>
        </is>
      </c>
    </row>
    <row r="34">
      <c r="A34" t="inlineStr">
        <is>
          <t>14921564</t>
        </is>
      </c>
      <c r="B34" t="inlineStr">
        <is>
          <t>46153479-7ae0-4574-b481-2fc744968103</t>
        </is>
      </c>
      <c r="D34" t="inlineStr">
        <is>
          <t>111111124</t>
        </is>
      </c>
      <c r="E34" t="inlineStr">
        <is>
          <t>Vodacom Life 20260617</t>
        </is>
      </c>
      <c r="G34" t="inlineStr">
        <is>
          <t>KAMVELIHLE</t>
        </is>
      </c>
      <c r="H34" t="inlineStr">
        <is>
          <t>NKONGO</t>
        </is>
      </c>
      <c r="J34" t="inlineStr">
        <is>
          <t>DROP</t>
        </is>
      </c>
      <c r="K34" t="inlineStr">
        <is>
          <t>Dropped</t>
        </is>
      </c>
      <c r="L34" t="n">
        <v>5</v>
      </c>
      <c r="M34" t="inlineStr">
        <is>
          <t>2026-06-29 14:09:09</t>
        </is>
      </c>
      <c r="N34" t="inlineStr">
        <is>
          <t>system</t>
        </is>
      </c>
      <c r="O34" t="inlineStr">
        <is>
          <t>2026-06-17 14:10:06</t>
        </is>
      </c>
      <c r="P34" t="inlineStr">
        <is>
          <t>2026-06-17 14:10:06</t>
        </is>
      </c>
      <c r="Y34" t="inlineStr">
        <is>
          <t>27691722747</t>
        </is>
      </c>
    </row>
    <row r="35">
      <c r="A35" t="inlineStr">
        <is>
          <t>14921566</t>
        </is>
      </c>
      <c r="B35" t="inlineStr">
        <is>
          <t>58504d44-b899-425d-bf3a-cebcb11cadaa</t>
        </is>
      </c>
      <c r="D35" t="inlineStr">
        <is>
          <t>111111124</t>
        </is>
      </c>
      <c r="E35" t="inlineStr">
        <is>
          <t>Vodacom Life 20260617</t>
        </is>
      </c>
      <c r="G35" t="inlineStr">
        <is>
          <t>GLORIOUS</t>
        </is>
      </c>
      <c r="H35" t="inlineStr">
        <is>
          <t>MKUPA</t>
        </is>
      </c>
      <c r="J35" t="inlineStr">
        <is>
          <t>CU</t>
        </is>
      </c>
      <c r="K35" t="inlineStr">
        <is>
          <t>Client Hung Up</t>
        </is>
      </c>
      <c r="L35" t="n">
        <v>5</v>
      </c>
      <c r="M35" t="inlineStr">
        <is>
          <t>2026-06-29 14:09:05</t>
        </is>
      </c>
      <c r="N35" t="inlineStr">
        <is>
          <t>Vanessa Kekana</t>
        </is>
      </c>
      <c r="O35" t="inlineStr">
        <is>
          <t>2026-06-17 14:10:06</t>
        </is>
      </c>
      <c r="P35" t="inlineStr">
        <is>
          <t>2026-06-17 14:10:06</t>
        </is>
      </c>
      <c r="Y35" t="inlineStr">
        <is>
          <t>27829229835</t>
        </is>
      </c>
    </row>
    <row r="36">
      <c r="A36" t="inlineStr">
        <is>
          <t>14921582</t>
        </is>
      </c>
      <c r="B36" t="inlineStr">
        <is>
          <t>54943003-698b-49d6-b08f-cc4a8e7fd616</t>
        </is>
      </c>
      <c r="D36" t="inlineStr">
        <is>
          <t>111111124</t>
        </is>
      </c>
      <c r="E36" t="inlineStr">
        <is>
          <t>Vodacom Life 20260617</t>
        </is>
      </c>
      <c r="G36" t="inlineStr">
        <is>
          <t>S</t>
        </is>
      </c>
      <c r="H36" t="inlineStr">
        <is>
          <t>VENTER</t>
        </is>
      </c>
      <c r="J36" t="inlineStr">
        <is>
          <t>AE</t>
        </is>
      </c>
      <c r="K36" t="inlineStr">
        <is>
          <t>Auto Engaged</t>
        </is>
      </c>
      <c r="L36" t="n">
        <v>5</v>
      </c>
      <c r="M36" t="inlineStr">
        <is>
          <t>2026-06-29 14:09:05</t>
        </is>
      </c>
      <c r="N36" t="inlineStr">
        <is>
          <t>system</t>
        </is>
      </c>
      <c r="O36" t="inlineStr">
        <is>
          <t>2026-06-17 14:10:06</t>
        </is>
      </c>
      <c r="P36" t="inlineStr">
        <is>
          <t>2026-06-17 14:10:06</t>
        </is>
      </c>
      <c r="Y36" t="inlineStr">
        <is>
          <t>27825628431</t>
        </is>
      </c>
    </row>
    <row r="37">
      <c r="A37" t="inlineStr">
        <is>
          <t>14920721</t>
        </is>
      </c>
      <c r="B37" t="inlineStr">
        <is>
          <t>283cf915-6276-4cc3-8552-239d1203f3b2</t>
        </is>
      </c>
      <c r="D37" t="inlineStr">
        <is>
          <t>111111124</t>
        </is>
      </c>
      <c r="E37" t="inlineStr">
        <is>
          <t>Vodacom Life 20260617</t>
        </is>
      </c>
      <c r="G37" t="inlineStr">
        <is>
          <t>ANDREW</t>
        </is>
      </c>
      <c r="H37" t="inlineStr">
        <is>
          <t>STRACHAN</t>
        </is>
      </c>
      <c r="J37" t="inlineStr">
        <is>
          <t>AA</t>
        </is>
      </c>
      <c r="K37" t="inlineStr">
        <is>
          <t>Answering Machine Autodial</t>
        </is>
      </c>
      <c r="L37" t="n">
        <v>5</v>
      </c>
      <c r="M37" t="inlineStr">
        <is>
          <t>2026-06-29 14:09:04</t>
        </is>
      </c>
      <c r="N37" t="inlineStr">
        <is>
          <t>system</t>
        </is>
      </c>
      <c r="O37" t="inlineStr">
        <is>
          <t>2026-06-17 14:10:06</t>
        </is>
      </c>
      <c r="P37" t="inlineStr">
        <is>
          <t>2026-06-17 14:10:06</t>
        </is>
      </c>
      <c r="Y37" t="inlineStr">
        <is>
          <t>27661554103</t>
        </is>
      </c>
    </row>
    <row r="38">
      <c r="A38" t="inlineStr">
        <is>
          <t>14920724</t>
        </is>
      </c>
      <c r="B38" t="inlineStr">
        <is>
          <t>d7ee08e9-ef0f-4e23-be75-bf07c16ad80c</t>
        </is>
      </c>
      <c r="D38" t="inlineStr">
        <is>
          <t>111111124</t>
        </is>
      </c>
      <c r="E38" t="inlineStr">
        <is>
          <t>Vodacom Life 20260617</t>
        </is>
      </c>
      <c r="G38" t="inlineStr">
        <is>
          <t>LEEZEL</t>
        </is>
      </c>
      <c r="H38" t="inlineStr">
        <is>
          <t>LABISTOUR</t>
        </is>
      </c>
      <c r="J38" t="inlineStr">
        <is>
          <t>AA</t>
        </is>
      </c>
      <c r="K38" t="inlineStr">
        <is>
          <t>Answering Machine Autodial</t>
        </is>
      </c>
      <c r="L38" t="n">
        <v>5</v>
      </c>
      <c r="M38" t="inlineStr">
        <is>
          <t>2026-06-29 14:09:04</t>
        </is>
      </c>
      <c r="N38" t="inlineStr">
        <is>
          <t>system</t>
        </is>
      </c>
      <c r="O38" t="inlineStr">
        <is>
          <t>2026-06-17 14:10:06</t>
        </is>
      </c>
      <c r="P38" t="inlineStr">
        <is>
          <t>2026-06-17 14:10:06</t>
        </is>
      </c>
      <c r="Y38" t="inlineStr">
        <is>
          <t>27766814012</t>
        </is>
      </c>
    </row>
    <row r="39">
      <c r="A39" t="inlineStr">
        <is>
          <t>14921584</t>
        </is>
      </c>
      <c r="B39" t="inlineStr">
        <is>
          <t>909c3e5b-a48a-446f-8db2-f7863bf5c380</t>
        </is>
      </c>
      <c r="D39" t="inlineStr">
        <is>
          <t>111111124</t>
        </is>
      </c>
      <c r="E39" t="inlineStr">
        <is>
          <t>Vodacom Life 20260617</t>
        </is>
      </c>
      <c r="G39" t="inlineStr">
        <is>
          <t>BARTHOLOMEUS</t>
        </is>
      </c>
      <c r="H39" t="inlineStr">
        <is>
          <t>NIEWENHUIZEN</t>
        </is>
      </c>
      <c r="J39" t="inlineStr">
        <is>
          <t>AA</t>
        </is>
      </c>
      <c r="K39" t="inlineStr">
        <is>
          <t>Answering Machine Autodial</t>
        </is>
      </c>
      <c r="L39" t="n">
        <v>5</v>
      </c>
      <c r="M39" t="inlineStr">
        <is>
          <t>2026-06-29 14:09:03</t>
        </is>
      </c>
      <c r="N39" t="inlineStr">
        <is>
          <t>system</t>
        </is>
      </c>
      <c r="O39" t="inlineStr">
        <is>
          <t>2026-06-17 14:10:06</t>
        </is>
      </c>
      <c r="P39" t="inlineStr">
        <is>
          <t>2026-06-17 14:10:06</t>
        </is>
      </c>
      <c r="Y39" t="inlineStr">
        <is>
          <t>27822695337</t>
        </is>
      </c>
    </row>
    <row r="40">
      <c r="A40" t="inlineStr">
        <is>
          <t>14921608</t>
        </is>
      </c>
      <c r="B40" t="inlineStr">
        <is>
          <t>224bf400-2c08-474c-87e8-98701feaba23</t>
        </is>
      </c>
      <c r="D40" t="inlineStr">
        <is>
          <t>111111124</t>
        </is>
      </c>
      <c r="E40" t="inlineStr">
        <is>
          <t>Vodacom Life 20260617</t>
        </is>
      </c>
      <c r="G40" t="inlineStr">
        <is>
          <t>SIBULELE</t>
        </is>
      </c>
      <c r="H40" t="inlineStr">
        <is>
          <t>MASIZA</t>
        </is>
      </c>
      <c r="J40" t="inlineStr">
        <is>
          <t>A</t>
        </is>
      </c>
      <c r="K40" t="inlineStr">
        <is>
          <t>Answering Machine</t>
        </is>
      </c>
      <c r="L40" t="n">
        <v>5</v>
      </c>
      <c r="M40" t="inlineStr">
        <is>
          <t>2026-06-29 14:09:02</t>
        </is>
      </c>
      <c r="N40" t="inlineStr">
        <is>
          <t>bongiwe lushaba</t>
        </is>
      </c>
      <c r="O40" t="inlineStr">
        <is>
          <t>2026-06-17 14:10:06</t>
        </is>
      </c>
      <c r="P40" t="inlineStr">
        <is>
          <t>2026-06-17 14:10:06</t>
        </is>
      </c>
      <c r="Y40" t="inlineStr">
        <is>
          <t>27713531563</t>
        </is>
      </c>
    </row>
    <row r="41">
      <c r="A41" t="inlineStr">
        <is>
          <t>14900000</t>
        </is>
      </c>
      <c r="B41" t="inlineStr">
        <is>
          <t>95e724be-876d-4c35-97ef-4bbfcf1fcdee</t>
        </is>
      </c>
      <c r="D41" t="inlineStr">
        <is>
          <t>111111124</t>
        </is>
      </c>
      <c r="E41" t="inlineStr">
        <is>
          <t>Vodacom Life 20260617</t>
        </is>
      </c>
      <c r="G41" t="inlineStr">
        <is>
          <t>SIBUSISO</t>
        </is>
      </c>
      <c r="H41" t="inlineStr">
        <is>
          <t>SHABALALA</t>
        </is>
      </c>
      <c r="J41" t="inlineStr">
        <is>
          <t>AE</t>
        </is>
      </c>
      <c r="K41" t="inlineStr">
        <is>
          <t>Auto Engaged</t>
        </is>
      </c>
      <c r="L41" t="n">
        <v>5</v>
      </c>
      <c r="M41" t="inlineStr">
        <is>
          <t>2026-06-29 14:08:59</t>
        </is>
      </c>
      <c r="N41" t="inlineStr">
        <is>
          <t>system</t>
        </is>
      </c>
      <c r="O41" t="inlineStr">
        <is>
          <t>2026-06-17 14:10:06</t>
        </is>
      </c>
      <c r="P41" t="inlineStr">
        <is>
          <t>2026-06-17 14:10:06</t>
        </is>
      </c>
      <c r="Y41" t="inlineStr">
        <is>
          <t>27799506001</t>
        </is>
      </c>
    </row>
    <row r="42">
      <c r="A42" t="inlineStr">
        <is>
          <t>14920845</t>
        </is>
      </c>
      <c r="B42" t="inlineStr">
        <is>
          <t>812d061a-0833-4a6f-9378-e970035eedbd</t>
        </is>
      </c>
      <c r="D42" t="inlineStr">
        <is>
          <t>111111124</t>
        </is>
      </c>
      <c r="E42" t="inlineStr">
        <is>
          <t>Vodacom Life 20260617</t>
        </is>
      </c>
      <c r="G42" t="inlineStr">
        <is>
          <t>VICTORIA</t>
        </is>
      </c>
      <c r="H42" t="inlineStr">
        <is>
          <t>BUTLER</t>
        </is>
      </c>
      <c r="J42" t="inlineStr">
        <is>
          <t>AE</t>
        </is>
      </c>
      <c r="K42" t="inlineStr">
        <is>
          <t>Auto Engaged</t>
        </is>
      </c>
      <c r="L42" t="n">
        <v>5</v>
      </c>
      <c r="M42" t="inlineStr">
        <is>
          <t>2026-06-29 14:08:57</t>
        </is>
      </c>
      <c r="N42" t="inlineStr">
        <is>
          <t>system</t>
        </is>
      </c>
      <c r="O42" t="inlineStr">
        <is>
          <t>2026-06-17 14:10:06</t>
        </is>
      </c>
      <c r="P42" t="inlineStr">
        <is>
          <t>2026-06-17 14:10:06</t>
        </is>
      </c>
      <c r="Y42" t="inlineStr">
        <is>
          <t>27729225105</t>
        </is>
      </c>
    </row>
    <row r="43">
      <c r="A43" t="inlineStr">
        <is>
          <t>14920846</t>
        </is>
      </c>
      <c r="B43" t="inlineStr">
        <is>
          <t>5524d6f4-6b95-4c84-89d4-433cda637512</t>
        </is>
      </c>
      <c r="D43" t="inlineStr">
        <is>
          <t>111111124</t>
        </is>
      </c>
      <c r="E43" t="inlineStr">
        <is>
          <t>Vodacom Life 20260617</t>
        </is>
      </c>
      <c r="G43" t="inlineStr">
        <is>
          <t>AYANDA</t>
        </is>
      </c>
      <c r="H43" t="inlineStr">
        <is>
          <t>BOTHA</t>
        </is>
      </c>
      <c r="J43" t="inlineStr">
        <is>
          <t>AA</t>
        </is>
      </c>
      <c r="K43" t="inlineStr">
        <is>
          <t>Answering Machine Autodial</t>
        </is>
      </c>
      <c r="L43" t="n">
        <v>5</v>
      </c>
      <c r="M43" t="inlineStr">
        <is>
          <t>2026-06-29 14:08:56</t>
        </is>
      </c>
      <c r="N43" t="inlineStr">
        <is>
          <t>system</t>
        </is>
      </c>
      <c r="O43" t="inlineStr">
        <is>
          <t>2026-06-17 14:10:06</t>
        </is>
      </c>
      <c r="P43" t="inlineStr">
        <is>
          <t>2026-06-17 14:10:06</t>
        </is>
      </c>
      <c r="Y43" t="inlineStr">
        <is>
          <t>27729117404</t>
        </is>
      </c>
    </row>
    <row r="44">
      <c r="A44" t="inlineStr">
        <is>
          <t>14920847</t>
        </is>
      </c>
      <c r="B44" t="inlineStr">
        <is>
          <t>d867a6db-06d1-49f0-b040-07b85bc0ad4b</t>
        </is>
      </c>
      <c r="D44" t="inlineStr">
        <is>
          <t>111111124</t>
        </is>
      </c>
      <c r="E44" t="inlineStr">
        <is>
          <t>Vodacom Life 20260617</t>
        </is>
      </c>
      <c r="G44" t="inlineStr">
        <is>
          <t>BONGA</t>
        </is>
      </c>
      <c r="H44" t="inlineStr">
        <is>
          <t>PETER</t>
        </is>
      </c>
      <c r="J44" t="inlineStr">
        <is>
          <t>AA</t>
        </is>
      </c>
      <c r="K44" t="inlineStr">
        <is>
          <t>Answering Machine Autodial</t>
        </is>
      </c>
      <c r="L44" t="n">
        <v>5</v>
      </c>
      <c r="M44" t="inlineStr">
        <is>
          <t>2026-06-29 14:08:34</t>
        </is>
      </c>
      <c r="N44" t="inlineStr">
        <is>
          <t>system</t>
        </is>
      </c>
      <c r="O44" t="inlineStr">
        <is>
          <t>2026-06-17 14:10:06</t>
        </is>
      </c>
      <c r="P44" t="inlineStr">
        <is>
          <t>2026-06-17 14:10:06</t>
        </is>
      </c>
      <c r="Y44" t="inlineStr">
        <is>
          <t>27662373140</t>
        </is>
      </c>
    </row>
    <row r="45">
      <c r="A45" t="inlineStr">
        <is>
          <t>14920848</t>
        </is>
      </c>
      <c r="B45" t="inlineStr">
        <is>
          <t>96877020-dbe1-4566-80b2-7dea93720223</t>
        </is>
      </c>
      <c r="D45" t="inlineStr">
        <is>
          <t>111111124</t>
        </is>
      </c>
      <c r="E45" t="inlineStr">
        <is>
          <t>Vodacom Life 20260617</t>
        </is>
      </c>
      <c r="G45" t="inlineStr">
        <is>
          <t>MPHO</t>
        </is>
      </c>
      <c r="H45" t="inlineStr">
        <is>
          <t>MONAGENG</t>
        </is>
      </c>
      <c r="J45" t="inlineStr">
        <is>
          <t>AA</t>
        </is>
      </c>
      <c r="K45" t="inlineStr">
        <is>
          <t>Answering Machine Autodial</t>
        </is>
      </c>
      <c r="L45" t="n">
        <v>5</v>
      </c>
      <c r="M45" t="inlineStr">
        <is>
          <t>2026-06-29 14:08:34</t>
        </is>
      </c>
      <c r="N45" t="inlineStr">
        <is>
          <t>system</t>
        </is>
      </c>
      <c r="O45" t="inlineStr">
        <is>
          <t>2026-06-17 14:10:06</t>
        </is>
      </c>
      <c r="P45" t="inlineStr">
        <is>
          <t>2026-06-17 14:10:06</t>
        </is>
      </c>
      <c r="Y45" t="inlineStr">
        <is>
          <t>27824511760</t>
        </is>
      </c>
    </row>
    <row r="46">
      <c r="A46" t="inlineStr">
        <is>
          <t>14900000</t>
        </is>
      </c>
      <c r="B46" t="inlineStr">
        <is>
          <t>05e91533-b178-4857-bc8c-6a0d0f9663da</t>
        </is>
      </c>
      <c r="D46" t="inlineStr">
        <is>
          <t>111111124</t>
        </is>
      </c>
      <c r="E46" t="inlineStr">
        <is>
          <t>Vodacom Life 20260617</t>
        </is>
      </c>
      <c r="G46" t="inlineStr">
        <is>
          <t>IMMAMELENG</t>
        </is>
      </c>
      <c r="H46" t="inlineStr">
        <is>
          <t>MOKHELE</t>
        </is>
      </c>
      <c r="J46" t="inlineStr">
        <is>
          <t>ADC</t>
        </is>
      </c>
      <c r="K46" t="inlineStr">
        <is>
          <t>Auto Dial Disconnected</t>
        </is>
      </c>
      <c r="L46" t="n">
        <v>5</v>
      </c>
      <c r="M46" t="inlineStr">
        <is>
          <t>2026-06-29 14:08:33</t>
        </is>
      </c>
      <c r="N46" t="inlineStr">
        <is>
          <t>system</t>
        </is>
      </c>
      <c r="O46" t="inlineStr">
        <is>
          <t>2026-06-17 14:10:06</t>
        </is>
      </c>
      <c r="P46" t="inlineStr">
        <is>
          <t>2026-06-17 14:10:06</t>
        </is>
      </c>
      <c r="Y46" t="inlineStr">
        <is>
          <t>27790714208</t>
        </is>
      </c>
    </row>
    <row r="47">
      <c r="A47" t="inlineStr">
        <is>
          <t>14921612</t>
        </is>
      </c>
      <c r="B47" t="inlineStr">
        <is>
          <t>8639434f-340b-45bb-bbed-b70c0e04c160</t>
        </is>
      </c>
      <c r="D47" t="inlineStr">
        <is>
          <t>111111124</t>
        </is>
      </c>
      <c r="E47" t="inlineStr">
        <is>
          <t>Vodacom Life 20260617</t>
        </is>
      </c>
      <c r="G47" t="inlineStr">
        <is>
          <t>NAZERENE</t>
        </is>
      </c>
      <c r="H47" t="inlineStr">
        <is>
          <t>ISAACS</t>
        </is>
      </c>
      <c r="J47" t="inlineStr">
        <is>
          <t>DROP</t>
        </is>
      </c>
      <c r="K47" t="inlineStr">
        <is>
          <t>Dropped</t>
        </is>
      </c>
      <c r="L47" t="n">
        <v>5</v>
      </c>
      <c r="M47" t="inlineStr">
        <is>
          <t>2026-06-29 14:08:33</t>
        </is>
      </c>
      <c r="N47" t="inlineStr">
        <is>
          <t>system</t>
        </is>
      </c>
      <c r="O47" t="inlineStr">
        <is>
          <t>2026-06-17 14:10:06</t>
        </is>
      </c>
      <c r="P47" t="inlineStr">
        <is>
          <t>2026-06-17 14:10:06</t>
        </is>
      </c>
      <c r="Y47" t="inlineStr">
        <is>
          <t>27725911377</t>
        </is>
      </c>
    </row>
    <row r="48">
      <c r="A48" t="inlineStr">
        <is>
          <t>14921616</t>
        </is>
      </c>
      <c r="B48" t="inlineStr">
        <is>
          <t>8e4b3463-8ce7-4e93-950c-8aa23198ad4d</t>
        </is>
      </c>
      <c r="D48" t="inlineStr">
        <is>
          <t>111111124</t>
        </is>
      </c>
      <c r="E48" t="inlineStr">
        <is>
          <t>Vodacom Life 20260617</t>
        </is>
      </c>
      <c r="G48" t="inlineStr">
        <is>
          <t>MELANIE</t>
        </is>
      </c>
      <c r="H48" t="inlineStr">
        <is>
          <t>STAATS</t>
        </is>
      </c>
      <c r="J48" t="inlineStr">
        <is>
          <t>CU</t>
        </is>
      </c>
      <c r="K48" t="inlineStr">
        <is>
          <t>Client Hung Up</t>
        </is>
      </c>
      <c r="L48" t="n">
        <v>5</v>
      </c>
      <c r="M48" t="inlineStr">
        <is>
          <t>2026-06-29 14:08:28</t>
        </is>
      </c>
      <c r="N48" t="inlineStr">
        <is>
          <t>Vanessa Kekana</t>
        </is>
      </c>
      <c r="O48" t="inlineStr">
        <is>
          <t>2026-06-17 14:10:06</t>
        </is>
      </c>
      <c r="P48" t="inlineStr">
        <is>
          <t>2026-06-17 14:10:06</t>
        </is>
      </c>
      <c r="Y48" t="inlineStr">
        <is>
          <t>27714712131</t>
        </is>
      </c>
    </row>
    <row r="49">
      <c r="A49" t="inlineStr">
        <is>
          <t>14921617</t>
        </is>
      </c>
      <c r="B49" t="inlineStr">
        <is>
          <t>463d4bff-4e2f-49ff-8c96-cabca962532f</t>
        </is>
      </c>
      <c r="D49" t="inlineStr">
        <is>
          <t>111111124</t>
        </is>
      </c>
      <c r="E49" t="inlineStr">
        <is>
          <t>Vodacom Life 20260617</t>
        </is>
      </c>
      <c r="G49" t="inlineStr">
        <is>
          <t>KAGISO</t>
        </is>
      </c>
      <c r="H49" t="inlineStr">
        <is>
          <t>GALEBOE</t>
        </is>
      </c>
      <c r="J49" t="inlineStr">
        <is>
          <t>ADC</t>
        </is>
      </c>
      <c r="K49" t="inlineStr">
        <is>
          <t>Auto Dial Disconnected</t>
        </is>
      </c>
      <c r="L49" t="n">
        <v>5</v>
      </c>
      <c r="M49" t="inlineStr">
        <is>
          <t>2026-06-29 14:08:27</t>
        </is>
      </c>
      <c r="N49" t="inlineStr">
        <is>
          <t>system</t>
        </is>
      </c>
      <c r="O49" t="inlineStr">
        <is>
          <t>2026-06-17 14:10:06</t>
        </is>
      </c>
      <c r="P49" t="inlineStr">
        <is>
          <t>2026-06-17 14:10:06</t>
        </is>
      </c>
      <c r="Y49" t="inlineStr">
        <is>
          <t>27760421152</t>
        </is>
      </c>
    </row>
    <row r="50">
      <c r="A50" t="inlineStr">
        <is>
          <t>14921618</t>
        </is>
      </c>
      <c r="B50" t="inlineStr">
        <is>
          <t>a3df2186-7be6-4a5c-97db-cec15a316ee1</t>
        </is>
      </c>
      <c r="D50" t="inlineStr">
        <is>
          <t>111111124</t>
        </is>
      </c>
      <c r="E50" t="inlineStr">
        <is>
          <t>Vodacom Life 20260617</t>
        </is>
      </c>
      <c r="G50" t="inlineStr">
        <is>
          <t>FRANS</t>
        </is>
      </c>
      <c r="H50" t="inlineStr">
        <is>
          <t>NARE</t>
        </is>
      </c>
      <c r="J50" t="inlineStr">
        <is>
          <t>AA</t>
        </is>
      </c>
      <c r="K50" t="inlineStr">
        <is>
          <t>Answering Machine Autodial</t>
        </is>
      </c>
      <c r="L50" t="n">
        <v>5</v>
      </c>
      <c r="M50" t="inlineStr">
        <is>
          <t>2026-06-29 14:08:18</t>
        </is>
      </c>
      <c r="N50" t="inlineStr">
        <is>
          <t>system</t>
        </is>
      </c>
      <c r="O50" t="inlineStr">
        <is>
          <t>2026-06-17 14:10:06</t>
        </is>
      </c>
      <c r="P50" t="inlineStr">
        <is>
          <t>2026-06-17 14:10:06</t>
        </is>
      </c>
      <c r="Y50" t="inlineStr">
        <is>
          <t>27721880445</t>
        </is>
      </c>
    </row>
    <row r="51">
      <c r="A51" t="inlineStr">
        <is>
          <t>14921619</t>
        </is>
      </c>
      <c r="B51" t="inlineStr">
        <is>
          <t>9f3e8757-b37f-45bd-952d-9aee980bd8ec</t>
        </is>
      </c>
      <c r="D51" t="inlineStr">
        <is>
          <t>111111124</t>
        </is>
      </c>
      <c r="E51" t="inlineStr">
        <is>
          <t>Vodacom Life 20260617</t>
        </is>
      </c>
      <c r="G51" t="inlineStr">
        <is>
          <t>LESHANE</t>
        </is>
      </c>
      <c r="H51" t="inlineStr">
        <is>
          <t>NAICKER</t>
        </is>
      </c>
      <c r="J51" t="inlineStr">
        <is>
          <t>AE</t>
        </is>
      </c>
      <c r="K51" t="inlineStr">
        <is>
          <t>Auto Engaged</t>
        </is>
      </c>
      <c r="L51" t="n">
        <v>5</v>
      </c>
      <c r="M51" t="inlineStr">
        <is>
          <t>2026-06-29 14:08:17</t>
        </is>
      </c>
      <c r="N51" t="inlineStr">
        <is>
          <t>system</t>
        </is>
      </c>
      <c r="O51" t="inlineStr">
        <is>
          <t>2026-06-17 14:10:06</t>
        </is>
      </c>
      <c r="P51" t="inlineStr">
        <is>
          <t>2026-06-17 14:10:06</t>
        </is>
      </c>
      <c r="Y51" t="inlineStr">
        <is>
          <t>27768624143</t>
        </is>
      </c>
    </row>
    <row r="52">
      <c r="A52" t="inlineStr">
        <is>
          <t>14921620</t>
        </is>
      </c>
      <c r="B52" t="inlineStr">
        <is>
          <t>7bd35164-accd-4e3c-adf7-309cea847974</t>
        </is>
      </c>
      <c r="D52" t="inlineStr">
        <is>
          <t>111111124</t>
        </is>
      </c>
      <c r="E52" t="inlineStr">
        <is>
          <t>Vodacom Life 20260617</t>
        </is>
      </c>
      <c r="G52" t="inlineStr">
        <is>
          <t>SIKHOLIWE</t>
        </is>
      </c>
      <c r="H52" t="inlineStr">
        <is>
          <t>XHONYIWE</t>
        </is>
      </c>
      <c r="J52" t="inlineStr">
        <is>
          <t>AA</t>
        </is>
      </c>
      <c r="K52" t="inlineStr">
        <is>
          <t>Answering Machine Autodial</t>
        </is>
      </c>
      <c r="L52" t="n">
        <v>5</v>
      </c>
      <c r="M52" t="inlineStr">
        <is>
          <t>2026-06-29 14:07:56</t>
        </is>
      </c>
      <c r="N52" t="inlineStr">
        <is>
          <t>system</t>
        </is>
      </c>
      <c r="O52" t="inlineStr">
        <is>
          <t>2026-06-17 14:10:06</t>
        </is>
      </c>
      <c r="P52" t="inlineStr">
        <is>
          <t>2026-06-17 14:10:06</t>
        </is>
      </c>
      <c r="Y52" t="inlineStr">
        <is>
          <t>27712190207</t>
        </is>
      </c>
    </row>
    <row r="53">
      <c r="A53" t="inlineStr">
        <is>
          <t>14921621</t>
        </is>
      </c>
      <c r="B53" t="inlineStr">
        <is>
          <t>f5d6d71a-1f03-47ef-ad89-4107c722e7f8</t>
        </is>
      </c>
      <c r="D53" t="inlineStr">
        <is>
          <t>111111124</t>
        </is>
      </c>
      <c r="E53" t="inlineStr">
        <is>
          <t>Vodacom Life 20260617</t>
        </is>
      </c>
      <c r="G53" t="inlineStr">
        <is>
          <t>KGOBOKO</t>
        </is>
      </c>
      <c r="H53" t="inlineStr">
        <is>
          <t>MAKHAFOLA</t>
        </is>
      </c>
      <c r="J53" t="inlineStr">
        <is>
          <t>CU</t>
        </is>
      </c>
      <c r="K53" t="inlineStr">
        <is>
          <t>Client Hung Up</t>
        </is>
      </c>
      <c r="L53" t="n">
        <v>5</v>
      </c>
      <c r="M53" t="inlineStr">
        <is>
          <t>2026-06-29 14:07:56</t>
        </is>
      </c>
      <c r="N53" t="inlineStr">
        <is>
          <t>bongiwe lushaba</t>
        </is>
      </c>
      <c r="O53" t="inlineStr">
        <is>
          <t>2026-06-17 14:10:06</t>
        </is>
      </c>
      <c r="P53" t="inlineStr">
        <is>
          <t>2026-06-17 14:10:06</t>
        </is>
      </c>
      <c r="Y53" t="inlineStr">
        <is>
          <t>27729815179</t>
        </is>
      </c>
    </row>
    <row r="54">
      <c r="A54" t="inlineStr">
        <is>
          <t>14921316</t>
        </is>
      </c>
      <c r="B54" t="inlineStr">
        <is>
          <t>b39523cd-63b8-4208-b07f-44e6acf9def5</t>
        </is>
      </c>
      <c r="D54" t="inlineStr">
        <is>
          <t>111111124</t>
        </is>
      </c>
      <c r="E54" t="inlineStr">
        <is>
          <t>Vodacom Life 20260617</t>
        </is>
      </c>
      <c r="G54" t="inlineStr">
        <is>
          <t>LETSHABANG</t>
        </is>
      </c>
      <c r="H54" t="inlineStr">
        <is>
          <t>NHLAPO</t>
        </is>
      </c>
      <c r="J54" t="inlineStr">
        <is>
          <t>NIUP</t>
        </is>
      </c>
      <c r="K54" t="inlineStr">
        <is>
          <t>Not Interested Upfront</t>
        </is>
      </c>
      <c r="L54" t="n">
        <v>5</v>
      </c>
      <c r="M54" t="inlineStr">
        <is>
          <t>2026-06-29 14:07:43</t>
        </is>
      </c>
      <c r="N54" t="inlineStr">
        <is>
          <t>Vanessa Kekana</t>
        </is>
      </c>
      <c r="O54" t="inlineStr">
        <is>
          <t>2026-06-17 14:10:06</t>
        </is>
      </c>
      <c r="P54" t="inlineStr">
        <is>
          <t>2026-06-17 14:10:06</t>
        </is>
      </c>
      <c r="Y54" t="inlineStr">
        <is>
          <t>27823480416</t>
        </is>
      </c>
    </row>
    <row r="55">
      <c r="A55" t="inlineStr">
        <is>
          <t>14921317</t>
        </is>
      </c>
      <c r="B55" t="inlineStr">
        <is>
          <t>bd9042da-50b6-40fa-b3e1-aa7ba3dc3abe</t>
        </is>
      </c>
      <c r="D55" t="inlineStr">
        <is>
          <t>111111124</t>
        </is>
      </c>
      <c r="E55" t="inlineStr">
        <is>
          <t>Vodacom Life 20260617</t>
        </is>
      </c>
      <c r="G55" t="inlineStr">
        <is>
          <t>MARIA</t>
        </is>
      </c>
      <c r="H55" t="inlineStr">
        <is>
          <t>THERON</t>
        </is>
      </c>
      <c r="J55" t="inlineStr">
        <is>
          <t>AA</t>
        </is>
      </c>
      <c r="K55" t="inlineStr">
        <is>
          <t>Answering Machine Autodial</t>
        </is>
      </c>
      <c r="L55" t="n">
        <v>5</v>
      </c>
      <c r="M55" t="inlineStr">
        <is>
          <t>2026-06-29 14:07:43</t>
        </is>
      </c>
      <c r="N55" t="inlineStr">
        <is>
          <t>system</t>
        </is>
      </c>
      <c r="O55" t="inlineStr">
        <is>
          <t>2026-06-17 14:10:06</t>
        </is>
      </c>
      <c r="P55" t="inlineStr">
        <is>
          <t>2026-06-17 14:10:06</t>
        </is>
      </c>
      <c r="Y55" t="inlineStr">
        <is>
          <t>27827742719</t>
        </is>
      </c>
    </row>
    <row r="56">
      <c r="A56" t="inlineStr">
        <is>
          <t>14921734</t>
        </is>
      </c>
      <c r="B56" t="inlineStr">
        <is>
          <t>69514553-0ca5-4bdd-b6e8-1615b888e5aa</t>
        </is>
      </c>
      <c r="D56" t="inlineStr">
        <is>
          <t>111111124</t>
        </is>
      </c>
      <c r="E56" t="inlineStr">
        <is>
          <t>Vodacom Life 20260617</t>
        </is>
      </c>
      <c r="G56" t="inlineStr">
        <is>
          <t>JAMILLA</t>
        </is>
      </c>
      <c r="H56" t="inlineStr">
        <is>
          <t>FREDERICKS</t>
        </is>
      </c>
      <c r="J56" t="inlineStr">
        <is>
          <t>AA</t>
        </is>
      </c>
      <c r="K56" t="inlineStr">
        <is>
          <t>Answering Machine Autodial</t>
        </is>
      </c>
      <c r="L56" t="n">
        <v>5</v>
      </c>
      <c r="M56" t="inlineStr">
        <is>
          <t>2026-06-29 14:07:43</t>
        </is>
      </c>
      <c r="N56" t="inlineStr">
        <is>
          <t>system</t>
        </is>
      </c>
      <c r="O56" t="inlineStr">
        <is>
          <t>2026-06-17 14:10:06</t>
        </is>
      </c>
      <c r="P56" t="inlineStr">
        <is>
          <t>2026-06-17 14:10:06</t>
        </is>
      </c>
      <c r="Y56" t="inlineStr">
        <is>
          <t>27824997319</t>
        </is>
      </c>
    </row>
    <row r="57">
      <c r="A57" t="inlineStr">
        <is>
          <t>14921639</t>
        </is>
      </c>
      <c r="B57" t="inlineStr">
        <is>
          <t>24494873-8f42-41f8-90ab-b91bd271abd5</t>
        </is>
      </c>
      <c r="D57" t="inlineStr">
        <is>
          <t>111111124</t>
        </is>
      </c>
      <c r="E57" t="inlineStr">
        <is>
          <t>Vodacom Life 20260617</t>
        </is>
      </c>
      <c r="G57" t="inlineStr">
        <is>
          <t>STHANDIWE</t>
        </is>
      </c>
      <c r="H57" t="inlineStr">
        <is>
          <t>BHENGU</t>
        </is>
      </c>
      <c r="J57" t="inlineStr">
        <is>
          <t>NA</t>
        </is>
      </c>
      <c r="K57" t="inlineStr">
        <is>
          <t>No Answer Autodial</t>
        </is>
      </c>
      <c r="L57" t="n">
        <v>5</v>
      </c>
      <c r="M57" t="inlineStr">
        <is>
          <t>2026-06-29 14:07:40</t>
        </is>
      </c>
      <c r="N57" t="inlineStr">
        <is>
          <t>system</t>
        </is>
      </c>
      <c r="O57" t="inlineStr">
        <is>
          <t>2026-06-17 14:10:06</t>
        </is>
      </c>
      <c r="P57" t="inlineStr">
        <is>
          <t>2026-06-17 14:10:06</t>
        </is>
      </c>
      <c r="Y57" t="inlineStr">
        <is>
          <t>27828213024</t>
        </is>
      </c>
    </row>
    <row r="58">
      <c r="A58" t="inlineStr">
        <is>
          <t>14921377</t>
        </is>
      </c>
      <c r="B58" t="inlineStr">
        <is>
          <t>59c2a8b6-d6dc-451e-96ad-dc924f76dcc3</t>
        </is>
      </c>
      <c r="D58" t="inlineStr">
        <is>
          <t>111111124</t>
        </is>
      </c>
      <c r="E58" t="inlineStr">
        <is>
          <t>Vodacom Life 20260617</t>
        </is>
      </c>
      <c r="G58" t="inlineStr">
        <is>
          <t>ZINZISO</t>
        </is>
      </c>
      <c r="H58" t="inlineStr">
        <is>
          <t>XHALLIE</t>
        </is>
      </c>
      <c r="J58" t="inlineStr">
        <is>
          <t>AA</t>
        </is>
      </c>
      <c r="K58" t="inlineStr">
        <is>
          <t>Answering Machine Autodial</t>
        </is>
      </c>
      <c r="L58" t="n">
        <v>5</v>
      </c>
      <c r="M58" t="inlineStr">
        <is>
          <t>2026-06-29 14:07:36</t>
        </is>
      </c>
      <c r="N58" t="inlineStr">
        <is>
          <t>system</t>
        </is>
      </c>
      <c r="O58" t="inlineStr">
        <is>
          <t>2026-06-17 14:10:06</t>
        </is>
      </c>
      <c r="P58" t="inlineStr">
        <is>
          <t>2026-06-17 14:10:06</t>
        </is>
      </c>
      <c r="Y58" t="inlineStr">
        <is>
          <t>27662963724</t>
        </is>
      </c>
    </row>
    <row r="59">
      <c r="A59" t="inlineStr">
        <is>
          <t>14921378</t>
        </is>
      </c>
      <c r="B59" t="inlineStr">
        <is>
          <t>510fefd0-8dba-4d07-b087-190b868e9e2b</t>
        </is>
      </c>
      <c r="D59" t="inlineStr">
        <is>
          <t>111111124</t>
        </is>
      </c>
      <c r="E59" t="inlineStr">
        <is>
          <t>Vodacom Life 20260617</t>
        </is>
      </c>
      <c r="G59" t="inlineStr">
        <is>
          <t>JOHANNES</t>
        </is>
      </c>
      <c r="H59" t="inlineStr">
        <is>
          <t>BEZUIDENHOUT</t>
        </is>
      </c>
      <c r="J59" t="inlineStr">
        <is>
          <t>AE</t>
        </is>
      </c>
      <c r="K59" t="inlineStr">
        <is>
          <t>Auto Engaged</t>
        </is>
      </c>
      <c r="L59" t="n">
        <v>5</v>
      </c>
      <c r="M59" t="inlineStr">
        <is>
          <t>2026-06-29 14:07:36</t>
        </is>
      </c>
      <c r="N59" t="inlineStr">
        <is>
          <t>system</t>
        </is>
      </c>
      <c r="O59" t="inlineStr">
        <is>
          <t>2026-06-17 14:10:06</t>
        </is>
      </c>
      <c r="P59" t="inlineStr">
        <is>
          <t>2026-06-17 14:10:06</t>
        </is>
      </c>
      <c r="Y59" t="inlineStr">
        <is>
          <t>27799207102</t>
        </is>
      </c>
    </row>
    <row r="60">
      <c r="A60" t="inlineStr">
        <is>
          <t>14921379</t>
        </is>
      </c>
      <c r="B60" t="inlineStr">
        <is>
          <t>71b9133f-08f6-444c-aa3c-bf108f9cd01e</t>
        </is>
      </c>
      <c r="D60" t="inlineStr">
        <is>
          <t>111111124</t>
        </is>
      </c>
      <c r="E60" t="inlineStr">
        <is>
          <t>Vodacom Life 20260617</t>
        </is>
      </c>
      <c r="G60" t="inlineStr">
        <is>
          <t>DIMPHO</t>
        </is>
      </c>
      <c r="H60" t="inlineStr">
        <is>
          <t>PUTU</t>
        </is>
      </c>
      <c r="J60" t="inlineStr">
        <is>
          <t>AE</t>
        </is>
      </c>
      <c r="K60" t="inlineStr">
        <is>
          <t>Auto Engaged</t>
        </is>
      </c>
      <c r="L60" t="n">
        <v>5</v>
      </c>
      <c r="M60" t="inlineStr">
        <is>
          <t>2026-06-29 14:07:36</t>
        </is>
      </c>
      <c r="N60" t="inlineStr">
        <is>
          <t>system</t>
        </is>
      </c>
      <c r="O60" t="inlineStr">
        <is>
          <t>2026-06-17 14:10:06</t>
        </is>
      </c>
      <c r="P60" t="inlineStr">
        <is>
          <t>2026-06-17 14:10:06</t>
        </is>
      </c>
      <c r="Y60" t="inlineStr">
        <is>
          <t>27647397880</t>
        </is>
      </c>
    </row>
    <row r="61">
      <c r="A61" t="inlineStr">
        <is>
          <t>14921759</t>
        </is>
      </c>
      <c r="B61" t="inlineStr">
        <is>
          <t>ac63b4c3-4be4-4631-aae5-040852d938cd</t>
        </is>
      </c>
      <c r="D61" t="inlineStr">
        <is>
          <t>111111124</t>
        </is>
      </c>
      <c r="E61" t="inlineStr">
        <is>
          <t>Vodacom Life 20260617</t>
        </is>
      </c>
      <c r="G61" t="inlineStr">
        <is>
          <t>SHANE</t>
        </is>
      </c>
      <c r="H61" t="inlineStr">
        <is>
          <t>JACOBS</t>
        </is>
      </c>
      <c r="J61" t="inlineStr">
        <is>
          <t>AA</t>
        </is>
      </c>
      <c r="K61" t="inlineStr">
        <is>
          <t>Answering Machine Autodial</t>
        </is>
      </c>
      <c r="L61" t="n">
        <v>5</v>
      </c>
      <c r="M61" t="inlineStr">
        <is>
          <t>2026-06-29 14:07:36</t>
        </is>
      </c>
      <c r="N61" t="inlineStr">
        <is>
          <t>system</t>
        </is>
      </c>
      <c r="O61" t="inlineStr">
        <is>
          <t>2026-06-17 14:10:06</t>
        </is>
      </c>
      <c r="P61" t="inlineStr">
        <is>
          <t>2026-06-17 14:10:06</t>
        </is>
      </c>
      <c r="Y61" t="inlineStr">
        <is>
          <t>27799430345</t>
        </is>
      </c>
    </row>
    <row r="62">
      <c r="A62" t="inlineStr">
        <is>
          <t>14921562</t>
        </is>
      </c>
      <c r="B62" t="inlineStr">
        <is>
          <t>f2766bca-fc21-48ea-ab21-5fd3e75f9896</t>
        </is>
      </c>
      <c r="D62" t="inlineStr">
        <is>
          <t>111111124</t>
        </is>
      </c>
      <c r="E62" t="inlineStr">
        <is>
          <t>Vodacom Life 20260617</t>
        </is>
      </c>
      <c r="G62" t="inlineStr">
        <is>
          <t>GERRIT</t>
        </is>
      </c>
      <c r="H62" t="inlineStr">
        <is>
          <t>BEZUIDENHOUT</t>
        </is>
      </c>
      <c r="J62" t="inlineStr">
        <is>
          <t>NI</t>
        </is>
      </c>
      <c r="K62" t="inlineStr">
        <is>
          <t>Not Interested</t>
        </is>
      </c>
      <c r="L62" t="n">
        <v>5</v>
      </c>
      <c r="M62" t="inlineStr">
        <is>
          <t>2026-06-29 14:07:25</t>
        </is>
      </c>
      <c r="N62" t="inlineStr">
        <is>
          <t>Khensane Mabasa</t>
        </is>
      </c>
      <c r="O62" t="inlineStr">
        <is>
          <t>2026-06-17 14:10:06</t>
        </is>
      </c>
      <c r="P62" t="inlineStr">
        <is>
          <t>2026-06-17 14:10:06</t>
        </is>
      </c>
      <c r="Y62" t="inlineStr">
        <is>
          <t>27798973589</t>
        </is>
      </c>
    </row>
    <row r="63">
      <c r="A63" t="inlineStr">
        <is>
          <t>14921552</t>
        </is>
      </c>
      <c r="B63" t="inlineStr">
        <is>
          <t>487ca393-5acf-4742-a61f-443166572839</t>
        </is>
      </c>
      <c r="D63" t="inlineStr">
        <is>
          <t>111111124</t>
        </is>
      </c>
      <c r="E63" t="inlineStr">
        <is>
          <t>Vodacom Life 20260617</t>
        </is>
      </c>
      <c r="G63" t="inlineStr">
        <is>
          <t>PETRUS</t>
        </is>
      </c>
      <c r="H63" t="inlineStr">
        <is>
          <t>BEUKES</t>
        </is>
      </c>
      <c r="J63" t="inlineStr">
        <is>
          <t>CU</t>
        </is>
      </c>
      <c r="K63" t="inlineStr">
        <is>
          <t>Client Hung Up</t>
        </is>
      </c>
      <c r="L63" t="n">
        <v>5</v>
      </c>
      <c r="M63" t="inlineStr">
        <is>
          <t>2026-06-29 14:07:14</t>
        </is>
      </c>
      <c r="N63" t="inlineStr">
        <is>
          <t>Maureen Ntsoko</t>
        </is>
      </c>
      <c r="O63" t="inlineStr">
        <is>
          <t>2026-06-17 14:10:06</t>
        </is>
      </c>
      <c r="P63" t="inlineStr">
        <is>
          <t>2026-06-17 14:10:06</t>
        </is>
      </c>
      <c r="Y63" t="inlineStr">
        <is>
          <t>27615363526</t>
        </is>
      </c>
    </row>
    <row r="64">
      <c r="A64" t="inlineStr">
        <is>
          <t>14921513</t>
        </is>
      </c>
      <c r="B64" t="inlineStr">
        <is>
          <t>aa8fb835-27c4-4adc-8618-ec9889cb5036</t>
        </is>
      </c>
      <c r="D64" t="inlineStr">
        <is>
          <t>111111124</t>
        </is>
      </c>
      <c r="E64" t="inlineStr">
        <is>
          <t>Vodacom Life 20260617</t>
        </is>
      </c>
      <c r="G64" t="inlineStr">
        <is>
          <t>WILMARI</t>
        </is>
      </c>
      <c r="H64" t="inlineStr">
        <is>
          <t>STORM</t>
        </is>
      </c>
      <c r="J64" t="inlineStr">
        <is>
          <t>DROP</t>
        </is>
      </c>
      <c r="K64" t="inlineStr">
        <is>
          <t>Dropped</t>
        </is>
      </c>
      <c r="L64" t="n">
        <v>5</v>
      </c>
      <c r="M64" t="inlineStr">
        <is>
          <t>2026-06-29 14:07:14</t>
        </is>
      </c>
      <c r="N64" t="inlineStr">
        <is>
          <t>system</t>
        </is>
      </c>
      <c r="O64" t="inlineStr">
        <is>
          <t>2026-06-17 14:10:06</t>
        </is>
      </c>
      <c r="P64" t="inlineStr">
        <is>
          <t>2026-06-17 14:10:06</t>
        </is>
      </c>
      <c r="Y64" t="inlineStr">
        <is>
          <t>27662001928</t>
        </is>
      </c>
    </row>
    <row r="65">
      <c r="A65" t="inlineStr">
        <is>
          <t>14921380</t>
        </is>
      </c>
      <c r="B65" t="inlineStr">
        <is>
          <t>ef452150-a50f-4e04-9ce4-a775bb5d4df3</t>
        </is>
      </c>
      <c r="D65" t="inlineStr">
        <is>
          <t>111111124</t>
        </is>
      </c>
      <c r="E65" t="inlineStr">
        <is>
          <t>Vodacom Life 20260617</t>
        </is>
      </c>
      <c r="G65" t="inlineStr">
        <is>
          <t>VANESSA</t>
        </is>
      </c>
      <c r="H65" t="inlineStr">
        <is>
          <t>KHANYA</t>
        </is>
      </c>
      <c r="J65" t="inlineStr">
        <is>
          <t>AE</t>
        </is>
      </c>
      <c r="K65" t="inlineStr">
        <is>
          <t>Auto Engaged</t>
        </is>
      </c>
      <c r="L65" t="n">
        <v>5</v>
      </c>
      <c r="M65" t="inlineStr">
        <is>
          <t>2026-06-29 14:06:57</t>
        </is>
      </c>
      <c r="N65" t="inlineStr">
        <is>
          <t>system</t>
        </is>
      </c>
      <c r="O65" t="inlineStr">
        <is>
          <t>2026-06-17 14:10:06</t>
        </is>
      </c>
      <c r="P65" t="inlineStr">
        <is>
          <t>2026-06-17 14:10:06</t>
        </is>
      </c>
      <c r="Y65" t="inlineStr">
        <is>
          <t>27725355161</t>
        </is>
      </c>
    </row>
    <row r="66">
      <c r="A66" t="inlineStr">
        <is>
          <t>14921382</t>
        </is>
      </c>
      <c r="B66" t="inlineStr">
        <is>
          <t>36ff0a74-1c39-4235-af02-10ccbc399201</t>
        </is>
      </c>
      <c r="D66" t="inlineStr">
        <is>
          <t>111111124</t>
        </is>
      </c>
      <c r="E66" t="inlineStr">
        <is>
          <t>Vodacom Life 20260617</t>
        </is>
      </c>
      <c r="G66" t="inlineStr">
        <is>
          <t>SUMARIA</t>
        </is>
      </c>
      <c r="H66" t="inlineStr">
        <is>
          <t>DE JAGER</t>
        </is>
      </c>
      <c r="J66" t="inlineStr">
        <is>
          <t>DROP</t>
        </is>
      </c>
      <c r="K66" t="inlineStr">
        <is>
          <t>Dropped</t>
        </is>
      </c>
      <c r="L66" t="n">
        <v>5</v>
      </c>
      <c r="M66" t="inlineStr">
        <is>
          <t>2026-06-29 14:06:57</t>
        </is>
      </c>
      <c r="N66" t="inlineStr">
        <is>
          <t>system</t>
        </is>
      </c>
      <c r="O66" t="inlineStr">
        <is>
          <t>2026-06-17 14:10:06</t>
        </is>
      </c>
      <c r="P66" t="inlineStr">
        <is>
          <t>2026-06-17 14:10:06</t>
        </is>
      </c>
      <c r="Y66" t="inlineStr">
        <is>
          <t>27828184541</t>
        </is>
      </c>
    </row>
    <row r="67">
      <c r="A67" t="inlineStr">
        <is>
          <t>14921409</t>
        </is>
      </c>
      <c r="B67" t="inlineStr">
        <is>
          <t>91d0e579-359a-4b9d-98e5-b5ad2a3cc1d3</t>
        </is>
      </c>
      <c r="D67" t="inlineStr">
        <is>
          <t>111111124</t>
        </is>
      </c>
      <c r="E67" t="inlineStr">
        <is>
          <t>Vodacom Life 20260617</t>
        </is>
      </c>
      <c r="G67" t="inlineStr">
        <is>
          <t>NONTSIKELELO</t>
        </is>
      </c>
      <c r="H67" t="inlineStr">
        <is>
          <t>JONGA</t>
        </is>
      </c>
      <c r="J67" t="inlineStr">
        <is>
          <t>AA</t>
        </is>
      </c>
      <c r="K67" t="inlineStr">
        <is>
          <t>Answering Machine Autodial</t>
        </is>
      </c>
      <c r="L67" t="n">
        <v>5</v>
      </c>
      <c r="M67" t="inlineStr">
        <is>
          <t>2026-06-29 14:06:57</t>
        </is>
      </c>
      <c r="N67" t="inlineStr">
        <is>
          <t>system</t>
        </is>
      </c>
      <c r="O67" t="inlineStr">
        <is>
          <t>2026-06-17 14:10:06</t>
        </is>
      </c>
      <c r="P67" t="inlineStr">
        <is>
          <t>2026-06-17 14:10:06</t>
        </is>
      </c>
      <c r="Y67" t="inlineStr">
        <is>
          <t>27662319150</t>
        </is>
      </c>
    </row>
    <row r="68">
      <c r="A68" t="inlineStr">
        <is>
          <t>14921411</t>
        </is>
      </c>
      <c r="B68" t="inlineStr">
        <is>
          <t>a64de34e-593b-4105-a823-683c43e878ef</t>
        </is>
      </c>
      <c r="D68" t="inlineStr">
        <is>
          <t>111111124</t>
        </is>
      </c>
      <c r="E68" t="inlineStr">
        <is>
          <t>Vodacom Life 20260617</t>
        </is>
      </c>
      <c r="G68" t="inlineStr">
        <is>
          <t>PATRICK</t>
        </is>
      </c>
      <c r="H68" t="inlineStr">
        <is>
          <t>PEGA</t>
        </is>
      </c>
      <c r="J68" t="inlineStr">
        <is>
          <t>AE</t>
        </is>
      </c>
      <c r="K68" t="inlineStr">
        <is>
          <t>Auto Engaged</t>
        </is>
      </c>
      <c r="L68" t="n">
        <v>5</v>
      </c>
      <c r="M68" t="inlineStr">
        <is>
          <t>2026-06-29 14:06:53</t>
        </is>
      </c>
      <c r="N68" t="inlineStr">
        <is>
          <t>system</t>
        </is>
      </c>
      <c r="O68" t="inlineStr">
        <is>
          <t>2026-06-17 14:10:06</t>
        </is>
      </c>
      <c r="P68" t="inlineStr">
        <is>
          <t>2026-06-17 14:10:06</t>
        </is>
      </c>
      <c r="Y68" t="inlineStr">
        <is>
          <t>27673993154</t>
        </is>
      </c>
    </row>
    <row r="69">
      <c r="A69" t="inlineStr">
        <is>
          <t>14921705</t>
        </is>
      </c>
      <c r="B69" t="inlineStr">
        <is>
          <t>a0c4b6f0-8bc5-47b7-88cb-3205d44aa86d</t>
        </is>
      </c>
      <c r="D69" t="inlineStr">
        <is>
          <t>111111124</t>
        </is>
      </c>
      <c r="E69" t="inlineStr">
        <is>
          <t>Vodacom Life 20260617</t>
        </is>
      </c>
      <c r="G69" t="inlineStr">
        <is>
          <t>FULUFHELO</t>
        </is>
      </c>
      <c r="H69" t="inlineStr">
        <is>
          <t>MATOVHEKE</t>
        </is>
      </c>
      <c r="J69" t="inlineStr">
        <is>
          <t>AE</t>
        </is>
      </c>
      <c r="K69" t="inlineStr">
        <is>
          <t>Auto Engaged</t>
        </is>
      </c>
      <c r="L69" t="n">
        <v>5</v>
      </c>
      <c r="M69" t="inlineStr">
        <is>
          <t>2026-06-29 14:06:34</t>
        </is>
      </c>
      <c r="N69" t="inlineStr">
        <is>
          <t>system</t>
        </is>
      </c>
      <c r="O69" t="inlineStr">
        <is>
          <t>2026-06-17 14:10:06</t>
        </is>
      </c>
      <c r="P69" t="inlineStr">
        <is>
          <t>2026-06-17 14:10:06</t>
        </is>
      </c>
      <c r="Y69" t="inlineStr">
        <is>
          <t>27824895925</t>
        </is>
      </c>
    </row>
    <row r="70">
      <c r="A70" t="inlineStr">
        <is>
          <t>14921708</t>
        </is>
      </c>
      <c r="B70" t="inlineStr">
        <is>
          <t>256eae3a-8a41-4874-b86c-5bf2d937c8e1</t>
        </is>
      </c>
      <c r="D70" t="inlineStr">
        <is>
          <t>111111124</t>
        </is>
      </c>
      <c r="E70" t="inlineStr">
        <is>
          <t>Vodacom Life 20260617</t>
        </is>
      </c>
      <c r="G70" t="inlineStr">
        <is>
          <t>NTSHEBO</t>
        </is>
      </c>
      <c r="H70" t="inlineStr">
        <is>
          <t>CHOPO</t>
        </is>
      </c>
      <c r="J70" t="inlineStr">
        <is>
          <t>AE</t>
        </is>
      </c>
      <c r="K70" t="inlineStr">
        <is>
          <t>Auto Engaged</t>
        </is>
      </c>
      <c r="L70" t="n">
        <v>5</v>
      </c>
      <c r="M70" t="inlineStr">
        <is>
          <t>2026-06-29 14:06:33</t>
        </is>
      </c>
      <c r="N70" t="inlineStr">
        <is>
          <t>system</t>
        </is>
      </c>
      <c r="O70" t="inlineStr">
        <is>
          <t>2026-06-17 14:10:06</t>
        </is>
      </c>
      <c r="P70" t="inlineStr">
        <is>
          <t>2026-06-17 14:10:06</t>
        </is>
      </c>
      <c r="Y70" t="inlineStr">
        <is>
          <t>27828124002</t>
        </is>
      </c>
    </row>
    <row r="71">
      <c r="A71" t="inlineStr">
        <is>
          <t>14921711</t>
        </is>
      </c>
      <c r="B71" t="inlineStr">
        <is>
          <t>5d959d6e-44e9-4727-82be-854873b756d2</t>
        </is>
      </c>
      <c r="D71" t="inlineStr">
        <is>
          <t>111111124</t>
        </is>
      </c>
      <c r="E71" t="inlineStr">
        <is>
          <t>Vodacom Life 20260617</t>
        </is>
      </c>
      <c r="G71" t="inlineStr">
        <is>
          <t>THABISO</t>
        </is>
      </c>
      <c r="H71" t="inlineStr">
        <is>
          <t>CHILOANE</t>
        </is>
      </c>
      <c r="J71" t="inlineStr">
        <is>
          <t>AE</t>
        </is>
      </c>
      <c r="K71" t="inlineStr">
        <is>
          <t>Auto Engaged</t>
        </is>
      </c>
      <c r="L71" t="n">
        <v>5</v>
      </c>
      <c r="M71" t="inlineStr">
        <is>
          <t>2026-06-29 14:06:31</t>
        </is>
      </c>
      <c r="N71" t="inlineStr">
        <is>
          <t>system</t>
        </is>
      </c>
      <c r="O71" t="inlineStr">
        <is>
          <t>2026-06-17 14:10:06</t>
        </is>
      </c>
      <c r="P71" t="inlineStr">
        <is>
          <t>2026-06-17 14:10:06</t>
        </is>
      </c>
      <c r="Y71" t="inlineStr">
        <is>
          <t>27828120076</t>
        </is>
      </c>
    </row>
    <row r="72">
      <c r="A72" t="inlineStr">
        <is>
          <t>14921082</t>
        </is>
      </c>
      <c r="B72" t="inlineStr">
        <is>
          <t>67472a98-3204-4b77-8f66-adc4bbb7b3b9</t>
        </is>
      </c>
      <c r="D72" t="inlineStr">
        <is>
          <t>111111124</t>
        </is>
      </c>
      <c r="E72" t="inlineStr">
        <is>
          <t>Vodacom Life 20260617</t>
        </is>
      </c>
      <c r="G72" t="inlineStr">
        <is>
          <t>MAKUBALO</t>
        </is>
      </c>
      <c r="H72" t="inlineStr">
        <is>
          <t>ZIYANDA</t>
        </is>
      </c>
      <c r="J72" t="inlineStr">
        <is>
          <t>A</t>
        </is>
      </c>
      <c r="K72" t="inlineStr">
        <is>
          <t>Answering Machine</t>
        </is>
      </c>
      <c r="L72" t="n">
        <v>6</v>
      </c>
      <c r="M72" t="inlineStr">
        <is>
          <t>2026-06-29 14:06:27</t>
        </is>
      </c>
      <c r="N72" t="inlineStr">
        <is>
          <t>Khensane Mabasa</t>
        </is>
      </c>
      <c r="O72" t="inlineStr">
        <is>
          <t>2026-06-17 14:10:06</t>
        </is>
      </c>
      <c r="P72" t="inlineStr">
        <is>
          <t>2026-06-17 14:10:06</t>
        </is>
      </c>
      <c r="Y72" t="inlineStr">
        <is>
          <t>27727972075</t>
        </is>
      </c>
    </row>
    <row r="73">
      <c r="A73" t="inlineStr">
        <is>
          <t>14921719</t>
        </is>
      </c>
      <c r="B73" t="inlineStr">
        <is>
          <t>76cc78ca-7962-476d-9a5f-2f699234db5f</t>
        </is>
      </c>
      <c r="D73" t="inlineStr">
        <is>
          <t>111111124</t>
        </is>
      </c>
      <c r="E73" t="inlineStr">
        <is>
          <t>Vodacom Life 20260617</t>
        </is>
      </c>
      <c r="G73" t="inlineStr">
        <is>
          <t>THABISO</t>
        </is>
      </c>
      <c r="H73" t="inlineStr">
        <is>
          <t>RABOTHATA</t>
        </is>
      </c>
      <c r="J73" t="inlineStr">
        <is>
          <t>AE</t>
        </is>
      </c>
      <c r="K73" t="inlineStr">
        <is>
          <t>Auto Engaged</t>
        </is>
      </c>
      <c r="L73" t="n">
        <v>5</v>
      </c>
      <c r="M73" t="inlineStr">
        <is>
          <t>2026-06-29 14:06:26</t>
        </is>
      </c>
      <c r="N73" t="inlineStr">
        <is>
          <t>system</t>
        </is>
      </c>
      <c r="O73" t="inlineStr">
        <is>
          <t>2026-06-17 14:10:06</t>
        </is>
      </c>
      <c r="P73" t="inlineStr">
        <is>
          <t>2026-06-17 14:10:06</t>
        </is>
      </c>
      <c r="Y73" t="inlineStr">
        <is>
          <t>27799953170</t>
        </is>
      </c>
    </row>
    <row r="74">
      <c r="A74" t="inlineStr">
        <is>
          <t>14921716</t>
        </is>
      </c>
      <c r="B74" t="inlineStr">
        <is>
          <t>c2c4153f-2657-41fd-b4df-1fa0cfd2e794</t>
        </is>
      </c>
      <c r="D74" t="inlineStr">
        <is>
          <t>111111124</t>
        </is>
      </c>
      <c r="E74" t="inlineStr">
        <is>
          <t>Vodacom Life 20260617</t>
        </is>
      </c>
      <c r="G74" t="inlineStr">
        <is>
          <t>THEKENI</t>
        </is>
      </c>
      <c r="H74" t="inlineStr">
        <is>
          <t>NKOSI</t>
        </is>
      </c>
      <c r="J74" t="inlineStr">
        <is>
          <t>AA</t>
        </is>
      </c>
      <c r="K74" t="inlineStr">
        <is>
          <t>Answering Machine Autodial</t>
        </is>
      </c>
      <c r="L74" t="n">
        <v>5</v>
      </c>
      <c r="M74" t="inlineStr">
        <is>
          <t>2026-06-29 14:06:26</t>
        </is>
      </c>
      <c r="N74" t="inlineStr">
        <is>
          <t>system</t>
        </is>
      </c>
      <c r="O74" t="inlineStr">
        <is>
          <t>2026-06-17 14:10:06</t>
        </is>
      </c>
      <c r="P74" t="inlineStr">
        <is>
          <t>2026-06-17 14:10:06</t>
        </is>
      </c>
      <c r="Y74" t="inlineStr">
        <is>
          <t>27662978370</t>
        </is>
      </c>
    </row>
    <row r="75">
      <c r="A75" t="inlineStr">
        <is>
          <t>14921222</t>
        </is>
      </c>
      <c r="B75" t="inlineStr">
        <is>
          <t>592495a3-25f8-4493-a43c-bb67bde2bb23</t>
        </is>
      </c>
      <c r="D75" t="inlineStr">
        <is>
          <t>111111124</t>
        </is>
      </c>
      <c r="E75" t="inlineStr">
        <is>
          <t>Vodacom Life 20260617</t>
        </is>
      </c>
      <c r="G75" t="inlineStr">
        <is>
          <t>DIMPHO</t>
        </is>
      </c>
      <c r="H75" t="inlineStr">
        <is>
          <t>RAMMALA</t>
        </is>
      </c>
      <c r="J75" t="inlineStr">
        <is>
          <t>CBACK</t>
        </is>
      </c>
      <c r="K75" t="inlineStr">
        <is>
          <t>Callback</t>
        </is>
      </c>
      <c r="L75" t="n">
        <v>5</v>
      </c>
      <c r="M75" t="inlineStr">
        <is>
          <t>2026-06-29 14:05:40</t>
        </is>
      </c>
      <c r="N75" t="inlineStr">
        <is>
          <t>Khensane Mabasa</t>
        </is>
      </c>
      <c r="O75" t="inlineStr">
        <is>
          <t>2026-06-17 14:10:06</t>
        </is>
      </c>
      <c r="P75" t="inlineStr">
        <is>
          <t>2026-06-17 14:10:06</t>
        </is>
      </c>
      <c r="Y75" t="inlineStr">
        <is>
          <t>27636013104</t>
        </is>
      </c>
    </row>
    <row r="76">
      <c r="A76" t="inlineStr">
        <is>
          <t>14920698</t>
        </is>
      </c>
      <c r="B76" t="inlineStr">
        <is>
          <t>2baf4e08-5b94-42bb-80c2-5e1c77eab940</t>
        </is>
      </c>
      <c r="D76" t="inlineStr">
        <is>
          <t>111111124</t>
        </is>
      </c>
      <c r="E76" t="inlineStr">
        <is>
          <t>Vodacom Life 20260617</t>
        </is>
      </c>
      <c r="G76" t="inlineStr">
        <is>
          <t>GAONGALLWE</t>
        </is>
      </c>
      <c r="H76" t="inlineStr">
        <is>
          <t>BADISA</t>
        </is>
      </c>
      <c r="J76" t="inlineStr">
        <is>
          <t>AE</t>
        </is>
      </c>
      <c r="K76" t="inlineStr">
        <is>
          <t>Auto Engaged</t>
        </is>
      </c>
      <c r="L76" t="n">
        <v>5</v>
      </c>
      <c r="M76" t="inlineStr">
        <is>
          <t>2026-06-29 14:05:37</t>
        </is>
      </c>
      <c r="N76" t="inlineStr">
        <is>
          <t>system</t>
        </is>
      </c>
      <c r="O76" t="inlineStr">
        <is>
          <t>2026-06-17 14:10:06</t>
        </is>
      </c>
      <c r="P76" t="inlineStr">
        <is>
          <t>2026-06-17 14:10:06</t>
        </is>
      </c>
      <c r="Y76" t="inlineStr">
        <is>
          <t>27647555696</t>
        </is>
      </c>
    </row>
    <row r="77">
      <c r="A77" t="inlineStr">
        <is>
          <t>14920700</t>
        </is>
      </c>
      <c r="B77" t="inlineStr">
        <is>
          <t>3b71ee3a-260d-4d12-9ea6-5b50cba48438</t>
        </is>
      </c>
      <c r="D77" t="inlineStr">
        <is>
          <t>111111124</t>
        </is>
      </c>
      <c r="E77" t="inlineStr">
        <is>
          <t>Vodacom Life 20260617</t>
        </is>
      </c>
      <c r="G77" t="inlineStr">
        <is>
          <t>JUAN</t>
        </is>
      </c>
      <c r="H77" t="inlineStr">
        <is>
          <t>HUGO</t>
        </is>
      </c>
      <c r="J77" t="inlineStr">
        <is>
          <t>AE</t>
        </is>
      </c>
      <c r="K77" t="inlineStr">
        <is>
          <t>Auto Engaged</t>
        </is>
      </c>
      <c r="L77" t="n">
        <v>5</v>
      </c>
      <c r="M77" t="inlineStr">
        <is>
          <t>2026-06-29 14:05:36</t>
        </is>
      </c>
      <c r="N77" t="inlineStr">
        <is>
          <t>system</t>
        </is>
      </c>
      <c r="O77" t="inlineStr">
        <is>
          <t>2026-06-17 14:10:06</t>
        </is>
      </c>
      <c r="P77" t="inlineStr">
        <is>
          <t>2026-06-17 14:10:06</t>
        </is>
      </c>
      <c r="Y77" t="inlineStr">
        <is>
          <t>27664971916</t>
        </is>
      </c>
    </row>
    <row r="78">
      <c r="A78" t="inlineStr">
        <is>
          <t>14920701</t>
        </is>
      </c>
      <c r="B78" t="inlineStr">
        <is>
          <t>824d2dfd-1386-4fe7-ac62-d871b33a62e3</t>
        </is>
      </c>
      <c r="D78" t="inlineStr">
        <is>
          <t>111111124</t>
        </is>
      </c>
      <c r="E78" t="inlineStr">
        <is>
          <t>Vodacom Life 20260617</t>
        </is>
      </c>
      <c r="G78" t="inlineStr">
        <is>
          <t>MAPULA</t>
        </is>
      </c>
      <c r="H78" t="inlineStr">
        <is>
          <t>MAKHUBELE</t>
        </is>
      </c>
      <c r="J78" t="inlineStr">
        <is>
          <t>DROP</t>
        </is>
      </c>
      <c r="K78" t="inlineStr">
        <is>
          <t>Dropped</t>
        </is>
      </c>
      <c r="L78" t="n">
        <v>5</v>
      </c>
      <c r="M78" t="inlineStr">
        <is>
          <t>2026-06-29 14:05:36</t>
        </is>
      </c>
      <c r="N78" t="inlineStr">
        <is>
          <t>system</t>
        </is>
      </c>
      <c r="O78" t="inlineStr">
        <is>
          <t>2026-06-17 14:10:06</t>
        </is>
      </c>
      <c r="P78" t="inlineStr">
        <is>
          <t>2026-06-17 14:10:06</t>
        </is>
      </c>
      <c r="Y78" t="inlineStr">
        <is>
          <t>27662502672</t>
        </is>
      </c>
    </row>
    <row r="79">
      <c r="A79" t="inlineStr">
        <is>
          <t>14920703</t>
        </is>
      </c>
      <c r="B79" t="inlineStr">
        <is>
          <t>6169f95f-857e-47ac-b33c-0cfb8f694702</t>
        </is>
      </c>
      <c r="D79" t="inlineStr">
        <is>
          <t>111111124</t>
        </is>
      </c>
      <c r="E79" t="inlineStr">
        <is>
          <t>Vodacom Life 20260617</t>
        </is>
      </c>
      <c r="G79" t="inlineStr">
        <is>
          <t>BYRON</t>
        </is>
      </c>
      <c r="H79" t="inlineStr">
        <is>
          <t>MORRIS</t>
        </is>
      </c>
      <c r="J79" t="inlineStr">
        <is>
          <t>NI</t>
        </is>
      </c>
      <c r="K79" t="inlineStr">
        <is>
          <t>Not Interested</t>
        </is>
      </c>
      <c r="L79" t="n">
        <v>5</v>
      </c>
      <c r="M79" t="inlineStr">
        <is>
          <t>2026-06-29 14:05:36</t>
        </is>
      </c>
      <c r="N79" t="inlineStr">
        <is>
          <t>Vanessa Kekana</t>
        </is>
      </c>
      <c r="O79" t="inlineStr">
        <is>
          <t>2026-06-17 14:10:06</t>
        </is>
      </c>
      <c r="P79" t="inlineStr">
        <is>
          <t>2026-06-17 14:10:06</t>
        </is>
      </c>
      <c r="Y79" t="inlineStr">
        <is>
          <t>27662353363</t>
        </is>
      </c>
    </row>
    <row r="80">
      <c r="A80" t="inlineStr">
        <is>
          <t>14920705</t>
        </is>
      </c>
      <c r="B80" t="inlineStr">
        <is>
          <t>43878798-49bb-42ab-bc92-f7ffc0b45857</t>
        </is>
      </c>
      <c r="D80" t="inlineStr">
        <is>
          <t>111111124</t>
        </is>
      </c>
      <c r="E80" t="inlineStr">
        <is>
          <t>Vodacom Life 20260617</t>
        </is>
      </c>
      <c r="G80" t="inlineStr">
        <is>
          <t>CHRISTIAAN</t>
        </is>
      </c>
      <c r="H80" t="inlineStr">
        <is>
          <t>STOUMANN</t>
        </is>
      </c>
      <c r="J80" t="inlineStr">
        <is>
          <t>AE</t>
        </is>
      </c>
      <c r="K80" t="inlineStr">
        <is>
          <t>Auto Engaged</t>
        </is>
      </c>
      <c r="L80" t="n">
        <v>5</v>
      </c>
      <c r="M80" t="inlineStr">
        <is>
          <t>2026-06-29 14:05:36</t>
        </is>
      </c>
      <c r="N80" t="inlineStr">
        <is>
          <t>system</t>
        </is>
      </c>
      <c r="O80" t="inlineStr">
        <is>
          <t>2026-06-17 14:10:06</t>
        </is>
      </c>
      <c r="P80" t="inlineStr">
        <is>
          <t>2026-06-17 14:10:06</t>
        </is>
      </c>
      <c r="Y80" t="inlineStr">
        <is>
          <t>27636825881</t>
        </is>
      </c>
    </row>
    <row r="81">
      <c r="A81" t="inlineStr">
        <is>
          <t>14920706</t>
        </is>
      </c>
      <c r="B81" t="inlineStr">
        <is>
          <t>99b0389b-3f74-4d32-906d-e5bad00ee8e4</t>
        </is>
      </c>
      <c r="D81" t="inlineStr">
        <is>
          <t>111111124</t>
        </is>
      </c>
      <c r="E81" t="inlineStr">
        <is>
          <t>Vodacom Life 20260617</t>
        </is>
      </c>
      <c r="G81" t="inlineStr">
        <is>
          <t>MAPULA</t>
        </is>
      </c>
      <c r="H81" t="inlineStr">
        <is>
          <t>KGATLA</t>
        </is>
      </c>
      <c r="J81" t="inlineStr">
        <is>
          <t>AA</t>
        </is>
      </c>
      <c r="K81" t="inlineStr">
        <is>
          <t>Answering Machine Autodial</t>
        </is>
      </c>
      <c r="L81" t="n">
        <v>5</v>
      </c>
      <c r="M81" t="inlineStr">
        <is>
          <t>2026-06-29 14:05:30</t>
        </is>
      </c>
      <c r="N81" t="inlineStr">
        <is>
          <t>system</t>
        </is>
      </c>
      <c r="O81" t="inlineStr">
        <is>
          <t>2026-06-17 14:10:06</t>
        </is>
      </c>
      <c r="P81" t="inlineStr">
        <is>
          <t>2026-06-17 14:10:06</t>
        </is>
      </c>
      <c r="Y81" t="inlineStr">
        <is>
          <t>27824325684</t>
        </is>
      </c>
    </row>
    <row r="82">
      <c r="A82" t="inlineStr">
        <is>
          <t>14920707</t>
        </is>
      </c>
      <c r="B82" t="inlineStr">
        <is>
          <t>4cfe4ac5-f0fd-4613-b468-b0324c54f604</t>
        </is>
      </c>
      <c r="D82" t="inlineStr">
        <is>
          <t>111111124</t>
        </is>
      </c>
      <c r="E82" t="inlineStr">
        <is>
          <t>Vodacom Life 20260617</t>
        </is>
      </c>
      <c r="G82" t="inlineStr">
        <is>
          <t>SAMUEL</t>
        </is>
      </c>
      <c r="H82" t="inlineStr">
        <is>
          <t>MAMPHOLO</t>
        </is>
      </c>
      <c r="J82" t="inlineStr">
        <is>
          <t>ADC</t>
        </is>
      </c>
      <c r="K82" t="inlineStr">
        <is>
          <t>Auto Dial Disconnected</t>
        </is>
      </c>
      <c r="L82" t="n">
        <v>5</v>
      </c>
      <c r="M82" t="inlineStr">
        <is>
          <t>2026-06-29 14:05:27</t>
        </is>
      </c>
      <c r="N82" t="inlineStr">
        <is>
          <t>system</t>
        </is>
      </c>
      <c r="O82" t="inlineStr">
        <is>
          <t>2026-06-17 14:10:06</t>
        </is>
      </c>
      <c r="P82" t="inlineStr">
        <is>
          <t>2026-06-17 14:10:06</t>
        </is>
      </c>
      <c r="Y82" t="inlineStr">
        <is>
          <t>27820930474</t>
        </is>
      </c>
    </row>
    <row r="83">
      <c r="A83" t="inlineStr">
        <is>
          <t>14920709</t>
        </is>
      </c>
      <c r="B83" t="inlineStr">
        <is>
          <t>472232dd-520f-4827-8fc5-6b137d845666</t>
        </is>
      </c>
      <c r="D83" t="inlineStr">
        <is>
          <t>111111124</t>
        </is>
      </c>
      <c r="E83" t="inlineStr">
        <is>
          <t>Vodacom Life 20260617</t>
        </is>
      </c>
      <c r="G83" t="inlineStr">
        <is>
          <t>MAPULA</t>
        </is>
      </c>
      <c r="H83" t="inlineStr">
        <is>
          <t>LAMOLA</t>
        </is>
      </c>
      <c r="J83" t="inlineStr">
        <is>
          <t>NA</t>
        </is>
      </c>
      <c r="K83" t="inlineStr">
        <is>
          <t>No Answer Autodial</t>
        </is>
      </c>
      <c r="L83" t="n">
        <v>5</v>
      </c>
      <c r="M83" t="inlineStr">
        <is>
          <t>2026-06-29 14:05:26</t>
        </is>
      </c>
      <c r="N83" t="inlineStr">
        <is>
          <t>system</t>
        </is>
      </c>
      <c r="O83" t="inlineStr">
        <is>
          <t>2026-06-17 14:10:06</t>
        </is>
      </c>
      <c r="P83" t="inlineStr">
        <is>
          <t>2026-06-17 14:10:06</t>
        </is>
      </c>
      <c r="Y83" t="inlineStr">
        <is>
          <t>27827387993</t>
        </is>
      </c>
    </row>
    <row r="84">
      <c r="A84" t="inlineStr">
        <is>
          <t>14920719</t>
        </is>
      </c>
      <c r="B84" t="inlineStr">
        <is>
          <t>0a388c5b-6208-470a-9f31-eaa13d78f0e0</t>
        </is>
      </c>
      <c r="D84" t="inlineStr">
        <is>
          <t>111111124</t>
        </is>
      </c>
      <c r="E84" t="inlineStr">
        <is>
          <t>Vodacom Life 20260617</t>
        </is>
      </c>
      <c r="G84" t="inlineStr">
        <is>
          <t>SBONELO</t>
        </is>
      </c>
      <c r="H84" t="inlineStr">
        <is>
          <t>MABIZELA</t>
        </is>
      </c>
      <c r="J84" t="inlineStr">
        <is>
          <t>NA</t>
        </is>
      </c>
      <c r="K84" t="inlineStr">
        <is>
          <t>No Answer Autodial</t>
        </is>
      </c>
      <c r="L84" t="n">
        <v>5</v>
      </c>
      <c r="M84" t="inlineStr">
        <is>
          <t>2026-06-29 14:05:26</t>
        </is>
      </c>
      <c r="N84" t="inlineStr">
        <is>
          <t>system</t>
        </is>
      </c>
      <c r="O84" t="inlineStr">
        <is>
          <t>2026-06-17 14:10:06</t>
        </is>
      </c>
      <c r="P84" t="inlineStr">
        <is>
          <t>2026-06-17 14:10:06</t>
        </is>
      </c>
      <c r="Y84" t="inlineStr">
        <is>
          <t>27824270591</t>
        </is>
      </c>
    </row>
    <row r="85">
      <c r="A85" t="inlineStr">
        <is>
          <t>14920720</t>
        </is>
      </c>
      <c r="B85" t="inlineStr">
        <is>
          <t>e1acfe3f-9daa-479d-8393-4992e7a77870</t>
        </is>
      </c>
      <c r="D85" t="inlineStr">
        <is>
          <t>111111124</t>
        </is>
      </c>
      <c r="E85" t="inlineStr">
        <is>
          <t>Vodacom Life 20260617</t>
        </is>
      </c>
      <c r="G85" t="inlineStr">
        <is>
          <t>MD</t>
        </is>
      </c>
      <c r="H85" t="inlineStr">
        <is>
          <t>REID</t>
        </is>
      </c>
      <c r="J85" t="inlineStr">
        <is>
          <t>NA</t>
        </is>
      </c>
      <c r="K85" t="inlineStr">
        <is>
          <t>No Answer Autodial</t>
        </is>
      </c>
      <c r="L85" t="n">
        <v>5</v>
      </c>
      <c r="M85" t="inlineStr">
        <is>
          <t>2026-06-29 14:05:26</t>
        </is>
      </c>
      <c r="N85" t="inlineStr">
        <is>
          <t>system</t>
        </is>
      </c>
      <c r="O85" t="inlineStr">
        <is>
          <t>2026-06-17 14:10:06</t>
        </is>
      </c>
      <c r="P85" t="inlineStr">
        <is>
          <t>2026-06-17 14:10:06</t>
        </is>
      </c>
      <c r="Y85" t="inlineStr">
        <is>
          <t>27828508712</t>
        </is>
      </c>
    </row>
    <row r="86">
      <c r="A86" t="inlineStr">
        <is>
          <t>14920723</t>
        </is>
      </c>
      <c r="B86" t="inlineStr">
        <is>
          <t>99ba32e8-acc6-4f3b-9034-cc920691e6d4</t>
        </is>
      </c>
      <c r="D86" t="inlineStr">
        <is>
          <t>111111124</t>
        </is>
      </c>
      <c r="E86" t="inlineStr">
        <is>
          <t>Vodacom Life 20260617</t>
        </is>
      </c>
      <c r="G86" t="inlineStr">
        <is>
          <t>MAMOROESI</t>
        </is>
      </c>
      <c r="H86" t="inlineStr">
        <is>
          <t>SEEMANE</t>
        </is>
      </c>
      <c r="J86" t="inlineStr">
        <is>
          <t>CU</t>
        </is>
      </c>
      <c r="K86" t="inlineStr">
        <is>
          <t>Client Hung Up</t>
        </is>
      </c>
      <c r="L86" t="n">
        <v>5</v>
      </c>
      <c r="M86" t="inlineStr">
        <is>
          <t>2026-06-29 14:05:24</t>
        </is>
      </c>
      <c r="N86" t="inlineStr">
        <is>
          <t>Maureen Ntsoko</t>
        </is>
      </c>
      <c r="O86" t="inlineStr">
        <is>
          <t>2026-06-17 14:10:06</t>
        </is>
      </c>
      <c r="P86" t="inlineStr">
        <is>
          <t>2026-06-17 14:10:06</t>
        </is>
      </c>
      <c r="Y86" t="inlineStr">
        <is>
          <t>27766742580</t>
        </is>
      </c>
    </row>
    <row r="87">
      <c r="A87" t="inlineStr">
        <is>
          <t>14921623</t>
        </is>
      </c>
      <c r="B87" t="inlineStr">
        <is>
          <t>94fad2ac-5273-4fd3-8156-ad0a9845887c</t>
        </is>
      </c>
      <c r="D87" t="inlineStr">
        <is>
          <t>111111124</t>
        </is>
      </c>
      <c r="E87" t="inlineStr">
        <is>
          <t>Vodacom Life 20260617</t>
        </is>
      </c>
      <c r="G87" t="inlineStr">
        <is>
          <t>SADIKA</t>
        </is>
      </c>
      <c r="H87" t="inlineStr">
        <is>
          <t>EBRAHIM</t>
        </is>
      </c>
      <c r="J87" t="inlineStr">
        <is>
          <t>DROP</t>
        </is>
      </c>
      <c r="K87" t="inlineStr">
        <is>
          <t>Dropped</t>
        </is>
      </c>
      <c r="L87" t="n">
        <v>5</v>
      </c>
      <c r="M87" t="inlineStr">
        <is>
          <t>2026-06-29 14:05:04</t>
        </is>
      </c>
      <c r="N87" t="inlineStr">
        <is>
          <t>system</t>
        </is>
      </c>
      <c r="O87" t="inlineStr">
        <is>
          <t>2026-06-17 14:10:06</t>
        </is>
      </c>
      <c r="P87" t="inlineStr">
        <is>
          <t>2026-06-17 14:10:06</t>
        </is>
      </c>
      <c r="Y87" t="inlineStr">
        <is>
          <t>27723273286</t>
        </is>
      </c>
    </row>
    <row r="88">
      <c r="A88" t="inlineStr">
        <is>
          <t>14921626</t>
        </is>
      </c>
      <c r="B88" t="inlineStr">
        <is>
          <t>8e5e4482-1547-4fca-9910-f6b9f002060e</t>
        </is>
      </c>
      <c r="D88" t="inlineStr">
        <is>
          <t>111111124</t>
        </is>
      </c>
      <c r="E88" t="inlineStr">
        <is>
          <t>Vodacom Life 20260617</t>
        </is>
      </c>
      <c r="G88" t="inlineStr">
        <is>
          <t>ALBERTUS</t>
        </is>
      </c>
      <c r="H88" t="inlineStr">
        <is>
          <t>PRINS</t>
        </is>
      </c>
      <c r="J88" t="inlineStr">
        <is>
          <t>AA</t>
        </is>
      </c>
      <c r="K88" t="inlineStr">
        <is>
          <t>Answering Machine Autodial</t>
        </is>
      </c>
      <c r="L88" t="n">
        <v>5</v>
      </c>
      <c r="M88" t="inlineStr">
        <is>
          <t>2026-06-29 14:05:02</t>
        </is>
      </c>
      <c r="N88" t="inlineStr">
        <is>
          <t>system</t>
        </is>
      </c>
      <c r="O88" t="inlineStr">
        <is>
          <t>2026-06-17 14:10:06</t>
        </is>
      </c>
      <c r="P88" t="inlineStr">
        <is>
          <t>2026-06-17 14:10:06</t>
        </is>
      </c>
      <c r="Y88" t="inlineStr">
        <is>
          <t>27764239833</t>
        </is>
      </c>
    </row>
    <row r="89">
      <c r="A89" t="inlineStr">
        <is>
          <t>14921625</t>
        </is>
      </c>
      <c r="B89" t="inlineStr">
        <is>
          <t>1ec0b5a5-18b9-4588-9e83-0ce0330bb4d7</t>
        </is>
      </c>
      <c r="D89" t="inlineStr">
        <is>
          <t>111111124</t>
        </is>
      </c>
      <c r="E89" t="inlineStr">
        <is>
          <t>Vodacom Life 20260617</t>
        </is>
      </c>
      <c r="G89" t="inlineStr">
        <is>
          <t>PATRICK</t>
        </is>
      </c>
      <c r="H89" t="inlineStr">
        <is>
          <t>MOSTERT</t>
        </is>
      </c>
      <c r="J89" t="inlineStr">
        <is>
          <t>AA</t>
        </is>
      </c>
      <c r="K89" t="inlineStr">
        <is>
          <t>Answering Machine Autodial</t>
        </is>
      </c>
      <c r="L89" t="n">
        <v>5</v>
      </c>
      <c r="M89" t="inlineStr">
        <is>
          <t>2026-06-29 14:05:01</t>
        </is>
      </c>
      <c r="N89" t="inlineStr">
        <is>
          <t>system</t>
        </is>
      </c>
      <c r="O89" t="inlineStr">
        <is>
          <t>2026-06-17 14:10:06</t>
        </is>
      </c>
      <c r="P89" t="inlineStr">
        <is>
          <t>2026-06-17 14:10:06</t>
        </is>
      </c>
      <c r="Y89" t="inlineStr">
        <is>
          <t>27725895441</t>
        </is>
      </c>
    </row>
    <row r="90">
      <c r="A90" t="inlineStr">
        <is>
          <t>14921161</t>
        </is>
      </c>
      <c r="B90" t="inlineStr">
        <is>
          <t>b70d1d46-3016-4573-b13e-9474318e30b0</t>
        </is>
      </c>
      <c r="D90" t="inlineStr">
        <is>
          <t>111111124</t>
        </is>
      </c>
      <c r="E90" t="inlineStr">
        <is>
          <t>Vodacom Life 20260617</t>
        </is>
      </c>
      <c r="G90" t="inlineStr">
        <is>
          <t>OMPHILE</t>
        </is>
      </c>
      <c r="H90" t="inlineStr">
        <is>
          <t>MOLWANTWA</t>
        </is>
      </c>
      <c r="J90" t="inlineStr">
        <is>
          <t>NA</t>
        </is>
      </c>
      <c r="K90" t="inlineStr">
        <is>
          <t>No Answer Autodial</t>
        </is>
      </c>
      <c r="L90" t="n">
        <v>5</v>
      </c>
      <c r="M90" t="inlineStr">
        <is>
          <t>2026-06-29 14:04:57</t>
        </is>
      </c>
      <c r="N90" t="inlineStr">
        <is>
          <t>system</t>
        </is>
      </c>
      <c r="O90" t="inlineStr">
        <is>
          <t>2026-06-17 14:10:06</t>
        </is>
      </c>
      <c r="P90" t="inlineStr">
        <is>
          <t>2026-06-17 14:10:06</t>
        </is>
      </c>
      <c r="Y90" t="inlineStr">
        <is>
          <t>27649058982</t>
        </is>
      </c>
    </row>
    <row r="91">
      <c r="A91" t="inlineStr">
        <is>
          <t>14921162</t>
        </is>
      </c>
      <c r="B91" t="inlineStr">
        <is>
          <t>2d22fcfb-35e6-45f4-a2f6-434583f2ae52</t>
        </is>
      </c>
      <c r="D91" t="inlineStr">
        <is>
          <t>111111124</t>
        </is>
      </c>
      <c r="E91" t="inlineStr">
        <is>
          <t>Vodacom Life 20260617</t>
        </is>
      </c>
      <c r="G91" t="inlineStr">
        <is>
          <t>JAMES</t>
        </is>
      </c>
      <c r="H91" t="inlineStr">
        <is>
          <t>MABALANE</t>
        </is>
      </c>
      <c r="J91" t="inlineStr">
        <is>
          <t>ADC</t>
        </is>
      </c>
      <c r="K91" t="inlineStr">
        <is>
          <t>Auto Dial Disconnected</t>
        </is>
      </c>
      <c r="L91" t="n">
        <v>5</v>
      </c>
      <c r="M91" t="inlineStr">
        <is>
          <t>2026-06-29 14:04:57</t>
        </is>
      </c>
      <c r="N91" t="inlineStr">
        <is>
          <t>system</t>
        </is>
      </c>
      <c r="O91" t="inlineStr">
        <is>
          <t>2026-06-17 14:10:06</t>
        </is>
      </c>
      <c r="P91" t="inlineStr">
        <is>
          <t>2026-06-17 14:10:06</t>
        </is>
      </c>
      <c r="Y91" t="inlineStr">
        <is>
          <t>27793984684</t>
        </is>
      </c>
    </row>
    <row r="92">
      <c r="A92" t="inlineStr">
        <is>
          <t>14921163</t>
        </is>
      </c>
      <c r="B92" t="inlineStr">
        <is>
          <t>b7f9c015-d44c-47b9-95e2-562491e37379</t>
        </is>
      </c>
      <c r="D92" t="inlineStr">
        <is>
          <t>111111124</t>
        </is>
      </c>
      <c r="E92" t="inlineStr">
        <is>
          <t>Vodacom Life 20260617</t>
        </is>
      </c>
      <c r="G92" t="inlineStr">
        <is>
          <t>JAN</t>
        </is>
      </c>
      <c r="H92" t="inlineStr">
        <is>
          <t>ADLAM</t>
        </is>
      </c>
      <c r="J92" t="inlineStr">
        <is>
          <t>AE</t>
        </is>
      </c>
      <c r="K92" t="inlineStr">
        <is>
          <t>Auto Engaged</t>
        </is>
      </c>
      <c r="L92" t="n">
        <v>5</v>
      </c>
      <c r="M92" t="inlineStr">
        <is>
          <t>2026-06-29 14:04:57</t>
        </is>
      </c>
      <c r="N92" t="inlineStr">
        <is>
          <t>system</t>
        </is>
      </c>
      <c r="O92" t="inlineStr">
        <is>
          <t>2026-06-17 14:10:06</t>
        </is>
      </c>
      <c r="P92" t="inlineStr">
        <is>
          <t>2026-06-17 14:10:06</t>
        </is>
      </c>
      <c r="Y92" t="inlineStr">
        <is>
          <t>27799488656</t>
        </is>
      </c>
    </row>
    <row r="93">
      <c r="A93" t="inlineStr">
        <is>
          <t>14921165</t>
        </is>
      </c>
      <c r="B93" t="inlineStr">
        <is>
          <t>e81af6e0-f867-4659-b4a7-1af493bd1ed2</t>
        </is>
      </c>
      <c r="D93" t="inlineStr">
        <is>
          <t>111111124</t>
        </is>
      </c>
      <c r="E93" t="inlineStr">
        <is>
          <t>Vodacom Life 20260617</t>
        </is>
      </c>
      <c r="G93" t="inlineStr">
        <is>
          <t>WERNER</t>
        </is>
      </c>
      <c r="H93" t="inlineStr">
        <is>
          <t>DIENER</t>
        </is>
      </c>
      <c r="J93" t="inlineStr">
        <is>
          <t>NA</t>
        </is>
      </c>
      <c r="K93" t="inlineStr">
        <is>
          <t>No Answer Autodial</t>
        </is>
      </c>
      <c r="L93" t="n">
        <v>5</v>
      </c>
      <c r="M93" t="inlineStr">
        <is>
          <t>2026-06-29 14:04:57</t>
        </is>
      </c>
      <c r="N93" t="inlineStr">
        <is>
          <t>system</t>
        </is>
      </c>
      <c r="O93" t="inlineStr">
        <is>
          <t>2026-06-17 14:10:06</t>
        </is>
      </c>
      <c r="P93" t="inlineStr">
        <is>
          <t>2026-06-17 14:10:06</t>
        </is>
      </c>
      <c r="Y93" t="inlineStr">
        <is>
          <t>27827148889</t>
        </is>
      </c>
    </row>
    <row r="94">
      <c r="A94" t="inlineStr">
        <is>
          <t>14921627</t>
        </is>
      </c>
      <c r="B94" t="inlineStr">
        <is>
          <t>58628e2b-9743-4cd6-bc0b-b451a1d2ab7b</t>
        </is>
      </c>
      <c r="D94" t="inlineStr">
        <is>
          <t>111111124</t>
        </is>
      </c>
      <c r="E94" t="inlineStr">
        <is>
          <t>Vodacom Life 20260617</t>
        </is>
      </c>
      <c r="G94" t="inlineStr">
        <is>
          <t>MARCIA</t>
        </is>
      </c>
      <c r="H94" t="inlineStr">
        <is>
          <t>MAKWANE</t>
        </is>
      </c>
      <c r="J94" t="inlineStr">
        <is>
          <t>AE</t>
        </is>
      </c>
      <c r="K94" t="inlineStr">
        <is>
          <t>Auto Engaged</t>
        </is>
      </c>
      <c r="L94" t="n">
        <v>5</v>
      </c>
      <c r="M94" t="inlineStr">
        <is>
          <t>2026-06-29 14:04:57</t>
        </is>
      </c>
      <c r="N94" t="inlineStr">
        <is>
          <t>system</t>
        </is>
      </c>
      <c r="O94" t="inlineStr">
        <is>
          <t>2026-06-17 14:10:06</t>
        </is>
      </c>
      <c r="P94" t="inlineStr">
        <is>
          <t>2026-06-17 14:10:06</t>
        </is>
      </c>
      <c r="Y94" t="inlineStr">
        <is>
          <t>27714171326</t>
        </is>
      </c>
    </row>
    <row r="95">
      <c r="A95" t="inlineStr">
        <is>
          <t>14921245</t>
        </is>
      </c>
      <c r="B95" t="inlineStr">
        <is>
          <t>db2f8336-71b0-4796-83fa-edf12c277f78</t>
        </is>
      </c>
      <c r="D95" t="inlineStr">
        <is>
          <t>111111124</t>
        </is>
      </c>
      <c r="E95" t="inlineStr">
        <is>
          <t>Vodacom Life 20260617</t>
        </is>
      </c>
      <c r="G95" t="inlineStr">
        <is>
          <t>EMMANUEL</t>
        </is>
      </c>
      <c r="H95" t="inlineStr">
        <is>
          <t>HLONGWANE</t>
        </is>
      </c>
      <c r="J95" t="inlineStr">
        <is>
          <t>AE</t>
        </is>
      </c>
      <c r="K95" t="inlineStr">
        <is>
          <t>Auto Engaged</t>
        </is>
      </c>
      <c r="L95" t="n">
        <v>5</v>
      </c>
      <c r="M95" t="inlineStr">
        <is>
          <t>2026-06-29 14:04:56</t>
        </is>
      </c>
      <c r="N95" t="inlineStr">
        <is>
          <t>system</t>
        </is>
      </c>
      <c r="O95" t="inlineStr">
        <is>
          <t>2026-06-17 14:10:06</t>
        </is>
      </c>
      <c r="P95" t="inlineStr">
        <is>
          <t>2026-06-17 14:10:06</t>
        </is>
      </c>
      <c r="Y95" t="inlineStr">
        <is>
          <t>27760928308</t>
        </is>
      </c>
    </row>
    <row r="96">
      <c r="A96" t="inlineStr">
        <is>
          <t>14900000</t>
        </is>
      </c>
      <c r="B96" t="inlineStr">
        <is>
          <t>0e558727-52be-4a3b-ace7-0344496bbd2c</t>
        </is>
      </c>
      <c r="D96" t="inlineStr">
        <is>
          <t>111111124</t>
        </is>
      </c>
      <c r="E96" t="inlineStr">
        <is>
          <t>Vodacom Life 20260617</t>
        </is>
      </c>
      <c r="G96" t="inlineStr">
        <is>
          <t>CHERRYL</t>
        </is>
      </c>
      <c r="H96" t="inlineStr">
        <is>
          <t>MATOYI</t>
        </is>
      </c>
      <c r="J96" t="inlineStr">
        <is>
          <t>AA</t>
        </is>
      </c>
      <c r="K96" t="inlineStr">
        <is>
          <t>Answering Machine Autodial</t>
        </is>
      </c>
      <c r="L96" t="n">
        <v>5</v>
      </c>
      <c r="M96" t="inlineStr">
        <is>
          <t>2026-06-29 14:04:56</t>
        </is>
      </c>
      <c r="N96" t="inlineStr">
        <is>
          <t>system</t>
        </is>
      </c>
      <c r="O96" t="inlineStr">
        <is>
          <t>2026-06-17 14:10:06</t>
        </is>
      </c>
      <c r="P96" t="inlineStr">
        <is>
          <t>2026-06-17 14:10:06</t>
        </is>
      </c>
      <c r="Y96" t="inlineStr">
        <is>
          <t>27662485861</t>
        </is>
      </c>
    </row>
    <row r="97">
      <c r="A97" t="inlineStr">
        <is>
          <t>14921250</t>
        </is>
      </c>
      <c r="B97" t="inlineStr">
        <is>
          <t>5f20894a-c229-4972-9962-cdf53a68e31c</t>
        </is>
      </c>
      <c r="D97" t="inlineStr">
        <is>
          <t>111111124</t>
        </is>
      </c>
      <c r="E97" t="inlineStr">
        <is>
          <t>Vodacom Life 20260617</t>
        </is>
      </c>
      <c r="G97" t="inlineStr">
        <is>
          <t>BABALO</t>
        </is>
      </c>
      <c r="H97" t="inlineStr">
        <is>
          <t>NGQUNDA</t>
        </is>
      </c>
      <c r="J97" t="inlineStr">
        <is>
          <t>AE</t>
        </is>
      </c>
      <c r="K97" t="inlineStr">
        <is>
          <t>Auto Engaged</t>
        </is>
      </c>
      <c r="L97" t="n">
        <v>5</v>
      </c>
      <c r="M97" t="inlineStr">
        <is>
          <t>2026-06-29 14:04:34</t>
        </is>
      </c>
      <c r="N97" t="inlineStr">
        <is>
          <t>system</t>
        </is>
      </c>
      <c r="O97" t="inlineStr">
        <is>
          <t>2026-06-17 14:10:06</t>
        </is>
      </c>
      <c r="P97" t="inlineStr">
        <is>
          <t>2026-06-17 14:10:06</t>
        </is>
      </c>
      <c r="Y97" t="inlineStr">
        <is>
          <t>27791570304</t>
        </is>
      </c>
    </row>
    <row r="98">
      <c r="A98" t="inlineStr">
        <is>
          <t>14921252</t>
        </is>
      </c>
      <c r="B98" t="inlineStr">
        <is>
          <t>fc8557b1-201e-4f61-a4d9-945f913f6f6e</t>
        </is>
      </c>
      <c r="D98" t="inlineStr">
        <is>
          <t>111111124</t>
        </is>
      </c>
      <c r="E98" t="inlineStr">
        <is>
          <t>Vodacom Life 20260617</t>
        </is>
      </c>
      <c r="G98" t="inlineStr">
        <is>
          <t>SAREL</t>
        </is>
      </c>
      <c r="H98" t="inlineStr">
        <is>
          <t>ESTERHUIZEN</t>
        </is>
      </c>
      <c r="J98" t="inlineStr">
        <is>
          <t>AA</t>
        </is>
      </c>
      <c r="K98" t="inlineStr">
        <is>
          <t>Answering Machine Autodial</t>
        </is>
      </c>
      <c r="L98" t="n">
        <v>5</v>
      </c>
      <c r="M98" t="inlineStr">
        <is>
          <t>2026-06-29 14:04:33</t>
        </is>
      </c>
      <c r="N98" t="inlineStr">
        <is>
          <t>system</t>
        </is>
      </c>
      <c r="O98" t="inlineStr">
        <is>
          <t>2026-06-17 14:10:06</t>
        </is>
      </c>
      <c r="P98" t="inlineStr">
        <is>
          <t>2026-06-17 14:10:06</t>
        </is>
      </c>
      <c r="Y98" t="inlineStr">
        <is>
          <t>27818428877</t>
        </is>
      </c>
    </row>
    <row r="99">
      <c r="A99" t="inlineStr">
        <is>
          <t>14921253</t>
        </is>
      </c>
      <c r="B99" t="inlineStr">
        <is>
          <t>404c268b-0b10-459b-b26c-a41f4a1d9c1f</t>
        </is>
      </c>
      <c r="D99" t="inlineStr">
        <is>
          <t>111111124</t>
        </is>
      </c>
      <c r="E99" t="inlineStr">
        <is>
          <t>Vodacom Life 20260617</t>
        </is>
      </c>
      <c r="G99" t="inlineStr">
        <is>
          <t>BRUHILDA</t>
        </is>
      </c>
      <c r="H99" t="inlineStr">
        <is>
          <t>COETZEE</t>
        </is>
      </c>
      <c r="J99" t="inlineStr">
        <is>
          <t>DROP</t>
        </is>
      </c>
      <c r="K99" t="inlineStr">
        <is>
          <t>Dropped</t>
        </is>
      </c>
      <c r="L99" t="n">
        <v>5</v>
      </c>
      <c r="M99" t="inlineStr">
        <is>
          <t>2026-06-29 14:04:33</t>
        </is>
      </c>
      <c r="N99" t="inlineStr">
        <is>
          <t>system</t>
        </is>
      </c>
      <c r="O99" t="inlineStr">
        <is>
          <t>2026-06-17 14:10:06</t>
        </is>
      </c>
      <c r="P99" t="inlineStr">
        <is>
          <t>2026-06-17 14:10:06</t>
        </is>
      </c>
      <c r="Y99" t="inlineStr">
        <is>
          <t>27818514523</t>
        </is>
      </c>
    </row>
    <row r="100">
      <c r="A100" t="inlineStr">
        <is>
          <t>14921254</t>
        </is>
      </c>
      <c r="B100" t="inlineStr">
        <is>
          <t>0bdf327a-2130-4979-8eb1-f9f669839b41</t>
        </is>
      </c>
      <c r="D100" t="inlineStr">
        <is>
          <t>111111124</t>
        </is>
      </c>
      <c r="E100" t="inlineStr">
        <is>
          <t>Vodacom Life 20260617</t>
        </is>
      </c>
      <c r="G100" t="inlineStr">
        <is>
          <t>JAN</t>
        </is>
      </c>
      <c r="H100" t="inlineStr">
        <is>
          <t>VAN DER MERWE</t>
        </is>
      </c>
      <c r="J100" t="inlineStr">
        <is>
          <t>AE</t>
        </is>
      </c>
      <c r="K100" t="inlineStr">
        <is>
          <t>Auto Engaged</t>
        </is>
      </c>
      <c r="L100" t="n">
        <v>5</v>
      </c>
      <c r="M100" t="inlineStr">
        <is>
          <t>2026-06-29 14:04:30</t>
        </is>
      </c>
      <c r="N100" t="inlineStr">
        <is>
          <t>system</t>
        </is>
      </c>
      <c r="O100" t="inlineStr">
        <is>
          <t>2026-06-17 14:10:06</t>
        </is>
      </c>
      <c r="P100" t="inlineStr">
        <is>
          <t>2026-06-17 14:10:06</t>
        </is>
      </c>
      <c r="Y100" t="inlineStr">
        <is>
          <t>27823821116</t>
        </is>
      </c>
    </row>
    <row r="101">
      <c r="A101" t="inlineStr">
        <is>
          <t>14921629</t>
        </is>
      </c>
      <c r="B101" t="inlineStr">
        <is>
          <t>bd771369-24f9-4226-a14f-babcfaa4cc26</t>
        </is>
      </c>
      <c r="D101" t="inlineStr">
        <is>
          <t>111111124</t>
        </is>
      </c>
      <c r="E101" t="inlineStr">
        <is>
          <t>Vodacom Life 20260617</t>
        </is>
      </c>
      <c r="G101" t="inlineStr">
        <is>
          <t>ANNA</t>
        </is>
      </c>
      <c r="H101" t="inlineStr">
        <is>
          <t>VAN JAARSVELD</t>
        </is>
      </c>
      <c r="J101" t="inlineStr">
        <is>
          <t>CCB</t>
        </is>
      </c>
      <c r="K101" t="inlineStr">
        <is>
          <t>Call Dropped</t>
        </is>
      </c>
      <c r="L101" t="n">
        <v>5</v>
      </c>
      <c r="M101" t="inlineStr">
        <is>
          <t>2026-06-29 14:04:04</t>
        </is>
      </c>
      <c r="N101" t="inlineStr">
        <is>
          <t>Musiiwa Mary Mabirimisa</t>
        </is>
      </c>
      <c r="O101" t="inlineStr">
        <is>
          <t>2026-06-17 14:10:06</t>
        </is>
      </c>
      <c r="P101" t="inlineStr">
        <is>
          <t>2026-06-17 14:10:06</t>
        </is>
      </c>
      <c r="Y101" t="inlineStr">
        <is>
          <t>27609708515</t>
        </is>
      </c>
    </row>
    <row r="102">
      <c r="A102" t="inlineStr">
        <is>
          <t>14921313</t>
        </is>
      </c>
      <c r="B102" t="inlineStr">
        <is>
          <t>f711b8e1-af10-493b-aa2b-5c1ed7de4b8b</t>
        </is>
      </c>
      <c r="D102" t="inlineStr">
        <is>
          <t>111111124</t>
        </is>
      </c>
      <c r="E102" t="inlineStr">
        <is>
          <t>Vodacom Life 20260617</t>
        </is>
      </c>
      <c r="G102" t="inlineStr">
        <is>
          <t>KHOLEKA</t>
        </is>
      </c>
      <c r="H102" t="inlineStr">
        <is>
          <t>DLAMINI</t>
        </is>
      </c>
      <c r="J102" t="inlineStr">
        <is>
          <t>NA</t>
        </is>
      </c>
      <c r="K102" t="inlineStr">
        <is>
          <t>No Answer Autodial</t>
        </is>
      </c>
      <c r="L102" t="n">
        <v>5</v>
      </c>
      <c r="M102" t="inlineStr">
        <is>
          <t>2026-06-29 14:03:31</t>
        </is>
      </c>
      <c r="N102" t="inlineStr">
        <is>
          <t>system</t>
        </is>
      </c>
      <c r="O102" t="inlineStr">
        <is>
          <t>2026-06-17 14:10:06</t>
        </is>
      </c>
      <c r="P102" t="inlineStr">
        <is>
          <t>2026-06-17 14:10:06</t>
        </is>
      </c>
      <c r="Y102" t="inlineStr">
        <is>
          <t>27720824898</t>
        </is>
      </c>
    </row>
    <row r="103">
      <c r="A103" t="inlineStr">
        <is>
          <t>14921311</t>
        </is>
      </c>
      <c r="B103" t="inlineStr">
        <is>
          <t>72bcf854-e715-4902-8a2f-2d4f57bbff73</t>
        </is>
      </c>
      <c r="D103" t="inlineStr">
        <is>
          <t>111111124</t>
        </is>
      </c>
      <c r="E103" t="inlineStr">
        <is>
          <t>Vodacom Life 20260617</t>
        </is>
      </c>
      <c r="G103" t="inlineStr">
        <is>
          <t>ASIPHE</t>
        </is>
      </c>
      <c r="H103" t="inlineStr">
        <is>
          <t>MABONA</t>
        </is>
      </c>
      <c r="J103" t="inlineStr">
        <is>
          <t>AE</t>
        </is>
      </c>
      <c r="K103" t="inlineStr">
        <is>
          <t>Auto Engaged</t>
        </is>
      </c>
      <c r="L103" t="n">
        <v>5</v>
      </c>
      <c r="M103" t="inlineStr">
        <is>
          <t>2026-06-29 14:03:30</t>
        </is>
      </c>
      <c r="N103" t="inlineStr">
        <is>
          <t>system</t>
        </is>
      </c>
      <c r="O103" t="inlineStr">
        <is>
          <t>2026-06-17 14:10:06</t>
        </is>
      </c>
      <c r="P103" t="inlineStr">
        <is>
          <t>2026-06-17 14:10:06</t>
        </is>
      </c>
      <c r="Y103" t="inlineStr">
        <is>
          <t>27662200076</t>
        </is>
      </c>
    </row>
    <row r="104">
      <c r="A104" t="inlineStr">
        <is>
          <t>14921314</t>
        </is>
      </c>
      <c r="B104" t="inlineStr">
        <is>
          <t>9d7c9a63-4ccf-4079-be28-8665663d2d06</t>
        </is>
      </c>
      <c r="D104" t="inlineStr">
        <is>
          <t>111111124</t>
        </is>
      </c>
      <c r="E104" t="inlineStr">
        <is>
          <t>Vodacom Life 20260617</t>
        </is>
      </c>
      <c r="G104" t="inlineStr">
        <is>
          <t>BELINDA</t>
        </is>
      </c>
      <c r="H104" t="inlineStr">
        <is>
          <t>SMIDT</t>
        </is>
      </c>
      <c r="J104" t="inlineStr">
        <is>
          <t>AE</t>
        </is>
      </c>
      <c r="K104" t="inlineStr">
        <is>
          <t>Auto Engaged</t>
        </is>
      </c>
      <c r="L104" t="n">
        <v>5</v>
      </c>
      <c r="M104" t="inlineStr">
        <is>
          <t>2026-06-29 14:03:30</t>
        </is>
      </c>
      <c r="N104" t="inlineStr">
        <is>
          <t>system</t>
        </is>
      </c>
      <c r="O104" t="inlineStr">
        <is>
          <t>2026-06-17 14:10:06</t>
        </is>
      </c>
      <c r="P104" t="inlineStr">
        <is>
          <t>2026-06-17 14:10:06</t>
        </is>
      </c>
      <c r="Y104" t="inlineStr">
        <is>
          <t>27792567826</t>
        </is>
      </c>
    </row>
    <row r="105">
      <c r="A105" t="inlineStr">
        <is>
          <t>14921315</t>
        </is>
      </c>
      <c r="B105" t="inlineStr">
        <is>
          <t>2e9e9e22-2743-4861-b7e0-08265ee9aa46</t>
        </is>
      </c>
      <c r="D105" t="inlineStr">
        <is>
          <t>111111124</t>
        </is>
      </c>
      <c r="E105" t="inlineStr">
        <is>
          <t>Vodacom Life 20260617</t>
        </is>
      </c>
      <c r="G105" t="inlineStr">
        <is>
          <t>LIESEL</t>
        </is>
      </c>
      <c r="H105" t="inlineStr">
        <is>
          <t>KRUGER</t>
        </is>
      </c>
      <c r="J105" t="inlineStr">
        <is>
          <t>AA</t>
        </is>
      </c>
      <c r="K105" t="inlineStr">
        <is>
          <t>Answering Machine Autodial</t>
        </is>
      </c>
      <c r="L105" t="n">
        <v>5</v>
      </c>
      <c r="M105" t="inlineStr">
        <is>
          <t>2026-06-29 14:03:30</t>
        </is>
      </c>
      <c r="N105" t="inlineStr">
        <is>
          <t>system</t>
        </is>
      </c>
      <c r="O105" t="inlineStr">
        <is>
          <t>2026-06-17 14:10:06</t>
        </is>
      </c>
      <c r="P105" t="inlineStr">
        <is>
          <t>2026-06-17 14:10:06</t>
        </is>
      </c>
      <c r="Y105" t="inlineStr">
        <is>
          <t>27720733408</t>
        </is>
      </c>
    </row>
    <row r="106">
      <c r="A106" t="inlineStr">
        <is>
          <t>14920523</t>
        </is>
      </c>
      <c r="B106" t="inlineStr">
        <is>
          <t>825ca054-807e-4326-9bad-6de3957b9498</t>
        </is>
      </c>
      <c r="D106" t="inlineStr">
        <is>
          <t>111111124</t>
        </is>
      </c>
      <c r="E106" t="inlineStr">
        <is>
          <t>Vodacom Life 20260617</t>
        </is>
      </c>
      <c r="G106" t="inlineStr">
        <is>
          <t>NOKUTHULA</t>
        </is>
      </c>
      <c r="H106" t="inlineStr">
        <is>
          <t>SIKOSANA</t>
        </is>
      </c>
      <c r="J106" t="inlineStr">
        <is>
          <t>CBACK</t>
        </is>
      </c>
      <c r="K106" t="inlineStr">
        <is>
          <t>Callback</t>
        </is>
      </c>
      <c r="L106" t="n">
        <v>6</v>
      </c>
      <c r="M106" t="inlineStr">
        <is>
          <t>2026-06-29 14:03:15</t>
        </is>
      </c>
      <c r="N106" t="inlineStr">
        <is>
          <t>Khensane Mabasa</t>
        </is>
      </c>
      <c r="O106" t="inlineStr">
        <is>
          <t>2026-06-17 14:10:06</t>
        </is>
      </c>
      <c r="P106" t="inlineStr">
        <is>
          <t>2026-06-17 14:10:06</t>
        </is>
      </c>
      <c r="Y106" t="inlineStr">
        <is>
          <t>27823552019</t>
        </is>
      </c>
    </row>
    <row r="107">
      <c r="A107" t="inlineStr">
        <is>
          <t>14921412</t>
        </is>
      </c>
      <c r="B107" t="inlineStr">
        <is>
          <t>9fb40493-07f1-44b0-bb9d-e936ce36db80</t>
        </is>
      </c>
      <c r="D107" t="inlineStr">
        <is>
          <t>111111124</t>
        </is>
      </c>
      <c r="E107" t="inlineStr">
        <is>
          <t>Vodacom Life 20260617</t>
        </is>
      </c>
      <c r="G107" t="inlineStr">
        <is>
          <t>MARIOT</t>
        </is>
      </c>
      <c r="H107" t="inlineStr">
        <is>
          <t>MALULEKE</t>
        </is>
      </c>
      <c r="J107" t="inlineStr">
        <is>
          <t>AA</t>
        </is>
      </c>
      <c r="K107" t="inlineStr">
        <is>
          <t>Answering Machine Autodial</t>
        </is>
      </c>
      <c r="L107" t="n">
        <v>5</v>
      </c>
      <c r="M107" t="inlineStr">
        <is>
          <t>2026-06-29 14:03:10</t>
        </is>
      </c>
      <c r="N107" t="inlineStr">
        <is>
          <t>system</t>
        </is>
      </c>
      <c r="O107" t="inlineStr">
        <is>
          <t>2026-06-17 14:10:06</t>
        </is>
      </c>
      <c r="P107" t="inlineStr">
        <is>
          <t>2026-06-17 14:10:06</t>
        </is>
      </c>
      <c r="Y107" t="inlineStr">
        <is>
          <t>27767950048</t>
        </is>
      </c>
    </row>
    <row r="108">
      <c r="A108" t="inlineStr">
        <is>
          <t>14921413</t>
        </is>
      </c>
      <c r="B108" t="inlineStr">
        <is>
          <t>29b107f4-c97d-4abb-a529-b485adbcd797</t>
        </is>
      </c>
      <c r="D108" t="inlineStr">
        <is>
          <t>111111124</t>
        </is>
      </c>
      <c r="E108" t="inlineStr">
        <is>
          <t>Vodacom Life 20260617</t>
        </is>
      </c>
      <c r="G108" t="inlineStr">
        <is>
          <t>BRENDA</t>
        </is>
      </c>
      <c r="H108" t="inlineStr">
        <is>
          <t>JOEMATH</t>
        </is>
      </c>
      <c r="J108" t="inlineStr">
        <is>
          <t>A</t>
        </is>
      </c>
      <c r="K108" t="inlineStr">
        <is>
          <t>Answering Machine</t>
        </is>
      </c>
      <c r="L108" t="n">
        <v>5</v>
      </c>
      <c r="M108" t="inlineStr">
        <is>
          <t>2026-06-29 14:03:10</t>
        </is>
      </c>
      <c r="N108" t="inlineStr">
        <is>
          <t>Musiiwa Mary Mabirimisa</t>
        </is>
      </c>
      <c r="O108" t="inlineStr">
        <is>
          <t>2026-06-17 14:10:06</t>
        </is>
      </c>
      <c r="P108" t="inlineStr">
        <is>
          <t>2026-06-17 14:10:06</t>
        </is>
      </c>
      <c r="Y108" t="inlineStr">
        <is>
          <t>27636775267</t>
        </is>
      </c>
    </row>
    <row r="109">
      <c r="A109" t="inlineStr">
        <is>
          <t>14921720</t>
        </is>
      </c>
      <c r="B109" t="inlineStr">
        <is>
          <t>0fdbc4ed-d524-4922-8494-de6888bf9012</t>
        </is>
      </c>
      <c r="D109" t="inlineStr">
        <is>
          <t>111111124</t>
        </is>
      </c>
      <c r="E109" t="inlineStr">
        <is>
          <t>Vodacom Life 20260617</t>
        </is>
      </c>
      <c r="G109" t="inlineStr">
        <is>
          <t>THOZAMILE</t>
        </is>
      </c>
      <c r="H109" t="inlineStr">
        <is>
          <t>LUPINDO</t>
        </is>
      </c>
      <c r="J109" t="inlineStr">
        <is>
          <t>NA</t>
        </is>
      </c>
      <c r="K109" t="inlineStr">
        <is>
          <t>No Answer Autodial</t>
        </is>
      </c>
      <c r="L109" t="n">
        <v>5</v>
      </c>
      <c r="M109" t="inlineStr">
        <is>
          <t>2026-06-29 14:03:05</t>
        </is>
      </c>
      <c r="N109" t="inlineStr">
        <is>
          <t>system</t>
        </is>
      </c>
      <c r="O109" t="inlineStr">
        <is>
          <t>2026-06-17 14:10:06</t>
        </is>
      </c>
      <c r="P109" t="inlineStr">
        <is>
          <t>2026-06-17 14:10:06</t>
        </is>
      </c>
      <c r="Y109" t="inlineStr">
        <is>
          <t>27797592821</t>
        </is>
      </c>
    </row>
    <row r="110">
      <c r="A110" t="inlineStr">
        <is>
          <t>14921722</t>
        </is>
      </c>
      <c r="B110" t="inlineStr">
        <is>
          <t>c4fd4b21-e22b-47b2-861b-c5d3187b8a04</t>
        </is>
      </c>
      <c r="D110" t="inlineStr">
        <is>
          <t>111111124</t>
        </is>
      </c>
      <c r="E110" t="inlineStr">
        <is>
          <t>Vodacom Life 20260617</t>
        </is>
      </c>
      <c r="G110" t="inlineStr">
        <is>
          <t>DUVENAGE</t>
        </is>
      </c>
      <c r="H110" t="inlineStr">
        <is>
          <t>STELSELS</t>
        </is>
      </c>
      <c r="J110" t="inlineStr">
        <is>
          <t>AE</t>
        </is>
      </c>
      <c r="K110" t="inlineStr">
        <is>
          <t>Auto Engaged</t>
        </is>
      </c>
      <c r="L110" t="n">
        <v>5</v>
      </c>
      <c r="M110" t="inlineStr">
        <is>
          <t>2026-06-29 14:03:04</t>
        </is>
      </c>
      <c r="N110" t="inlineStr">
        <is>
          <t>system</t>
        </is>
      </c>
      <c r="O110" t="inlineStr">
        <is>
          <t>2026-06-17 14:10:06</t>
        </is>
      </c>
      <c r="P110" t="inlineStr">
        <is>
          <t>2026-06-17 14:10:06</t>
        </is>
      </c>
      <c r="Y110" t="inlineStr">
        <is>
          <t>27711996827</t>
        </is>
      </c>
    </row>
    <row r="111">
      <c r="A111" t="inlineStr">
        <is>
          <t>14921723</t>
        </is>
      </c>
      <c r="B111" t="inlineStr">
        <is>
          <t>a6f71960-0cfa-4a23-add9-f2600fad30d1</t>
        </is>
      </c>
      <c r="D111" t="inlineStr">
        <is>
          <t>111111124</t>
        </is>
      </c>
      <c r="E111" t="inlineStr">
        <is>
          <t>Vodacom Life 20260617</t>
        </is>
      </c>
      <c r="G111" t="inlineStr">
        <is>
          <t>MATTHEW</t>
        </is>
      </c>
      <c r="H111" t="inlineStr">
        <is>
          <t>WILLIAMS</t>
        </is>
      </c>
      <c r="J111" t="inlineStr">
        <is>
          <t>AA</t>
        </is>
      </c>
      <c r="K111" t="inlineStr">
        <is>
          <t>Answering Machine Autodial</t>
        </is>
      </c>
      <c r="L111" t="n">
        <v>5</v>
      </c>
      <c r="M111" t="inlineStr">
        <is>
          <t>2026-06-29 14:03:04</t>
        </is>
      </c>
      <c r="N111" t="inlineStr">
        <is>
          <t>system</t>
        </is>
      </c>
      <c r="O111" t="inlineStr">
        <is>
          <t>2026-06-17 14:10:06</t>
        </is>
      </c>
      <c r="P111" t="inlineStr">
        <is>
          <t>2026-06-17 14:10:06</t>
        </is>
      </c>
      <c r="Y111" t="inlineStr">
        <is>
          <t>27716497227</t>
        </is>
      </c>
    </row>
    <row r="112">
      <c r="A112" t="inlineStr">
        <is>
          <t>14921725</t>
        </is>
      </c>
      <c r="B112" t="inlineStr">
        <is>
          <t>39969d67-c6e2-4338-82ec-849a5f7965fd</t>
        </is>
      </c>
      <c r="D112" t="inlineStr">
        <is>
          <t>111111124</t>
        </is>
      </c>
      <c r="E112" t="inlineStr">
        <is>
          <t>Vodacom Life 20260617</t>
        </is>
      </c>
      <c r="G112" t="inlineStr">
        <is>
          <t>MKATEKO</t>
        </is>
      </c>
      <c r="H112" t="inlineStr">
        <is>
          <t>MKHARI</t>
        </is>
      </c>
      <c r="J112" t="inlineStr">
        <is>
          <t>NA</t>
        </is>
      </c>
      <c r="K112" t="inlineStr">
        <is>
          <t>No Answer Autodial</t>
        </is>
      </c>
      <c r="L112" t="n">
        <v>5</v>
      </c>
      <c r="M112" t="inlineStr">
        <is>
          <t>2026-06-29 14:03:04</t>
        </is>
      </c>
      <c r="N112" t="inlineStr">
        <is>
          <t>system</t>
        </is>
      </c>
      <c r="O112" t="inlineStr">
        <is>
          <t>2026-06-17 14:10:06</t>
        </is>
      </c>
      <c r="P112" t="inlineStr">
        <is>
          <t>2026-06-17 14:10:06</t>
        </is>
      </c>
      <c r="Y112" t="inlineStr">
        <is>
          <t>27729383898</t>
        </is>
      </c>
    </row>
    <row r="113">
      <c r="A113" t="inlineStr">
        <is>
          <t>14921726</t>
        </is>
      </c>
      <c r="B113" t="inlineStr">
        <is>
          <t>75965040-e764-4d08-9c5f-756476b9251c</t>
        </is>
      </c>
      <c r="D113" t="inlineStr">
        <is>
          <t>111111124</t>
        </is>
      </c>
      <c r="E113" t="inlineStr">
        <is>
          <t>Vodacom Life 20260617</t>
        </is>
      </c>
      <c r="G113" t="inlineStr">
        <is>
          <t>TRACY</t>
        </is>
      </c>
      <c r="H113" t="inlineStr">
        <is>
          <t>VAN DEN BERG</t>
        </is>
      </c>
      <c r="J113" t="inlineStr">
        <is>
          <t>NA</t>
        </is>
      </c>
      <c r="K113" t="inlineStr">
        <is>
          <t>No Answer Autodial</t>
        </is>
      </c>
      <c r="L113" t="n">
        <v>5</v>
      </c>
      <c r="M113" t="inlineStr">
        <is>
          <t>2026-06-29 14:03:04</t>
        </is>
      </c>
      <c r="N113" t="inlineStr">
        <is>
          <t>system</t>
        </is>
      </c>
      <c r="O113" t="inlineStr">
        <is>
          <t>2026-06-17 14:10:06</t>
        </is>
      </c>
      <c r="P113" t="inlineStr">
        <is>
          <t>2026-06-17 14:10:06</t>
        </is>
      </c>
      <c r="Y113" t="inlineStr">
        <is>
          <t>27674062776</t>
        </is>
      </c>
    </row>
    <row r="114">
      <c r="A114" t="inlineStr">
        <is>
          <t>14921494</t>
        </is>
      </c>
      <c r="B114" t="inlineStr">
        <is>
          <t>486f3a3f-4e6a-45fd-aa3e-3c1dd7332985</t>
        </is>
      </c>
      <c r="D114" t="inlineStr">
        <is>
          <t>111111124</t>
        </is>
      </c>
      <c r="E114" t="inlineStr">
        <is>
          <t>Vodacom Life 20260617</t>
        </is>
      </c>
      <c r="G114" t="inlineStr">
        <is>
          <t>SAREL</t>
        </is>
      </c>
      <c r="H114" t="inlineStr">
        <is>
          <t>CILLIERS</t>
        </is>
      </c>
      <c r="J114" t="inlineStr">
        <is>
          <t>ADC</t>
        </is>
      </c>
      <c r="K114" t="inlineStr">
        <is>
          <t>Auto Dial Disconnected</t>
        </is>
      </c>
      <c r="L114" t="n">
        <v>5</v>
      </c>
      <c r="M114" t="inlineStr">
        <is>
          <t>2026-06-29 14:03:03</t>
        </is>
      </c>
      <c r="N114" t="inlineStr">
        <is>
          <t>system</t>
        </is>
      </c>
      <c r="O114" t="inlineStr">
        <is>
          <t>2026-06-17 14:10:06</t>
        </is>
      </c>
      <c r="P114" t="inlineStr">
        <is>
          <t>2026-06-17 14:10:06</t>
        </is>
      </c>
      <c r="Y114" t="inlineStr">
        <is>
          <t>27721168471</t>
        </is>
      </c>
    </row>
    <row r="115">
      <c r="A115" t="inlineStr">
        <is>
          <t>14921496</t>
        </is>
      </c>
      <c r="B115" t="inlineStr">
        <is>
          <t>9a2608c5-d5bf-42c3-bc24-c694bec5ec86</t>
        </is>
      </c>
      <c r="D115" t="inlineStr">
        <is>
          <t>111111124</t>
        </is>
      </c>
      <c r="E115" t="inlineStr">
        <is>
          <t>Vodacom Life 20260617</t>
        </is>
      </c>
      <c r="G115" t="inlineStr">
        <is>
          <t>MTHETHO</t>
        </is>
      </c>
      <c r="H115" t="inlineStr">
        <is>
          <t>PHAKATHI</t>
        </is>
      </c>
      <c r="J115" t="inlineStr">
        <is>
          <t>AA</t>
        </is>
      </c>
      <c r="K115" t="inlineStr">
        <is>
          <t>Answering Machine Autodial</t>
        </is>
      </c>
      <c r="L115" t="n">
        <v>5</v>
      </c>
      <c r="M115" t="inlineStr">
        <is>
          <t>2026-06-29 14:02:57</t>
        </is>
      </c>
      <c r="N115" t="inlineStr">
        <is>
          <t>system</t>
        </is>
      </c>
      <c r="O115" t="inlineStr">
        <is>
          <t>2026-06-17 14:10:06</t>
        </is>
      </c>
      <c r="P115" t="inlineStr">
        <is>
          <t>2026-06-17 14:10:06</t>
        </is>
      </c>
      <c r="Y115" t="inlineStr">
        <is>
          <t>27662388523</t>
        </is>
      </c>
    </row>
    <row r="116">
      <c r="A116" t="inlineStr">
        <is>
          <t>14921497</t>
        </is>
      </c>
      <c r="B116" t="inlineStr">
        <is>
          <t>331ce95b-e40a-4246-98b3-fa79451fcd36</t>
        </is>
      </c>
      <c r="D116" t="inlineStr">
        <is>
          <t>111111124</t>
        </is>
      </c>
      <c r="E116" t="inlineStr">
        <is>
          <t>Vodacom Life 20260617</t>
        </is>
      </c>
      <c r="G116" t="inlineStr">
        <is>
          <t>OBED</t>
        </is>
      </c>
      <c r="H116" t="inlineStr">
        <is>
          <t>TUKISI</t>
        </is>
      </c>
      <c r="J116" t="inlineStr">
        <is>
          <t>AA</t>
        </is>
      </c>
      <c r="K116" t="inlineStr">
        <is>
          <t>Answering Machine Autodial</t>
        </is>
      </c>
      <c r="L116" t="n">
        <v>5</v>
      </c>
      <c r="M116" t="inlineStr">
        <is>
          <t>2026-06-29 14:02:57</t>
        </is>
      </c>
      <c r="N116" t="inlineStr">
        <is>
          <t>system</t>
        </is>
      </c>
      <c r="O116" t="inlineStr">
        <is>
          <t>2026-06-17 14:10:06</t>
        </is>
      </c>
      <c r="P116" t="inlineStr">
        <is>
          <t>2026-06-17 14:10:06</t>
        </is>
      </c>
      <c r="Y116" t="inlineStr">
        <is>
          <t>27791990612</t>
        </is>
      </c>
    </row>
    <row r="117">
      <c r="A117" t="inlineStr">
        <is>
          <t>14921498</t>
        </is>
      </c>
      <c r="B117" t="inlineStr">
        <is>
          <t>6af5b6b3-b833-40eb-9be2-b0d62e11be66</t>
        </is>
      </c>
      <c r="D117" t="inlineStr">
        <is>
          <t>111111124</t>
        </is>
      </c>
      <c r="E117" t="inlineStr">
        <is>
          <t>Vodacom Life 20260617</t>
        </is>
      </c>
      <c r="G117" t="inlineStr">
        <is>
          <t>BEN</t>
        </is>
      </c>
      <c r="H117" t="inlineStr">
        <is>
          <t>LETLATSA</t>
        </is>
      </c>
      <c r="J117" t="inlineStr">
        <is>
          <t>CU</t>
        </is>
      </c>
      <c r="K117" t="inlineStr">
        <is>
          <t>Client Hung Up</t>
        </is>
      </c>
      <c r="L117" t="n">
        <v>5</v>
      </c>
      <c r="M117" t="inlineStr">
        <is>
          <t>2026-06-29 14:02:57</t>
        </is>
      </c>
      <c r="N117" t="inlineStr">
        <is>
          <t>Vanessa Kekana</t>
        </is>
      </c>
      <c r="O117" t="inlineStr">
        <is>
          <t>2026-06-17 14:10:06</t>
        </is>
      </c>
      <c r="P117" t="inlineStr">
        <is>
          <t>2026-06-17 14:10:06</t>
        </is>
      </c>
      <c r="Y117" t="inlineStr">
        <is>
          <t>27726241994</t>
        </is>
      </c>
    </row>
    <row r="118">
      <c r="A118" t="inlineStr">
        <is>
          <t>14921500</t>
        </is>
      </c>
      <c r="B118" t="inlineStr">
        <is>
          <t>96a9e769-b28a-4317-bc6f-b1521db4ec34</t>
        </is>
      </c>
      <c r="D118" t="inlineStr">
        <is>
          <t>111111124</t>
        </is>
      </c>
      <c r="E118" t="inlineStr">
        <is>
          <t>Vodacom Life 20260617</t>
        </is>
      </c>
      <c r="G118" t="inlineStr">
        <is>
          <t>SONIA</t>
        </is>
      </c>
      <c r="H118" t="inlineStr">
        <is>
          <t>LIDDLE</t>
        </is>
      </c>
      <c r="J118" t="inlineStr">
        <is>
          <t>AA</t>
        </is>
      </c>
      <c r="K118" t="inlineStr">
        <is>
          <t>Answering Machine Autodial</t>
        </is>
      </c>
      <c r="L118" t="n">
        <v>5</v>
      </c>
      <c r="M118" t="inlineStr">
        <is>
          <t>2026-06-29 14:02:57</t>
        </is>
      </c>
      <c r="N118" t="inlineStr">
        <is>
          <t>system</t>
        </is>
      </c>
      <c r="O118" t="inlineStr">
        <is>
          <t>2026-06-17 14:10:06</t>
        </is>
      </c>
      <c r="P118" t="inlineStr">
        <is>
          <t>2026-06-17 14:10:06</t>
        </is>
      </c>
      <c r="Y118" t="inlineStr">
        <is>
          <t>27726073450</t>
        </is>
      </c>
    </row>
    <row r="119">
      <c r="A119" t="inlineStr">
        <is>
          <t>14921501</t>
        </is>
      </c>
      <c r="B119" t="inlineStr">
        <is>
          <t>8006153f-1deb-4b16-899a-5375d7a5993e</t>
        </is>
      </c>
      <c r="D119" t="inlineStr">
        <is>
          <t>111111124</t>
        </is>
      </c>
      <c r="E119" t="inlineStr">
        <is>
          <t>Vodacom Life 20260617</t>
        </is>
      </c>
      <c r="G119" t="inlineStr">
        <is>
          <t>NTESANG</t>
        </is>
      </c>
      <c r="H119" t="inlineStr">
        <is>
          <t>MORAKENG</t>
        </is>
      </c>
      <c r="J119" t="inlineStr">
        <is>
          <t>AA</t>
        </is>
      </c>
      <c r="K119" t="inlineStr">
        <is>
          <t>Answering Machine Autodial</t>
        </is>
      </c>
      <c r="L119" t="n">
        <v>5</v>
      </c>
      <c r="M119" t="inlineStr">
        <is>
          <t>2026-06-29 14:02:36</t>
        </is>
      </c>
      <c r="N119" t="inlineStr">
        <is>
          <t>system</t>
        </is>
      </c>
      <c r="O119" t="inlineStr">
        <is>
          <t>2026-06-17 14:10:06</t>
        </is>
      </c>
      <c r="P119" t="inlineStr">
        <is>
          <t>2026-06-17 14:10:06</t>
        </is>
      </c>
      <c r="Y119" t="inlineStr">
        <is>
          <t>27828796773</t>
        </is>
      </c>
    </row>
    <row r="120">
      <c r="A120" t="inlineStr">
        <is>
          <t>14921505</t>
        </is>
      </c>
      <c r="B120" t="inlineStr">
        <is>
          <t>17b10c98-cc0d-4cac-8724-94691f1aaeec</t>
        </is>
      </c>
      <c r="D120" t="inlineStr">
        <is>
          <t>111111124</t>
        </is>
      </c>
      <c r="E120" t="inlineStr">
        <is>
          <t>Vodacom Life 20260617</t>
        </is>
      </c>
      <c r="G120" t="inlineStr">
        <is>
          <t>JACOBUS</t>
        </is>
      </c>
      <c r="H120" t="inlineStr">
        <is>
          <t>VAN WYK</t>
        </is>
      </c>
      <c r="J120" t="inlineStr">
        <is>
          <t>AE</t>
        </is>
      </c>
      <c r="K120" t="inlineStr">
        <is>
          <t>Auto Engaged</t>
        </is>
      </c>
      <c r="L120" t="n">
        <v>5</v>
      </c>
      <c r="M120" t="inlineStr">
        <is>
          <t>2026-06-29 14:02:35</t>
        </is>
      </c>
      <c r="N120" t="inlineStr">
        <is>
          <t>system</t>
        </is>
      </c>
      <c r="O120" t="inlineStr">
        <is>
          <t>2026-06-17 14:10:06</t>
        </is>
      </c>
      <c r="P120" t="inlineStr">
        <is>
          <t>2026-06-17 14:10:06</t>
        </is>
      </c>
      <c r="Y120" t="inlineStr">
        <is>
          <t>27823411196</t>
        </is>
      </c>
    </row>
    <row r="121">
      <c r="A121" t="inlineStr">
        <is>
          <t>14921506</t>
        </is>
      </c>
      <c r="B121" t="inlineStr">
        <is>
          <t>3ab945a8-2572-4f92-b135-ed65b7bc4630</t>
        </is>
      </c>
      <c r="D121" t="inlineStr">
        <is>
          <t>111111124</t>
        </is>
      </c>
      <c r="E121" t="inlineStr">
        <is>
          <t>Vodacom Life 20260617</t>
        </is>
      </c>
      <c r="G121" t="inlineStr">
        <is>
          <t>RJ</t>
        </is>
      </c>
      <c r="H121" t="inlineStr">
        <is>
          <t>PLUMBERS</t>
        </is>
      </c>
      <c r="J121" t="inlineStr">
        <is>
          <t>NA</t>
        </is>
      </c>
      <c r="K121" t="inlineStr">
        <is>
          <t>No Answer Autodial</t>
        </is>
      </c>
      <c r="L121" t="n">
        <v>5</v>
      </c>
      <c r="M121" t="inlineStr">
        <is>
          <t>2026-06-29 14:02:35</t>
        </is>
      </c>
      <c r="N121" t="inlineStr">
        <is>
          <t>system</t>
        </is>
      </c>
      <c r="O121" t="inlineStr">
        <is>
          <t>2026-06-17 14:10:06</t>
        </is>
      </c>
      <c r="P121" t="inlineStr">
        <is>
          <t>2026-06-17 14:10:06</t>
        </is>
      </c>
      <c r="Y121" t="inlineStr">
        <is>
          <t>27835807808</t>
        </is>
      </c>
    </row>
    <row r="122">
      <c r="A122" t="inlineStr">
        <is>
          <t>14921509</t>
        </is>
      </c>
      <c r="B122" t="inlineStr">
        <is>
          <t>d94ae11b-cc52-46f6-b824-980a61cbc1ac</t>
        </is>
      </c>
      <c r="D122" t="inlineStr">
        <is>
          <t>111111124</t>
        </is>
      </c>
      <c r="E122" t="inlineStr">
        <is>
          <t>Vodacom Life 20260617</t>
        </is>
      </c>
      <c r="G122" t="inlineStr">
        <is>
          <t>PATRICK</t>
        </is>
      </c>
      <c r="H122" t="inlineStr">
        <is>
          <t>MATHONSI</t>
        </is>
      </c>
      <c r="J122" t="inlineStr">
        <is>
          <t>DROP</t>
        </is>
      </c>
      <c r="K122" t="inlineStr">
        <is>
          <t>Dropped</t>
        </is>
      </c>
      <c r="L122" t="n">
        <v>5</v>
      </c>
      <c r="M122" t="inlineStr">
        <is>
          <t>2026-06-29 14:02:35</t>
        </is>
      </c>
      <c r="N122" t="inlineStr">
        <is>
          <t>system</t>
        </is>
      </c>
      <c r="O122" t="inlineStr">
        <is>
          <t>2026-06-17 14:10:06</t>
        </is>
      </c>
      <c r="P122" t="inlineStr">
        <is>
          <t>2026-06-17 14:10:06</t>
        </is>
      </c>
      <c r="Y122" t="inlineStr">
        <is>
          <t>27797376148</t>
        </is>
      </c>
    </row>
    <row r="123">
      <c r="A123" t="inlineStr">
        <is>
          <t>14921510</t>
        </is>
      </c>
      <c r="B123" t="inlineStr">
        <is>
          <t>ac800f99-1ce0-4e63-bce3-1c9263751aeb</t>
        </is>
      </c>
      <c r="D123" t="inlineStr">
        <is>
          <t>111111124</t>
        </is>
      </c>
      <c r="E123" t="inlineStr">
        <is>
          <t>Vodacom Life 20260617</t>
        </is>
      </c>
      <c r="G123" t="inlineStr">
        <is>
          <t>MUDINI</t>
        </is>
      </c>
      <c r="H123" t="inlineStr">
        <is>
          <t>MATSHISEVHE</t>
        </is>
      </c>
      <c r="J123" t="inlineStr">
        <is>
          <t>IABDN</t>
        </is>
      </c>
      <c r="K123" t="inlineStr">
        <is>
          <t>Inbound Abandon</t>
        </is>
      </c>
      <c r="L123" t="n">
        <v>5</v>
      </c>
      <c r="M123" t="inlineStr">
        <is>
          <t>2026-06-29 14:02:05</t>
        </is>
      </c>
      <c r="N123" t="inlineStr">
        <is>
          <t>system</t>
        </is>
      </c>
      <c r="O123" t="inlineStr">
        <is>
          <t>2026-06-17 14:10:06</t>
        </is>
      </c>
      <c r="P123" t="inlineStr">
        <is>
          <t>2026-06-17 14:10:06</t>
        </is>
      </c>
      <c r="Y123" t="inlineStr">
        <is>
          <t>27761743587</t>
        </is>
      </c>
    </row>
    <row r="124">
      <c r="A124" t="inlineStr">
        <is>
          <t>14921511</t>
        </is>
      </c>
      <c r="B124" t="inlineStr">
        <is>
          <t>21172135-485f-4d70-ba82-8f5b63416320</t>
        </is>
      </c>
      <c r="D124" t="inlineStr">
        <is>
          <t>111111124</t>
        </is>
      </c>
      <c r="E124" t="inlineStr">
        <is>
          <t>Vodacom Life 20260617</t>
        </is>
      </c>
      <c r="G124" t="inlineStr">
        <is>
          <t>IVAN</t>
        </is>
      </c>
      <c r="H124" t="inlineStr">
        <is>
          <t>PALKOWSKI</t>
        </is>
      </c>
      <c r="J124" t="inlineStr">
        <is>
          <t>CBACK</t>
        </is>
      </c>
      <c r="K124" t="inlineStr">
        <is>
          <t>Callback</t>
        </is>
      </c>
      <c r="L124" t="n">
        <v>5</v>
      </c>
      <c r="M124" t="inlineStr">
        <is>
          <t>2026-06-29 14:01:45</t>
        </is>
      </c>
      <c r="N124" t="inlineStr">
        <is>
          <t>Vanessa Kekana</t>
        </is>
      </c>
      <c r="O124" t="inlineStr">
        <is>
          <t>2026-06-17 14:10:06</t>
        </is>
      </c>
      <c r="P124" t="inlineStr">
        <is>
          <t>2026-06-17 14:10:06</t>
        </is>
      </c>
      <c r="Y124" t="inlineStr">
        <is>
          <t>27662287180</t>
        </is>
      </c>
    </row>
    <row r="125">
      <c r="A125" t="inlineStr">
        <is>
          <t>14921512</t>
        </is>
      </c>
      <c r="B125" t="inlineStr">
        <is>
          <t>51683c49-0450-4415-a306-19de7fb35089</t>
        </is>
      </c>
      <c r="D125" t="inlineStr">
        <is>
          <t>111111124</t>
        </is>
      </c>
      <c r="E125" t="inlineStr">
        <is>
          <t>Vodacom Life 20260617</t>
        </is>
      </c>
      <c r="G125" t="inlineStr">
        <is>
          <t>MAGRIETA</t>
        </is>
      </c>
      <c r="H125" t="inlineStr">
        <is>
          <t>ORANGE</t>
        </is>
      </c>
      <c r="J125" t="inlineStr">
        <is>
          <t>AE</t>
        </is>
      </c>
      <c r="K125" t="inlineStr">
        <is>
          <t>Auto Engaged</t>
        </is>
      </c>
      <c r="L125" t="n">
        <v>5</v>
      </c>
      <c r="M125" t="inlineStr">
        <is>
          <t>2026-06-29 14:01:45</t>
        </is>
      </c>
      <c r="N125" t="inlineStr">
        <is>
          <t>system</t>
        </is>
      </c>
      <c r="O125" t="inlineStr">
        <is>
          <t>2026-06-17 14:10:06</t>
        </is>
      </c>
      <c r="P125" t="inlineStr">
        <is>
          <t>2026-06-17 14:10:06</t>
        </is>
      </c>
      <c r="Y125" t="inlineStr">
        <is>
          <t>27715171659</t>
        </is>
      </c>
    </row>
    <row r="126">
      <c r="A126" t="inlineStr">
        <is>
          <t>14921728</t>
        </is>
      </c>
      <c r="B126" t="inlineStr">
        <is>
          <t>9496eaf9-8779-4a62-8c35-c77c97ad3680</t>
        </is>
      </c>
      <c r="D126" t="inlineStr">
        <is>
          <t>111111124</t>
        </is>
      </c>
      <c r="E126" t="inlineStr">
        <is>
          <t>Vodacom Life 20260617</t>
        </is>
      </c>
      <c r="G126" t="inlineStr">
        <is>
          <t>KEAGAN</t>
        </is>
      </c>
      <c r="H126" t="inlineStr">
        <is>
          <t>LINTNAAR</t>
        </is>
      </c>
      <c r="J126" t="inlineStr">
        <is>
          <t>AA</t>
        </is>
      </c>
      <c r="K126" t="inlineStr">
        <is>
          <t>Answering Machine Autodial</t>
        </is>
      </c>
      <c r="L126" t="n">
        <v>5</v>
      </c>
      <c r="M126" t="inlineStr">
        <is>
          <t>2026-06-29 14:01:45</t>
        </is>
      </c>
      <c r="N126" t="inlineStr">
        <is>
          <t>system</t>
        </is>
      </c>
      <c r="O126" t="inlineStr">
        <is>
          <t>2026-06-17 14:10:06</t>
        </is>
      </c>
      <c r="P126" t="inlineStr">
        <is>
          <t>2026-06-17 14:10:06</t>
        </is>
      </c>
      <c r="Y126" t="inlineStr">
        <is>
          <t>27791379926</t>
        </is>
      </c>
    </row>
    <row r="127">
      <c r="A127" t="inlineStr">
        <is>
          <t>14921567</t>
        </is>
      </c>
      <c r="B127" t="inlineStr">
        <is>
          <t>140d5bd2-c208-4e0c-8172-abcd018ffa4b</t>
        </is>
      </c>
      <c r="D127" t="inlineStr">
        <is>
          <t>111111124</t>
        </is>
      </c>
      <c r="E127" t="inlineStr">
        <is>
          <t>Vodacom Life 20260617</t>
        </is>
      </c>
      <c r="G127" t="inlineStr">
        <is>
          <t>RINUS</t>
        </is>
      </c>
      <c r="H127" t="inlineStr">
        <is>
          <t>GOBLE</t>
        </is>
      </c>
      <c r="J127" t="inlineStr">
        <is>
          <t>NA</t>
        </is>
      </c>
      <c r="K127" t="inlineStr">
        <is>
          <t>No Answer Autodial</t>
        </is>
      </c>
      <c r="L127" t="n">
        <v>5</v>
      </c>
      <c r="M127" t="inlineStr">
        <is>
          <t>2026-06-29 14:01:09</t>
        </is>
      </c>
      <c r="N127" t="inlineStr">
        <is>
          <t>system</t>
        </is>
      </c>
      <c r="O127" t="inlineStr">
        <is>
          <t>2026-06-17 14:10:06</t>
        </is>
      </c>
      <c r="P127" t="inlineStr">
        <is>
          <t>2026-06-17 14:10:06</t>
        </is>
      </c>
      <c r="Y127" t="inlineStr">
        <is>
          <t>27824614454</t>
        </is>
      </c>
    </row>
    <row r="128">
      <c r="A128" t="inlineStr">
        <is>
          <t>14921568</t>
        </is>
      </c>
      <c r="B128" t="inlineStr">
        <is>
          <t>b0ea29db-44a6-448f-8f6b-5adf70e2e2aa</t>
        </is>
      </c>
      <c r="D128" t="inlineStr">
        <is>
          <t>111111124</t>
        </is>
      </c>
      <c r="E128" t="inlineStr">
        <is>
          <t>Vodacom Life 20260617</t>
        </is>
      </c>
      <c r="G128" t="inlineStr">
        <is>
          <t>CARLI</t>
        </is>
      </c>
      <c r="H128" t="inlineStr">
        <is>
          <t>KRUGER</t>
        </is>
      </c>
      <c r="J128" t="inlineStr">
        <is>
          <t>A</t>
        </is>
      </c>
      <c r="K128" t="inlineStr">
        <is>
          <t>Answering Machine</t>
        </is>
      </c>
      <c r="L128" t="n">
        <v>5</v>
      </c>
      <c r="M128" t="inlineStr">
        <is>
          <t>2026-06-29 14:01:02</t>
        </is>
      </c>
      <c r="N128" t="inlineStr">
        <is>
          <t>Vanessa Kekana</t>
        </is>
      </c>
      <c r="O128" t="inlineStr">
        <is>
          <t>2026-06-17 14:10:06</t>
        </is>
      </c>
      <c r="P128" t="inlineStr">
        <is>
          <t>2026-06-17 14:10:06</t>
        </is>
      </c>
      <c r="Y128" t="inlineStr">
        <is>
          <t>27824517333</t>
        </is>
      </c>
    </row>
    <row r="129">
      <c r="A129" t="inlineStr">
        <is>
          <t>14921569</t>
        </is>
      </c>
      <c r="B129" t="inlineStr">
        <is>
          <t>52d25f51-67da-48e5-8d87-b7d8a2550547</t>
        </is>
      </c>
      <c r="D129" t="inlineStr">
        <is>
          <t>111111124</t>
        </is>
      </c>
      <c r="E129" t="inlineStr">
        <is>
          <t>Vodacom Life 20260617</t>
        </is>
      </c>
      <c r="G129" t="inlineStr">
        <is>
          <t>MICHELLE</t>
        </is>
      </c>
      <c r="H129" t="inlineStr">
        <is>
          <t>KOCK</t>
        </is>
      </c>
      <c r="J129" t="inlineStr">
        <is>
          <t>AA</t>
        </is>
      </c>
      <c r="K129" t="inlineStr">
        <is>
          <t>Answering Machine Autodial</t>
        </is>
      </c>
      <c r="L129" t="n">
        <v>5</v>
      </c>
      <c r="M129" t="inlineStr">
        <is>
          <t>2026-06-29 14:01:02</t>
        </is>
      </c>
      <c r="N129" t="inlineStr">
        <is>
          <t>system</t>
        </is>
      </c>
      <c r="O129" t="inlineStr">
        <is>
          <t>2026-06-17 14:10:06</t>
        </is>
      </c>
      <c r="P129" t="inlineStr">
        <is>
          <t>2026-06-17 14:10:06</t>
        </is>
      </c>
      <c r="Y129" t="inlineStr">
        <is>
          <t>27713894430</t>
        </is>
      </c>
    </row>
    <row r="130">
      <c r="A130" t="inlineStr">
        <is>
          <t>14921570</t>
        </is>
      </c>
      <c r="B130" t="inlineStr">
        <is>
          <t>44a10b6d-06ea-4ad7-951b-75326e7776c1</t>
        </is>
      </c>
      <c r="D130" t="inlineStr">
        <is>
          <t>111111124</t>
        </is>
      </c>
      <c r="E130" t="inlineStr">
        <is>
          <t>Vodacom Life 20260617</t>
        </is>
      </c>
      <c r="G130" t="inlineStr">
        <is>
          <t>ANGELO</t>
        </is>
      </c>
      <c r="H130" t="inlineStr">
        <is>
          <t>XENGANA</t>
        </is>
      </c>
      <c r="J130" t="inlineStr">
        <is>
          <t>NA</t>
        </is>
      </c>
      <c r="K130" t="inlineStr">
        <is>
          <t>No Answer Autodial</t>
        </is>
      </c>
      <c r="L130" t="n">
        <v>5</v>
      </c>
      <c r="M130" t="inlineStr">
        <is>
          <t>2026-06-29 14:00:05</t>
        </is>
      </c>
      <c r="N130" t="inlineStr">
        <is>
          <t>system</t>
        </is>
      </c>
      <c r="O130" t="inlineStr">
        <is>
          <t>2026-06-17 14:10:06</t>
        </is>
      </c>
      <c r="P130" t="inlineStr">
        <is>
          <t>2026-06-17 14:10:06</t>
        </is>
      </c>
      <c r="Y130" t="inlineStr">
        <is>
          <t>27828780920</t>
        </is>
      </c>
    </row>
    <row r="131">
      <c r="A131" t="inlineStr">
        <is>
          <t>14921571</t>
        </is>
      </c>
      <c r="B131" t="inlineStr">
        <is>
          <t>95451b96-5389-47ca-b391-af9d07ad0a80</t>
        </is>
      </c>
      <c r="D131" t="inlineStr">
        <is>
          <t>111111124</t>
        </is>
      </c>
      <c r="E131" t="inlineStr">
        <is>
          <t>Vodacom Life 20260617</t>
        </is>
      </c>
      <c r="G131" t="inlineStr">
        <is>
          <t>ILZE</t>
        </is>
      </c>
      <c r="H131" t="inlineStr">
        <is>
          <t>STANDER</t>
        </is>
      </c>
      <c r="J131" t="inlineStr">
        <is>
          <t>AE</t>
        </is>
      </c>
      <c r="K131" t="inlineStr">
        <is>
          <t>Auto Engaged</t>
        </is>
      </c>
      <c r="L131" t="n">
        <v>5</v>
      </c>
      <c r="M131" t="inlineStr">
        <is>
          <t>2026-06-29 14:00:05</t>
        </is>
      </c>
      <c r="N131" t="inlineStr">
        <is>
          <t>system</t>
        </is>
      </c>
      <c r="O131" t="inlineStr">
        <is>
          <t>2026-06-17 14:10:06</t>
        </is>
      </c>
      <c r="P131" t="inlineStr">
        <is>
          <t>2026-06-17 14:10:06</t>
        </is>
      </c>
      <c r="Y131" t="inlineStr">
        <is>
          <t>27673643082</t>
        </is>
      </c>
    </row>
    <row r="132">
      <c r="A132" t="inlineStr">
        <is>
          <t>14921572</t>
        </is>
      </c>
      <c r="B132" t="inlineStr">
        <is>
          <t>a5372bdd-08e8-41b2-986d-7d6e43d3d63d</t>
        </is>
      </c>
      <c r="D132" t="inlineStr">
        <is>
          <t>111111124</t>
        </is>
      </c>
      <c r="E132" t="inlineStr">
        <is>
          <t>Vodacom Life 20260617</t>
        </is>
      </c>
      <c r="G132" t="inlineStr">
        <is>
          <t>MARIA</t>
        </is>
      </c>
      <c r="H132" t="inlineStr">
        <is>
          <t>VAN WYK</t>
        </is>
      </c>
      <c r="J132" t="inlineStr">
        <is>
          <t>AE</t>
        </is>
      </c>
      <c r="K132" t="inlineStr">
        <is>
          <t>Auto Engaged</t>
        </is>
      </c>
      <c r="L132" t="n">
        <v>5</v>
      </c>
      <c r="M132" t="inlineStr">
        <is>
          <t>2026-06-29 14:00:05</t>
        </is>
      </c>
      <c r="N132" t="inlineStr">
        <is>
          <t>system</t>
        </is>
      </c>
      <c r="O132" t="inlineStr">
        <is>
          <t>2026-06-17 14:10:06</t>
        </is>
      </c>
      <c r="P132" t="inlineStr">
        <is>
          <t>2026-06-17 14:10:06</t>
        </is>
      </c>
      <c r="Y132" t="inlineStr">
        <is>
          <t>27794604835</t>
        </is>
      </c>
    </row>
    <row r="133">
      <c r="A133" t="inlineStr">
        <is>
          <t>14900000</t>
        </is>
      </c>
      <c r="B133" t="inlineStr">
        <is>
          <t>6967e525-5dc9-4545-a762-d67a635a22a0</t>
        </is>
      </c>
      <c r="D133" t="inlineStr">
        <is>
          <t>111111124</t>
        </is>
      </c>
      <c r="E133" t="inlineStr">
        <is>
          <t>Vodacom Life 20260617</t>
        </is>
      </c>
      <c r="G133" t="inlineStr">
        <is>
          <t>THABO</t>
        </is>
      </c>
      <c r="H133" t="inlineStr">
        <is>
          <t>GULIWE</t>
        </is>
      </c>
      <c r="J133" t="inlineStr">
        <is>
          <t>NA</t>
        </is>
      </c>
      <c r="K133" t="inlineStr">
        <is>
          <t>No Answer Autodial</t>
        </is>
      </c>
      <c r="L133" t="n">
        <v>5</v>
      </c>
      <c r="M133" t="inlineStr">
        <is>
          <t>2026-06-29 14:00:05</t>
        </is>
      </c>
      <c r="N133" t="inlineStr">
        <is>
          <t>system</t>
        </is>
      </c>
      <c r="O133" t="inlineStr">
        <is>
          <t>2026-06-17 14:10:06</t>
        </is>
      </c>
      <c r="P133" t="inlineStr">
        <is>
          <t>2026-06-17 14:10:06</t>
        </is>
      </c>
      <c r="Y133" t="inlineStr">
        <is>
          <t>27791950835</t>
        </is>
      </c>
    </row>
    <row r="134">
      <c r="A134" t="inlineStr">
        <is>
          <t>14921576</t>
        </is>
      </c>
      <c r="B134" t="inlineStr">
        <is>
          <t>9e7bdc9a-c6af-4345-8802-07973d899bd1</t>
        </is>
      </c>
      <c r="D134" t="inlineStr">
        <is>
          <t>111111124</t>
        </is>
      </c>
      <c r="E134" t="inlineStr">
        <is>
          <t>Vodacom Life 20260617</t>
        </is>
      </c>
      <c r="G134" t="inlineStr">
        <is>
          <t>WAYNE</t>
        </is>
      </c>
      <c r="H134" t="inlineStr">
        <is>
          <t>CURRIN</t>
        </is>
      </c>
      <c r="J134" t="inlineStr">
        <is>
          <t>AA</t>
        </is>
      </c>
      <c r="K134" t="inlineStr">
        <is>
          <t>Answering Machine Autodial</t>
        </is>
      </c>
      <c r="L134" t="n">
        <v>5</v>
      </c>
      <c r="M134" t="inlineStr">
        <is>
          <t>2026-06-29 13:59:50</t>
        </is>
      </c>
      <c r="N134" t="inlineStr">
        <is>
          <t>system</t>
        </is>
      </c>
      <c r="O134" t="inlineStr">
        <is>
          <t>2026-06-17 14:10:06</t>
        </is>
      </c>
      <c r="P134" t="inlineStr">
        <is>
          <t>2026-06-17 14:10:06</t>
        </is>
      </c>
      <c r="Y134" t="inlineStr">
        <is>
          <t>27764217891</t>
        </is>
      </c>
    </row>
    <row r="135">
      <c r="A135" t="inlineStr">
        <is>
          <t>14900000</t>
        </is>
      </c>
      <c r="B135" t="inlineStr">
        <is>
          <t>e051921e-606d-4734-b496-d67588e4a265</t>
        </is>
      </c>
      <c r="D135" t="inlineStr">
        <is>
          <t>111111124</t>
        </is>
      </c>
      <c r="E135" t="inlineStr">
        <is>
          <t>Vodacom Life 20260617</t>
        </is>
      </c>
      <c r="G135" t="inlineStr">
        <is>
          <t>SAALIGA</t>
        </is>
      </c>
      <c r="H135" t="inlineStr">
        <is>
          <t>BABOO</t>
        </is>
      </c>
      <c r="J135" t="inlineStr">
        <is>
          <t>NA</t>
        </is>
      </c>
      <c r="K135" t="inlineStr">
        <is>
          <t>No Answer Autodial</t>
        </is>
      </c>
      <c r="L135" t="n">
        <v>5</v>
      </c>
      <c r="M135" t="inlineStr">
        <is>
          <t>2026-06-29 13:59:40</t>
        </is>
      </c>
      <c r="N135" t="inlineStr">
        <is>
          <t>system</t>
        </is>
      </c>
      <c r="O135" t="inlineStr">
        <is>
          <t>2026-06-17 14:10:06</t>
        </is>
      </c>
      <c r="P135" t="inlineStr">
        <is>
          <t>2026-06-17 14:10:06</t>
        </is>
      </c>
      <c r="Y135" t="inlineStr">
        <is>
          <t>27715174964</t>
        </is>
      </c>
    </row>
    <row r="136">
      <c r="A136" t="inlineStr">
        <is>
          <t>14921578</t>
        </is>
      </c>
      <c r="B136" t="inlineStr">
        <is>
          <t>d3136fcb-a096-4309-a6de-d2de53db2079</t>
        </is>
      </c>
      <c r="D136" t="inlineStr">
        <is>
          <t>111111124</t>
        </is>
      </c>
      <c r="E136" t="inlineStr">
        <is>
          <t>Vodacom Life 20260617</t>
        </is>
      </c>
      <c r="G136" t="inlineStr">
        <is>
          <t>DERRICK</t>
        </is>
      </c>
      <c r="H136" t="inlineStr">
        <is>
          <t>ASHCROFT</t>
        </is>
      </c>
      <c r="J136" t="inlineStr">
        <is>
          <t>AA</t>
        </is>
      </c>
      <c r="K136" t="inlineStr">
        <is>
          <t>Answering Machine Autodial</t>
        </is>
      </c>
      <c r="L136" t="n">
        <v>5</v>
      </c>
      <c r="M136" t="inlineStr">
        <is>
          <t>2026-06-29 13:59:36</t>
        </is>
      </c>
      <c r="N136" t="inlineStr">
        <is>
          <t>system</t>
        </is>
      </c>
      <c r="O136" t="inlineStr">
        <is>
          <t>2026-06-17 14:10:06</t>
        </is>
      </c>
      <c r="P136" t="inlineStr">
        <is>
          <t>2026-06-17 14:10:06</t>
        </is>
      </c>
      <c r="Y136" t="inlineStr">
        <is>
          <t>27711777948</t>
        </is>
      </c>
    </row>
    <row r="137">
      <c r="A137" t="inlineStr">
        <is>
          <t>14921579</t>
        </is>
      </c>
      <c r="B137" t="inlineStr">
        <is>
          <t>b047e1bd-79d5-4f5d-82ea-58c5f3795558</t>
        </is>
      </c>
      <c r="D137" t="inlineStr">
        <is>
          <t>111111124</t>
        </is>
      </c>
      <c r="E137" t="inlineStr">
        <is>
          <t>Vodacom Life 20260617</t>
        </is>
      </c>
      <c r="G137" t="inlineStr">
        <is>
          <t>LIEZEL</t>
        </is>
      </c>
      <c r="H137" t="inlineStr">
        <is>
          <t>HARRINGTON</t>
        </is>
      </c>
      <c r="J137" t="inlineStr">
        <is>
          <t>AA</t>
        </is>
      </c>
      <c r="K137" t="inlineStr">
        <is>
          <t>Answering Machine Autodial</t>
        </is>
      </c>
      <c r="L137" t="n">
        <v>5</v>
      </c>
      <c r="M137" t="inlineStr">
        <is>
          <t>2026-06-29 13:59:34</t>
        </is>
      </c>
      <c r="N137" t="inlineStr">
        <is>
          <t>system</t>
        </is>
      </c>
      <c r="O137" t="inlineStr">
        <is>
          <t>2026-06-17 14:10:06</t>
        </is>
      </c>
      <c r="P137" t="inlineStr">
        <is>
          <t>2026-06-17 14:10:06</t>
        </is>
      </c>
      <c r="Y137" t="inlineStr">
        <is>
          <t>27646904379</t>
        </is>
      </c>
    </row>
    <row r="138">
      <c r="A138" t="inlineStr">
        <is>
          <t>14921729</t>
        </is>
      </c>
      <c r="B138" t="inlineStr">
        <is>
          <t>401a5d42-4963-4409-b36d-689877563fd5</t>
        </is>
      </c>
      <c r="D138" t="inlineStr">
        <is>
          <t>111111124</t>
        </is>
      </c>
      <c r="E138" t="inlineStr">
        <is>
          <t>Vodacom Life 20260617</t>
        </is>
      </c>
      <c r="G138" t="inlineStr">
        <is>
          <t>ELIZNA</t>
        </is>
      </c>
      <c r="H138" t="inlineStr">
        <is>
          <t>KOTZE</t>
        </is>
      </c>
      <c r="J138" t="inlineStr">
        <is>
          <t>A</t>
        </is>
      </c>
      <c r="K138" t="inlineStr">
        <is>
          <t>Answering Machine</t>
        </is>
      </c>
      <c r="L138" t="n">
        <v>5</v>
      </c>
      <c r="M138" t="inlineStr">
        <is>
          <t>2026-06-29 13:59:34</t>
        </is>
      </c>
      <c r="N138" t="inlineStr">
        <is>
          <t>Maureen Ntsoko</t>
        </is>
      </c>
      <c r="O138" t="inlineStr">
        <is>
          <t>2026-06-17 14:10:06</t>
        </is>
      </c>
      <c r="P138" t="inlineStr">
        <is>
          <t>2026-06-17 14:10:06</t>
        </is>
      </c>
      <c r="Y138" t="inlineStr">
        <is>
          <t>27823346688</t>
        </is>
      </c>
    </row>
    <row r="139">
      <c r="A139" t="inlineStr">
        <is>
          <t>14921580</t>
        </is>
      </c>
      <c r="B139" t="inlineStr">
        <is>
          <t>e3b4766c-7623-412c-9473-38fa18d754e3</t>
        </is>
      </c>
      <c r="D139" t="inlineStr">
        <is>
          <t>111111124</t>
        </is>
      </c>
      <c r="E139" t="inlineStr">
        <is>
          <t>Vodacom Life 20260617</t>
        </is>
      </c>
      <c r="G139" t="inlineStr">
        <is>
          <t>MAHOMED</t>
        </is>
      </c>
      <c r="H139" t="inlineStr">
        <is>
          <t>MOOSA</t>
        </is>
      </c>
      <c r="J139" t="inlineStr">
        <is>
          <t>NA</t>
        </is>
      </c>
      <c r="K139" t="inlineStr">
        <is>
          <t>No Answer Autodial</t>
        </is>
      </c>
      <c r="L139" t="n">
        <v>5</v>
      </c>
      <c r="M139" t="inlineStr">
        <is>
          <t>2026-06-29 13:59:33</t>
        </is>
      </c>
      <c r="N139" t="inlineStr">
        <is>
          <t>system</t>
        </is>
      </c>
      <c r="O139" t="inlineStr">
        <is>
          <t>2026-06-17 14:10:06</t>
        </is>
      </c>
      <c r="P139" t="inlineStr">
        <is>
          <t>2026-06-17 14:10:06</t>
        </is>
      </c>
      <c r="Y139" t="inlineStr">
        <is>
          <t>27822951194</t>
        </is>
      </c>
    </row>
    <row r="140">
      <c r="A140" t="inlineStr">
        <is>
          <t>14921583</t>
        </is>
      </c>
      <c r="B140" t="inlineStr">
        <is>
          <t>5a316860-879e-4fbe-b115-17c17e2bb859</t>
        </is>
      </c>
      <c r="D140" t="inlineStr">
        <is>
          <t>111111124</t>
        </is>
      </c>
      <c r="E140" t="inlineStr">
        <is>
          <t>Vodacom Life 20260617</t>
        </is>
      </c>
      <c r="G140" t="inlineStr">
        <is>
          <t>THATO</t>
        </is>
      </c>
      <c r="H140" t="inlineStr">
        <is>
          <t>KOLOBE</t>
        </is>
      </c>
      <c r="J140" t="inlineStr">
        <is>
          <t>AE</t>
        </is>
      </c>
      <c r="K140" t="inlineStr">
        <is>
          <t>Auto Engaged</t>
        </is>
      </c>
      <c r="L140" t="n">
        <v>5</v>
      </c>
      <c r="M140" t="inlineStr">
        <is>
          <t>2026-06-29 13:59:21</t>
        </is>
      </c>
      <c r="N140" t="inlineStr">
        <is>
          <t>system</t>
        </is>
      </c>
      <c r="O140" t="inlineStr">
        <is>
          <t>2026-06-17 14:10:06</t>
        </is>
      </c>
      <c r="P140" t="inlineStr">
        <is>
          <t>2026-06-17 14:10:06</t>
        </is>
      </c>
      <c r="Y140" t="inlineStr">
        <is>
          <t>27716104063</t>
        </is>
      </c>
    </row>
    <row r="141">
      <c r="A141" t="inlineStr">
        <is>
          <t>14921585</t>
        </is>
      </c>
      <c r="B141" t="inlineStr">
        <is>
          <t>047197d0-d2f8-443b-9923-d48ee8ce84a5</t>
        </is>
      </c>
      <c r="D141" t="inlineStr">
        <is>
          <t>111111124</t>
        </is>
      </c>
      <c r="E141" t="inlineStr">
        <is>
          <t>Vodacom Life 20260617</t>
        </is>
      </c>
      <c r="G141" t="inlineStr">
        <is>
          <t>SIMPHIWE</t>
        </is>
      </c>
      <c r="H141" t="inlineStr">
        <is>
          <t>KHOZA</t>
        </is>
      </c>
      <c r="J141" t="inlineStr">
        <is>
          <t>AA</t>
        </is>
      </c>
      <c r="K141" t="inlineStr">
        <is>
          <t>Answering Machine Autodial</t>
        </is>
      </c>
      <c r="L141" t="n">
        <v>5</v>
      </c>
      <c r="M141" t="inlineStr">
        <is>
          <t>2026-06-29 13:59:10</t>
        </is>
      </c>
      <c r="N141" t="inlineStr">
        <is>
          <t>system</t>
        </is>
      </c>
      <c r="O141" t="inlineStr">
        <is>
          <t>2026-06-17 14:10:06</t>
        </is>
      </c>
      <c r="P141" t="inlineStr">
        <is>
          <t>2026-06-17 14:10:06</t>
        </is>
      </c>
      <c r="Y141" t="inlineStr">
        <is>
          <t>27798178302</t>
        </is>
      </c>
    </row>
    <row r="142">
      <c r="A142" t="inlineStr">
        <is>
          <t>14921587</t>
        </is>
      </c>
      <c r="B142" t="inlineStr">
        <is>
          <t>30090172-fa64-4487-b012-a3c8bd52be20</t>
        </is>
      </c>
      <c r="D142" t="inlineStr">
        <is>
          <t>111111124</t>
        </is>
      </c>
      <c r="E142" t="inlineStr">
        <is>
          <t>Vodacom Life 20260617</t>
        </is>
      </c>
      <c r="G142" t="inlineStr">
        <is>
          <t>CLARICE</t>
        </is>
      </c>
      <c r="H142" t="inlineStr">
        <is>
          <t>FOURIE</t>
        </is>
      </c>
      <c r="J142" t="inlineStr">
        <is>
          <t>NIUP</t>
        </is>
      </c>
      <c r="K142" t="inlineStr">
        <is>
          <t>Not Interested Upfront</t>
        </is>
      </c>
      <c r="L142" t="n">
        <v>5</v>
      </c>
      <c r="M142" t="inlineStr">
        <is>
          <t>2026-06-29 13:59:03</t>
        </is>
      </c>
      <c r="N142" t="inlineStr">
        <is>
          <t>Vanessa Kekana</t>
        </is>
      </c>
      <c r="O142" t="inlineStr">
        <is>
          <t>2026-06-17 14:10:06</t>
        </is>
      </c>
      <c r="P142" t="inlineStr">
        <is>
          <t>2026-06-17 14:10:06</t>
        </is>
      </c>
      <c r="Y142" t="inlineStr">
        <is>
          <t>27726459366</t>
        </is>
      </c>
    </row>
    <row r="143">
      <c r="A143" t="inlineStr">
        <is>
          <t>14900000</t>
        </is>
      </c>
      <c r="B143" t="inlineStr">
        <is>
          <t>e81210af-79ae-4d38-8261-982b5e7317de</t>
        </is>
      </c>
      <c r="D143" t="inlineStr">
        <is>
          <t>111111124</t>
        </is>
      </c>
      <c r="E143" t="inlineStr">
        <is>
          <t>Vodacom Life 20260617</t>
        </is>
      </c>
      <c r="G143" t="inlineStr">
        <is>
          <t>PETRO</t>
        </is>
      </c>
      <c r="H143" t="inlineStr">
        <is>
          <t>KEMPEN</t>
        </is>
      </c>
      <c r="J143" t="inlineStr">
        <is>
          <t>AE</t>
        </is>
      </c>
      <c r="K143" t="inlineStr">
        <is>
          <t>Auto Engaged</t>
        </is>
      </c>
      <c r="L143" t="n">
        <v>5</v>
      </c>
      <c r="M143" t="inlineStr">
        <is>
          <t>2026-06-29 13:59:01</t>
        </is>
      </c>
      <c r="N143" t="inlineStr">
        <is>
          <t>system</t>
        </is>
      </c>
      <c r="O143" t="inlineStr">
        <is>
          <t>2026-06-17 14:10:06</t>
        </is>
      </c>
      <c r="P143" t="inlineStr">
        <is>
          <t>2026-06-17 14:10:06</t>
        </is>
      </c>
      <c r="Y143" t="inlineStr">
        <is>
          <t>27827473547</t>
        </is>
      </c>
    </row>
    <row r="144">
      <c r="A144" t="inlineStr">
        <is>
          <t>14921589</t>
        </is>
      </c>
      <c r="B144" t="inlineStr">
        <is>
          <t>b7e47c25-c3a2-456d-919d-a6b4e3218fd7</t>
        </is>
      </c>
      <c r="D144" t="inlineStr">
        <is>
          <t>111111124</t>
        </is>
      </c>
      <c r="E144" t="inlineStr">
        <is>
          <t>Vodacom Life 20260617</t>
        </is>
      </c>
      <c r="G144" t="inlineStr">
        <is>
          <t>MARTHA</t>
        </is>
      </c>
      <c r="H144" t="inlineStr">
        <is>
          <t>MASEMULA</t>
        </is>
      </c>
      <c r="J144" t="inlineStr">
        <is>
          <t>ADC</t>
        </is>
      </c>
      <c r="K144" t="inlineStr">
        <is>
          <t>Auto Dial Disconnected</t>
        </is>
      </c>
      <c r="L144" t="n">
        <v>5</v>
      </c>
      <c r="M144" t="inlineStr">
        <is>
          <t>2026-06-29 13:59:01</t>
        </is>
      </c>
      <c r="N144" t="inlineStr">
        <is>
          <t>system</t>
        </is>
      </c>
      <c r="O144" t="inlineStr">
        <is>
          <t>2026-06-17 14:10:06</t>
        </is>
      </c>
      <c r="P144" t="inlineStr">
        <is>
          <t>2026-06-17 14:10:06</t>
        </is>
      </c>
      <c r="Y144" t="inlineStr">
        <is>
          <t>27726367374</t>
        </is>
      </c>
    </row>
    <row r="145">
      <c r="A145" t="inlineStr">
        <is>
          <t>14921590</t>
        </is>
      </c>
      <c r="B145" t="inlineStr">
        <is>
          <t>be3c026a-6c4c-4433-857a-df9d3c8b910c</t>
        </is>
      </c>
      <c r="D145" t="inlineStr">
        <is>
          <t>111111124</t>
        </is>
      </c>
      <c r="E145" t="inlineStr">
        <is>
          <t>Vodacom Life 20260617</t>
        </is>
      </c>
      <c r="G145" t="inlineStr">
        <is>
          <t>ZIMASA</t>
        </is>
      </c>
      <c r="H145" t="inlineStr">
        <is>
          <t>NDZEKENI</t>
        </is>
      </c>
      <c r="J145" t="inlineStr">
        <is>
          <t>AA</t>
        </is>
      </c>
      <c r="K145" t="inlineStr">
        <is>
          <t>Answering Machine Autodial</t>
        </is>
      </c>
      <c r="L145" t="n">
        <v>5</v>
      </c>
      <c r="M145" t="inlineStr">
        <is>
          <t>2026-06-29 13:58:59</t>
        </is>
      </c>
      <c r="N145" t="inlineStr">
        <is>
          <t>system</t>
        </is>
      </c>
      <c r="O145" t="inlineStr">
        <is>
          <t>2026-06-17 14:10:06</t>
        </is>
      </c>
      <c r="P145" t="inlineStr">
        <is>
          <t>2026-06-17 14:10:06</t>
        </is>
      </c>
      <c r="Y145" t="inlineStr">
        <is>
          <t>27609835997</t>
        </is>
      </c>
    </row>
    <row r="146">
      <c r="A146" t="inlineStr">
        <is>
          <t>14921594</t>
        </is>
      </c>
      <c r="B146" t="inlineStr">
        <is>
          <t>e8fb6e58-3fb6-4c3c-a1a7-48b785ac1a86</t>
        </is>
      </c>
      <c r="D146" t="inlineStr">
        <is>
          <t>111111124</t>
        </is>
      </c>
      <c r="E146" t="inlineStr">
        <is>
          <t>Vodacom Life 20260617</t>
        </is>
      </c>
      <c r="G146" t="inlineStr">
        <is>
          <t>ZAMA</t>
        </is>
      </c>
      <c r="H146" t="inlineStr">
        <is>
          <t>NKOMO</t>
        </is>
      </c>
      <c r="J146" t="inlineStr">
        <is>
          <t>AE</t>
        </is>
      </c>
      <c r="K146" t="inlineStr">
        <is>
          <t>Auto Engaged</t>
        </is>
      </c>
      <c r="L146" t="n">
        <v>5</v>
      </c>
      <c r="M146" t="inlineStr">
        <is>
          <t>2026-06-29 13:58:58</t>
        </is>
      </c>
      <c r="N146" t="inlineStr">
        <is>
          <t>system</t>
        </is>
      </c>
      <c r="O146" t="inlineStr">
        <is>
          <t>2026-06-17 14:10:06</t>
        </is>
      </c>
      <c r="P146" t="inlineStr">
        <is>
          <t>2026-06-17 14:10:06</t>
        </is>
      </c>
      <c r="Y146" t="inlineStr">
        <is>
          <t>27763574867</t>
        </is>
      </c>
    </row>
    <row r="147">
      <c r="A147" t="inlineStr">
        <is>
          <t>14921595</t>
        </is>
      </c>
      <c r="B147" t="inlineStr">
        <is>
          <t>a8581985-70a8-4dd8-bbe3-61e733817537</t>
        </is>
      </c>
      <c r="D147" t="inlineStr">
        <is>
          <t>111111124</t>
        </is>
      </c>
      <c r="E147" t="inlineStr">
        <is>
          <t>Vodacom Life 20260617</t>
        </is>
      </c>
      <c r="G147" t="inlineStr">
        <is>
          <t>IRENE</t>
        </is>
      </c>
      <c r="H147" t="inlineStr">
        <is>
          <t>MTHOMBENI</t>
        </is>
      </c>
      <c r="J147" t="inlineStr">
        <is>
          <t>AE</t>
        </is>
      </c>
      <c r="K147" t="inlineStr">
        <is>
          <t>Auto Engaged</t>
        </is>
      </c>
      <c r="L147" t="n">
        <v>5</v>
      </c>
      <c r="M147" t="inlineStr">
        <is>
          <t>2026-06-29 13:58:58</t>
        </is>
      </c>
      <c r="N147" t="inlineStr">
        <is>
          <t>system</t>
        </is>
      </c>
      <c r="O147" t="inlineStr">
        <is>
          <t>2026-06-17 14:10:06</t>
        </is>
      </c>
      <c r="P147" t="inlineStr">
        <is>
          <t>2026-06-17 14:10:06</t>
        </is>
      </c>
      <c r="Y147" t="inlineStr">
        <is>
          <t>27762072965</t>
        </is>
      </c>
    </row>
    <row r="148">
      <c r="A148" t="inlineStr">
        <is>
          <t>14921597</t>
        </is>
      </c>
      <c r="B148" t="inlineStr">
        <is>
          <t>83b46f58-c2fa-4320-acd7-b9d31f2607d3</t>
        </is>
      </c>
      <c r="D148" t="inlineStr">
        <is>
          <t>111111124</t>
        </is>
      </c>
      <c r="E148" t="inlineStr">
        <is>
          <t>Vodacom Life 20260617</t>
        </is>
      </c>
      <c r="G148" t="inlineStr">
        <is>
          <t>TRACEY</t>
        </is>
      </c>
      <c r="H148" t="inlineStr">
        <is>
          <t>MATABOGE</t>
        </is>
      </c>
      <c r="J148" t="inlineStr">
        <is>
          <t>DROP</t>
        </is>
      </c>
      <c r="K148" t="inlineStr">
        <is>
          <t>Dropped</t>
        </is>
      </c>
      <c r="L148" t="n">
        <v>5</v>
      </c>
      <c r="M148" t="inlineStr">
        <is>
          <t>2026-06-29 13:58:16</t>
        </is>
      </c>
      <c r="N148" t="inlineStr">
        <is>
          <t>system</t>
        </is>
      </c>
      <c r="O148" t="inlineStr">
        <is>
          <t>2026-06-17 14:10:06</t>
        </is>
      </c>
      <c r="P148" t="inlineStr">
        <is>
          <t>2026-06-17 14:10:06</t>
        </is>
      </c>
      <c r="Y148" t="inlineStr">
        <is>
          <t>27793295317</t>
        </is>
      </c>
    </row>
    <row r="149">
      <c r="A149" t="inlineStr">
        <is>
          <t>14921598</t>
        </is>
      </c>
      <c r="B149" t="inlineStr">
        <is>
          <t>5bb45a10-4c7a-408e-95bd-e622646013f0</t>
        </is>
      </c>
      <c r="D149" t="inlineStr">
        <is>
          <t>111111124</t>
        </is>
      </c>
      <c r="E149" t="inlineStr">
        <is>
          <t>Vodacom Life 20260617</t>
        </is>
      </c>
      <c r="G149" t="inlineStr">
        <is>
          <t>MANTANENG</t>
        </is>
      </c>
      <c r="H149" t="inlineStr">
        <is>
          <t>MASEMOLA</t>
        </is>
      </c>
      <c r="J149" t="inlineStr">
        <is>
          <t>AE</t>
        </is>
      </c>
      <c r="K149" t="inlineStr">
        <is>
          <t>Auto Engaged</t>
        </is>
      </c>
      <c r="L149" t="n">
        <v>5</v>
      </c>
      <c r="M149" t="inlineStr">
        <is>
          <t>2026-06-29 13:58:14</t>
        </is>
      </c>
      <c r="N149" t="inlineStr">
        <is>
          <t>system</t>
        </is>
      </c>
      <c r="O149" t="inlineStr">
        <is>
          <t>2026-06-17 14:10:06</t>
        </is>
      </c>
      <c r="P149" t="inlineStr">
        <is>
          <t>2026-06-17 14:10:06</t>
        </is>
      </c>
      <c r="Y149" t="inlineStr">
        <is>
          <t>27828346415</t>
        </is>
      </c>
    </row>
    <row r="150">
      <c r="A150" t="inlineStr">
        <is>
          <t>14900000</t>
        </is>
      </c>
      <c r="B150" t="inlineStr">
        <is>
          <t>7e3532a5-c713-4626-b475-76ce84301b1a</t>
        </is>
      </c>
      <c r="D150" t="inlineStr">
        <is>
          <t>111111124</t>
        </is>
      </c>
      <c r="E150" t="inlineStr">
        <is>
          <t>Vodacom Life 20260617</t>
        </is>
      </c>
      <c r="G150" t="inlineStr">
        <is>
          <t>JACOBUS</t>
        </is>
      </c>
      <c r="H150" t="inlineStr">
        <is>
          <t>COETZEE</t>
        </is>
      </c>
      <c r="J150" t="inlineStr">
        <is>
          <t>DROP</t>
        </is>
      </c>
      <c r="K150" t="inlineStr">
        <is>
          <t>Dropped</t>
        </is>
      </c>
      <c r="L150" t="n">
        <v>5</v>
      </c>
      <c r="M150" t="inlineStr">
        <is>
          <t>2026-06-29 13:58:14</t>
        </is>
      </c>
      <c r="N150" t="inlineStr">
        <is>
          <t>system</t>
        </is>
      </c>
      <c r="O150" t="inlineStr">
        <is>
          <t>2026-06-17 14:10:06</t>
        </is>
      </c>
      <c r="P150" t="inlineStr">
        <is>
          <t>2026-06-17 14:10:06</t>
        </is>
      </c>
      <c r="Y150" t="inlineStr">
        <is>
          <t>27823243810</t>
        </is>
      </c>
    </row>
    <row r="151">
      <c r="A151" t="inlineStr">
        <is>
          <t>14921600</t>
        </is>
      </c>
      <c r="B151" t="inlineStr">
        <is>
          <t>a7b56422-bf43-44aa-a4d3-8581ff17c786</t>
        </is>
      </c>
      <c r="D151" t="inlineStr">
        <is>
          <t>111111124</t>
        </is>
      </c>
      <c r="E151" t="inlineStr">
        <is>
          <t>Vodacom Life 20260617</t>
        </is>
      </c>
      <c r="G151" t="inlineStr">
        <is>
          <t>MAPHOKO</t>
        </is>
      </c>
      <c r="H151" t="inlineStr">
        <is>
          <t>LEBEPE</t>
        </is>
      </c>
      <c r="J151" t="inlineStr">
        <is>
          <t>AA</t>
        </is>
      </c>
      <c r="K151" t="inlineStr">
        <is>
          <t>Answering Machine Autodial</t>
        </is>
      </c>
      <c r="L151" t="n">
        <v>5</v>
      </c>
      <c r="M151" t="inlineStr">
        <is>
          <t>2026-06-29 13:58:14</t>
        </is>
      </c>
      <c r="N151" t="inlineStr">
        <is>
          <t>system</t>
        </is>
      </c>
      <c r="O151" t="inlineStr">
        <is>
          <t>2026-06-17 14:10:06</t>
        </is>
      </c>
      <c r="P151" t="inlineStr">
        <is>
          <t>2026-06-17 14:10:06</t>
        </is>
      </c>
      <c r="Y151" t="inlineStr">
        <is>
          <t>27714567628</t>
        </is>
      </c>
    </row>
    <row r="152">
      <c r="A152" t="inlineStr">
        <is>
          <t>14921601</t>
        </is>
      </c>
      <c r="B152" t="inlineStr">
        <is>
          <t>b37502f0-3e30-4648-9d56-dfc86e126610</t>
        </is>
      </c>
      <c r="D152" t="inlineStr">
        <is>
          <t>111111124</t>
        </is>
      </c>
      <c r="E152" t="inlineStr">
        <is>
          <t>Vodacom Life 20260617</t>
        </is>
      </c>
      <c r="G152" t="inlineStr">
        <is>
          <t>MILLICENT</t>
        </is>
      </c>
      <c r="H152" t="inlineStr">
        <is>
          <t>MTHETHWA</t>
        </is>
      </c>
      <c r="J152" t="inlineStr">
        <is>
          <t>DROP</t>
        </is>
      </c>
      <c r="K152" t="inlineStr">
        <is>
          <t>Dropped</t>
        </is>
      </c>
      <c r="L152" t="n">
        <v>5</v>
      </c>
      <c r="M152" t="inlineStr">
        <is>
          <t>2026-06-29 13:58:13</t>
        </is>
      </c>
      <c r="N152" t="inlineStr">
        <is>
          <t>system</t>
        </is>
      </c>
      <c r="O152" t="inlineStr">
        <is>
          <t>2026-06-17 14:10:06</t>
        </is>
      </c>
      <c r="P152" t="inlineStr">
        <is>
          <t>2026-06-17 14:10:06</t>
        </is>
      </c>
      <c r="Y152" t="inlineStr">
        <is>
          <t>27637796157</t>
        </is>
      </c>
    </row>
    <row r="153">
      <c r="A153" t="inlineStr">
        <is>
          <t>14921603</t>
        </is>
      </c>
      <c r="B153" t="inlineStr">
        <is>
          <t>cb795345-8cd8-4830-834a-1595329bfaf3</t>
        </is>
      </c>
      <c r="D153" t="inlineStr">
        <is>
          <t>111111124</t>
        </is>
      </c>
      <c r="E153" t="inlineStr">
        <is>
          <t>Vodacom Life 20260617</t>
        </is>
      </c>
      <c r="G153" t="inlineStr">
        <is>
          <t>PAULINA</t>
        </is>
      </c>
      <c r="H153" t="inlineStr">
        <is>
          <t>NKUNA</t>
        </is>
      </c>
      <c r="J153" t="inlineStr">
        <is>
          <t>AA</t>
        </is>
      </c>
      <c r="K153" t="inlineStr">
        <is>
          <t>Answering Machine Autodial</t>
        </is>
      </c>
      <c r="L153" t="n">
        <v>5</v>
      </c>
      <c r="M153" t="inlineStr">
        <is>
          <t>2026-06-29 13:58:13</t>
        </is>
      </c>
      <c r="N153" t="inlineStr">
        <is>
          <t>system</t>
        </is>
      </c>
      <c r="O153" t="inlineStr">
        <is>
          <t>2026-06-17 14:10:06</t>
        </is>
      </c>
      <c r="P153" t="inlineStr">
        <is>
          <t>2026-06-17 14:10:06</t>
        </is>
      </c>
      <c r="Y153" t="inlineStr">
        <is>
          <t>27726230741</t>
        </is>
      </c>
    </row>
    <row r="154">
      <c r="A154" t="inlineStr">
        <is>
          <t>14921605</t>
        </is>
      </c>
      <c r="B154" t="inlineStr">
        <is>
          <t>ca83d1ec-c2af-42ca-b1f0-9c323b84c410</t>
        </is>
      </c>
      <c r="D154" t="inlineStr">
        <is>
          <t>111111124</t>
        </is>
      </c>
      <c r="E154" t="inlineStr">
        <is>
          <t>Vodacom Life 20260617</t>
        </is>
      </c>
      <c r="G154" t="inlineStr">
        <is>
          <t>HERMANUS</t>
        </is>
      </c>
      <c r="H154" t="inlineStr">
        <is>
          <t>CLINGEN</t>
        </is>
      </c>
      <c r="J154" t="inlineStr">
        <is>
          <t>NA</t>
        </is>
      </c>
      <c r="K154" t="inlineStr">
        <is>
          <t>No Answer Autodial</t>
        </is>
      </c>
      <c r="L154" t="n">
        <v>5</v>
      </c>
      <c r="M154" t="inlineStr">
        <is>
          <t>2026-06-29 13:57:59</t>
        </is>
      </c>
      <c r="N154" t="inlineStr">
        <is>
          <t>system</t>
        </is>
      </c>
      <c r="O154" t="inlineStr">
        <is>
          <t>2026-06-17 14:10:06</t>
        </is>
      </c>
      <c r="P154" t="inlineStr">
        <is>
          <t>2026-06-17 14:10:06</t>
        </is>
      </c>
      <c r="Y154" t="inlineStr">
        <is>
          <t>27662356872</t>
        </is>
      </c>
    </row>
    <row r="155">
      <c r="A155" t="inlineStr">
        <is>
          <t>14921607</t>
        </is>
      </c>
      <c r="B155" t="inlineStr">
        <is>
          <t>74113203-053f-4d3f-b3ad-c8afff2ce826</t>
        </is>
      </c>
      <c r="D155" t="inlineStr">
        <is>
          <t>111111124</t>
        </is>
      </c>
      <c r="E155" t="inlineStr">
        <is>
          <t>Vodacom Life 20260617</t>
        </is>
      </c>
      <c r="G155" t="inlineStr">
        <is>
          <t>JOHANNES</t>
        </is>
      </c>
      <c r="H155" t="inlineStr">
        <is>
          <t>DE MEYER</t>
        </is>
      </c>
      <c r="J155" t="inlineStr">
        <is>
          <t>AA</t>
        </is>
      </c>
      <c r="K155" t="inlineStr">
        <is>
          <t>Answering Machine Autodial</t>
        </is>
      </c>
      <c r="L155" t="n">
        <v>5</v>
      </c>
      <c r="M155" t="inlineStr">
        <is>
          <t>2026-06-29 13:57:59</t>
        </is>
      </c>
      <c r="N155" t="inlineStr">
        <is>
          <t>system</t>
        </is>
      </c>
      <c r="O155" t="inlineStr">
        <is>
          <t>2026-06-17 14:10:06</t>
        </is>
      </c>
      <c r="P155" t="inlineStr">
        <is>
          <t>2026-06-17 14:10:06</t>
        </is>
      </c>
      <c r="Y155" t="inlineStr">
        <is>
          <t>27714888522</t>
        </is>
      </c>
    </row>
    <row r="156">
      <c r="A156" t="inlineStr">
        <is>
          <t>14921609</t>
        </is>
      </c>
      <c r="B156" t="inlineStr">
        <is>
          <t>a2ae8b7a-fe4a-4219-bbef-200e9cf5249d</t>
        </is>
      </c>
      <c r="D156" t="inlineStr">
        <is>
          <t>111111124</t>
        </is>
      </c>
      <c r="E156" t="inlineStr">
        <is>
          <t>Vodacom Life 20260617</t>
        </is>
      </c>
      <c r="G156" t="inlineStr">
        <is>
          <t>ADRIAN</t>
        </is>
      </c>
      <c r="H156" t="inlineStr">
        <is>
          <t>RYAN</t>
        </is>
      </c>
      <c r="J156" t="inlineStr">
        <is>
          <t>NI</t>
        </is>
      </c>
      <c r="K156" t="inlineStr">
        <is>
          <t>Not Interested</t>
        </is>
      </c>
      <c r="L156" t="n">
        <v>5</v>
      </c>
      <c r="M156" t="inlineStr">
        <is>
          <t>2026-06-29 13:57:59</t>
        </is>
      </c>
      <c r="N156" t="inlineStr">
        <is>
          <t>Khensane Mabasa</t>
        </is>
      </c>
      <c r="O156" t="inlineStr">
        <is>
          <t>2026-06-17 14:10:06</t>
        </is>
      </c>
      <c r="P156" t="inlineStr">
        <is>
          <t>2026-06-17 14:10:06</t>
        </is>
      </c>
      <c r="Y156" t="inlineStr">
        <is>
          <t>27741792592</t>
        </is>
      </c>
    </row>
    <row r="157">
      <c r="A157" t="inlineStr">
        <is>
          <t>14920842</t>
        </is>
      </c>
      <c r="B157" t="inlineStr">
        <is>
          <t>67bf1177-cce5-43ff-aa08-c4652572b34b</t>
        </is>
      </c>
      <c r="D157" t="inlineStr">
        <is>
          <t>111111124</t>
        </is>
      </c>
      <c r="E157" t="inlineStr">
        <is>
          <t>Vodacom Life 20260617</t>
        </is>
      </c>
      <c r="G157" t="inlineStr">
        <is>
          <t>SHADIAN</t>
        </is>
      </c>
      <c r="H157" t="inlineStr">
        <is>
          <t>KAMFER</t>
        </is>
      </c>
      <c r="J157" t="inlineStr">
        <is>
          <t>IABDN</t>
        </is>
      </c>
      <c r="K157" t="inlineStr">
        <is>
          <t>Inbound Abandon</t>
        </is>
      </c>
      <c r="L157" t="n">
        <v>5</v>
      </c>
      <c r="M157" t="inlineStr">
        <is>
          <t>2026-06-29 13:57:20</t>
        </is>
      </c>
      <c r="N157" t="inlineStr">
        <is>
          <t>system</t>
        </is>
      </c>
      <c r="O157" t="inlineStr">
        <is>
          <t>2026-06-17 14:10:06</t>
        </is>
      </c>
      <c r="P157" t="inlineStr">
        <is>
          <t>2026-06-17 14:10:06</t>
        </is>
      </c>
      <c r="Y157" t="inlineStr">
        <is>
          <t>27715030013</t>
        </is>
      </c>
    </row>
    <row r="158">
      <c r="A158" t="inlineStr">
        <is>
          <t>14920862</t>
        </is>
      </c>
      <c r="B158" t="inlineStr">
        <is>
          <t>eefeb91b-23e4-4ca4-b655-9d108df418ea</t>
        </is>
      </c>
      <c r="D158" t="inlineStr">
        <is>
          <t>111111124</t>
        </is>
      </c>
      <c r="E158" t="inlineStr">
        <is>
          <t>Vodacom Life 20260617</t>
        </is>
      </c>
      <c r="G158" t="inlineStr">
        <is>
          <t>JOSIAS</t>
        </is>
      </c>
      <c r="H158" t="inlineStr">
        <is>
          <t>AFRICA</t>
        </is>
      </c>
      <c r="J158" t="inlineStr">
        <is>
          <t>NA</t>
        </is>
      </c>
      <c r="K158" t="inlineStr">
        <is>
          <t>No Answer Autodial</t>
        </is>
      </c>
      <c r="L158" t="n">
        <v>5</v>
      </c>
      <c r="M158" t="inlineStr">
        <is>
          <t>2026-06-29 13:56:54</t>
        </is>
      </c>
      <c r="N158" t="inlineStr">
        <is>
          <t>system</t>
        </is>
      </c>
      <c r="O158" t="inlineStr">
        <is>
          <t>2026-06-17 14:10:06</t>
        </is>
      </c>
      <c r="P158" t="inlineStr">
        <is>
          <t>2026-06-17 14:10:06</t>
        </is>
      </c>
      <c r="Y158" t="inlineStr">
        <is>
          <t>27647512983</t>
        </is>
      </c>
    </row>
    <row r="159">
      <c r="A159" t="inlineStr">
        <is>
          <t>14920863</t>
        </is>
      </c>
      <c r="B159" t="inlineStr">
        <is>
          <t>b5e1c744-3433-407c-b2bf-0616f74c21e1</t>
        </is>
      </c>
      <c r="D159" t="inlineStr">
        <is>
          <t>111111124</t>
        </is>
      </c>
      <c r="E159" t="inlineStr">
        <is>
          <t>Vodacom Life 20260617</t>
        </is>
      </c>
      <c r="G159" t="inlineStr">
        <is>
          <t>RAMUADA</t>
        </is>
      </c>
      <c r="H159" t="inlineStr">
        <is>
          <t>RAMUANDA</t>
        </is>
      </c>
      <c r="J159" t="inlineStr">
        <is>
          <t>AA</t>
        </is>
      </c>
      <c r="K159" t="inlineStr">
        <is>
          <t>Answering Machine Autodial</t>
        </is>
      </c>
      <c r="L159" t="n">
        <v>5</v>
      </c>
      <c r="M159" t="inlineStr">
        <is>
          <t>2026-06-29 13:56:53</t>
        </is>
      </c>
      <c r="N159" t="inlineStr">
        <is>
          <t>system</t>
        </is>
      </c>
      <c r="O159" t="inlineStr">
        <is>
          <t>2026-06-17 14:10:06</t>
        </is>
      </c>
      <c r="P159" t="inlineStr">
        <is>
          <t>2026-06-17 14:10:06</t>
        </is>
      </c>
      <c r="Y159" t="inlineStr">
        <is>
          <t>27721048248</t>
        </is>
      </c>
    </row>
    <row r="160">
      <c r="A160" t="inlineStr">
        <is>
          <t>14920866</t>
        </is>
      </c>
      <c r="B160" t="inlineStr">
        <is>
          <t>a352c71e-6782-4364-a0e6-90bf9bdcc90b</t>
        </is>
      </c>
      <c r="D160" t="inlineStr">
        <is>
          <t>111111124</t>
        </is>
      </c>
      <c r="E160" t="inlineStr">
        <is>
          <t>Vodacom Life 20260617</t>
        </is>
      </c>
      <c r="G160" t="inlineStr">
        <is>
          <t>PETER</t>
        </is>
      </c>
      <c r="H160" t="inlineStr">
        <is>
          <t>MTHOMBENI</t>
        </is>
      </c>
      <c r="J160" t="inlineStr">
        <is>
          <t>NA</t>
        </is>
      </c>
      <c r="K160" t="inlineStr">
        <is>
          <t>No Answer Autodial</t>
        </is>
      </c>
      <c r="L160" t="n">
        <v>5</v>
      </c>
      <c r="M160" t="inlineStr">
        <is>
          <t>2026-06-29 13:56:45</t>
        </is>
      </c>
      <c r="N160" t="inlineStr">
        <is>
          <t>system</t>
        </is>
      </c>
      <c r="O160" t="inlineStr">
        <is>
          <t>2026-06-17 14:10:06</t>
        </is>
      </c>
      <c r="P160" t="inlineStr">
        <is>
          <t>2026-06-17 14:10:06</t>
        </is>
      </c>
      <c r="Y160" t="inlineStr">
        <is>
          <t>27799416037</t>
        </is>
      </c>
    </row>
    <row r="161">
      <c r="A161" t="inlineStr">
        <is>
          <t>14920867</t>
        </is>
      </c>
      <c r="B161" t="inlineStr">
        <is>
          <t>408a3b1c-d55f-41cd-80dd-34ea93270c8e</t>
        </is>
      </c>
      <c r="D161" t="inlineStr">
        <is>
          <t>111111124</t>
        </is>
      </c>
      <c r="E161" t="inlineStr">
        <is>
          <t>Vodacom Life 20260617</t>
        </is>
      </c>
      <c r="G161" t="inlineStr">
        <is>
          <t>FRANCOIS</t>
        </is>
      </c>
      <c r="H161" t="inlineStr">
        <is>
          <t>EBERSOHN</t>
        </is>
      </c>
      <c r="J161" t="inlineStr">
        <is>
          <t>AA</t>
        </is>
      </c>
      <c r="K161" t="inlineStr">
        <is>
          <t>Answering Machine Autodial</t>
        </is>
      </c>
      <c r="L161" t="n">
        <v>5</v>
      </c>
      <c r="M161" t="inlineStr">
        <is>
          <t>2026-06-29 13:56:43</t>
        </is>
      </c>
      <c r="N161" t="inlineStr">
        <is>
          <t>system</t>
        </is>
      </c>
      <c r="O161" t="inlineStr">
        <is>
          <t>2026-06-17 14:10:06</t>
        </is>
      </c>
      <c r="P161" t="inlineStr">
        <is>
          <t>2026-06-17 14:10:06</t>
        </is>
      </c>
      <c r="Y161" t="inlineStr">
        <is>
          <t>27714626753</t>
        </is>
      </c>
    </row>
    <row r="162">
      <c r="A162" t="inlineStr">
        <is>
          <t>14920868</t>
        </is>
      </c>
      <c r="B162" t="inlineStr">
        <is>
          <t>5d2ea393-0061-4b57-8d94-f8cd71534599</t>
        </is>
      </c>
      <c r="D162" t="inlineStr">
        <is>
          <t>111111124</t>
        </is>
      </c>
      <c r="E162" t="inlineStr">
        <is>
          <t>Vodacom Life 20260617</t>
        </is>
      </c>
      <c r="G162" t="inlineStr">
        <is>
          <t>TEBOGO</t>
        </is>
      </c>
      <c r="H162" t="inlineStr">
        <is>
          <t>MKHABELA</t>
        </is>
      </c>
      <c r="J162" t="inlineStr">
        <is>
          <t>AE</t>
        </is>
      </c>
      <c r="K162" t="inlineStr">
        <is>
          <t>Auto Engaged</t>
        </is>
      </c>
      <c r="L162" t="n">
        <v>5</v>
      </c>
      <c r="M162" t="inlineStr">
        <is>
          <t>2026-06-29 13:56:43</t>
        </is>
      </c>
      <c r="N162" t="inlineStr">
        <is>
          <t>system</t>
        </is>
      </c>
      <c r="O162" t="inlineStr">
        <is>
          <t>2026-06-17 14:10:06</t>
        </is>
      </c>
      <c r="P162" t="inlineStr">
        <is>
          <t>2026-06-17 14:10:06</t>
        </is>
      </c>
      <c r="Y162" t="inlineStr">
        <is>
          <t>27608021890</t>
        </is>
      </c>
    </row>
    <row r="163">
      <c r="A163" t="inlineStr">
        <is>
          <t>14920869</t>
        </is>
      </c>
      <c r="B163" t="inlineStr">
        <is>
          <t>976b02bd-b6b0-4f64-90e0-d72ea1c95427</t>
        </is>
      </c>
      <c r="D163" t="inlineStr">
        <is>
          <t>111111124</t>
        </is>
      </c>
      <c r="E163" t="inlineStr">
        <is>
          <t>Vodacom Life 20260617</t>
        </is>
      </c>
      <c r="G163" t="inlineStr">
        <is>
          <t>SCHALK</t>
        </is>
      </c>
      <c r="H163" t="inlineStr">
        <is>
          <t>VAN DER MERWE</t>
        </is>
      </c>
      <c r="J163" t="inlineStr">
        <is>
          <t>DNCLIFE</t>
        </is>
      </c>
      <c r="K163" t="inlineStr">
        <is>
          <t>Do Not Call</t>
        </is>
      </c>
      <c r="L163" t="n">
        <v>5</v>
      </c>
      <c r="M163" t="inlineStr">
        <is>
          <t>2026-06-29 13:56:43</t>
        </is>
      </c>
      <c r="N163" t="inlineStr">
        <is>
          <t>Vanessa Kekana</t>
        </is>
      </c>
      <c r="O163" t="inlineStr">
        <is>
          <t>2026-06-17 14:10:06</t>
        </is>
      </c>
      <c r="P163" t="inlineStr">
        <is>
          <t>2026-06-17 14:10:06</t>
        </is>
      </c>
      <c r="Y163" t="inlineStr">
        <is>
          <t>27847014012</t>
        </is>
      </c>
    </row>
    <row r="164">
      <c r="A164" t="inlineStr">
        <is>
          <t>14920871</t>
        </is>
      </c>
      <c r="B164" t="inlineStr">
        <is>
          <t>89e9ba7f-66b1-4a63-9787-ee5b938c52c7</t>
        </is>
      </c>
      <c r="D164" t="inlineStr">
        <is>
          <t>111111124</t>
        </is>
      </c>
      <c r="E164" t="inlineStr">
        <is>
          <t>Vodacom Life 20260617</t>
        </is>
      </c>
      <c r="G164" t="inlineStr">
        <is>
          <t>CHRISTINA</t>
        </is>
      </c>
      <c r="H164" t="inlineStr">
        <is>
          <t>KRIEL</t>
        </is>
      </c>
      <c r="J164" t="inlineStr">
        <is>
          <t>AE</t>
        </is>
      </c>
      <c r="K164" t="inlineStr">
        <is>
          <t>Auto Engaged</t>
        </is>
      </c>
      <c r="L164" t="n">
        <v>5</v>
      </c>
      <c r="M164" t="inlineStr">
        <is>
          <t>2026-06-29 13:56:10</t>
        </is>
      </c>
      <c r="N164" t="inlineStr">
        <is>
          <t>system</t>
        </is>
      </c>
      <c r="O164" t="inlineStr">
        <is>
          <t>2026-06-17 14:10:06</t>
        </is>
      </c>
      <c r="P164" t="inlineStr">
        <is>
          <t>2026-06-17 14:10:06</t>
        </is>
      </c>
      <c r="Y164" t="inlineStr">
        <is>
          <t>27761965672</t>
        </is>
      </c>
    </row>
    <row r="165">
      <c r="A165" t="inlineStr">
        <is>
          <t>14920872</t>
        </is>
      </c>
      <c r="B165" t="inlineStr">
        <is>
          <t>b0007e43-2969-4794-95e8-1db2e0db6826</t>
        </is>
      </c>
      <c r="D165" t="inlineStr">
        <is>
          <t>111111124</t>
        </is>
      </c>
      <c r="E165" t="inlineStr">
        <is>
          <t>Vodacom Life 20260617</t>
        </is>
      </c>
      <c r="G165" t="inlineStr">
        <is>
          <t>LINDANI</t>
        </is>
      </c>
      <c r="H165" t="inlineStr">
        <is>
          <t>NKOSI</t>
        </is>
      </c>
      <c r="J165" t="inlineStr">
        <is>
          <t>NA</t>
        </is>
      </c>
      <c r="K165" t="inlineStr">
        <is>
          <t>No Answer Autodial</t>
        </is>
      </c>
      <c r="L165" t="n">
        <v>5</v>
      </c>
      <c r="M165" t="inlineStr">
        <is>
          <t>2026-06-29 13:56:10</t>
        </is>
      </c>
      <c r="N165" t="inlineStr">
        <is>
          <t>system</t>
        </is>
      </c>
      <c r="O165" t="inlineStr">
        <is>
          <t>2026-06-17 14:10:06</t>
        </is>
      </c>
      <c r="P165" t="inlineStr">
        <is>
          <t>2026-06-17 14:10:06</t>
        </is>
      </c>
      <c r="Y165" t="inlineStr">
        <is>
          <t>27662310866</t>
        </is>
      </c>
    </row>
    <row r="166">
      <c r="A166" t="inlineStr">
        <is>
          <t>14920873</t>
        </is>
      </c>
      <c r="B166" t="inlineStr">
        <is>
          <t>c207a047-c14f-450d-b694-4afa0e7530f9</t>
        </is>
      </c>
      <c r="D166" t="inlineStr">
        <is>
          <t>111111124</t>
        </is>
      </c>
      <c r="E166" t="inlineStr">
        <is>
          <t>Vodacom Life 20260617</t>
        </is>
      </c>
      <c r="G166" t="inlineStr">
        <is>
          <t>PINE</t>
        </is>
      </c>
      <c r="H166" t="inlineStr">
        <is>
          <t>PIENAAR</t>
        </is>
      </c>
      <c r="J166" t="inlineStr">
        <is>
          <t>AE</t>
        </is>
      </c>
      <c r="K166" t="inlineStr">
        <is>
          <t>Auto Engaged</t>
        </is>
      </c>
      <c r="L166" t="n">
        <v>5</v>
      </c>
      <c r="M166" t="inlineStr">
        <is>
          <t>2026-06-29 13:56:04</t>
        </is>
      </c>
      <c r="N166" t="inlineStr">
        <is>
          <t>system</t>
        </is>
      </c>
      <c r="O166" t="inlineStr">
        <is>
          <t>2026-06-17 14:10:06</t>
        </is>
      </c>
      <c r="P166" t="inlineStr">
        <is>
          <t>2026-06-17 14:10:06</t>
        </is>
      </c>
      <c r="Y166" t="inlineStr">
        <is>
          <t>27826197376</t>
        </is>
      </c>
    </row>
    <row r="167">
      <c r="A167" t="inlineStr">
        <is>
          <t>14920874</t>
        </is>
      </c>
      <c r="B167" t="inlineStr">
        <is>
          <t>1e7c3c0e-3a96-4e86-bd45-29c63072472f</t>
        </is>
      </c>
      <c r="D167" t="inlineStr">
        <is>
          <t>111111124</t>
        </is>
      </c>
      <c r="E167" t="inlineStr">
        <is>
          <t>Vodacom Life 20260617</t>
        </is>
      </c>
      <c r="G167" t="inlineStr">
        <is>
          <t>SINELETHU</t>
        </is>
      </c>
      <c r="H167" t="inlineStr">
        <is>
          <t>POSISO</t>
        </is>
      </c>
      <c r="J167" t="inlineStr">
        <is>
          <t>AE</t>
        </is>
      </c>
      <c r="K167" t="inlineStr">
        <is>
          <t>Auto Engaged</t>
        </is>
      </c>
      <c r="L167" t="n">
        <v>5</v>
      </c>
      <c r="M167" t="inlineStr">
        <is>
          <t>2026-06-29 13:56:03</t>
        </is>
      </c>
      <c r="N167" t="inlineStr">
        <is>
          <t>system</t>
        </is>
      </c>
      <c r="O167" t="inlineStr">
        <is>
          <t>2026-06-17 14:10:06</t>
        </is>
      </c>
      <c r="P167" t="inlineStr">
        <is>
          <t>2026-06-17 14:10:06</t>
        </is>
      </c>
      <c r="Y167" t="inlineStr">
        <is>
          <t>27828134025</t>
        </is>
      </c>
    </row>
    <row r="168">
      <c r="A168" t="inlineStr">
        <is>
          <t>14921630</t>
        </is>
      </c>
      <c r="B168" t="inlineStr">
        <is>
          <t>c6225d90-b071-4031-a3f5-7ee64b9f9407</t>
        </is>
      </c>
      <c r="D168" t="inlineStr">
        <is>
          <t>111111124</t>
        </is>
      </c>
      <c r="E168" t="inlineStr">
        <is>
          <t>Vodacom Life 20260617</t>
        </is>
      </c>
      <c r="G168" t="inlineStr">
        <is>
          <t>DAVID</t>
        </is>
      </c>
      <c r="H168" t="inlineStr">
        <is>
          <t>SIBANYONI</t>
        </is>
      </c>
      <c r="J168" t="inlineStr">
        <is>
          <t>AE</t>
        </is>
      </c>
      <c r="K168" t="inlineStr">
        <is>
          <t>Auto Engaged</t>
        </is>
      </c>
      <c r="L168" t="n">
        <v>5</v>
      </c>
      <c r="M168" t="inlineStr">
        <is>
          <t>2026-06-29 13:56:03</t>
        </is>
      </c>
      <c r="N168" t="inlineStr">
        <is>
          <t>system</t>
        </is>
      </c>
      <c r="O168" t="inlineStr">
        <is>
          <t>2026-06-17 14:10:06</t>
        </is>
      </c>
      <c r="P168" t="inlineStr">
        <is>
          <t>2026-06-17 14:10:06</t>
        </is>
      </c>
      <c r="Y168" t="inlineStr">
        <is>
          <t>27663736391</t>
        </is>
      </c>
    </row>
    <row r="169">
      <c r="A169" t="inlineStr">
        <is>
          <t>14921631</t>
        </is>
      </c>
      <c r="B169" t="inlineStr">
        <is>
          <t>d9549762-15d1-4fe5-913e-363b853d419a</t>
        </is>
      </c>
      <c r="D169" t="inlineStr">
        <is>
          <t>111111124</t>
        </is>
      </c>
      <c r="E169" t="inlineStr">
        <is>
          <t>Vodacom Life 20260617</t>
        </is>
      </c>
      <c r="G169" t="inlineStr">
        <is>
          <t>BILQEES</t>
        </is>
      </c>
      <c r="H169" t="inlineStr">
        <is>
          <t>CANFIELD</t>
        </is>
      </c>
      <c r="J169" t="inlineStr">
        <is>
          <t>AA</t>
        </is>
      </c>
      <c r="K169" t="inlineStr">
        <is>
          <t>Answering Machine Autodial</t>
        </is>
      </c>
      <c r="L169" t="n">
        <v>5</v>
      </c>
      <c r="M169" t="inlineStr">
        <is>
          <t>2026-06-29 13:56:03</t>
        </is>
      </c>
      <c r="N169" t="inlineStr">
        <is>
          <t>system</t>
        </is>
      </c>
      <c r="O169" t="inlineStr">
        <is>
          <t>2026-06-17 14:10:06</t>
        </is>
      </c>
      <c r="P169" t="inlineStr">
        <is>
          <t>2026-06-17 14:10:06</t>
        </is>
      </c>
      <c r="Y169" t="inlineStr">
        <is>
          <t>27723655933</t>
        </is>
      </c>
    </row>
    <row r="170">
      <c r="A170" t="inlineStr">
        <is>
          <t>14921632</t>
        </is>
      </c>
      <c r="B170" t="inlineStr">
        <is>
          <t>28338440-3b41-4420-a7c3-5e3bdd17206a</t>
        </is>
      </c>
      <c r="D170" t="inlineStr">
        <is>
          <t>111111124</t>
        </is>
      </c>
      <c r="E170" t="inlineStr">
        <is>
          <t>Vodacom Life 20260617</t>
        </is>
      </c>
      <c r="G170" t="inlineStr">
        <is>
          <t>ANDRIES</t>
        </is>
      </c>
      <c r="H170" t="inlineStr">
        <is>
          <t>NONTAKA</t>
        </is>
      </c>
      <c r="J170" t="inlineStr">
        <is>
          <t>NA</t>
        </is>
      </c>
      <c r="K170" t="inlineStr">
        <is>
          <t>No Answer Autodial</t>
        </is>
      </c>
      <c r="L170" t="n">
        <v>5</v>
      </c>
      <c r="M170" t="inlineStr">
        <is>
          <t>2026-06-29 13:55:25</t>
        </is>
      </c>
      <c r="N170" t="inlineStr">
        <is>
          <t>system</t>
        </is>
      </c>
      <c r="O170" t="inlineStr">
        <is>
          <t>2026-06-17 14:10:06</t>
        </is>
      </c>
      <c r="P170" t="inlineStr">
        <is>
          <t>2026-06-17 14:10:06</t>
        </is>
      </c>
      <c r="Y170" t="inlineStr">
        <is>
          <t>27769795159</t>
        </is>
      </c>
    </row>
    <row r="171">
      <c r="A171" t="inlineStr">
        <is>
          <t>14921633</t>
        </is>
      </c>
      <c r="B171" t="inlineStr">
        <is>
          <t>c31dd97a-f109-448f-a8d5-204cd01f35bf</t>
        </is>
      </c>
      <c r="D171" t="inlineStr">
        <is>
          <t>111111124</t>
        </is>
      </c>
      <c r="E171" t="inlineStr">
        <is>
          <t>Vodacom Life 20260617</t>
        </is>
      </c>
      <c r="G171" t="inlineStr">
        <is>
          <t>MARIA</t>
        </is>
      </c>
      <c r="H171" t="inlineStr">
        <is>
          <t>MWELI</t>
        </is>
      </c>
      <c r="J171" t="inlineStr">
        <is>
          <t>DROP</t>
        </is>
      </c>
      <c r="K171" t="inlineStr">
        <is>
          <t>Dropped</t>
        </is>
      </c>
      <c r="L171" t="n">
        <v>5</v>
      </c>
      <c r="M171" t="inlineStr">
        <is>
          <t>2026-06-29 13:55:25</t>
        </is>
      </c>
      <c r="N171" t="inlineStr">
        <is>
          <t>system</t>
        </is>
      </c>
      <c r="O171" t="inlineStr">
        <is>
          <t>2026-06-17 14:10:06</t>
        </is>
      </c>
      <c r="P171" t="inlineStr">
        <is>
          <t>2026-06-17 14:10:06</t>
        </is>
      </c>
      <c r="Y171" t="inlineStr">
        <is>
          <t>27822574741</t>
        </is>
      </c>
    </row>
    <row r="172">
      <c r="A172" t="inlineStr">
        <is>
          <t>14921634</t>
        </is>
      </c>
      <c r="B172" t="inlineStr">
        <is>
          <t>c8dc78a7-e976-480b-95d9-3cb9aa811a8a</t>
        </is>
      </c>
      <c r="D172" t="inlineStr">
        <is>
          <t>111111124</t>
        </is>
      </c>
      <c r="E172" t="inlineStr">
        <is>
          <t>Vodacom Life 20260617</t>
        </is>
      </c>
      <c r="G172" t="inlineStr">
        <is>
          <t>CJP</t>
        </is>
      </c>
      <c r="H172" t="inlineStr">
        <is>
          <t>BADENHORST</t>
        </is>
      </c>
      <c r="J172" t="inlineStr">
        <is>
          <t>AE</t>
        </is>
      </c>
      <c r="K172" t="inlineStr">
        <is>
          <t>Auto Engaged</t>
        </is>
      </c>
      <c r="L172" t="n">
        <v>5</v>
      </c>
      <c r="M172" t="inlineStr">
        <is>
          <t>2026-06-29 13:55:22</t>
        </is>
      </c>
      <c r="N172" t="inlineStr">
        <is>
          <t>system</t>
        </is>
      </c>
      <c r="O172" t="inlineStr">
        <is>
          <t>2026-06-17 14:10:06</t>
        </is>
      </c>
      <c r="P172" t="inlineStr">
        <is>
          <t>2026-06-17 14:10:06</t>
        </is>
      </c>
      <c r="Y172" t="inlineStr">
        <is>
          <t>27761144464</t>
        </is>
      </c>
    </row>
    <row r="173">
      <c r="A173" t="inlineStr">
        <is>
          <t>14921516</t>
        </is>
      </c>
      <c r="B173" t="inlineStr">
        <is>
          <t>651b372c-bc3f-4279-ae0c-1fb8ef111bc1</t>
        </is>
      </c>
      <c r="D173" t="inlineStr">
        <is>
          <t>111111124</t>
        </is>
      </c>
      <c r="E173" t="inlineStr">
        <is>
          <t>Vodacom Life 20260617</t>
        </is>
      </c>
      <c r="G173" t="inlineStr">
        <is>
          <t>MSIZI</t>
        </is>
      </c>
      <c r="H173" t="inlineStr">
        <is>
          <t>ZWANE</t>
        </is>
      </c>
      <c r="J173" t="inlineStr">
        <is>
          <t>IABDN</t>
        </is>
      </c>
      <c r="K173" t="inlineStr">
        <is>
          <t>Inbound Abandon</t>
        </is>
      </c>
      <c r="L173" t="n">
        <v>5</v>
      </c>
      <c r="M173" t="inlineStr">
        <is>
          <t>2026-06-29 13:54:57</t>
        </is>
      </c>
      <c r="N173" t="inlineStr">
        <is>
          <t>system</t>
        </is>
      </c>
      <c r="O173" t="inlineStr">
        <is>
          <t>2026-06-17 14:10:06</t>
        </is>
      </c>
      <c r="P173" t="inlineStr">
        <is>
          <t>2026-06-17 14:10:06</t>
        </is>
      </c>
      <c r="Y173" t="inlineStr">
        <is>
          <t>27662053062</t>
        </is>
      </c>
    </row>
    <row r="174">
      <c r="A174" t="inlineStr">
        <is>
          <t>14921636</t>
        </is>
      </c>
      <c r="B174" t="inlineStr">
        <is>
          <t>218aac12-0c47-4056-bbd8-cbc96eb9cea4</t>
        </is>
      </c>
      <c r="D174" t="inlineStr">
        <is>
          <t>111111124</t>
        </is>
      </c>
      <c r="E174" t="inlineStr">
        <is>
          <t>Vodacom Life 20260617</t>
        </is>
      </c>
      <c r="G174" t="inlineStr">
        <is>
          <t>BONGIWE</t>
        </is>
      </c>
      <c r="H174" t="inlineStr">
        <is>
          <t>NGUBAYIHLANGANI</t>
        </is>
      </c>
      <c r="J174" t="inlineStr">
        <is>
          <t>DROP</t>
        </is>
      </c>
      <c r="K174" t="inlineStr">
        <is>
          <t>Dropped</t>
        </is>
      </c>
      <c r="L174" t="n">
        <v>5</v>
      </c>
      <c r="M174" t="inlineStr">
        <is>
          <t>2026-06-29 13:54:52</t>
        </is>
      </c>
      <c r="N174" t="inlineStr">
        <is>
          <t>system</t>
        </is>
      </c>
      <c r="O174" t="inlineStr">
        <is>
          <t>2026-06-17 14:10:06</t>
        </is>
      </c>
      <c r="P174" t="inlineStr">
        <is>
          <t>2026-06-17 14:10:06</t>
        </is>
      </c>
      <c r="Y174" t="inlineStr">
        <is>
          <t>27609636052</t>
        </is>
      </c>
    </row>
    <row r="175">
      <c r="A175" t="inlineStr">
        <is>
          <t>14921735</t>
        </is>
      </c>
      <c r="B175" t="inlineStr">
        <is>
          <t>21379e70-fd61-4eaa-b96e-42048c25be2a</t>
        </is>
      </c>
      <c r="D175" t="inlineStr">
        <is>
          <t>111111124</t>
        </is>
      </c>
      <c r="E175" t="inlineStr">
        <is>
          <t>Vodacom Life 20260617</t>
        </is>
      </c>
      <c r="G175" t="inlineStr">
        <is>
          <t>HAZEL</t>
        </is>
      </c>
      <c r="H175" t="inlineStr">
        <is>
          <t>MIYAMBA</t>
        </is>
      </c>
      <c r="J175" t="inlineStr">
        <is>
          <t>TDN</t>
        </is>
      </c>
      <c r="K175" t="inlineStr">
        <is>
          <t>Temporary Disconnected Number</t>
        </is>
      </c>
      <c r="L175" t="n">
        <v>5</v>
      </c>
      <c r="M175" t="inlineStr">
        <is>
          <t>2026-06-29 13:54:52</t>
        </is>
      </c>
      <c r="N175" t="inlineStr">
        <is>
          <t>system</t>
        </is>
      </c>
      <c r="O175" t="inlineStr">
        <is>
          <t>2026-06-17 14:10:06</t>
        </is>
      </c>
      <c r="P175" t="inlineStr">
        <is>
          <t>2026-06-17 14:10:06</t>
        </is>
      </c>
      <c r="Y175" t="inlineStr">
        <is>
          <t>27662711518</t>
        </is>
      </c>
    </row>
    <row r="176">
      <c r="A176" t="inlineStr">
        <is>
          <t>14921638</t>
        </is>
      </c>
      <c r="B176" t="inlineStr">
        <is>
          <t>9512b087-84cc-4a84-ac69-e1a080fbabf8</t>
        </is>
      </c>
      <c r="D176" t="inlineStr">
        <is>
          <t>111111124</t>
        </is>
      </c>
      <c r="E176" t="inlineStr">
        <is>
          <t>Vodacom Life 20260617</t>
        </is>
      </c>
      <c r="G176" t="inlineStr">
        <is>
          <t>CYNTHIA</t>
        </is>
      </c>
      <c r="H176" t="inlineStr">
        <is>
          <t>LLOYD</t>
        </is>
      </c>
      <c r="J176" t="inlineStr">
        <is>
          <t>ADC</t>
        </is>
      </c>
      <c r="K176" t="inlineStr">
        <is>
          <t>Auto Dial Disconnected</t>
        </is>
      </c>
      <c r="L176" t="n">
        <v>5</v>
      </c>
      <c r="M176" t="inlineStr">
        <is>
          <t>2026-06-29 13:54:50</t>
        </is>
      </c>
      <c r="N176" t="inlineStr">
        <is>
          <t>system</t>
        </is>
      </c>
      <c r="O176" t="inlineStr">
        <is>
          <t>2026-06-17 14:10:06</t>
        </is>
      </c>
      <c r="P176" t="inlineStr">
        <is>
          <t>2026-06-17 14:10:06</t>
        </is>
      </c>
      <c r="Y176" t="inlineStr">
        <is>
          <t>27823755111</t>
        </is>
      </c>
    </row>
    <row r="177">
      <c r="A177" t="inlineStr">
        <is>
          <t>14921130</t>
        </is>
      </c>
      <c r="B177" t="inlineStr">
        <is>
          <t>fc1e7d94-fc88-4f77-b0a2-ea3b14139589</t>
        </is>
      </c>
      <c r="D177" t="inlineStr">
        <is>
          <t>111111124</t>
        </is>
      </c>
      <c r="E177" t="inlineStr">
        <is>
          <t>Vodacom Life 20260617</t>
        </is>
      </c>
      <c r="G177" t="inlineStr">
        <is>
          <t>CY-REZE</t>
        </is>
      </c>
      <c r="H177" t="inlineStr">
        <is>
          <t>MORALEE</t>
        </is>
      </c>
      <c r="J177" t="inlineStr">
        <is>
          <t>AE</t>
        </is>
      </c>
      <c r="K177" t="inlineStr">
        <is>
          <t>Auto Engaged</t>
        </is>
      </c>
      <c r="L177" t="n">
        <v>5</v>
      </c>
      <c r="M177" t="inlineStr">
        <is>
          <t>2026-06-29 13:54:47</t>
        </is>
      </c>
      <c r="N177" t="inlineStr">
        <is>
          <t>system</t>
        </is>
      </c>
      <c r="O177" t="inlineStr">
        <is>
          <t>2026-06-17 14:10:06</t>
        </is>
      </c>
      <c r="P177" t="inlineStr">
        <is>
          <t>2026-06-17 14:10:06</t>
        </is>
      </c>
      <c r="Y177" t="inlineStr">
        <is>
          <t>27646850842</t>
        </is>
      </c>
    </row>
    <row r="178">
      <c r="A178" t="inlineStr">
        <is>
          <t>14921514</t>
        </is>
      </c>
      <c r="B178" t="inlineStr">
        <is>
          <t>f2b3b316-8bf8-4798-944d-59421fd60e61</t>
        </is>
      </c>
      <c r="D178" t="inlineStr">
        <is>
          <t>111111124</t>
        </is>
      </c>
      <c r="E178" t="inlineStr">
        <is>
          <t>Vodacom Life 20260617</t>
        </is>
      </c>
      <c r="G178" t="inlineStr">
        <is>
          <t>NEIL</t>
        </is>
      </c>
      <c r="H178" t="inlineStr">
        <is>
          <t>MARITZ</t>
        </is>
      </c>
      <c r="J178" t="inlineStr">
        <is>
          <t>AE</t>
        </is>
      </c>
      <c r="K178" t="inlineStr">
        <is>
          <t>Auto Engaged</t>
        </is>
      </c>
      <c r="L178" t="n">
        <v>5</v>
      </c>
      <c r="M178" t="inlineStr">
        <is>
          <t>2026-06-29 13:54:40</t>
        </is>
      </c>
      <c r="N178" t="inlineStr">
        <is>
          <t>system</t>
        </is>
      </c>
      <c r="O178" t="inlineStr">
        <is>
          <t>2026-06-17 14:10:06</t>
        </is>
      </c>
      <c r="P178" t="inlineStr">
        <is>
          <t>2026-06-17 14:10:06</t>
        </is>
      </c>
      <c r="Y178" t="inlineStr">
        <is>
          <t>27723546600</t>
        </is>
      </c>
    </row>
    <row r="179">
      <c r="A179" t="inlineStr">
        <is>
          <t>14921517</t>
        </is>
      </c>
      <c r="B179" t="inlineStr">
        <is>
          <t>bf2fb8d3-899a-439e-a9ad-86821d8e52ca</t>
        </is>
      </c>
      <c r="D179" t="inlineStr">
        <is>
          <t>111111124</t>
        </is>
      </c>
      <c r="E179" t="inlineStr">
        <is>
          <t>Vodacom Life 20260617</t>
        </is>
      </c>
      <c r="G179" t="inlineStr">
        <is>
          <t>JERONA</t>
        </is>
      </c>
      <c r="H179" t="inlineStr">
        <is>
          <t>KRUGER</t>
        </is>
      </c>
      <c r="J179" t="inlineStr">
        <is>
          <t>AA</t>
        </is>
      </c>
      <c r="K179" t="inlineStr">
        <is>
          <t>Answering Machine Autodial</t>
        </is>
      </c>
      <c r="L179" t="n">
        <v>5</v>
      </c>
      <c r="M179" t="inlineStr">
        <is>
          <t>2026-06-29 13:54:40</t>
        </is>
      </c>
      <c r="N179" t="inlineStr">
        <is>
          <t>system</t>
        </is>
      </c>
      <c r="O179" t="inlineStr">
        <is>
          <t>2026-06-17 14:10:06</t>
        </is>
      </c>
      <c r="P179" t="inlineStr">
        <is>
          <t>2026-06-17 14:10:06</t>
        </is>
      </c>
      <c r="Y179" t="inlineStr">
        <is>
          <t>27769711929</t>
        </is>
      </c>
    </row>
    <row r="180">
      <c r="A180" t="inlineStr">
        <is>
          <t>14921730</t>
        </is>
      </c>
      <c r="B180" t="inlineStr">
        <is>
          <t>7310522b-9085-45c3-a5d8-efcd74724729</t>
        </is>
      </c>
      <c r="D180" t="inlineStr">
        <is>
          <t>111111124</t>
        </is>
      </c>
      <c r="E180" t="inlineStr">
        <is>
          <t>Vodacom Life 20260617</t>
        </is>
      </c>
      <c r="G180" t="inlineStr">
        <is>
          <t>KHENSANE</t>
        </is>
      </c>
      <c r="H180" t="inlineStr">
        <is>
          <t>MOKO</t>
        </is>
      </c>
      <c r="J180" t="inlineStr">
        <is>
          <t>CCB</t>
        </is>
      </c>
      <c r="K180" t="inlineStr">
        <is>
          <t>Call Dropped</t>
        </is>
      </c>
      <c r="L180" t="n">
        <v>5</v>
      </c>
      <c r="M180" t="inlineStr">
        <is>
          <t>2026-06-29 13:54:40</t>
        </is>
      </c>
      <c r="N180" t="inlineStr">
        <is>
          <t>Vanessa Kekana</t>
        </is>
      </c>
      <c r="O180" t="inlineStr">
        <is>
          <t>2026-06-17 14:10:06</t>
        </is>
      </c>
      <c r="P180" t="inlineStr">
        <is>
          <t>2026-06-17 14:10:06</t>
        </is>
      </c>
      <c r="Y180" t="inlineStr">
        <is>
          <t>27646874601</t>
        </is>
      </c>
    </row>
    <row r="181">
      <c r="A181" t="inlineStr">
        <is>
          <t>14921518</t>
        </is>
      </c>
      <c r="B181" t="inlineStr">
        <is>
          <t>ddb2ff7b-8eb3-44b5-bae6-f4f38b6a80e1</t>
        </is>
      </c>
      <c r="D181" t="inlineStr">
        <is>
          <t>111111124</t>
        </is>
      </c>
      <c r="E181" t="inlineStr">
        <is>
          <t>Vodacom Life 20260617</t>
        </is>
      </c>
      <c r="G181" t="inlineStr">
        <is>
          <t>LINDANI</t>
        </is>
      </c>
      <c r="H181" t="inlineStr">
        <is>
          <t>MLAMBO</t>
        </is>
      </c>
      <c r="J181" t="inlineStr">
        <is>
          <t>CU</t>
        </is>
      </c>
      <c r="K181" t="inlineStr">
        <is>
          <t>Client Hung Up</t>
        </is>
      </c>
      <c r="L181" t="n">
        <v>5</v>
      </c>
      <c r="M181" t="inlineStr">
        <is>
          <t>2026-06-29 13:54:37</t>
        </is>
      </c>
      <c r="N181" t="inlineStr">
        <is>
          <t>Maureen Ntsoko</t>
        </is>
      </c>
      <c r="O181" t="inlineStr">
        <is>
          <t>2026-06-17 14:10:06</t>
        </is>
      </c>
      <c r="P181" t="inlineStr">
        <is>
          <t>2026-06-17 14:10:06</t>
        </is>
      </c>
      <c r="Y181" t="inlineStr">
        <is>
          <t>27787186275</t>
        </is>
      </c>
    </row>
    <row r="182">
      <c r="A182" t="inlineStr">
        <is>
          <t>14921519</t>
        </is>
      </c>
      <c r="B182" t="inlineStr">
        <is>
          <t>6823777b-c1d2-4a91-b831-961361451bc5</t>
        </is>
      </c>
      <c r="D182" t="inlineStr">
        <is>
          <t>111111124</t>
        </is>
      </c>
      <c r="E182" t="inlineStr">
        <is>
          <t>Vodacom Life 20260617</t>
        </is>
      </c>
      <c r="G182" t="inlineStr">
        <is>
          <t>MIRRIAM</t>
        </is>
      </c>
      <c r="H182" t="inlineStr">
        <is>
          <t>MDLEDLE</t>
        </is>
      </c>
      <c r="J182" t="inlineStr">
        <is>
          <t>AA</t>
        </is>
      </c>
      <c r="K182" t="inlineStr">
        <is>
          <t>Answering Machine Autodial</t>
        </is>
      </c>
      <c r="L182" t="n">
        <v>5</v>
      </c>
      <c r="M182" t="inlineStr">
        <is>
          <t>2026-06-29 13:54:22</t>
        </is>
      </c>
      <c r="N182" t="inlineStr">
        <is>
          <t>system</t>
        </is>
      </c>
      <c r="O182" t="inlineStr">
        <is>
          <t>2026-06-17 14:10:06</t>
        </is>
      </c>
      <c r="P182" t="inlineStr">
        <is>
          <t>2026-06-17 14:10:06</t>
        </is>
      </c>
      <c r="Y182" t="inlineStr">
        <is>
          <t>27836922044</t>
        </is>
      </c>
    </row>
    <row r="183">
      <c r="A183" t="inlineStr">
        <is>
          <t>14921520</t>
        </is>
      </c>
      <c r="B183" t="inlineStr">
        <is>
          <t>dfaf6554-426f-4da7-b7ff-5da87d0d9ba6</t>
        </is>
      </c>
      <c r="D183" t="inlineStr">
        <is>
          <t>111111124</t>
        </is>
      </c>
      <c r="E183" t="inlineStr">
        <is>
          <t>Vodacom Life 20260617</t>
        </is>
      </c>
      <c r="G183" t="inlineStr">
        <is>
          <t>NGAKA</t>
        </is>
      </c>
      <c r="H183" t="inlineStr">
        <is>
          <t>RATSAKA</t>
        </is>
      </c>
      <c r="J183" t="inlineStr">
        <is>
          <t>DROP</t>
        </is>
      </c>
      <c r="K183" t="inlineStr">
        <is>
          <t>Dropped</t>
        </is>
      </c>
      <c r="L183" t="n">
        <v>5</v>
      </c>
      <c r="M183" t="inlineStr">
        <is>
          <t>2026-06-29 13:54:14</t>
        </is>
      </c>
      <c r="N183" t="inlineStr">
        <is>
          <t>system</t>
        </is>
      </c>
      <c r="O183" t="inlineStr">
        <is>
          <t>2026-06-17 14:10:06</t>
        </is>
      </c>
      <c r="P183" t="inlineStr">
        <is>
          <t>2026-06-17 14:10:06</t>
        </is>
      </c>
      <c r="Y183" t="inlineStr">
        <is>
          <t>27608378214</t>
        </is>
      </c>
    </row>
    <row r="184">
      <c r="A184" t="inlineStr">
        <is>
          <t>14921521</t>
        </is>
      </c>
      <c r="B184" t="inlineStr">
        <is>
          <t>c324b25d-cb23-49f2-b2e0-c14a4dee95dd</t>
        </is>
      </c>
      <c r="D184" t="inlineStr">
        <is>
          <t>111111124</t>
        </is>
      </c>
      <c r="E184" t="inlineStr">
        <is>
          <t>Vodacom Life 20260617</t>
        </is>
      </c>
      <c r="G184" t="inlineStr">
        <is>
          <t>POTOKO</t>
        </is>
      </c>
      <c r="H184" t="inlineStr">
        <is>
          <t>MAKGALEMELE</t>
        </is>
      </c>
      <c r="J184" t="inlineStr">
        <is>
          <t>AA</t>
        </is>
      </c>
      <c r="K184" t="inlineStr">
        <is>
          <t>Answering Machine Autodial</t>
        </is>
      </c>
      <c r="L184" t="n">
        <v>5</v>
      </c>
      <c r="M184" t="inlineStr">
        <is>
          <t>2026-06-29 13:54:14</t>
        </is>
      </c>
      <c r="N184" t="inlineStr">
        <is>
          <t>system</t>
        </is>
      </c>
      <c r="O184" t="inlineStr">
        <is>
          <t>2026-06-17 14:10:06</t>
        </is>
      </c>
      <c r="P184" t="inlineStr">
        <is>
          <t>2026-06-17 14:10:06</t>
        </is>
      </c>
      <c r="Y184" t="inlineStr">
        <is>
          <t>27608818957</t>
        </is>
      </c>
    </row>
    <row r="185">
      <c r="A185" t="inlineStr">
        <is>
          <t>14921523</t>
        </is>
      </c>
      <c r="B185" t="inlineStr">
        <is>
          <t>9db332b5-16d2-4c41-89ee-a4280290b975</t>
        </is>
      </c>
      <c r="D185" t="inlineStr">
        <is>
          <t>111111124</t>
        </is>
      </c>
      <c r="E185" t="inlineStr">
        <is>
          <t>Vodacom Life 20260617</t>
        </is>
      </c>
      <c r="G185" t="inlineStr">
        <is>
          <t>SIMON</t>
        </is>
      </c>
      <c r="H185" t="inlineStr">
        <is>
          <t>MOSHUGI</t>
        </is>
      </c>
      <c r="J185" t="inlineStr">
        <is>
          <t>NA</t>
        </is>
      </c>
      <c r="K185" t="inlineStr">
        <is>
          <t>No Answer Autodial</t>
        </is>
      </c>
      <c r="L185" t="n">
        <v>5</v>
      </c>
      <c r="M185" t="inlineStr">
        <is>
          <t>2026-06-29 13:54:10</t>
        </is>
      </c>
      <c r="N185" t="inlineStr">
        <is>
          <t>system</t>
        </is>
      </c>
      <c r="O185" t="inlineStr">
        <is>
          <t>2026-06-17 14:10:06</t>
        </is>
      </c>
      <c r="P185" t="inlineStr">
        <is>
          <t>2026-06-17 14:10:06</t>
        </is>
      </c>
      <c r="Y185" t="inlineStr">
        <is>
          <t>27724508748</t>
        </is>
      </c>
    </row>
    <row r="186">
      <c r="A186" t="inlineStr">
        <is>
          <t>14921292</t>
        </is>
      </c>
      <c r="B186" t="inlineStr">
        <is>
          <t>1a7ee449-3049-492d-940e-9962e9dc9755</t>
        </is>
      </c>
      <c r="D186" t="inlineStr">
        <is>
          <t>111111124</t>
        </is>
      </c>
      <c r="E186" t="inlineStr">
        <is>
          <t>Vodacom Life 20260617</t>
        </is>
      </c>
      <c r="G186" t="inlineStr">
        <is>
          <t>LYNNETTE</t>
        </is>
      </c>
      <c r="H186" t="inlineStr">
        <is>
          <t>VAN NEEL</t>
        </is>
      </c>
      <c r="J186" t="inlineStr">
        <is>
          <t>EC</t>
        </is>
      </c>
      <c r="K186" t="inlineStr">
        <is>
          <t>Existing Client</t>
        </is>
      </c>
      <c r="L186" t="n">
        <v>6</v>
      </c>
      <c r="M186" t="inlineStr">
        <is>
          <t>2026-06-29 13:54:08</t>
        </is>
      </c>
      <c r="N186" t="inlineStr">
        <is>
          <t>Musiiwa Mary Mabirimisa</t>
        </is>
      </c>
      <c r="O186" t="inlineStr">
        <is>
          <t>2026-06-17 14:10:06</t>
        </is>
      </c>
      <c r="P186" t="inlineStr">
        <is>
          <t>2026-06-17 14:10:06</t>
        </is>
      </c>
      <c r="Y186" t="inlineStr">
        <is>
          <t>27662399266</t>
        </is>
      </c>
    </row>
    <row r="187">
      <c r="A187" t="inlineStr">
        <is>
          <t>14921526</t>
        </is>
      </c>
      <c r="B187" t="inlineStr">
        <is>
          <t>780d0a6e-0c06-4f0b-a1f9-cb1203dcb01e</t>
        </is>
      </c>
      <c r="D187" t="inlineStr">
        <is>
          <t>111111124</t>
        </is>
      </c>
      <c r="E187" t="inlineStr">
        <is>
          <t>Vodacom Life 20260617</t>
        </is>
      </c>
      <c r="G187" t="inlineStr">
        <is>
          <t>DELSHA</t>
        </is>
      </c>
      <c r="H187" t="inlineStr">
        <is>
          <t>MOODLEY</t>
        </is>
      </c>
      <c r="J187" t="inlineStr">
        <is>
          <t>CU</t>
        </is>
      </c>
      <c r="K187" t="inlineStr">
        <is>
          <t>Client Hung Up</t>
        </is>
      </c>
      <c r="L187" t="n">
        <v>5</v>
      </c>
      <c r="M187" t="inlineStr">
        <is>
          <t>2026-06-29 13:54:05</t>
        </is>
      </c>
      <c r="N187" t="inlineStr">
        <is>
          <t>Vanessa Kekana</t>
        </is>
      </c>
      <c r="O187" t="inlineStr">
        <is>
          <t>2026-06-17 14:10:06</t>
        </is>
      </c>
      <c r="P187" t="inlineStr">
        <is>
          <t>2026-06-17 14:10:06</t>
        </is>
      </c>
      <c r="Y187" t="inlineStr">
        <is>
          <t>27649099459</t>
        </is>
      </c>
    </row>
    <row r="188">
      <c r="A188" t="inlineStr">
        <is>
          <t>14921527</t>
        </is>
      </c>
      <c r="B188" t="inlineStr">
        <is>
          <t>928dc1e9-f7e5-4569-8c0b-cb6c7332059c</t>
        </is>
      </c>
      <c r="D188" t="inlineStr">
        <is>
          <t>111111124</t>
        </is>
      </c>
      <c r="E188" t="inlineStr">
        <is>
          <t>Vodacom Life 20260617</t>
        </is>
      </c>
      <c r="G188" t="inlineStr">
        <is>
          <t>TAAHIRAH</t>
        </is>
      </c>
      <c r="H188" t="inlineStr">
        <is>
          <t>DEMAINE</t>
        </is>
      </c>
      <c r="J188" t="inlineStr">
        <is>
          <t>AA</t>
        </is>
      </c>
      <c r="K188" t="inlineStr">
        <is>
          <t>Answering Machine Autodial</t>
        </is>
      </c>
      <c r="L188" t="n">
        <v>5</v>
      </c>
      <c r="M188" t="inlineStr">
        <is>
          <t>2026-06-29 13:54:04</t>
        </is>
      </c>
      <c r="N188" t="inlineStr">
        <is>
          <t>system</t>
        </is>
      </c>
      <c r="O188" t="inlineStr">
        <is>
          <t>2026-06-17 14:10:06</t>
        </is>
      </c>
      <c r="P188" t="inlineStr">
        <is>
          <t>2026-06-17 14:10:06</t>
        </is>
      </c>
      <c r="Y188" t="inlineStr">
        <is>
          <t>27662683841</t>
        </is>
      </c>
    </row>
    <row r="189">
      <c r="A189" t="inlineStr">
        <is>
          <t>14921528</t>
        </is>
      </c>
      <c r="B189" t="inlineStr">
        <is>
          <t>885c644d-13b5-40e1-8b22-7572af3ad16a</t>
        </is>
      </c>
      <c r="D189" t="inlineStr">
        <is>
          <t>111111124</t>
        </is>
      </c>
      <c r="E189" t="inlineStr">
        <is>
          <t>Vodacom Life 20260617</t>
        </is>
      </c>
      <c r="G189" t="inlineStr">
        <is>
          <t>PROMISE</t>
        </is>
      </c>
      <c r="H189" t="inlineStr">
        <is>
          <t>KHOZA</t>
        </is>
      </c>
      <c r="J189" t="inlineStr">
        <is>
          <t>CU</t>
        </is>
      </c>
      <c r="K189" t="inlineStr">
        <is>
          <t>Client Hung Up</t>
        </is>
      </c>
      <c r="L189" t="n">
        <v>5</v>
      </c>
      <c r="M189" t="inlineStr">
        <is>
          <t>2026-06-29 13:54:04</t>
        </is>
      </c>
      <c r="N189" t="inlineStr">
        <is>
          <t>Maureen Ntsoko</t>
        </is>
      </c>
      <c r="O189" t="inlineStr">
        <is>
          <t>2026-06-17 14:10:06</t>
        </is>
      </c>
      <c r="P189" t="inlineStr">
        <is>
          <t>2026-06-17 14:10:06</t>
        </is>
      </c>
      <c r="Y189" t="inlineStr">
        <is>
          <t>27649592813</t>
        </is>
      </c>
    </row>
    <row r="190">
      <c r="A190" t="inlineStr">
        <is>
          <t>14921529</t>
        </is>
      </c>
      <c r="B190" t="inlineStr">
        <is>
          <t>2f3bfdac-cf5b-425a-8c42-eb4b38936e35</t>
        </is>
      </c>
      <c r="D190" t="inlineStr">
        <is>
          <t>111111124</t>
        </is>
      </c>
      <c r="E190" t="inlineStr">
        <is>
          <t>Vodacom Life 20260617</t>
        </is>
      </c>
      <c r="G190" t="inlineStr">
        <is>
          <t>JOHANNES</t>
        </is>
      </c>
      <c r="H190" t="inlineStr">
        <is>
          <t>SEBOGODI</t>
        </is>
      </c>
      <c r="J190" t="inlineStr">
        <is>
          <t>NA</t>
        </is>
      </c>
      <c r="K190" t="inlineStr">
        <is>
          <t>No Answer Autodial</t>
        </is>
      </c>
      <c r="L190" t="n">
        <v>5</v>
      </c>
      <c r="M190" t="inlineStr">
        <is>
          <t>2026-06-29 13:54:04</t>
        </is>
      </c>
      <c r="N190" t="inlineStr">
        <is>
          <t>system</t>
        </is>
      </c>
      <c r="O190" t="inlineStr">
        <is>
          <t>2026-06-17 14:10:06</t>
        </is>
      </c>
      <c r="P190" t="inlineStr">
        <is>
          <t>2026-06-17 14:10:06</t>
        </is>
      </c>
      <c r="Y190" t="inlineStr">
        <is>
          <t>27724537460</t>
        </is>
      </c>
    </row>
    <row r="191">
      <c r="A191" t="inlineStr">
        <is>
          <t>14921525</t>
        </is>
      </c>
      <c r="B191" t="inlineStr">
        <is>
          <t>54ee9790-2aa8-44df-a135-502d2b24f5f5</t>
        </is>
      </c>
      <c r="D191" t="inlineStr">
        <is>
          <t>111111124</t>
        </is>
      </c>
      <c r="E191" t="inlineStr">
        <is>
          <t>Vodacom Life 20260617</t>
        </is>
      </c>
      <c r="G191" t="inlineStr">
        <is>
          <t>REFILWE</t>
        </is>
      </c>
      <c r="H191" t="inlineStr">
        <is>
          <t>MONARENG</t>
        </is>
      </c>
      <c r="J191" t="inlineStr">
        <is>
          <t>AA</t>
        </is>
      </c>
      <c r="K191" t="inlineStr">
        <is>
          <t>Answering Machine Autodial</t>
        </is>
      </c>
      <c r="L191" t="n">
        <v>5</v>
      </c>
      <c r="M191" t="inlineStr">
        <is>
          <t>2026-06-29 13:54:03</t>
        </is>
      </c>
      <c r="N191" t="inlineStr">
        <is>
          <t>system</t>
        </is>
      </c>
      <c r="O191" t="inlineStr">
        <is>
          <t>2026-06-17 14:10:06</t>
        </is>
      </c>
      <c r="P191" t="inlineStr">
        <is>
          <t>2026-06-17 14:10:06</t>
        </is>
      </c>
      <c r="Y191" t="inlineStr">
        <is>
          <t>27820902440</t>
        </is>
      </c>
    </row>
    <row r="192">
      <c r="A192" t="inlineStr">
        <is>
          <t>14921531</t>
        </is>
      </c>
      <c r="B192" t="inlineStr">
        <is>
          <t>0c6db14a-608c-48ed-8220-d64d1d0dd01b</t>
        </is>
      </c>
      <c r="D192" t="inlineStr">
        <is>
          <t>111111124</t>
        </is>
      </c>
      <c r="E192" t="inlineStr">
        <is>
          <t>Vodacom Life 20260617</t>
        </is>
      </c>
      <c r="G192" t="inlineStr">
        <is>
          <t>MOLOKO</t>
        </is>
      </c>
      <c r="H192" t="inlineStr">
        <is>
          <t>MALEHOPO</t>
        </is>
      </c>
      <c r="J192" t="inlineStr">
        <is>
          <t>AE</t>
        </is>
      </c>
      <c r="K192" t="inlineStr">
        <is>
          <t>Auto Engaged</t>
        </is>
      </c>
      <c r="L192" t="n">
        <v>5</v>
      </c>
      <c r="M192" t="inlineStr">
        <is>
          <t>2026-06-29 13:54:00</t>
        </is>
      </c>
      <c r="N192" t="inlineStr">
        <is>
          <t>system</t>
        </is>
      </c>
      <c r="O192" t="inlineStr">
        <is>
          <t>2026-06-17 14:10:06</t>
        </is>
      </c>
      <c r="P192" t="inlineStr">
        <is>
          <t>2026-06-17 14:10:06</t>
        </is>
      </c>
      <c r="Y192" t="inlineStr">
        <is>
          <t>27608095604</t>
        </is>
      </c>
    </row>
    <row r="193">
      <c r="A193" t="inlineStr">
        <is>
          <t>14921532</t>
        </is>
      </c>
      <c r="B193" t="inlineStr">
        <is>
          <t>179fb86b-b962-49b3-8645-fec0de368f15</t>
        </is>
      </c>
      <c r="D193" t="inlineStr">
        <is>
          <t>111111124</t>
        </is>
      </c>
      <c r="E193" t="inlineStr">
        <is>
          <t>Vodacom Life 20260617</t>
        </is>
      </c>
      <c r="G193" t="inlineStr">
        <is>
          <t>TAKALANI</t>
        </is>
      </c>
      <c r="H193" t="inlineStr">
        <is>
          <t>NEMUKULA</t>
        </is>
      </c>
      <c r="J193" t="inlineStr">
        <is>
          <t>AA</t>
        </is>
      </c>
      <c r="K193" t="inlineStr">
        <is>
          <t>Answering Machine Autodial</t>
        </is>
      </c>
      <c r="L193" t="n">
        <v>5</v>
      </c>
      <c r="M193" t="inlineStr">
        <is>
          <t>2026-06-29 13:54:00</t>
        </is>
      </c>
      <c r="N193" t="inlineStr">
        <is>
          <t>system</t>
        </is>
      </c>
      <c r="O193" t="inlineStr">
        <is>
          <t>2026-06-17 14:10:06</t>
        </is>
      </c>
      <c r="P193" t="inlineStr">
        <is>
          <t>2026-06-17 14:10:06</t>
        </is>
      </c>
      <c r="Y193" t="inlineStr">
        <is>
          <t>27714441153</t>
        </is>
      </c>
    </row>
    <row r="194">
      <c r="A194" t="inlineStr">
        <is>
          <t>14921533</t>
        </is>
      </c>
      <c r="B194" t="inlineStr">
        <is>
          <t>f175b009-8901-46db-a7db-c1ea2db40920</t>
        </is>
      </c>
      <c r="D194" t="inlineStr">
        <is>
          <t>111111124</t>
        </is>
      </c>
      <c r="E194" t="inlineStr">
        <is>
          <t>Vodacom Life 20260617</t>
        </is>
      </c>
      <c r="G194" t="inlineStr">
        <is>
          <t>BEVERLEY</t>
        </is>
      </c>
      <c r="H194" t="inlineStr">
        <is>
          <t>MAHLANGU</t>
        </is>
      </c>
      <c r="J194" t="inlineStr">
        <is>
          <t>AA</t>
        </is>
      </c>
      <c r="K194" t="inlineStr">
        <is>
          <t>Answering Machine Autodial</t>
        </is>
      </c>
      <c r="L194" t="n">
        <v>5</v>
      </c>
      <c r="M194" t="inlineStr">
        <is>
          <t>2026-06-29 13:54:00</t>
        </is>
      </c>
      <c r="N194" t="inlineStr">
        <is>
          <t>system</t>
        </is>
      </c>
      <c r="O194" t="inlineStr">
        <is>
          <t>2026-06-17 14:10:06</t>
        </is>
      </c>
      <c r="P194" t="inlineStr">
        <is>
          <t>2026-06-17 14:10:06</t>
        </is>
      </c>
      <c r="Y194" t="inlineStr">
        <is>
          <t>27795438059</t>
        </is>
      </c>
    </row>
    <row r="195">
      <c r="A195" t="inlineStr">
        <is>
          <t>14921530</t>
        </is>
      </c>
      <c r="B195" t="inlineStr">
        <is>
          <t>eab37947-0497-4600-986c-81950c2dc30c</t>
        </is>
      </c>
      <c r="D195" t="inlineStr">
        <is>
          <t>111111124</t>
        </is>
      </c>
      <c r="E195" t="inlineStr">
        <is>
          <t>Vodacom Life 20260617</t>
        </is>
      </c>
      <c r="G195" t="inlineStr">
        <is>
          <t>THAPEDI</t>
        </is>
      </c>
      <c r="H195" t="inlineStr">
        <is>
          <t>MOTEBU</t>
        </is>
      </c>
      <c r="J195" t="inlineStr">
        <is>
          <t>NA</t>
        </is>
      </c>
      <c r="K195" t="inlineStr">
        <is>
          <t>No Answer Autodial</t>
        </is>
      </c>
      <c r="L195" t="n">
        <v>5</v>
      </c>
      <c r="M195" t="inlineStr">
        <is>
          <t>2026-06-29 13:54:00</t>
        </is>
      </c>
      <c r="N195" t="inlineStr">
        <is>
          <t>system</t>
        </is>
      </c>
      <c r="O195" t="inlineStr">
        <is>
          <t>2026-06-17 14:10:06</t>
        </is>
      </c>
      <c r="P195" t="inlineStr">
        <is>
          <t>2026-06-17 14:10:06</t>
        </is>
      </c>
      <c r="Y195" t="inlineStr">
        <is>
          <t>27826132196</t>
        </is>
      </c>
    </row>
    <row r="196">
      <c r="A196" t="inlineStr">
        <is>
          <t>14921536</t>
        </is>
      </c>
      <c r="B196" t="inlineStr">
        <is>
          <t>b2e1488c-3c05-43a4-8f9b-2a00de58dd48</t>
        </is>
      </c>
      <c r="D196" t="inlineStr">
        <is>
          <t>111111124</t>
        </is>
      </c>
      <c r="E196" t="inlineStr">
        <is>
          <t>Vodacom Life 20260617</t>
        </is>
      </c>
      <c r="G196" t="inlineStr">
        <is>
          <t>SEAN</t>
        </is>
      </c>
      <c r="H196" t="inlineStr">
        <is>
          <t>NEETHLING</t>
        </is>
      </c>
      <c r="J196" t="inlineStr">
        <is>
          <t>NA</t>
        </is>
      </c>
      <c r="K196" t="inlineStr">
        <is>
          <t>No Answer Autodial</t>
        </is>
      </c>
      <c r="L196" t="n">
        <v>5</v>
      </c>
      <c r="M196" t="inlineStr">
        <is>
          <t>2026-06-29 13:53:56</t>
        </is>
      </c>
      <c r="N196" t="inlineStr">
        <is>
          <t>system</t>
        </is>
      </c>
      <c r="O196" t="inlineStr">
        <is>
          <t>2026-06-17 14:10:06</t>
        </is>
      </c>
      <c r="P196" t="inlineStr">
        <is>
          <t>2026-06-17 14:10:06</t>
        </is>
      </c>
      <c r="Y196" t="inlineStr">
        <is>
          <t>27723157820</t>
        </is>
      </c>
    </row>
    <row r="197">
      <c r="A197" t="inlineStr">
        <is>
          <t>14900000</t>
        </is>
      </c>
      <c r="B197" t="inlineStr">
        <is>
          <t>6e35605f-d2a4-4109-aa8c-14e8f9719819</t>
        </is>
      </c>
      <c r="D197" t="inlineStr">
        <is>
          <t>111111124</t>
        </is>
      </c>
      <c r="E197" t="inlineStr">
        <is>
          <t>Vodacom Life 20260617</t>
        </is>
      </c>
      <c r="G197" t="inlineStr">
        <is>
          <t>ANRIE</t>
        </is>
      </c>
      <c r="H197" t="inlineStr">
        <is>
          <t>FOUCHE</t>
        </is>
      </c>
      <c r="J197" t="inlineStr">
        <is>
          <t>AA</t>
        </is>
      </c>
      <c r="K197" t="inlineStr">
        <is>
          <t>Answering Machine Autodial</t>
        </is>
      </c>
      <c r="L197" t="n">
        <v>5</v>
      </c>
      <c r="M197" t="inlineStr">
        <is>
          <t>2026-06-29 13:53:56</t>
        </is>
      </c>
      <c r="N197" t="inlineStr">
        <is>
          <t>system</t>
        </is>
      </c>
      <c r="O197" t="inlineStr">
        <is>
          <t>2026-06-17 14:10:06</t>
        </is>
      </c>
      <c r="P197" t="inlineStr">
        <is>
          <t>2026-06-17 14:10:06</t>
        </is>
      </c>
      <c r="Y197" t="inlineStr">
        <is>
          <t>27733755568</t>
        </is>
      </c>
    </row>
    <row r="198">
      <c r="A198" t="inlineStr">
        <is>
          <t>14921540</t>
        </is>
      </c>
      <c r="B198" t="inlineStr">
        <is>
          <t>8999c861-f289-4632-a3ca-9950ac8ac9e9</t>
        </is>
      </c>
      <c r="D198" t="inlineStr">
        <is>
          <t>111111124</t>
        </is>
      </c>
      <c r="E198" t="inlineStr">
        <is>
          <t>Vodacom Life 20260617</t>
        </is>
      </c>
      <c r="G198" t="inlineStr">
        <is>
          <t>JESSY</t>
        </is>
      </c>
      <c r="H198" t="inlineStr">
        <is>
          <t>GUMEDE</t>
        </is>
      </c>
      <c r="J198" t="inlineStr">
        <is>
          <t>AA</t>
        </is>
      </c>
      <c r="K198" t="inlineStr">
        <is>
          <t>Answering Machine Autodial</t>
        </is>
      </c>
      <c r="L198" t="n">
        <v>5</v>
      </c>
      <c r="M198" t="inlineStr">
        <is>
          <t>2026-06-29 13:53:56</t>
        </is>
      </c>
      <c r="N198" t="inlineStr">
        <is>
          <t>system</t>
        </is>
      </c>
      <c r="O198" t="inlineStr">
        <is>
          <t>2026-06-17 14:10:06</t>
        </is>
      </c>
      <c r="P198" t="inlineStr">
        <is>
          <t>2026-06-17 14:10:06</t>
        </is>
      </c>
      <c r="Y198" t="inlineStr">
        <is>
          <t>27718534426</t>
        </is>
      </c>
    </row>
    <row r="199">
      <c r="A199" t="inlineStr">
        <is>
          <t>14921541</t>
        </is>
      </c>
      <c r="B199" t="inlineStr">
        <is>
          <t>9812433e-89a7-45bc-bcd1-c00df97c6713</t>
        </is>
      </c>
      <c r="D199" t="inlineStr">
        <is>
          <t>111111124</t>
        </is>
      </c>
      <c r="E199" t="inlineStr">
        <is>
          <t>Vodacom Life 20260617</t>
        </is>
      </c>
      <c r="G199" t="inlineStr">
        <is>
          <t>NWABISA</t>
        </is>
      </c>
      <c r="H199" t="inlineStr">
        <is>
          <t>QWANYASHE</t>
        </is>
      </c>
      <c r="J199" t="inlineStr">
        <is>
          <t>AA</t>
        </is>
      </c>
      <c r="K199" t="inlineStr">
        <is>
          <t>Answering Machine Autodial</t>
        </is>
      </c>
      <c r="L199" t="n">
        <v>5</v>
      </c>
      <c r="M199" t="inlineStr">
        <is>
          <t>2026-06-29 13:53:56</t>
        </is>
      </c>
      <c r="N199" t="inlineStr">
        <is>
          <t>system</t>
        </is>
      </c>
      <c r="O199" t="inlineStr">
        <is>
          <t>2026-06-17 14:10:06</t>
        </is>
      </c>
      <c r="P199" t="inlineStr">
        <is>
          <t>2026-06-17 14:10:06</t>
        </is>
      </c>
      <c r="Y199" t="inlineStr">
        <is>
          <t>27768111828</t>
        </is>
      </c>
    </row>
    <row r="200">
      <c r="A200" t="inlineStr">
        <is>
          <t>14921731</t>
        </is>
      </c>
      <c r="B200" t="inlineStr">
        <is>
          <t>65d820aa-6a4a-412a-ad06-49789501df23</t>
        </is>
      </c>
      <c r="D200" t="inlineStr">
        <is>
          <t>111111124</t>
        </is>
      </c>
      <c r="E200" t="inlineStr">
        <is>
          <t>Vodacom Life 20260617</t>
        </is>
      </c>
      <c r="G200" t="inlineStr">
        <is>
          <t>MICHELLE</t>
        </is>
      </c>
      <c r="H200" t="inlineStr">
        <is>
          <t>JANSEN VAN VUUREN</t>
        </is>
      </c>
      <c r="J200" t="inlineStr">
        <is>
          <t>AA</t>
        </is>
      </c>
      <c r="K200" t="inlineStr">
        <is>
          <t>Answering Machine Autodial</t>
        </is>
      </c>
      <c r="L200" t="n">
        <v>5</v>
      </c>
      <c r="M200" t="inlineStr">
        <is>
          <t>2026-06-29 13:53:56</t>
        </is>
      </c>
      <c r="N200" t="inlineStr">
        <is>
          <t>system</t>
        </is>
      </c>
      <c r="O200" t="inlineStr">
        <is>
          <t>2026-06-17 14:10:06</t>
        </is>
      </c>
      <c r="P200" t="inlineStr">
        <is>
          <t>2026-06-17 14:10:06</t>
        </is>
      </c>
      <c r="Y200" t="inlineStr">
        <is>
          <t>27662155513</t>
        </is>
      </c>
    </row>
    <row r="201">
      <c r="A201" t="inlineStr">
        <is>
          <t>14921542</t>
        </is>
      </c>
      <c r="B201" t="inlineStr">
        <is>
          <t>0c16f5bc-71a2-4096-b5a5-118f0d740a46</t>
        </is>
      </c>
      <c r="D201" t="inlineStr">
        <is>
          <t>111111124</t>
        </is>
      </c>
      <c r="E201" t="inlineStr">
        <is>
          <t>Vodacom Life 20260617</t>
        </is>
      </c>
      <c r="G201" t="inlineStr">
        <is>
          <t>LUCKY</t>
        </is>
      </c>
      <c r="H201" t="inlineStr">
        <is>
          <t>MUKHUDWANE</t>
        </is>
      </c>
      <c r="J201" t="inlineStr">
        <is>
          <t>AA</t>
        </is>
      </c>
      <c r="K201" t="inlineStr">
        <is>
          <t>Answering Machine Autodial</t>
        </is>
      </c>
      <c r="L201" t="n">
        <v>5</v>
      </c>
      <c r="M201" t="inlineStr">
        <is>
          <t>2026-06-29 13:53:03</t>
        </is>
      </c>
      <c r="N201" t="inlineStr">
        <is>
          <t>system</t>
        </is>
      </c>
      <c r="O201" t="inlineStr">
        <is>
          <t>2026-06-17 14:10:06</t>
        </is>
      </c>
      <c r="P201" t="inlineStr">
        <is>
          <t>2026-06-17 14:10:06</t>
        </is>
      </c>
      <c r="Y201" t="inlineStr">
        <is>
          <t>27609833705</t>
        </is>
      </c>
    </row>
    <row r="202">
      <c r="A202" t="inlineStr">
        <is>
          <t>14921545</t>
        </is>
      </c>
      <c r="B202" t="inlineStr">
        <is>
          <t>11bad702-d50d-4a3e-b91c-3ea74ca5e4e9</t>
        </is>
      </c>
      <c r="D202" t="inlineStr">
        <is>
          <t>111111124</t>
        </is>
      </c>
      <c r="E202" t="inlineStr">
        <is>
          <t>Vodacom Life 20260617</t>
        </is>
      </c>
      <c r="G202" t="inlineStr">
        <is>
          <t>MATSHOGE</t>
        </is>
      </c>
      <c r="H202" t="inlineStr">
        <is>
          <t>MBEZI</t>
        </is>
      </c>
      <c r="J202" t="inlineStr">
        <is>
          <t>AA</t>
        </is>
      </c>
      <c r="K202" t="inlineStr">
        <is>
          <t>Answering Machine Autodial</t>
        </is>
      </c>
      <c r="L202" t="n">
        <v>5</v>
      </c>
      <c r="M202" t="inlineStr">
        <is>
          <t>2026-06-29 13:53:03</t>
        </is>
      </c>
      <c r="N202" t="inlineStr">
        <is>
          <t>system</t>
        </is>
      </c>
      <c r="O202" t="inlineStr">
        <is>
          <t>2026-06-17 14:10:06</t>
        </is>
      </c>
      <c r="P202" t="inlineStr">
        <is>
          <t>2026-06-17 14:10:06</t>
        </is>
      </c>
      <c r="Y202" t="inlineStr">
        <is>
          <t>27790157406</t>
        </is>
      </c>
    </row>
    <row r="203">
      <c r="A203" t="inlineStr">
        <is>
          <t>14921546</t>
        </is>
      </c>
      <c r="B203" t="inlineStr">
        <is>
          <t>a3ff4503-8a9f-4e96-a081-a670b93434ee</t>
        </is>
      </c>
      <c r="D203" t="inlineStr">
        <is>
          <t>111111124</t>
        </is>
      </c>
      <c r="E203" t="inlineStr">
        <is>
          <t>Vodacom Life 20260617</t>
        </is>
      </c>
      <c r="G203" t="inlineStr">
        <is>
          <t>THOKOZANI</t>
        </is>
      </c>
      <c r="H203" t="inlineStr">
        <is>
          <t>SHOBEDE</t>
        </is>
      </c>
      <c r="J203" t="inlineStr">
        <is>
          <t>AE</t>
        </is>
      </c>
      <c r="K203" t="inlineStr">
        <is>
          <t>Auto Engaged</t>
        </is>
      </c>
      <c r="L203" t="n">
        <v>5</v>
      </c>
      <c r="M203" t="inlineStr">
        <is>
          <t>2026-06-29 13:53:03</t>
        </is>
      </c>
      <c r="N203" t="inlineStr">
        <is>
          <t>system</t>
        </is>
      </c>
      <c r="O203" t="inlineStr">
        <is>
          <t>2026-06-17 14:10:06</t>
        </is>
      </c>
      <c r="P203" t="inlineStr">
        <is>
          <t>2026-06-17 14:10:06</t>
        </is>
      </c>
      <c r="Y203" t="inlineStr">
        <is>
          <t>27768009152</t>
        </is>
      </c>
    </row>
    <row r="204">
      <c r="A204" t="inlineStr">
        <is>
          <t>14921550</t>
        </is>
      </c>
      <c r="B204" t="inlineStr">
        <is>
          <t>269c66c0-4815-4cbc-aaec-331dede403a7</t>
        </is>
      </c>
      <c r="D204" t="inlineStr">
        <is>
          <t>111111124</t>
        </is>
      </c>
      <c r="E204" t="inlineStr">
        <is>
          <t>Vodacom Life 20260617</t>
        </is>
      </c>
      <c r="G204" t="inlineStr">
        <is>
          <t>CLAYTON</t>
        </is>
      </c>
      <c r="H204" t="inlineStr">
        <is>
          <t>MATSELISO</t>
        </is>
      </c>
      <c r="J204" t="inlineStr">
        <is>
          <t>CU</t>
        </is>
      </c>
      <c r="K204" t="inlineStr">
        <is>
          <t>Client Hung Up</t>
        </is>
      </c>
      <c r="L204" t="n">
        <v>5</v>
      </c>
      <c r="M204" t="inlineStr">
        <is>
          <t>2026-06-29 13:52:52</t>
        </is>
      </c>
      <c r="N204" t="inlineStr">
        <is>
          <t>Vanessa Kekana</t>
        </is>
      </c>
      <c r="O204" t="inlineStr">
        <is>
          <t>2026-06-17 14:10:06</t>
        </is>
      </c>
      <c r="P204" t="inlineStr">
        <is>
          <t>2026-06-17 14:10:06</t>
        </is>
      </c>
      <c r="Y204" t="inlineStr">
        <is>
          <t>27721922441</t>
        </is>
      </c>
    </row>
    <row r="205">
      <c r="A205" t="inlineStr">
        <is>
          <t>14921549</t>
        </is>
      </c>
      <c r="B205" t="inlineStr">
        <is>
          <t>a0e81abc-d6ba-4821-8ff2-68e349272a0e</t>
        </is>
      </c>
      <c r="D205" t="inlineStr">
        <is>
          <t>111111124</t>
        </is>
      </c>
      <c r="E205" t="inlineStr">
        <is>
          <t>Vodacom Life 20260617</t>
        </is>
      </c>
      <c r="G205" t="inlineStr">
        <is>
          <t>DHARMESH</t>
        </is>
      </c>
      <c r="H205" t="inlineStr">
        <is>
          <t>DHANJI</t>
        </is>
      </c>
      <c r="J205" t="inlineStr">
        <is>
          <t>DROP</t>
        </is>
      </c>
      <c r="K205" t="inlineStr">
        <is>
          <t>Dropped</t>
        </is>
      </c>
      <c r="L205" t="n">
        <v>5</v>
      </c>
      <c r="M205" t="inlineStr">
        <is>
          <t>2026-06-29 13:52:32</t>
        </is>
      </c>
      <c r="N205" t="inlineStr">
        <is>
          <t>system</t>
        </is>
      </c>
      <c r="O205" t="inlineStr">
        <is>
          <t>2026-06-17 14:10:06</t>
        </is>
      </c>
      <c r="P205" t="inlineStr">
        <is>
          <t>2026-06-17 14:10:06</t>
        </is>
      </c>
      <c r="Y205" t="inlineStr">
        <is>
          <t>27646542715</t>
        </is>
      </c>
    </row>
    <row r="206">
      <c r="A206" t="inlineStr">
        <is>
          <t>14921551</t>
        </is>
      </c>
      <c r="B206" t="inlineStr">
        <is>
          <t>6f7adde7-8d40-4e32-bc59-cc2c35afd103</t>
        </is>
      </c>
      <c r="D206" t="inlineStr">
        <is>
          <t>111111124</t>
        </is>
      </c>
      <c r="E206" t="inlineStr">
        <is>
          <t>Vodacom Life 20260617</t>
        </is>
      </c>
      <c r="G206" t="inlineStr">
        <is>
          <t>LINDANI</t>
        </is>
      </c>
      <c r="H206" t="inlineStr">
        <is>
          <t>MKHIZE</t>
        </is>
      </c>
      <c r="J206" t="inlineStr">
        <is>
          <t>CU</t>
        </is>
      </c>
      <c r="K206" t="inlineStr">
        <is>
          <t>Client Hung Up</t>
        </is>
      </c>
      <c r="L206" t="n">
        <v>5</v>
      </c>
      <c r="M206" t="inlineStr">
        <is>
          <t>2026-06-29 13:52:31</t>
        </is>
      </c>
      <c r="N206" t="inlineStr">
        <is>
          <t>Vanessa Kekana</t>
        </is>
      </c>
      <c r="O206" t="inlineStr">
        <is>
          <t>2026-06-17 14:10:06</t>
        </is>
      </c>
      <c r="P206" t="inlineStr">
        <is>
          <t>2026-06-17 14:10:06</t>
        </is>
      </c>
      <c r="Y206" t="inlineStr">
        <is>
          <t>27824537353</t>
        </is>
      </c>
    </row>
    <row r="207">
      <c r="A207" t="inlineStr">
        <is>
          <t>14921553</t>
        </is>
      </c>
      <c r="B207" t="inlineStr">
        <is>
          <t>0bf9e2f8-a459-441d-9772-2b529219134c</t>
        </is>
      </c>
      <c r="D207" t="inlineStr">
        <is>
          <t>111111124</t>
        </is>
      </c>
      <c r="E207" t="inlineStr">
        <is>
          <t>Vodacom Life 20260617</t>
        </is>
      </c>
      <c r="G207" t="inlineStr">
        <is>
          <t>MCKYLE</t>
        </is>
      </c>
      <c r="H207" t="inlineStr">
        <is>
          <t>SHUNMUGAM</t>
        </is>
      </c>
      <c r="J207" t="inlineStr">
        <is>
          <t>AE</t>
        </is>
      </c>
      <c r="K207" t="inlineStr">
        <is>
          <t>Auto Engaged</t>
        </is>
      </c>
      <c r="L207" t="n">
        <v>5</v>
      </c>
      <c r="M207" t="inlineStr">
        <is>
          <t>2026-06-29 13:52:31</t>
        </is>
      </c>
      <c r="N207" t="inlineStr">
        <is>
          <t>system</t>
        </is>
      </c>
      <c r="O207" t="inlineStr">
        <is>
          <t>2026-06-17 14:10:06</t>
        </is>
      </c>
      <c r="P207" t="inlineStr">
        <is>
          <t>2026-06-17 14:10:06</t>
        </is>
      </c>
      <c r="Y207" t="inlineStr">
        <is>
          <t>27662353983</t>
        </is>
      </c>
    </row>
    <row r="208">
      <c r="A208" t="inlineStr">
        <is>
          <t>14920875</t>
        </is>
      </c>
      <c r="B208" t="inlineStr">
        <is>
          <t>f323d230-54e6-445a-aa0d-9a2056322548</t>
        </is>
      </c>
      <c r="D208" t="inlineStr">
        <is>
          <t>111111124</t>
        </is>
      </c>
      <c r="E208" t="inlineStr">
        <is>
          <t>Vodacom Life 20260617</t>
        </is>
      </c>
      <c r="G208" t="inlineStr">
        <is>
          <t>ANTOINELLE</t>
        </is>
      </c>
      <c r="H208" t="inlineStr">
        <is>
          <t>HARTZE</t>
        </is>
      </c>
      <c r="J208" t="inlineStr">
        <is>
          <t>AA</t>
        </is>
      </c>
      <c r="K208" t="inlineStr">
        <is>
          <t>Answering Machine Autodial</t>
        </is>
      </c>
      <c r="L208" t="n">
        <v>5</v>
      </c>
      <c r="M208" t="inlineStr">
        <is>
          <t>2026-06-29 13:52:19</t>
        </is>
      </c>
      <c r="N208" t="inlineStr">
        <is>
          <t>system</t>
        </is>
      </c>
      <c r="O208" t="inlineStr">
        <is>
          <t>2026-06-17 14:10:06</t>
        </is>
      </c>
      <c r="P208" t="inlineStr">
        <is>
          <t>2026-06-17 14:10:06</t>
        </is>
      </c>
      <c r="Y208" t="inlineStr">
        <is>
          <t>27829404882</t>
        </is>
      </c>
    </row>
    <row r="209">
      <c r="A209" t="inlineStr">
        <is>
          <t>14920876</t>
        </is>
      </c>
      <c r="B209" t="inlineStr">
        <is>
          <t>63bd475c-18f5-40f1-8fd0-20ac859b22d9</t>
        </is>
      </c>
      <c r="D209" t="inlineStr">
        <is>
          <t>111111124</t>
        </is>
      </c>
      <c r="E209" t="inlineStr">
        <is>
          <t>Vodacom Life 20260617</t>
        </is>
      </c>
      <c r="G209" t="inlineStr">
        <is>
          <t>ANANSA</t>
        </is>
      </c>
      <c r="H209" t="inlineStr">
        <is>
          <t>DAVIDS</t>
        </is>
      </c>
      <c r="J209" t="inlineStr">
        <is>
          <t>AA</t>
        </is>
      </c>
      <c r="K209" t="inlineStr">
        <is>
          <t>Answering Machine Autodial</t>
        </is>
      </c>
      <c r="L209" t="n">
        <v>5</v>
      </c>
      <c r="M209" t="inlineStr">
        <is>
          <t>2026-06-29 13:52:17</t>
        </is>
      </c>
      <c r="N209" t="inlineStr">
        <is>
          <t>system</t>
        </is>
      </c>
      <c r="O209" t="inlineStr">
        <is>
          <t>2026-06-17 14:10:06</t>
        </is>
      </c>
      <c r="P209" t="inlineStr">
        <is>
          <t>2026-06-17 14:10:06</t>
        </is>
      </c>
      <c r="Y209" t="inlineStr">
        <is>
          <t>27823247677</t>
        </is>
      </c>
    </row>
    <row r="210">
      <c r="A210" t="inlineStr">
        <is>
          <t>14921640</t>
        </is>
      </c>
      <c r="B210" t="inlineStr">
        <is>
          <t>a328a7d1-caeb-4963-8826-7df464ed081a</t>
        </is>
      </c>
      <c r="D210" t="inlineStr">
        <is>
          <t>111111124</t>
        </is>
      </c>
      <c r="E210" t="inlineStr">
        <is>
          <t>Vodacom Life 20260617</t>
        </is>
      </c>
      <c r="G210" t="inlineStr">
        <is>
          <t>JOHANNES</t>
        </is>
      </c>
      <c r="H210" t="inlineStr">
        <is>
          <t>DUVENAGE</t>
        </is>
      </c>
      <c r="J210" t="inlineStr">
        <is>
          <t>AE</t>
        </is>
      </c>
      <c r="K210" t="inlineStr">
        <is>
          <t>Auto Engaged</t>
        </is>
      </c>
      <c r="L210" t="n">
        <v>5</v>
      </c>
      <c r="M210" t="inlineStr">
        <is>
          <t>2026-06-29 13:52:17</t>
        </is>
      </c>
      <c r="N210" t="inlineStr">
        <is>
          <t>system</t>
        </is>
      </c>
      <c r="O210" t="inlineStr">
        <is>
          <t>2026-06-17 14:10:06</t>
        </is>
      </c>
      <c r="P210" t="inlineStr">
        <is>
          <t>2026-06-17 14:10:06</t>
        </is>
      </c>
      <c r="Y210" t="inlineStr">
        <is>
          <t>27662934249</t>
        </is>
      </c>
    </row>
    <row r="211">
      <c r="A211" t="inlineStr">
        <is>
          <t>14921643</t>
        </is>
      </c>
      <c r="B211" t="inlineStr">
        <is>
          <t>14c58322-b5da-423f-b1a4-f8aee2599f6d</t>
        </is>
      </c>
      <c r="D211" t="inlineStr">
        <is>
          <t>111111124</t>
        </is>
      </c>
      <c r="E211" t="inlineStr">
        <is>
          <t>Vodacom Life 20260617</t>
        </is>
      </c>
      <c r="G211" t="inlineStr">
        <is>
          <t>AMOS</t>
        </is>
      </c>
      <c r="H211" t="inlineStr">
        <is>
          <t>NKOSI</t>
        </is>
      </c>
      <c r="J211" t="inlineStr">
        <is>
          <t>DROP</t>
        </is>
      </c>
      <c r="K211" t="inlineStr">
        <is>
          <t>Dropped</t>
        </is>
      </c>
      <c r="L211" t="n">
        <v>5</v>
      </c>
      <c r="M211" t="inlineStr">
        <is>
          <t>2026-06-29 13:51:52</t>
        </is>
      </c>
      <c r="N211" t="inlineStr">
        <is>
          <t>system</t>
        </is>
      </c>
      <c r="O211" t="inlineStr">
        <is>
          <t>2026-06-17 14:10:06</t>
        </is>
      </c>
      <c r="P211" t="inlineStr">
        <is>
          <t>2026-06-17 14:10:06</t>
        </is>
      </c>
      <c r="Y211" t="inlineStr">
        <is>
          <t>27712000541</t>
        </is>
      </c>
    </row>
    <row r="212">
      <c r="A212" t="inlineStr">
        <is>
          <t>14921644</t>
        </is>
      </c>
      <c r="B212" t="inlineStr">
        <is>
          <t>3f5b9bd9-aaae-4ea9-b179-176dbd273295</t>
        </is>
      </c>
      <c r="D212" t="inlineStr">
        <is>
          <t>111111124</t>
        </is>
      </c>
      <c r="E212" t="inlineStr">
        <is>
          <t>Vodacom Life 20260617</t>
        </is>
      </c>
      <c r="G212" t="inlineStr">
        <is>
          <t>BRYCE</t>
        </is>
      </c>
      <c r="H212" t="inlineStr">
        <is>
          <t>CUPIDO</t>
        </is>
      </c>
      <c r="J212" t="inlineStr">
        <is>
          <t>NA</t>
        </is>
      </c>
      <c r="K212" t="inlineStr">
        <is>
          <t>No Answer Autodial</t>
        </is>
      </c>
      <c r="L212" t="n">
        <v>5</v>
      </c>
      <c r="M212" t="inlineStr">
        <is>
          <t>2026-06-29 13:51:51</t>
        </is>
      </c>
      <c r="N212" t="inlineStr">
        <is>
          <t>system</t>
        </is>
      </c>
      <c r="O212" t="inlineStr">
        <is>
          <t>2026-06-17 14:10:06</t>
        </is>
      </c>
      <c r="P212" t="inlineStr">
        <is>
          <t>2026-06-17 14:10:06</t>
        </is>
      </c>
      <c r="Y212" t="inlineStr">
        <is>
          <t>27726021643</t>
        </is>
      </c>
    </row>
    <row r="213">
      <c r="A213" t="inlineStr">
        <is>
          <t>14921645</t>
        </is>
      </c>
      <c r="B213" t="inlineStr">
        <is>
          <t>14c4f2ab-3481-4094-bdae-1d3463ec7823</t>
        </is>
      </c>
      <c r="D213" t="inlineStr">
        <is>
          <t>111111124</t>
        </is>
      </c>
      <c r="E213" t="inlineStr">
        <is>
          <t>Vodacom Life 20260617</t>
        </is>
      </c>
      <c r="G213" t="inlineStr">
        <is>
          <t>PHEPHELAPHI</t>
        </is>
      </c>
      <c r="H213" t="inlineStr">
        <is>
          <t>KHOZA</t>
        </is>
      </c>
      <c r="J213" t="inlineStr">
        <is>
          <t>AA</t>
        </is>
      </c>
      <c r="K213" t="inlineStr">
        <is>
          <t>Answering Machine Autodial</t>
        </is>
      </c>
      <c r="L213" t="n">
        <v>5</v>
      </c>
      <c r="M213" t="inlineStr">
        <is>
          <t>2026-06-29 13:51:51</t>
        </is>
      </c>
      <c r="N213" t="inlineStr">
        <is>
          <t>system</t>
        </is>
      </c>
      <c r="O213" t="inlineStr">
        <is>
          <t>2026-06-17 14:10:06</t>
        </is>
      </c>
      <c r="P213" t="inlineStr">
        <is>
          <t>2026-06-17 14:10:06</t>
        </is>
      </c>
      <c r="Y213" t="inlineStr">
        <is>
          <t>27712601480</t>
        </is>
      </c>
    </row>
    <row r="214">
      <c r="A214" t="inlineStr">
        <is>
          <t>14921654</t>
        </is>
      </c>
      <c r="B214" t="inlineStr">
        <is>
          <t>1387943a-154f-4248-bfe9-77f60be655a5</t>
        </is>
      </c>
      <c r="D214" t="inlineStr">
        <is>
          <t>111111124</t>
        </is>
      </c>
      <c r="E214" t="inlineStr">
        <is>
          <t>Vodacom Life 20260617</t>
        </is>
      </c>
      <c r="G214" t="inlineStr">
        <is>
          <t>LIZZIE</t>
        </is>
      </c>
      <c r="H214" t="inlineStr">
        <is>
          <t>JONAS</t>
        </is>
      </c>
      <c r="J214" t="inlineStr">
        <is>
          <t>AA</t>
        </is>
      </c>
      <c r="K214" t="inlineStr">
        <is>
          <t>Answering Machine Autodial</t>
        </is>
      </c>
      <c r="L214" t="n">
        <v>5</v>
      </c>
      <c r="M214" t="inlineStr">
        <is>
          <t>2026-06-29 13:51:51</t>
        </is>
      </c>
      <c r="N214" t="inlineStr">
        <is>
          <t>system</t>
        </is>
      </c>
      <c r="O214" t="inlineStr">
        <is>
          <t>2026-06-17 14:10:06</t>
        </is>
      </c>
      <c r="P214" t="inlineStr">
        <is>
          <t>2026-06-17 14:10:06</t>
        </is>
      </c>
      <c r="Y214" t="inlineStr">
        <is>
          <t>27716136899</t>
        </is>
      </c>
    </row>
    <row r="215">
      <c r="A215" t="inlineStr">
        <is>
          <t>14921757</t>
        </is>
      </c>
      <c r="B215" t="inlineStr">
        <is>
          <t>9b668509-1fa4-417d-a9b2-06e60b381920</t>
        </is>
      </c>
      <c r="D215" t="inlineStr">
        <is>
          <t>111111124</t>
        </is>
      </c>
      <c r="E215" t="inlineStr">
        <is>
          <t>Vodacom Life 20260617</t>
        </is>
      </c>
      <c r="G215" t="inlineStr">
        <is>
          <t>WINNIFRED</t>
        </is>
      </c>
      <c r="H215" t="inlineStr">
        <is>
          <t>MAMABOLO</t>
        </is>
      </c>
      <c r="J215" t="inlineStr">
        <is>
          <t>NA</t>
        </is>
      </c>
      <c r="K215" t="inlineStr">
        <is>
          <t>No Answer Autodial</t>
        </is>
      </c>
      <c r="L215" t="n">
        <v>5</v>
      </c>
      <c r="M215" t="inlineStr">
        <is>
          <t>2026-06-29 13:51:50</t>
        </is>
      </c>
      <c r="N215" t="inlineStr">
        <is>
          <t>system</t>
        </is>
      </c>
      <c r="O215" t="inlineStr">
        <is>
          <t>2026-06-17 14:10:06</t>
        </is>
      </c>
      <c r="P215" t="inlineStr">
        <is>
          <t>2026-06-17 14:10:06</t>
        </is>
      </c>
      <c r="Y215" t="inlineStr">
        <is>
          <t>27649003600</t>
        </is>
      </c>
    </row>
    <row r="216">
      <c r="A216" t="inlineStr">
        <is>
          <t>14921848</t>
        </is>
      </c>
      <c r="B216" t="inlineStr">
        <is>
          <t>3fbcdfca-1f79-4b0f-bc40-d9f3db37ce7b</t>
        </is>
      </c>
      <c r="D216" t="inlineStr">
        <is>
          <t>111111124</t>
        </is>
      </c>
      <c r="E216" t="inlineStr">
        <is>
          <t>Vodacom Life 20260617</t>
        </is>
      </c>
      <c r="G216" t="inlineStr">
        <is>
          <t>MAKOTO</t>
        </is>
      </c>
      <c r="H216" t="inlineStr">
        <is>
          <t>THONGOANA</t>
        </is>
      </c>
      <c r="J216" t="inlineStr">
        <is>
          <t>IABDN</t>
        </is>
      </c>
      <c r="K216" t="inlineStr">
        <is>
          <t>Inbound Abandon</t>
        </is>
      </c>
      <c r="L216" t="n">
        <v>5</v>
      </c>
      <c r="M216" t="inlineStr">
        <is>
          <t>2026-06-29 13:51:47</t>
        </is>
      </c>
      <c r="N216" t="inlineStr">
        <is>
          <t>system</t>
        </is>
      </c>
      <c r="O216" t="inlineStr">
        <is>
          <t>2026-06-17 14:10:06</t>
        </is>
      </c>
      <c r="P216" t="inlineStr">
        <is>
          <t>2026-06-17 14:10:06</t>
        </is>
      </c>
      <c r="Y216" t="inlineStr">
        <is>
          <t>27761917819</t>
        </is>
      </c>
    </row>
    <row r="217">
      <c r="A217" t="inlineStr">
        <is>
          <t>14921656</t>
        </is>
      </c>
      <c r="B217" t="inlineStr">
        <is>
          <t>6c508120-86fe-4629-b076-d1d62c30f499</t>
        </is>
      </c>
      <c r="D217" t="inlineStr">
        <is>
          <t>111111124</t>
        </is>
      </c>
      <c r="E217" t="inlineStr">
        <is>
          <t>Vodacom Life 20260617</t>
        </is>
      </c>
      <c r="G217" t="inlineStr">
        <is>
          <t>DUMISANI</t>
        </is>
      </c>
      <c r="H217" t="inlineStr">
        <is>
          <t>NGWENYAMA</t>
        </is>
      </c>
      <c r="J217" t="inlineStr">
        <is>
          <t>AE</t>
        </is>
      </c>
      <c r="K217" t="inlineStr">
        <is>
          <t>Auto Engaged</t>
        </is>
      </c>
      <c r="L217" t="n">
        <v>5</v>
      </c>
      <c r="M217" t="inlineStr">
        <is>
          <t>2026-06-29 13:51:46</t>
        </is>
      </c>
      <c r="N217" t="inlineStr">
        <is>
          <t>system</t>
        </is>
      </c>
      <c r="O217" t="inlineStr">
        <is>
          <t>2026-06-17 14:10:06</t>
        </is>
      </c>
      <c r="P217" t="inlineStr">
        <is>
          <t>2026-06-17 14:10:06</t>
        </is>
      </c>
      <c r="Y217" t="inlineStr">
        <is>
          <t>27768977778</t>
        </is>
      </c>
    </row>
    <row r="218">
      <c r="A218" t="inlineStr">
        <is>
          <t>14921758</t>
        </is>
      </c>
      <c r="B218" t="inlineStr">
        <is>
          <t>486526f3-607d-4e68-8e90-c4bfc36be29b</t>
        </is>
      </c>
      <c r="D218" t="inlineStr">
        <is>
          <t>111111124</t>
        </is>
      </c>
      <c r="E218" t="inlineStr">
        <is>
          <t>Vodacom Life 20260617</t>
        </is>
      </c>
      <c r="G218" t="inlineStr">
        <is>
          <t>TSHOLOFELO</t>
        </is>
      </c>
      <c r="H218" t="inlineStr">
        <is>
          <t>MOGOTSI</t>
        </is>
      </c>
      <c r="J218" t="inlineStr">
        <is>
          <t>AA</t>
        </is>
      </c>
      <c r="K218" t="inlineStr">
        <is>
          <t>Answering Machine Autodial</t>
        </is>
      </c>
      <c r="L218" t="n">
        <v>5</v>
      </c>
      <c r="M218" t="inlineStr">
        <is>
          <t>2026-06-29 13:51:46</t>
        </is>
      </c>
      <c r="N218" t="inlineStr">
        <is>
          <t>system</t>
        </is>
      </c>
      <c r="O218" t="inlineStr">
        <is>
          <t>2026-06-17 14:10:06</t>
        </is>
      </c>
      <c r="P218" t="inlineStr">
        <is>
          <t>2026-06-17 14:10:06</t>
        </is>
      </c>
      <c r="Y218" t="inlineStr">
        <is>
          <t>27716320476</t>
        </is>
      </c>
    </row>
    <row r="219">
      <c r="A219" t="inlineStr">
        <is>
          <t>14921703</t>
        </is>
      </c>
      <c r="B219" t="inlineStr">
        <is>
          <t>266de389-6d75-4ac8-a630-9331fa7c8f36</t>
        </is>
      </c>
      <c r="D219" t="inlineStr">
        <is>
          <t>111111124</t>
        </is>
      </c>
      <c r="E219" t="inlineStr">
        <is>
          <t>Vodacom Life 20260617</t>
        </is>
      </c>
      <c r="G219" t="inlineStr">
        <is>
          <t>AUBREY</t>
        </is>
      </c>
      <c r="H219" t="inlineStr">
        <is>
          <t>MSANA</t>
        </is>
      </c>
      <c r="J219" t="inlineStr">
        <is>
          <t>CU</t>
        </is>
      </c>
      <c r="K219" t="inlineStr">
        <is>
          <t>Client Hung Up</t>
        </is>
      </c>
      <c r="L219" t="n">
        <v>5</v>
      </c>
      <c r="M219" t="inlineStr">
        <is>
          <t>2026-06-29 13:51:46</t>
        </is>
      </c>
      <c r="N219" t="inlineStr">
        <is>
          <t>Vanessa Kekana</t>
        </is>
      </c>
      <c r="O219" t="inlineStr">
        <is>
          <t>2026-06-17 14:10:06</t>
        </is>
      </c>
      <c r="P219" t="inlineStr">
        <is>
          <t>2026-06-17 14:10:06</t>
        </is>
      </c>
      <c r="Y219" t="inlineStr">
        <is>
          <t>27713616934</t>
        </is>
      </c>
    </row>
    <row r="220">
      <c r="A220" t="inlineStr">
        <is>
          <t>14921112</t>
        </is>
      </c>
      <c r="B220" t="inlineStr">
        <is>
          <t>7f51b2d4-5486-42e1-9f6a-0791a946c10b</t>
        </is>
      </c>
      <c r="D220" t="inlineStr">
        <is>
          <t>111111124</t>
        </is>
      </c>
      <c r="E220" t="inlineStr">
        <is>
          <t>Vodacom Life 20260617</t>
        </is>
      </c>
      <c r="G220" t="inlineStr">
        <is>
          <t>MORNE</t>
        </is>
      </c>
      <c r="H220" t="inlineStr">
        <is>
          <t>WESTSCOTT</t>
        </is>
      </c>
      <c r="J220" t="inlineStr">
        <is>
          <t>AE</t>
        </is>
      </c>
      <c r="K220" t="inlineStr">
        <is>
          <t>Auto Engaged</t>
        </is>
      </c>
      <c r="L220" t="n">
        <v>5</v>
      </c>
      <c r="M220" t="inlineStr">
        <is>
          <t>2026-06-29 13:50:50</t>
        </is>
      </c>
      <c r="N220" t="inlineStr">
        <is>
          <t>system</t>
        </is>
      </c>
      <c r="O220" t="inlineStr">
        <is>
          <t>2026-06-17 14:10:06</t>
        </is>
      </c>
      <c r="P220" t="inlineStr">
        <is>
          <t>2026-06-17 14:10:06</t>
        </is>
      </c>
      <c r="Y220" t="inlineStr">
        <is>
          <t>27713610366</t>
        </is>
      </c>
    </row>
    <row r="221">
      <c r="A221" t="inlineStr">
        <is>
          <t>14921115</t>
        </is>
      </c>
      <c r="B221" t="inlineStr">
        <is>
          <t>484e3c55-e3cc-4e16-8b86-563f79968802</t>
        </is>
      </c>
      <c r="D221" t="inlineStr">
        <is>
          <t>111111124</t>
        </is>
      </c>
      <c r="E221" t="inlineStr">
        <is>
          <t>Vodacom Life 20260617</t>
        </is>
      </c>
      <c r="G221" t="inlineStr">
        <is>
          <t>CORNE</t>
        </is>
      </c>
      <c r="H221" t="inlineStr">
        <is>
          <t>LUBBE</t>
        </is>
      </c>
      <c r="J221" t="inlineStr">
        <is>
          <t>AE</t>
        </is>
      </c>
      <c r="K221" t="inlineStr">
        <is>
          <t>Auto Engaged</t>
        </is>
      </c>
      <c r="L221" t="n">
        <v>5</v>
      </c>
      <c r="M221" t="inlineStr">
        <is>
          <t>2026-06-29 13:50:50</t>
        </is>
      </c>
      <c r="N221" t="inlineStr">
        <is>
          <t>system</t>
        </is>
      </c>
      <c r="O221" t="inlineStr">
        <is>
          <t>2026-06-17 14:10:06</t>
        </is>
      </c>
      <c r="P221" t="inlineStr">
        <is>
          <t>2026-06-17 14:10:06</t>
        </is>
      </c>
      <c r="Y221" t="inlineStr">
        <is>
          <t>27731498454</t>
        </is>
      </c>
    </row>
    <row r="222">
      <c r="A222" t="inlineStr">
        <is>
          <t>14921117</t>
        </is>
      </c>
      <c r="B222" t="inlineStr">
        <is>
          <t>c2eb128a-2a00-4bdb-84d8-7383e2185635</t>
        </is>
      </c>
      <c r="D222" t="inlineStr">
        <is>
          <t>111111124</t>
        </is>
      </c>
      <c r="E222" t="inlineStr">
        <is>
          <t>Vodacom Life 20260617</t>
        </is>
      </c>
      <c r="G222" t="inlineStr">
        <is>
          <t>SAM</t>
        </is>
      </c>
      <c r="H222" t="inlineStr">
        <is>
          <t>FEBRUARY</t>
        </is>
      </c>
      <c r="J222" t="inlineStr">
        <is>
          <t>AE</t>
        </is>
      </c>
      <c r="K222" t="inlineStr">
        <is>
          <t>Auto Engaged</t>
        </is>
      </c>
      <c r="L222" t="n">
        <v>5</v>
      </c>
      <c r="M222" t="inlineStr">
        <is>
          <t>2026-06-29 13:50:50</t>
        </is>
      </c>
      <c r="N222" t="inlineStr">
        <is>
          <t>system</t>
        </is>
      </c>
      <c r="O222" t="inlineStr">
        <is>
          <t>2026-06-17 14:10:06</t>
        </is>
      </c>
      <c r="P222" t="inlineStr">
        <is>
          <t>2026-06-17 14:10:06</t>
        </is>
      </c>
      <c r="Y222" t="inlineStr">
        <is>
          <t>27829049043</t>
        </is>
      </c>
    </row>
    <row r="223">
      <c r="A223" t="inlineStr">
        <is>
          <t>14921114</t>
        </is>
      </c>
      <c r="B223" t="inlineStr">
        <is>
          <t>9bcba7b6-aa8f-4d63-ad12-c35b89a5be74</t>
        </is>
      </c>
      <c r="D223" t="inlineStr">
        <is>
          <t>111111124</t>
        </is>
      </c>
      <c r="E223" t="inlineStr">
        <is>
          <t>Vodacom Life 20260617</t>
        </is>
      </c>
      <c r="G223" t="inlineStr">
        <is>
          <t>GRANWILL</t>
        </is>
      </c>
      <c r="H223" t="inlineStr">
        <is>
          <t>MARMAN</t>
        </is>
      </c>
      <c r="J223" t="inlineStr">
        <is>
          <t>NA</t>
        </is>
      </c>
      <c r="K223" t="inlineStr">
        <is>
          <t>No Answer Autodial</t>
        </is>
      </c>
      <c r="L223" t="n">
        <v>5</v>
      </c>
      <c r="M223" t="inlineStr">
        <is>
          <t>2026-06-29 13:50:49</t>
        </is>
      </c>
      <c r="N223" t="inlineStr">
        <is>
          <t>system</t>
        </is>
      </c>
      <c r="O223" t="inlineStr">
        <is>
          <t>2026-06-17 14:10:06</t>
        </is>
      </c>
      <c r="P223" t="inlineStr">
        <is>
          <t>2026-06-17 14:10:06</t>
        </is>
      </c>
      <c r="Y223" t="inlineStr">
        <is>
          <t>27829469542</t>
        </is>
      </c>
    </row>
    <row r="224">
      <c r="A224" t="inlineStr">
        <is>
          <t>14921116</t>
        </is>
      </c>
      <c r="B224" t="inlineStr">
        <is>
          <t>feaccb49-97aa-4dac-8895-cb8a055996fc</t>
        </is>
      </c>
      <c r="D224" t="inlineStr">
        <is>
          <t>111111124</t>
        </is>
      </c>
      <c r="E224" t="inlineStr">
        <is>
          <t>Vodacom Life 20260617</t>
        </is>
      </c>
      <c r="G224" t="inlineStr">
        <is>
          <t>ROBERT</t>
        </is>
      </c>
      <c r="H224" t="inlineStr">
        <is>
          <t>DEAN</t>
        </is>
      </c>
      <c r="J224" t="inlineStr">
        <is>
          <t>AE</t>
        </is>
      </c>
      <c r="K224" t="inlineStr">
        <is>
          <t>Auto Engaged</t>
        </is>
      </c>
      <c r="L224" t="n">
        <v>5</v>
      </c>
      <c r="M224" t="inlineStr">
        <is>
          <t>2026-06-29 13:50:49</t>
        </is>
      </c>
      <c r="N224" t="inlineStr">
        <is>
          <t>system</t>
        </is>
      </c>
      <c r="O224" t="inlineStr">
        <is>
          <t>2026-06-17 14:10:06</t>
        </is>
      </c>
      <c r="P224" t="inlineStr">
        <is>
          <t>2026-06-17 14:10:06</t>
        </is>
      </c>
      <c r="Y224" t="inlineStr">
        <is>
          <t>27799854112</t>
        </is>
      </c>
    </row>
    <row r="225">
      <c r="A225" t="inlineStr">
        <is>
          <t>14921121</t>
        </is>
      </c>
      <c r="B225" t="inlineStr">
        <is>
          <t>9353c192-e3d8-4e45-b93e-9c510baea181</t>
        </is>
      </c>
      <c r="D225" t="inlineStr">
        <is>
          <t>111111124</t>
        </is>
      </c>
      <c r="E225" t="inlineStr">
        <is>
          <t>Vodacom Life 20260617</t>
        </is>
      </c>
      <c r="G225" t="inlineStr">
        <is>
          <t>MPHO</t>
        </is>
      </c>
      <c r="H225" t="inlineStr">
        <is>
          <t>MAGOLEGO</t>
        </is>
      </c>
      <c r="J225" t="inlineStr">
        <is>
          <t>ADC</t>
        </is>
      </c>
      <c r="K225" t="inlineStr">
        <is>
          <t>Auto Dial Disconnected</t>
        </is>
      </c>
      <c r="L225" t="n">
        <v>5</v>
      </c>
      <c r="M225" t="inlineStr">
        <is>
          <t>2026-06-29 13:50:47</t>
        </is>
      </c>
      <c r="N225" t="inlineStr">
        <is>
          <t>system</t>
        </is>
      </c>
      <c r="O225" t="inlineStr">
        <is>
          <t>2026-06-17 14:10:06</t>
        </is>
      </c>
      <c r="P225" t="inlineStr">
        <is>
          <t>2026-06-17 14:10:06</t>
        </is>
      </c>
      <c r="Y225" t="inlineStr">
        <is>
          <t>27637732097</t>
        </is>
      </c>
    </row>
    <row r="226">
      <c r="A226" t="inlineStr">
        <is>
          <t>14921122</t>
        </is>
      </c>
      <c r="B226" t="inlineStr">
        <is>
          <t>11ae2435-1060-43df-ab70-7c27244ffb3c</t>
        </is>
      </c>
      <c r="D226" t="inlineStr">
        <is>
          <t>111111124</t>
        </is>
      </c>
      <c r="E226" t="inlineStr">
        <is>
          <t>Vodacom Life 20260617</t>
        </is>
      </c>
      <c r="G226" t="inlineStr">
        <is>
          <t>SIYALALAKHA</t>
        </is>
      </c>
      <c r="H226" t="inlineStr">
        <is>
          <t>SONKA</t>
        </is>
      </c>
      <c r="J226" t="inlineStr">
        <is>
          <t>NA</t>
        </is>
      </c>
      <c r="K226" t="inlineStr">
        <is>
          <t>No Answer Autodial</t>
        </is>
      </c>
      <c r="L226" t="n">
        <v>5</v>
      </c>
      <c r="M226" t="inlineStr">
        <is>
          <t>2026-06-29 13:50:47</t>
        </is>
      </c>
      <c r="N226" t="inlineStr">
        <is>
          <t>system</t>
        </is>
      </c>
      <c r="O226" t="inlineStr">
        <is>
          <t>2026-06-17 14:10:06</t>
        </is>
      </c>
      <c r="P226" t="inlineStr">
        <is>
          <t>2026-06-17 14:10:06</t>
        </is>
      </c>
      <c r="Y226" t="inlineStr">
        <is>
          <t>27728827249</t>
        </is>
      </c>
    </row>
    <row r="227">
      <c r="A227" t="inlineStr">
        <is>
          <t>14921126</t>
        </is>
      </c>
      <c r="B227" t="inlineStr">
        <is>
          <t>f1082f21-08e2-4d92-a5f8-a7fe14365438</t>
        </is>
      </c>
      <c r="D227" t="inlineStr">
        <is>
          <t>111111124</t>
        </is>
      </c>
      <c r="E227" t="inlineStr">
        <is>
          <t>Vodacom Life 20260617</t>
        </is>
      </c>
      <c r="G227" t="inlineStr">
        <is>
          <t>CHRISTO</t>
        </is>
      </c>
      <c r="H227" t="inlineStr">
        <is>
          <t>DU TOIT</t>
        </is>
      </c>
      <c r="J227" t="inlineStr">
        <is>
          <t>AA</t>
        </is>
      </c>
      <c r="K227" t="inlineStr">
        <is>
          <t>Answering Machine Autodial</t>
        </is>
      </c>
      <c r="L227" t="n">
        <v>5</v>
      </c>
      <c r="M227" t="inlineStr">
        <is>
          <t>2026-06-29 13:50:46</t>
        </is>
      </c>
      <c r="N227" t="inlineStr">
        <is>
          <t>system</t>
        </is>
      </c>
      <c r="O227" t="inlineStr">
        <is>
          <t>2026-06-17 14:10:06</t>
        </is>
      </c>
      <c r="P227" t="inlineStr">
        <is>
          <t>2026-06-17 14:10:06</t>
        </is>
      </c>
      <c r="Y227" t="inlineStr">
        <is>
          <t>27609728471</t>
        </is>
      </c>
    </row>
    <row r="228">
      <c r="A228" t="inlineStr">
        <is>
          <t>14921127</t>
        </is>
      </c>
      <c r="B228" t="inlineStr">
        <is>
          <t>f01dbd91-b31d-4c25-af24-148e7882c623</t>
        </is>
      </c>
      <c r="D228" t="inlineStr">
        <is>
          <t>111111124</t>
        </is>
      </c>
      <c r="E228" t="inlineStr">
        <is>
          <t>Vodacom Life 20260617</t>
        </is>
      </c>
      <c r="G228" t="inlineStr">
        <is>
          <t>MILLICENT</t>
        </is>
      </c>
      <c r="H228" t="inlineStr">
        <is>
          <t>SEBITIELE</t>
        </is>
      </c>
      <c r="J228" t="inlineStr">
        <is>
          <t>AE</t>
        </is>
      </c>
      <c r="K228" t="inlineStr">
        <is>
          <t>Auto Engaged</t>
        </is>
      </c>
      <c r="L228" t="n">
        <v>5</v>
      </c>
      <c r="M228" t="inlineStr">
        <is>
          <t>2026-06-29 13:50:44</t>
        </is>
      </c>
      <c r="N228" t="inlineStr">
        <is>
          <t>system</t>
        </is>
      </c>
      <c r="O228" t="inlineStr">
        <is>
          <t>2026-06-17 14:10:06</t>
        </is>
      </c>
      <c r="P228" t="inlineStr">
        <is>
          <t>2026-06-17 14:10:06</t>
        </is>
      </c>
      <c r="Y228" t="inlineStr">
        <is>
          <t>27726477206</t>
        </is>
      </c>
    </row>
    <row r="229">
      <c r="A229" t="inlineStr">
        <is>
          <t>14921128</t>
        </is>
      </c>
      <c r="B229" t="inlineStr">
        <is>
          <t>41327f9b-1fd5-4d6d-819d-65c990253a2d</t>
        </is>
      </c>
      <c r="D229" t="inlineStr">
        <is>
          <t>111111124</t>
        </is>
      </c>
      <c r="E229" t="inlineStr">
        <is>
          <t>Vodacom Life 20260617</t>
        </is>
      </c>
      <c r="G229" t="inlineStr">
        <is>
          <t>NHLAKANIPHO</t>
        </is>
      </c>
      <c r="H229" t="inlineStr">
        <is>
          <t>SKHOSANA</t>
        </is>
      </c>
      <c r="J229" t="inlineStr">
        <is>
          <t>AE</t>
        </is>
      </c>
      <c r="K229" t="inlineStr">
        <is>
          <t>Auto Engaged</t>
        </is>
      </c>
      <c r="L229" t="n">
        <v>5</v>
      </c>
      <c r="M229" t="inlineStr">
        <is>
          <t>2026-06-29 13:50:40</t>
        </is>
      </c>
      <c r="N229" t="inlineStr">
        <is>
          <t>system</t>
        </is>
      </c>
      <c r="O229" t="inlineStr">
        <is>
          <t>2026-06-17 14:10:06</t>
        </is>
      </c>
      <c r="P229" t="inlineStr">
        <is>
          <t>2026-06-17 14:10:06</t>
        </is>
      </c>
      <c r="Y229" t="inlineStr">
        <is>
          <t>27722882591</t>
        </is>
      </c>
    </row>
    <row r="230">
      <c r="A230" t="inlineStr">
        <is>
          <t>14921129</t>
        </is>
      </c>
      <c r="B230" t="inlineStr">
        <is>
          <t>f0ac45d5-5667-4395-82a4-4f138dfe22ab</t>
        </is>
      </c>
      <c r="D230" t="inlineStr">
        <is>
          <t>111111124</t>
        </is>
      </c>
      <c r="E230" t="inlineStr">
        <is>
          <t>Vodacom Life 20260617</t>
        </is>
      </c>
      <c r="G230" t="inlineStr">
        <is>
          <t>MONICA</t>
        </is>
      </c>
      <c r="H230" t="inlineStr">
        <is>
          <t>HANEKOM</t>
        </is>
      </c>
      <c r="J230" t="inlineStr">
        <is>
          <t>NIUP</t>
        </is>
      </c>
      <c r="K230" t="inlineStr">
        <is>
          <t>Not Interested Upfront</t>
        </is>
      </c>
      <c r="L230" t="n">
        <v>5</v>
      </c>
      <c r="M230" t="inlineStr">
        <is>
          <t>2026-06-29 13:50:40</t>
        </is>
      </c>
      <c r="N230" t="inlineStr">
        <is>
          <t>Vanessa Kekana</t>
        </is>
      </c>
      <c r="O230" t="inlineStr">
        <is>
          <t>2026-06-17 14:10:06</t>
        </is>
      </c>
      <c r="P230" t="inlineStr">
        <is>
          <t>2026-06-17 14:10:06</t>
        </is>
      </c>
      <c r="Y230" t="inlineStr">
        <is>
          <t>27724345164</t>
        </is>
      </c>
    </row>
    <row r="231">
      <c r="A231" t="inlineStr">
        <is>
          <t>14921704</t>
        </is>
      </c>
      <c r="B231" t="inlineStr">
        <is>
          <t>4883c9a1-3030-4979-8f27-e5dda001679d</t>
        </is>
      </c>
      <c r="D231" t="inlineStr">
        <is>
          <t>111111124</t>
        </is>
      </c>
      <c r="E231" t="inlineStr">
        <is>
          <t>Vodacom Life 20260617</t>
        </is>
      </c>
      <c r="G231" t="inlineStr">
        <is>
          <t>NIECOLE</t>
        </is>
      </c>
      <c r="H231" t="inlineStr">
        <is>
          <t>SMIT</t>
        </is>
      </c>
      <c r="J231" t="inlineStr">
        <is>
          <t>AA</t>
        </is>
      </c>
      <c r="K231" t="inlineStr">
        <is>
          <t>Answering Machine Autodial</t>
        </is>
      </c>
      <c r="L231" t="n">
        <v>5</v>
      </c>
      <c r="M231" t="inlineStr">
        <is>
          <t>2026-06-29 13:50:40</t>
        </is>
      </c>
      <c r="N231" t="inlineStr">
        <is>
          <t>system</t>
        </is>
      </c>
      <c r="O231" t="inlineStr">
        <is>
          <t>2026-06-17 14:10:06</t>
        </is>
      </c>
      <c r="P231" t="inlineStr">
        <is>
          <t>2026-06-17 14:10:06</t>
        </is>
      </c>
      <c r="Y231" t="inlineStr">
        <is>
          <t>27825919718</t>
        </is>
      </c>
    </row>
    <row r="232">
      <c r="A232" t="inlineStr">
        <is>
          <t>14920879</t>
        </is>
      </c>
      <c r="B232" t="inlineStr">
        <is>
          <t>5c66bf37-b5aa-48d7-a7ba-4453f39b06ee</t>
        </is>
      </c>
      <c r="D232" t="inlineStr">
        <is>
          <t>111111124</t>
        </is>
      </c>
      <c r="E232" t="inlineStr">
        <is>
          <t>Vodacom Life 20260617</t>
        </is>
      </c>
      <c r="G232" t="inlineStr">
        <is>
          <t>SAREL</t>
        </is>
      </c>
      <c r="H232" t="inlineStr">
        <is>
          <t>DU TOIT</t>
        </is>
      </c>
      <c r="J232" t="inlineStr">
        <is>
          <t>AE</t>
        </is>
      </c>
      <c r="K232" t="inlineStr">
        <is>
          <t>Auto Engaged</t>
        </is>
      </c>
      <c r="L232" t="n">
        <v>5</v>
      </c>
      <c r="M232" t="inlineStr">
        <is>
          <t>2026-06-29 13:50:14</t>
        </is>
      </c>
      <c r="N232" t="inlineStr">
        <is>
          <t>system</t>
        </is>
      </c>
      <c r="O232" t="inlineStr">
        <is>
          <t>2026-06-17 14:10:06</t>
        </is>
      </c>
      <c r="P232" t="inlineStr">
        <is>
          <t>2026-06-17 14:10:06</t>
        </is>
      </c>
      <c r="Y232" t="inlineStr">
        <is>
          <t>27767718484</t>
        </is>
      </c>
    </row>
    <row r="233">
      <c r="A233" t="inlineStr">
        <is>
          <t>14920881</t>
        </is>
      </c>
      <c r="B233" t="inlineStr">
        <is>
          <t>60681976-80a5-4c63-9b0b-a2a283df65a6</t>
        </is>
      </c>
      <c r="D233" t="inlineStr">
        <is>
          <t>111111124</t>
        </is>
      </c>
      <c r="E233" t="inlineStr">
        <is>
          <t>Vodacom Life 20260617</t>
        </is>
      </c>
      <c r="G233" t="inlineStr">
        <is>
          <t>MARC</t>
        </is>
      </c>
      <c r="H233" t="inlineStr">
        <is>
          <t>HORNE</t>
        </is>
      </c>
      <c r="J233" t="inlineStr">
        <is>
          <t>AA</t>
        </is>
      </c>
      <c r="K233" t="inlineStr">
        <is>
          <t>Answering Machine Autodial</t>
        </is>
      </c>
      <c r="L233" t="n">
        <v>5</v>
      </c>
      <c r="M233" t="inlineStr">
        <is>
          <t>2026-06-29 13:50:14</t>
        </is>
      </c>
      <c r="N233" t="inlineStr">
        <is>
          <t>system</t>
        </is>
      </c>
      <c r="O233" t="inlineStr">
        <is>
          <t>2026-06-17 14:10:06</t>
        </is>
      </c>
      <c r="P233" t="inlineStr">
        <is>
          <t>2026-06-17 14:10:06</t>
        </is>
      </c>
      <c r="Y233" t="inlineStr">
        <is>
          <t>27744025084</t>
        </is>
      </c>
    </row>
    <row r="234">
      <c r="A234" t="inlineStr">
        <is>
          <t>14921657</t>
        </is>
      </c>
      <c r="B234" t="inlineStr">
        <is>
          <t>0ed666ca-d6d2-434c-8639-7f40d692feb1</t>
        </is>
      </c>
      <c r="D234" t="inlineStr">
        <is>
          <t>111111124</t>
        </is>
      </c>
      <c r="E234" t="inlineStr">
        <is>
          <t>Vodacom Life 20260617</t>
        </is>
      </c>
      <c r="G234" t="inlineStr">
        <is>
          <t>SHAUN</t>
        </is>
      </c>
      <c r="H234" t="inlineStr">
        <is>
          <t>ROSSLE</t>
        </is>
      </c>
      <c r="J234" t="inlineStr">
        <is>
          <t>AA</t>
        </is>
      </c>
      <c r="K234" t="inlineStr">
        <is>
          <t>Answering Machine Autodial</t>
        </is>
      </c>
      <c r="L234" t="n">
        <v>5</v>
      </c>
      <c r="M234" t="inlineStr">
        <is>
          <t>2026-06-29 13:50:14</t>
        </is>
      </c>
      <c r="N234" t="inlineStr">
        <is>
          <t>system</t>
        </is>
      </c>
      <c r="O234" t="inlineStr">
        <is>
          <t>2026-06-17 14:10:06</t>
        </is>
      </c>
      <c r="P234" t="inlineStr">
        <is>
          <t>2026-06-17 14:10:06</t>
        </is>
      </c>
      <c r="Y234" t="inlineStr">
        <is>
          <t>27713468152</t>
        </is>
      </c>
    </row>
    <row r="235">
      <c r="A235" t="inlineStr">
        <is>
          <t>14921658</t>
        </is>
      </c>
      <c r="B235" t="inlineStr">
        <is>
          <t>d17b4a88-ecb6-4838-a7f2-3fd72ac41331</t>
        </is>
      </c>
      <c r="D235" t="inlineStr">
        <is>
          <t>111111124</t>
        </is>
      </c>
      <c r="E235" t="inlineStr">
        <is>
          <t>Vodacom Life 20260617</t>
        </is>
      </c>
      <c r="G235" t="inlineStr">
        <is>
          <t>REINARD</t>
        </is>
      </c>
      <c r="H235" t="inlineStr">
        <is>
          <t>GRIESEL</t>
        </is>
      </c>
      <c r="J235" t="inlineStr">
        <is>
          <t>CU</t>
        </is>
      </c>
      <c r="K235" t="inlineStr">
        <is>
          <t>Client Hung Up</t>
        </is>
      </c>
      <c r="L235" t="n">
        <v>5</v>
      </c>
      <c r="M235" t="inlineStr">
        <is>
          <t>2026-06-29 13:50:14</t>
        </is>
      </c>
      <c r="N235" t="inlineStr">
        <is>
          <t>Vanessa Kekana</t>
        </is>
      </c>
      <c r="O235" t="inlineStr">
        <is>
          <t>2026-06-17 14:10:06</t>
        </is>
      </c>
      <c r="P235" t="inlineStr">
        <is>
          <t>2026-06-17 14:10:06</t>
        </is>
      </c>
      <c r="Y235" t="inlineStr">
        <is>
          <t>27796877239</t>
        </is>
      </c>
    </row>
    <row r="236">
      <c r="A236" t="inlineStr">
        <is>
          <t>14920883</t>
        </is>
      </c>
      <c r="B236" t="inlineStr">
        <is>
          <t>3c69ff60-55b5-4589-996a-a486263a8e39</t>
        </is>
      </c>
      <c r="D236" t="inlineStr">
        <is>
          <t>111111124</t>
        </is>
      </c>
      <c r="E236" t="inlineStr">
        <is>
          <t>Vodacom Life 20260617</t>
        </is>
      </c>
      <c r="G236" t="inlineStr">
        <is>
          <t>KAMOHELA</t>
        </is>
      </c>
      <c r="H236" t="inlineStr">
        <is>
          <t>MOFOKENG</t>
        </is>
      </c>
      <c r="J236" t="inlineStr">
        <is>
          <t>DROP</t>
        </is>
      </c>
      <c r="K236" t="inlineStr">
        <is>
          <t>Dropped</t>
        </is>
      </c>
      <c r="L236" t="n">
        <v>5</v>
      </c>
      <c r="M236" t="inlineStr">
        <is>
          <t>2026-06-29 13:49:38</t>
        </is>
      </c>
      <c r="N236" t="inlineStr">
        <is>
          <t>system</t>
        </is>
      </c>
      <c r="O236" t="inlineStr">
        <is>
          <t>2026-06-17 14:10:06</t>
        </is>
      </c>
      <c r="P236" t="inlineStr">
        <is>
          <t>2026-06-17 14:10:06</t>
        </is>
      </c>
      <c r="Y236" t="inlineStr">
        <is>
          <t>27729485632</t>
        </is>
      </c>
    </row>
    <row r="237">
      <c r="A237" t="inlineStr">
        <is>
          <t>14920884</t>
        </is>
      </c>
      <c r="B237" t="inlineStr">
        <is>
          <t>de2da23f-4698-4c80-9cf3-47695847088d</t>
        </is>
      </c>
      <c r="D237" t="inlineStr">
        <is>
          <t>111111124</t>
        </is>
      </c>
      <c r="E237" t="inlineStr">
        <is>
          <t>Vodacom Life 20260617</t>
        </is>
      </c>
      <c r="G237" t="inlineStr">
        <is>
          <t>CORNELIUS</t>
        </is>
      </c>
      <c r="H237" t="inlineStr">
        <is>
          <t>DU TOIT</t>
        </is>
      </c>
      <c r="J237" t="inlineStr">
        <is>
          <t>AE</t>
        </is>
      </c>
      <c r="K237" t="inlineStr">
        <is>
          <t>Auto Engaged</t>
        </is>
      </c>
      <c r="L237" t="n">
        <v>5</v>
      </c>
      <c r="M237" t="inlineStr">
        <is>
          <t>2026-06-29 13:49:38</t>
        </is>
      </c>
      <c r="N237" t="inlineStr">
        <is>
          <t>system</t>
        </is>
      </c>
      <c r="O237" t="inlineStr">
        <is>
          <t>2026-06-17 14:10:06</t>
        </is>
      </c>
      <c r="P237" t="inlineStr">
        <is>
          <t>2026-06-17 14:10:06</t>
        </is>
      </c>
      <c r="Y237" t="inlineStr">
        <is>
          <t>27828047510</t>
        </is>
      </c>
    </row>
    <row r="238">
      <c r="A238" t="inlineStr">
        <is>
          <t>14920892</t>
        </is>
      </c>
      <c r="B238" t="inlineStr">
        <is>
          <t>8843f2dd-66e7-46d9-a1c8-fe529e200da4</t>
        </is>
      </c>
      <c r="D238" t="inlineStr">
        <is>
          <t>111111124</t>
        </is>
      </c>
      <c r="E238" t="inlineStr">
        <is>
          <t>Vodacom Life 20260617</t>
        </is>
      </c>
      <c r="G238" t="inlineStr">
        <is>
          <t>MAKHANANE</t>
        </is>
      </c>
      <c r="H238" t="inlineStr">
        <is>
          <t>MBEWE</t>
        </is>
      </c>
      <c r="J238" t="inlineStr">
        <is>
          <t>DROP</t>
        </is>
      </c>
      <c r="K238" t="inlineStr">
        <is>
          <t>Dropped</t>
        </is>
      </c>
      <c r="L238" t="n">
        <v>5</v>
      </c>
      <c r="M238" t="inlineStr">
        <is>
          <t>2026-06-29 13:49:38</t>
        </is>
      </c>
      <c r="N238" t="inlineStr">
        <is>
          <t>system</t>
        </is>
      </c>
      <c r="O238" t="inlineStr">
        <is>
          <t>2026-06-17 14:10:06</t>
        </is>
      </c>
      <c r="P238" t="inlineStr">
        <is>
          <t>2026-06-17 14:10:06</t>
        </is>
      </c>
      <c r="Y238" t="inlineStr">
        <is>
          <t>27637481087</t>
        </is>
      </c>
    </row>
    <row r="239">
      <c r="A239" t="inlineStr">
        <is>
          <t>14920893</t>
        </is>
      </c>
      <c r="B239" t="inlineStr">
        <is>
          <t>f0730f46-0eb6-47fc-944f-6df30f6ec7b6</t>
        </is>
      </c>
      <c r="D239" t="inlineStr">
        <is>
          <t>111111124</t>
        </is>
      </c>
      <c r="E239" t="inlineStr">
        <is>
          <t>Vodacom Life 20260617</t>
        </is>
      </c>
      <c r="G239" t="inlineStr">
        <is>
          <t>KWANDOKUHLE</t>
        </is>
      </c>
      <c r="H239" t="inlineStr">
        <is>
          <t>MAYISELA</t>
        </is>
      </c>
      <c r="J239" t="inlineStr">
        <is>
          <t>AA</t>
        </is>
      </c>
      <c r="K239" t="inlineStr">
        <is>
          <t>Answering Machine Autodial</t>
        </is>
      </c>
      <c r="L239" t="n">
        <v>5</v>
      </c>
      <c r="M239" t="inlineStr">
        <is>
          <t>2026-06-29 13:49:38</t>
        </is>
      </c>
      <c r="N239" t="inlineStr">
        <is>
          <t>system</t>
        </is>
      </c>
      <c r="O239" t="inlineStr">
        <is>
          <t>2026-06-17 14:10:06</t>
        </is>
      </c>
      <c r="P239" t="inlineStr">
        <is>
          <t>2026-06-17 14:10:06</t>
        </is>
      </c>
      <c r="Y239" t="inlineStr">
        <is>
          <t>27763639317</t>
        </is>
      </c>
    </row>
    <row r="240">
      <c r="A240" t="inlineStr">
        <is>
          <t>14920894</t>
        </is>
      </c>
      <c r="B240" t="inlineStr">
        <is>
          <t>7024eb45-1a2c-46ce-bfdf-03c93189a48b</t>
        </is>
      </c>
      <c r="D240" t="inlineStr">
        <is>
          <t>111111124</t>
        </is>
      </c>
      <c r="E240" t="inlineStr">
        <is>
          <t>Vodacom Life 20260617</t>
        </is>
      </c>
      <c r="G240" t="inlineStr">
        <is>
          <t>LESIBA</t>
        </is>
      </c>
      <c r="H240" t="inlineStr">
        <is>
          <t>MOSELANE</t>
        </is>
      </c>
      <c r="J240" t="inlineStr">
        <is>
          <t>ADC</t>
        </is>
      </c>
      <c r="K240" t="inlineStr">
        <is>
          <t>Auto Dial Disconnected</t>
        </is>
      </c>
      <c r="L240" t="n">
        <v>5</v>
      </c>
      <c r="M240" t="inlineStr">
        <is>
          <t>2026-06-29 13:49:11</t>
        </is>
      </c>
      <c r="N240" t="inlineStr">
        <is>
          <t>system</t>
        </is>
      </c>
      <c r="O240" t="inlineStr">
        <is>
          <t>2026-06-17 14:10:06</t>
        </is>
      </c>
      <c r="P240" t="inlineStr">
        <is>
          <t>2026-06-17 14:10:06</t>
        </is>
      </c>
      <c r="Y240" t="inlineStr">
        <is>
          <t>27721930637</t>
        </is>
      </c>
    </row>
    <row r="241">
      <c r="A241" t="inlineStr">
        <is>
          <t>14900000</t>
        </is>
      </c>
      <c r="B241" t="inlineStr">
        <is>
          <t>4e861d30-792d-4ea1-bf5c-2a00cb5d7d38</t>
        </is>
      </c>
      <c r="D241" t="inlineStr">
        <is>
          <t>111111124</t>
        </is>
      </c>
      <c r="E241" t="inlineStr">
        <is>
          <t>Vodacom Life 20260617</t>
        </is>
      </c>
      <c r="G241" t="inlineStr">
        <is>
          <t>NOMCEBO</t>
        </is>
      </c>
      <c r="H241" t="inlineStr">
        <is>
          <t>XULU</t>
        </is>
      </c>
      <c r="J241" t="inlineStr">
        <is>
          <t>CU</t>
        </is>
      </c>
      <c r="K241" t="inlineStr">
        <is>
          <t>Client Hung Up</t>
        </is>
      </c>
      <c r="L241" t="n">
        <v>5</v>
      </c>
      <c r="M241" t="inlineStr">
        <is>
          <t>2026-06-29 13:49:11</t>
        </is>
      </c>
      <c r="N241" t="inlineStr">
        <is>
          <t>Vanessa Kekana</t>
        </is>
      </c>
      <c r="O241" t="inlineStr">
        <is>
          <t>2026-06-17 14:10:06</t>
        </is>
      </c>
      <c r="P241" t="inlineStr">
        <is>
          <t>2026-06-17 14:10:06</t>
        </is>
      </c>
      <c r="Y241" t="inlineStr">
        <is>
          <t>27711844941</t>
        </is>
      </c>
    </row>
    <row r="242">
      <c r="A242" t="inlineStr">
        <is>
          <t>14920897</t>
        </is>
      </c>
      <c r="B242" t="inlineStr">
        <is>
          <t>6693b3ad-dd4d-4c32-8f3a-0e0b82917330</t>
        </is>
      </c>
      <c r="D242" t="inlineStr">
        <is>
          <t>111111124</t>
        </is>
      </c>
      <c r="E242" t="inlineStr">
        <is>
          <t>Vodacom Life 20260617</t>
        </is>
      </c>
      <c r="G242" t="inlineStr">
        <is>
          <t>DIMAKATSO</t>
        </is>
      </c>
      <c r="H242" t="inlineStr">
        <is>
          <t>BOSHIELO</t>
        </is>
      </c>
      <c r="J242" t="inlineStr">
        <is>
          <t>AA</t>
        </is>
      </c>
      <c r="K242" t="inlineStr">
        <is>
          <t>Answering Machine Autodial</t>
        </is>
      </c>
      <c r="L242" t="n">
        <v>5</v>
      </c>
      <c r="M242" t="inlineStr">
        <is>
          <t>2026-06-29 13:48:57</t>
        </is>
      </c>
      <c r="N242" t="inlineStr">
        <is>
          <t>system</t>
        </is>
      </c>
      <c r="O242" t="inlineStr">
        <is>
          <t>2026-06-17 14:10:06</t>
        </is>
      </c>
      <c r="P242" t="inlineStr">
        <is>
          <t>2026-06-17 14:10:06</t>
        </is>
      </c>
      <c r="Y242" t="inlineStr">
        <is>
          <t>27636665079</t>
        </is>
      </c>
    </row>
    <row r="243">
      <c r="A243" t="inlineStr">
        <is>
          <t>14920898</t>
        </is>
      </c>
      <c r="B243" t="inlineStr">
        <is>
          <t>4ba480c9-8044-4fb1-bf18-d8e21d83279a</t>
        </is>
      </c>
      <c r="D243" t="inlineStr">
        <is>
          <t>111111124</t>
        </is>
      </c>
      <c r="E243" t="inlineStr">
        <is>
          <t>Vodacom Life 20260617</t>
        </is>
      </c>
      <c r="G243" t="inlineStr">
        <is>
          <t>GIVEN</t>
        </is>
      </c>
      <c r="H243" t="inlineStr">
        <is>
          <t>MOTHOA</t>
        </is>
      </c>
      <c r="J243" t="inlineStr">
        <is>
          <t>AA</t>
        </is>
      </c>
      <c r="K243" t="inlineStr">
        <is>
          <t>Answering Machine Autodial</t>
        </is>
      </c>
      <c r="L243" t="n">
        <v>5</v>
      </c>
      <c r="M243" t="inlineStr">
        <is>
          <t>2026-06-29 13:48:54</t>
        </is>
      </c>
      <c r="N243" t="inlineStr">
        <is>
          <t>system</t>
        </is>
      </c>
      <c r="O243" t="inlineStr">
        <is>
          <t>2026-06-17 14:10:06</t>
        </is>
      </c>
      <c r="P243" t="inlineStr">
        <is>
          <t>2026-06-17 14:10:06</t>
        </is>
      </c>
      <c r="Y243" t="inlineStr">
        <is>
          <t>27714631667</t>
        </is>
      </c>
    </row>
    <row r="244">
      <c r="A244" t="inlineStr">
        <is>
          <t>14920899</t>
        </is>
      </c>
      <c r="B244" t="inlineStr">
        <is>
          <t>ab965804-dc30-45e1-9423-536800927c9b</t>
        </is>
      </c>
      <c r="D244" t="inlineStr">
        <is>
          <t>111111124</t>
        </is>
      </c>
      <c r="E244" t="inlineStr">
        <is>
          <t>Vodacom Life 20260617</t>
        </is>
      </c>
      <c r="G244" t="inlineStr">
        <is>
          <t>AQEELAH</t>
        </is>
      </c>
      <c r="H244" t="inlineStr">
        <is>
          <t>MARTIN</t>
        </is>
      </c>
      <c r="J244" t="inlineStr">
        <is>
          <t>AE</t>
        </is>
      </c>
      <c r="K244" t="inlineStr">
        <is>
          <t>Auto Engaged</t>
        </is>
      </c>
      <c r="L244" t="n">
        <v>5</v>
      </c>
      <c r="M244" t="inlineStr">
        <is>
          <t>2026-06-29 13:48:54</t>
        </is>
      </c>
      <c r="N244" t="inlineStr">
        <is>
          <t>system</t>
        </is>
      </c>
      <c r="O244" t="inlineStr">
        <is>
          <t>2026-06-17 14:10:06</t>
        </is>
      </c>
      <c r="P244" t="inlineStr">
        <is>
          <t>2026-06-17 14:10:06</t>
        </is>
      </c>
      <c r="Y244" t="inlineStr">
        <is>
          <t>27837979363</t>
        </is>
      </c>
    </row>
    <row r="245">
      <c r="A245" t="inlineStr">
        <is>
          <t>14920900</t>
        </is>
      </c>
      <c r="B245" t="inlineStr">
        <is>
          <t>acb33504-b936-450e-acc1-cec46c0b702e</t>
        </is>
      </c>
      <c r="D245" t="inlineStr">
        <is>
          <t>111111124</t>
        </is>
      </c>
      <c r="E245" t="inlineStr">
        <is>
          <t>Vodacom Life 20260617</t>
        </is>
      </c>
      <c r="G245" t="inlineStr">
        <is>
          <t>FRANCOIS</t>
        </is>
      </c>
      <c r="H245" t="inlineStr">
        <is>
          <t>KAISER</t>
        </is>
      </c>
      <c r="J245" t="inlineStr">
        <is>
          <t>ADC</t>
        </is>
      </c>
      <c r="K245" t="inlineStr">
        <is>
          <t>Auto Dial Disconnected</t>
        </is>
      </c>
      <c r="L245" t="n">
        <v>5</v>
      </c>
      <c r="M245" t="inlineStr">
        <is>
          <t>2026-06-29 13:48:53</t>
        </is>
      </c>
      <c r="N245" t="inlineStr">
        <is>
          <t>system</t>
        </is>
      </c>
      <c r="O245" t="inlineStr">
        <is>
          <t>2026-06-17 14:10:06</t>
        </is>
      </c>
      <c r="P245" t="inlineStr">
        <is>
          <t>2026-06-17 14:10:06</t>
        </is>
      </c>
      <c r="Y245" t="inlineStr">
        <is>
          <t>27828398444</t>
        </is>
      </c>
    </row>
    <row r="246">
      <c r="A246" t="inlineStr">
        <is>
          <t>14920901</t>
        </is>
      </c>
      <c r="B246" t="inlineStr">
        <is>
          <t>de15be13-5548-4b53-b03d-a164ddb9358d</t>
        </is>
      </c>
      <c r="D246" t="inlineStr">
        <is>
          <t>111111124</t>
        </is>
      </c>
      <c r="E246" t="inlineStr">
        <is>
          <t>Vodacom Life 20260617</t>
        </is>
      </c>
      <c r="G246" t="inlineStr">
        <is>
          <t>MARIA</t>
        </is>
      </c>
      <c r="H246" t="inlineStr">
        <is>
          <t>MATJILA</t>
        </is>
      </c>
      <c r="J246" t="inlineStr">
        <is>
          <t>AA</t>
        </is>
      </c>
      <c r="K246" t="inlineStr">
        <is>
          <t>Answering Machine Autodial</t>
        </is>
      </c>
      <c r="L246" t="n">
        <v>5</v>
      </c>
      <c r="M246" t="inlineStr">
        <is>
          <t>2026-06-29 13:48:53</t>
        </is>
      </c>
      <c r="N246" t="inlineStr">
        <is>
          <t>system</t>
        </is>
      </c>
      <c r="O246" t="inlineStr">
        <is>
          <t>2026-06-17 14:10:06</t>
        </is>
      </c>
      <c r="P246" t="inlineStr">
        <is>
          <t>2026-06-17 14:10:06</t>
        </is>
      </c>
      <c r="Y246" t="inlineStr">
        <is>
          <t>27726980614</t>
        </is>
      </c>
    </row>
    <row r="247">
      <c r="A247" t="inlineStr">
        <is>
          <t>14920902</t>
        </is>
      </c>
      <c r="B247" t="inlineStr">
        <is>
          <t>a707bb69-5eb1-4c68-976a-4f12b318eab8</t>
        </is>
      </c>
      <c r="D247" t="inlineStr">
        <is>
          <t>111111124</t>
        </is>
      </c>
      <c r="E247" t="inlineStr">
        <is>
          <t>Vodacom Life 20260617</t>
        </is>
      </c>
      <c r="G247" t="inlineStr">
        <is>
          <t>ANNAMARIE</t>
        </is>
      </c>
      <c r="H247" t="inlineStr">
        <is>
          <t>TRUTER</t>
        </is>
      </c>
      <c r="J247" t="inlineStr">
        <is>
          <t>AE</t>
        </is>
      </c>
      <c r="K247" t="inlineStr">
        <is>
          <t>Auto Engaged</t>
        </is>
      </c>
      <c r="L247" t="n">
        <v>5</v>
      </c>
      <c r="M247" t="inlineStr">
        <is>
          <t>2026-06-29 13:48:53</t>
        </is>
      </c>
      <c r="N247" t="inlineStr">
        <is>
          <t>system</t>
        </is>
      </c>
      <c r="O247" t="inlineStr">
        <is>
          <t>2026-06-17 14:10:06</t>
        </is>
      </c>
      <c r="P247" t="inlineStr">
        <is>
          <t>2026-06-17 14:10:06</t>
        </is>
      </c>
      <c r="Y247" t="inlineStr">
        <is>
          <t>27823784048</t>
        </is>
      </c>
    </row>
    <row r="248">
      <c r="A248" t="inlineStr">
        <is>
          <t>14920903</t>
        </is>
      </c>
      <c r="B248" t="inlineStr">
        <is>
          <t>d90b23c0-f26e-402f-a0d3-86e18c8ba6dc</t>
        </is>
      </c>
      <c r="D248" t="inlineStr">
        <is>
          <t>111111124</t>
        </is>
      </c>
      <c r="E248" t="inlineStr">
        <is>
          <t>Vodacom Life 20260617</t>
        </is>
      </c>
      <c r="G248" t="inlineStr">
        <is>
          <t>NORMAN</t>
        </is>
      </c>
      <c r="H248" t="inlineStr">
        <is>
          <t>TRAHMS</t>
        </is>
      </c>
      <c r="J248" t="inlineStr">
        <is>
          <t>DROP</t>
        </is>
      </c>
      <c r="K248" t="inlineStr">
        <is>
          <t>Dropped</t>
        </is>
      </c>
      <c r="L248" t="n">
        <v>5</v>
      </c>
      <c r="M248" t="inlineStr">
        <is>
          <t>2026-06-29 13:48:46</t>
        </is>
      </c>
      <c r="N248" t="inlineStr">
        <is>
          <t>system</t>
        </is>
      </c>
      <c r="O248" t="inlineStr">
        <is>
          <t>2026-06-17 14:10:06</t>
        </is>
      </c>
      <c r="P248" t="inlineStr">
        <is>
          <t>2026-06-17 14:10:06</t>
        </is>
      </c>
      <c r="Y248" t="inlineStr">
        <is>
          <t>27725815132</t>
        </is>
      </c>
    </row>
    <row r="249">
      <c r="A249" t="inlineStr">
        <is>
          <t>14920905</t>
        </is>
      </c>
      <c r="B249" t="inlineStr">
        <is>
          <t>101c40a8-8b38-4080-af49-f82a1d7a9784</t>
        </is>
      </c>
      <c r="D249" t="inlineStr">
        <is>
          <t>111111124</t>
        </is>
      </c>
      <c r="E249" t="inlineStr">
        <is>
          <t>Vodacom Life 20260617</t>
        </is>
      </c>
      <c r="G249" t="inlineStr">
        <is>
          <t>HENDRICK</t>
        </is>
      </c>
      <c r="H249" t="inlineStr">
        <is>
          <t>ODENDAAL</t>
        </is>
      </c>
      <c r="J249" t="inlineStr">
        <is>
          <t>AA</t>
        </is>
      </c>
      <c r="K249" t="inlineStr">
        <is>
          <t>Answering Machine Autodial</t>
        </is>
      </c>
      <c r="L249" t="n">
        <v>5</v>
      </c>
      <c r="M249" t="inlineStr">
        <is>
          <t>2026-06-29 13:48:29</t>
        </is>
      </c>
      <c r="N249" t="inlineStr">
        <is>
          <t>system</t>
        </is>
      </c>
      <c r="O249" t="inlineStr">
        <is>
          <t>2026-06-17 14:10:06</t>
        </is>
      </c>
      <c r="P249" t="inlineStr">
        <is>
          <t>2026-06-17 14:10:06</t>
        </is>
      </c>
      <c r="Y249" t="inlineStr">
        <is>
          <t>27662930060</t>
        </is>
      </c>
    </row>
    <row r="250">
      <c r="A250" t="inlineStr">
        <is>
          <t>14920908</t>
        </is>
      </c>
      <c r="B250" t="inlineStr">
        <is>
          <t>68eb74a8-6e39-489b-983a-841ff13d3426</t>
        </is>
      </c>
      <c r="D250" t="inlineStr">
        <is>
          <t>111111124</t>
        </is>
      </c>
      <c r="E250" t="inlineStr">
        <is>
          <t>Vodacom Life 20260617</t>
        </is>
      </c>
      <c r="G250" t="inlineStr">
        <is>
          <t>RYNO</t>
        </is>
      </c>
      <c r="H250" t="inlineStr">
        <is>
          <t>DU PREEZ</t>
        </is>
      </c>
      <c r="J250" t="inlineStr">
        <is>
          <t>NA</t>
        </is>
      </c>
      <c r="K250" t="inlineStr">
        <is>
          <t>No Answer Autodial</t>
        </is>
      </c>
      <c r="L250" t="n">
        <v>5</v>
      </c>
      <c r="M250" t="inlineStr">
        <is>
          <t>2026-06-29 13:48:29</t>
        </is>
      </c>
      <c r="N250" t="inlineStr">
        <is>
          <t>system</t>
        </is>
      </c>
      <c r="O250" t="inlineStr">
        <is>
          <t>2026-06-17 14:10:06</t>
        </is>
      </c>
      <c r="P250" t="inlineStr">
        <is>
          <t>2026-06-17 14:10:06</t>
        </is>
      </c>
      <c r="Y250" t="inlineStr">
        <is>
          <t>27826006098</t>
        </is>
      </c>
    </row>
    <row r="251">
      <c r="A251" t="inlineStr">
        <is>
          <t>14921660</t>
        </is>
      </c>
      <c r="B251" t="inlineStr">
        <is>
          <t>51c07ed5-28b2-4133-bc1a-001812863ac2</t>
        </is>
      </c>
      <c r="D251" t="inlineStr">
        <is>
          <t>111111124</t>
        </is>
      </c>
      <c r="E251" t="inlineStr">
        <is>
          <t>Vodacom Life 20260617</t>
        </is>
      </c>
      <c r="G251" t="inlineStr">
        <is>
          <t>KENNETH</t>
        </is>
      </c>
      <c r="H251" t="inlineStr">
        <is>
          <t>VAN DER VELDE</t>
        </is>
      </c>
      <c r="J251" t="inlineStr">
        <is>
          <t>A</t>
        </is>
      </c>
      <c r="K251" t="inlineStr">
        <is>
          <t>Answering Machine</t>
        </is>
      </c>
      <c r="L251" t="n">
        <v>5</v>
      </c>
      <c r="M251" t="inlineStr">
        <is>
          <t>2026-06-29 13:48:29</t>
        </is>
      </c>
      <c r="N251" t="inlineStr">
        <is>
          <t>Vanessa Kekana</t>
        </is>
      </c>
      <c r="O251" t="inlineStr">
        <is>
          <t>2026-06-17 14:10:06</t>
        </is>
      </c>
      <c r="P251" t="inlineStr">
        <is>
          <t>2026-06-17 14:10:06</t>
        </is>
      </c>
      <c r="Y251" t="inlineStr">
        <is>
          <t>27794585223</t>
        </is>
      </c>
    </row>
    <row r="252">
      <c r="A252" t="inlineStr">
        <is>
          <t>14921663</t>
        </is>
      </c>
      <c r="B252" t="inlineStr">
        <is>
          <t>a7730182-40cc-4995-9207-2e4976896470</t>
        </is>
      </c>
      <c r="D252" t="inlineStr">
        <is>
          <t>111111124</t>
        </is>
      </c>
      <c r="E252" t="inlineStr">
        <is>
          <t>Vodacom Life 20260617</t>
        </is>
      </c>
      <c r="G252" t="inlineStr">
        <is>
          <t>NANDIPA</t>
        </is>
      </c>
      <c r="H252" t="inlineStr">
        <is>
          <t>NOMPUMZA</t>
        </is>
      </c>
      <c r="J252" t="inlineStr">
        <is>
          <t>AE</t>
        </is>
      </c>
      <c r="K252" t="inlineStr">
        <is>
          <t>Auto Engaged</t>
        </is>
      </c>
      <c r="L252" t="n">
        <v>5</v>
      </c>
      <c r="M252" t="inlineStr">
        <is>
          <t>2026-06-29 13:48:26</t>
        </is>
      </c>
      <c r="N252" t="inlineStr">
        <is>
          <t>system</t>
        </is>
      </c>
      <c r="O252" t="inlineStr">
        <is>
          <t>2026-06-17 14:10:06</t>
        </is>
      </c>
      <c r="P252" t="inlineStr">
        <is>
          <t>2026-06-17 14:10:06</t>
        </is>
      </c>
      <c r="Y252" t="inlineStr">
        <is>
          <t>27827741915</t>
        </is>
      </c>
    </row>
    <row r="253">
      <c r="A253" t="inlineStr">
        <is>
          <t>14920951</t>
        </is>
      </c>
      <c r="B253" t="inlineStr">
        <is>
          <t>07ece218-46ce-4f14-9578-9d9e7444a184</t>
        </is>
      </c>
      <c r="D253" t="inlineStr">
        <is>
          <t>111111124</t>
        </is>
      </c>
      <c r="E253" t="inlineStr">
        <is>
          <t>Vodacom Life 20260617</t>
        </is>
      </c>
      <c r="G253" t="inlineStr">
        <is>
          <t>HENRY</t>
        </is>
      </c>
      <c r="H253" t="inlineStr">
        <is>
          <t>OKES</t>
        </is>
      </c>
      <c r="J253" t="inlineStr">
        <is>
          <t>AA</t>
        </is>
      </c>
      <c r="K253" t="inlineStr">
        <is>
          <t>Answering Machine Autodial</t>
        </is>
      </c>
      <c r="L253" t="n">
        <v>5</v>
      </c>
      <c r="M253" t="inlineStr">
        <is>
          <t>2026-06-29 13:48:25</t>
        </is>
      </c>
      <c r="N253" t="inlineStr">
        <is>
          <t>system</t>
        </is>
      </c>
      <c r="O253" t="inlineStr">
        <is>
          <t>2026-06-17 14:10:06</t>
        </is>
      </c>
      <c r="P253" t="inlineStr">
        <is>
          <t>2026-06-17 14:10:06</t>
        </is>
      </c>
      <c r="Y253" t="inlineStr">
        <is>
          <t>27764216103</t>
        </is>
      </c>
    </row>
    <row r="254">
      <c r="A254" t="inlineStr">
        <is>
          <t>14920972</t>
        </is>
      </c>
      <c r="B254" t="inlineStr">
        <is>
          <t>282cf599-dc14-4591-bc7b-a2733d3cd4f1</t>
        </is>
      </c>
      <c r="D254" t="inlineStr">
        <is>
          <t>111111124</t>
        </is>
      </c>
      <c r="E254" t="inlineStr">
        <is>
          <t>Vodacom Life 20260617</t>
        </is>
      </c>
      <c r="G254" t="inlineStr">
        <is>
          <t>AVELA</t>
        </is>
      </c>
      <c r="H254" t="inlineStr">
        <is>
          <t>MCELENI</t>
        </is>
      </c>
      <c r="J254" t="inlineStr">
        <is>
          <t>AA</t>
        </is>
      </c>
      <c r="K254" t="inlineStr">
        <is>
          <t>Answering Machine Autodial</t>
        </is>
      </c>
      <c r="L254" t="n">
        <v>5</v>
      </c>
      <c r="M254" t="inlineStr">
        <is>
          <t>2026-06-29 13:48:25</t>
        </is>
      </c>
      <c r="N254" t="inlineStr">
        <is>
          <t>system</t>
        </is>
      </c>
      <c r="O254" t="inlineStr">
        <is>
          <t>2026-06-17 14:10:06</t>
        </is>
      </c>
      <c r="P254" t="inlineStr">
        <is>
          <t>2026-06-17 14:10:06</t>
        </is>
      </c>
      <c r="Y254" t="inlineStr">
        <is>
          <t>27720178222</t>
        </is>
      </c>
    </row>
    <row r="255">
      <c r="A255" t="inlineStr">
        <is>
          <t>14921502</t>
        </is>
      </c>
      <c r="B255" t="inlineStr">
        <is>
          <t>57ba2531-b05c-4710-b544-07782dbde941</t>
        </is>
      </c>
      <c r="D255" t="inlineStr">
        <is>
          <t>111111124</t>
        </is>
      </c>
      <c r="E255" t="inlineStr">
        <is>
          <t>Vodacom Life 20260617</t>
        </is>
      </c>
      <c r="G255" t="inlineStr">
        <is>
          <t>SMANGELE</t>
        </is>
      </c>
      <c r="H255" t="inlineStr">
        <is>
          <t>MNTAKA</t>
        </is>
      </c>
      <c r="J255" t="inlineStr">
        <is>
          <t>AA</t>
        </is>
      </c>
      <c r="K255" t="inlineStr">
        <is>
          <t>Answering Machine Autodial</t>
        </is>
      </c>
      <c r="L255" t="n">
        <v>5</v>
      </c>
      <c r="M255" t="inlineStr">
        <is>
          <t>2026-06-29 13:48:25</t>
        </is>
      </c>
      <c r="N255" t="inlineStr">
        <is>
          <t>system</t>
        </is>
      </c>
      <c r="O255" t="inlineStr">
        <is>
          <t>2026-06-17 14:10:06</t>
        </is>
      </c>
      <c r="P255" t="inlineStr">
        <is>
          <t>2026-06-17 14:10:06</t>
        </is>
      </c>
      <c r="Y255" t="inlineStr">
        <is>
          <t>27820817374</t>
        </is>
      </c>
    </row>
    <row r="256">
      <c r="A256" t="inlineStr">
        <is>
          <t>14921732</t>
        </is>
      </c>
      <c r="B256" t="inlineStr">
        <is>
          <t>b049e4cf-a3e9-43b0-9cad-759426f0a236</t>
        </is>
      </c>
      <c r="D256" t="inlineStr">
        <is>
          <t>111111124</t>
        </is>
      </c>
      <c r="E256" t="inlineStr">
        <is>
          <t>Vodacom Life 20260617</t>
        </is>
      </c>
      <c r="G256" t="inlineStr">
        <is>
          <t>LESIBA</t>
        </is>
      </c>
      <c r="H256" t="inlineStr">
        <is>
          <t>MOKAILA</t>
        </is>
      </c>
      <c r="J256" t="inlineStr">
        <is>
          <t>AA</t>
        </is>
      </c>
      <c r="K256" t="inlineStr">
        <is>
          <t>Answering Machine Autodial</t>
        </is>
      </c>
      <c r="L256" t="n">
        <v>5</v>
      </c>
      <c r="M256" t="inlineStr">
        <is>
          <t>2026-06-29 13:48:25</t>
        </is>
      </c>
      <c r="N256" t="inlineStr">
        <is>
          <t>system</t>
        </is>
      </c>
      <c r="O256" t="inlineStr">
        <is>
          <t>2026-06-17 14:10:06</t>
        </is>
      </c>
      <c r="P256" t="inlineStr">
        <is>
          <t>2026-06-17 14:10:06</t>
        </is>
      </c>
      <c r="Y256" t="inlineStr">
        <is>
          <t>27828660702</t>
        </is>
      </c>
    </row>
    <row r="257">
      <c r="A257" t="inlineStr">
        <is>
          <t>14921661</t>
        </is>
      </c>
      <c r="B257" t="inlineStr">
        <is>
          <t>aee27267-531b-4eb8-895d-12d5b0932b11</t>
        </is>
      </c>
      <c r="D257" t="inlineStr">
        <is>
          <t>111111124</t>
        </is>
      </c>
      <c r="E257" t="inlineStr">
        <is>
          <t>Vodacom Life 20260617</t>
        </is>
      </c>
      <c r="G257" t="inlineStr">
        <is>
          <t>THEMBA</t>
        </is>
      </c>
      <c r="H257" t="inlineStr">
        <is>
          <t>MVUYANA</t>
        </is>
      </c>
      <c r="J257" t="inlineStr">
        <is>
          <t>AE</t>
        </is>
      </c>
      <c r="K257" t="inlineStr">
        <is>
          <t>Auto Engaged</t>
        </is>
      </c>
      <c r="L257" t="n">
        <v>5</v>
      </c>
      <c r="M257" t="inlineStr">
        <is>
          <t>2026-06-29 13:48:25</t>
        </is>
      </c>
      <c r="N257" t="inlineStr">
        <is>
          <t>system</t>
        </is>
      </c>
      <c r="O257" t="inlineStr">
        <is>
          <t>2026-06-17 14:10:06</t>
        </is>
      </c>
      <c r="P257" t="inlineStr">
        <is>
          <t>2026-06-17 14:10:06</t>
        </is>
      </c>
      <c r="Y257" t="inlineStr">
        <is>
          <t>27825266392</t>
        </is>
      </c>
    </row>
    <row r="258">
      <c r="A258" t="inlineStr">
        <is>
          <t>14921662</t>
        </is>
      </c>
      <c r="B258" t="inlineStr">
        <is>
          <t>e7a0eac0-6836-486a-b23c-4ccf529bf5c9</t>
        </is>
      </c>
      <c r="D258" t="inlineStr">
        <is>
          <t>111111124</t>
        </is>
      </c>
      <c r="E258" t="inlineStr">
        <is>
          <t>Vodacom Life 20260617</t>
        </is>
      </c>
      <c r="G258" t="inlineStr">
        <is>
          <t>EBRAHIMA</t>
        </is>
      </c>
      <c r="H258" t="inlineStr">
        <is>
          <t>SHARMAR</t>
        </is>
      </c>
      <c r="J258" t="inlineStr">
        <is>
          <t>AA</t>
        </is>
      </c>
      <c r="K258" t="inlineStr">
        <is>
          <t>Answering Machine Autodial</t>
        </is>
      </c>
      <c r="L258" t="n">
        <v>5</v>
      </c>
      <c r="M258" t="inlineStr">
        <is>
          <t>2026-06-29 13:48:25</t>
        </is>
      </c>
      <c r="N258" t="inlineStr">
        <is>
          <t>system</t>
        </is>
      </c>
      <c r="O258" t="inlineStr">
        <is>
          <t>2026-06-17 14:10:06</t>
        </is>
      </c>
      <c r="P258" t="inlineStr">
        <is>
          <t>2026-06-17 14:10:06</t>
        </is>
      </c>
      <c r="Y258" t="inlineStr">
        <is>
          <t>27768333666</t>
        </is>
      </c>
    </row>
    <row r="259">
      <c r="A259" t="inlineStr">
        <is>
          <t>14920912</t>
        </is>
      </c>
      <c r="B259" t="inlineStr">
        <is>
          <t>385e69ed-aff4-4459-9e2a-06c1ff8d6493</t>
        </is>
      </c>
      <c r="D259" t="inlineStr">
        <is>
          <t>111111124</t>
        </is>
      </c>
      <c r="E259" t="inlineStr">
        <is>
          <t>Vodacom Life 20260617</t>
        </is>
      </c>
      <c r="G259" t="inlineStr">
        <is>
          <t>JAN</t>
        </is>
      </c>
      <c r="H259" t="inlineStr">
        <is>
          <t>MALEPE</t>
        </is>
      </c>
      <c r="J259" t="inlineStr">
        <is>
          <t>AE</t>
        </is>
      </c>
      <c r="K259" t="inlineStr">
        <is>
          <t>Auto Engaged</t>
        </is>
      </c>
      <c r="L259" t="n">
        <v>5</v>
      </c>
      <c r="M259" t="inlineStr">
        <is>
          <t>2026-06-29 13:48:24</t>
        </is>
      </c>
      <c r="N259" t="inlineStr">
        <is>
          <t>system</t>
        </is>
      </c>
      <c r="O259" t="inlineStr">
        <is>
          <t>2026-06-17 14:10:06</t>
        </is>
      </c>
      <c r="P259" t="inlineStr">
        <is>
          <t>2026-06-17 14:10:06</t>
        </is>
      </c>
      <c r="Y259" t="inlineStr">
        <is>
          <t>27826712902</t>
        </is>
      </c>
    </row>
    <row r="260">
      <c r="A260" t="inlineStr">
        <is>
          <t>14921042</t>
        </is>
      </c>
      <c r="B260" t="inlineStr">
        <is>
          <t>ef36c71f-b2b3-476d-9085-f5c9c612a6ae</t>
        </is>
      </c>
      <c r="D260" t="inlineStr">
        <is>
          <t>111111124</t>
        </is>
      </c>
      <c r="E260" t="inlineStr">
        <is>
          <t>Vodacom Life 20260617</t>
        </is>
      </c>
      <c r="G260" t="inlineStr">
        <is>
          <t>PRINCE</t>
        </is>
      </c>
      <c r="H260" t="inlineStr">
        <is>
          <t>JACA</t>
        </is>
      </c>
      <c r="J260" t="inlineStr">
        <is>
          <t>AA</t>
        </is>
      </c>
      <c r="K260" t="inlineStr">
        <is>
          <t>Answering Machine Autodial</t>
        </is>
      </c>
      <c r="L260" t="n">
        <v>5</v>
      </c>
      <c r="M260" t="inlineStr">
        <is>
          <t>2026-06-29 13:47:58</t>
        </is>
      </c>
      <c r="N260" t="inlineStr">
        <is>
          <t>system</t>
        </is>
      </c>
      <c r="O260" t="inlineStr">
        <is>
          <t>2026-06-17 14:10:06</t>
        </is>
      </c>
      <c r="P260" t="inlineStr">
        <is>
          <t>2026-06-17 14:10:06</t>
        </is>
      </c>
      <c r="Y260" t="inlineStr">
        <is>
          <t>27835600737</t>
        </is>
      </c>
    </row>
    <row r="261">
      <c r="A261" t="inlineStr">
        <is>
          <t>14921760</t>
        </is>
      </c>
      <c r="B261" t="inlineStr">
        <is>
          <t>2fcc9ad7-0f3f-452e-9e15-8d6fdbed282f</t>
        </is>
      </c>
      <c r="D261" t="inlineStr">
        <is>
          <t>111111124</t>
        </is>
      </c>
      <c r="E261" t="inlineStr">
        <is>
          <t>Vodacom Life 20260617</t>
        </is>
      </c>
      <c r="G261" t="inlineStr">
        <is>
          <t>MAMONAKANE</t>
        </is>
      </c>
      <c r="H261" t="inlineStr">
        <is>
          <t>DIALE</t>
        </is>
      </c>
      <c r="J261" t="inlineStr">
        <is>
          <t>DROP</t>
        </is>
      </c>
      <c r="K261" t="inlineStr">
        <is>
          <t>Dropped</t>
        </is>
      </c>
      <c r="L261" t="n">
        <v>5</v>
      </c>
      <c r="M261" t="inlineStr">
        <is>
          <t>2026-06-29 13:47:58</t>
        </is>
      </c>
      <c r="N261" t="inlineStr">
        <is>
          <t>system</t>
        </is>
      </c>
      <c r="O261" t="inlineStr">
        <is>
          <t>2026-06-17 14:10:06</t>
        </is>
      </c>
      <c r="P261" t="inlineStr">
        <is>
          <t>2026-06-17 14:10:06</t>
        </is>
      </c>
      <c r="Y261" t="inlineStr">
        <is>
          <t>27767025560</t>
        </is>
      </c>
    </row>
    <row r="262">
      <c r="A262" t="inlineStr">
        <is>
          <t>14921043</t>
        </is>
      </c>
      <c r="B262" t="inlineStr">
        <is>
          <t>57288bcf-d32a-4b0b-a5e5-d98933384649</t>
        </is>
      </c>
      <c r="D262" t="inlineStr">
        <is>
          <t>111111124</t>
        </is>
      </c>
      <c r="E262" t="inlineStr">
        <is>
          <t>Vodacom Life 20260617</t>
        </is>
      </c>
      <c r="G262" t="inlineStr">
        <is>
          <t>MATSOBANE</t>
        </is>
      </c>
      <c r="H262" t="inlineStr">
        <is>
          <t>MARUMA</t>
        </is>
      </c>
      <c r="J262" t="inlineStr">
        <is>
          <t>AE</t>
        </is>
      </c>
      <c r="K262" t="inlineStr">
        <is>
          <t>Auto Engaged</t>
        </is>
      </c>
      <c r="L262" t="n">
        <v>5</v>
      </c>
      <c r="M262" t="inlineStr">
        <is>
          <t>2026-06-29 13:47:56</t>
        </is>
      </c>
      <c r="N262" t="inlineStr">
        <is>
          <t>system</t>
        </is>
      </c>
      <c r="O262" t="inlineStr">
        <is>
          <t>2026-06-17 14:10:06</t>
        </is>
      </c>
      <c r="P262" t="inlineStr">
        <is>
          <t>2026-06-17 14:10:06</t>
        </is>
      </c>
      <c r="Y262" t="inlineStr">
        <is>
          <t>27662371026</t>
        </is>
      </c>
    </row>
    <row r="263">
      <c r="A263" t="inlineStr">
        <is>
          <t>14921044</t>
        </is>
      </c>
      <c r="B263" t="inlineStr">
        <is>
          <t>d40f5769-bf3c-4970-99dd-8e95cc5b927e</t>
        </is>
      </c>
      <c r="D263" t="inlineStr">
        <is>
          <t>111111124</t>
        </is>
      </c>
      <c r="E263" t="inlineStr">
        <is>
          <t>Vodacom Life 20260617</t>
        </is>
      </c>
      <c r="G263" t="inlineStr">
        <is>
          <t>CHRIZAAN</t>
        </is>
      </c>
      <c r="H263" t="inlineStr">
        <is>
          <t>VAN WYK</t>
        </is>
      </c>
      <c r="J263" t="inlineStr">
        <is>
          <t>AE</t>
        </is>
      </c>
      <c r="K263" t="inlineStr">
        <is>
          <t>Auto Engaged</t>
        </is>
      </c>
      <c r="L263" t="n">
        <v>5</v>
      </c>
      <c r="M263" t="inlineStr">
        <is>
          <t>2026-06-29 13:47:50</t>
        </is>
      </c>
      <c r="N263" t="inlineStr">
        <is>
          <t>system</t>
        </is>
      </c>
      <c r="O263" t="inlineStr">
        <is>
          <t>2026-06-17 14:10:06</t>
        </is>
      </c>
      <c r="P263" t="inlineStr">
        <is>
          <t>2026-06-17 14:10:06</t>
        </is>
      </c>
      <c r="Y263" t="inlineStr">
        <is>
          <t>27824549526</t>
        </is>
      </c>
    </row>
    <row r="264">
      <c r="A264" t="inlineStr">
        <is>
          <t>14921045</t>
        </is>
      </c>
      <c r="B264" t="inlineStr">
        <is>
          <t>d5f63100-043b-4378-bff5-7e0c7de184e5</t>
        </is>
      </c>
      <c r="D264" t="inlineStr">
        <is>
          <t>111111124</t>
        </is>
      </c>
      <c r="E264" t="inlineStr">
        <is>
          <t>Vodacom Life 20260617</t>
        </is>
      </c>
      <c r="G264" t="inlineStr">
        <is>
          <t>SPHEPHELO</t>
        </is>
      </c>
      <c r="H264" t="inlineStr">
        <is>
          <t>MADONDO</t>
        </is>
      </c>
      <c r="J264" t="inlineStr">
        <is>
          <t>AA</t>
        </is>
      </c>
      <c r="K264" t="inlineStr">
        <is>
          <t>Answering Machine Autodial</t>
        </is>
      </c>
      <c r="L264" t="n">
        <v>5</v>
      </c>
      <c r="M264" t="inlineStr">
        <is>
          <t>2026-06-29 13:47:49</t>
        </is>
      </c>
      <c r="N264" t="inlineStr">
        <is>
          <t>system</t>
        </is>
      </c>
      <c r="O264" t="inlineStr">
        <is>
          <t>2026-06-17 14:10:06</t>
        </is>
      </c>
      <c r="P264" t="inlineStr">
        <is>
          <t>2026-06-17 14:10:06</t>
        </is>
      </c>
      <c r="Y264" t="inlineStr">
        <is>
          <t>27607774320</t>
        </is>
      </c>
    </row>
    <row r="265">
      <c r="A265" t="inlineStr">
        <is>
          <t>14921047</t>
        </is>
      </c>
      <c r="B265" t="inlineStr">
        <is>
          <t>5d54a618-88f4-4043-b16e-5644df220845</t>
        </is>
      </c>
      <c r="D265" t="inlineStr">
        <is>
          <t>111111124</t>
        </is>
      </c>
      <c r="E265" t="inlineStr">
        <is>
          <t>Vodacom Life 20260617</t>
        </is>
      </c>
      <c r="G265" t="inlineStr">
        <is>
          <t>LINDIWE</t>
        </is>
      </c>
      <c r="H265" t="inlineStr">
        <is>
          <t>MASILELA</t>
        </is>
      </c>
      <c r="J265" t="inlineStr">
        <is>
          <t>ADC</t>
        </is>
      </c>
      <c r="K265" t="inlineStr">
        <is>
          <t>Auto Dial Disconnected</t>
        </is>
      </c>
      <c r="L265" t="n">
        <v>5</v>
      </c>
      <c r="M265" t="inlineStr">
        <is>
          <t>2026-06-29 13:47:49</t>
        </is>
      </c>
      <c r="N265" t="inlineStr">
        <is>
          <t>system</t>
        </is>
      </c>
      <c r="O265" t="inlineStr">
        <is>
          <t>2026-06-17 14:10:06</t>
        </is>
      </c>
      <c r="P265" t="inlineStr">
        <is>
          <t>2026-06-17 14:10:06</t>
        </is>
      </c>
      <c r="Y265" t="inlineStr">
        <is>
          <t>27724436837</t>
        </is>
      </c>
    </row>
    <row r="266">
      <c r="A266" t="inlineStr">
        <is>
          <t>14921048</t>
        </is>
      </c>
      <c r="B266" t="inlineStr">
        <is>
          <t>ef00aca9-a4b0-4b60-9db9-024cef4342b6</t>
        </is>
      </c>
      <c r="D266" t="inlineStr">
        <is>
          <t>111111124</t>
        </is>
      </c>
      <c r="E266" t="inlineStr">
        <is>
          <t>Vodacom Life 20260617</t>
        </is>
      </c>
      <c r="G266" t="inlineStr">
        <is>
          <t>CECILIA</t>
        </is>
      </c>
      <c r="H266" t="inlineStr">
        <is>
          <t>MALEDI</t>
        </is>
      </c>
      <c r="J266" t="inlineStr">
        <is>
          <t>DROP</t>
        </is>
      </c>
      <c r="K266" t="inlineStr">
        <is>
          <t>Dropped</t>
        </is>
      </c>
      <c r="L266" t="n">
        <v>5</v>
      </c>
      <c r="M266" t="inlineStr">
        <is>
          <t>2026-06-29 13:47:49</t>
        </is>
      </c>
      <c r="N266" t="inlineStr">
        <is>
          <t>system</t>
        </is>
      </c>
      <c r="O266" t="inlineStr">
        <is>
          <t>2026-06-17 14:10:06</t>
        </is>
      </c>
      <c r="P266" t="inlineStr">
        <is>
          <t>2026-06-17 14:10:06</t>
        </is>
      </c>
      <c r="Y266" t="inlineStr">
        <is>
          <t>27820537267</t>
        </is>
      </c>
    </row>
    <row r="267">
      <c r="A267" t="inlineStr">
        <is>
          <t>14921046</t>
        </is>
      </c>
      <c r="B267" t="inlineStr">
        <is>
          <t>d52cceee-e11b-49bb-aa44-be4297dd8c6d</t>
        </is>
      </c>
      <c r="D267" t="inlineStr">
        <is>
          <t>111111124</t>
        </is>
      </c>
      <c r="E267" t="inlineStr">
        <is>
          <t>Vodacom Life 20260617</t>
        </is>
      </c>
      <c r="G267" t="inlineStr">
        <is>
          <t>SHUAIB</t>
        </is>
      </c>
      <c r="H267" t="inlineStr">
        <is>
          <t>MOHAMMED</t>
        </is>
      </c>
      <c r="J267" t="inlineStr">
        <is>
          <t>CCB</t>
        </is>
      </c>
      <c r="K267" t="inlineStr">
        <is>
          <t>Call Dropped</t>
        </is>
      </c>
      <c r="L267" t="n">
        <v>5</v>
      </c>
      <c r="M267" t="inlineStr">
        <is>
          <t>2026-06-29 13:47:48</t>
        </is>
      </c>
      <c r="N267" t="inlineStr">
        <is>
          <t>Khensane Mabasa</t>
        </is>
      </c>
      <c r="O267" t="inlineStr">
        <is>
          <t>2026-06-17 14:10:06</t>
        </is>
      </c>
      <c r="P267" t="inlineStr">
        <is>
          <t>2026-06-17 14:10:06</t>
        </is>
      </c>
      <c r="Y267" t="inlineStr">
        <is>
          <t>27662632777</t>
        </is>
      </c>
    </row>
    <row r="268">
      <c r="A268" t="inlineStr">
        <is>
          <t>14921054</t>
        </is>
      </c>
      <c r="B268" t="inlineStr">
        <is>
          <t>a3760c75-42ae-4d2a-a7f8-ca989be7a4b1</t>
        </is>
      </c>
      <c r="D268" t="inlineStr">
        <is>
          <t>111111124</t>
        </is>
      </c>
      <c r="E268" t="inlineStr">
        <is>
          <t>Vodacom Life 20260617</t>
        </is>
      </c>
      <c r="G268" t="inlineStr">
        <is>
          <t>FABIAN</t>
        </is>
      </c>
      <c r="H268" t="inlineStr">
        <is>
          <t>MC ENDERRY</t>
        </is>
      </c>
      <c r="J268" t="inlineStr">
        <is>
          <t>AE</t>
        </is>
      </c>
      <c r="K268" t="inlineStr">
        <is>
          <t>Auto Engaged</t>
        </is>
      </c>
      <c r="L268" t="n">
        <v>5</v>
      </c>
      <c r="M268" t="inlineStr">
        <is>
          <t>2026-06-29 13:46:54</t>
        </is>
      </c>
      <c r="N268" t="inlineStr">
        <is>
          <t>system</t>
        </is>
      </c>
      <c r="O268" t="inlineStr">
        <is>
          <t>2026-06-17 14:10:06</t>
        </is>
      </c>
      <c r="P268" t="inlineStr">
        <is>
          <t>2026-06-17 14:10:06</t>
        </is>
      </c>
      <c r="Y268" t="inlineStr">
        <is>
          <t>27828708061</t>
        </is>
      </c>
    </row>
    <row r="269">
      <c r="A269" t="inlineStr">
        <is>
          <t>14921052</t>
        </is>
      </c>
      <c r="B269" t="inlineStr">
        <is>
          <t>7117a38c-1896-45b7-b003-3c111df59db4</t>
        </is>
      </c>
      <c r="D269" t="inlineStr">
        <is>
          <t>111111124</t>
        </is>
      </c>
      <c r="E269" t="inlineStr">
        <is>
          <t>Vodacom Life 20260617</t>
        </is>
      </c>
      <c r="G269" t="inlineStr">
        <is>
          <t>BHEKI</t>
        </is>
      </c>
      <c r="H269" t="inlineStr">
        <is>
          <t>MADALANE</t>
        </is>
      </c>
      <c r="J269" t="inlineStr">
        <is>
          <t>AA</t>
        </is>
      </c>
      <c r="K269" t="inlineStr">
        <is>
          <t>Answering Machine Autodial</t>
        </is>
      </c>
      <c r="L269" t="n">
        <v>5</v>
      </c>
      <c r="M269" t="inlineStr">
        <is>
          <t>2026-06-29 13:46:53</t>
        </is>
      </c>
      <c r="N269" t="inlineStr">
        <is>
          <t>system</t>
        </is>
      </c>
      <c r="O269" t="inlineStr">
        <is>
          <t>2026-06-17 14:10:06</t>
        </is>
      </c>
      <c r="P269" t="inlineStr">
        <is>
          <t>2026-06-17 14:10:06</t>
        </is>
      </c>
      <c r="Y269" t="inlineStr">
        <is>
          <t>27608028518</t>
        </is>
      </c>
    </row>
    <row r="270">
      <c r="A270" t="inlineStr">
        <is>
          <t>14921063</t>
        </is>
      </c>
      <c r="B270" t="inlineStr">
        <is>
          <t>f656133f-3fe0-421a-bfd1-a329d7e6b697</t>
        </is>
      </c>
      <c r="D270" t="inlineStr">
        <is>
          <t>111111124</t>
        </is>
      </c>
      <c r="E270" t="inlineStr">
        <is>
          <t>Vodacom Life 20260617</t>
        </is>
      </c>
      <c r="G270" t="inlineStr">
        <is>
          <t>ELVIS</t>
        </is>
      </c>
      <c r="H270" t="inlineStr">
        <is>
          <t>MAKHUBELA</t>
        </is>
      </c>
      <c r="J270" t="inlineStr">
        <is>
          <t>AE</t>
        </is>
      </c>
      <c r="K270" t="inlineStr">
        <is>
          <t>Auto Engaged</t>
        </is>
      </c>
      <c r="L270" t="n">
        <v>5</v>
      </c>
      <c r="M270" t="inlineStr">
        <is>
          <t>2026-06-29 13:46:47</t>
        </is>
      </c>
      <c r="N270" t="inlineStr">
        <is>
          <t>system</t>
        </is>
      </c>
      <c r="O270" t="inlineStr">
        <is>
          <t>2026-06-17 14:10:06</t>
        </is>
      </c>
      <c r="P270" t="inlineStr">
        <is>
          <t>2026-06-17 14:10:06</t>
        </is>
      </c>
      <c r="Y270" t="inlineStr">
        <is>
          <t>27732123870</t>
        </is>
      </c>
    </row>
    <row r="271">
      <c r="A271" t="inlineStr">
        <is>
          <t>14921103</t>
        </is>
      </c>
      <c r="B271" t="inlineStr">
        <is>
          <t>041098e5-6727-4a2f-bbf2-b42df932b7e4</t>
        </is>
      </c>
      <c r="D271" t="inlineStr">
        <is>
          <t>111111124</t>
        </is>
      </c>
      <c r="E271" t="inlineStr">
        <is>
          <t>Vodacom Life 20260617</t>
        </is>
      </c>
      <c r="G271" t="inlineStr">
        <is>
          <t>LALITHA</t>
        </is>
      </c>
      <c r="H271" t="inlineStr">
        <is>
          <t>SHAEKH</t>
        </is>
      </c>
      <c r="J271" t="inlineStr">
        <is>
          <t>AA</t>
        </is>
      </c>
      <c r="K271" t="inlineStr">
        <is>
          <t>Answering Machine Autodial</t>
        </is>
      </c>
      <c r="L271" t="n">
        <v>5</v>
      </c>
      <c r="M271" t="inlineStr">
        <is>
          <t>2026-06-29 13:46:45</t>
        </is>
      </c>
      <c r="N271" t="inlineStr">
        <is>
          <t>system</t>
        </is>
      </c>
      <c r="O271" t="inlineStr">
        <is>
          <t>2026-06-17 14:10:06</t>
        </is>
      </c>
      <c r="P271" t="inlineStr">
        <is>
          <t>2026-06-17 14:10:06</t>
        </is>
      </c>
      <c r="Y271" t="inlineStr">
        <is>
          <t>27826179198</t>
        </is>
      </c>
    </row>
    <row r="272">
      <c r="A272" t="inlineStr">
        <is>
          <t>14921664</t>
        </is>
      </c>
      <c r="B272" t="inlineStr">
        <is>
          <t>ef4737ca-1d19-4255-876d-01762af6e2eb</t>
        </is>
      </c>
      <c r="D272" t="inlineStr">
        <is>
          <t>111111124</t>
        </is>
      </c>
      <c r="E272" t="inlineStr">
        <is>
          <t>Vodacom Life 20260617</t>
        </is>
      </c>
      <c r="G272" t="inlineStr">
        <is>
          <t>SATHIASIVEN</t>
        </is>
      </c>
      <c r="H272" t="inlineStr">
        <is>
          <t>DORASAMY</t>
        </is>
      </c>
      <c r="J272" t="inlineStr">
        <is>
          <t>AA</t>
        </is>
      </c>
      <c r="K272" t="inlineStr">
        <is>
          <t>Answering Machine Autodial</t>
        </is>
      </c>
      <c r="L272" t="n">
        <v>5</v>
      </c>
      <c r="M272" t="inlineStr">
        <is>
          <t>2026-06-29 13:46:45</t>
        </is>
      </c>
      <c r="N272" t="inlineStr">
        <is>
          <t>system</t>
        </is>
      </c>
      <c r="O272" t="inlineStr">
        <is>
          <t>2026-06-17 14:10:06</t>
        </is>
      </c>
      <c r="P272" t="inlineStr">
        <is>
          <t>2026-06-17 14:10:06</t>
        </is>
      </c>
      <c r="Y272" t="inlineStr">
        <is>
          <t>27618772606</t>
        </is>
      </c>
    </row>
    <row r="273">
      <c r="A273" t="inlineStr">
        <is>
          <t>14921665</t>
        </is>
      </c>
      <c r="B273" t="inlineStr">
        <is>
          <t>ca14a5be-7921-4114-8312-b539a5c84e7b</t>
        </is>
      </c>
      <c r="D273" t="inlineStr">
        <is>
          <t>111111124</t>
        </is>
      </c>
      <c r="E273" t="inlineStr">
        <is>
          <t>Vodacom Life 20260617</t>
        </is>
      </c>
      <c r="G273" t="inlineStr">
        <is>
          <t>THOLOKUHLE</t>
        </is>
      </c>
      <c r="H273" t="inlineStr">
        <is>
          <t>CELE</t>
        </is>
      </c>
      <c r="J273" t="inlineStr">
        <is>
          <t>NA</t>
        </is>
      </c>
      <c r="K273" t="inlineStr">
        <is>
          <t>No Answer Autodial</t>
        </is>
      </c>
      <c r="L273" t="n">
        <v>5</v>
      </c>
      <c r="M273" t="inlineStr">
        <is>
          <t>2026-06-29 13:46:45</t>
        </is>
      </c>
      <c r="N273" t="inlineStr">
        <is>
          <t>system</t>
        </is>
      </c>
      <c r="O273" t="inlineStr">
        <is>
          <t>2026-06-17 14:10:06</t>
        </is>
      </c>
      <c r="P273" t="inlineStr">
        <is>
          <t>2026-06-17 14:10:06</t>
        </is>
      </c>
      <c r="Y273" t="inlineStr">
        <is>
          <t>27827705989</t>
        </is>
      </c>
    </row>
    <row r="274">
      <c r="A274" t="inlineStr">
        <is>
          <t>14921761</t>
        </is>
      </c>
      <c r="B274" t="inlineStr">
        <is>
          <t>a4f5f648-3f57-4578-8c1b-98c329166c68</t>
        </is>
      </c>
      <c r="D274" t="inlineStr">
        <is>
          <t>111111124</t>
        </is>
      </c>
      <c r="E274" t="inlineStr">
        <is>
          <t>Vodacom Life 20260617</t>
        </is>
      </c>
      <c r="G274" t="inlineStr">
        <is>
          <t>JA</t>
        </is>
      </c>
      <c r="H274" t="inlineStr">
        <is>
          <t>LUSIBA</t>
        </is>
      </c>
      <c r="J274" t="inlineStr">
        <is>
          <t>CBACK</t>
        </is>
      </c>
      <c r="K274" t="inlineStr">
        <is>
          <t>Callback</t>
        </is>
      </c>
      <c r="L274" t="n">
        <v>5</v>
      </c>
      <c r="M274" t="inlineStr">
        <is>
          <t>2026-06-29 13:46:45</t>
        </is>
      </c>
      <c r="N274" t="inlineStr">
        <is>
          <t>Vanessa Kekana</t>
        </is>
      </c>
      <c r="O274" t="inlineStr">
        <is>
          <t>2026-06-17 14:10:06</t>
        </is>
      </c>
      <c r="P274" t="inlineStr">
        <is>
          <t>2026-06-17 14:10:06</t>
        </is>
      </c>
      <c r="Y274" t="inlineStr">
        <is>
          <t>27662061174</t>
        </is>
      </c>
    </row>
    <row r="275">
      <c r="A275" t="inlineStr">
        <is>
          <t>14921105</t>
        </is>
      </c>
      <c r="B275" t="inlineStr">
        <is>
          <t>8167b6a9-e9d8-47d0-9715-eb0fc84d203c</t>
        </is>
      </c>
      <c r="D275" t="inlineStr">
        <is>
          <t>111111124</t>
        </is>
      </c>
      <c r="E275" t="inlineStr">
        <is>
          <t>Vodacom Life 20260617</t>
        </is>
      </c>
      <c r="G275" t="inlineStr">
        <is>
          <t>STEPHANUS</t>
        </is>
      </c>
      <c r="H275" t="inlineStr">
        <is>
          <t>SUTHERLAND</t>
        </is>
      </c>
      <c r="J275" t="inlineStr">
        <is>
          <t>AE</t>
        </is>
      </c>
      <c r="K275" t="inlineStr">
        <is>
          <t>Auto Engaged</t>
        </is>
      </c>
      <c r="L275" t="n">
        <v>5</v>
      </c>
      <c r="M275" t="inlineStr">
        <is>
          <t>2026-06-29 13:46:44</t>
        </is>
      </c>
      <c r="N275" t="inlineStr">
        <is>
          <t>system</t>
        </is>
      </c>
      <c r="O275" t="inlineStr">
        <is>
          <t>2026-06-17 14:10:06</t>
        </is>
      </c>
      <c r="P275" t="inlineStr">
        <is>
          <t>2026-06-17 14:10:06</t>
        </is>
      </c>
      <c r="Y275" t="inlineStr">
        <is>
          <t>27728343966</t>
        </is>
      </c>
    </row>
    <row r="276">
      <c r="A276" t="inlineStr">
        <is>
          <t>14921104</t>
        </is>
      </c>
      <c r="B276" t="inlineStr">
        <is>
          <t>42aa1150-5e21-4f91-840f-c047c7d4189a</t>
        </is>
      </c>
      <c r="D276" t="inlineStr">
        <is>
          <t>111111124</t>
        </is>
      </c>
      <c r="E276" t="inlineStr">
        <is>
          <t>Vodacom Life 20260617</t>
        </is>
      </c>
      <c r="G276" t="inlineStr">
        <is>
          <t>BRENDEN</t>
        </is>
      </c>
      <c r="H276" t="inlineStr">
        <is>
          <t>VENGETAS</t>
        </is>
      </c>
      <c r="J276" t="inlineStr">
        <is>
          <t>AE</t>
        </is>
      </c>
      <c r="K276" t="inlineStr">
        <is>
          <t>Auto Engaged</t>
        </is>
      </c>
      <c r="L276" t="n">
        <v>5</v>
      </c>
      <c r="M276" t="inlineStr">
        <is>
          <t>2026-06-29 13:46:43</t>
        </is>
      </c>
      <c r="N276" t="inlineStr">
        <is>
          <t>system</t>
        </is>
      </c>
      <c r="O276" t="inlineStr">
        <is>
          <t>2026-06-17 14:10:06</t>
        </is>
      </c>
      <c r="P276" t="inlineStr">
        <is>
          <t>2026-06-17 14:10:06</t>
        </is>
      </c>
      <c r="Y276" t="inlineStr">
        <is>
          <t>27827553951</t>
        </is>
      </c>
    </row>
    <row r="277">
      <c r="A277" t="inlineStr">
        <is>
          <t>14921109</t>
        </is>
      </c>
      <c r="B277" t="inlineStr">
        <is>
          <t>ae28c534-92e7-4df5-a247-dbfd3aae9ec5</t>
        </is>
      </c>
      <c r="D277" t="inlineStr">
        <is>
          <t>111111124</t>
        </is>
      </c>
      <c r="E277" t="inlineStr">
        <is>
          <t>Vodacom Life 20260617</t>
        </is>
      </c>
      <c r="G277" t="inlineStr">
        <is>
          <t>CASPARUS</t>
        </is>
      </c>
      <c r="H277" t="inlineStr">
        <is>
          <t>SWANEPOEL</t>
        </is>
      </c>
      <c r="J277" t="inlineStr">
        <is>
          <t>AA</t>
        </is>
      </c>
      <c r="K277" t="inlineStr">
        <is>
          <t>Answering Machine Autodial</t>
        </is>
      </c>
      <c r="L277" t="n">
        <v>5</v>
      </c>
      <c r="M277" t="inlineStr">
        <is>
          <t>2026-06-29 13:46:43</t>
        </is>
      </c>
      <c r="N277" t="inlineStr">
        <is>
          <t>system</t>
        </is>
      </c>
      <c r="O277" t="inlineStr">
        <is>
          <t>2026-06-17 14:10:06</t>
        </is>
      </c>
      <c r="P277" t="inlineStr">
        <is>
          <t>2026-06-17 14:10:06</t>
        </is>
      </c>
      <c r="Y277" t="inlineStr">
        <is>
          <t>27765286895</t>
        </is>
      </c>
    </row>
    <row r="278">
      <c r="A278" t="inlineStr">
        <is>
          <t>14921110</t>
        </is>
      </c>
      <c r="B278" t="inlineStr">
        <is>
          <t>d575867d-5822-4993-b1db-6454e8488747</t>
        </is>
      </c>
      <c r="D278" t="inlineStr">
        <is>
          <t>111111124</t>
        </is>
      </c>
      <c r="E278" t="inlineStr">
        <is>
          <t>Vodacom Life 20260617</t>
        </is>
      </c>
      <c r="G278" t="inlineStr">
        <is>
          <t>LYNN-MARI</t>
        </is>
      </c>
      <c r="H278" t="inlineStr">
        <is>
          <t>PIETERSE</t>
        </is>
      </c>
      <c r="J278" t="inlineStr">
        <is>
          <t>DROP</t>
        </is>
      </c>
      <c r="K278" t="inlineStr">
        <is>
          <t>Dropped</t>
        </is>
      </c>
      <c r="L278" t="n">
        <v>5</v>
      </c>
      <c r="M278" t="inlineStr">
        <is>
          <t>2026-06-29 13:46:43</t>
        </is>
      </c>
      <c r="N278" t="inlineStr">
        <is>
          <t>system</t>
        </is>
      </c>
      <c r="O278" t="inlineStr">
        <is>
          <t>2026-06-17 14:10:06</t>
        </is>
      </c>
      <c r="P278" t="inlineStr">
        <is>
          <t>2026-06-17 14:10:06</t>
        </is>
      </c>
      <c r="Y278" t="inlineStr">
        <is>
          <t>27760618554</t>
        </is>
      </c>
    </row>
    <row r="279">
      <c r="A279" t="inlineStr">
        <is>
          <t>14921113</t>
        </is>
      </c>
      <c r="B279" t="inlineStr">
        <is>
          <t>a0d9b318-8c45-4326-ac49-76cd0155998e</t>
        </is>
      </c>
      <c r="D279" t="inlineStr">
        <is>
          <t>111111124</t>
        </is>
      </c>
      <c r="E279" t="inlineStr">
        <is>
          <t>Vodacom Life 20260617</t>
        </is>
      </c>
      <c r="G279" t="inlineStr">
        <is>
          <t>MUMSY</t>
        </is>
      </c>
      <c r="H279" t="inlineStr">
        <is>
          <t>ZULU</t>
        </is>
      </c>
      <c r="J279" t="inlineStr">
        <is>
          <t>U</t>
        </is>
      </c>
      <c r="K279" t="inlineStr">
        <is>
          <t>Unemployed</t>
        </is>
      </c>
      <c r="L279" t="n">
        <v>5</v>
      </c>
      <c r="M279" t="inlineStr">
        <is>
          <t>2026-06-29 13:46:43</t>
        </is>
      </c>
      <c r="N279" t="inlineStr">
        <is>
          <t>bongiwe lushaba</t>
        </is>
      </c>
      <c r="O279" t="inlineStr">
        <is>
          <t>2026-06-17 14:10:06</t>
        </is>
      </c>
      <c r="P279" t="inlineStr">
        <is>
          <t>2026-06-17 14:10:06</t>
        </is>
      </c>
      <c r="Y279" t="inlineStr">
        <is>
          <t>27764806179</t>
        </is>
      </c>
    </row>
    <row r="280">
      <c r="A280" t="inlineStr">
        <is>
          <t>14921200</t>
        </is>
      </c>
      <c r="B280" t="inlineStr">
        <is>
          <t>66982337-6b7e-4669-abe9-50a791c02158</t>
        </is>
      </c>
      <c r="D280" t="inlineStr">
        <is>
          <t>111111124</t>
        </is>
      </c>
      <c r="E280" t="inlineStr">
        <is>
          <t>Vodacom Life 20260617</t>
        </is>
      </c>
      <c r="G280" t="inlineStr">
        <is>
          <t>SINDISO</t>
        </is>
      </c>
      <c r="H280" t="inlineStr">
        <is>
          <t>MOYO</t>
        </is>
      </c>
      <c r="J280" t="inlineStr">
        <is>
          <t>AA</t>
        </is>
      </c>
      <c r="K280" t="inlineStr">
        <is>
          <t>Answering Machine Autodial</t>
        </is>
      </c>
      <c r="L280" t="n">
        <v>5</v>
      </c>
      <c r="M280" t="inlineStr">
        <is>
          <t>2026-06-29 13:44:41</t>
        </is>
      </c>
      <c r="N280" t="inlineStr">
        <is>
          <t>system</t>
        </is>
      </c>
      <c r="O280" t="inlineStr">
        <is>
          <t>2026-06-17 14:10:06</t>
        </is>
      </c>
      <c r="P280" t="inlineStr">
        <is>
          <t>2026-06-17 14:10:06</t>
        </is>
      </c>
      <c r="Y280" t="inlineStr">
        <is>
          <t>27829063245</t>
        </is>
      </c>
    </row>
    <row r="281">
      <c r="A281" t="inlineStr">
        <is>
          <t>14921201</t>
        </is>
      </c>
      <c r="B281" t="inlineStr">
        <is>
          <t>a00a5224-ad9a-4978-803c-0aebf17ffb77</t>
        </is>
      </c>
      <c r="D281" t="inlineStr">
        <is>
          <t>111111124</t>
        </is>
      </c>
      <c r="E281" t="inlineStr">
        <is>
          <t>Vodacom Life 20260617</t>
        </is>
      </c>
      <c r="G281" t="inlineStr">
        <is>
          <t>RENDANI</t>
        </is>
      </c>
      <c r="H281" t="inlineStr">
        <is>
          <t>KHOROMBI</t>
        </is>
      </c>
      <c r="J281" t="inlineStr">
        <is>
          <t>NA</t>
        </is>
      </c>
      <c r="K281" t="inlineStr">
        <is>
          <t>No Answer Autodial</t>
        </is>
      </c>
      <c r="L281" t="n">
        <v>5</v>
      </c>
      <c r="M281" t="inlineStr">
        <is>
          <t>2026-06-29 13:44:41</t>
        </is>
      </c>
      <c r="N281" t="inlineStr">
        <is>
          <t>system</t>
        </is>
      </c>
      <c r="O281" t="inlineStr">
        <is>
          <t>2026-06-17 14:10:06</t>
        </is>
      </c>
      <c r="P281" t="inlineStr">
        <is>
          <t>2026-06-17 14:10:06</t>
        </is>
      </c>
      <c r="Y281" t="inlineStr">
        <is>
          <t>27828132123</t>
        </is>
      </c>
    </row>
    <row r="282">
      <c r="A282" t="inlineStr">
        <is>
          <t>14921202</t>
        </is>
      </c>
      <c r="B282" t="inlineStr">
        <is>
          <t>56ed4063-9737-4fe2-b5c1-ae0a2ff48746</t>
        </is>
      </c>
      <c r="D282" t="inlineStr">
        <is>
          <t>111111124</t>
        </is>
      </c>
      <c r="E282" t="inlineStr">
        <is>
          <t>Vodacom Life 20260617</t>
        </is>
      </c>
      <c r="G282" t="inlineStr">
        <is>
          <t>NWABISA</t>
        </is>
      </c>
      <c r="H282" t="inlineStr">
        <is>
          <t>SHENXANI</t>
        </is>
      </c>
      <c r="J282" t="inlineStr">
        <is>
          <t>AE</t>
        </is>
      </c>
      <c r="K282" t="inlineStr">
        <is>
          <t>Auto Engaged</t>
        </is>
      </c>
      <c r="L282" t="n">
        <v>5</v>
      </c>
      <c r="M282" t="inlineStr">
        <is>
          <t>2026-06-29 13:44:34</t>
        </is>
      </c>
      <c r="N282" t="inlineStr">
        <is>
          <t>system</t>
        </is>
      </c>
      <c r="O282" t="inlineStr">
        <is>
          <t>2026-06-17 14:10:06</t>
        </is>
      </c>
      <c r="P282" t="inlineStr">
        <is>
          <t>2026-06-17 14:10:06</t>
        </is>
      </c>
      <c r="Y282" t="inlineStr">
        <is>
          <t>27716887053</t>
        </is>
      </c>
    </row>
    <row r="283">
      <c r="A283" t="inlineStr">
        <is>
          <t>14921209</t>
        </is>
      </c>
      <c r="B283" t="inlineStr">
        <is>
          <t>9f34ac8e-6933-43aa-8ca9-e10c94650977</t>
        </is>
      </c>
      <c r="D283" t="inlineStr">
        <is>
          <t>111111124</t>
        </is>
      </c>
      <c r="E283" t="inlineStr">
        <is>
          <t>Vodacom Life 20260617</t>
        </is>
      </c>
      <c r="G283" t="inlineStr">
        <is>
          <t>PHUMZILE</t>
        </is>
      </c>
      <c r="H283" t="inlineStr">
        <is>
          <t>MASALA</t>
        </is>
      </c>
      <c r="J283" t="inlineStr">
        <is>
          <t>AE</t>
        </is>
      </c>
      <c r="K283" t="inlineStr">
        <is>
          <t>Auto Engaged</t>
        </is>
      </c>
      <c r="L283" t="n">
        <v>5</v>
      </c>
      <c r="M283" t="inlineStr">
        <is>
          <t>2026-06-29 13:44:33</t>
        </is>
      </c>
      <c r="N283" t="inlineStr">
        <is>
          <t>system</t>
        </is>
      </c>
      <c r="O283" t="inlineStr">
        <is>
          <t>2026-06-17 14:10:06</t>
        </is>
      </c>
      <c r="P283" t="inlineStr">
        <is>
          <t>2026-06-17 14:10:06</t>
        </is>
      </c>
      <c r="Y283" t="inlineStr">
        <is>
          <t>27825223520</t>
        </is>
      </c>
    </row>
    <row r="284">
      <c r="A284" t="inlineStr">
        <is>
          <t>14921244</t>
        </is>
      </c>
      <c r="B284" t="inlineStr">
        <is>
          <t>0ee45f29-a8be-4f65-9141-b018e257e26b</t>
        </is>
      </c>
      <c r="D284" t="inlineStr">
        <is>
          <t>111111124</t>
        </is>
      </c>
      <c r="E284" t="inlineStr">
        <is>
          <t>Vodacom Life 20260617</t>
        </is>
      </c>
      <c r="G284" t="inlineStr">
        <is>
          <t>KK</t>
        </is>
      </c>
      <c r="H284" t="inlineStr">
        <is>
          <t>MOTHIBI</t>
        </is>
      </c>
      <c r="J284" t="inlineStr">
        <is>
          <t>WN</t>
        </is>
      </c>
      <c r="K284" t="inlineStr">
        <is>
          <t>Wrong Number</t>
        </is>
      </c>
      <c r="L284" t="n">
        <v>5</v>
      </c>
      <c r="M284" t="inlineStr">
        <is>
          <t>2026-06-29 13:44:33</t>
        </is>
      </c>
      <c r="N284" t="inlineStr">
        <is>
          <t>Maureen Ntsoko</t>
        </is>
      </c>
      <c r="O284" t="inlineStr">
        <is>
          <t>2026-06-17 14:10:06</t>
        </is>
      </c>
      <c r="P284" t="inlineStr">
        <is>
          <t>2026-06-17 14:10:06</t>
        </is>
      </c>
      <c r="Y284" t="inlineStr">
        <is>
          <t>27649003847</t>
        </is>
      </c>
    </row>
    <row r="285">
      <c r="A285" t="inlineStr">
        <is>
          <t>14921255</t>
        </is>
      </c>
      <c r="B285" t="inlineStr">
        <is>
          <t>49bf24f0-4637-45b3-85b9-d1c30e98b528</t>
        </is>
      </c>
      <c r="D285" t="inlineStr">
        <is>
          <t>111111124</t>
        </is>
      </c>
      <c r="E285" t="inlineStr">
        <is>
          <t>Vodacom Life 20260617</t>
        </is>
      </c>
      <c r="G285" t="inlineStr">
        <is>
          <t>MARTIN</t>
        </is>
      </c>
      <c r="H285" t="inlineStr">
        <is>
          <t>BASSON</t>
        </is>
      </c>
      <c r="J285" t="inlineStr">
        <is>
          <t>AA</t>
        </is>
      </c>
      <c r="K285" t="inlineStr">
        <is>
          <t>Answering Machine Autodial</t>
        </is>
      </c>
      <c r="L285" t="n">
        <v>5</v>
      </c>
      <c r="M285" t="inlineStr">
        <is>
          <t>2026-06-29 13:44:08</t>
        </is>
      </c>
      <c r="N285" t="inlineStr">
        <is>
          <t>system</t>
        </is>
      </c>
      <c r="O285" t="inlineStr">
        <is>
          <t>2026-06-17 14:10:06</t>
        </is>
      </c>
      <c r="P285" t="inlineStr">
        <is>
          <t>2026-06-17 14:10:06</t>
        </is>
      </c>
      <c r="Y285" t="inlineStr">
        <is>
          <t>27662351562</t>
        </is>
      </c>
    </row>
    <row r="286">
      <c r="A286" t="inlineStr">
        <is>
          <t>14921257</t>
        </is>
      </c>
      <c r="B286" t="inlineStr">
        <is>
          <t>4bf0f767-7757-4edb-ae71-060135518a68</t>
        </is>
      </c>
      <c r="D286" t="inlineStr">
        <is>
          <t>111111124</t>
        </is>
      </c>
      <c r="E286" t="inlineStr">
        <is>
          <t>Vodacom Life 20260617</t>
        </is>
      </c>
      <c r="G286" t="inlineStr">
        <is>
          <t>SHANTEL</t>
        </is>
      </c>
      <c r="H286" t="inlineStr">
        <is>
          <t>COULTER</t>
        </is>
      </c>
      <c r="J286" t="inlineStr">
        <is>
          <t>AE</t>
        </is>
      </c>
      <c r="K286" t="inlineStr">
        <is>
          <t>Auto Engaged</t>
        </is>
      </c>
      <c r="L286" t="n">
        <v>5</v>
      </c>
      <c r="M286" t="inlineStr">
        <is>
          <t>2026-06-29 13:44:07</t>
        </is>
      </c>
      <c r="N286" t="inlineStr">
        <is>
          <t>system</t>
        </is>
      </c>
      <c r="O286" t="inlineStr">
        <is>
          <t>2026-06-17 14:10:06</t>
        </is>
      </c>
      <c r="P286" t="inlineStr">
        <is>
          <t>2026-06-17 14:10:06</t>
        </is>
      </c>
      <c r="Y286" t="inlineStr">
        <is>
          <t>27769917054</t>
        </is>
      </c>
    </row>
    <row r="287">
      <c r="A287" t="inlineStr">
        <is>
          <t>14921258</t>
        </is>
      </c>
      <c r="B287" t="inlineStr">
        <is>
          <t>2f6ce6be-1692-4df5-b22f-a7ff7b94f50c</t>
        </is>
      </c>
      <c r="D287" t="inlineStr">
        <is>
          <t>111111124</t>
        </is>
      </c>
      <c r="E287" t="inlineStr">
        <is>
          <t>Vodacom Life 20260617</t>
        </is>
      </c>
      <c r="G287" t="inlineStr">
        <is>
          <t>GUY</t>
        </is>
      </c>
      <c r="H287" t="inlineStr">
        <is>
          <t>JONES</t>
        </is>
      </c>
      <c r="J287" t="inlineStr">
        <is>
          <t>AA</t>
        </is>
      </c>
      <c r="K287" t="inlineStr">
        <is>
          <t>Answering Machine Autodial</t>
        </is>
      </c>
      <c r="L287" t="n">
        <v>5</v>
      </c>
      <c r="M287" t="inlineStr">
        <is>
          <t>2026-06-29 13:44:01</t>
        </is>
      </c>
      <c r="N287" t="inlineStr">
        <is>
          <t>system</t>
        </is>
      </c>
      <c r="O287" t="inlineStr">
        <is>
          <t>2026-06-17 14:10:06</t>
        </is>
      </c>
      <c r="P287" t="inlineStr">
        <is>
          <t>2026-06-17 14:10:06</t>
        </is>
      </c>
      <c r="Y287" t="inlineStr">
        <is>
          <t>27764344082</t>
        </is>
      </c>
    </row>
    <row r="288">
      <c r="A288" t="inlineStr">
        <is>
          <t>14921259</t>
        </is>
      </c>
      <c r="B288" t="inlineStr">
        <is>
          <t>2ae7893d-94ac-4a4b-8062-90ff836ec6e8</t>
        </is>
      </c>
      <c r="D288" t="inlineStr">
        <is>
          <t>111111124</t>
        </is>
      </c>
      <c r="E288" t="inlineStr">
        <is>
          <t>Vodacom Life 20260617</t>
        </is>
      </c>
      <c r="G288" t="inlineStr">
        <is>
          <t>FAIZEL</t>
        </is>
      </c>
      <c r="H288" t="inlineStr">
        <is>
          <t>SALIE</t>
        </is>
      </c>
      <c r="J288" t="inlineStr">
        <is>
          <t>NA</t>
        </is>
      </c>
      <c r="K288" t="inlineStr">
        <is>
          <t>No Answer Autodial</t>
        </is>
      </c>
      <c r="L288" t="n">
        <v>5</v>
      </c>
      <c r="M288" t="inlineStr">
        <is>
          <t>2026-06-29 13:43:46</t>
        </is>
      </c>
      <c r="N288" t="inlineStr">
        <is>
          <t>system</t>
        </is>
      </c>
      <c r="O288" t="inlineStr">
        <is>
          <t>2026-06-17 14:10:06</t>
        </is>
      </c>
      <c r="P288" t="inlineStr">
        <is>
          <t>2026-06-17 14:10:06</t>
        </is>
      </c>
      <c r="Y288" t="inlineStr">
        <is>
          <t>27823729991</t>
        </is>
      </c>
    </row>
    <row r="289">
      <c r="A289" t="inlineStr">
        <is>
          <t>14921262</t>
        </is>
      </c>
      <c r="B289" t="inlineStr">
        <is>
          <t>06d50da0-47de-471d-beba-3ea1c309f442</t>
        </is>
      </c>
      <c r="D289" t="inlineStr">
        <is>
          <t>111111124</t>
        </is>
      </c>
      <c r="E289" t="inlineStr">
        <is>
          <t>Vodacom Life 20260617</t>
        </is>
      </c>
      <c r="G289" t="inlineStr">
        <is>
          <t>D</t>
        </is>
      </c>
      <c r="H289" t="inlineStr">
        <is>
          <t>VAN ROOYEN</t>
        </is>
      </c>
      <c r="J289" t="inlineStr">
        <is>
          <t>CU</t>
        </is>
      </c>
      <c r="K289" t="inlineStr">
        <is>
          <t>Client Hung Up</t>
        </is>
      </c>
      <c r="L289" t="n">
        <v>5</v>
      </c>
      <c r="M289" t="inlineStr">
        <is>
          <t>2026-06-29 13:43:44</t>
        </is>
      </c>
      <c r="N289" t="inlineStr">
        <is>
          <t>Maureen Ntsoko</t>
        </is>
      </c>
      <c r="O289" t="inlineStr">
        <is>
          <t>2026-06-17 14:10:06</t>
        </is>
      </c>
      <c r="P289" t="inlineStr">
        <is>
          <t>2026-06-17 14:10:06</t>
        </is>
      </c>
      <c r="Y289" t="inlineStr">
        <is>
          <t>27795583158</t>
        </is>
      </c>
    </row>
    <row r="290">
      <c r="A290" t="inlineStr">
        <is>
          <t>14921263</t>
        </is>
      </c>
      <c r="B290" t="inlineStr">
        <is>
          <t>91e1d580-7992-43f4-81c6-893202cd33bb</t>
        </is>
      </c>
      <c r="D290" t="inlineStr">
        <is>
          <t>111111124</t>
        </is>
      </c>
      <c r="E290" t="inlineStr">
        <is>
          <t>Vodacom Life 20260617</t>
        </is>
      </c>
      <c r="G290" t="inlineStr">
        <is>
          <t>IJ</t>
        </is>
      </c>
      <c r="H290" t="inlineStr">
        <is>
          <t>LOOTS</t>
        </is>
      </c>
      <c r="J290" t="inlineStr">
        <is>
          <t>AA</t>
        </is>
      </c>
      <c r="K290" t="inlineStr">
        <is>
          <t>Answering Machine Autodial</t>
        </is>
      </c>
      <c r="L290" t="n">
        <v>5</v>
      </c>
      <c r="M290" t="inlineStr">
        <is>
          <t>2026-06-29 13:43:44</t>
        </is>
      </c>
      <c r="N290" t="inlineStr">
        <is>
          <t>system</t>
        </is>
      </c>
      <c r="O290" t="inlineStr">
        <is>
          <t>2026-06-17 14:10:06</t>
        </is>
      </c>
      <c r="P290" t="inlineStr">
        <is>
          <t>2026-06-17 14:10:06</t>
        </is>
      </c>
      <c r="Y290" t="inlineStr">
        <is>
          <t>27662674591</t>
        </is>
      </c>
    </row>
    <row r="291">
      <c r="A291" t="inlineStr">
        <is>
          <t>14921264</t>
        </is>
      </c>
      <c r="B291" t="inlineStr">
        <is>
          <t>dd4e11d6-6235-4dfe-a751-0051debeb728</t>
        </is>
      </c>
      <c r="D291" t="inlineStr">
        <is>
          <t>111111124</t>
        </is>
      </c>
      <c r="E291" t="inlineStr">
        <is>
          <t>Vodacom Life 20260617</t>
        </is>
      </c>
      <c r="G291" t="inlineStr">
        <is>
          <t>NDABEZINHLE</t>
        </is>
      </c>
      <c r="H291" t="inlineStr">
        <is>
          <t>MFEKA</t>
        </is>
      </c>
      <c r="J291" t="inlineStr">
        <is>
          <t>CU</t>
        </is>
      </c>
      <c r="K291" t="inlineStr">
        <is>
          <t>Client Hung Up</t>
        </is>
      </c>
      <c r="L291" t="n">
        <v>5</v>
      </c>
      <c r="M291" t="inlineStr">
        <is>
          <t>2026-06-29 13:43:33</t>
        </is>
      </c>
      <c r="N291" t="inlineStr">
        <is>
          <t>Maureen Ntsoko</t>
        </is>
      </c>
      <c r="O291" t="inlineStr">
        <is>
          <t>2026-06-17 14:10:06</t>
        </is>
      </c>
      <c r="P291" t="inlineStr">
        <is>
          <t>2026-06-17 14:10:06</t>
        </is>
      </c>
      <c r="Y291" t="inlineStr">
        <is>
          <t>27716796633</t>
        </is>
      </c>
    </row>
    <row r="292">
      <c r="A292" t="inlineStr">
        <is>
          <t>14921265</t>
        </is>
      </c>
      <c r="B292" t="inlineStr">
        <is>
          <t>7d85984e-5ba4-4a46-a131-33ab96627226</t>
        </is>
      </c>
      <c r="D292" t="inlineStr">
        <is>
          <t>111111124</t>
        </is>
      </c>
      <c r="E292" t="inlineStr">
        <is>
          <t>Vodacom Life 20260617</t>
        </is>
      </c>
      <c r="G292" t="inlineStr">
        <is>
          <t>ANNA</t>
        </is>
      </c>
      <c r="H292" t="inlineStr">
        <is>
          <t>HEFER</t>
        </is>
      </c>
      <c r="J292" t="inlineStr">
        <is>
          <t>AA</t>
        </is>
      </c>
      <c r="K292" t="inlineStr">
        <is>
          <t>Answering Machine Autodial</t>
        </is>
      </c>
      <c r="L292" t="n">
        <v>5</v>
      </c>
      <c r="M292" t="inlineStr">
        <is>
          <t>2026-06-29 13:43:30</t>
        </is>
      </c>
      <c r="N292" t="inlineStr">
        <is>
          <t>system</t>
        </is>
      </c>
      <c r="O292" t="inlineStr">
        <is>
          <t>2026-06-17 14:10:06</t>
        </is>
      </c>
      <c r="P292" t="inlineStr">
        <is>
          <t>2026-06-17 14:10:06</t>
        </is>
      </c>
      <c r="Y292" t="inlineStr">
        <is>
          <t>27796051217</t>
        </is>
      </c>
    </row>
    <row r="293">
      <c r="A293" t="inlineStr">
        <is>
          <t>14921283</t>
        </is>
      </c>
      <c r="B293" t="inlineStr">
        <is>
          <t>3ac0799a-5344-46d8-9ecb-9343d3f47bb7</t>
        </is>
      </c>
      <c r="D293" t="inlineStr">
        <is>
          <t>111111124</t>
        </is>
      </c>
      <c r="E293" t="inlineStr">
        <is>
          <t>Vodacom Life 20260617</t>
        </is>
      </c>
      <c r="G293" t="inlineStr">
        <is>
          <t>DAVID</t>
        </is>
      </c>
      <c r="H293" t="inlineStr">
        <is>
          <t>BRONKHORST</t>
        </is>
      </c>
      <c r="J293" t="inlineStr">
        <is>
          <t>AE</t>
        </is>
      </c>
      <c r="K293" t="inlineStr">
        <is>
          <t>Auto Engaged</t>
        </is>
      </c>
      <c r="L293" t="n">
        <v>5</v>
      </c>
      <c r="M293" t="inlineStr">
        <is>
          <t>2026-06-29 13:43:30</t>
        </is>
      </c>
      <c r="N293" t="inlineStr">
        <is>
          <t>system</t>
        </is>
      </c>
      <c r="O293" t="inlineStr">
        <is>
          <t>2026-06-17 14:10:06</t>
        </is>
      </c>
      <c r="P293" t="inlineStr">
        <is>
          <t>2026-06-17 14:10:06</t>
        </is>
      </c>
      <c r="Y293" t="inlineStr">
        <is>
          <t>27825635127</t>
        </is>
      </c>
    </row>
    <row r="294">
      <c r="A294" t="inlineStr">
        <is>
          <t>14921712</t>
        </is>
      </c>
      <c r="B294" t="inlineStr">
        <is>
          <t>f40c39b6-c6bb-475e-b96b-ee3e6475b646</t>
        </is>
      </c>
      <c r="D294" t="inlineStr">
        <is>
          <t>111111124</t>
        </is>
      </c>
      <c r="E294" t="inlineStr">
        <is>
          <t>Vodacom Life 20260617</t>
        </is>
      </c>
      <c r="G294" t="inlineStr">
        <is>
          <t>ELIAS</t>
        </is>
      </c>
      <c r="H294" t="inlineStr">
        <is>
          <t>MAAKE</t>
        </is>
      </c>
      <c r="J294" t="inlineStr">
        <is>
          <t>AA</t>
        </is>
      </c>
      <c r="K294" t="inlineStr">
        <is>
          <t>Answering Machine Autodial</t>
        </is>
      </c>
      <c r="L294" t="n">
        <v>5</v>
      </c>
      <c r="M294" t="inlineStr">
        <is>
          <t>2026-06-29 13:43:30</t>
        </is>
      </c>
      <c r="N294" t="inlineStr">
        <is>
          <t>system</t>
        </is>
      </c>
      <c r="O294" t="inlineStr">
        <is>
          <t>2026-06-17 14:10:06</t>
        </is>
      </c>
      <c r="P294" t="inlineStr">
        <is>
          <t>2026-06-17 14:10:06</t>
        </is>
      </c>
      <c r="Y294" t="inlineStr">
        <is>
          <t>27636857170</t>
        </is>
      </c>
    </row>
    <row r="295">
      <c r="A295" t="inlineStr">
        <is>
          <t>14921285</t>
        </is>
      </c>
      <c r="B295" t="inlineStr">
        <is>
          <t>bb60af22-8942-479c-a9ed-bf0ce6c16397</t>
        </is>
      </c>
      <c r="D295" t="inlineStr">
        <is>
          <t>111111124</t>
        </is>
      </c>
      <c r="E295" t="inlineStr">
        <is>
          <t>Vodacom Life 20260617</t>
        </is>
      </c>
      <c r="G295" t="inlineStr">
        <is>
          <t>JOHANNES</t>
        </is>
      </c>
      <c r="H295" t="inlineStr">
        <is>
          <t>WILLEMSE</t>
        </is>
      </c>
      <c r="J295" t="inlineStr">
        <is>
          <t>CU</t>
        </is>
      </c>
      <c r="K295" t="inlineStr">
        <is>
          <t>Client Hung Up</t>
        </is>
      </c>
      <c r="L295" t="n">
        <v>5</v>
      </c>
      <c r="M295" t="inlineStr">
        <is>
          <t>2026-06-29 13:42:55</t>
        </is>
      </c>
      <c r="N295" t="inlineStr">
        <is>
          <t>Maureen Ntsoko</t>
        </is>
      </c>
      <c r="O295" t="inlineStr">
        <is>
          <t>2026-06-17 14:10:06</t>
        </is>
      </c>
      <c r="P295" t="inlineStr">
        <is>
          <t>2026-06-17 14:10:06</t>
        </is>
      </c>
      <c r="Y295" t="inlineStr">
        <is>
          <t>27714762113</t>
        </is>
      </c>
    </row>
    <row r="296">
      <c r="A296" t="inlineStr">
        <is>
          <t>14921715</t>
        </is>
      </c>
      <c r="B296" t="inlineStr">
        <is>
          <t>86d512d6-7506-44a4-8903-649d1526e5d7</t>
        </is>
      </c>
      <c r="D296" t="inlineStr">
        <is>
          <t>111111124</t>
        </is>
      </c>
      <c r="E296" t="inlineStr">
        <is>
          <t>Vodacom Life 20260617</t>
        </is>
      </c>
      <c r="G296" t="inlineStr">
        <is>
          <t>HAPPY</t>
        </is>
      </c>
      <c r="H296" t="inlineStr">
        <is>
          <t>NGCOBO</t>
        </is>
      </c>
      <c r="J296" t="inlineStr">
        <is>
          <t>AA</t>
        </is>
      </c>
      <c r="K296" t="inlineStr">
        <is>
          <t>Answering Machine Autodial</t>
        </is>
      </c>
      <c r="L296" t="n">
        <v>5</v>
      </c>
      <c r="M296" t="inlineStr">
        <is>
          <t>2026-06-29 13:42:53</t>
        </is>
      </c>
      <c r="N296" t="inlineStr">
        <is>
          <t>system</t>
        </is>
      </c>
      <c r="O296" t="inlineStr">
        <is>
          <t>2026-06-17 14:10:06</t>
        </is>
      </c>
      <c r="P296" t="inlineStr">
        <is>
          <t>2026-06-17 14:10:06</t>
        </is>
      </c>
      <c r="Y296" t="inlineStr">
        <is>
          <t>27798062377</t>
        </is>
      </c>
    </row>
    <row r="297">
      <c r="A297" t="inlineStr">
        <is>
          <t>14921714</t>
        </is>
      </c>
      <c r="B297" t="inlineStr">
        <is>
          <t>24a3123b-ed12-4b42-b4d5-1efebc5ac8da</t>
        </is>
      </c>
      <c r="D297" t="inlineStr">
        <is>
          <t>111111124</t>
        </is>
      </c>
      <c r="E297" t="inlineStr">
        <is>
          <t>Vodacom Life 20260617</t>
        </is>
      </c>
      <c r="G297" t="inlineStr">
        <is>
          <t>SHERYL</t>
        </is>
      </c>
      <c r="H297" t="inlineStr">
        <is>
          <t>BANDA</t>
        </is>
      </c>
      <c r="J297" t="inlineStr">
        <is>
          <t>AA</t>
        </is>
      </c>
      <c r="K297" t="inlineStr">
        <is>
          <t>Answering Machine Autodial</t>
        </is>
      </c>
      <c r="L297" t="n">
        <v>5</v>
      </c>
      <c r="M297" t="inlineStr">
        <is>
          <t>2026-06-29 13:42:52</t>
        </is>
      </c>
      <c r="N297" t="inlineStr">
        <is>
          <t>system</t>
        </is>
      </c>
      <c r="O297" t="inlineStr">
        <is>
          <t>2026-06-17 14:10:06</t>
        </is>
      </c>
      <c r="P297" t="inlineStr">
        <is>
          <t>2026-06-17 14:10:06</t>
        </is>
      </c>
      <c r="Y297" t="inlineStr">
        <is>
          <t>27725942430</t>
        </is>
      </c>
    </row>
    <row r="298">
      <c r="A298" t="inlineStr">
        <is>
          <t>14921309</t>
        </is>
      </c>
      <c r="B298" t="inlineStr">
        <is>
          <t>25517828-a47e-4e1c-b88f-fc219fb2d22d</t>
        </is>
      </c>
      <c r="D298" t="inlineStr">
        <is>
          <t>111111124</t>
        </is>
      </c>
      <c r="E298" t="inlineStr">
        <is>
          <t>Vodacom Life 20260617</t>
        </is>
      </c>
      <c r="G298" t="inlineStr">
        <is>
          <t>PAUL</t>
        </is>
      </c>
      <c r="H298" t="inlineStr">
        <is>
          <t>POTGIETER</t>
        </is>
      </c>
      <c r="J298" t="inlineStr">
        <is>
          <t>CU</t>
        </is>
      </c>
      <c r="K298" t="inlineStr">
        <is>
          <t>Client Hung Up</t>
        </is>
      </c>
      <c r="L298" t="n">
        <v>5</v>
      </c>
      <c r="M298" t="inlineStr">
        <is>
          <t>2026-06-29 13:42:44</t>
        </is>
      </c>
      <c r="N298" t="inlineStr">
        <is>
          <t>Vanessa Kekana</t>
        </is>
      </c>
      <c r="O298" t="inlineStr">
        <is>
          <t>2026-06-17 14:10:06</t>
        </is>
      </c>
      <c r="P298" t="inlineStr">
        <is>
          <t>2026-06-17 14:10:06</t>
        </is>
      </c>
      <c r="Y298" t="inlineStr">
        <is>
          <t>27763753406</t>
        </is>
      </c>
    </row>
    <row r="299">
      <c r="A299" t="inlineStr">
        <is>
          <t>14921312</t>
        </is>
      </c>
      <c r="B299" t="inlineStr">
        <is>
          <t>1599dd92-e69a-4796-b8c0-4e6f811230a4</t>
        </is>
      </c>
      <c r="D299" t="inlineStr">
        <is>
          <t>111111124</t>
        </is>
      </c>
      <c r="E299" t="inlineStr">
        <is>
          <t>Vodacom Life 20260617</t>
        </is>
      </c>
      <c r="G299" t="inlineStr">
        <is>
          <t>BONGANI</t>
        </is>
      </c>
      <c r="H299" t="inlineStr">
        <is>
          <t>CHONCO</t>
        </is>
      </c>
      <c r="J299" t="inlineStr">
        <is>
          <t>DROP</t>
        </is>
      </c>
      <c r="K299" t="inlineStr">
        <is>
          <t>Dropped</t>
        </is>
      </c>
      <c r="L299" t="n">
        <v>5</v>
      </c>
      <c r="M299" t="inlineStr">
        <is>
          <t>2026-06-29 13:42:26</t>
        </is>
      </c>
      <c r="N299" t="inlineStr">
        <is>
          <t>system</t>
        </is>
      </c>
      <c r="O299" t="inlineStr">
        <is>
          <t>2026-06-17 14:10:06</t>
        </is>
      </c>
      <c r="P299" t="inlineStr">
        <is>
          <t>2026-06-17 14:10:06</t>
        </is>
      </c>
      <c r="Y299" t="inlineStr">
        <is>
          <t>27725659754</t>
        </is>
      </c>
    </row>
    <row r="300">
      <c r="A300" t="inlineStr">
        <is>
          <t>14921310</t>
        </is>
      </c>
      <c r="B300" t="inlineStr">
        <is>
          <t>300d9708-e8d1-40c5-a613-884f559c2fbd</t>
        </is>
      </c>
      <c r="D300" t="inlineStr">
        <is>
          <t>111111124</t>
        </is>
      </c>
      <c r="E300" t="inlineStr">
        <is>
          <t>Vodacom Life 20260617</t>
        </is>
      </c>
      <c r="G300" t="inlineStr">
        <is>
          <t>VANESSA</t>
        </is>
      </c>
      <c r="H300" t="inlineStr">
        <is>
          <t>MAILE</t>
        </is>
      </c>
      <c r="J300" t="inlineStr">
        <is>
          <t>AA</t>
        </is>
      </c>
      <c r="K300" t="inlineStr">
        <is>
          <t>Answering Machine Autodial</t>
        </is>
      </c>
      <c r="L300" t="n">
        <v>5</v>
      </c>
      <c r="M300" t="inlineStr">
        <is>
          <t>2026-06-29 13:42:23</t>
        </is>
      </c>
      <c r="N300" t="inlineStr">
        <is>
          <t>system</t>
        </is>
      </c>
      <c r="O300" t="inlineStr">
        <is>
          <t>2026-06-17 14:10:06</t>
        </is>
      </c>
      <c r="P300" t="inlineStr">
        <is>
          <t>2026-06-17 14:10:06</t>
        </is>
      </c>
      <c r="Y300" t="inlineStr">
        <is>
          <t>27820435695</t>
        </is>
      </c>
    </row>
    <row r="301">
      <c r="A301" t="inlineStr">
        <is>
          <t>14920913</t>
        </is>
      </c>
      <c r="B301" t="inlineStr">
        <is>
          <t>626d4cb5-04b0-44d6-9687-4e3be5c16df4</t>
        </is>
      </c>
      <c r="D301" t="inlineStr">
        <is>
          <t>111111124</t>
        </is>
      </c>
      <c r="E301" t="inlineStr">
        <is>
          <t>Vodacom Life 20260617</t>
        </is>
      </c>
      <c r="G301" t="inlineStr">
        <is>
          <t>CHANTEL</t>
        </is>
      </c>
      <c r="H301" t="inlineStr">
        <is>
          <t>PHYLANDER</t>
        </is>
      </c>
      <c r="J301" t="inlineStr">
        <is>
          <t>NA</t>
        </is>
      </c>
      <c r="K301" t="inlineStr">
        <is>
          <t>No Answer Autodial</t>
        </is>
      </c>
      <c r="L301" t="n">
        <v>5</v>
      </c>
      <c r="M301" t="inlineStr">
        <is>
          <t>2026-06-29 13:42:18</t>
        </is>
      </c>
      <c r="N301" t="inlineStr">
        <is>
          <t>system</t>
        </is>
      </c>
      <c r="O301" t="inlineStr">
        <is>
          <t>2026-06-17 14:10:06</t>
        </is>
      </c>
      <c r="P301" t="inlineStr">
        <is>
          <t>2026-06-17 14:10:06</t>
        </is>
      </c>
      <c r="Y301" t="inlineStr">
        <is>
          <t>27768119285</t>
        </is>
      </c>
    </row>
    <row r="302">
      <c r="A302" t="inlineStr">
        <is>
          <t>14920914</t>
        </is>
      </c>
      <c r="B302" t="inlineStr">
        <is>
          <t>15ef9fc7-a23c-4d5c-9e9d-67500298f38e</t>
        </is>
      </c>
      <c r="D302" t="inlineStr">
        <is>
          <t>111111124</t>
        </is>
      </c>
      <c r="E302" t="inlineStr">
        <is>
          <t>Vodacom Life 20260617</t>
        </is>
      </c>
      <c r="G302" t="inlineStr">
        <is>
          <t>SEAN</t>
        </is>
      </c>
      <c r="H302" t="inlineStr">
        <is>
          <t>TINKLER</t>
        </is>
      </c>
      <c r="J302" t="inlineStr">
        <is>
          <t>AA</t>
        </is>
      </c>
      <c r="K302" t="inlineStr">
        <is>
          <t>Answering Machine Autodial</t>
        </is>
      </c>
      <c r="L302" t="n">
        <v>5</v>
      </c>
      <c r="M302" t="inlineStr">
        <is>
          <t>2026-06-29 13:42:16</t>
        </is>
      </c>
      <c r="N302" t="inlineStr">
        <is>
          <t>system</t>
        </is>
      </c>
      <c r="O302" t="inlineStr">
        <is>
          <t>2026-06-17 14:10:06</t>
        </is>
      </c>
      <c r="P302" t="inlineStr">
        <is>
          <t>2026-06-17 14:10:06</t>
        </is>
      </c>
      <c r="Y302" t="inlineStr">
        <is>
          <t>27662035258</t>
        </is>
      </c>
    </row>
    <row r="303">
      <c r="A303" t="inlineStr">
        <is>
          <t>14920916</t>
        </is>
      </c>
      <c r="B303" t="inlineStr">
        <is>
          <t>bcc544fd-0900-490d-9af1-0bf17958d9c2</t>
        </is>
      </c>
      <c r="D303" t="inlineStr">
        <is>
          <t>111111124</t>
        </is>
      </c>
      <c r="E303" t="inlineStr">
        <is>
          <t>Vodacom Life 20260617</t>
        </is>
      </c>
      <c r="G303" t="inlineStr">
        <is>
          <t>MENESH</t>
        </is>
      </c>
      <c r="H303" t="inlineStr">
        <is>
          <t>PARBNOO</t>
        </is>
      </c>
      <c r="J303" t="inlineStr">
        <is>
          <t>NI</t>
        </is>
      </c>
      <c r="K303" t="inlineStr">
        <is>
          <t>Not Interested</t>
        </is>
      </c>
      <c r="L303" t="n">
        <v>5</v>
      </c>
      <c r="M303" t="inlineStr">
        <is>
          <t>2026-06-29 13:42:16</t>
        </is>
      </c>
      <c r="N303" t="inlineStr">
        <is>
          <t>Maureen Ntsoko</t>
        </is>
      </c>
      <c r="O303" t="inlineStr">
        <is>
          <t>2026-06-17 14:10:06</t>
        </is>
      </c>
      <c r="P303" t="inlineStr">
        <is>
          <t>2026-06-17 14:10:06</t>
        </is>
      </c>
      <c r="Y303" t="inlineStr">
        <is>
          <t>27729082438</t>
        </is>
      </c>
    </row>
    <row r="304">
      <c r="A304" t="inlineStr">
        <is>
          <t>14920917</t>
        </is>
      </c>
      <c r="B304" t="inlineStr">
        <is>
          <t>ac4d3e39-4e44-43ec-b586-65bd32a69bd1</t>
        </is>
      </c>
      <c r="D304" t="inlineStr">
        <is>
          <t>111111124</t>
        </is>
      </c>
      <c r="E304" t="inlineStr">
        <is>
          <t>Vodacom Life 20260617</t>
        </is>
      </c>
      <c r="G304" t="inlineStr">
        <is>
          <t>TSHOLOFELO</t>
        </is>
      </c>
      <c r="H304" t="inlineStr">
        <is>
          <t>MORESEKAO</t>
        </is>
      </c>
      <c r="J304" t="inlineStr">
        <is>
          <t>AA</t>
        </is>
      </c>
      <c r="K304" t="inlineStr">
        <is>
          <t>Answering Machine Autodial</t>
        </is>
      </c>
      <c r="L304" t="n">
        <v>5</v>
      </c>
      <c r="M304" t="inlineStr">
        <is>
          <t>2026-06-29 13:42:16</t>
        </is>
      </c>
      <c r="N304" t="inlineStr">
        <is>
          <t>system</t>
        </is>
      </c>
      <c r="O304" t="inlineStr">
        <is>
          <t>2026-06-17 14:10:06</t>
        </is>
      </c>
      <c r="P304" t="inlineStr">
        <is>
          <t>2026-06-17 14:10:06</t>
        </is>
      </c>
      <c r="Y304" t="inlineStr">
        <is>
          <t>27646861925</t>
        </is>
      </c>
    </row>
    <row r="305">
      <c r="A305" t="inlineStr">
        <is>
          <t>14920918</t>
        </is>
      </c>
      <c r="B305" t="inlineStr">
        <is>
          <t>2481458d-8c29-4b59-a27c-423a3373d557</t>
        </is>
      </c>
      <c r="D305" t="inlineStr">
        <is>
          <t>111111124</t>
        </is>
      </c>
      <c r="E305" t="inlineStr">
        <is>
          <t>Vodacom Life 20260617</t>
        </is>
      </c>
      <c r="G305" t="inlineStr">
        <is>
          <t>ANDRE</t>
        </is>
      </c>
      <c r="H305" t="inlineStr">
        <is>
          <t>MANS</t>
        </is>
      </c>
      <c r="J305" t="inlineStr">
        <is>
          <t>AA</t>
        </is>
      </c>
      <c r="K305" t="inlineStr">
        <is>
          <t>Answering Machine Autodial</t>
        </is>
      </c>
      <c r="L305" t="n">
        <v>5</v>
      </c>
      <c r="M305" t="inlineStr">
        <is>
          <t>2026-06-29 13:42:16</t>
        </is>
      </c>
      <c r="N305" t="inlineStr">
        <is>
          <t>system</t>
        </is>
      </c>
      <c r="O305" t="inlineStr">
        <is>
          <t>2026-06-17 14:10:06</t>
        </is>
      </c>
      <c r="P305" t="inlineStr">
        <is>
          <t>2026-06-17 14:10:06</t>
        </is>
      </c>
      <c r="Y305" t="inlineStr">
        <is>
          <t>27606078270</t>
        </is>
      </c>
    </row>
    <row r="306">
      <c r="A306" t="inlineStr">
        <is>
          <t>14920919</t>
        </is>
      </c>
      <c r="B306" t="inlineStr">
        <is>
          <t>27a064f9-11b7-4da6-9d56-bafc12924dde</t>
        </is>
      </c>
      <c r="D306" t="inlineStr">
        <is>
          <t>111111124</t>
        </is>
      </c>
      <c r="E306" t="inlineStr">
        <is>
          <t>Vodacom Life 20260617</t>
        </is>
      </c>
      <c r="G306" t="inlineStr">
        <is>
          <t>DIRK</t>
        </is>
      </c>
      <c r="H306" t="inlineStr">
        <is>
          <t>JOUBERT</t>
        </is>
      </c>
      <c r="J306" t="inlineStr">
        <is>
          <t>AE</t>
        </is>
      </c>
      <c r="K306" t="inlineStr">
        <is>
          <t>Auto Engaged</t>
        </is>
      </c>
      <c r="L306" t="n">
        <v>5</v>
      </c>
      <c r="M306" t="inlineStr">
        <is>
          <t>2026-06-29 13:42:14</t>
        </is>
      </c>
      <c r="N306" t="inlineStr">
        <is>
          <t>system</t>
        </is>
      </c>
      <c r="O306" t="inlineStr">
        <is>
          <t>2026-06-17 14:10:06</t>
        </is>
      </c>
      <c r="P306" t="inlineStr">
        <is>
          <t>2026-06-17 14:10:06</t>
        </is>
      </c>
      <c r="Y306" t="inlineStr">
        <is>
          <t>27609916214</t>
        </is>
      </c>
    </row>
    <row r="307">
      <c r="A307" t="inlineStr">
        <is>
          <t>14920920</t>
        </is>
      </c>
      <c r="B307" t="inlineStr">
        <is>
          <t>c02ae071-09dd-4611-bc4f-dbb6f5c2958b</t>
        </is>
      </c>
      <c r="D307" t="inlineStr">
        <is>
          <t>111111124</t>
        </is>
      </c>
      <c r="E307" t="inlineStr">
        <is>
          <t>Vodacom Life 20260617</t>
        </is>
      </c>
      <c r="G307" t="inlineStr">
        <is>
          <t>RONELLE</t>
        </is>
      </c>
      <c r="H307" t="inlineStr">
        <is>
          <t>VAN DER MERWE</t>
        </is>
      </c>
      <c r="J307" t="inlineStr">
        <is>
          <t>AA</t>
        </is>
      </c>
      <c r="K307" t="inlineStr">
        <is>
          <t>Answering Machine Autodial</t>
        </is>
      </c>
      <c r="L307" t="n">
        <v>5</v>
      </c>
      <c r="M307" t="inlineStr">
        <is>
          <t>2026-06-29 13:42:12</t>
        </is>
      </c>
      <c r="N307" t="inlineStr">
        <is>
          <t>system</t>
        </is>
      </c>
      <c r="O307" t="inlineStr">
        <is>
          <t>2026-06-17 14:10:06</t>
        </is>
      </c>
      <c r="P307" t="inlineStr">
        <is>
          <t>2026-06-17 14:10:06</t>
        </is>
      </c>
      <c r="Y307" t="inlineStr">
        <is>
          <t>27826534261</t>
        </is>
      </c>
    </row>
    <row r="308">
      <c r="A308" t="inlineStr">
        <is>
          <t>14920921</t>
        </is>
      </c>
      <c r="B308" t="inlineStr">
        <is>
          <t>56f875df-ff3c-4215-bf81-97f7eca1a5e5</t>
        </is>
      </c>
      <c r="D308" t="inlineStr">
        <is>
          <t>111111124</t>
        </is>
      </c>
      <c r="E308" t="inlineStr">
        <is>
          <t>Vodacom Life 20260617</t>
        </is>
      </c>
      <c r="G308" t="inlineStr">
        <is>
          <t>ESTELLE</t>
        </is>
      </c>
      <c r="H308" t="inlineStr">
        <is>
          <t>MORKEL</t>
        </is>
      </c>
      <c r="J308" t="inlineStr">
        <is>
          <t>AA</t>
        </is>
      </c>
      <c r="K308" t="inlineStr">
        <is>
          <t>Answering Machine Autodial</t>
        </is>
      </c>
      <c r="L308" t="n">
        <v>5</v>
      </c>
      <c r="M308" t="inlineStr">
        <is>
          <t>2026-06-29 13:42:12</t>
        </is>
      </c>
      <c r="N308" t="inlineStr">
        <is>
          <t>system</t>
        </is>
      </c>
      <c r="O308" t="inlineStr">
        <is>
          <t>2026-06-17 14:10:06</t>
        </is>
      </c>
      <c r="P308" t="inlineStr">
        <is>
          <t>2026-06-17 14:10:06</t>
        </is>
      </c>
      <c r="Y308" t="inlineStr">
        <is>
          <t>27827888759</t>
        </is>
      </c>
    </row>
    <row r="309">
      <c r="A309" t="inlineStr">
        <is>
          <t>14920923</t>
        </is>
      </c>
      <c r="B309" t="inlineStr">
        <is>
          <t>19f42809-c889-4b90-99e7-8e892cca787c</t>
        </is>
      </c>
      <c r="D309" t="inlineStr">
        <is>
          <t>111111124</t>
        </is>
      </c>
      <c r="E309" t="inlineStr">
        <is>
          <t>Vodacom Life 20260617</t>
        </is>
      </c>
      <c r="G309" t="inlineStr">
        <is>
          <t>HENNIE</t>
        </is>
      </c>
      <c r="H309" t="inlineStr">
        <is>
          <t>VAN ROOYEN</t>
        </is>
      </c>
      <c r="J309" t="inlineStr">
        <is>
          <t>AE</t>
        </is>
      </c>
      <c r="K309" t="inlineStr">
        <is>
          <t>Auto Engaged</t>
        </is>
      </c>
      <c r="L309" t="n">
        <v>5</v>
      </c>
      <c r="M309" t="inlineStr">
        <is>
          <t>2026-06-29 13:42:12</t>
        </is>
      </c>
      <c r="N309" t="inlineStr">
        <is>
          <t>system</t>
        </is>
      </c>
      <c r="O309" t="inlineStr">
        <is>
          <t>2026-06-17 14:10:06</t>
        </is>
      </c>
      <c r="P309" t="inlineStr">
        <is>
          <t>2026-06-17 14:10:06</t>
        </is>
      </c>
      <c r="Y309" t="inlineStr">
        <is>
          <t>27797188480</t>
        </is>
      </c>
    </row>
    <row r="310">
      <c r="A310" t="inlineStr">
        <is>
          <t>14920924</t>
        </is>
      </c>
      <c r="B310" t="inlineStr">
        <is>
          <t>620f4a51-f657-4b9b-9e83-0f27b4ac778c</t>
        </is>
      </c>
      <c r="D310" t="inlineStr">
        <is>
          <t>111111124</t>
        </is>
      </c>
      <c r="E310" t="inlineStr">
        <is>
          <t>Vodacom Life 20260617</t>
        </is>
      </c>
      <c r="G310" t="inlineStr">
        <is>
          <t>JAN</t>
        </is>
      </c>
      <c r="H310" t="inlineStr">
        <is>
          <t>NEL</t>
        </is>
      </c>
      <c r="J310" t="inlineStr">
        <is>
          <t>AA</t>
        </is>
      </c>
      <c r="K310" t="inlineStr">
        <is>
          <t>Answering Machine Autodial</t>
        </is>
      </c>
      <c r="L310" t="n">
        <v>5</v>
      </c>
      <c r="M310" t="inlineStr">
        <is>
          <t>2026-06-29 13:42:12</t>
        </is>
      </c>
      <c r="N310" t="inlineStr">
        <is>
          <t>system</t>
        </is>
      </c>
      <c r="O310" t="inlineStr">
        <is>
          <t>2026-06-17 14:10:06</t>
        </is>
      </c>
      <c r="P310" t="inlineStr">
        <is>
          <t>2026-06-17 14:10:06</t>
        </is>
      </c>
      <c r="Y310" t="inlineStr">
        <is>
          <t>27716780933</t>
        </is>
      </c>
    </row>
    <row r="311">
      <c r="A311" t="inlineStr">
        <is>
          <t>14920925</t>
        </is>
      </c>
      <c r="B311" t="inlineStr">
        <is>
          <t>e7bb73fa-a915-466b-979d-516d55885c6f</t>
        </is>
      </c>
      <c r="D311" t="inlineStr">
        <is>
          <t>111111124</t>
        </is>
      </c>
      <c r="E311" t="inlineStr">
        <is>
          <t>Vodacom Life 20260617</t>
        </is>
      </c>
      <c r="G311" t="inlineStr">
        <is>
          <t>MPHO</t>
        </is>
      </c>
      <c r="H311" t="inlineStr">
        <is>
          <t>NTHUNYA</t>
        </is>
      </c>
      <c r="J311" t="inlineStr">
        <is>
          <t>DROP</t>
        </is>
      </c>
      <c r="K311" t="inlineStr">
        <is>
          <t>Dropped</t>
        </is>
      </c>
      <c r="L311" t="n">
        <v>5</v>
      </c>
      <c r="M311" t="inlineStr">
        <is>
          <t>2026-06-29 13:41:38</t>
        </is>
      </c>
      <c r="N311" t="inlineStr">
        <is>
          <t>system</t>
        </is>
      </c>
      <c r="O311" t="inlineStr">
        <is>
          <t>2026-06-17 14:10:06</t>
        </is>
      </c>
      <c r="P311" t="inlineStr">
        <is>
          <t>2026-06-17 14:10:06</t>
        </is>
      </c>
      <c r="Y311" t="inlineStr">
        <is>
          <t>27729788862</t>
        </is>
      </c>
    </row>
    <row r="312">
      <c r="A312" t="inlineStr">
        <is>
          <t>14920959</t>
        </is>
      </c>
      <c r="B312" t="inlineStr">
        <is>
          <t>acf5272d-2549-4755-a78f-d51c6daa5320</t>
        </is>
      </c>
      <c r="D312" t="inlineStr">
        <is>
          <t>111111124</t>
        </is>
      </c>
      <c r="E312" t="inlineStr">
        <is>
          <t>Vodacom Life 20260617</t>
        </is>
      </c>
      <c r="G312" t="inlineStr">
        <is>
          <t>EMELDA</t>
        </is>
      </c>
      <c r="H312" t="inlineStr">
        <is>
          <t>SEKHWARI</t>
        </is>
      </c>
      <c r="J312" t="inlineStr">
        <is>
          <t>N</t>
        </is>
      </c>
      <c r="K312" t="inlineStr">
        <is>
          <t>No Answer</t>
        </is>
      </c>
      <c r="L312" t="n">
        <v>6</v>
      </c>
      <c r="M312" t="inlineStr">
        <is>
          <t>2026-06-29 13:41:38</t>
        </is>
      </c>
      <c r="N312" t="inlineStr">
        <is>
          <t>Maureen Ntsoko</t>
        </is>
      </c>
      <c r="O312" t="inlineStr">
        <is>
          <t>2026-06-17 14:10:06</t>
        </is>
      </c>
      <c r="P312" t="inlineStr">
        <is>
          <t>2026-06-17 14:10:06</t>
        </is>
      </c>
      <c r="Y312" t="inlineStr">
        <is>
          <t>27828576011</t>
        </is>
      </c>
    </row>
    <row r="313">
      <c r="A313" t="inlineStr">
        <is>
          <t>14920927</t>
        </is>
      </c>
      <c r="B313" t="inlineStr">
        <is>
          <t>990fb1b9-cb81-4105-8bdb-0ed422695de6</t>
        </is>
      </c>
      <c r="D313" t="inlineStr">
        <is>
          <t>111111124</t>
        </is>
      </c>
      <c r="E313" t="inlineStr">
        <is>
          <t>Vodacom Life 20260617</t>
        </is>
      </c>
      <c r="G313" t="inlineStr">
        <is>
          <t>RENIAS</t>
        </is>
      </c>
      <c r="H313" t="inlineStr">
        <is>
          <t>KHUMALO</t>
        </is>
      </c>
      <c r="J313" t="inlineStr">
        <is>
          <t>DROP</t>
        </is>
      </c>
      <c r="K313" t="inlineStr">
        <is>
          <t>Dropped</t>
        </is>
      </c>
      <c r="L313" t="n">
        <v>5</v>
      </c>
      <c r="M313" t="inlineStr">
        <is>
          <t>2026-06-29 13:41:34</t>
        </is>
      </c>
      <c r="N313" t="inlineStr">
        <is>
          <t>system</t>
        </is>
      </c>
      <c r="O313" t="inlineStr">
        <is>
          <t>2026-06-17 14:10:06</t>
        </is>
      </c>
      <c r="P313" t="inlineStr">
        <is>
          <t>2026-06-17 14:10:06</t>
        </is>
      </c>
      <c r="Y313" t="inlineStr">
        <is>
          <t>27798743306</t>
        </is>
      </c>
    </row>
    <row r="314">
      <c r="A314" t="inlineStr">
        <is>
          <t>14920929</t>
        </is>
      </c>
      <c r="B314" t="inlineStr">
        <is>
          <t>174d1bd7-d6eb-4f7c-821a-97f46b64c021</t>
        </is>
      </c>
      <c r="D314" t="inlineStr">
        <is>
          <t>111111124</t>
        </is>
      </c>
      <c r="E314" t="inlineStr">
        <is>
          <t>Vodacom Life 20260617</t>
        </is>
      </c>
      <c r="G314" t="inlineStr">
        <is>
          <t>DIKELEDI</t>
        </is>
      </c>
      <c r="H314" t="inlineStr">
        <is>
          <t>SEOLOANE</t>
        </is>
      </c>
      <c r="J314" t="inlineStr">
        <is>
          <t>NA</t>
        </is>
      </c>
      <c r="K314" t="inlineStr">
        <is>
          <t>No Answer Autodial</t>
        </is>
      </c>
      <c r="L314" t="n">
        <v>5</v>
      </c>
      <c r="M314" t="inlineStr">
        <is>
          <t>2026-06-29 13:41:27</t>
        </is>
      </c>
      <c r="N314" t="inlineStr">
        <is>
          <t>system</t>
        </is>
      </c>
      <c r="O314" t="inlineStr">
        <is>
          <t>2026-06-17 14:10:06</t>
        </is>
      </c>
      <c r="P314" t="inlineStr">
        <is>
          <t>2026-06-17 14:10:06</t>
        </is>
      </c>
      <c r="Y314" t="inlineStr">
        <is>
          <t>27609716435</t>
        </is>
      </c>
    </row>
    <row r="315">
      <c r="A315" t="inlineStr">
        <is>
          <t>14920931</t>
        </is>
      </c>
      <c r="B315" t="inlineStr">
        <is>
          <t>8e8d4534-f06d-4b44-ba96-a1d3a1d5c9c9</t>
        </is>
      </c>
      <c r="D315" t="inlineStr">
        <is>
          <t>111111124</t>
        </is>
      </c>
      <c r="E315" t="inlineStr">
        <is>
          <t>Vodacom Life 20260617</t>
        </is>
      </c>
      <c r="G315" t="inlineStr">
        <is>
          <t>NTOMBIFUTHI</t>
        </is>
      </c>
      <c r="H315" t="inlineStr">
        <is>
          <t>MKHIZE</t>
        </is>
      </c>
      <c r="J315" t="inlineStr">
        <is>
          <t>AA</t>
        </is>
      </c>
      <c r="K315" t="inlineStr">
        <is>
          <t>Answering Machine Autodial</t>
        </is>
      </c>
      <c r="L315" t="n">
        <v>5</v>
      </c>
      <c r="M315" t="inlineStr">
        <is>
          <t>2026-06-29 13:41:27</t>
        </is>
      </c>
      <c r="N315" t="inlineStr">
        <is>
          <t>system</t>
        </is>
      </c>
      <c r="O315" t="inlineStr">
        <is>
          <t>2026-06-17 14:10:06</t>
        </is>
      </c>
      <c r="P315" t="inlineStr">
        <is>
          <t>2026-06-17 14:10:06</t>
        </is>
      </c>
      <c r="Y315" t="inlineStr">
        <is>
          <t>27662065658</t>
        </is>
      </c>
    </row>
    <row r="316">
      <c r="A316" t="inlineStr">
        <is>
          <t>14920932</t>
        </is>
      </c>
      <c r="B316" t="inlineStr">
        <is>
          <t>c99739f8-c95d-435e-bd96-efb56566b288</t>
        </is>
      </c>
      <c r="D316" t="inlineStr">
        <is>
          <t>111111124</t>
        </is>
      </c>
      <c r="E316" t="inlineStr">
        <is>
          <t>Vodacom Life 20260617</t>
        </is>
      </c>
      <c r="G316" t="inlineStr">
        <is>
          <t>BENJAMIN</t>
        </is>
      </c>
      <c r="H316" t="inlineStr">
        <is>
          <t>VAN DER RYST</t>
        </is>
      </c>
      <c r="J316" t="inlineStr">
        <is>
          <t>AA</t>
        </is>
      </c>
      <c r="K316" t="inlineStr">
        <is>
          <t>Answering Machine Autodial</t>
        </is>
      </c>
      <c r="L316" t="n">
        <v>5</v>
      </c>
      <c r="M316" t="inlineStr">
        <is>
          <t>2026-06-29 13:41:27</t>
        </is>
      </c>
      <c r="N316" t="inlineStr">
        <is>
          <t>system</t>
        </is>
      </c>
      <c r="O316" t="inlineStr">
        <is>
          <t>2026-06-17 14:10:06</t>
        </is>
      </c>
      <c r="P316" t="inlineStr">
        <is>
          <t>2026-06-17 14:10:06</t>
        </is>
      </c>
      <c r="Y316" t="inlineStr">
        <is>
          <t>27798981122</t>
        </is>
      </c>
    </row>
    <row r="317">
      <c r="A317" t="inlineStr">
        <is>
          <t>14920935</t>
        </is>
      </c>
      <c r="B317" t="inlineStr">
        <is>
          <t>5b645c61-bb77-4123-97d3-e87981f99e32</t>
        </is>
      </c>
      <c r="D317" t="inlineStr">
        <is>
          <t>111111124</t>
        </is>
      </c>
      <c r="E317" t="inlineStr">
        <is>
          <t>Vodacom Life 20260617</t>
        </is>
      </c>
      <c r="G317" t="inlineStr">
        <is>
          <t>PRISCILLA</t>
        </is>
      </c>
      <c r="H317" t="inlineStr">
        <is>
          <t>NCUBE</t>
        </is>
      </c>
      <c r="J317" t="inlineStr">
        <is>
          <t>AA</t>
        </is>
      </c>
      <c r="K317" t="inlineStr">
        <is>
          <t>Answering Machine Autodial</t>
        </is>
      </c>
      <c r="L317" t="n">
        <v>5</v>
      </c>
      <c r="M317" t="inlineStr">
        <is>
          <t>2026-06-29 13:41:27</t>
        </is>
      </c>
      <c r="N317" t="inlineStr">
        <is>
          <t>system</t>
        </is>
      </c>
      <c r="O317" t="inlineStr">
        <is>
          <t>2026-06-17 14:10:06</t>
        </is>
      </c>
      <c r="P317" t="inlineStr">
        <is>
          <t>2026-06-17 14:10:06</t>
        </is>
      </c>
      <c r="Y317" t="inlineStr">
        <is>
          <t>27725678142</t>
        </is>
      </c>
    </row>
    <row r="318">
      <c r="A318" t="inlineStr">
        <is>
          <t>14920928</t>
        </is>
      </c>
      <c r="B318" t="inlineStr">
        <is>
          <t>139f5ef2-fdb3-48e1-84b2-0e3c35c5fc25</t>
        </is>
      </c>
      <c r="D318" t="inlineStr">
        <is>
          <t>111111124</t>
        </is>
      </c>
      <c r="E318" t="inlineStr">
        <is>
          <t>Vodacom Life 20260617</t>
        </is>
      </c>
      <c r="G318" t="inlineStr">
        <is>
          <t>MATTHEUS</t>
        </is>
      </c>
      <c r="H318" t="inlineStr">
        <is>
          <t>WILLEMSE</t>
        </is>
      </c>
      <c r="J318" t="inlineStr">
        <is>
          <t>DROP</t>
        </is>
      </c>
      <c r="K318" t="inlineStr">
        <is>
          <t>Dropped</t>
        </is>
      </c>
      <c r="L318" t="n">
        <v>5</v>
      </c>
      <c r="M318" t="inlineStr">
        <is>
          <t>2026-06-29 13:41:26</t>
        </is>
      </c>
      <c r="N318" t="inlineStr">
        <is>
          <t>system</t>
        </is>
      </c>
      <c r="O318" t="inlineStr">
        <is>
          <t>2026-06-17 14:10:06</t>
        </is>
      </c>
      <c r="P318" t="inlineStr">
        <is>
          <t>2026-06-17 14:10:06</t>
        </is>
      </c>
      <c r="Y318" t="inlineStr">
        <is>
          <t>27825772886</t>
        </is>
      </c>
    </row>
    <row r="319">
      <c r="A319" t="inlineStr">
        <is>
          <t>14921281</t>
        </is>
      </c>
      <c r="B319" t="inlineStr">
        <is>
          <t>9403ee4c-91bc-47b6-978e-d30769ba6a71</t>
        </is>
      </c>
      <c r="D319" t="inlineStr">
        <is>
          <t>111111124</t>
        </is>
      </c>
      <c r="E319" t="inlineStr">
        <is>
          <t>Vodacom Life 20260617</t>
        </is>
      </c>
      <c r="G319" t="inlineStr">
        <is>
          <t>ELIAS</t>
        </is>
      </c>
      <c r="H319" t="inlineStr">
        <is>
          <t>MOKWENA</t>
        </is>
      </c>
      <c r="J319" t="inlineStr">
        <is>
          <t>A</t>
        </is>
      </c>
      <c r="K319" t="inlineStr">
        <is>
          <t>Answering Machine</t>
        </is>
      </c>
      <c r="L319" t="n">
        <v>6</v>
      </c>
      <c r="M319" t="inlineStr">
        <is>
          <t>2026-06-29 13:40:56</t>
        </is>
      </c>
      <c r="N319" t="inlineStr">
        <is>
          <t>Maureen Ntsoko</t>
        </is>
      </c>
      <c r="O319" t="inlineStr">
        <is>
          <t>2026-06-17 14:10:06</t>
        </is>
      </c>
      <c r="P319" t="inlineStr">
        <is>
          <t>2026-06-17 14:10:06</t>
        </is>
      </c>
      <c r="Y319" t="inlineStr">
        <is>
          <t>27761497401</t>
        </is>
      </c>
    </row>
    <row r="320">
      <c r="A320" t="inlineStr">
        <is>
          <t>14920936</t>
        </is>
      </c>
      <c r="B320" t="inlineStr">
        <is>
          <t>2fd0f48f-4353-4441-bf7f-32c212915c4a</t>
        </is>
      </c>
      <c r="D320" t="inlineStr">
        <is>
          <t>111111124</t>
        </is>
      </c>
      <c r="E320" t="inlineStr">
        <is>
          <t>Vodacom Life 20260617</t>
        </is>
      </c>
      <c r="G320" t="inlineStr">
        <is>
          <t>ESETHU</t>
        </is>
      </c>
      <c r="H320" t="inlineStr">
        <is>
          <t>YEDWA</t>
        </is>
      </c>
      <c r="J320" t="inlineStr">
        <is>
          <t>AA</t>
        </is>
      </c>
      <c r="K320" t="inlineStr">
        <is>
          <t>Answering Machine Autodial</t>
        </is>
      </c>
      <c r="L320" t="n">
        <v>5</v>
      </c>
      <c r="M320" t="inlineStr">
        <is>
          <t>2026-06-29 13:40:23</t>
        </is>
      </c>
      <c r="N320" t="inlineStr">
        <is>
          <t>system</t>
        </is>
      </c>
      <c r="O320" t="inlineStr">
        <is>
          <t>2026-06-17 14:10:06</t>
        </is>
      </c>
      <c r="P320" t="inlineStr">
        <is>
          <t>2026-06-17 14:10:06</t>
        </is>
      </c>
      <c r="Y320" t="inlineStr">
        <is>
          <t>27646849780</t>
        </is>
      </c>
    </row>
    <row r="321">
      <c r="A321" t="inlineStr">
        <is>
          <t>14920941</t>
        </is>
      </c>
      <c r="B321" t="inlineStr">
        <is>
          <t>756b53d7-d90d-4917-baea-9d899367e60c</t>
        </is>
      </c>
      <c r="D321" t="inlineStr">
        <is>
          <t>111111124</t>
        </is>
      </c>
      <c r="E321" t="inlineStr">
        <is>
          <t>Vodacom Life 20260617</t>
        </is>
      </c>
      <c r="G321" t="inlineStr">
        <is>
          <t>NOPINKIE</t>
        </is>
      </c>
      <c r="H321" t="inlineStr">
        <is>
          <t>MNGONYAMA</t>
        </is>
      </c>
      <c r="J321" t="inlineStr">
        <is>
          <t>DROP</t>
        </is>
      </c>
      <c r="K321" t="inlineStr">
        <is>
          <t>Dropped</t>
        </is>
      </c>
      <c r="L321" t="n">
        <v>5</v>
      </c>
      <c r="M321" t="inlineStr">
        <is>
          <t>2026-06-29 13:40:22</t>
        </is>
      </c>
      <c r="N321" t="inlineStr">
        <is>
          <t>system</t>
        </is>
      </c>
      <c r="O321" t="inlineStr">
        <is>
          <t>2026-06-17 14:10:06</t>
        </is>
      </c>
      <c r="P321" t="inlineStr">
        <is>
          <t>2026-06-17 14:10:06</t>
        </is>
      </c>
      <c r="Y321" t="inlineStr">
        <is>
          <t>27826033067</t>
        </is>
      </c>
    </row>
    <row r="322">
      <c r="A322" t="inlineStr">
        <is>
          <t>14920942</t>
        </is>
      </c>
      <c r="B322" t="inlineStr">
        <is>
          <t>9ea4fb73-e2d6-4f65-8961-1e10ba7061b9</t>
        </is>
      </c>
      <c r="D322" t="inlineStr">
        <is>
          <t>111111124</t>
        </is>
      </c>
      <c r="E322" t="inlineStr">
        <is>
          <t>Vodacom Life 20260617</t>
        </is>
      </c>
      <c r="G322" t="inlineStr">
        <is>
          <t>ELIAS</t>
        </is>
      </c>
      <c r="H322" t="inlineStr">
        <is>
          <t>MOTHA</t>
        </is>
      </c>
      <c r="J322" t="inlineStr">
        <is>
          <t>DROP</t>
        </is>
      </c>
      <c r="K322" t="inlineStr">
        <is>
          <t>Dropped</t>
        </is>
      </c>
      <c r="L322" t="n">
        <v>5</v>
      </c>
      <c r="M322" t="inlineStr">
        <is>
          <t>2026-06-29 13:40:22</t>
        </is>
      </c>
      <c r="N322" t="inlineStr">
        <is>
          <t>system</t>
        </is>
      </c>
      <c r="O322" t="inlineStr">
        <is>
          <t>2026-06-17 14:10:06</t>
        </is>
      </c>
      <c r="P322" t="inlineStr">
        <is>
          <t>2026-06-17 14:10:06</t>
        </is>
      </c>
      <c r="Y322" t="inlineStr">
        <is>
          <t>27826704483</t>
        </is>
      </c>
    </row>
    <row r="323">
      <c r="A323" t="inlineStr">
        <is>
          <t>14920971</t>
        </is>
      </c>
      <c r="B323" t="inlineStr">
        <is>
          <t>f1f8fe08-fbe9-4484-a968-50ce90936488</t>
        </is>
      </c>
      <c r="D323" t="inlineStr">
        <is>
          <t>111111124</t>
        </is>
      </c>
      <c r="E323" t="inlineStr">
        <is>
          <t>Vodacom Life 20260617</t>
        </is>
      </c>
      <c r="G323" t="inlineStr">
        <is>
          <t>ANJO</t>
        </is>
      </c>
      <c r="H323" t="inlineStr">
        <is>
          <t>BARNARD</t>
        </is>
      </c>
      <c r="J323" t="inlineStr">
        <is>
          <t>AA</t>
        </is>
      </c>
      <c r="K323" t="inlineStr">
        <is>
          <t>Answering Machine Autodial</t>
        </is>
      </c>
      <c r="L323" t="n">
        <v>5</v>
      </c>
      <c r="M323" t="inlineStr">
        <is>
          <t>2026-06-29 13:40:22</t>
        </is>
      </c>
      <c r="N323" t="inlineStr">
        <is>
          <t>system</t>
        </is>
      </c>
      <c r="O323" t="inlineStr">
        <is>
          <t>2026-06-17 14:10:06</t>
        </is>
      </c>
      <c r="P323" t="inlineStr">
        <is>
          <t>2026-06-17 14:10:06</t>
        </is>
      </c>
      <c r="Y323" t="inlineStr">
        <is>
          <t>27826992370</t>
        </is>
      </c>
    </row>
    <row r="324">
      <c r="A324" t="inlineStr">
        <is>
          <t>14921718</t>
        </is>
      </c>
      <c r="B324" t="inlineStr">
        <is>
          <t>70281058-9e59-4e43-b383-0710cdd4d0f1</t>
        </is>
      </c>
      <c r="D324" t="inlineStr">
        <is>
          <t>111111124</t>
        </is>
      </c>
      <c r="E324" t="inlineStr">
        <is>
          <t>Vodacom Life 20260617</t>
        </is>
      </c>
      <c r="G324" t="inlineStr">
        <is>
          <t>MATT</t>
        </is>
      </c>
      <c r="H324" t="inlineStr">
        <is>
          <t>DALTON</t>
        </is>
      </c>
      <c r="J324" t="inlineStr">
        <is>
          <t>AA</t>
        </is>
      </c>
      <c r="K324" t="inlineStr">
        <is>
          <t>Answering Machine Autodial</t>
        </is>
      </c>
      <c r="L324" t="n">
        <v>5</v>
      </c>
      <c r="M324" t="inlineStr">
        <is>
          <t>2026-06-29 13:39:50</t>
        </is>
      </c>
      <c r="N324" t="inlineStr">
        <is>
          <t>system</t>
        </is>
      </c>
      <c r="O324" t="inlineStr">
        <is>
          <t>2026-06-17 14:10:06</t>
        </is>
      </c>
      <c r="P324" t="inlineStr">
        <is>
          <t>2026-06-17 14:10:06</t>
        </is>
      </c>
      <c r="Y324" t="inlineStr">
        <is>
          <t>27609918003</t>
        </is>
      </c>
    </row>
    <row r="325">
      <c r="A325" t="inlineStr">
        <is>
          <t>14921349</t>
        </is>
      </c>
      <c r="B325" t="inlineStr">
        <is>
          <t>109689bb-51ab-4048-99b4-d8a97d035e6b</t>
        </is>
      </c>
      <c r="D325" t="inlineStr">
        <is>
          <t>111111124</t>
        </is>
      </c>
      <c r="E325" t="inlineStr">
        <is>
          <t>Vodacom Life 20260617</t>
        </is>
      </c>
      <c r="G325" t="inlineStr">
        <is>
          <t>JANE</t>
        </is>
      </c>
      <c r="H325" t="inlineStr">
        <is>
          <t>KELLA</t>
        </is>
      </c>
      <c r="J325" t="inlineStr">
        <is>
          <t>AE</t>
        </is>
      </c>
      <c r="K325" t="inlineStr">
        <is>
          <t>Auto Engaged</t>
        </is>
      </c>
      <c r="L325" t="n">
        <v>5</v>
      </c>
      <c r="M325" t="inlineStr">
        <is>
          <t>2026-06-29 13:39:39</t>
        </is>
      </c>
      <c r="N325" t="inlineStr">
        <is>
          <t>system</t>
        </is>
      </c>
      <c r="O325" t="inlineStr">
        <is>
          <t>2026-06-17 14:10:06</t>
        </is>
      </c>
      <c r="P325" t="inlineStr">
        <is>
          <t>2026-06-17 14:10:06</t>
        </is>
      </c>
      <c r="Y325" t="inlineStr">
        <is>
          <t>27664565951</t>
        </is>
      </c>
    </row>
    <row r="326">
      <c r="A326" t="inlineStr">
        <is>
          <t>14921352</t>
        </is>
      </c>
      <c r="B326" t="inlineStr">
        <is>
          <t>4af02530-2846-4a28-be0c-aa53a7363e51</t>
        </is>
      </c>
      <c r="D326" t="inlineStr">
        <is>
          <t>111111124</t>
        </is>
      </c>
      <c r="E326" t="inlineStr">
        <is>
          <t>Vodacom Life 20260617</t>
        </is>
      </c>
      <c r="G326" t="inlineStr">
        <is>
          <t>VALENCIA</t>
        </is>
      </c>
      <c r="H326" t="inlineStr">
        <is>
          <t>MAHUMA</t>
        </is>
      </c>
      <c r="J326" t="inlineStr">
        <is>
          <t>AA</t>
        </is>
      </c>
      <c r="K326" t="inlineStr">
        <is>
          <t>Answering Machine Autodial</t>
        </is>
      </c>
      <c r="L326" t="n">
        <v>5</v>
      </c>
      <c r="M326" t="inlineStr">
        <is>
          <t>2026-06-29 13:39:38</t>
        </is>
      </c>
      <c r="N326" t="inlineStr">
        <is>
          <t>system</t>
        </is>
      </c>
      <c r="O326" t="inlineStr">
        <is>
          <t>2026-06-17 14:10:06</t>
        </is>
      </c>
      <c r="P326" t="inlineStr">
        <is>
          <t>2026-06-17 14:10:06</t>
        </is>
      </c>
      <c r="Y326" t="inlineStr">
        <is>
          <t>27662284355</t>
        </is>
      </c>
    </row>
    <row r="327">
      <c r="A327" t="inlineStr">
        <is>
          <t>14921353</t>
        </is>
      </c>
      <c r="B327" t="inlineStr">
        <is>
          <t>161a39a8-e395-4bf9-b338-7213643a77ce</t>
        </is>
      </c>
      <c r="D327" t="inlineStr">
        <is>
          <t>111111124</t>
        </is>
      </c>
      <c r="E327" t="inlineStr">
        <is>
          <t>Vodacom Life 20260617</t>
        </is>
      </c>
      <c r="G327" t="inlineStr">
        <is>
          <t>LODEWYK</t>
        </is>
      </c>
      <c r="H327" t="inlineStr">
        <is>
          <t>DE KOCK</t>
        </is>
      </c>
      <c r="J327" t="inlineStr">
        <is>
          <t>AA</t>
        </is>
      </c>
      <c r="K327" t="inlineStr">
        <is>
          <t>Answering Machine Autodial</t>
        </is>
      </c>
      <c r="L327" t="n">
        <v>5</v>
      </c>
      <c r="M327" t="inlineStr">
        <is>
          <t>2026-06-29 13:39:36</t>
        </is>
      </c>
      <c r="N327" t="inlineStr">
        <is>
          <t>system</t>
        </is>
      </c>
      <c r="O327" t="inlineStr">
        <is>
          <t>2026-06-17 14:10:06</t>
        </is>
      </c>
      <c r="P327" t="inlineStr">
        <is>
          <t>2026-06-17 14:10:06</t>
        </is>
      </c>
      <c r="Y327" t="inlineStr">
        <is>
          <t>27763185996</t>
        </is>
      </c>
    </row>
    <row r="328">
      <c r="A328" t="inlineStr">
        <is>
          <t>14921370</t>
        </is>
      </c>
      <c r="B328" t="inlineStr">
        <is>
          <t>43f3f33e-e3bd-437a-b413-840735baa32c</t>
        </is>
      </c>
      <c r="D328" t="inlineStr">
        <is>
          <t>111111124</t>
        </is>
      </c>
      <c r="E328" t="inlineStr">
        <is>
          <t>Vodacom Life 20260617</t>
        </is>
      </c>
      <c r="G328" t="inlineStr">
        <is>
          <t>CORNEL</t>
        </is>
      </c>
      <c r="H328" t="inlineStr">
        <is>
          <t>PFAFF</t>
        </is>
      </c>
      <c r="J328" t="inlineStr">
        <is>
          <t>AA</t>
        </is>
      </c>
      <c r="K328" t="inlineStr">
        <is>
          <t>Answering Machine Autodial</t>
        </is>
      </c>
      <c r="L328" t="n">
        <v>5</v>
      </c>
      <c r="M328" t="inlineStr">
        <is>
          <t>2026-06-29 13:39:35</t>
        </is>
      </c>
      <c r="N328" t="inlineStr">
        <is>
          <t>system</t>
        </is>
      </c>
      <c r="O328" t="inlineStr">
        <is>
          <t>2026-06-17 14:10:06</t>
        </is>
      </c>
      <c r="P328" t="inlineStr">
        <is>
          <t>2026-06-17 14:10:06</t>
        </is>
      </c>
      <c r="Y328" t="inlineStr">
        <is>
          <t>27724085650</t>
        </is>
      </c>
    </row>
    <row r="329">
      <c r="A329" t="inlineStr">
        <is>
          <t>14921371</t>
        </is>
      </c>
      <c r="B329" t="inlineStr">
        <is>
          <t>f7d28063-d3fd-4747-b3d1-b2860c8e9fdf</t>
        </is>
      </c>
      <c r="D329" t="inlineStr">
        <is>
          <t>111111124</t>
        </is>
      </c>
      <c r="E329" t="inlineStr">
        <is>
          <t>Vodacom Life 20260617</t>
        </is>
      </c>
      <c r="G329" t="inlineStr">
        <is>
          <t>DIANA</t>
        </is>
      </c>
      <c r="H329" t="inlineStr">
        <is>
          <t>CAELERS</t>
        </is>
      </c>
      <c r="J329" t="inlineStr">
        <is>
          <t>AA</t>
        </is>
      </c>
      <c r="K329" t="inlineStr">
        <is>
          <t>Answering Machine Autodial</t>
        </is>
      </c>
      <c r="L329" t="n">
        <v>5</v>
      </c>
      <c r="M329" t="inlineStr">
        <is>
          <t>2026-06-29 13:39:35</t>
        </is>
      </c>
      <c r="N329" t="inlineStr">
        <is>
          <t>system</t>
        </is>
      </c>
      <c r="O329" t="inlineStr">
        <is>
          <t>2026-06-17 14:10:06</t>
        </is>
      </c>
      <c r="P329" t="inlineStr">
        <is>
          <t>2026-06-17 14:10:06</t>
        </is>
      </c>
      <c r="Y329" t="inlineStr">
        <is>
          <t>27723420449</t>
        </is>
      </c>
    </row>
    <row r="330">
      <c r="A330" t="inlineStr">
        <is>
          <t>14921372</t>
        </is>
      </c>
      <c r="B330" t="inlineStr">
        <is>
          <t>42d98f64-4b4b-46e7-9262-6d1de952cbdc</t>
        </is>
      </c>
      <c r="D330" t="inlineStr">
        <is>
          <t>111111124</t>
        </is>
      </c>
      <c r="E330" t="inlineStr">
        <is>
          <t>Vodacom Life 20260617</t>
        </is>
      </c>
      <c r="G330" t="inlineStr">
        <is>
          <t>ANTON</t>
        </is>
      </c>
      <c r="H330" t="inlineStr">
        <is>
          <t>NIEMANN</t>
        </is>
      </c>
      <c r="J330" t="inlineStr">
        <is>
          <t>NA</t>
        </is>
      </c>
      <c r="K330" t="inlineStr">
        <is>
          <t>No Answer Autodial</t>
        </is>
      </c>
      <c r="L330" t="n">
        <v>5</v>
      </c>
      <c r="M330" t="inlineStr">
        <is>
          <t>2026-06-29 13:39:35</t>
        </is>
      </c>
      <c r="N330" t="inlineStr">
        <is>
          <t>system</t>
        </is>
      </c>
      <c r="O330" t="inlineStr">
        <is>
          <t>2026-06-17 14:10:06</t>
        </is>
      </c>
      <c r="P330" t="inlineStr">
        <is>
          <t>2026-06-17 14:10:06</t>
        </is>
      </c>
      <c r="Y330" t="inlineStr">
        <is>
          <t>27662011397</t>
        </is>
      </c>
    </row>
    <row r="331">
      <c r="A331" t="inlineStr">
        <is>
          <t>14921373</t>
        </is>
      </c>
      <c r="B331" t="inlineStr">
        <is>
          <t>42698354-7731-47ec-814e-e3af7b0f0d8a</t>
        </is>
      </c>
      <c r="D331" t="inlineStr">
        <is>
          <t>111111124</t>
        </is>
      </c>
      <c r="E331" t="inlineStr">
        <is>
          <t>Vodacom Life 20260617</t>
        </is>
      </c>
      <c r="G331" t="inlineStr">
        <is>
          <t>KERRYN</t>
        </is>
      </c>
      <c r="H331" t="inlineStr">
        <is>
          <t>NEUMANN</t>
        </is>
      </c>
      <c r="J331" t="inlineStr">
        <is>
          <t>AE</t>
        </is>
      </c>
      <c r="K331" t="inlineStr">
        <is>
          <t>Auto Engaged</t>
        </is>
      </c>
      <c r="L331" t="n">
        <v>5</v>
      </c>
      <c r="M331" t="inlineStr">
        <is>
          <t>2026-06-29 13:39:32</t>
        </is>
      </c>
      <c r="N331" t="inlineStr">
        <is>
          <t>system</t>
        </is>
      </c>
      <c r="O331" t="inlineStr">
        <is>
          <t>2026-06-17 14:10:06</t>
        </is>
      </c>
      <c r="P331" t="inlineStr">
        <is>
          <t>2026-06-17 14:10:06</t>
        </is>
      </c>
      <c r="Y331" t="inlineStr">
        <is>
          <t>27724948132</t>
        </is>
      </c>
    </row>
    <row r="332">
      <c r="A332" t="inlineStr">
        <is>
          <t>14921374</t>
        </is>
      </c>
      <c r="B332" t="inlineStr">
        <is>
          <t>12b9916e-29f4-4f65-9338-eb53983f2fd4</t>
        </is>
      </c>
      <c r="D332" t="inlineStr">
        <is>
          <t>111111124</t>
        </is>
      </c>
      <c r="E332" t="inlineStr">
        <is>
          <t>Vodacom Life 20260617</t>
        </is>
      </c>
      <c r="G332" t="inlineStr">
        <is>
          <t>NONDUMISO</t>
        </is>
      </c>
      <c r="H332" t="inlineStr">
        <is>
          <t>NDLOVU</t>
        </is>
      </c>
      <c r="J332" t="inlineStr">
        <is>
          <t>AE</t>
        </is>
      </c>
      <c r="K332" t="inlineStr">
        <is>
          <t>Auto Engaged</t>
        </is>
      </c>
      <c r="L332" t="n">
        <v>5</v>
      </c>
      <c r="M332" t="inlineStr">
        <is>
          <t>2026-06-29 13:39:32</t>
        </is>
      </c>
      <c r="N332" t="inlineStr">
        <is>
          <t>system</t>
        </is>
      </c>
      <c r="O332" t="inlineStr">
        <is>
          <t>2026-06-17 14:10:06</t>
        </is>
      </c>
      <c r="P332" t="inlineStr">
        <is>
          <t>2026-06-17 14:10:06</t>
        </is>
      </c>
      <c r="Y332" t="inlineStr">
        <is>
          <t>27798507243</t>
        </is>
      </c>
    </row>
    <row r="333">
      <c r="A333" t="inlineStr">
        <is>
          <t>14921375</t>
        </is>
      </c>
      <c r="B333" t="inlineStr">
        <is>
          <t>7a17cef0-8316-47e3-a3f3-95f2d314a960</t>
        </is>
      </c>
      <c r="D333" t="inlineStr">
        <is>
          <t>111111124</t>
        </is>
      </c>
      <c r="E333" t="inlineStr">
        <is>
          <t>Vodacom Life 20260617</t>
        </is>
      </c>
      <c r="G333" t="inlineStr">
        <is>
          <t>LLEWELLYN</t>
        </is>
      </c>
      <c r="H333" t="inlineStr">
        <is>
          <t>KOTZE</t>
        </is>
      </c>
      <c r="J333" t="inlineStr">
        <is>
          <t>AE</t>
        </is>
      </c>
      <c r="K333" t="inlineStr">
        <is>
          <t>Auto Engaged</t>
        </is>
      </c>
      <c r="L333" t="n">
        <v>5</v>
      </c>
      <c r="M333" t="inlineStr">
        <is>
          <t>2026-06-29 13:39:32</t>
        </is>
      </c>
      <c r="N333" t="inlineStr">
        <is>
          <t>system</t>
        </is>
      </c>
      <c r="O333" t="inlineStr">
        <is>
          <t>2026-06-17 14:10:06</t>
        </is>
      </c>
      <c r="P333" t="inlineStr">
        <is>
          <t>2026-06-17 14:10:06</t>
        </is>
      </c>
      <c r="Y333" t="inlineStr">
        <is>
          <t>27823999552</t>
        </is>
      </c>
    </row>
    <row r="334">
      <c r="A334" t="inlineStr">
        <is>
          <t>14921376</t>
        </is>
      </c>
      <c r="B334" t="inlineStr">
        <is>
          <t>87a63c5d-6530-4bd5-81c7-895dfb5280ac</t>
        </is>
      </c>
      <c r="D334" t="inlineStr">
        <is>
          <t>111111124</t>
        </is>
      </c>
      <c r="E334" t="inlineStr">
        <is>
          <t>Vodacom Life 20260617</t>
        </is>
      </c>
      <c r="G334" t="inlineStr">
        <is>
          <t>MODULAESI</t>
        </is>
      </c>
      <c r="H334" t="inlineStr">
        <is>
          <t>VENA</t>
        </is>
      </c>
      <c r="J334" t="inlineStr">
        <is>
          <t>AE</t>
        </is>
      </c>
      <c r="K334" t="inlineStr">
        <is>
          <t>Auto Engaged</t>
        </is>
      </c>
      <c r="L334" t="n">
        <v>5</v>
      </c>
      <c r="M334" t="inlineStr">
        <is>
          <t>2026-06-29 13:39:32</t>
        </is>
      </c>
      <c r="N334" t="inlineStr">
        <is>
          <t>system</t>
        </is>
      </c>
      <c r="O334" t="inlineStr">
        <is>
          <t>2026-06-17 14:10:06</t>
        </is>
      </c>
      <c r="P334" t="inlineStr">
        <is>
          <t>2026-06-17 14:10:06</t>
        </is>
      </c>
      <c r="Y334" t="inlineStr">
        <is>
          <t>27836427040</t>
        </is>
      </c>
    </row>
    <row r="335">
      <c r="A335" t="inlineStr">
        <is>
          <t>14921763</t>
        </is>
      </c>
      <c r="B335" t="inlineStr">
        <is>
          <t>2a5130bf-e869-4397-98f4-1adc521a2f21</t>
        </is>
      </c>
      <c r="D335" t="inlineStr">
        <is>
          <t>111111124</t>
        </is>
      </c>
      <c r="E335" t="inlineStr">
        <is>
          <t>Vodacom Life 20260617</t>
        </is>
      </c>
      <c r="G335" t="inlineStr">
        <is>
          <t>THABISO</t>
        </is>
      </c>
      <c r="H335" t="inlineStr">
        <is>
          <t>NKALANGA</t>
        </is>
      </c>
      <c r="J335" t="inlineStr">
        <is>
          <t>AA</t>
        </is>
      </c>
      <c r="K335" t="inlineStr">
        <is>
          <t>Answering Machine Autodial</t>
        </is>
      </c>
      <c r="L335" t="n">
        <v>5</v>
      </c>
      <c r="M335" t="inlineStr">
        <is>
          <t>2026-06-29 13:39:32</t>
        </is>
      </c>
      <c r="N335" t="inlineStr">
        <is>
          <t>system</t>
        </is>
      </c>
      <c r="O335" t="inlineStr">
        <is>
          <t>2026-06-17 14:10:06</t>
        </is>
      </c>
      <c r="P335" t="inlineStr">
        <is>
          <t>2026-06-17 14:10:06</t>
        </is>
      </c>
      <c r="Y335" t="inlineStr">
        <is>
          <t>27767180688</t>
        </is>
      </c>
    </row>
    <row r="336">
      <c r="A336" t="inlineStr">
        <is>
          <t>14921166</t>
        </is>
      </c>
      <c r="B336" t="inlineStr">
        <is>
          <t>1194b0ad-3b3b-44a2-bcf5-035a9db7d4df</t>
        </is>
      </c>
      <c r="D336" t="inlineStr">
        <is>
          <t>111111124</t>
        </is>
      </c>
      <c r="E336" t="inlineStr">
        <is>
          <t>Vodacom Life 20260617</t>
        </is>
      </c>
      <c r="G336" t="inlineStr">
        <is>
          <t>MICHELLE</t>
        </is>
      </c>
      <c r="H336" t="inlineStr">
        <is>
          <t>BERRY</t>
        </is>
      </c>
      <c r="J336" t="inlineStr">
        <is>
          <t>AE</t>
        </is>
      </c>
      <c r="K336" t="inlineStr">
        <is>
          <t>Auto Engaged</t>
        </is>
      </c>
      <c r="L336" t="n">
        <v>5</v>
      </c>
      <c r="M336" t="inlineStr">
        <is>
          <t>2026-06-29 13:38:30</t>
        </is>
      </c>
      <c r="N336" t="inlineStr">
        <is>
          <t>system</t>
        </is>
      </c>
      <c r="O336" t="inlineStr">
        <is>
          <t>2026-06-17 14:10:06</t>
        </is>
      </c>
      <c r="P336" t="inlineStr">
        <is>
          <t>2026-06-17 14:10:06</t>
        </is>
      </c>
      <c r="Y336" t="inlineStr">
        <is>
          <t>27769747538</t>
        </is>
      </c>
    </row>
    <row r="337">
      <c r="A337" t="inlineStr">
        <is>
          <t>14921168</t>
        </is>
      </c>
      <c r="B337" t="inlineStr">
        <is>
          <t>697a05ee-6392-430e-b9fd-daf9ecc4205b</t>
        </is>
      </c>
      <c r="D337" t="inlineStr">
        <is>
          <t>111111124</t>
        </is>
      </c>
      <c r="E337" t="inlineStr">
        <is>
          <t>Vodacom Life 20260617</t>
        </is>
      </c>
      <c r="G337" t="inlineStr">
        <is>
          <t>SABELO</t>
        </is>
      </c>
      <c r="H337" t="inlineStr">
        <is>
          <t>BUTHELEZI</t>
        </is>
      </c>
      <c r="J337" t="inlineStr">
        <is>
          <t>AE</t>
        </is>
      </c>
      <c r="K337" t="inlineStr">
        <is>
          <t>Auto Engaged</t>
        </is>
      </c>
      <c r="L337" t="n">
        <v>5</v>
      </c>
      <c r="M337" t="inlineStr">
        <is>
          <t>2026-06-29 13:38:28</t>
        </is>
      </c>
      <c r="N337" t="inlineStr">
        <is>
          <t>system</t>
        </is>
      </c>
      <c r="O337" t="inlineStr">
        <is>
          <t>2026-06-17 14:10:06</t>
        </is>
      </c>
      <c r="P337" t="inlineStr">
        <is>
          <t>2026-06-17 14:10:06</t>
        </is>
      </c>
      <c r="Y337" t="inlineStr">
        <is>
          <t>27827413933</t>
        </is>
      </c>
    </row>
    <row r="338">
      <c r="A338" t="inlineStr">
        <is>
          <t>14921169</t>
        </is>
      </c>
      <c r="B338" t="inlineStr">
        <is>
          <t>2c77bed7-ac4a-45f4-aecc-b15b7fec1f76</t>
        </is>
      </c>
      <c r="D338" t="inlineStr">
        <is>
          <t>111111124</t>
        </is>
      </c>
      <c r="E338" t="inlineStr">
        <is>
          <t>Vodacom Life 20260617</t>
        </is>
      </c>
      <c r="G338" t="inlineStr">
        <is>
          <t>LULAMILE</t>
        </is>
      </c>
      <c r="H338" t="inlineStr">
        <is>
          <t>NCAPAYI</t>
        </is>
      </c>
      <c r="J338" t="inlineStr">
        <is>
          <t>DROP</t>
        </is>
      </c>
      <c r="K338" t="inlineStr">
        <is>
          <t>Dropped</t>
        </is>
      </c>
      <c r="L338" t="n">
        <v>5</v>
      </c>
      <c r="M338" t="inlineStr">
        <is>
          <t>2026-06-29 13:38:27</t>
        </is>
      </c>
      <c r="N338" t="inlineStr">
        <is>
          <t>system</t>
        </is>
      </c>
      <c r="O338" t="inlineStr">
        <is>
          <t>2026-06-17 14:10:06</t>
        </is>
      </c>
      <c r="P338" t="inlineStr">
        <is>
          <t>2026-06-17 14:10:06</t>
        </is>
      </c>
      <c r="Y338" t="inlineStr">
        <is>
          <t>27824619226</t>
        </is>
      </c>
    </row>
    <row r="339">
      <c r="A339" t="inlineStr">
        <is>
          <t>14921170</t>
        </is>
      </c>
      <c r="B339" t="inlineStr">
        <is>
          <t>690cec1f-f024-40a6-b326-225f2bb5e5f6</t>
        </is>
      </c>
      <c r="D339" t="inlineStr">
        <is>
          <t>111111124</t>
        </is>
      </c>
      <c r="E339" t="inlineStr">
        <is>
          <t>Vodacom Life 20260617</t>
        </is>
      </c>
      <c r="G339" t="inlineStr">
        <is>
          <t>NABASKA</t>
        </is>
      </c>
      <c r="H339" t="inlineStr">
        <is>
          <t>ARUMUGAM</t>
        </is>
      </c>
      <c r="J339" t="inlineStr">
        <is>
          <t>AE</t>
        </is>
      </c>
      <c r="K339" t="inlineStr">
        <is>
          <t>Auto Engaged</t>
        </is>
      </c>
      <c r="L339" t="n">
        <v>5</v>
      </c>
      <c r="M339" t="inlineStr">
        <is>
          <t>2026-06-29 13:38:27</t>
        </is>
      </c>
      <c r="N339" t="inlineStr">
        <is>
          <t>system</t>
        </is>
      </c>
      <c r="O339" t="inlineStr">
        <is>
          <t>2026-06-17 14:10:06</t>
        </is>
      </c>
      <c r="P339" t="inlineStr">
        <is>
          <t>2026-06-17 14:10:06</t>
        </is>
      </c>
      <c r="Y339" t="inlineStr">
        <is>
          <t>27713658751</t>
        </is>
      </c>
    </row>
    <row r="340">
      <c r="A340" t="inlineStr">
        <is>
          <t>14921171</t>
        </is>
      </c>
      <c r="B340" t="inlineStr">
        <is>
          <t>d307c39f-d534-47f2-8269-9902fefa2bc8</t>
        </is>
      </c>
      <c r="D340" t="inlineStr">
        <is>
          <t>111111124</t>
        </is>
      </c>
      <c r="E340" t="inlineStr">
        <is>
          <t>Vodacom Life 20260617</t>
        </is>
      </c>
      <c r="G340" t="inlineStr">
        <is>
          <t>TSHEKISO</t>
        </is>
      </c>
      <c r="H340" t="inlineStr">
        <is>
          <t>SAUL</t>
        </is>
      </c>
      <c r="J340" t="inlineStr">
        <is>
          <t>AE</t>
        </is>
      </c>
      <c r="K340" t="inlineStr">
        <is>
          <t>Auto Engaged</t>
        </is>
      </c>
      <c r="L340" t="n">
        <v>5</v>
      </c>
      <c r="M340" t="inlineStr">
        <is>
          <t>2026-06-29 13:38:27</t>
        </is>
      </c>
      <c r="N340" t="inlineStr">
        <is>
          <t>system</t>
        </is>
      </c>
      <c r="O340" t="inlineStr">
        <is>
          <t>2026-06-17 14:10:06</t>
        </is>
      </c>
      <c r="P340" t="inlineStr">
        <is>
          <t>2026-06-17 14:10:06</t>
        </is>
      </c>
      <c r="Y340" t="inlineStr">
        <is>
          <t>27723368683</t>
        </is>
      </c>
    </row>
    <row r="341">
      <c r="A341" t="inlineStr">
        <is>
          <t>14921172</t>
        </is>
      </c>
      <c r="B341" t="inlineStr">
        <is>
          <t>02d29a3b-6606-4ebd-94f7-1d450bc3cb06</t>
        </is>
      </c>
      <c r="D341" t="inlineStr">
        <is>
          <t>111111124</t>
        </is>
      </c>
      <c r="E341" t="inlineStr">
        <is>
          <t>Vodacom Life 20260617</t>
        </is>
      </c>
      <c r="G341" t="inlineStr">
        <is>
          <t>HLENGIWE</t>
        </is>
      </c>
      <c r="H341" t="inlineStr">
        <is>
          <t>KHUMALO</t>
        </is>
      </c>
      <c r="J341" t="inlineStr">
        <is>
          <t>AC</t>
        </is>
      </c>
      <c r="K341" t="inlineStr">
        <is>
          <t>Already Contacted</t>
        </is>
      </c>
      <c r="L341" t="n">
        <v>5</v>
      </c>
      <c r="M341" t="inlineStr">
        <is>
          <t>2026-06-29 13:38:27</t>
        </is>
      </c>
      <c r="N341" t="inlineStr">
        <is>
          <t>Maureen Ntsoko</t>
        </is>
      </c>
      <c r="O341" t="inlineStr">
        <is>
          <t>2026-06-17 14:10:06</t>
        </is>
      </c>
      <c r="P341" t="inlineStr">
        <is>
          <t>2026-06-17 14:10:06</t>
        </is>
      </c>
      <c r="Y341" t="inlineStr">
        <is>
          <t>27826065144</t>
        </is>
      </c>
    </row>
    <row r="342">
      <c r="A342" t="inlineStr">
        <is>
          <t>14921173</t>
        </is>
      </c>
      <c r="B342" t="inlineStr">
        <is>
          <t>bc3b6fa9-8f48-4abd-a407-d6d26c18e7da</t>
        </is>
      </c>
      <c r="D342" t="inlineStr">
        <is>
          <t>111111124</t>
        </is>
      </c>
      <c r="E342" t="inlineStr">
        <is>
          <t>Vodacom Life 20260617</t>
        </is>
      </c>
      <c r="G342" t="inlineStr">
        <is>
          <t>MMAKGOTSO</t>
        </is>
      </c>
      <c r="H342" t="inlineStr">
        <is>
          <t>LESIBA</t>
        </is>
      </c>
      <c r="J342" t="inlineStr">
        <is>
          <t>NA</t>
        </is>
      </c>
      <c r="K342" t="inlineStr">
        <is>
          <t>No Answer Autodial</t>
        </is>
      </c>
      <c r="L342" t="n">
        <v>5</v>
      </c>
      <c r="M342" t="inlineStr">
        <is>
          <t>2026-06-29 13:37:55</t>
        </is>
      </c>
      <c r="N342" t="inlineStr">
        <is>
          <t>system</t>
        </is>
      </c>
      <c r="O342" t="inlineStr">
        <is>
          <t>2026-06-17 14:10:06</t>
        </is>
      </c>
      <c r="P342" t="inlineStr">
        <is>
          <t>2026-06-17 14:10:06</t>
        </is>
      </c>
      <c r="Y342" t="inlineStr">
        <is>
          <t>27608651667</t>
        </is>
      </c>
    </row>
    <row r="343">
      <c r="A343" t="inlineStr">
        <is>
          <t>14921174</t>
        </is>
      </c>
      <c r="B343" t="inlineStr">
        <is>
          <t>2e88bac9-ec2a-4da1-aa16-e0911508daaf</t>
        </is>
      </c>
      <c r="D343" t="inlineStr">
        <is>
          <t>111111124</t>
        </is>
      </c>
      <c r="E343" t="inlineStr">
        <is>
          <t>Vodacom Life 20260617</t>
        </is>
      </c>
      <c r="G343" t="inlineStr">
        <is>
          <t>NTOMBIKAYISE</t>
        </is>
      </c>
      <c r="H343" t="inlineStr">
        <is>
          <t>NKOSI</t>
        </is>
      </c>
      <c r="J343" t="inlineStr">
        <is>
          <t>AE</t>
        </is>
      </c>
      <c r="K343" t="inlineStr">
        <is>
          <t>Auto Engaged</t>
        </is>
      </c>
      <c r="L343" t="n">
        <v>5</v>
      </c>
      <c r="M343" t="inlineStr">
        <is>
          <t>2026-06-29 13:37:54</t>
        </is>
      </c>
      <c r="N343" t="inlineStr">
        <is>
          <t>system</t>
        </is>
      </c>
      <c r="O343" t="inlineStr">
        <is>
          <t>2026-06-17 14:10:06</t>
        </is>
      </c>
      <c r="P343" t="inlineStr">
        <is>
          <t>2026-06-17 14:10:06</t>
        </is>
      </c>
      <c r="Y343" t="inlineStr">
        <is>
          <t>27721484788</t>
        </is>
      </c>
    </row>
    <row r="344">
      <c r="A344" t="inlineStr">
        <is>
          <t>14921178</t>
        </is>
      </c>
      <c r="B344" t="inlineStr">
        <is>
          <t>87c042df-1c69-43d6-ac25-3fde61801700</t>
        </is>
      </c>
      <c r="D344" t="inlineStr">
        <is>
          <t>111111124</t>
        </is>
      </c>
      <c r="E344" t="inlineStr">
        <is>
          <t>Vodacom Life 20260617</t>
        </is>
      </c>
      <c r="G344" t="inlineStr">
        <is>
          <t>CECILIA</t>
        </is>
      </c>
      <c r="H344" t="inlineStr">
        <is>
          <t>SMIT</t>
        </is>
      </c>
      <c r="J344" t="inlineStr">
        <is>
          <t>AE</t>
        </is>
      </c>
      <c r="K344" t="inlineStr">
        <is>
          <t>Auto Engaged</t>
        </is>
      </c>
      <c r="L344" t="n">
        <v>5</v>
      </c>
      <c r="M344" t="inlineStr">
        <is>
          <t>2026-06-29 13:37:52</t>
        </is>
      </c>
      <c r="N344" t="inlineStr">
        <is>
          <t>system</t>
        </is>
      </c>
      <c r="O344" t="inlineStr">
        <is>
          <t>2026-06-17 14:10:06</t>
        </is>
      </c>
      <c r="P344" t="inlineStr">
        <is>
          <t>2026-06-17 14:10:06</t>
        </is>
      </c>
      <c r="Y344" t="inlineStr">
        <is>
          <t>27712914720</t>
        </is>
      </c>
    </row>
    <row r="345">
      <c r="A345" t="inlineStr">
        <is>
          <t>14921179</t>
        </is>
      </c>
      <c r="B345" t="inlineStr">
        <is>
          <t>df71c4c8-68ef-4782-bdf9-efdcb07bb10e</t>
        </is>
      </c>
      <c r="D345" t="inlineStr">
        <is>
          <t>111111124</t>
        </is>
      </c>
      <c r="E345" t="inlineStr">
        <is>
          <t>Vodacom Life 20260617</t>
        </is>
      </c>
      <c r="G345" t="inlineStr">
        <is>
          <t>NOMPUMELELO</t>
        </is>
      </c>
      <c r="H345" t="inlineStr">
        <is>
          <t>SITHOLE</t>
        </is>
      </c>
      <c r="J345" t="inlineStr">
        <is>
          <t>DROP</t>
        </is>
      </c>
      <c r="K345" t="inlineStr">
        <is>
          <t>Dropped</t>
        </is>
      </c>
      <c r="L345" t="n">
        <v>5</v>
      </c>
      <c r="M345" t="inlineStr">
        <is>
          <t>2026-06-29 13:37:52</t>
        </is>
      </c>
      <c r="N345" t="inlineStr">
        <is>
          <t>system</t>
        </is>
      </c>
      <c r="O345" t="inlineStr">
        <is>
          <t>2026-06-17 14:10:06</t>
        </is>
      </c>
      <c r="P345" t="inlineStr">
        <is>
          <t>2026-06-17 14:10:06</t>
        </is>
      </c>
      <c r="Y345" t="inlineStr">
        <is>
          <t>27796756118</t>
        </is>
      </c>
    </row>
    <row r="346">
      <c r="A346" t="inlineStr">
        <is>
          <t>14921175</t>
        </is>
      </c>
      <c r="B346" t="inlineStr">
        <is>
          <t>da632a97-724c-49df-9565-28dc78d24936</t>
        </is>
      </c>
      <c r="D346" t="inlineStr">
        <is>
          <t>111111124</t>
        </is>
      </c>
      <c r="E346" t="inlineStr">
        <is>
          <t>Vodacom Life 20260617</t>
        </is>
      </c>
      <c r="G346" t="inlineStr">
        <is>
          <t>SIYABULELA</t>
        </is>
      </c>
      <c r="H346" t="inlineStr">
        <is>
          <t>MKHIZE</t>
        </is>
      </c>
      <c r="J346" t="inlineStr">
        <is>
          <t>AA</t>
        </is>
      </c>
      <c r="K346" t="inlineStr">
        <is>
          <t>Answering Machine Autodial</t>
        </is>
      </c>
      <c r="L346" t="n">
        <v>5</v>
      </c>
      <c r="M346" t="inlineStr">
        <is>
          <t>2026-06-29 13:37:52</t>
        </is>
      </c>
      <c r="N346" t="inlineStr">
        <is>
          <t>system</t>
        </is>
      </c>
      <c r="O346" t="inlineStr">
        <is>
          <t>2026-06-17 14:10:06</t>
        </is>
      </c>
      <c r="P346" t="inlineStr">
        <is>
          <t>2026-06-17 14:10:06</t>
        </is>
      </c>
      <c r="Y346" t="inlineStr">
        <is>
          <t>27646870743</t>
        </is>
      </c>
    </row>
    <row r="347">
      <c r="A347" t="inlineStr">
        <is>
          <t>14921176</t>
        </is>
      </c>
      <c r="B347" t="inlineStr">
        <is>
          <t>2aa396fb-f9a6-4e59-b741-f89969b49c56</t>
        </is>
      </c>
      <c r="D347" t="inlineStr">
        <is>
          <t>111111124</t>
        </is>
      </c>
      <c r="E347" t="inlineStr">
        <is>
          <t>Vodacom Life 20260617</t>
        </is>
      </c>
      <c r="G347" t="inlineStr">
        <is>
          <t>NAFTALI</t>
        </is>
      </c>
      <c r="H347" t="inlineStr">
        <is>
          <t>NTSODI</t>
        </is>
      </c>
      <c r="J347" t="inlineStr">
        <is>
          <t>CU</t>
        </is>
      </c>
      <c r="K347" t="inlineStr">
        <is>
          <t>Client Hung Up</t>
        </is>
      </c>
      <c r="L347" t="n">
        <v>5</v>
      </c>
      <c r="M347" t="inlineStr">
        <is>
          <t>2026-06-29 13:37:52</t>
        </is>
      </c>
      <c r="N347" t="inlineStr">
        <is>
          <t>Maureen Ntsoko</t>
        </is>
      </c>
      <c r="O347" t="inlineStr">
        <is>
          <t>2026-06-17 14:10:06</t>
        </is>
      </c>
      <c r="P347" t="inlineStr">
        <is>
          <t>2026-06-17 14:10:06</t>
        </is>
      </c>
      <c r="Y347" t="inlineStr">
        <is>
          <t>27727907221</t>
        </is>
      </c>
    </row>
    <row r="348">
      <c r="A348" t="inlineStr">
        <is>
          <t>14921390</t>
        </is>
      </c>
      <c r="B348" t="inlineStr">
        <is>
          <t>656f1b54-8717-4380-b3b6-d4a4a295ce9a</t>
        </is>
      </c>
      <c r="D348" t="inlineStr">
        <is>
          <t>111111124</t>
        </is>
      </c>
      <c r="E348" t="inlineStr">
        <is>
          <t>Vodacom Life 20260617</t>
        </is>
      </c>
      <c r="G348" t="inlineStr">
        <is>
          <t>ADRIAAN</t>
        </is>
      </c>
      <c r="H348" t="inlineStr">
        <is>
          <t>VENTER</t>
        </is>
      </c>
      <c r="J348" t="inlineStr">
        <is>
          <t>CU</t>
        </is>
      </c>
      <c r="K348" t="inlineStr">
        <is>
          <t>Client Hung Up</t>
        </is>
      </c>
      <c r="L348" t="n">
        <v>5</v>
      </c>
      <c r="M348" t="inlineStr">
        <is>
          <t>2026-06-29 13:37:36</t>
        </is>
      </c>
      <c r="N348" t="inlineStr">
        <is>
          <t>Maureen Ntsoko</t>
        </is>
      </c>
      <c r="O348" t="inlineStr">
        <is>
          <t>2026-06-17 14:10:06</t>
        </is>
      </c>
      <c r="P348" t="inlineStr">
        <is>
          <t>2026-06-17 14:10:06</t>
        </is>
      </c>
      <c r="Y348" t="inlineStr">
        <is>
          <t>27760892324</t>
        </is>
      </c>
    </row>
    <row r="349">
      <c r="A349" t="inlineStr">
        <is>
          <t>14921180</t>
        </is>
      </c>
      <c r="B349" t="inlineStr">
        <is>
          <t>cfe9c73b-04cb-461d-b156-efca8f86835a</t>
        </is>
      </c>
      <c r="D349" t="inlineStr">
        <is>
          <t>111111124</t>
        </is>
      </c>
      <c r="E349" t="inlineStr">
        <is>
          <t>Vodacom Life 20260617</t>
        </is>
      </c>
      <c r="G349" t="inlineStr">
        <is>
          <t>JEANETTE</t>
        </is>
      </c>
      <c r="H349" t="inlineStr">
        <is>
          <t>BOGOPA</t>
        </is>
      </c>
      <c r="J349" t="inlineStr">
        <is>
          <t>DROP</t>
        </is>
      </c>
      <c r="K349" t="inlineStr">
        <is>
          <t>Dropped</t>
        </is>
      </c>
      <c r="L349" t="n">
        <v>5</v>
      </c>
      <c r="M349" t="inlineStr">
        <is>
          <t>2026-06-29 13:37:22</t>
        </is>
      </c>
      <c r="N349" t="inlineStr">
        <is>
          <t>system</t>
        </is>
      </c>
      <c r="O349" t="inlineStr">
        <is>
          <t>2026-06-17 14:10:06</t>
        </is>
      </c>
      <c r="P349" t="inlineStr">
        <is>
          <t>2026-06-17 14:10:06</t>
        </is>
      </c>
      <c r="Y349" t="inlineStr">
        <is>
          <t>27726411752</t>
        </is>
      </c>
    </row>
    <row r="350">
      <c r="A350" t="inlineStr">
        <is>
          <t>14921199</t>
        </is>
      </c>
      <c r="B350" t="inlineStr">
        <is>
          <t>2642fbaf-7ab3-4a69-8e40-22004a6a3802</t>
        </is>
      </c>
      <c r="D350" t="inlineStr">
        <is>
          <t>111111124</t>
        </is>
      </c>
      <c r="E350" t="inlineStr">
        <is>
          <t>Vodacom Life 20260617</t>
        </is>
      </c>
      <c r="G350" t="inlineStr">
        <is>
          <t>EVAH</t>
        </is>
      </c>
      <c r="H350" t="inlineStr">
        <is>
          <t>SHOKAMI</t>
        </is>
      </c>
      <c r="J350" t="inlineStr">
        <is>
          <t>AA</t>
        </is>
      </c>
      <c r="K350" t="inlineStr">
        <is>
          <t>Answering Machine Autodial</t>
        </is>
      </c>
      <c r="L350" t="n">
        <v>5</v>
      </c>
      <c r="M350" t="inlineStr">
        <is>
          <t>2026-06-29 13:37:22</t>
        </is>
      </c>
      <c r="N350" t="inlineStr">
        <is>
          <t>system</t>
        </is>
      </c>
      <c r="O350" t="inlineStr">
        <is>
          <t>2026-06-17 14:10:06</t>
        </is>
      </c>
      <c r="P350" t="inlineStr">
        <is>
          <t>2026-06-17 14:10:06</t>
        </is>
      </c>
      <c r="Y350" t="inlineStr">
        <is>
          <t>27795209783</t>
        </is>
      </c>
    </row>
    <row r="351">
      <c r="A351" t="inlineStr">
        <is>
          <t>14900000</t>
        </is>
      </c>
      <c r="B351" t="inlineStr">
        <is>
          <t>6e621d7d-1e73-4385-9031-673faf0e9725</t>
        </is>
      </c>
      <c r="D351" t="inlineStr">
        <is>
          <t>111111124</t>
        </is>
      </c>
      <c r="E351" t="inlineStr">
        <is>
          <t>Vodacom Life 20260617</t>
        </is>
      </c>
      <c r="G351" t="inlineStr">
        <is>
          <t>NOLONWABO</t>
        </is>
      </c>
      <c r="H351" t="inlineStr">
        <is>
          <t>BASHE</t>
        </is>
      </c>
      <c r="J351" t="inlineStr">
        <is>
          <t>AA</t>
        </is>
      </c>
      <c r="K351" t="inlineStr">
        <is>
          <t>Answering Machine Autodial</t>
        </is>
      </c>
      <c r="L351" t="n">
        <v>5</v>
      </c>
      <c r="M351" t="inlineStr">
        <is>
          <t>2026-06-29 13:37:21</t>
        </is>
      </c>
      <c r="N351" t="inlineStr">
        <is>
          <t>system</t>
        </is>
      </c>
      <c r="O351" t="inlineStr">
        <is>
          <t>2026-06-17 14:10:06</t>
        </is>
      </c>
      <c r="P351" t="inlineStr">
        <is>
          <t>2026-06-17 14:10:06</t>
        </is>
      </c>
      <c r="Y351" t="inlineStr">
        <is>
          <t>27646854846</t>
        </is>
      </c>
    </row>
    <row r="352">
      <c r="A352" t="inlineStr">
        <is>
          <t>14920734</t>
        </is>
      </c>
      <c r="B352" t="inlineStr">
        <is>
          <t>727d0d60-0d2f-4f0f-aa99-8f448bee52be</t>
        </is>
      </c>
      <c r="D352" t="inlineStr">
        <is>
          <t>111111124</t>
        </is>
      </c>
      <c r="E352" t="inlineStr">
        <is>
          <t>Vodacom Life 20260617</t>
        </is>
      </c>
      <c r="G352" t="inlineStr">
        <is>
          <t>MTHOKOZISI</t>
        </is>
      </c>
      <c r="H352" t="inlineStr">
        <is>
          <t>MALAZA</t>
        </is>
      </c>
      <c r="J352" t="inlineStr">
        <is>
          <t>IABDN</t>
        </is>
      </c>
      <c r="K352" t="inlineStr">
        <is>
          <t>Inbound Abandon</t>
        </is>
      </c>
      <c r="L352" t="n">
        <v>5</v>
      </c>
      <c r="M352" t="inlineStr">
        <is>
          <t>2026-06-29 13:36:43</t>
        </is>
      </c>
      <c r="N352" t="inlineStr">
        <is>
          <t>system</t>
        </is>
      </c>
      <c r="O352" t="inlineStr">
        <is>
          <t>2026-06-17 14:10:06</t>
        </is>
      </c>
      <c r="P352" t="inlineStr">
        <is>
          <t>2026-06-17 14:10:06</t>
        </is>
      </c>
      <c r="Y352" t="inlineStr">
        <is>
          <t>27729168672</t>
        </is>
      </c>
    </row>
    <row r="353">
      <c r="A353" t="inlineStr">
        <is>
          <t>14920728</t>
        </is>
      </c>
      <c r="B353" t="inlineStr">
        <is>
          <t>5da3eacb-96f6-49d4-8080-3315f6bdc6a5</t>
        </is>
      </c>
      <c r="D353" t="inlineStr">
        <is>
          <t>111111124</t>
        </is>
      </c>
      <c r="E353" t="inlineStr">
        <is>
          <t>Vodacom Life 20260617</t>
        </is>
      </c>
      <c r="G353" t="inlineStr">
        <is>
          <t>BOTSHELO</t>
        </is>
      </c>
      <c r="H353" t="inlineStr">
        <is>
          <t>MATHE</t>
        </is>
      </c>
      <c r="J353" t="inlineStr">
        <is>
          <t>NA</t>
        </is>
      </c>
      <c r="K353" t="inlineStr">
        <is>
          <t>No Answer Autodial</t>
        </is>
      </c>
      <c r="L353" t="n">
        <v>5</v>
      </c>
      <c r="M353" t="inlineStr">
        <is>
          <t>2026-06-29 13:36:12</t>
        </is>
      </c>
      <c r="N353" t="inlineStr">
        <is>
          <t>system</t>
        </is>
      </c>
      <c r="O353" t="inlineStr">
        <is>
          <t>2026-06-17 14:10:06</t>
        </is>
      </c>
      <c r="P353" t="inlineStr">
        <is>
          <t>2026-06-17 14:10:06</t>
        </is>
      </c>
      <c r="Y353" t="inlineStr">
        <is>
          <t>27608339467</t>
        </is>
      </c>
    </row>
    <row r="354">
      <c r="A354" t="inlineStr">
        <is>
          <t>14920730</t>
        </is>
      </c>
      <c r="B354" t="inlineStr">
        <is>
          <t>541df294-bffb-459f-9dd4-8a22eb02e260</t>
        </is>
      </c>
      <c r="D354" t="inlineStr">
        <is>
          <t>111111124</t>
        </is>
      </c>
      <c r="E354" t="inlineStr">
        <is>
          <t>Vodacom Life 20260617</t>
        </is>
      </c>
      <c r="G354" t="inlineStr">
        <is>
          <t>JEFFREY</t>
        </is>
      </c>
      <c r="H354" t="inlineStr">
        <is>
          <t>SENDE</t>
        </is>
      </c>
      <c r="J354" t="inlineStr">
        <is>
          <t>AA</t>
        </is>
      </c>
      <c r="K354" t="inlineStr">
        <is>
          <t>Answering Machine Autodial</t>
        </is>
      </c>
      <c r="L354" t="n">
        <v>5</v>
      </c>
      <c r="M354" t="inlineStr">
        <is>
          <t>2026-06-29 13:36:12</t>
        </is>
      </c>
      <c r="N354" t="inlineStr">
        <is>
          <t>system</t>
        </is>
      </c>
      <c r="O354" t="inlineStr">
        <is>
          <t>2026-06-17 14:10:06</t>
        </is>
      </c>
      <c r="P354" t="inlineStr">
        <is>
          <t>2026-06-17 14:10:06</t>
        </is>
      </c>
      <c r="Y354" t="inlineStr">
        <is>
          <t>27712548282</t>
        </is>
      </c>
    </row>
    <row r="355">
      <c r="A355" t="inlineStr">
        <is>
          <t>14920733</t>
        </is>
      </c>
      <c r="B355" t="inlineStr">
        <is>
          <t>cba2c921-60b8-4c52-9e8f-32b9f4a584f6</t>
        </is>
      </c>
      <c r="D355" t="inlineStr">
        <is>
          <t>111111124</t>
        </is>
      </c>
      <c r="E355" t="inlineStr">
        <is>
          <t>Vodacom Life 20260617</t>
        </is>
      </c>
      <c r="G355" t="inlineStr">
        <is>
          <t>JOHAN</t>
        </is>
      </c>
      <c r="H355" t="inlineStr">
        <is>
          <t>WATKINS</t>
        </is>
      </c>
      <c r="J355" t="inlineStr">
        <is>
          <t>NA</t>
        </is>
      </c>
      <c r="K355" t="inlineStr">
        <is>
          <t>No Answer Autodial</t>
        </is>
      </c>
      <c r="L355" t="n">
        <v>5</v>
      </c>
      <c r="M355" t="inlineStr">
        <is>
          <t>2026-06-29 13:36:12</t>
        </is>
      </c>
      <c r="N355" t="inlineStr">
        <is>
          <t>system</t>
        </is>
      </c>
      <c r="O355" t="inlineStr">
        <is>
          <t>2026-06-17 14:10:06</t>
        </is>
      </c>
      <c r="P355" t="inlineStr">
        <is>
          <t>2026-06-17 14:10:06</t>
        </is>
      </c>
      <c r="Y355" t="inlineStr">
        <is>
          <t>27765908772</t>
        </is>
      </c>
    </row>
    <row r="356">
      <c r="A356" t="inlineStr">
        <is>
          <t>14920729</t>
        </is>
      </c>
      <c r="B356" t="inlineStr">
        <is>
          <t>13b01b23-ad13-437f-8195-b9b5def34159</t>
        </is>
      </c>
      <c r="D356" t="inlineStr">
        <is>
          <t>111111124</t>
        </is>
      </c>
      <c r="E356" t="inlineStr">
        <is>
          <t>Vodacom Life 20260617</t>
        </is>
      </c>
      <c r="G356" t="inlineStr">
        <is>
          <t>LILIAN</t>
        </is>
      </c>
      <c r="H356" t="inlineStr">
        <is>
          <t>MATHEBULA</t>
        </is>
      </c>
      <c r="J356" t="inlineStr">
        <is>
          <t>AE</t>
        </is>
      </c>
      <c r="K356" t="inlineStr">
        <is>
          <t>Auto Engaged</t>
        </is>
      </c>
      <c r="L356" t="n">
        <v>5</v>
      </c>
      <c r="M356" t="inlineStr">
        <is>
          <t>2026-06-29 13:36:11</t>
        </is>
      </c>
      <c r="N356" t="inlineStr">
        <is>
          <t>system</t>
        </is>
      </c>
      <c r="O356" t="inlineStr">
        <is>
          <t>2026-06-17 14:10:06</t>
        </is>
      </c>
      <c r="P356" t="inlineStr">
        <is>
          <t>2026-06-17 14:10:06</t>
        </is>
      </c>
      <c r="Y356" t="inlineStr">
        <is>
          <t>27820865479</t>
        </is>
      </c>
    </row>
    <row r="357">
      <c r="A357" t="inlineStr">
        <is>
          <t>14920832</t>
        </is>
      </c>
      <c r="B357" t="inlineStr">
        <is>
          <t>bf2bf8c3-f2d4-4879-9252-b1e5031bebed</t>
        </is>
      </c>
      <c r="D357" t="inlineStr">
        <is>
          <t>111111124</t>
        </is>
      </c>
      <c r="E357" t="inlineStr">
        <is>
          <t>Vodacom Life 20260617</t>
        </is>
      </c>
      <c r="G357" t="inlineStr">
        <is>
          <t>MOTLALEPULE</t>
        </is>
      </c>
      <c r="H357" t="inlineStr">
        <is>
          <t>GOPANE</t>
        </is>
      </c>
      <c r="J357" t="inlineStr">
        <is>
          <t>CU</t>
        </is>
      </c>
      <c r="K357" t="inlineStr">
        <is>
          <t>Client Hung Up</t>
        </is>
      </c>
      <c r="L357" t="n">
        <v>5</v>
      </c>
      <c r="M357" t="inlineStr">
        <is>
          <t>2026-06-29 13:35:45</t>
        </is>
      </c>
      <c r="N357" t="inlineStr">
        <is>
          <t>Vanessa Kekana</t>
        </is>
      </c>
      <c r="O357" t="inlineStr">
        <is>
          <t>2026-06-17 14:10:06</t>
        </is>
      </c>
      <c r="P357" t="inlineStr">
        <is>
          <t>2026-06-17 14:10:06</t>
        </is>
      </c>
      <c r="Y357" t="inlineStr">
        <is>
          <t>27760109129</t>
        </is>
      </c>
    </row>
    <row r="358">
      <c r="A358" t="inlineStr">
        <is>
          <t>14900000</t>
        </is>
      </c>
      <c r="B358" t="inlineStr">
        <is>
          <t>e3223c1d-9b23-4748-bc0c-bf6afae6ffa6</t>
        </is>
      </c>
      <c r="D358" t="inlineStr">
        <is>
          <t>111111124</t>
        </is>
      </c>
      <c r="E358" t="inlineStr">
        <is>
          <t>Vodacom Life 20260617</t>
        </is>
      </c>
      <c r="G358" t="inlineStr">
        <is>
          <t>N</t>
        </is>
      </c>
      <c r="H358" t="inlineStr">
        <is>
          <t>IVANOVIC</t>
        </is>
      </c>
      <c r="J358" t="inlineStr">
        <is>
          <t>AA</t>
        </is>
      </c>
      <c r="K358" t="inlineStr">
        <is>
          <t>Answering Machine Autodial</t>
        </is>
      </c>
      <c r="L358" t="n">
        <v>5</v>
      </c>
      <c r="M358" t="inlineStr">
        <is>
          <t>2026-06-29 13:35:41</t>
        </is>
      </c>
      <c r="N358" t="inlineStr">
        <is>
          <t>system</t>
        </is>
      </c>
      <c r="O358" t="inlineStr">
        <is>
          <t>2026-06-17 14:10:06</t>
        </is>
      </c>
      <c r="P358" t="inlineStr">
        <is>
          <t>2026-06-17 14:10:06</t>
        </is>
      </c>
      <c r="Y358" t="inlineStr">
        <is>
          <t>27828081483</t>
        </is>
      </c>
    </row>
    <row r="359">
      <c r="A359" t="inlineStr">
        <is>
          <t>14920737</t>
        </is>
      </c>
      <c r="B359" t="inlineStr">
        <is>
          <t>8cf84584-763f-4e77-88a0-459cb3177080</t>
        </is>
      </c>
      <c r="D359" t="inlineStr">
        <is>
          <t>111111124</t>
        </is>
      </c>
      <c r="E359" t="inlineStr">
        <is>
          <t>Vodacom Life 20260617</t>
        </is>
      </c>
      <c r="G359" t="inlineStr">
        <is>
          <t>GEORGE</t>
        </is>
      </c>
      <c r="H359" t="inlineStr">
        <is>
          <t>NKUNA</t>
        </is>
      </c>
      <c r="J359" t="inlineStr">
        <is>
          <t>CU</t>
        </is>
      </c>
      <c r="K359" t="inlineStr">
        <is>
          <t>Client Hung Up</t>
        </is>
      </c>
      <c r="L359" t="n">
        <v>5</v>
      </c>
      <c r="M359" t="inlineStr">
        <is>
          <t>2026-06-29 13:35:41</t>
        </is>
      </c>
      <c r="N359" t="inlineStr">
        <is>
          <t>Vanessa Kekana</t>
        </is>
      </c>
      <c r="O359" t="inlineStr">
        <is>
          <t>2026-06-17 14:10:06</t>
        </is>
      </c>
      <c r="P359" t="inlineStr">
        <is>
          <t>2026-06-17 14:10:06</t>
        </is>
      </c>
      <c r="Y359" t="inlineStr">
        <is>
          <t>27762634216</t>
        </is>
      </c>
    </row>
    <row r="360">
      <c r="A360" t="inlineStr">
        <is>
          <t>14920741</t>
        </is>
      </c>
      <c r="B360" t="inlineStr">
        <is>
          <t>f2ab3f23-6408-4543-a9fd-9eaa6831ac29</t>
        </is>
      </c>
      <c r="D360" t="inlineStr">
        <is>
          <t>111111124</t>
        </is>
      </c>
      <c r="E360" t="inlineStr">
        <is>
          <t>Vodacom Life 20260617</t>
        </is>
      </c>
      <c r="G360" t="inlineStr">
        <is>
          <t>NATALIE</t>
        </is>
      </c>
      <c r="H360" t="inlineStr">
        <is>
          <t>MITTON</t>
        </is>
      </c>
      <c r="J360" t="inlineStr">
        <is>
          <t>AA</t>
        </is>
      </c>
      <c r="K360" t="inlineStr">
        <is>
          <t>Answering Machine Autodial</t>
        </is>
      </c>
      <c r="L360" t="n">
        <v>5</v>
      </c>
      <c r="M360" t="inlineStr">
        <is>
          <t>2026-06-29 13:35:27</t>
        </is>
      </c>
      <c r="N360" t="inlineStr">
        <is>
          <t>system</t>
        </is>
      </c>
      <c r="O360" t="inlineStr">
        <is>
          <t>2026-06-17 14:10:06</t>
        </is>
      </c>
      <c r="P360" t="inlineStr">
        <is>
          <t>2026-06-17 14:10:06</t>
        </is>
      </c>
      <c r="Y360" t="inlineStr">
        <is>
          <t>27724941922</t>
        </is>
      </c>
    </row>
    <row r="361">
      <c r="A361" t="inlineStr">
        <is>
          <t>14921361</t>
        </is>
      </c>
      <c r="B361" t="inlineStr">
        <is>
          <t>caa46e60-d7d8-4b06-ba3e-130bec81c3f7</t>
        </is>
      </c>
      <c r="D361" t="inlineStr">
        <is>
          <t>111111124</t>
        </is>
      </c>
      <c r="E361" t="inlineStr">
        <is>
          <t>Vodacom Life 20260617</t>
        </is>
      </c>
      <c r="G361" t="inlineStr">
        <is>
          <t>CAVERN</t>
        </is>
      </c>
      <c r="H361" t="inlineStr">
        <is>
          <t>THOBEJANE</t>
        </is>
      </c>
      <c r="J361" t="inlineStr">
        <is>
          <t>CU</t>
        </is>
      </c>
      <c r="K361" t="inlineStr">
        <is>
          <t>Client Hung Up</t>
        </is>
      </c>
      <c r="L361" t="n">
        <v>5</v>
      </c>
      <c r="M361" t="inlineStr">
        <is>
          <t>2026-06-29 13:35:26</t>
        </is>
      </c>
      <c r="N361" t="inlineStr">
        <is>
          <t>Vanessa Kekana</t>
        </is>
      </c>
      <c r="O361" t="inlineStr">
        <is>
          <t>2026-06-17 14:10:06</t>
        </is>
      </c>
      <c r="P361" t="inlineStr">
        <is>
          <t>2026-06-17 14:10:06</t>
        </is>
      </c>
      <c r="Y361" t="inlineStr">
        <is>
          <t>27761899243</t>
        </is>
      </c>
    </row>
    <row r="362">
      <c r="A362" t="inlineStr">
        <is>
          <t>14920743</t>
        </is>
      </c>
      <c r="B362" t="inlineStr">
        <is>
          <t>e55c5224-14cd-4d04-befa-3a0ba3a3d87c</t>
        </is>
      </c>
      <c r="D362" t="inlineStr">
        <is>
          <t>111111124</t>
        </is>
      </c>
      <c r="E362" t="inlineStr">
        <is>
          <t>Vodacom Life 20260617</t>
        </is>
      </c>
      <c r="G362" t="inlineStr">
        <is>
          <t>SHAWN</t>
        </is>
      </c>
      <c r="H362" t="inlineStr">
        <is>
          <t>VILJOEN</t>
        </is>
      </c>
      <c r="J362" t="inlineStr">
        <is>
          <t>AA</t>
        </is>
      </c>
      <c r="K362" t="inlineStr">
        <is>
          <t>Answering Machine Autodial</t>
        </is>
      </c>
      <c r="L362" t="n">
        <v>5</v>
      </c>
      <c r="M362" t="inlineStr">
        <is>
          <t>2026-06-29 13:35:21</t>
        </is>
      </c>
      <c r="N362" t="inlineStr">
        <is>
          <t>system</t>
        </is>
      </c>
      <c r="O362" t="inlineStr">
        <is>
          <t>2026-06-17 14:10:06</t>
        </is>
      </c>
      <c r="P362" t="inlineStr">
        <is>
          <t>2026-06-17 14:10:06</t>
        </is>
      </c>
      <c r="Y362" t="inlineStr">
        <is>
          <t>27794555193</t>
        </is>
      </c>
    </row>
    <row r="363">
      <c r="A363" t="inlineStr">
        <is>
          <t>14921586</t>
        </is>
      </c>
      <c r="B363" t="inlineStr">
        <is>
          <t>5d121052-e20a-45a8-88ba-0022a596d75b</t>
        </is>
      </c>
      <c r="D363" t="inlineStr">
        <is>
          <t>111111124</t>
        </is>
      </c>
      <c r="E363" t="inlineStr">
        <is>
          <t>Vodacom Life 20260617</t>
        </is>
      </c>
      <c r="G363" t="inlineStr">
        <is>
          <t>SISANDA</t>
        </is>
      </c>
      <c r="H363" t="inlineStr">
        <is>
          <t>MLONDLENI</t>
        </is>
      </c>
      <c r="J363" t="inlineStr">
        <is>
          <t>DROP</t>
        </is>
      </c>
      <c r="K363" t="inlineStr">
        <is>
          <t>Dropped</t>
        </is>
      </c>
      <c r="L363" t="n">
        <v>5</v>
      </c>
      <c r="M363" t="inlineStr">
        <is>
          <t>2026-06-29 13:35:21</t>
        </is>
      </c>
      <c r="N363" t="inlineStr">
        <is>
          <t>system</t>
        </is>
      </c>
      <c r="O363" t="inlineStr">
        <is>
          <t>2026-06-17 14:10:06</t>
        </is>
      </c>
      <c r="P363" t="inlineStr">
        <is>
          <t>2026-06-17 14:10:06</t>
        </is>
      </c>
      <c r="Y363" t="inlineStr">
        <is>
          <t>27734292730</t>
        </is>
      </c>
    </row>
    <row r="364">
      <c r="A364" t="inlineStr">
        <is>
          <t>14920744</t>
        </is>
      </c>
      <c r="B364" t="inlineStr">
        <is>
          <t>49c285b4-42c3-4262-a9cd-dd5bfb94c32e</t>
        </is>
      </c>
      <c r="D364" t="inlineStr">
        <is>
          <t>111111124</t>
        </is>
      </c>
      <c r="E364" t="inlineStr">
        <is>
          <t>Vodacom Life 20260617</t>
        </is>
      </c>
      <c r="G364" t="inlineStr">
        <is>
          <t>SAMANTHA</t>
        </is>
      </c>
      <c r="H364" t="inlineStr">
        <is>
          <t>NAIDOO</t>
        </is>
      </c>
      <c r="J364" t="inlineStr">
        <is>
          <t>AE</t>
        </is>
      </c>
      <c r="K364" t="inlineStr">
        <is>
          <t>Auto Engaged</t>
        </is>
      </c>
      <c r="L364" t="n">
        <v>5</v>
      </c>
      <c r="M364" t="inlineStr">
        <is>
          <t>2026-06-29 13:35:17</t>
        </is>
      </c>
      <c r="N364" t="inlineStr">
        <is>
          <t>system</t>
        </is>
      </c>
      <c r="O364" t="inlineStr">
        <is>
          <t>2026-06-17 14:10:06</t>
        </is>
      </c>
      <c r="P364" t="inlineStr">
        <is>
          <t>2026-06-17 14:10:06</t>
        </is>
      </c>
      <c r="Y364" t="inlineStr">
        <is>
          <t>27827686554</t>
        </is>
      </c>
    </row>
    <row r="365">
      <c r="A365" t="inlineStr">
        <is>
          <t>14920747</t>
        </is>
      </c>
      <c r="B365" t="inlineStr">
        <is>
          <t>ad849154-9735-481e-803b-57cf8ddff522</t>
        </is>
      </c>
      <c r="D365" t="inlineStr">
        <is>
          <t>111111124</t>
        </is>
      </c>
      <c r="E365" t="inlineStr">
        <is>
          <t>Vodacom Life 20260617</t>
        </is>
      </c>
      <c r="G365" t="inlineStr">
        <is>
          <t>ABSALOM</t>
        </is>
      </c>
      <c r="H365" t="inlineStr">
        <is>
          <t>NTOMBELA</t>
        </is>
      </c>
      <c r="J365" t="inlineStr">
        <is>
          <t>AE</t>
        </is>
      </c>
      <c r="K365" t="inlineStr">
        <is>
          <t>Auto Engaged</t>
        </is>
      </c>
      <c r="L365" t="n">
        <v>5</v>
      </c>
      <c r="M365" t="inlineStr">
        <is>
          <t>2026-06-29 13:35:17</t>
        </is>
      </c>
      <c r="N365" t="inlineStr">
        <is>
          <t>system</t>
        </is>
      </c>
      <c r="O365" t="inlineStr">
        <is>
          <t>2026-06-17 14:10:06</t>
        </is>
      </c>
      <c r="P365" t="inlineStr">
        <is>
          <t>2026-06-17 14:10:06</t>
        </is>
      </c>
      <c r="Y365" t="inlineStr">
        <is>
          <t>27723911808</t>
        </is>
      </c>
    </row>
    <row r="366">
      <c r="A366" t="inlineStr">
        <is>
          <t>14920748</t>
        </is>
      </c>
      <c r="B366" t="inlineStr">
        <is>
          <t>5b668132-3f5a-4f4a-8d76-887bbe06738d</t>
        </is>
      </c>
      <c r="D366" t="inlineStr">
        <is>
          <t>111111124</t>
        </is>
      </c>
      <c r="E366" t="inlineStr">
        <is>
          <t>Vodacom Life 20260617</t>
        </is>
      </c>
      <c r="G366" t="inlineStr">
        <is>
          <t>TEBOGO</t>
        </is>
      </c>
      <c r="H366" t="inlineStr">
        <is>
          <t>RADIKELEDI</t>
        </is>
      </c>
      <c r="J366" t="inlineStr">
        <is>
          <t>AE</t>
        </is>
      </c>
      <c r="K366" t="inlineStr">
        <is>
          <t>Auto Engaged</t>
        </is>
      </c>
      <c r="L366" t="n">
        <v>5</v>
      </c>
      <c r="M366" t="inlineStr">
        <is>
          <t>2026-06-29 13:35:15</t>
        </is>
      </c>
      <c r="N366" t="inlineStr">
        <is>
          <t>system</t>
        </is>
      </c>
      <c r="O366" t="inlineStr">
        <is>
          <t>2026-06-17 14:10:06</t>
        </is>
      </c>
      <c r="P366" t="inlineStr">
        <is>
          <t>2026-06-17 14:10:06</t>
        </is>
      </c>
      <c r="Y366" t="inlineStr">
        <is>
          <t>27665831769</t>
        </is>
      </c>
    </row>
    <row r="367">
      <c r="A367" t="inlineStr">
        <is>
          <t>14920831</t>
        </is>
      </c>
      <c r="B367" t="inlineStr">
        <is>
          <t>cb7b4a3e-f771-4057-9fdb-3ae87fe6775e</t>
        </is>
      </c>
      <c r="D367" t="inlineStr">
        <is>
          <t>111111124</t>
        </is>
      </c>
      <c r="E367" t="inlineStr">
        <is>
          <t>Vodacom Life 20260617</t>
        </is>
      </c>
      <c r="G367" t="inlineStr">
        <is>
          <t>ADOLF</t>
        </is>
      </c>
      <c r="H367" t="inlineStr">
        <is>
          <t>MOKOENA</t>
        </is>
      </c>
      <c r="J367" t="inlineStr">
        <is>
          <t>AE</t>
        </is>
      </c>
      <c r="K367" t="inlineStr">
        <is>
          <t>Auto Engaged</t>
        </is>
      </c>
      <c r="L367" t="n">
        <v>5</v>
      </c>
      <c r="M367" t="inlineStr">
        <is>
          <t>2026-06-29 13:35:15</t>
        </is>
      </c>
      <c r="N367" t="inlineStr">
        <is>
          <t>system</t>
        </is>
      </c>
      <c r="O367" t="inlineStr">
        <is>
          <t>2026-06-17 14:10:06</t>
        </is>
      </c>
      <c r="P367" t="inlineStr">
        <is>
          <t>2026-06-17 14:10:06</t>
        </is>
      </c>
      <c r="Y367" t="inlineStr">
        <is>
          <t>27795467990</t>
        </is>
      </c>
    </row>
    <row r="368">
      <c r="A368" t="inlineStr">
        <is>
          <t>14920833</t>
        </is>
      </c>
      <c r="B368" t="inlineStr">
        <is>
          <t>6e8b9c45-25d3-4019-9478-e3a8c11c45bb</t>
        </is>
      </c>
      <c r="D368" t="inlineStr">
        <is>
          <t>111111124</t>
        </is>
      </c>
      <c r="E368" t="inlineStr">
        <is>
          <t>Vodacom Life 20260617</t>
        </is>
      </c>
      <c r="G368" t="inlineStr">
        <is>
          <t>VEDANTHI</t>
        </is>
      </c>
      <c r="H368" t="inlineStr">
        <is>
          <t>MOODLEY</t>
        </is>
      </c>
      <c r="J368" t="inlineStr">
        <is>
          <t>AA</t>
        </is>
      </c>
      <c r="K368" t="inlineStr">
        <is>
          <t>Answering Machine Autodial</t>
        </is>
      </c>
      <c r="L368" t="n">
        <v>5</v>
      </c>
      <c r="M368" t="inlineStr">
        <is>
          <t>2026-06-29 13:35:15</t>
        </is>
      </c>
      <c r="N368" t="inlineStr">
        <is>
          <t>system</t>
        </is>
      </c>
      <c r="O368" t="inlineStr">
        <is>
          <t>2026-06-17 14:10:06</t>
        </is>
      </c>
      <c r="P368" t="inlineStr">
        <is>
          <t>2026-06-17 14:10:06</t>
        </is>
      </c>
      <c r="Y368" t="inlineStr">
        <is>
          <t>27761444839</t>
        </is>
      </c>
    </row>
    <row r="369">
      <c r="A369" t="inlineStr">
        <is>
          <t>14920834</t>
        </is>
      </c>
      <c r="B369" t="inlineStr">
        <is>
          <t>5a1f1f88-b81a-4bfa-b849-9650d6a9e8ef</t>
        </is>
      </c>
      <c r="D369" t="inlineStr">
        <is>
          <t>111111124</t>
        </is>
      </c>
      <c r="E369" t="inlineStr">
        <is>
          <t>Vodacom Life 20260617</t>
        </is>
      </c>
      <c r="G369" t="inlineStr">
        <is>
          <t>MATTHEW</t>
        </is>
      </c>
      <c r="H369" t="inlineStr">
        <is>
          <t>OOSTHUIZEN</t>
        </is>
      </c>
      <c r="J369" t="inlineStr">
        <is>
          <t>DROP</t>
        </is>
      </c>
      <c r="K369" t="inlineStr">
        <is>
          <t>Dropped</t>
        </is>
      </c>
      <c r="L369" t="n">
        <v>5</v>
      </c>
      <c r="M369" t="inlineStr">
        <is>
          <t>2026-06-29 13:34:53</t>
        </is>
      </c>
      <c r="N369" t="inlineStr">
        <is>
          <t>system</t>
        </is>
      </c>
      <c r="O369" t="inlineStr">
        <is>
          <t>2026-06-17 14:10:06</t>
        </is>
      </c>
      <c r="P369" t="inlineStr">
        <is>
          <t>2026-06-17 14:10:06</t>
        </is>
      </c>
      <c r="Y369" t="inlineStr">
        <is>
          <t>27729023573</t>
        </is>
      </c>
    </row>
    <row r="370">
      <c r="A370" t="inlineStr">
        <is>
          <t>14920835</t>
        </is>
      </c>
      <c r="B370" t="inlineStr">
        <is>
          <t>243246ff-519c-4071-8e67-8f209e7ed943</t>
        </is>
      </c>
      <c r="D370" t="inlineStr">
        <is>
          <t>111111124</t>
        </is>
      </c>
      <c r="E370" t="inlineStr">
        <is>
          <t>Vodacom Life 20260617</t>
        </is>
      </c>
      <c r="G370" t="inlineStr">
        <is>
          <t>SAKHIWO</t>
        </is>
      </c>
      <c r="H370" t="inlineStr">
        <is>
          <t>MEHLO</t>
        </is>
      </c>
      <c r="J370" t="inlineStr">
        <is>
          <t>AA</t>
        </is>
      </c>
      <c r="K370" t="inlineStr">
        <is>
          <t>Answering Machine Autodial</t>
        </is>
      </c>
      <c r="L370" t="n">
        <v>5</v>
      </c>
      <c r="M370" t="inlineStr">
        <is>
          <t>2026-06-29 13:34:53</t>
        </is>
      </c>
      <c r="N370" t="inlineStr">
        <is>
          <t>system</t>
        </is>
      </c>
      <c r="O370" t="inlineStr">
        <is>
          <t>2026-06-17 14:10:06</t>
        </is>
      </c>
      <c r="P370" t="inlineStr">
        <is>
          <t>2026-06-17 14:10:06</t>
        </is>
      </c>
      <c r="Y370" t="inlineStr">
        <is>
          <t>27827221461</t>
        </is>
      </c>
    </row>
    <row r="371">
      <c r="A371" t="inlineStr">
        <is>
          <t>14920836</t>
        </is>
      </c>
      <c r="B371" t="inlineStr">
        <is>
          <t>00a010e7-c88f-409c-9a41-e5153ae23fa4</t>
        </is>
      </c>
      <c r="D371" t="inlineStr">
        <is>
          <t>111111124</t>
        </is>
      </c>
      <c r="E371" t="inlineStr">
        <is>
          <t>Vodacom Life 20260617</t>
        </is>
      </c>
      <c r="G371" t="inlineStr">
        <is>
          <t>THOMAS</t>
        </is>
      </c>
      <c r="H371" t="inlineStr">
        <is>
          <t>WRIGHT</t>
        </is>
      </c>
      <c r="J371" t="inlineStr">
        <is>
          <t>AC</t>
        </is>
      </c>
      <c r="K371" t="inlineStr">
        <is>
          <t>Already Contacted</t>
        </is>
      </c>
      <c r="L371" t="n">
        <v>5</v>
      </c>
      <c r="M371" t="inlineStr">
        <is>
          <t>2026-06-29 13:34:53</t>
        </is>
      </c>
      <c r="N371" t="inlineStr">
        <is>
          <t>Maureen Ntsoko</t>
        </is>
      </c>
      <c r="O371" t="inlineStr">
        <is>
          <t>2026-06-17 14:10:06</t>
        </is>
      </c>
      <c r="P371" t="inlineStr">
        <is>
          <t>2026-06-17 14:10:06</t>
        </is>
      </c>
      <c r="Y371" t="inlineStr">
        <is>
          <t>27649091806</t>
        </is>
      </c>
    </row>
    <row r="372">
      <c r="A372" t="inlineStr">
        <is>
          <t>14920837</t>
        </is>
      </c>
      <c r="B372" t="inlineStr">
        <is>
          <t>8b54e614-4523-4080-9c88-3e733c41e11f</t>
        </is>
      </c>
      <c r="D372" t="inlineStr">
        <is>
          <t>111111124</t>
        </is>
      </c>
      <c r="E372" t="inlineStr">
        <is>
          <t>Vodacom Life 20260617</t>
        </is>
      </c>
      <c r="G372" t="inlineStr">
        <is>
          <t>KYLIN</t>
        </is>
      </c>
      <c r="H372" t="inlineStr">
        <is>
          <t>KRSHNESAMY</t>
        </is>
      </c>
      <c r="J372" t="inlineStr">
        <is>
          <t>DROP</t>
        </is>
      </c>
      <c r="K372" t="inlineStr">
        <is>
          <t>Dropped</t>
        </is>
      </c>
      <c r="L372" t="n">
        <v>5</v>
      </c>
      <c r="M372" t="inlineStr">
        <is>
          <t>2026-06-29 13:34:53</t>
        </is>
      </c>
      <c r="N372" t="inlineStr">
        <is>
          <t>system</t>
        </is>
      </c>
      <c r="O372" t="inlineStr">
        <is>
          <t>2026-06-17 14:10:06</t>
        </is>
      </c>
      <c r="P372" t="inlineStr">
        <is>
          <t>2026-06-17 14:10:06</t>
        </is>
      </c>
      <c r="Y372" t="inlineStr">
        <is>
          <t>27823256890</t>
        </is>
      </c>
    </row>
    <row r="373">
      <c r="A373" t="inlineStr">
        <is>
          <t>14920838</t>
        </is>
      </c>
      <c r="B373" t="inlineStr">
        <is>
          <t>4ceb56b2-9a4a-4de2-a9f8-c8946db27c6f</t>
        </is>
      </c>
      <c r="D373" t="inlineStr">
        <is>
          <t>111111124</t>
        </is>
      </c>
      <c r="E373" t="inlineStr">
        <is>
          <t>Vodacom Life 20260617</t>
        </is>
      </c>
      <c r="G373" t="inlineStr">
        <is>
          <t>ADRIAAN</t>
        </is>
      </c>
      <c r="H373" t="inlineStr">
        <is>
          <t>VORSTER</t>
        </is>
      </c>
      <c r="J373" t="inlineStr">
        <is>
          <t>ADC</t>
        </is>
      </c>
      <c r="K373" t="inlineStr">
        <is>
          <t>Auto Dial Disconnected</t>
        </is>
      </c>
      <c r="L373" t="n">
        <v>5</v>
      </c>
      <c r="M373" t="inlineStr">
        <is>
          <t>2026-06-29 13:34:30</t>
        </is>
      </c>
      <c r="N373" t="inlineStr">
        <is>
          <t>system</t>
        </is>
      </c>
      <c r="O373" t="inlineStr">
        <is>
          <t>2026-06-17 14:10:06</t>
        </is>
      </c>
      <c r="P373" t="inlineStr">
        <is>
          <t>2026-06-17 14:10:06</t>
        </is>
      </c>
      <c r="Y373" t="inlineStr">
        <is>
          <t>27608784125</t>
        </is>
      </c>
    </row>
    <row r="374">
      <c r="A374" t="inlineStr">
        <is>
          <t>14920843</t>
        </is>
      </c>
      <c r="B374" t="inlineStr">
        <is>
          <t>e3b62856-503d-4789-8ceb-f0df8b4b0c13</t>
        </is>
      </c>
      <c r="D374" t="inlineStr">
        <is>
          <t>111111124</t>
        </is>
      </c>
      <c r="E374" t="inlineStr">
        <is>
          <t>Vodacom Life 20260617</t>
        </is>
      </c>
      <c r="G374" t="inlineStr">
        <is>
          <t>MPHO</t>
        </is>
      </c>
      <c r="H374" t="inlineStr">
        <is>
          <t>THULO</t>
        </is>
      </c>
      <c r="J374" t="inlineStr">
        <is>
          <t>DROP</t>
        </is>
      </c>
      <c r="K374" t="inlineStr">
        <is>
          <t>Dropped</t>
        </is>
      </c>
      <c r="L374" t="n">
        <v>5</v>
      </c>
      <c r="M374" t="inlineStr">
        <is>
          <t>2026-06-29 13:34:30</t>
        </is>
      </c>
      <c r="N374" t="inlineStr">
        <is>
          <t>system</t>
        </is>
      </c>
      <c r="O374" t="inlineStr">
        <is>
          <t>2026-06-17 14:10:06</t>
        </is>
      </c>
      <c r="P374" t="inlineStr">
        <is>
          <t>2026-06-17 14:10:06</t>
        </is>
      </c>
      <c r="Y374" t="inlineStr">
        <is>
          <t>27829619898</t>
        </is>
      </c>
    </row>
    <row r="375">
      <c r="A375" t="inlineStr">
        <is>
          <t>14920844</t>
        </is>
      </c>
      <c r="B375" t="inlineStr">
        <is>
          <t>51052373-75ad-4382-bf6a-0c95a7bff5bf</t>
        </is>
      </c>
      <c r="D375" t="inlineStr">
        <is>
          <t>111111124</t>
        </is>
      </c>
      <c r="E375" t="inlineStr">
        <is>
          <t>Vodacom Life 20260617</t>
        </is>
      </c>
      <c r="G375" t="inlineStr">
        <is>
          <t>ONKE</t>
        </is>
      </c>
      <c r="H375" t="inlineStr">
        <is>
          <t>MKULA</t>
        </is>
      </c>
      <c r="J375" t="inlineStr">
        <is>
          <t>NA</t>
        </is>
      </c>
      <c r="K375" t="inlineStr">
        <is>
          <t>No Answer Autodial</t>
        </is>
      </c>
      <c r="L375" t="n">
        <v>5</v>
      </c>
      <c r="M375" t="inlineStr">
        <is>
          <t>2026-06-29 13:34:30</t>
        </is>
      </c>
      <c r="N375" t="inlineStr">
        <is>
          <t>system</t>
        </is>
      </c>
      <c r="O375" t="inlineStr">
        <is>
          <t>2026-06-17 14:10:06</t>
        </is>
      </c>
      <c r="P375" t="inlineStr">
        <is>
          <t>2026-06-17 14:10:06</t>
        </is>
      </c>
      <c r="Y375" t="inlineStr">
        <is>
          <t>27636907877</t>
        </is>
      </c>
    </row>
    <row r="376">
      <c r="A376" t="inlineStr">
        <is>
          <t>14921591</t>
        </is>
      </c>
      <c r="B376" t="inlineStr">
        <is>
          <t>bcfded55-9d21-4d1f-a87e-22335802e66a</t>
        </is>
      </c>
      <c r="D376" t="inlineStr">
        <is>
          <t>111111124</t>
        </is>
      </c>
      <c r="E376" t="inlineStr">
        <is>
          <t>Vodacom Life 20260617</t>
        </is>
      </c>
      <c r="G376" t="inlineStr">
        <is>
          <t>AUDREY</t>
        </is>
      </c>
      <c r="H376" t="inlineStr">
        <is>
          <t>CHETTY</t>
        </is>
      </c>
      <c r="J376" t="inlineStr">
        <is>
          <t>AA</t>
        </is>
      </c>
      <c r="K376" t="inlineStr">
        <is>
          <t>Answering Machine Autodial</t>
        </is>
      </c>
      <c r="L376" t="n">
        <v>5</v>
      </c>
      <c r="M376" t="inlineStr">
        <is>
          <t>2026-06-29 13:34:29</t>
        </is>
      </c>
      <c r="N376" t="inlineStr">
        <is>
          <t>system</t>
        </is>
      </c>
      <c r="O376" t="inlineStr">
        <is>
          <t>2026-06-17 14:10:06</t>
        </is>
      </c>
      <c r="P376" t="inlineStr">
        <is>
          <t>2026-06-17 14:10:06</t>
        </is>
      </c>
      <c r="Y376" t="inlineStr">
        <is>
          <t>27662005288</t>
        </is>
      </c>
    </row>
    <row r="377">
      <c r="A377" t="inlineStr">
        <is>
          <t>14921691</t>
        </is>
      </c>
      <c r="B377" t="inlineStr">
        <is>
          <t>b6e32082-8b1e-4006-a376-46574fffe97f</t>
        </is>
      </c>
      <c r="D377" t="inlineStr">
        <is>
          <t>111111124</t>
        </is>
      </c>
      <c r="E377" t="inlineStr">
        <is>
          <t>Vodacom Life 20260617</t>
        </is>
      </c>
      <c r="G377" t="inlineStr">
        <is>
          <t>SITHEMBILE</t>
        </is>
      </c>
      <c r="H377" t="inlineStr">
        <is>
          <t>NSIBANDE</t>
        </is>
      </c>
      <c r="J377" t="inlineStr">
        <is>
          <t>CU</t>
        </is>
      </c>
      <c r="K377" t="inlineStr">
        <is>
          <t>Client Hung Up</t>
        </is>
      </c>
      <c r="L377" t="n">
        <v>5</v>
      </c>
      <c r="M377" t="inlineStr">
        <is>
          <t>2026-06-29 13:34:29</t>
        </is>
      </c>
      <c r="N377" t="inlineStr">
        <is>
          <t>Maureen Ntsoko</t>
        </is>
      </c>
      <c r="O377" t="inlineStr">
        <is>
          <t>2026-06-17 14:10:06</t>
        </is>
      </c>
      <c r="P377" t="inlineStr">
        <is>
          <t>2026-06-17 14:10:06</t>
        </is>
      </c>
      <c r="Y377" t="inlineStr">
        <is>
          <t>27725387780</t>
        </is>
      </c>
    </row>
    <row r="378">
      <c r="A378" t="inlineStr">
        <is>
          <t>14921354</t>
        </is>
      </c>
      <c r="B378" t="inlineStr">
        <is>
          <t>0f9c9485-e6a8-472d-96ee-a77f636a6fe1</t>
        </is>
      </c>
      <c r="D378" t="inlineStr">
        <is>
          <t>111111124</t>
        </is>
      </c>
      <c r="E378" t="inlineStr">
        <is>
          <t>Vodacom Life 20260617</t>
        </is>
      </c>
      <c r="G378" t="inlineStr">
        <is>
          <t>MATIRO</t>
        </is>
      </c>
      <c r="H378" t="inlineStr">
        <is>
          <t>KGANYAGO</t>
        </is>
      </c>
      <c r="J378" t="inlineStr">
        <is>
          <t>DROP</t>
        </is>
      </c>
      <c r="K378" t="inlineStr">
        <is>
          <t>Dropped</t>
        </is>
      </c>
      <c r="L378" t="n">
        <v>5</v>
      </c>
      <c r="M378" t="inlineStr">
        <is>
          <t>2026-06-29 13:33:17</t>
        </is>
      </c>
      <c r="N378" t="inlineStr">
        <is>
          <t>system</t>
        </is>
      </c>
      <c r="O378" t="inlineStr">
        <is>
          <t>2026-06-17 14:10:06</t>
        </is>
      </c>
      <c r="P378" t="inlineStr">
        <is>
          <t>2026-06-17 14:10:06</t>
        </is>
      </c>
      <c r="Y378" t="inlineStr">
        <is>
          <t>27662294547</t>
        </is>
      </c>
    </row>
    <row r="379">
      <c r="A379" t="inlineStr">
        <is>
          <t>14921355</t>
        </is>
      </c>
      <c r="B379" t="inlineStr">
        <is>
          <t>670a9cba-9c5a-4d0f-8dea-f7968df2346a</t>
        </is>
      </c>
      <c r="D379" t="inlineStr">
        <is>
          <t>111111124</t>
        </is>
      </c>
      <c r="E379" t="inlineStr">
        <is>
          <t>Vodacom Life 20260617</t>
        </is>
      </c>
      <c r="G379" t="inlineStr">
        <is>
          <t>THAMEENAH</t>
        </is>
      </c>
      <c r="H379" t="inlineStr">
        <is>
          <t>SOLOMON</t>
        </is>
      </c>
      <c r="J379" t="inlineStr">
        <is>
          <t>DROP</t>
        </is>
      </c>
      <c r="K379" t="inlineStr">
        <is>
          <t>Dropped</t>
        </is>
      </c>
      <c r="L379" t="n">
        <v>5</v>
      </c>
      <c r="M379" t="inlineStr">
        <is>
          <t>2026-06-29 13:33:15</t>
        </is>
      </c>
      <c r="N379" t="inlineStr">
        <is>
          <t>system</t>
        </is>
      </c>
      <c r="O379" t="inlineStr">
        <is>
          <t>2026-06-17 14:10:06</t>
        </is>
      </c>
      <c r="P379" t="inlineStr">
        <is>
          <t>2026-06-17 14:10:06</t>
        </is>
      </c>
      <c r="Y379" t="inlineStr">
        <is>
          <t>27829527603</t>
        </is>
      </c>
    </row>
    <row r="380">
      <c r="A380" t="inlineStr">
        <is>
          <t>14921356</t>
        </is>
      </c>
      <c r="B380" t="inlineStr">
        <is>
          <t>c5bfe840-92fd-41a4-b0ee-5639c0df8044</t>
        </is>
      </c>
      <c r="D380" t="inlineStr">
        <is>
          <t>111111124</t>
        </is>
      </c>
      <c r="E380" t="inlineStr">
        <is>
          <t>Vodacom Life 20260617</t>
        </is>
      </c>
      <c r="G380" t="inlineStr">
        <is>
          <t>ANNELINE</t>
        </is>
      </c>
      <c r="H380" t="inlineStr">
        <is>
          <t>BADENHORST</t>
        </is>
      </c>
      <c r="J380" t="inlineStr">
        <is>
          <t>DROP</t>
        </is>
      </c>
      <c r="K380" t="inlineStr">
        <is>
          <t>Dropped</t>
        </is>
      </c>
      <c r="L380" t="n">
        <v>5</v>
      </c>
      <c r="M380" t="inlineStr">
        <is>
          <t>2026-06-29 13:33:11</t>
        </is>
      </c>
      <c r="N380" t="inlineStr">
        <is>
          <t>system</t>
        </is>
      </c>
      <c r="O380" t="inlineStr">
        <is>
          <t>2026-06-17 14:10:06</t>
        </is>
      </c>
      <c r="P380" t="inlineStr">
        <is>
          <t>2026-06-17 14:10:06</t>
        </is>
      </c>
      <c r="Y380" t="inlineStr">
        <is>
          <t>27760729312</t>
        </is>
      </c>
    </row>
    <row r="381">
      <c r="A381" t="inlineStr">
        <is>
          <t>14921357</t>
        </is>
      </c>
      <c r="B381" t="inlineStr">
        <is>
          <t>b8744432-a27c-44c7-a86c-f32361526438</t>
        </is>
      </c>
      <c r="D381" t="inlineStr">
        <is>
          <t>111111124</t>
        </is>
      </c>
      <c r="E381" t="inlineStr">
        <is>
          <t>Vodacom Life 20260617</t>
        </is>
      </c>
      <c r="G381" t="inlineStr">
        <is>
          <t>LUZUKO</t>
        </is>
      </c>
      <c r="H381" t="inlineStr">
        <is>
          <t>VELLEM</t>
        </is>
      </c>
      <c r="J381" t="inlineStr">
        <is>
          <t>CBACK</t>
        </is>
      </c>
      <c r="K381" t="inlineStr">
        <is>
          <t>Callback</t>
        </is>
      </c>
      <c r="L381" t="n">
        <v>5</v>
      </c>
      <c r="M381" t="inlineStr">
        <is>
          <t>2026-06-29 13:33:10</t>
        </is>
      </c>
      <c r="N381" t="inlineStr">
        <is>
          <t>Maureen Ntsoko</t>
        </is>
      </c>
      <c r="O381" t="inlineStr">
        <is>
          <t>2026-06-17 14:10:06</t>
        </is>
      </c>
      <c r="P381" t="inlineStr">
        <is>
          <t>2026-06-17 14:10:06</t>
        </is>
      </c>
      <c r="Y381" t="inlineStr">
        <is>
          <t>27783405931</t>
        </is>
      </c>
    </row>
    <row r="382">
      <c r="A382" t="inlineStr">
        <is>
          <t>14921358</t>
        </is>
      </c>
      <c r="B382" t="inlineStr">
        <is>
          <t>72bcf9bf-5729-47cd-94c9-134e2ad0cf3b</t>
        </is>
      </c>
      <c r="D382" t="inlineStr">
        <is>
          <t>111111124</t>
        </is>
      </c>
      <c r="E382" t="inlineStr">
        <is>
          <t>Vodacom Life 20260617</t>
        </is>
      </c>
      <c r="G382" t="inlineStr">
        <is>
          <t>MTHOKOZISI</t>
        </is>
      </c>
      <c r="H382" t="inlineStr">
        <is>
          <t>NGCOBO</t>
        </is>
      </c>
      <c r="J382" t="inlineStr">
        <is>
          <t>AE</t>
        </is>
      </c>
      <c r="K382" t="inlineStr">
        <is>
          <t>Auto Engaged</t>
        </is>
      </c>
      <c r="L382" t="n">
        <v>5</v>
      </c>
      <c r="M382" t="inlineStr">
        <is>
          <t>2026-06-29 13:33:08</t>
        </is>
      </c>
      <c r="N382" t="inlineStr">
        <is>
          <t>system</t>
        </is>
      </c>
      <c r="O382" t="inlineStr">
        <is>
          <t>2026-06-17 14:10:06</t>
        </is>
      </c>
      <c r="P382" t="inlineStr">
        <is>
          <t>2026-06-17 14:10:06</t>
        </is>
      </c>
      <c r="Y382" t="inlineStr">
        <is>
          <t>27721386674</t>
        </is>
      </c>
    </row>
    <row r="383">
      <c r="A383" t="inlineStr">
        <is>
          <t>14921359</t>
        </is>
      </c>
      <c r="B383" t="inlineStr">
        <is>
          <t>b08f5c2f-885c-483b-9531-118665406ddf</t>
        </is>
      </c>
      <c r="D383" t="inlineStr">
        <is>
          <t>111111124</t>
        </is>
      </c>
      <c r="E383" t="inlineStr">
        <is>
          <t>Vodacom Life 20260617</t>
        </is>
      </c>
      <c r="G383" t="inlineStr">
        <is>
          <t>CHARLES</t>
        </is>
      </c>
      <c r="H383" t="inlineStr">
        <is>
          <t>JANSEN VAN VUUREN</t>
        </is>
      </c>
      <c r="J383" t="inlineStr">
        <is>
          <t>AA</t>
        </is>
      </c>
      <c r="K383" t="inlineStr">
        <is>
          <t>Answering Machine Autodial</t>
        </is>
      </c>
      <c r="L383" t="n">
        <v>5</v>
      </c>
      <c r="M383" t="inlineStr">
        <is>
          <t>2026-06-29 13:33:04</t>
        </is>
      </c>
      <c r="N383" t="inlineStr">
        <is>
          <t>system</t>
        </is>
      </c>
      <c r="O383" t="inlineStr">
        <is>
          <t>2026-06-17 14:10:06</t>
        </is>
      </c>
      <c r="P383" t="inlineStr">
        <is>
          <t>2026-06-17 14:10:06</t>
        </is>
      </c>
      <c r="Y383" t="inlineStr">
        <is>
          <t>27820844042</t>
        </is>
      </c>
    </row>
    <row r="384">
      <c r="A384" t="inlineStr">
        <is>
          <t>14921360</t>
        </is>
      </c>
      <c r="B384" t="inlineStr">
        <is>
          <t>c109a8a9-e0c9-4f47-8e9d-a090b95f18f6</t>
        </is>
      </c>
      <c r="D384" t="inlineStr">
        <is>
          <t>111111124</t>
        </is>
      </c>
      <c r="E384" t="inlineStr">
        <is>
          <t>Vodacom Life 20260617</t>
        </is>
      </c>
      <c r="G384" t="inlineStr">
        <is>
          <t>MTHOKOZISI</t>
        </is>
      </c>
      <c r="H384" t="inlineStr">
        <is>
          <t>MCHUNU</t>
        </is>
      </c>
      <c r="J384" t="inlineStr">
        <is>
          <t>CBACK</t>
        </is>
      </c>
      <c r="K384" t="inlineStr">
        <is>
          <t>Callback</t>
        </is>
      </c>
      <c r="L384" t="n">
        <v>5</v>
      </c>
      <c r="M384" t="inlineStr">
        <is>
          <t>2026-06-29 13:33:04</t>
        </is>
      </c>
      <c r="N384" t="inlineStr">
        <is>
          <t>Vanessa Kekana</t>
        </is>
      </c>
      <c r="O384" t="inlineStr">
        <is>
          <t>2026-06-17 14:10:06</t>
        </is>
      </c>
      <c r="P384" t="inlineStr">
        <is>
          <t>2026-06-17 14:10:06</t>
        </is>
      </c>
      <c r="Y384" t="inlineStr">
        <is>
          <t>27761765219</t>
        </is>
      </c>
    </row>
    <row r="385">
      <c r="A385" t="inlineStr">
        <is>
          <t>14921539</t>
        </is>
      </c>
      <c r="B385" t="inlineStr">
        <is>
          <t>80451590-a6d3-45d5-9793-cbdb6dcb75af</t>
        </is>
      </c>
      <c r="D385" t="inlineStr">
        <is>
          <t>111111124</t>
        </is>
      </c>
      <c r="E385" t="inlineStr">
        <is>
          <t>Vodacom Life 20260617</t>
        </is>
      </c>
      <c r="G385" t="inlineStr">
        <is>
          <t>PAUL</t>
        </is>
      </c>
      <c r="H385" t="inlineStr">
        <is>
          <t>BALOI</t>
        </is>
      </c>
      <c r="J385" t="inlineStr">
        <is>
          <t>AA</t>
        </is>
      </c>
      <c r="K385" t="inlineStr">
        <is>
          <t>Answering Machine Autodial</t>
        </is>
      </c>
      <c r="L385" t="n">
        <v>5</v>
      </c>
      <c r="M385" t="inlineStr">
        <is>
          <t>2026-06-29 13:33:04</t>
        </is>
      </c>
      <c r="N385" t="inlineStr">
        <is>
          <t>system</t>
        </is>
      </c>
      <c r="O385" t="inlineStr">
        <is>
          <t>2026-06-17 14:10:06</t>
        </is>
      </c>
      <c r="P385" t="inlineStr">
        <is>
          <t>2026-06-17 14:10:06</t>
        </is>
      </c>
      <c r="Y385" t="inlineStr">
        <is>
          <t>27762316461</t>
        </is>
      </c>
    </row>
    <row r="386">
      <c r="A386" t="inlineStr">
        <is>
          <t>14921363</t>
        </is>
      </c>
      <c r="B386" t="inlineStr">
        <is>
          <t>9dc80761-1f3c-4481-a470-e1dfbec9d6b9</t>
        </is>
      </c>
      <c r="D386" t="inlineStr">
        <is>
          <t>111111124</t>
        </is>
      </c>
      <c r="E386" t="inlineStr">
        <is>
          <t>Vodacom Life 20260617</t>
        </is>
      </c>
      <c r="G386" t="inlineStr">
        <is>
          <t>BONANI</t>
        </is>
      </c>
      <c r="H386" t="inlineStr">
        <is>
          <t>NDUKU</t>
        </is>
      </c>
      <c r="J386" t="inlineStr">
        <is>
          <t>NA</t>
        </is>
      </c>
      <c r="K386" t="inlineStr">
        <is>
          <t>No Answer Autodial</t>
        </is>
      </c>
      <c r="L386" t="n">
        <v>5</v>
      </c>
      <c r="M386" t="inlineStr">
        <is>
          <t>2026-06-29 13:32:58</t>
        </is>
      </c>
      <c r="N386" t="inlineStr">
        <is>
          <t>system</t>
        </is>
      </c>
      <c r="O386" t="inlineStr">
        <is>
          <t>2026-06-17 14:10:06</t>
        </is>
      </c>
      <c r="P386" t="inlineStr">
        <is>
          <t>2026-06-17 14:10:06</t>
        </is>
      </c>
      <c r="Y386" t="inlineStr">
        <is>
          <t>27728137250</t>
        </is>
      </c>
    </row>
    <row r="387">
      <c r="A387" t="inlineStr">
        <is>
          <t>14921362</t>
        </is>
      </c>
      <c r="B387" t="inlineStr">
        <is>
          <t>27f2bd2a-ab6b-4266-bea6-dd1660718d8d</t>
        </is>
      </c>
      <c r="D387" t="inlineStr">
        <is>
          <t>111111124</t>
        </is>
      </c>
      <c r="E387" t="inlineStr">
        <is>
          <t>Vodacom Life 20260617</t>
        </is>
      </c>
      <c r="G387" t="inlineStr">
        <is>
          <t>MAUREEN</t>
        </is>
      </c>
      <c r="H387" t="inlineStr">
        <is>
          <t>BOTHA</t>
        </is>
      </c>
      <c r="J387" t="inlineStr">
        <is>
          <t>AA</t>
        </is>
      </c>
      <c r="K387" t="inlineStr">
        <is>
          <t>Answering Machine Autodial</t>
        </is>
      </c>
      <c r="L387" t="n">
        <v>5</v>
      </c>
      <c r="M387" t="inlineStr">
        <is>
          <t>2026-06-29 13:32:57</t>
        </is>
      </c>
      <c r="N387" t="inlineStr">
        <is>
          <t>system</t>
        </is>
      </c>
      <c r="O387" t="inlineStr">
        <is>
          <t>2026-06-17 14:10:06</t>
        </is>
      </c>
      <c r="P387" t="inlineStr">
        <is>
          <t>2026-06-17 14:10:06</t>
        </is>
      </c>
      <c r="Y387" t="inlineStr">
        <is>
          <t>27828734906</t>
        </is>
      </c>
    </row>
    <row r="388">
      <c r="A388" t="inlineStr">
        <is>
          <t>14921364</t>
        </is>
      </c>
      <c r="B388" t="inlineStr">
        <is>
          <t>0b508e63-7eb9-4fbc-aa04-c62a4a60f654</t>
        </is>
      </c>
      <c r="D388" t="inlineStr">
        <is>
          <t>111111124</t>
        </is>
      </c>
      <c r="E388" t="inlineStr">
        <is>
          <t>Vodacom Life 20260617</t>
        </is>
      </c>
      <c r="G388" t="inlineStr">
        <is>
          <t>ZACK</t>
        </is>
      </c>
      <c r="H388" t="inlineStr">
        <is>
          <t>LESLIE</t>
        </is>
      </c>
      <c r="J388" t="inlineStr">
        <is>
          <t>NA</t>
        </is>
      </c>
      <c r="K388" t="inlineStr">
        <is>
          <t>No Answer Autodial</t>
        </is>
      </c>
      <c r="L388" t="n">
        <v>5</v>
      </c>
      <c r="M388" t="inlineStr">
        <is>
          <t>2026-06-29 13:32:53</t>
        </is>
      </c>
      <c r="N388" t="inlineStr">
        <is>
          <t>system</t>
        </is>
      </c>
      <c r="O388" t="inlineStr">
        <is>
          <t>2026-06-17 14:10:06</t>
        </is>
      </c>
      <c r="P388" t="inlineStr">
        <is>
          <t>2026-06-17 14:10:06</t>
        </is>
      </c>
      <c r="Y388" t="inlineStr">
        <is>
          <t>27662387833</t>
        </is>
      </c>
    </row>
    <row r="389">
      <c r="A389" t="inlineStr">
        <is>
          <t>14921366</t>
        </is>
      </c>
      <c r="B389" t="inlineStr">
        <is>
          <t>b995f8a6-8dc1-4204-836b-aa58cb1d8c8d</t>
        </is>
      </c>
      <c r="D389" t="inlineStr">
        <is>
          <t>111111124</t>
        </is>
      </c>
      <c r="E389" t="inlineStr">
        <is>
          <t>Vodacom Life 20260617</t>
        </is>
      </c>
      <c r="G389" t="inlineStr">
        <is>
          <t>DAVID</t>
        </is>
      </c>
      <c r="H389" t="inlineStr">
        <is>
          <t>MABUZA</t>
        </is>
      </c>
      <c r="J389" t="inlineStr">
        <is>
          <t>AA</t>
        </is>
      </c>
      <c r="K389" t="inlineStr">
        <is>
          <t>Answering Machine Autodial</t>
        </is>
      </c>
      <c r="L389" t="n">
        <v>5</v>
      </c>
      <c r="M389" t="inlineStr">
        <is>
          <t>2026-06-29 13:32:53</t>
        </is>
      </c>
      <c r="N389" t="inlineStr">
        <is>
          <t>system</t>
        </is>
      </c>
      <c r="O389" t="inlineStr">
        <is>
          <t>2026-06-17 14:10:06</t>
        </is>
      </c>
      <c r="P389" t="inlineStr">
        <is>
          <t>2026-06-17 14:10:06</t>
        </is>
      </c>
      <c r="Y389" t="inlineStr">
        <is>
          <t>27828892696</t>
        </is>
      </c>
    </row>
    <row r="390">
      <c r="A390" t="inlineStr">
        <is>
          <t>14921367</t>
        </is>
      </c>
      <c r="B390" t="inlineStr">
        <is>
          <t>bbe5fb03-bb0e-43eb-8689-a176fad5e013</t>
        </is>
      </c>
      <c r="D390" t="inlineStr">
        <is>
          <t>111111124</t>
        </is>
      </c>
      <c r="E390" t="inlineStr">
        <is>
          <t>Vodacom Life 20260617</t>
        </is>
      </c>
      <c r="G390" t="inlineStr">
        <is>
          <t>TUMISI</t>
        </is>
      </c>
      <c r="H390" t="inlineStr">
        <is>
          <t>TEMA</t>
        </is>
      </c>
      <c r="J390" t="inlineStr">
        <is>
          <t>AA</t>
        </is>
      </c>
      <c r="K390" t="inlineStr">
        <is>
          <t>Answering Machine Autodial</t>
        </is>
      </c>
      <c r="L390" t="n">
        <v>5</v>
      </c>
      <c r="M390" t="inlineStr">
        <is>
          <t>2026-06-29 13:32:53</t>
        </is>
      </c>
      <c r="N390" t="inlineStr">
        <is>
          <t>system</t>
        </is>
      </c>
      <c r="O390" t="inlineStr">
        <is>
          <t>2026-06-17 14:10:06</t>
        </is>
      </c>
      <c r="P390" t="inlineStr">
        <is>
          <t>2026-06-17 14:10:06</t>
        </is>
      </c>
      <c r="Y390" t="inlineStr">
        <is>
          <t>27662642459</t>
        </is>
      </c>
    </row>
    <row r="391">
      <c r="A391" t="inlineStr">
        <is>
          <t>14921369</t>
        </is>
      </c>
      <c r="B391" t="inlineStr">
        <is>
          <t>815b38a9-821f-4d55-afcb-f98691baa51c</t>
        </is>
      </c>
      <c r="D391" t="inlineStr">
        <is>
          <t>111111124</t>
        </is>
      </c>
      <c r="E391" t="inlineStr">
        <is>
          <t>Vodacom Life 20260617</t>
        </is>
      </c>
      <c r="G391" t="inlineStr">
        <is>
          <t>JOHANNES</t>
        </is>
      </c>
      <c r="H391" t="inlineStr">
        <is>
          <t>BEZUIDENHOUT</t>
        </is>
      </c>
      <c r="J391" t="inlineStr">
        <is>
          <t>AE</t>
        </is>
      </c>
      <c r="K391" t="inlineStr">
        <is>
          <t>Auto Engaged</t>
        </is>
      </c>
      <c r="L391" t="n">
        <v>5</v>
      </c>
      <c r="M391" t="inlineStr">
        <is>
          <t>2026-06-29 13:32:52</t>
        </is>
      </c>
      <c r="N391" t="inlineStr">
        <is>
          <t>system</t>
        </is>
      </c>
      <c r="O391" t="inlineStr">
        <is>
          <t>2026-06-17 14:10:06</t>
        </is>
      </c>
      <c r="P391" t="inlineStr">
        <is>
          <t>2026-06-17 14:10:06</t>
        </is>
      </c>
      <c r="Y391" t="inlineStr">
        <is>
          <t>27792792244</t>
        </is>
      </c>
    </row>
    <row r="392">
      <c r="A392" t="inlineStr">
        <is>
          <t>14921547</t>
        </is>
      </c>
      <c r="B392" t="inlineStr">
        <is>
          <t>df0f4a2b-617f-47e6-8db6-b84ca5367cd0</t>
        </is>
      </c>
      <c r="D392" t="inlineStr">
        <is>
          <t>111111124</t>
        </is>
      </c>
      <c r="E392" t="inlineStr">
        <is>
          <t>Vodacom Life 20260617</t>
        </is>
      </c>
      <c r="G392" t="inlineStr">
        <is>
          <t>TERESA</t>
        </is>
      </c>
      <c r="H392" t="inlineStr">
        <is>
          <t>VAN TONDER</t>
        </is>
      </c>
      <c r="J392" t="inlineStr">
        <is>
          <t>AE</t>
        </is>
      </c>
      <c r="K392" t="inlineStr">
        <is>
          <t>Auto Engaged</t>
        </is>
      </c>
      <c r="L392" t="n">
        <v>5</v>
      </c>
      <c r="M392" t="inlineStr">
        <is>
          <t>2026-06-29 13:32:52</t>
        </is>
      </c>
      <c r="N392" t="inlineStr">
        <is>
          <t>system</t>
        </is>
      </c>
      <c r="O392" t="inlineStr">
        <is>
          <t>2026-06-17 14:10:06</t>
        </is>
      </c>
      <c r="P392" t="inlineStr">
        <is>
          <t>2026-06-17 14:10:06</t>
        </is>
      </c>
      <c r="Y392" t="inlineStr">
        <is>
          <t>27826863334</t>
        </is>
      </c>
    </row>
    <row r="393">
      <c r="A393" t="inlineStr">
        <is>
          <t>14921666</t>
        </is>
      </c>
      <c r="B393" t="inlineStr">
        <is>
          <t>d8a432f2-caba-43cd-8bff-c2be3021beb7</t>
        </is>
      </c>
      <c r="D393" t="inlineStr">
        <is>
          <t>111111124</t>
        </is>
      </c>
      <c r="E393" t="inlineStr">
        <is>
          <t>Vodacom Life 20260617</t>
        </is>
      </c>
      <c r="G393" t="inlineStr">
        <is>
          <t>ERNEST</t>
        </is>
      </c>
      <c r="H393" t="inlineStr">
        <is>
          <t>MATHIKGE</t>
        </is>
      </c>
      <c r="J393" t="inlineStr">
        <is>
          <t>DROP</t>
        </is>
      </c>
      <c r="K393" t="inlineStr">
        <is>
          <t>Dropped</t>
        </is>
      </c>
      <c r="L393" t="n">
        <v>5</v>
      </c>
      <c r="M393" t="inlineStr">
        <is>
          <t>2026-06-29 13:32:19</t>
        </is>
      </c>
      <c r="N393" t="inlineStr">
        <is>
          <t>system</t>
        </is>
      </c>
      <c r="O393" t="inlineStr">
        <is>
          <t>2026-06-17 14:10:06</t>
        </is>
      </c>
      <c r="P393" t="inlineStr">
        <is>
          <t>2026-06-17 14:10:06</t>
        </is>
      </c>
      <c r="Y393" t="inlineStr">
        <is>
          <t>27763020356</t>
        </is>
      </c>
    </row>
    <row r="394">
      <c r="A394" t="inlineStr">
        <is>
          <t>14921667</t>
        </is>
      </c>
      <c r="B394" t="inlineStr">
        <is>
          <t>9c080f0b-306e-4ac8-8693-8c7ad05ea4fa</t>
        </is>
      </c>
      <c r="D394" t="inlineStr">
        <is>
          <t>111111124</t>
        </is>
      </c>
      <c r="E394" t="inlineStr">
        <is>
          <t>Vodacom Life 20260617</t>
        </is>
      </c>
      <c r="G394" t="inlineStr">
        <is>
          <t>FARZANA</t>
        </is>
      </c>
      <c r="H394" t="inlineStr">
        <is>
          <t>KARREEM</t>
        </is>
      </c>
      <c r="J394" t="inlineStr">
        <is>
          <t>AA</t>
        </is>
      </c>
      <c r="K394" t="inlineStr">
        <is>
          <t>Answering Machine Autodial</t>
        </is>
      </c>
      <c r="L394" t="n">
        <v>5</v>
      </c>
      <c r="M394" t="inlineStr">
        <is>
          <t>2026-06-29 13:32:09</t>
        </is>
      </c>
      <c r="N394" t="inlineStr">
        <is>
          <t>system</t>
        </is>
      </c>
      <c r="O394" t="inlineStr">
        <is>
          <t>2026-06-17 14:10:06</t>
        </is>
      </c>
      <c r="P394" t="inlineStr">
        <is>
          <t>2026-06-17 14:10:06</t>
        </is>
      </c>
      <c r="Y394" t="inlineStr">
        <is>
          <t>27662642628</t>
        </is>
      </c>
    </row>
    <row r="395">
      <c r="A395" t="inlineStr">
        <is>
          <t>14921672</t>
        </is>
      </c>
      <c r="B395" t="inlineStr">
        <is>
          <t>b2d6ad5d-e8f3-46a9-bc95-4639658778ec</t>
        </is>
      </c>
      <c r="D395" t="inlineStr">
        <is>
          <t>111111124</t>
        </is>
      </c>
      <c r="E395" t="inlineStr">
        <is>
          <t>Vodacom Life 20260617</t>
        </is>
      </c>
      <c r="G395" t="inlineStr">
        <is>
          <t>BONAKELE</t>
        </is>
      </c>
      <c r="H395" t="inlineStr">
        <is>
          <t>GINY</t>
        </is>
      </c>
      <c r="J395" t="inlineStr">
        <is>
          <t>DROP</t>
        </is>
      </c>
      <c r="K395" t="inlineStr">
        <is>
          <t>Dropped</t>
        </is>
      </c>
      <c r="L395" t="n">
        <v>5</v>
      </c>
      <c r="M395" t="inlineStr">
        <is>
          <t>2026-06-29 13:32:08</t>
        </is>
      </c>
      <c r="N395" t="inlineStr">
        <is>
          <t>system</t>
        </is>
      </c>
      <c r="O395" t="inlineStr">
        <is>
          <t>2026-06-17 14:10:06</t>
        </is>
      </c>
      <c r="P395" t="inlineStr">
        <is>
          <t>2026-06-17 14:10:06</t>
        </is>
      </c>
      <c r="Y395" t="inlineStr">
        <is>
          <t>27726039352</t>
        </is>
      </c>
    </row>
    <row r="396">
      <c r="A396" t="inlineStr">
        <is>
          <t>14921674</t>
        </is>
      </c>
      <c r="B396" t="inlineStr">
        <is>
          <t>e8e4ff3e-715c-4539-b4a2-81e6a585e7a5</t>
        </is>
      </c>
      <c r="D396" t="inlineStr">
        <is>
          <t>111111124</t>
        </is>
      </c>
      <c r="E396" t="inlineStr">
        <is>
          <t>Vodacom Life 20260617</t>
        </is>
      </c>
      <c r="G396" t="inlineStr">
        <is>
          <t>MOSADIWAPULA</t>
        </is>
      </c>
      <c r="H396" t="inlineStr">
        <is>
          <t>SEIKANENG</t>
        </is>
      </c>
      <c r="J396" t="inlineStr">
        <is>
          <t>CU</t>
        </is>
      </c>
      <c r="K396" t="inlineStr">
        <is>
          <t>Client Hung Up</t>
        </is>
      </c>
      <c r="L396" t="n">
        <v>5</v>
      </c>
      <c r="M396" t="inlineStr">
        <is>
          <t>2026-06-29 13:32:06</t>
        </is>
      </c>
      <c r="N396" t="inlineStr">
        <is>
          <t>Vanessa Kekana</t>
        </is>
      </c>
      <c r="O396" t="inlineStr">
        <is>
          <t>2026-06-17 14:10:06</t>
        </is>
      </c>
      <c r="P396" t="inlineStr">
        <is>
          <t>2026-06-17 14:10:06</t>
        </is>
      </c>
      <c r="Y396" t="inlineStr">
        <is>
          <t>27822988686</t>
        </is>
      </c>
    </row>
    <row r="397">
      <c r="A397" t="inlineStr">
        <is>
          <t>14921675</t>
        </is>
      </c>
      <c r="B397" t="inlineStr">
        <is>
          <t>d5f3f404-9817-479c-a762-446525d8545b</t>
        </is>
      </c>
      <c r="D397" t="inlineStr">
        <is>
          <t>111111124</t>
        </is>
      </c>
      <c r="E397" t="inlineStr">
        <is>
          <t>Vodacom Life 20260617</t>
        </is>
      </c>
      <c r="G397" t="inlineStr">
        <is>
          <t>JONATHAN</t>
        </is>
      </c>
      <c r="H397" t="inlineStr">
        <is>
          <t>CORNFIELD</t>
        </is>
      </c>
      <c r="J397" t="inlineStr">
        <is>
          <t>CU</t>
        </is>
      </c>
      <c r="K397" t="inlineStr">
        <is>
          <t>Client Hung Up</t>
        </is>
      </c>
      <c r="L397" t="n">
        <v>5</v>
      </c>
      <c r="M397" t="inlineStr">
        <is>
          <t>2026-06-29 13:32:06</t>
        </is>
      </c>
      <c r="N397" t="inlineStr">
        <is>
          <t>Maureen Ntsoko</t>
        </is>
      </c>
      <c r="O397" t="inlineStr">
        <is>
          <t>2026-06-17 14:10:06</t>
        </is>
      </c>
      <c r="P397" t="inlineStr">
        <is>
          <t>2026-06-17 14:10:06</t>
        </is>
      </c>
      <c r="Y397" t="inlineStr">
        <is>
          <t>27636449519</t>
        </is>
      </c>
    </row>
    <row r="398">
      <c r="A398" t="inlineStr">
        <is>
          <t>14921676</t>
        </is>
      </c>
      <c r="B398" t="inlineStr">
        <is>
          <t>9c3b9465-d84d-465c-8d5e-ee1e10f29df4</t>
        </is>
      </c>
      <c r="D398" t="inlineStr">
        <is>
          <t>111111124</t>
        </is>
      </c>
      <c r="E398" t="inlineStr">
        <is>
          <t>Vodacom Life 20260617</t>
        </is>
      </c>
      <c r="G398" t="inlineStr">
        <is>
          <t>SIBONGILE</t>
        </is>
      </c>
      <c r="H398" t="inlineStr">
        <is>
          <t>MAKOFANE</t>
        </is>
      </c>
      <c r="J398" t="inlineStr">
        <is>
          <t>DROP</t>
        </is>
      </c>
      <c r="K398" t="inlineStr">
        <is>
          <t>Dropped</t>
        </is>
      </c>
      <c r="L398" t="n">
        <v>5</v>
      </c>
      <c r="M398" t="inlineStr">
        <is>
          <t>2026-06-29 13:32:06</t>
        </is>
      </c>
      <c r="N398" t="inlineStr">
        <is>
          <t>system</t>
        </is>
      </c>
      <c r="O398" t="inlineStr">
        <is>
          <t>2026-06-17 14:10:06</t>
        </is>
      </c>
      <c r="P398" t="inlineStr">
        <is>
          <t>2026-06-17 14:10:06</t>
        </is>
      </c>
      <c r="Y398" t="inlineStr">
        <is>
          <t>27662356797</t>
        </is>
      </c>
    </row>
    <row r="399">
      <c r="A399" t="inlineStr">
        <is>
          <t>14921679</t>
        </is>
      </c>
      <c r="B399" t="inlineStr">
        <is>
          <t>e9cfcd74-ae95-413a-be4e-f94df0b989bf</t>
        </is>
      </c>
      <c r="D399" t="inlineStr">
        <is>
          <t>111111124</t>
        </is>
      </c>
      <c r="E399" t="inlineStr">
        <is>
          <t>Vodacom Life 20260617</t>
        </is>
      </c>
      <c r="G399" t="inlineStr">
        <is>
          <t>NOSIPHO</t>
        </is>
      </c>
      <c r="H399" t="inlineStr">
        <is>
          <t>MKHIZE</t>
        </is>
      </c>
      <c r="J399" t="inlineStr">
        <is>
          <t>AE</t>
        </is>
      </c>
      <c r="K399" t="inlineStr">
        <is>
          <t>Auto Engaged</t>
        </is>
      </c>
      <c r="L399" t="n">
        <v>5</v>
      </c>
      <c r="M399" t="inlineStr">
        <is>
          <t>2026-06-29 13:32:06</t>
        </is>
      </c>
      <c r="N399" t="inlineStr">
        <is>
          <t>system</t>
        </is>
      </c>
      <c r="O399" t="inlineStr">
        <is>
          <t>2026-06-17 14:10:06</t>
        </is>
      </c>
      <c r="P399" t="inlineStr">
        <is>
          <t>2026-06-17 14:10:06</t>
        </is>
      </c>
      <c r="Y399" t="inlineStr">
        <is>
          <t>27762309866</t>
        </is>
      </c>
    </row>
    <row r="400">
      <c r="A400" t="inlineStr">
        <is>
          <t>14921680</t>
        </is>
      </c>
      <c r="B400" t="inlineStr">
        <is>
          <t>06282f85-b0e6-4f6d-81ad-bb479688e74a</t>
        </is>
      </c>
      <c r="D400" t="inlineStr">
        <is>
          <t>111111124</t>
        </is>
      </c>
      <c r="E400" t="inlineStr">
        <is>
          <t>Vodacom Life 20260617</t>
        </is>
      </c>
      <c r="G400" t="inlineStr">
        <is>
          <t>MARIUS</t>
        </is>
      </c>
      <c r="H400" t="inlineStr">
        <is>
          <t>STRYDOM</t>
        </is>
      </c>
      <c r="J400" t="inlineStr">
        <is>
          <t>AA</t>
        </is>
      </c>
      <c r="K400" t="inlineStr">
        <is>
          <t>Answering Machine Autodial</t>
        </is>
      </c>
      <c r="L400" t="n">
        <v>5</v>
      </c>
      <c r="M400" t="inlineStr">
        <is>
          <t>2026-06-29 13:32:06</t>
        </is>
      </c>
      <c r="N400" t="inlineStr">
        <is>
          <t>system</t>
        </is>
      </c>
      <c r="O400" t="inlineStr">
        <is>
          <t>2026-06-17 14:10:06</t>
        </is>
      </c>
      <c r="P400" t="inlineStr">
        <is>
          <t>2026-06-17 14:10:06</t>
        </is>
      </c>
      <c r="Y400" t="inlineStr">
        <is>
          <t>27646746125</t>
        </is>
      </c>
    </row>
    <row r="401">
      <c r="A401" t="inlineStr">
        <is>
          <t>14921681</t>
        </is>
      </c>
      <c r="B401" t="inlineStr">
        <is>
          <t>8b487a93-f02d-43a5-a38a-e9865ced6a75</t>
        </is>
      </c>
      <c r="D401" t="inlineStr">
        <is>
          <t>111111124</t>
        </is>
      </c>
      <c r="E401" t="inlineStr">
        <is>
          <t>Vodacom Life 20260617</t>
        </is>
      </c>
      <c r="G401" t="inlineStr">
        <is>
          <t>ROBIN</t>
        </is>
      </c>
      <c r="H401" t="inlineStr">
        <is>
          <t>LONGHURST</t>
        </is>
      </c>
      <c r="J401" t="inlineStr">
        <is>
          <t>AA</t>
        </is>
      </c>
      <c r="K401" t="inlineStr">
        <is>
          <t>Answering Machine Autodial</t>
        </is>
      </c>
      <c r="L401" t="n">
        <v>5</v>
      </c>
      <c r="M401" t="inlineStr">
        <is>
          <t>2026-06-29 13:32:03</t>
        </is>
      </c>
      <c r="N401" t="inlineStr">
        <is>
          <t>system</t>
        </is>
      </c>
      <c r="O401" t="inlineStr">
        <is>
          <t>2026-06-17 14:10:06</t>
        </is>
      </c>
      <c r="P401" t="inlineStr">
        <is>
          <t>2026-06-17 14:10:06</t>
        </is>
      </c>
      <c r="Y401" t="inlineStr">
        <is>
          <t>27768634755</t>
        </is>
      </c>
    </row>
    <row r="402">
      <c r="A402" t="inlineStr">
        <is>
          <t>14921682</t>
        </is>
      </c>
      <c r="B402" t="inlineStr">
        <is>
          <t>7872fd87-464d-46b2-aee2-6396e592d28b</t>
        </is>
      </c>
      <c r="D402" t="inlineStr">
        <is>
          <t>111111124</t>
        </is>
      </c>
      <c r="E402" t="inlineStr">
        <is>
          <t>Vodacom Life 20260617</t>
        </is>
      </c>
      <c r="G402" t="inlineStr">
        <is>
          <t>KURTLEY-AMBROSE</t>
        </is>
      </c>
      <c r="H402" t="inlineStr">
        <is>
          <t>WILLIAMS</t>
        </is>
      </c>
      <c r="J402" t="inlineStr">
        <is>
          <t>AE</t>
        </is>
      </c>
      <c r="K402" t="inlineStr">
        <is>
          <t>Auto Engaged</t>
        </is>
      </c>
      <c r="L402" t="n">
        <v>5</v>
      </c>
      <c r="M402" t="inlineStr">
        <is>
          <t>2026-06-29 13:32:03</t>
        </is>
      </c>
      <c r="N402" t="inlineStr">
        <is>
          <t>system</t>
        </is>
      </c>
      <c r="O402" t="inlineStr">
        <is>
          <t>2026-06-17 14:10:06</t>
        </is>
      </c>
      <c r="P402" t="inlineStr">
        <is>
          <t>2026-06-17 14:10:06</t>
        </is>
      </c>
      <c r="Y402" t="inlineStr">
        <is>
          <t>27714918761</t>
        </is>
      </c>
    </row>
    <row r="403">
      <c r="A403" t="inlineStr">
        <is>
          <t>14921683</t>
        </is>
      </c>
      <c r="B403" t="inlineStr">
        <is>
          <t>b98ad7d4-e9dc-4fc1-b439-ea3af955dc8e</t>
        </is>
      </c>
      <c r="D403" t="inlineStr">
        <is>
          <t>111111124</t>
        </is>
      </c>
      <c r="E403" t="inlineStr">
        <is>
          <t>Vodacom Life 20260617</t>
        </is>
      </c>
      <c r="G403" t="inlineStr">
        <is>
          <t>BELINDA</t>
        </is>
      </c>
      <c r="H403" t="inlineStr">
        <is>
          <t>CROSSON</t>
        </is>
      </c>
      <c r="J403" t="inlineStr">
        <is>
          <t>DROP</t>
        </is>
      </c>
      <c r="K403" t="inlineStr">
        <is>
          <t>Dropped</t>
        </is>
      </c>
      <c r="L403" t="n">
        <v>5</v>
      </c>
      <c r="M403" t="inlineStr">
        <is>
          <t>2026-06-29 13:32:03</t>
        </is>
      </c>
      <c r="N403" t="inlineStr">
        <is>
          <t>system</t>
        </is>
      </c>
      <c r="O403" t="inlineStr">
        <is>
          <t>2026-06-17 14:10:06</t>
        </is>
      </c>
      <c r="P403" t="inlineStr">
        <is>
          <t>2026-06-17 14:10:06</t>
        </is>
      </c>
      <c r="Y403" t="inlineStr">
        <is>
          <t>27637734567</t>
        </is>
      </c>
    </row>
    <row r="404">
      <c r="A404" t="inlineStr">
        <is>
          <t>14921685</t>
        </is>
      </c>
      <c r="B404" t="inlineStr">
        <is>
          <t>40eb3fad-3173-4f2e-869b-e1163166634e</t>
        </is>
      </c>
      <c r="D404" t="inlineStr">
        <is>
          <t>111111124</t>
        </is>
      </c>
      <c r="E404" t="inlineStr">
        <is>
          <t>Vodacom Life 20260617</t>
        </is>
      </c>
      <c r="G404" t="inlineStr">
        <is>
          <t>MATALANE</t>
        </is>
      </c>
      <c r="H404" t="inlineStr">
        <is>
          <t>MASHABA</t>
        </is>
      </c>
      <c r="J404" t="inlineStr">
        <is>
          <t>AE</t>
        </is>
      </c>
      <c r="K404" t="inlineStr">
        <is>
          <t>Auto Engaged</t>
        </is>
      </c>
      <c r="L404" t="n">
        <v>5</v>
      </c>
      <c r="M404" t="inlineStr">
        <is>
          <t>2026-06-29 13:31:24</t>
        </is>
      </c>
      <c r="N404" t="inlineStr">
        <is>
          <t>system</t>
        </is>
      </c>
      <c r="O404" t="inlineStr">
        <is>
          <t>2026-06-17 14:10:06</t>
        </is>
      </c>
      <c r="P404" t="inlineStr">
        <is>
          <t>2026-06-17 14:10:06</t>
        </is>
      </c>
      <c r="Y404" t="inlineStr">
        <is>
          <t>27760671679</t>
        </is>
      </c>
    </row>
    <row r="405">
      <c r="A405" t="inlineStr">
        <is>
          <t>14921071</t>
        </is>
      </c>
      <c r="B405" t="inlineStr">
        <is>
          <t>1b772b5d-e2cb-4386-aa07-32f68667a41a</t>
        </is>
      </c>
      <c r="D405" t="inlineStr">
        <is>
          <t>111111124</t>
        </is>
      </c>
      <c r="E405" t="inlineStr">
        <is>
          <t>Vodacom Life 20260617</t>
        </is>
      </c>
      <c r="G405" t="inlineStr">
        <is>
          <t>WINTEROSE</t>
        </is>
      </c>
      <c r="H405" t="inlineStr">
        <is>
          <t>MKHIZE</t>
        </is>
      </c>
      <c r="J405" t="inlineStr">
        <is>
          <t>A</t>
        </is>
      </c>
      <c r="K405" t="inlineStr">
        <is>
          <t>Answering Machine</t>
        </is>
      </c>
      <c r="L405" t="n">
        <v>6</v>
      </c>
      <c r="M405" t="inlineStr">
        <is>
          <t>2026-06-29 13:31:10</t>
        </is>
      </c>
      <c r="N405" t="inlineStr">
        <is>
          <t>Vanessa Kekana</t>
        </is>
      </c>
      <c r="O405" t="inlineStr">
        <is>
          <t>2026-06-17 14:10:06</t>
        </is>
      </c>
      <c r="P405" t="inlineStr">
        <is>
          <t>2026-06-17 14:10:06</t>
        </is>
      </c>
      <c r="Y405" t="inlineStr">
        <is>
          <t>27826647668</t>
        </is>
      </c>
    </row>
    <row r="406">
      <c r="A406" t="inlineStr">
        <is>
          <t>14921687</t>
        </is>
      </c>
      <c r="B406" t="inlineStr">
        <is>
          <t>9ea78ae3-15e0-415b-a0d6-0acb6d553ede</t>
        </is>
      </c>
      <c r="D406" t="inlineStr">
        <is>
          <t>111111124</t>
        </is>
      </c>
      <c r="E406" t="inlineStr">
        <is>
          <t>Vodacom Life 20260617</t>
        </is>
      </c>
      <c r="G406" t="inlineStr">
        <is>
          <t>MARIA</t>
        </is>
      </c>
      <c r="H406" t="inlineStr">
        <is>
          <t>MOTLOBA</t>
        </is>
      </c>
      <c r="J406" t="inlineStr">
        <is>
          <t>AE</t>
        </is>
      </c>
      <c r="K406" t="inlineStr">
        <is>
          <t>Auto Engaged</t>
        </is>
      </c>
      <c r="L406" t="n">
        <v>5</v>
      </c>
      <c r="M406" t="inlineStr">
        <is>
          <t>2026-06-29 13:31:09</t>
        </is>
      </c>
      <c r="N406" t="inlineStr">
        <is>
          <t>system</t>
        </is>
      </c>
      <c r="O406" t="inlineStr">
        <is>
          <t>2026-06-17 14:10:06</t>
        </is>
      </c>
      <c r="P406" t="inlineStr">
        <is>
          <t>2026-06-17 14:10:06</t>
        </is>
      </c>
      <c r="Y406" t="inlineStr">
        <is>
          <t>27674037599</t>
        </is>
      </c>
    </row>
    <row r="407">
      <c r="A407" t="inlineStr">
        <is>
          <t>14921700</t>
        </is>
      </c>
      <c r="B407" t="inlineStr">
        <is>
          <t>48ed6969-a9a5-4a06-af81-638620f646ec</t>
        </is>
      </c>
      <c r="D407" t="inlineStr">
        <is>
          <t>111111124</t>
        </is>
      </c>
      <c r="E407" t="inlineStr">
        <is>
          <t>Vodacom Life 20260617</t>
        </is>
      </c>
      <c r="G407" t="inlineStr">
        <is>
          <t>MASABATHA</t>
        </is>
      </c>
      <c r="H407" t="inlineStr">
        <is>
          <t>KGWETE</t>
        </is>
      </c>
      <c r="J407" t="inlineStr">
        <is>
          <t>AA</t>
        </is>
      </c>
      <c r="K407" t="inlineStr">
        <is>
          <t>Answering Machine Autodial</t>
        </is>
      </c>
      <c r="L407" t="n">
        <v>5</v>
      </c>
      <c r="M407" t="inlineStr">
        <is>
          <t>2026-06-29 13:31:08</t>
        </is>
      </c>
      <c r="N407" t="inlineStr">
        <is>
          <t>system</t>
        </is>
      </c>
      <c r="O407" t="inlineStr">
        <is>
          <t>2026-06-17 14:10:06</t>
        </is>
      </c>
      <c r="P407" t="inlineStr">
        <is>
          <t>2026-06-17 14:10:06</t>
        </is>
      </c>
      <c r="Y407" t="inlineStr">
        <is>
          <t>27663945745</t>
        </is>
      </c>
    </row>
    <row r="408">
      <c r="A408" t="inlineStr">
        <is>
          <t>14921689</t>
        </is>
      </c>
      <c r="B408" t="inlineStr">
        <is>
          <t>20c1efa1-3198-4de9-afc2-2595d9d8799d</t>
        </is>
      </c>
      <c r="D408" t="inlineStr">
        <is>
          <t>111111124</t>
        </is>
      </c>
      <c r="E408" t="inlineStr">
        <is>
          <t>Vodacom Life 20260617</t>
        </is>
      </c>
      <c r="G408" t="inlineStr">
        <is>
          <t>MAPOTLE</t>
        </is>
      </c>
      <c r="H408" t="inlineStr">
        <is>
          <t>MAREDI</t>
        </is>
      </c>
      <c r="J408" t="inlineStr">
        <is>
          <t>AE</t>
        </is>
      </c>
      <c r="K408" t="inlineStr">
        <is>
          <t>Auto Engaged</t>
        </is>
      </c>
      <c r="L408" t="n">
        <v>5</v>
      </c>
      <c r="M408" t="inlineStr">
        <is>
          <t>2026-06-29 13:31:07</t>
        </is>
      </c>
      <c r="N408" t="inlineStr">
        <is>
          <t>system</t>
        </is>
      </c>
      <c r="O408" t="inlineStr">
        <is>
          <t>2026-06-17 14:10:06</t>
        </is>
      </c>
      <c r="P408" t="inlineStr">
        <is>
          <t>2026-06-17 14:10:06</t>
        </is>
      </c>
      <c r="Y408" t="inlineStr">
        <is>
          <t>27826271460</t>
        </is>
      </c>
    </row>
    <row r="409">
      <c r="A409" t="inlineStr">
        <is>
          <t>14921690</t>
        </is>
      </c>
      <c r="B409" t="inlineStr">
        <is>
          <t>ee43f948-b5c8-4a22-9303-a4a96b338fc6</t>
        </is>
      </c>
      <c r="D409" t="inlineStr">
        <is>
          <t>111111124</t>
        </is>
      </c>
      <c r="E409" t="inlineStr">
        <is>
          <t>Vodacom Life 20260617</t>
        </is>
      </c>
      <c r="G409" t="inlineStr">
        <is>
          <t>THOKOZANI</t>
        </is>
      </c>
      <c r="H409" t="inlineStr">
        <is>
          <t>MKHWANAZI</t>
        </is>
      </c>
      <c r="J409" t="inlineStr">
        <is>
          <t>AA</t>
        </is>
      </c>
      <c r="K409" t="inlineStr">
        <is>
          <t>Answering Machine Autodial</t>
        </is>
      </c>
      <c r="L409" t="n">
        <v>5</v>
      </c>
      <c r="M409" t="inlineStr">
        <is>
          <t>2026-06-29 13:31:07</t>
        </is>
      </c>
      <c r="N409" t="inlineStr">
        <is>
          <t>system</t>
        </is>
      </c>
      <c r="O409" t="inlineStr">
        <is>
          <t>2026-06-17 14:10:06</t>
        </is>
      </c>
      <c r="P409" t="inlineStr">
        <is>
          <t>2026-06-17 14:10:06</t>
        </is>
      </c>
      <c r="Y409" t="inlineStr">
        <is>
          <t>27727516064</t>
        </is>
      </c>
    </row>
    <row r="410">
      <c r="A410" t="inlineStr">
        <is>
          <t>14921702</t>
        </is>
      </c>
      <c r="B410" t="inlineStr">
        <is>
          <t>3baf5ce1-1bc2-40dd-bb91-84a941c98a7e</t>
        </is>
      </c>
      <c r="D410" t="inlineStr">
        <is>
          <t>111111124</t>
        </is>
      </c>
      <c r="E410" t="inlineStr">
        <is>
          <t>Vodacom Life 20260617</t>
        </is>
      </c>
      <c r="G410" t="inlineStr">
        <is>
          <t>MOYAHABO</t>
        </is>
      </c>
      <c r="H410" t="inlineStr">
        <is>
          <t>MARIBA</t>
        </is>
      </c>
      <c r="J410" t="inlineStr">
        <is>
          <t>ADC</t>
        </is>
      </c>
      <c r="K410" t="inlineStr">
        <is>
          <t>Auto Dial Disconnected</t>
        </is>
      </c>
      <c r="L410" t="n">
        <v>5</v>
      </c>
      <c r="M410" t="inlineStr">
        <is>
          <t>2026-06-29 13:31:07</t>
        </is>
      </c>
      <c r="N410" t="inlineStr">
        <is>
          <t>system</t>
        </is>
      </c>
      <c r="O410" t="inlineStr">
        <is>
          <t>2026-06-17 14:10:06</t>
        </is>
      </c>
      <c r="P410" t="inlineStr">
        <is>
          <t>2026-06-17 14:10:06</t>
        </is>
      </c>
      <c r="Y410" t="inlineStr">
        <is>
          <t>27714208201</t>
        </is>
      </c>
    </row>
    <row r="411">
      <c r="A411" t="inlineStr">
        <is>
          <t>14921692</t>
        </is>
      </c>
      <c r="B411" t="inlineStr">
        <is>
          <t>965630d2-081e-4beb-9c92-6de1b2b06517</t>
        </is>
      </c>
      <c r="D411" t="inlineStr">
        <is>
          <t>111111124</t>
        </is>
      </c>
      <c r="E411" t="inlineStr">
        <is>
          <t>Vodacom Life 20260617</t>
        </is>
      </c>
      <c r="G411" t="inlineStr">
        <is>
          <t>RUTH</t>
        </is>
      </c>
      <c r="H411" t="inlineStr">
        <is>
          <t>MOYANA</t>
        </is>
      </c>
      <c r="J411" t="inlineStr">
        <is>
          <t>DROP</t>
        </is>
      </c>
      <c r="K411" t="inlineStr">
        <is>
          <t>Dropped</t>
        </is>
      </c>
      <c r="L411" t="n">
        <v>5</v>
      </c>
      <c r="M411" t="inlineStr">
        <is>
          <t>2026-06-29 13:31:06</t>
        </is>
      </c>
      <c r="N411" t="inlineStr">
        <is>
          <t>system</t>
        </is>
      </c>
      <c r="O411" t="inlineStr">
        <is>
          <t>2026-06-17 14:10:06</t>
        </is>
      </c>
      <c r="P411" t="inlineStr">
        <is>
          <t>2026-06-17 14:10:06</t>
        </is>
      </c>
      <c r="Y411" t="inlineStr">
        <is>
          <t>27726327258</t>
        </is>
      </c>
    </row>
    <row r="412">
      <c r="A412" t="inlineStr">
        <is>
          <t>14921693</t>
        </is>
      </c>
      <c r="B412" t="inlineStr">
        <is>
          <t>31ee8be9-484e-41a1-9409-9f0b5df60095</t>
        </is>
      </c>
      <c r="D412" t="inlineStr">
        <is>
          <t>111111124</t>
        </is>
      </c>
      <c r="E412" t="inlineStr">
        <is>
          <t>Vodacom Life 20260617</t>
        </is>
      </c>
      <c r="G412" t="inlineStr">
        <is>
          <t>RUFARO</t>
        </is>
      </c>
      <c r="H412" t="inlineStr">
        <is>
          <t>MOYO</t>
        </is>
      </c>
      <c r="J412" t="inlineStr">
        <is>
          <t>AA</t>
        </is>
      </c>
      <c r="K412" t="inlineStr">
        <is>
          <t>Answering Machine Autodial</t>
        </is>
      </c>
      <c r="L412" t="n">
        <v>5</v>
      </c>
      <c r="M412" t="inlineStr">
        <is>
          <t>2026-06-29 13:31:06</t>
        </is>
      </c>
      <c r="N412" t="inlineStr">
        <is>
          <t>system</t>
        </is>
      </c>
      <c r="O412" t="inlineStr">
        <is>
          <t>2026-06-17 14:10:06</t>
        </is>
      </c>
      <c r="P412" t="inlineStr">
        <is>
          <t>2026-06-17 14:10:06</t>
        </is>
      </c>
      <c r="Y412" t="inlineStr">
        <is>
          <t>27714767070</t>
        </is>
      </c>
    </row>
    <row r="413">
      <c r="A413" t="inlineStr">
        <is>
          <t>14921695</t>
        </is>
      </c>
      <c r="B413" t="inlineStr">
        <is>
          <t>0f6c4234-2e42-4d73-96e2-b5a285f8a7ba</t>
        </is>
      </c>
      <c r="D413" t="inlineStr">
        <is>
          <t>111111124</t>
        </is>
      </c>
      <c r="E413" t="inlineStr">
        <is>
          <t>Vodacom Life 20260617</t>
        </is>
      </c>
      <c r="G413" t="inlineStr">
        <is>
          <t>MUKHETHWA</t>
        </is>
      </c>
      <c r="H413" t="inlineStr">
        <is>
          <t>RALIOMA</t>
        </is>
      </c>
      <c r="J413" t="inlineStr">
        <is>
          <t>CBACK</t>
        </is>
      </c>
      <c r="K413" t="inlineStr">
        <is>
          <t>Callback</t>
        </is>
      </c>
      <c r="L413" t="n">
        <v>5</v>
      </c>
      <c r="M413" t="inlineStr">
        <is>
          <t>2026-06-29 13:31:06</t>
        </is>
      </c>
      <c r="N413" t="inlineStr">
        <is>
          <t>Khensane Mabasa</t>
        </is>
      </c>
      <c r="O413" t="inlineStr">
        <is>
          <t>2026-06-17 14:10:06</t>
        </is>
      </c>
      <c r="P413" t="inlineStr">
        <is>
          <t>2026-06-17 14:10:06</t>
        </is>
      </c>
      <c r="Y413" t="inlineStr">
        <is>
          <t>27798775681</t>
        </is>
      </c>
    </row>
    <row r="414">
      <c r="A414" t="inlineStr">
        <is>
          <t>14900000</t>
        </is>
      </c>
      <c r="B414" t="inlineStr">
        <is>
          <t>e639051c-0fd3-4c25-a2cb-3b65d641c7d9</t>
        </is>
      </c>
      <c r="D414" t="inlineStr">
        <is>
          <t>111111124</t>
        </is>
      </c>
      <c r="E414" t="inlineStr">
        <is>
          <t>Vodacom Life 20260617</t>
        </is>
      </c>
      <c r="G414" t="inlineStr">
        <is>
          <t>BAREND</t>
        </is>
      </c>
      <c r="H414" t="inlineStr">
        <is>
          <t>DU PLESSIS</t>
        </is>
      </c>
      <c r="J414" t="inlineStr">
        <is>
          <t>AE</t>
        </is>
      </c>
      <c r="K414" t="inlineStr">
        <is>
          <t>Auto Engaged</t>
        </is>
      </c>
      <c r="L414" t="n">
        <v>5</v>
      </c>
      <c r="M414" t="inlineStr">
        <is>
          <t>2026-06-29 13:30:40</t>
        </is>
      </c>
      <c r="N414" t="inlineStr">
        <is>
          <t>system</t>
        </is>
      </c>
      <c r="O414" t="inlineStr">
        <is>
          <t>2026-06-17 14:10:06</t>
        </is>
      </c>
      <c r="P414" t="inlineStr">
        <is>
          <t>2026-06-17 14:10:06</t>
        </is>
      </c>
      <c r="Y414" t="inlineStr">
        <is>
          <t>27714115874</t>
        </is>
      </c>
    </row>
    <row r="415">
      <c r="A415" t="inlineStr">
        <is>
          <t>14921697</t>
        </is>
      </c>
      <c r="B415" t="inlineStr">
        <is>
          <t>e1ac76fe-b759-46be-81e4-48545ea765fa</t>
        </is>
      </c>
      <c r="D415" t="inlineStr">
        <is>
          <t>111111124</t>
        </is>
      </c>
      <c r="E415" t="inlineStr">
        <is>
          <t>Vodacom Life 20260617</t>
        </is>
      </c>
      <c r="G415" t="inlineStr">
        <is>
          <t>MAYENZEKE</t>
        </is>
      </c>
      <c r="H415" t="inlineStr">
        <is>
          <t>NKOSI</t>
        </is>
      </c>
      <c r="J415" t="inlineStr">
        <is>
          <t>AA</t>
        </is>
      </c>
      <c r="K415" t="inlineStr">
        <is>
          <t>Answering Machine Autodial</t>
        </is>
      </c>
      <c r="L415" t="n">
        <v>5</v>
      </c>
      <c r="M415" t="inlineStr">
        <is>
          <t>2026-06-29 13:30:40</t>
        </is>
      </c>
      <c r="N415" t="inlineStr">
        <is>
          <t>system</t>
        </is>
      </c>
      <c r="O415" t="inlineStr">
        <is>
          <t>2026-06-17 14:10:06</t>
        </is>
      </c>
      <c r="P415" t="inlineStr">
        <is>
          <t>2026-06-17 14:10:06</t>
        </is>
      </c>
      <c r="Y415" t="inlineStr">
        <is>
          <t>27715219998</t>
        </is>
      </c>
    </row>
    <row r="416">
      <c r="A416" t="inlineStr">
        <is>
          <t>14921698</t>
        </is>
      </c>
      <c r="B416" t="inlineStr">
        <is>
          <t>cc70367a-f75d-473d-b679-b825aa140510</t>
        </is>
      </c>
      <c r="D416" t="inlineStr">
        <is>
          <t>111111124</t>
        </is>
      </c>
      <c r="E416" t="inlineStr">
        <is>
          <t>Vodacom Life 20260617</t>
        </is>
      </c>
      <c r="G416" t="inlineStr">
        <is>
          <t>CAOLINA</t>
        </is>
      </c>
      <c r="H416" t="inlineStr">
        <is>
          <t>SCHOE</t>
        </is>
      </c>
      <c r="J416" t="inlineStr">
        <is>
          <t>NA</t>
        </is>
      </c>
      <c r="K416" t="inlineStr">
        <is>
          <t>No Answer Autodial</t>
        </is>
      </c>
      <c r="L416" t="n">
        <v>5</v>
      </c>
      <c r="M416" t="inlineStr">
        <is>
          <t>2026-06-29 13:30:40</t>
        </is>
      </c>
      <c r="N416" t="inlineStr">
        <is>
          <t>system</t>
        </is>
      </c>
      <c r="O416" t="inlineStr">
        <is>
          <t>2026-06-17 14:10:06</t>
        </is>
      </c>
      <c r="P416" t="inlineStr">
        <is>
          <t>2026-06-17 14:10:06</t>
        </is>
      </c>
      <c r="Y416" t="inlineStr">
        <is>
          <t>27723003913</t>
        </is>
      </c>
    </row>
    <row r="417">
      <c r="A417" t="inlineStr">
        <is>
          <t>14921699</t>
        </is>
      </c>
      <c r="B417" t="inlineStr">
        <is>
          <t>35d4d2a1-e994-4396-9938-310a490d97aa</t>
        </is>
      </c>
      <c r="D417" t="inlineStr">
        <is>
          <t>111111124</t>
        </is>
      </c>
      <c r="E417" t="inlineStr">
        <is>
          <t>Vodacom Life 20260617</t>
        </is>
      </c>
      <c r="G417" t="inlineStr">
        <is>
          <t>TRAVIS</t>
        </is>
      </c>
      <c r="H417" t="inlineStr">
        <is>
          <t>JAMES</t>
        </is>
      </c>
      <c r="J417" t="inlineStr">
        <is>
          <t>AE</t>
        </is>
      </c>
      <c r="K417" t="inlineStr">
        <is>
          <t>Auto Engaged</t>
        </is>
      </c>
      <c r="L417" t="n">
        <v>5</v>
      </c>
      <c r="M417" t="inlineStr">
        <is>
          <t>2026-06-29 13:30:39</t>
        </is>
      </c>
      <c r="N417" t="inlineStr">
        <is>
          <t>system</t>
        </is>
      </c>
      <c r="O417" t="inlineStr">
        <is>
          <t>2026-06-17 14:10:06</t>
        </is>
      </c>
      <c r="P417" t="inlineStr">
        <is>
          <t>2026-06-17 14:10:06</t>
        </is>
      </c>
      <c r="Y417" t="inlineStr">
        <is>
          <t>27648840572</t>
        </is>
      </c>
    </row>
    <row r="418">
      <c r="A418" t="inlineStr">
        <is>
          <t>14921701</t>
        </is>
      </c>
      <c r="B418" t="inlineStr">
        <is>
          <t>a9a64d1b-2c46-44bb-9b79-5610104a01b7</t>
        </is>
      </c>
      <c r="D418" t="inlineStr">
        <is>
          <t>111111124</t>
        </is>
      </c>
      <c r="E418" t="inlineStr">
        <is>
          <t>Vodacom Life 20260617</t>
        </is>
      </c>
      <c r="G418" t="inlineStr">
        <is>
          <t>BELINDA</t>
        </is>
      </c>
      <c r="H418" t="inlineStr">
        <is>
          <t>ABRAHAMS</t>
        </is>
      </c>
      <c r="J418" t="inlineStr">
        <is>
          <t>AA</t>
        </is>
      </c>
      <c r="K418" t="inlineStr">
        <is>
          <t>Answering Machine Autodial</t>
        </is>
      </c>
      <c r="L418" t="n">
        <v>5</v>
      </c>
      <c r="M418" t="inlineStr">
        <is>
          <t>2026-06-29 13:30:39</t>
        </is>
      </c>
      <c r="N418" t="inlineStr">
        <is>
          <t>system</t>
        </is>
      </c>
      <c r="O418" t="inlineStr">
        <is>
          <t>2026-06-17 14:10:06</t>
        </is>
      </c>
      <c r="P418" t="inlineStr">
        <is>
          <t>2026-06-17 14:10:06</t>
        </is>
      </c>
      <c r="Y418" t="inlineStr">
        <is>
          <t>27662046472</t>
        </is>
      </c>
    </row>
    <row r="419">
      <c r="A419" t="inlineStr">
        <is>
          <t>14921132</t>
        </is>
      </c>
      <c r="B419" t="inlineStr">
        <is>
          <t>417fdbc3-e225-4335-aff1-ddce5ca75764</t>
        </is>
      </c>
      <c r="D419" t="inlineStr">
        <is>
          <t>111111124</t>
        </is>
      </c>
      <c r="E419" t="inlineStr">
        <is>
          <t>Vodacom Life 20260617</t>
        </is>
      </c>
      <c r="G419" t="inlineStr">
        <is>
          <t>SIFISO</t>
        </is>
      </c>
      <c r="H419" t="inlineStr">
        <is>
          <t>MNISI</t>
        </is>
      </c>
      <c r="J419" t="inlineStr">
        <is>
          <t>AA</t>
        </is>
      </c>
      <c r="K419" t="inlineStr">
        <is>
          <t>Answering Machine Autodial</t>
        </is>
      </c>
      <c r="L419" t="n">
        <v>5</v>
      </c>
      <c r="M419" t="inlineStr">
        <is>
          <t>2026-06-29 13:28:11</t>
        </is>
      </c>
      <c r="N419" t="inlineStr">
        <is>
          <t>system</t>
        </is>
      </c>
      <c r="O419" t="inlineStr">
        <is>
          <t>2026-06-17 14:10:06</t>
        </is>
      </c>
      <c r="P419" t="inlineStr">
        <is>
          <t>2026-06-17 14:10:06</t>
        </is>
      </c>
      <c r="Y419" t="inlineStr">
        <is>
          <t>27726053657</t>
        </is>
      </c>
    </row>
    <row r="420">
      <c r="A420" t="inlineStr">
        <is>
          <t>14921133</t>
        </is>
      </c>
      <c r="B420" t="inlineStr">
        <is>
          <t>d437aaf1-cc6e-4d37-90e2-48d380e96af6</t>
        </is>
      </c>
      <c r="D420" t="inlineStr">
        <is>
          <t>111111124</t>
        </is>
      </c>
      <c r="E420" t="inlineStr">
        <is>
          <t>Vodacom Life 20260617</t>
        </is>
      </c>
      <c r="G420" t="inlineStr">
        <is>
          <t>DIALE</t>
        </is>
      </c>
      <c r="H420" t="inlineStr">
        <is>
          <t>KGAJE</t>
        </is>
      </c>
      <c r="J420" t="inlineStr">
        <is>
          <t>NA</t>
        </is>
      </c>
      <c r="K420" t="inlineStr">
        <is>
          <t>No Answer Autodial</t>
        </is>
      </c>
      <c r="L420" t="n">
        <v>5</v>
      </c>
      <c r="M420" t="inlineStr">
        <is>
          <t>2026-06-29 13:28:11</t>
        </is>
      </c>
      <c r="N420" t="inlineStr">
        <is>
          <t>system</t>
        </is>
      </c>
      <c r="O420" t="inlineStr">
        <is>
          <t>2026-06-17 14:10:06</t>
        </is>
      </c>
      <c r="P420" t="inlineStr">
        <is>
          <t>2026-06-17 14:10:06</t>
        </is>
      </c>
      <c r="Y420" t="inlineStr">
        <is>
          <t>27662527679</t>
        </is>
      </c>
    </row>
    <row r="421">
      <c r="A421" t="inlineStr">
        <is>
          <t>14921135</t>
        </is>
      </c>
      <c r="B421" t="inlineStr">
        <is>
          <t>b01234ba-8873-43ca-9572-4bbc647f059c</t>
        </is>
      </c>
      <c r="D421" t="inlineStr">
        <is>
          <t>111111124</t>
        </is>
      </c>
      <c r="E421" t="inlineStr">
        <is>
          <t>Vodacom Life 20260617</t>
        </is>
      </c>
      <c r="G421" t="inlineStr">
        <is>
          <t>BEAUTY</t>
        </is>
      </c>
      <c r="H421" t="inlineStr">
        <is>
          <t>RIBA</t>
        </is>
      </c>
      <c r="J421" t="inlineStr">
        <is>
          <t>AE</t>
        </is>
      </c>
      <c r="K421" t="inlineStr">
        <is>
          <t>Auto Engaged</t>
        </is>
      </c>
      <c r="L421" t="n">
        <v>5</v>
      </c>
      <c r="M421" t="inlineStr">
        <is>
          <t>2026-06-29 13:28:08</t>
        </is>
      </c>
      <c r="N421" t="inlineStr">
        <is>
          <t>system</t>
        </is>
      </c>
      <c r="O421" t="inlineStr">
        <is>
          <t>2026-06-17 14:10:06</t>
        </is>
      </c>
      <c r="P421" t="inlineStr">
        <is>
          <t>2026-06-17 14:10:06</t>
        </is>
      </c>
      <c r="Y421" t="inlineStr">
        <is>
          <t>27649070724</t>
        </is>
      </c>
    </row>
    <row r="422">
      <c r="A422" t="inlineStr">
        <is>
          <t>14921137</t>
        </is>
      </c>
      <c r="B422" t="inlineStr">
        <is>
          <t>88c9c5e5-f358-40ba-a0de-cf0a4f94f5c5</t>
        </is>
      </c>
      <c r="D422" t="inlineStr">
        <is>
          <t>111111124</t>
        </is>
      </c>
      <c r="E422" t="inlineStr">
        <is>
          <t>Vodacom Life 20260617</t>
        </is>
      </c>
      <c r="G422" t="inlineStr">
        <is>
          <t>MJABULISENI</t>
        </is>
      </c>
      <c r="H422" t="inlineStr">
        <is>
          <t>GCABA</t>
        </is>
      </c>
      <c r="J422" t="inlineStr">
        <is>
          <t>AE</t>
        </is>
      </c>
      <c r="K422" t="inlineStr">
        <is>
          <t>Auto Engaged</t>
        </is>
      </c>
      <c r="L422" t="n">
        <v>5</v>
      </c>
      <c r="M422" t="inlineStr">
        <is>
          <t>2026-06-29 13:28:07</t>
        </is>
      </c>
      <c r="N422" t="inlineStr">
        <is>
          <t>system</t>
        </is>
      </c>
      <c r="O422" t="inlineStr">
        <is>
          <t>2026-06-17 14:10:06</t>
        </is>
      </c>
      <c r="P422" t="inlineStr">
        <is>
          <t>2026-06-17 14:10:06</t>
        </is>
      </c>
      <c r="Y422" t="inlineStr">
        <is>
          <t>27826557453</t>
        </is>
      </c>
    </row>
    <row r="423">
      <c r="A423" t="inlineStr">
        <is>
          <t>14921138</t>
        </is>
      </c>
      <c r="B423" t="inlineStr">
        <is>
          <t>d79e0499-09e0-477c-8059-6a908920d3a7</t>
        </is>
      </c>
      <c r="D423" t="inlineStr">
        <is>
          <t>111111124</t>
        </is>
      </c>
      <c r="E423" t="inlineStr">
        <is>
          <t>Vodacom Life 20260617</t>
        </is>
      </c>
      <c r="G423" t="inlineStr">
        <is>
          <t>CONSTACE</t>
        </is>
      </c>
      <c r="H423" t="inlineStr">
        <is>
          <t>SHABANGU</t>
        </is>
      </c>
      <c r="J423" t="inlineStr">
        <is>
          <t>AA</t>
        </is>
      </c>
      <c r="K423" t="inlineStr">
        <is>
          <t>Answering Machine Autodial</t>
        </is>
      </c>
      <c r="L423" t="n">
        <v>5</v>
      </c>
      <c r="M423" t="inlineStr">
        <is>
          <t>2026-06-29 13:28:07</t>
        </is>
      </c>
      <c r="N423" t="inlineStr">
        <is>
          <t>system</t>
        </is>
      </c>
      <c r="O423" t="inlineStr">
        <is>
          <t>2026-06-17 14:10:06</t>
        </is>
      </c>
      <c r="P423" t="inlineStr">
        <is>
          <t>2026-06-17 14:10:06</t>
        </is>
      </c>
      <c r="Y423" t="inlineStr">
        <is>
          <t>27827021904</t>
        </is>
      </c>
    </row>
    <row r="424">
      <c r="A424" t="inlineStr">
        <is>
          <t>14921574</t>
        </is>
      </c>
      <c r="B424" t="inlineStr">
        <is>
          <t>74b21761-a882-466c-96ea-6970ece612bd</t>
        </is>
      </c>
      <c r="D424" t="inlineStr">
        <is>
          <t>111111124</t>
        </is>
      </c>
      <c r="E424" t="inlineStr">
        <is>
          <t>Vodacom Life 20260617</t>
        </is>
      </c>
      <c r="G424" t="inlineStr">
        <is>
          <t>RAPHAEL</t>
        </is>
      </c>
      <c r="H424" t="inlineStr">
        <is>
          <t>NXUMALO</t>
        </is>
      </c>
      <c r="J424" t="inlineStr">
        <is>
          <t>AE</t>
        </is>
      </c>
      <c r="K424" t="inlineStr">
        <is>
          <t>Auto Engaged</t>
        </is>
      </c>
      <c r="L424" t="n">
        <v>5</v>
      </c>
      <c r="M424" t="inlineStr">
        <is>
          <t>2026-06-29 13:28:07</t>
        </is>
      </c>
      <c r="N424" t="inlineStr">
        <is>
          <t>system</t>
        </is>
      </c>
      <c r="O424" t="inlineStr">
        <is>
          <t>2026-06-17 14:10:06</t>
        </is>
      </c>
      <c r="P424" t="inlineStr">
        <is>
          <t>2026-06-17 14:10:06</t>
        </is>
      </c>
      <c r="Y424" t="inlineStr">
        <is>
          <t>27797905379</t>
        </is>
      </c>
    </row>
    <row r="425">
      <c r="A425" t="inlineStr">
        <is>
          <t>14921160</t>
        </is>
      </c>
      <c r="B425" t="inlineStr">
        <is>
          <t>7ddec189-f2b7-448e-bbe3-bc0d4b7babf1</t>
        </is>
      </c>
      <c r="D425" t="inlineStr">
        <is>
          <t>111111124</t>
        </is>
      </c>
      <c r="E425" t="inlineStr">
        <is>
          <t>Vodacom Life 20260617</t>
        </is>
      </c>
      <c r="G425" t="inlineStr">
        <is>
          <t>MZIWAMAKHOZA</t>
        </is>
      </c>
      <c r="H425" t="inlineStr">
        <is>
          <t>BUSO</t>
        </is>
      </c>
      <c r="J425" t="inlineStr">
        <is>
          <t>CBACK</t>
        </is>
      </c>
      <c r="K425" t="inlineStr">
        <is>
          <t>Callback</t>
        </is>
      </c>
      <c r="L425" t="n">
        <v>5</v>
      </c>
      <c r="M425" t="inlineStr">
        <is>
          <t>2026-06-29 13:28:06</t>
        </is>
      </c>
      <c r="N425" t="inlineStr">
        <is>
          <t>Maureen Ntsoko</t>
        </is>
      </c>
      <c r="O425" t="inlineStr">
        <is>
          <t>2026-06-17 14:10:06</t>
        </is>
      </c>
      <c r="P425" t="inlineStr">
        <is>
          <t>2026-06-17 14:10:06</t>
        </is>
      </c>
      <c r="Y425" t="inlineStr">
        <is>
          <t>27828976941</t>
        </is>
      </c>
    </row>
    <row r="426">
      <c r="A426" t="inlineStr">
        <is>
          <t>14921288</t>
        </is>
      </c>
      <c r="B426" t="inlineStr">
        <is>
          <t>9fef9e78-7c64-45da-96f5-6f0a00278b94</t>
        </is>
      </c>
      <c r="D426" t="inlineStr">
        <is>
          <t>111111124</t>
        </is>
      </c>
      <c r="E426" t="inlineStr">
        <is>
          <t>Vodacom Life 20260617</t>
        </is>
      </c>
      <c r="G426" t="inlineStr">
        <is>
          <t>JABULISILE</t>
        </is>
      </c>
      <c r="H426" t="inlineStr">
        <is>
          <t>MAPHUMULO</t>
        </is>
      </c>
      <c r="J426" t="inlineStr">
        <is>
          <t>NA</t>
        </is>
      </c>
      <c r="K426" t="inlineStr">
        <is>
          <t>No Answer Autodial</t>
        </is>
      </c>
      <c r="L426" t="n">
        <v>5</v>
      </c>
      <c r="M426" t="inlineStr">
        <is>
          <t>2026-06-29 13:27:13</t>
        </is>
      </c>
      <c r="N426" t="inlineStr">
        <is>
          <t>system</t>
        </is>
      </c>
      <c r="O426" t="inlineStr">
        <is>
          <t>2026-06-17 14:10:06</t>
        </is>
      </c>
      <c r="P426" t="inlineStr">
        <is>
          <t>2026-06-17 14:10:06</t>
        </is>
      </c>
      <c r="Y426" t="inlineStr">
        <is>
          <t>27722659735</t>
        </is>
      </c>
    </row>
    <row r="427">
      <c r="A427" t="inlineStr">
        <is>
          <t>14921289</t>
        </is>
      </c>
      <c r="B427" t="inlineStr">
        <is>
          <t>d857af22-f995-463d-a9dc-56ec1d5645bf</t>
        </is>
      </c>
      <c r="D427" t="inlineStr">
        <is>
          <t>111111124</t>
        </is>
      </c>
      <c r="E427" t="inlineStr">
        <is>
          <t>Vodacom Life 20260617</t>
        </is>
      </c>
      <c r="G427" t="inlineStr">
        <is>
          <t>MANDLAKHE</t>
        </is>
      </c>
      <c r="H427" t="inlineStr">
        <is>
          <t>GAMBUSHE</t>
        </is>
      </c>
      <c r="J427" t="inlineStr">
        <is>
          <t>AE</t>
        </is>
      </c>
      <c r="K427" t="inlineStr">
        <is>
          <t>Auto Engaged</t>
        </is>
      </c>
      <c r="L427" t="n">
        <v>5</v>
      </c>
      <c r="M427" t="inlineStr">
        <is>
          <t>2026-06-29 13:27:10</t>
        </is>
      </c>
      <c r="N427" t="inlineStr">
        <is>
          <t>system</t>
        </is>
      </c>
      <c r="O427" t="inlineStr">
        <is>
          <t>2026-06-17 14:10:06</t>
        </is>
      </c>
      <c r="P427" t="inlineStr">
        <is>
          <t>2026-06-17 14:10:06</t>
        </is>
      </c>
      <c r="Y427" t="inlineStr">
        <is>
          <t>27724083572</t>
        </is>
      </c>
    </row>
    <row r="428">
      <c r="A428" t="inlineStr">
        <is>
          <t>14921290</t>
        </is>
      </c>
      <c r="B428" t="inlineStr">
        <is>
          <t>4c59c0aa-f22f-489f-bbcd-4284c83bffba</t>
        </is>
      </c>
      <c r="D428" t="inlineStr">
        <is>
          <t>111111124</t>
        </is>
      </c>
      <c r="E428" t="inlineStr">
        <is>
          <t>Vodacom Life 20260617</t>
        </is>
      </c>
      <c r="G428" t="inlineStr">
        <is>
          <t>EILEEN</t>
        </is>
      </c>
      <c r="H428" t="inlineStr">
        <is>
          <t>STEINHOBEL</t>
        </is>
      </c>
      <c r="J428" t="inlineStr">
        <is>
          <t>DROP</t>
        </is>
      </c>
      <c r="K428" t="inlineStr">
        <is>
          <t>Dropped</t>
        </is>
      </c>
      <c r="L428" t="n">
        <v>5</v>
      </c>
      <c r="M428" t="inlineStr">
        <is>
          <t>2026-06-29 13:27:06</t>
        </is>
      </c>
      <c r="N428" t="inlineStr">
        <is>
          <t>system</t>
        </is>
      </c>
      <c r="O428" t="inlineStr">
        <is>
          <t>2026-06-17 14:10:06</t>
        </is>
      </c>
      <c r="P428" t="inlineStr">
        <is>
          <t>2026-06-17 14:10:06</t>
        </is>
      </c>
      <c r="Y428" t="inlineStr">
        <is>
          <t>27798858067</t>
        </is>
      </c>
    </row>
    <row r="429">
      <c r="A429" t="inlineStr">
        <is>
          <t>14921293</t>
        </is>
      </c>
      <c r="B429" t="inlineStr">
        <is>
          <t>186c7e6e-7a85-4c2a-9e64-4a537a180995</t>
        </is>
      </c>
      <c r="D429" t="inlineStr">
        <is>
          <t>111111124</t>
        </is>
      </c>
      <c r="E429" t="inlineStr">
        <is>
          <t>Vodacom Life 20260617</t>
        </is>
      </c>
      <c r="G429" t="inlineStr">
        <is>
          <t>GEORGE</t>
        </is>
      </c>
      <c r="H429" t="inlineStr">
        <is>
          <t>MCNICOL</t>
        </is>
      </c>
      <c r="J429" t="inlineStr">
        <is>
          <t>AA</t>
        </is>
      </c>
      <c r="K429" t="inlineStr">
        <is>
          <t>Answering Machine Autodial</t>
        </is>
      </c>
      <c r="L429" t="n">
        <v>5</v>
      </c>
      <c r="M429" t="inlineStr">
        <is>
          <t>2026-06-29 13:26:58</t>
        </is>
      </c>
      <c r="N429" t="inlineStr">
        <is>
          <t>system</t>
        </is>
      </c>
      <c r="O429" t="inlineStr">
        <is>
          <t>2026-06-17 14:10:06</t>
        </is>
      </c>
      <c r="P429" t="inlineStr">
        <is>
          <t>2026-06-17 14:10:06</t>
        </is>
      </c>
      <c r="Y429" t="inlineStr">
        <is>
          <t>27722010233</t>
        </is>
      </c>
    </row>
    <row r="430">
      <c r="A430" t="inlineStr">
        <is>
          <t>14921295</t>
        </is>
      </c>
      <c r="B430" t="inlineStr">
        <is>
          <t>d6a62cab-f54d-42e9-b94e-d19bcddb82f7</t>
        </is>
      </c>
      <c r="D430" t="inlineStr">
        <is>
          <t>111111124</t>
        </is>
      </c>
      <c r="E430" t="inlineStr">
        <is>
          <t>Vodacom Life 20260617</t>
        </is>
      </c>
      <c r="G430" t="inlineStr">
        <is>
          <t>KUTLWANO</t>
        </is>
      </c>
      <c r="H430" t="inlineStr">
        <is>
          <t>LEGWALE</t>
        </is>
      </c>
      <c r="J430" t="inlineStr">
        <is>
          <t>AA</t>
        </is>
      </c>
      <c r="K430" t="inlineStr">
        <is>
          <t>Answering Machine Autodial</t>
        </is>
      </c>
      <c r="L430" t="n">
        <v>5</v>
      </c>
      <c r="M430" t="inlineStr">
        <is>
          <t>2026-06-29 13:26:58</t>
        </is>
      </c>
      <c r="N430" t="inlineStr">
        <is>
          <t>system</t>
        </is>
      </c>
      <c r="O430" t="inlineStr">
        <is>
          <t>2026-06-17 14:10:06</t>
        </is>
      </c>
      <c r="P430" t="inlineStr">
        <is>
          <t>2026-06-17 14:10:06</t>
        </is>
      </c>
      <c r="Y430" t="inlineStr">
        <is>
          <t>27662389266</t>
        </is>
      </c>
    </row>
    <row r="431">
      <c r="A431" t="inlineStr">
        <is>
          <t>14921296</t>
        </is>
      </c>
      <c r="B431" t="inlineStr">
        <is>
          <t>f5efc3c6-f92c-442e-ac96-8ffa94f3b746</t>
        </is>
      </c>
      <c r="D431" t="inlineStr">
        <is>
          <t>111111124</t>
        </is>
      </c>
      <c r="E431" t="inlineStr">
        <is>
          <t>Vodacom Life 20260617</t>
        </is>
      </c>
      <c r="G431" t="inlineStr">
        <is>
          <t>FREDERIK</t>
        </is>
      </c>
      <c r="H431" t="inlineStr">
        <is>
          <t>SWANEPOEL</t>
        </is>
      </c>
      <c r="J431" t="inlineStr">
        <is>
          <t>AE</t>
        </is>
      </c>
      <c r="K431" t="inlineStr">
        <is>
          <t>Auto Engaged</t>
        </is>
      </c>
      <c r="L431" t="n">
        <v>5</v>
      </c>
      <c r="M431" t="inlineStr">
        <is>
          <t>2026-06-29 13:26:52</t>
        </is>
      </c>
      <c r="N431" t="inlineStr">
        <is>
          <t>system</t>
        </is>
      </c>
      <c r="O431" t="inlineStr">
        <is>
          <t>2026-06-17 14:10:06</t>
        </is>
      </c>
      <c r="P431" t="inlineStr">
        <is>
          <t>2026-06-17 14:10:06</t>
        </is>
      </c>
      <c r="Y431" t="inlineStr">
        <is>
          <t>27716868493</t>
        </is>
      </c>
    </row>
    <row r="432">
      <c r="A432" t="inlineStr">
        <is>
          <t>14921298</t>
        </is>
      </c>
      <c r="B432" t="inlineStr">
        <is>
          <t>b9f846c0-748c-4587-9117-cb5643bdad84</t>
        </is>
      </c>
      <c r="D432" t="inlineStr">
        <is>
          <t>111111124</t>
        </is>
      </c>
      <c r="E432" t="inlineStr">
        <is>
          <t>Vodacom Life 20260617</t>
        </is>
      </c>
      <c r="G432" t="inlineStr">
        <is>
          <t>SISIPHO</t>
        </is>
      </c>
      <c r="H432" t="inlineStr">
        <is>
          <t>NXIWA</t>
        </is>
      </c>
      <c r="J432" t="inlineStr">
        <is>
          <t>AA</t>
        </is>
      </c>
      <c r="K432" t="inlineStr">
        <is>
          <t>Answering Machine Autodial</t>
        </is>
      </c>
      <c r="L432" t="n">
        <v>5</v>
      </c>
      <c r="M432" t="inlineStr">
        <is>
          <t>2026-06-29 13:26:47</t>
        </is>
      </c>
      <c r="N432" t="inlineStr">
        <is>
          <t>system</t>
        </is>
      </c>
      <c r="O432" t="inlineStr">
        <is>
          <t>2026-06-17 14:10:06</t>
        </is>
      </c>
      <c r="P432" t="inlineStr">
        <is>
          <t>2026-06-17 14:10:06</t>
        </is>
      </c>
      <c r="Y432" t="inlineStr">
        <is>
          <t>27712735566</t>
        </is>
      </c>
    </row>
    <row r="433">
      <c r="A433" t="inlineStr">
        <is>
          <t>14921299</t>
        </is>
      </c>
      <c r="B433" t="inlineStr">
        <is>
          <t>4befbfa6-4256-4e9e-be33-4f01d3b2a9a6</t>
        </is>
      </c>
      <c r="D433" t="inlineStr">
        <is>
          <t>111111124</t>
        </is>
      </c>
      <c r="E433" t="inlineStr">
        <is>
          <t>Vodacom Life 20260617</t>
        </is>
      </c>
      <c r="G433" t="inlineStr">
        <is>
          <t>GAUTA</t>
        </is>
      </c>
      <c r="H433" t="inlineStr">
        <is>
          <t>MOTOKOA</t>
        </is>
      </c>
      <c r="J433" t="inlineStr">
        <is>
          <t>AE</t>
        </is>
      </c>
      <c r="K433" t="inlineStr">
        <is>
          <t>Auto Engaged</t>
        </is>
      </c>
      <c r="L433" t="n">
        <v>5</v>
      </c>
      <c r="M433" t="inlineStr">
        <is>
          <t>2026-06-29 13:26:45</t>
        </is>
      </c>
      <c r="N433" t="inlineStr">
        <is>
          <t>system</t>
        </is>
      </c>
      <c r="O433" t="inlineStr">
        <is>
          <t>2026-06-17 14:10:06</t>
        </is>
      </c>
      <c r="P433" t="inlineStr">
        <is>
          <t>2026-06-17 14:10:06</t>
        </is>
      </c>
      <c r="Y433" t="inlineStr">
        <is>
          <t>27647512794</t>
        </is>
      </c>
    </row>
    <row r="434">
      <c r="A434" t="inlineStr">
        <is>
          <t>14921300</t>
        </is>
      </c>
      <c r="B434" t="inlineStr">
        <is>
          <t>e0f86ab9-0139-4569-831c-8f1b18290bc6</t>
        </is>
      </c>
      <c r="D434" t="inlineStr">
        <is>
          <t>111111124</t>
        </is>
      </c>
      <c r="E434" t="inlineStr">
        <is>
          <t>Vodacom Life 20260617</t>
        </is>
      </c>
      <c r="G434" t="inlineStr">
        <is>
          <t>MICHAEL</t>
        </is>
      </c>
      <c r="H434" t="inlineStr">
        <is>
          <t>CHIBI</t>
        </is>
      </c>
      <c r="J434" t="inlineStr">
        <is>
          <t>CU</t>
        </is>
      </c>
      <c r="K434" t="inlineStr">
        <is>
          <t>Client Hung Up</t>
        </is>
      </c>
      <c r="L434" t="n">
        <v>5</v>
      </c>
      <c r="M434" t="inlineStr">
        <is>
          <t>2026-06-29 13:26:38</t>
        </is>
      </c>
      <c r="N434" t="inlineStr">
        <is>
          <t>Maureen Ntsoko</t>
        </is>
      </c>
      <c r="O434" t="inlineStr">
        <is>
          <t>2026-06-17 14:10:06</t>
        </is>
      </c>
      <c r="P434" t="inlineStr">
        <is>
          <t>2026-06-17 14:10:06</t>
        </is>
      </c>
      <c r="Y434" t="inlineStr">
        <is>
          <t>27662527380</t>
        </is>
      </c>
    </row>
    <row r="435">
      <c r="A435" t="inlineStr">
        <is>
          <t>14921301</t>
        </is>
      </c>
      <c r="B435" t="inlineStr">
        <is>
          <t>f6aba106-c92e-4a81-91ba-eabf714b0653</t>
        </is>
      </c>
      <c r="D435" t="inlineStr">
        <is>
          <t>111111124</t>
        </is>
      </c>
      <c r="E435" t="inlineStr">
        <is>
          <t>Vodacom Life 20260617</t>
        </is>
      </c>
      <c r="G435" t="inlineStr">
        <is>
          <t>MABONWA</t>
        </is>
      </c>
      <c r="H435" t="inlineStr">
        <is>
          <t>NEO</t>
        </is>
      </c>
      <c r="J435" t="inlineStr">
        <is>
          <t>AE</t>
        </is>
      </c>
      <c r="K435" t="inlineStr">
        <is>
          <t>Auto Engaged</t>
        </is>
      </c>
      <c r="L435" t="n">
        <v>5</v>
      </c>
      <c r="M435" t="inlineStr">
        <is>
          <t>2026-06-29 13:26:36</t>
        </is>
      </c>
      <c r="N435" t="inlineStr">
        <is>
          <t>system</t>
        </is>
      </c>
      <c r="O435" t="inlineStr">
        <is>
          <t>2026-06-17 14:10:06</t>
        </is>
      </c>
      <c r="P435" t="inlineStr">
        <is>
          <t>2026-06-17 14:10:06</t>
        </is>
      </c>
      <c r="Y435" t="inlineStr">
        <is>
          <t>27723535367</t>
        </is>
      </c>
    </row>
    <row r="436">
      <c r="A436" t="inlineStr">
        <is>
          <t>14921303</t>
        </is>
      </c>
      <c r="B436" t="inlineStr">
        <is>
          <t>d746017e-48ce-4d5a-8d1d-60dee2bdaaa6</t>
        </is>
      </c>
      <c r="D436" t="inlineStr">
        <is>
          <t>111111124</t>
        </is>
      </c>
      <c r="E436" t="inlineStr">
        <is>
          <t>Vodacom Life 20260617</t>
        </is>
      </c>
      <c r="G436" t="inlineStr">
        <is>
          <t>MUANO</t>
        </is>
      </c>
      <c r="H436" t="inlineStr">
        <is>
          <t>MMBUBANA</t>
        </is>
      </c>
      <c r="J436" t="inlineStr">
        <is>
          <t>AE</t>
        </is>
      </c>
      <c r="K436" t="inlineStr">
        <is>
          <t>Auto Engaged</t>
        </is>
      </c>
      <c r="L436" t="n">
        <v>5</v>
      </c>
      <c r="M436" t="inlineStr">
        <is>
          <t>2026-06-29 13:26:34</t>
        </is>
      </c>
      <c r="N436" t="inlineStr">
        <is>
          <t>system</t>
        </is>
      </c>
      <c r="O436" t="inlineStr">
        <is>
          <t>2026-06-17 14:10:06</t>
        </is>
      </c>
      <c r="P436" t="inlineStr">
        <is>
          <t>2026-06-17 14:10:06</t>
        </is>
      </c>
      <c r="Y436" t="inlineStr">
        <is>
          <t>27799005284</t>
        </is>
      </c>
    </row>
    <row r="437">
      <c r="A437" t="inlineStr">
        <is>
          <t>14921305</t>
        </is>
      </c>
      <c r="B437" t="inlineStr">
        <is>
          <t>6fe2f917-c410-4a29-a842-cc3fd4211fa9</t>
        </is>
      </c>
      <c r="D437" t="inlineStr">
        <is>
          <t>111111124</t>
        </is>
      </c>
      <c r="E437" t="inlineStr">
        <is>
          <t>Vodacom Life 20260617</t>
        </is>
      </c>
      <c r="G437" t="inlineStr">
        <is>
          <t>AWELANI</t>
        </is>
      </c>
      <c r="H437" t="inlineStr">
        <is>
          <t>MUKWEVHO</t>
        </is>
      </c>
      <c r="J437" t="inlineStr">
        <is>
          <t>AA</t>
        </is>
      </c>
      <c r="K437" t="inlineStr">
        <is>
          <t>Answering Machine Autodial</t>
        </is>
      </c>
      <c r="L437" t="n">
        <v>5</v>
      </c>
      <c r="M437" t="inlineStr">
        <is>
          <t>2026-06-29 13:26:33</t>
        </is>
      </c>
      <c r="N437" t="inlineStr">
        <is>
          <t>system</t>
        </is>
      </c>
      <c r="O437" t="inlineStr">
        <is>
          <t>2026-06-17 14:10:06</t>
        </is>
      </c>
      <c r="P437" t="inlineStr">
        <is>
          <t>2026-06-17 14:10:06</t>
        </is>
      </c>
      <c r="Y437" t="inlineStr">
        <is>
          <t>27637496189</t>
        </is>
      </c>
    </row>
    <row r="438">
      <c r="A438" t="inlineStr">
        <is>
          <t>14921306</t>
        </is>
      </c>
      <c r="B438" t="inlineStr">
        <is>
          <t>74a1f0f5-d48f-4948-9ad6-5c7f71e0c9d5</t>
        </is>
      </c>
      <c r="D438" t="inlineStr">
        <is>
          <t>111111124</t>
        </is>
      </c>
      <c r="E438" t="inlineStr">
        <is>
          <t>Vodacom Life 20260617</t>
        </is>
      </c>
      <c r="G438" t="inlineStr">
        <is>
          <t>SELAELO</t>
        </is>
      </c>
      <c r="H438" t="inlineStr">
        <is>
          <t>SEBONE</t>
        </is>
      </c>
      <c r="J438" t="inlineStr">
        <is>
          <t>AE</t>
        </is>
      </c>
      <c r="K438" t="inlineStr">
        <is>
          <t>Auto Engaged</t>
        </is>
      </c>
      <c r="L438" t="n">
        <v>5</v>
      </c>
      <c r="M438" t="inlineStr">
        <is>
          <t>2026-06-29 13:26:29</t>
        </is>
      </c>
      <c r="N438" t="inlineStr">
        <is>
          <t>system</t>
        </is>
      </c>
      <c r="O438" t="inlineStr">
        <is>
          <t>2026-06-17 14:10:06</t>
        </is>
      </c>
      <c r="P438" t="inlineStr">
        <is>
          <t>2026-06-17 14:10:06</t>
        </is>
      </c>
      <c r="Y438" t="inlineStr">
        <is>
          <t>27828796738</t>
        </is>
      </c>
    </row>
    <row r="439">
      <c r="A439" t="inlineStr">
        <is>
          <t>14921307</t>
        </is>
      </c>
      <c r="B439" t="inlineStr">
        <is>
          <t>472429aa-243d-4af5-a4cd-75dbdc0d0ec1</t>
        </is>
      </c>
      <c r="D439" t="inlineStr">
        <is>
          <t>111111124</t>
        </is>
      </c>
      <c r="E439" t="inlineStr">
        <is>
          <t>Vodacom Life 20260617</t>
        </is>
      </c>
      <c r="G439" t="inlineStr">
        <is>
          <t>DEON</t>
        </is>
      </c>
      <c r="H439" t="inlineStr">
        <is>
          <t>JACOBS</t>
        </is>
      </c>
      <c r="J439" t="inlineStr">
        <is>
          <t>AE</t>
        </is>
      </c>
      <c r="K439" t="inlineStr">
        <is>
          <t>Auto Engaged</t>
        </is>
      </c>
      <c r="L439" t="n">
        <v>5</v>
      </c>
      <c r="M439" t="inlineStr">
        <is>
          <t>2026-06-29 13:26:29</t>
        </is>
      </c>
      <c r="N439" t="inlineStr">
        <is>
          <t>system</t>
        </is>
      </c>
      <c r="O439" t="inlineStr">
        <is>
          <t>2026-06-17 14:10:06</t>
        </is>
      </c>
      <c r="P439" t="inlineStr">
        <is>
          <t>2026-06-17 14:10:06</t>
        </is>
      </c>
      <c r="Y439" t="inlineStr">
        <is>
          <t>27762064294</t>
        </is>
      </c>
    </row>
    <row r="440">
      <c r="A440" t="inlineStr">
        <is>
          <t>14921308</t>
        </is>
      </c>
      <c r="B440" t="inlineStr">
        <is>
          <t>2b35ff63-090b-4164-8937-8db45badb010</t>
        </is>
      </c>
      <c r="D440" t="inlineStr">
        <is>
          <t>111111124</t>
        </is>
      </c>
      <c r="E440" t="inlineStr">
        <is>
          <t>Vodacom Life 20260617</t>
        </is>
      </c>
      <c r="G440" t="inlineStr">
        <is>
          <t>DEON</t>
        </is>
      </c>
      <c r="H440" t="inlineStr">
        <is>
          <t>MACKRILL</t>
        </is>
      </c>
      <c r="J440" t="inlineStr">
        <is>
          <t>AE</t>
        </is>
      </c>
      <c r="K440" t="inlineStr">
        <is>
          <t>Auto Engaged</t>
        </is>
      </c>
      <c r="L440" t="n">
        <v>5</v>
      </c>
      <c r="M440" t="inlineStr">
        <is>
          <t>2026-06-29 13:26:29</t>
        </is>
      </c>
      <c r="N440" t="inlineStr">
        <is>
          <t>system</t>
        </is>
      </c>
      <c r="O440" t="inlineStr">
        <is>
          <t>2026-06-17 14:10:06</t>
        </is>
      </c>
      <c r="P440" t="inlineStr">
        <is>
          <t>2026-06-17 14:10:06</t>
        </is>
      </c>
      <c r="Y440" t="inlineStr">
        <is>
          <t>27793333973</t>
        </is>
      </c>
    </row>
    <row r="441">
      <c r="A441" t="inlineStr">
        <is>
          <t>14921270</t>
        </is>
      </c>
      <c r="B441" t="inlineStr">
        <is>
          <t>bd2fbd6b-72cf-4356-81b2-e71af3515fd2</t>
        </is>
      </c>
      <c r="D441" t="inlineStr">
        <is>
          <t>111111124</t>
        </is>
      </c>
      <c r="E441" t="inlineStr">
        <is>
          <t>Vodacom Life 20260617</t>
        </is>
      </c>
      <c r="G441" t="inlineStr">
        <is>
          <t>KEDITLWAETSE</t>
        </is>
      </c>
      <c r="H441" t="inlineStr">
        <is>
          <t>PEELE</t>
        </is>
      </c>
      <c r="J441" t="inlineStr">
        <is>
          <t>NA</t>
        </is>
      </c>
      <c r="K441" t="inlineStr">
        <is>
          <t>No Answer Autodial</t>
        </is>
      </c>
      <c r="L441" t="n">
        <v>5</v>
      </c>
      <c r="M441" t="inlineStr">
        <is>
          <t>2026-06-29 13:25:46</t>
        </is>
      </c>
      <c r="N441" t="inlineStr">
        <is>
          <t>system</t>
        </is>
      </c>
      <c r="O441" t="inlineStr">
        <is>
          <t>2026-06-17 14:10:06</t>
        </is>
      </c>
      <c r="P441" t="inlineStr">
        <is>
          <t>2026-06-17 14:10:06</t>
        </is>
      </c>
      <c r="Y441" t="inlineStr">
        <is>
          <t>27825368340</t>
        </is>
      </c>
    </row>
    <row r="442">
      <c r="A442" t="inlineStr">
        <is>
          <t>14921271</t>
        </is>
      </c>
      <c r="B442" t="inlineStr">
        <is>
          <t>06c619e6-27ec-4247-b25e-fb6ed0fecfe1</t>
        </is>
      </c>
      <c r="D442" t="inlineStr">
        <is>
          <t>111111124</t>
        </is>
      </c>
      <c r="E442" t="inlineStr">
        <is>
          <t>Vodacom Life 20260617</t>
        </is>
      </c>
      <c r="G442" t="inlineStr">
        <is>
          <t>DIKELEDI</t>
        </is>
      </c>
      <c r="H442" t="inlineStr">
        <is>
          <t>MAMAILA</t>
        </is>
      </c>
      <c r="J442" t="inlineStr">
        <is>
          <t>DROP</t>
        </is>
      </c>
      <c r="K442" t="inlineStr">
        <is>
          <t>Dropped</t>
        </is>
      </c>
      <c r="L442" t="n">
        <v>5</v>
      </c>
      <c r="M442" t="inlineStr">
        <is>
          <t>2026-06-29 13:25:45</t>
        </is>
      </c>
      <c r="N442" t="inlineStr">
        <is>
          <t>system</t>
        </is>
      </c>
      <c r="O442" t="inlineStr">
        <is>
          <t>2026-06-17 14:10:06</t>
        </is>
      </c>
      <c r="P442" t="inlineStr">
        <is>
          <t>2026-06-17 14:10:06</t>
        </is>
      </c>
      <c r="Y442" t="inlineStr">
        <is>
          <t>27824320238</t>
        </is>
      </c>
    </row>
    <row r="443">
      <c r="A443" t="inlineStr">
        <is>
          <t>14921273</t>
        </is>
      </c>
      <c r="B443" t="inlineStr">
        <is>
          <t>da7e6e45-7c9e-420a-97e8-656c1fb8fe61</t>
        </is>
      </c>
      <c r="D443" t="inlineStr">
        <is>
          <t>111111124</t>
        </is>
      </c>
      <c r="E443" t="inlineStr">
        <is>
          <t>Vodacom Life 20260617</t>
        </is>
      </c>
      <c r="G443" t="inlineStr">
        <is>
          <t>AVIWE</t>
        </is>
      </c>
      <c r="H443" t="inlineStr">
        <is>
          <t>NGOZI</t>
        </is>
      </c>
      <c r="J443" t="inlineStr">
        <is>
          <t>DROP</t>
        </is>
      </c>
      <c r="K443" t="inlineStr">
        <is>
          <t>Dropped</t>
        </is>
      </c>
      <c r="L443" t="n">
        <v>5</v>
      </c>
      <c r="M443" t="inlineStr">
        <is>
          <t>2026-06-29 13:25:45</t>
        </is>
      </c>
      <c r="N443" t="inlineStr">
        <is>
          <t>system</t>
        </is>
      </c>
      <c r="O443" t="inlineStr">
        <is>
          <t>2026-06-17 14:10:06</t>
        </is>
      </c>
      <c r="P443" t="inlineStr">
        <is>
          <t>2026-06-17 14:10:06</t>
        </is>
      </c>
      <c r="Y443" t="inlineStr">
        <is>
          <t>27764037415</t>
        </is>
      </c>
    </row>
    <row r="444">
      <c r="A444" t="inlineStr">
        <is>
          <t>14921274</t>
        </is>
      </c>
      <c r="B444" t="inlineStr">
        <is>
          <t>16880d82-43de-4ef8-85bd-54c371803b7f</t>
        </is>
      </c>
      <c r="D444" t="inlineStr">
        <is>
          <t>111111124</t>
        </is>
      </c>
      <c r="E444" t="inlineStr">
        <is>
          <t>Vodacom Life 20260617</t>
        </is>
      </c>
      <c r="G444" t="inlineStr">
        <is>
          <t>PETRUS</t>
        </is>
      </c>
      <c r="H444" t="inlineStr">
        <is>
          <t>VAN SCHALKWYK</t>
        </is>
      </c>
      <c r="J444" t="inlineStr">
        <is>
          <t>A</t>
        </is>
      </c>
      <c r="K444" t="inlineStr">
        <is>
          <t>Answering Machine</t>
        </is>
      </c>
      <c r="L444" t="n">
        <v>5</v>
      </c>
      <c r="M444" t="inlineStr">
        <is>
          <t>2026-06-29 13:25:45</t>
        </is>
      </c>
      <c r="N444" t="inlineStr">
        <is>
          <t>Maureen Ntsoko</t>
        </is>
      </c>
      <c r="O444" t="inlineStr">
        <is>
          <t>2026-06-17 14:10:06</t>
        </is>
      </c>
      <c r="P444" t="inlineStr">
        <is>
          <t>2026-06-17 14:10:06</t>
        </is>
      </c>
      <c r="Y444" t="inlineStr">
        <is>
          <t>27826894988</t>
        </is>
      </c>
    </row>
    <row r="445">
      <c r="A445" t="inlineStr">
        <is>
          <t>14921275</t>
        </is>
      </c>
      <c r="B445" t="inlineStr">
        <is>
          <t>c3161e96-b529-46ad-a329-d0bcbaeea33b</t>
        </is>
      </c>
      <c r="D445" t="inlineStr">
        <is>
          <t>111111124</t>
        </is>
      </c>
      <c r="E445" t="inlineStr">
        <is>
          <t>Vodacom Life 20260617</t>
        </is>
      </c>
      <c r="G445" t="inlineStr">
        <is>
          <t>ELLEN</t>
        </is>
      </c>
      <c r="H445" t="inlineStr">
        <is>
          <t>MOLELEKI</t>
        </is>
      </c>
      <c r="J445" t="inlineStr">
        <is>
          <t>DROP</t>
        </is>
      </c>
      <c r="K445" t="inlineStr">
        <is>
          <t>Dropped</t>
        </is>
      </c>
      <c r="L445" t="n">
        <v>5</v>
      </c>
      <c r="M445" t="inlineStr">
        <is>
          <t>2026-06-29 13:25:37</t>
        </is>
      </c>
      <c r="N445" t="inlineStr">
        <is>
          <t>system</t>
        </is>
      </c>
      <c r="O445" t="inlineStr">
        <is>
          <t>2026-06-17 14:10:06</t>
        </is>
      </c>
      <c r="P445" t="inlineStr">
        <is>
          <t>2026-06-17 14:10:06</t>
        </is>
      </c>
      <c r="Y445" t="inlineStr">
        <is>
          <t>27716891199</t>
        </is>
      </c>
    </row>
    <row r="446">
      <c r="A446" t="inlineStr">
        <is>
          <t>14921277</t>
        </is>
      </c>
      <c r="B446" t="inlineStr">
        <is>
          <t>8102112f-cd8f-4661-bfe4-fe966ec512ea</t>
        </is>
      </c>
      <c r="D446" t="inlineStr">
        <is>
          <t>111111124</t>
        </is>
      </c>
      <c r="E446" t="inlineStr">
        <is>
          <t>Vodacom Life 20260617</t>
        </is>
      </c>
      <c r="G446" t="inlineStr">
        <is>
          <t>TSHIFHIWA</t>
        </is>
      </c>
      <c r="H446" t="inlineStr">
        <is>
          <t>VHUDELE</t>
        </is>
      </c>
      <c r="J446" t="inlineStr">
        <is>
          <t>NI</t>
        </is>
      </c>
      <c r="K446" t="inlineStr">
        <is>
          <t>Not Interested</t>
        </is>
      </c>
      <c r="L446" t="n">
        <v>5</v>
      </c>
      <c r="M446" t="inlineStr">
        <is>
          <t>2026-06-29 13:25:37</t>
        </is>
      </c>
      <c r="N446" t="inlineStr">
        <is>
          <t>Musiiwa Mary Mabirimisa</t>
        </is>
      </c>
      <c r="O446" t="inlineStr">
        <is>
          <t>2026-06-17 14:10:06</t>
        </is>
      </c>
      <c r="P446" t="inlineStr">
        <is>
          <t>2026-06-17 14:10:06</t>
        </is>
      </c>
      <c r="Y446" t="inlineStr">
        <is>
          <t>27828182246</t>
        </is>
      </c>
    </row>
    <row r="447">
      <c r="A447" t="inlineStr">
        <is>
          <t>14921279</t>
        </is>
      </c>
      <c r="B447" t="inlineStr">
        <is>
          <t>7ab63002-7a67-4209-b39a-9307b7a30bcf</t>
        </is>
      </c>
      <c r="D447" t="inlineStr">
        <is>
          <t>111111124</t>
        </is>
      </c>
      <c r="E447" t="inlineStr">
        <is>
          <t>Vodacom Life 20260617</t>
        </is>
      </c>
      <c r="G447" t="inlineStr">
        <is>
          <t>WINNIE</t>
        </is>
      </c>
      <c r="H447" t="inlineStr">
        <is>
          <t>MAPHETO</t>
        </is>
      </c>
      <c r="J447" t="inlineStr">
        <is>
          <t>DROP</t>
        </is>
      </c>
      <c r="K447" t="inlineStr">
        <is>
          <t>Dropped</t>
        </is>
      </c>
      <c r="L447" t="n">
        <v>5</v>
      </c>
      <c r="M447" t="inlineStr">
        <is>
          <t>2026-06-29 13:25:37</t>
        </is>
      </c>
      <c r="N447" t="inlineStr">
        <is>
          <t>system</t>
        </is>
      </c>
      <c r="O447" t="inlineStr">
        <is>
          <t>2026-06-17 14:10:06</t>
        </is>
      </c>
      <c r="P447" t="inlineStr">
        <is>
          <t>2026-06-17 14:10:06</t>
        </is>
      </c>
      <c r="Y447" t="inlineStr">
        <is>
          <t>27762351130</t>
        </is>
      </c>
    </row>
    <row r="448">
      <c r="A448" t="inlineStr">
        <is>
          <t>14900000</t>
        </is>
      </c>
      <c r="B448" t="inlineStr">
        <is>
          <t>0e9921d5-478f-4883-a30c-77653de38c6b</t>
        </is>
      </c>
      <c r="D448" t="inlineStr">
        <is>
          <t>111111124</t>
        </is>
      </c>
      <c r="E448" t="inlineStr">
        <is>
          <t>Vodacom Life 20260617</t>
        </is>
      </c>
      <c r="G448" t="inlineStr">
        <is>
          <t>JOY</t>
        </is>
      </c>
      <c r="H448" t="inlineStr">
        <is>
          <t>LETSAU</t>
        </is>
      </c>
      <c r="J448" t="inlineStr">
        <is>
          <t>NA</t>
        </is>
      </c>
      <c r="K448" t="inlineStr">
        <is>
          <t>No Answer Autodial</t>
        </is>
      </c>
      <c r="L448" t="n">
        <v>5</v>
      </c>
      <c r="M448" t="inlineStr">
        <is>
          <t>2026-06-29 13:25:37</t>
        </is>
      </c>
      <c r="N448" t="inlineStr">
        <is>
          <t>system</t>
        </is>
      </c>
      <c r="O448" t="inlineStr">
        <is>
          <t>2026-06-17 14:10:06</t>
        </is>
      </c>
      <c r="P448" t="inlineStr">
        <is>
          <t>2026-06-17 14:10:06</t>
        </is>
      </c>
      <c r="Y448" t="inlineStr">
        <is>
          <t>27727772290</t>
        </is>
      </c>
    </row>
    <row r="449">
      <c r="A449" t="inlineStr">
        <is>
          <t>14921266</t>
        </is>
      </c>
      <c r="B449" t="inlineStr">
        <is>
          <t>e18fe3ec-2c4b-4862-a40c-2435949d22ac</t>
        </is>
      </c>
      <c r="D449" t="inlineStr">
        <is>
          <t>111111124</t>
        </is>
      </c>
      <c r="E449" t="inlineStr">
        <is>
          <t>Vodacom Life 20260617</t>
        </is>
      </c>
      <c r="G449" t="inlineStr">
        <is>
          <t>SIPHO</t>
        </is>
      </c>
      <c r="H449" t="inlineStr">
        <is>
          <t>DHLUDHLU</t>
        </is>
      </c>
      <c r="J449" t="inlineStr">
        <is>
          <t>ADC</t>
        </is>
      </c>
      <c r="K449" t="inlineStr">
        <is>
          <t>Auto Dial Disconnected</t>
        </is>
      </c>
      <c r="L449" t="n">
        <v>5</v>
      </c>
      <c r="M449" t="inlineStr">
        <is>
          <t>2026-06-29 13:24:28</t>
        </is>
      </c>
      <c r="N449" t="inlineStr">
        <is>
          <t>system</t>
        </is>
      </c>
      <c r="O449" t="inlineStr">
        <is>
          <t>2026-06-17 14:10:06</t>
        </is>
      </c>
      <c r="P449" t="inlineStr">
        <is>
          <t>2026-06-17 14:10:06</t>
        </is>
      </c>
      <c r="Y449" t="inlineStr">
        <is>
          <t>27727754827</t>
        </is>
      </c>
    </row>
    <row r="450">
      <c r="A450" t="inlineStr">
        <is>
          <t>14921267</t>
        </is>
      </c>
      <c r="B450" t="inlineStr">
        <is>
          <t>7eed1e07-3c16-4e99-8a8d-b7cdfff524e5</t>
        </is>
      </c>
      <c r="D450" t="inlineStr">
        <is>
          <t>111111124</t>
        </is>
      </c>
      <c r="E450" t="inlineStr">
        <is>
          <t>Vodacom Life 20260617</t>
        </is>
      </c>
      <c r="G450" t="inlineStr">
        <is>
          <t>ASHISH</t>
        </is>
      </c>
      <c r="H450" t="inlineStr">
        <is>
          <t>MAHARAJ</t>
        </is>
      </c>
      <c r="J450" t="inlineStr">
        <is>
          <t>AA</t>
        </is>
      </c>
      <c r="K450" t="inlineStr">
        <is>
          <t>Answering Machine Autodial</t>
        </is>
      </c>
      <c r="L450" t="n">
        <v>5</v>
      </c>
      <c r="M450" t="inlineStr">
        <is>
          <t>2026-06-29 13:24:28</t>
        </is>
      </c>
      <c r="N450" t="inlineStr">
        <is>
          <t>system</t>
        </is>
      </c>
      <c r="O450" t="inlineStr">
        <is>
          <t>2026-06-17 14:10:06</t>
        </is>
      </c>
      <c r="P450" t="inlineStr">
        <is>
          <t>2026-06-17 14:10:06</t>
        </is>
      </c>
      <c r="Y450" t="inlineStr">
        <is>
          <t>27646541298</t>
        </is>
      </c>
    </row>
    <row r="451">
      <c r="A451" t="inlineStr">
        <is>
          <t>14921268</t>
        </is>
      </c>
      <c r="B451" t="inlineStr">
        <is>
          <t>26f8bdcd-7c4c-496b-a96c-004c27e82c1c</t>
        </is>
      </c>
      <c r="D451" t="inlineStr">
        <is>
          <t>111111124</t>
        </is>
      </c>
      <c r="E451" t="inlineStr">
        <is>
          <t>Vodacom Life 20260617</t>
        </is>
      </c>
      <c r="G451" t="inlineStr">
        <is>
          <t>MPHO</t>
        </is>
      </c>
      <c r="H451" t="inlineStr">
        <is>
          <t>MABENA</t>
        </is>
      </c>
      <c r="J451" t="inlineStr">
        <is>
          <t>CU</t>
        </is>
      </c>
      <c r="K451" t="inlineStr">
        <is>
          <t>Client Hung Up</t>
        </is>
      </c>
      <c r="L451" t="n">
        <v>5</v>
      </c>
      <c r="M451" t="inlineStr">
        <is>
          <t>2026-06-29 13:24:28</t>
        </is>
      </c>
      <c r="N451" t="inlineStr">
        <is>
          <t>bongiwe lushaba</t>
        </is>
      </c>
      <c r="O451" t="inlineStr">
        <is>
          <t>2026-06-17 14:10:06</t>
        </is>
      </c>
      <c r="P451" t="inlineStr">
        <is>
          <t>2026-06-17 14:10:06</t>
        </is>
      </c>
      <c r="Y451" t="inlineStr">
        <is>
          <t>27798251348</t>
        </is>
      </c>
    </row>
    <row r="452">
      <c r="A452" t="inlineStr">
        <is>
          <t>14921269</t>
        </is>
      </c>
      <c r="B452" t="inlineStr">
        <is>
          <t>3daf9a7e-214a-49f3-bf55-2f4a839c8524</t>
        </is>
      </c>
      <c r="D452" t="inlineStr">
        <is>
          <t>111111124</t>
        </is>
      </c>
      <c r="E452" t="inlineStr">
        <is>
          <t>Vodacom Life 20260617</t>
        </is>
      </c>
      <c r="G452" t="inlineStr">
        <is>
          <t>IVEN</t>
        </is>
      </c>
      <c r="H452" t="inlineStr">
        <is>
          <t>MOHLALA</t>
        </is>
      </c>
      <c r="J452" t="inlineStr">
        <is>
          <t>DROP</t>
        </is>
      </c>
      <c r="K452" t="inlineStr">
        <is>
          <t>Dropped</t>
        </is>
      </c>
      <c r="L452" t="n">
        <v>5</v>
      </c>
      <c r="M452" t="inlineStr">
        <is>
          <t>2026-06-29 13:24:28</t>
        </is>
      </c>
      <c r="N452" t="inlineStr">
        <is>
          <t>system</t>
        </is>
      </c>
      <c r="O452" t="inlineStr">
        <is>
          <t>2026-06-17 14:10:06</t>
        </is>
      </c>
      <c r="P452" t="inlineStr">
        <is>
          <t>2026-06-17 14:10:06</t>
        </is>
      </c>
      <c r="Y452" t="inlineStr">
        <is>
          <t>27767080451</t>
        </is>
      </c>
    </row>
    <row r="453">
      <c r="A453" t="inlineStr">
        <is>
          <t>14920749</t>
        </is>
      </c>
      <c r="B453" t="inlineStr">
        <is>
          <t>61dd8602-9dc8-42aa-a726-b1b86fc9d615</t>
        </is>
      </c>
      <c r="D453" t="inlineStr">
        <is>
          <t>111111124</t>
        </is>
      </c>
      <c r="E453" t="inlineStr">
        <is>
          <t>Vodacom Life 20260617</t>
        </is>
      </c>
      <c r="G453" t="inlineStr">
        <is>
          <t>BISHOP</t>
        </is>
      </c>
      <c r="H453" t="inlineStr">
        <is>
          <t>MOHLAMEYANE</t>
        </is>
      </c>
      <c r="J453" t="inlineStr">
        <is>
          <t>NA</t>
        </is>
      </c>
      <c r="K453" t="inlineStr">
        <is>
          <t>No Answer Autodial</t>
        </is>
      </c>
      <c r="L453" t="n">
        <v>5</v>
      </c>
      <c r="M453" t="inlineStr">
        <is>
          <t>2026-06-29 13:23:45</t>
        </is>
      </c>
      <c r="N453" t="inlineStr">
        <is>
          <t>system</t>
        </is>
      </c>
      <c r="O453" t="inlineStr">
        <is>
          <t>2026-06-17 14:10:06</t>
        </is>
      </c>
      <c r="P453" t="inlineStr">
        <is>
          <t>2026-06-17 14:10:06</t>
        </is>
      </c>
      <c r="Y453" t="inlineStr">
        <is>
          <t>27722979797</t>
        </is>
      </c>
    </row>
    <row r="454">
      <c r="A454" t="inlineStr">
        <is>
          <t>14920750</t>
        </is>
      </c>
      <c r="B454" t="inlineStr">
        <is>
          <t>24a109df-b3b0-4842-a2d3-0dd564a532a1</t>
        </is>
      </c>
      <c r="D454" t="inlineStr">
        <is>
          <t>111111124</t>
        </is>
      </c>
      <c r="E454" t="inlineStr">
        <is>
          <t>Vodacom Life 20260617</t>
        </is>
      </c>
      <c r="G454" t="inlineStr">
        <is>
          <t>NEO</t>
        </is>
      </c>
      <c r="H454" t="inlineStr">
        <is>
          <t>MULLER</t>
        </is>
      </c>
      <c r="J454" t="inlineStr">
        <is>
          <t>ADC</t>
        </is>
      </c>
      <c r="K454" t="inlineStr">
        <is>
          <t>Auto Dial Disconnected</t>
        </is>
      </c>
      <c r="L454" t="n">
        <v>5</v>
      </c>
      <c r="M454" t="inlineStr">
        <is>
          <t>2026-06-29 13:23:43</t>
        </is>
      </c>
      <c r="N454" t="inlineStr">
        <is>
          <t>system</t>
        </is>
      </c>
      <c r="O454" t="inlineStr">
        <is>
          <t>2026-06-17 14:10:06</t>
        </is>
      </c>
      <c r="P454" t="inlineStr">
        <is>
          <t>2026-06-17 14:10:06</t>
        </is>
      </c>
      <c r="Y454" t="inlineStr">
        <is>
          <t>27818794130</t>
        </is>
      </c>
    </row>
    <row r="455">
      <c r="A455" t="inlineStr">
        <is>
          <t>14920751</t>
        </is>
      </c>
      <c r="B455" t="inlineStr">
        <is>
          <t>507fc2dc-2260-48ba-92a3-ff8e8d6156ff</t>
        </is>
      </c>
      <c r="D455" t="inlineStr">
        <is>
          <t>111111124</t>
        </is>
      </c>
      <c r="E455" t="inlineStr">
        <is>
          <t>Vodacom Life 20260617</t>
        </is>
      </c>
      <c r="G455" t="inlineStr">
        <is>
          <t>MICHELLE</t>
        </is>
      </c>
      <c r="H455" t="inlineStr">
        <is>
          <t>DU PREEZ</t>
        </is>
      </c>
      <c r="J455" t="inlineStr">
        <is>
          <t>AA</t>
        </is>
      </c>
      <c r="K455" t="inlineStr">
        <is>
          <t>Answering Machine Autodial</t>
        </is>
      </c>
      <c r="L455" t="n">
        <v>5</v>
      </c>
      <c r="M455" t="inlineStr">
        <is>
          <t>2026-06-29 13:23:43</t>
        </is>
      </c>
      <c r="N455" t="inlineStr">
        <is>
          <t>system</t>
        </is>
      </c>
      <c r="O455" t="inlineStr">
        <is>
          <t>2026-06-17 14:10:06</t>
        </is>
      </c>
      <c r="P455" t="inlineStr">
        <is>
          <t>2026-06-17 14:10:06</t>
        </is>
      </c>
      <c r="Y455" t="inlineStr">
        <is>
          <t>27662309241</t>
        </is>
      </c>
    </row>
    <row r="456">
      <c r="A456" t="inlineStr">
        <is>
          <t>14920753</t>
        </is>
      </c>
      <c r="B456" t="inlineStr">
        <is>
          <t>b44a4066-9004-41c6-9198-47236973d99e</t>
        </is>
      </c>
      <c r="D456" t="inlineStr">
        <is>
          <t>111111124</t>
        </is>
      </c>
      <c r="E456" t="inlineStr">
        <is>
          <t>Vodacom Life 20260617</t>
        </is>
      </c>
      <c r="G456" t="inlineStr">
        <is>
          <t>KGOSIETSILE</t>
        </is>
      </c>
      <c r="H456" t="inlineStr">
        <is>
          <t>RATLOU</t>
        </is>
      </c>
      <c r="J456" t="inlineStr">
        <is>
          <t>DROP</t>
        </is>
      </c>
      <c r="K456" t="inlineStr">
        <is>
          <t>Dropped</t>
        </is>
      </c>
      <c r="L456" t="n">
        <v>5</v>
      </c>
      <c r="M456" t="inlineStr">
        <is>
          <t>2026-06-29 13:23:25</t>
        </is>
      </c>
      <c r="N456" t="inlineStr">
        <is>
          <t>system</t>
        </is>
      </c>
      <c r="O456" t="inlineStr">
        <is>
          <t>2026-06-17 14:10:06</t>
        </is>
      </c>
      <c r="P456" t="inlineStr">
        <is>
          <t>2026-06-17 14:10:06</t>
        </is>
      </c>
      <c r="Y456" t="inlineStr">
        <is>
          <t>27823453466</t>
        </is>
      </c>
    </row>
    <row r="457">
      <c r="A457" t="inlineStr">
        <is>
          <t>14920754</t>
        </is>
      </c>
      <c r="B457" t="inlineStr">
        <is>
          <t>61fc61a4-3720-4d04-94b4-653eb052ac40</t>
        </is>
      </c>
      <c r="D457" t="inlineStr">
        <is>
          <t>111111124</t>
        </is>
      </c>
      <c r="E457" t="inlineStr">
        <is>
          <t>Vodacom Life 20260617</t>
        </is>
      </c>
      <c r="G457" t="inlineStr">
        <is>
          <t>JOEL</t>
        </is>
      </c>
      <c r="H457" t="inlineStr">
        <is>
          <t>LEKWENE</t>
        </is>
      </c>
      <c r="J457" t="inlineStr">
        <is>
          <t>DROP</t>
        </is>
      </c>
      <c r="K457" t="inlineStr">
        <is>
          <t>Dropped</t>
        </is>
      </c>
      <c r="L457" t="n">
        <v>5</v>
      </c>
      <c r="M457" t="inlineStr">
        <is>
          <t>2026-06-29 13:23:22</t>
        </is>
      </c>
      <c r="N457" t="inlineStr">
        <is>
          <t>system</t>
        </is>
      </c>
      <c r="O457" t="inlineStr">
        <is>
          <t>2026-06-17 14:10:06</t>
        </is>
      </c>
      <c r="P457" t="inlineStr">
        <is>
          <t>2026-06-17 14:10:06</t>
        </is>
      </c>
      <c r="Y457" t="inlineStr">
        <is>
          <t>27711707866</t>
        </is>
      </c>
    </row>
    <row r="458">
      <c r="A458" t="inlineStr">
        <is>
          <t>14920755</t>
        </is>
      </c>
      <c r="B458" t="inlineStr">
        <is>
          <t>5434922d-9fd8-4802-8f29-766b8e6a566b</t>
        </is>
      </c>
      <c r="D458" t="inlineStr">
        <is>
          <t>111111124</t>
        </is>
      </c>
      <c r="E458" t="inlineStr">
        <is>
          <t>Vodacom Life 20260617</t>
        </is>
      </c>
      <c r="G458" t="inlineStr">
        <is>
          <t>KAGISO</t>
        </is>
      </c>
      <c r="H458" t="inlineStr">
        <is>
          <t>GOBEILWENG</t>
        </is>
      </c>
      <c r="J458" t="inlineStr">
        <is>
          <t>DROP</t>
        </is>
      </c>
      <c r="K458" t="inlineStr">
        <is>
          <t>Dropped</t>
        </is>
      </c>
      <c r="L458" t="n">
        <v>5</v>
      </c>
      <c r="M458" t="inlineStr">
        <is>
          <t>2026-06-29 13:23:21</t>
        </is>
      </c>
      <c r="N458" t="inlineStr">
        <is>
          <t>system</t>
        </is>
      </c>
      <c r="O458" t="inlineStr">
        <is>
          <t>2026-06-17 14:10:06</t>
        </is>
      </c>
      <c r="P458" t="inlineStr">
        <is>
          <t>2026-06-17 14:10:06</t>
        </is>
      </c>
      <c r="Y458" t="inlineStr">
        <is>
          <t>27818647011</t>
        </is>
      </c>
    </row>
    <row r="459">
      <c r="A459" t="inlineStr">
        <is>
          <t>14920829</t>
        </is>
      </c>
      <c r="B459" t="inlineStr">
        <is>
          <t>efbfbb97-f4ab-4713-ac19-86b7bf9741c0</t>
        </is>
      </c>
      <c r="D459" t="inlineStr">
        <is>
          <t>111111124</t>
        </is>
      </c>
      <c r="E459" t="inlineStr">
        <is>
          <t>Vodacom Life 20260617</t>
        </is>
      </c>
      <c r="G459" t="inlineStr">
        <is>
          <t>IONE</t>
        </is>
      </c>
      <c r="H459" t="inlineStr">
        <is>
          <t>MOSUPYE</t>
        </is>
      </c>
      <c r="J459" t="inlineStr">
        <is>
          <t>AE</t>
        </is>
      </c>
      <c r="K459" t="inlineStr">
        <is>
          <t>Auto Engaged</t>
        </is>
      </c>
      <c r="L459" t="n">
        <v>5</v>
      </c>
      <c r="M459" t="inlineStr">
        <is>
          <t>2026-06-29 13:23:21</t>
        </is>
      </c>
      <c r="N459" t="inlineStr">
        <is>
          <t>system</t>
        </is>
      </c>
      <c r="O459" t="inlineStr">
        <is>
          <t>2026-06-17 14:10:06</t>
        </is>
      </c>
      <c r="P459" t="inlineStr">
        <is>
          <t>2026-06-17 14:10:06</t>
        </is>
      </c>
      <c r="Y459" t="inlineStr">
        <is>
          <t>27722674020</t>
        </is>
      </c>
    </row>
    <row r="460">
      <c r="A460" t="inlineStr">
        <is>
          <t>14920830</t>
        </is>
      </c>
      <c r="B460" t="inlineStr">
        <is>
          <t>cf45791d-b502-499f-ab5e-42305514b810</t>
        </is>
      </c>
      <c r="D460" t="inlineStr">
        <is>
          <t>111111124</t>
        </is>
      </c>
      <c r="E460" t="inlineStr">
        <is>
          <t>Vodacom Life 20260617</t>
        </is>
      </c>
      <c r="G460" t="inlineStr">
        <is>
          <t>MPILU</t>
        </is>
      </c>
      <c r="H460" t="inlineStr">
        <is>
          <t>ZWANE</t>
        </is>
      </c>
      <c r="J460" t="inlineStr">
        <is>
          <t>A</t>
        </is>
      </c>
      <c r="K460" t="inlineStr">
        <is>
          <t>Answering Machine</t>
        </is>
      </c>
      <c r="L460" t="n">
        <v>5</v>
      </c>
      <c r="M460" t="inlineStr">
        <is>
          <t>2026-06-29 13:23:21</t>
        </is>
      </c>
      <c r="N460" t="inlineStr">
        <is>
          <t>Musiiwa Mary Mabirimisa</t>
        </is>
      </c>
      <c r="O460" t="inlineStr">
        <is>
          <t>2026-06-17 14:10:06</t>
        </is>
      </c>
      <c r="P460" t="inlineStr">
        <is>
          <t>2026-06-17 14:10:06</t>
        </is>
      </c>
      <c r="Y460" t="inlineStr">
        <is>
          <t>27636105118</t>
        </is>
      </c>
    </row>
    <row r="461">
      <c r="A461" t="inlineStr">
        <is>
          <t>14921242</t>
        </is>
      </c>
      <c r="B461" t="inlineStr">
        <is>
          <t>c5b14c13-aa17-41ae-8b40-fb2a7720561a</t>
        </is>
      </c>
      <c r="D461" t="inlineStr">
        <is>
          <t>111111124</t>
        </is>
      </c>
      <c r="E461" t="inlineStr">
        <is>
          <t>Vodacom Life 20260617</t>
        </is>
      </c>
      <c r="G461" t="inlineStr">
        <is>
          <t>NOTSIKEKELO</t>
        </is>
      </c>
      <c r="H461" t="inlineStr">
        <is>
          <t>MOKOENA</t>
        </is>
      </c>
      <c r="J461" t="inlineStr">
        <is>
          <t>AC</t>
        </is>
      </c>
      <c r="K461" t="inlineStr">
        <is>
          <t>Already Contacted</t>
        </is>
      </c>
      <c r="L461" t="n">
        <v>5</v>
      </c>
      <c r="M461" t="inlineStr">
        <is>
          <t>2026-06-29 13:23:21</t>
        </is>
      </c>
      <c r="N461" t="inlineStr">
        <is>
          <t>Maureen Ntsoko</t>
        </is>
      </c>
      <c r="O461" t="inlineStr">
        <is>
          <t>2026-06-17 14:10:06</t>
        </is>
      </c>
      <c r="P461" t="inlineStr">
        <is>
          <t>2026-06-17 14:10:06</t>
        </is>
      </c>
      <c r="Y461" t="inlineStr">
        <is>
          <t>27825354907</t>
        </is>
      </c>
    </row>
    <row r="462">
      <c r="A462" t="inlineStr">
        <is>
          <t>14920952</t>
        </is>
      </c>
      <c r="B462" t="inlineStr">
        <is>
          <t>b55b62fb-9a53-43bb-89db-39c018af6f86</t>
        </is>
      </c>
      <c r="D462" t="inlineStr">
        <is>
          <t>111111124</t>
        </is>
      </c>
      <c r="E462" t="inlineStr">
        <is>
          <t>Vodacom Life 20260617</t>
        </is>
      </c>
      <c r="G462" t="inlineStr">
        <is>
          <t>MORWAGAE</t>
        </is>
      </c>
      <c r="H462" t="inlineStr">
        <is>
          <t>PETER</t>
        </is>
      </c>
      <c r="J462" t="inlineStr">
        <is>
          <t>DROP</t>
        </is>
      </c>
      <c r="K462" t="inlineStr">
        <is>
          <t>Dropped</t>
        </is>
      </c>
      <c r="L462" t="n">
        <v>5</v>
      </c>
      <c r="M462" t="inlineStr">
        <is>
          <t>2026-06-29 13:21:56</t>
        </is>
      </c>
      <c r="N462" t="inlineStr">
        <is>
          <t>system</t>
        </is>
      </c>
      <c r="O462" t="inlineStr">
        <is>
          <t>2026-06-17 14:10:06</t>
        </is>
      </c>
      <c r="P462" t="inlineStr">
        <is>
          <t>2026-06-17 14:10:06</t>
        </is>
      </c>
      <c r="Y462" t="inlineStr">
        <is>
          <t>27797892589</t>
        </is>
      </c>
    </row>
    <row r="463">
      <c r="A463" t="inlineStr">
        <is>
          <t>14920767</t>
        </is>
      </c>
      <c r="B463" t="inlineStr">
        <is>
          <t>01ce72dd-4eb1-4059-a482-aafe919d7769</t>
        </is>
      </c>
      <c r="D463" t="inlineStr">
        <is>
          <t>111111124</t>
        </is>
      </c>
      <c r="E463" t="inlineStr">
        <is>
          <t>Vodacom Life 20260617</t>
        </is>
      </c>
      <c r="G463" t="inlineStr">
        <is>
          <t>PRAVASHINE</t>
        </is>
      </c>
      <c r="H463" t="inlineStr">
        <is>
          <t>NAIDOO</t>
        </is>
      </c>
      <c r="J463" t="inlineStr">
        <is>
          <t>IABDN</t>
        </is>
      </c>
      <c r="K463" t="inlineStr">
        <is>
          <t>Inbound Abandon</t>
        </is>
      </c>
      <c r="L463" t="n">
        <v>5</v>
      </c>
      <c r="M463" t="inlineStr">
        <is>
          <t>2026-06-29 13:21:48</t>
        </is>
      </c>
      <c r="N463" t="inlineStr">
        <is>
          <t>system</t>
        </is>
      </c>
      <c r="O463" t="inlineStr">
        <is>
          <t>2026-06-17 14:10:06</t>
        </is>
      </c>
      <c r="P463" t="inlineStr">
        <is>
          <t>2026-06-17 14:10:06</t>
        </is>
      </c>
      <c r="Y463" t="inlineStr">
        <is>
          <t>27827819961</t>
        </is>
      </c>
    </row>
    <row r="464">
      <c r="A464" t="inlineStr">
        <is>
          <t>14920958</t>
        </is>
      </c>
      <c r="B464" t="inlineStr">
        <is>
          <t>aa9aa685-5dd3-4b33-9904-50b3343aa29f</t>
        </is>
      </c>
      <c r="D464" t="inlineStr">
        <is>
          <t>111111124</t>
        </is>
      </c>
      <c r="E464" t="inlineStr">
        <is>
          <t>Vodacom Life 20260617</t>
        </is>
      </c>
      <c r="G464" t="inlineStr">
        <is>
          <t>KGOTLELELO</t>
        </is>
      </c>
      <c r="H464" t="inlineStr">
        <is>
          <t>MAKHURA</t>
        </is>
      </c>
      <c r="J464" t="inlineStr">
        <is>
          <t>AA</t>
        </is>
      </c>
      <c r="K464" t="inlineStr">
        <is>
          <t>Answering Machine Autodial</t>
        </is>
      </c>
      <c r="L464" t="n">
        <v>5</v>
      </c>
      <c r="M464" t="inlineStr">
        <is>
          <t>2026-06-29 13:21:38</t>
        </is>
      </c>
      <c r="N464" t="inlineStr">
        <is>
          <t>system</t>
        </is>
      </c>
      <c r="O464" t="inlineStr">
        <is>
          <t>2026-06-17 14:10:06</t>
        </is>
      </c>
      <c r="P464" t="inlineStr">
        <is>
          <t>2026-06-17 14:10:06</t>
        </is>
      </c>
      <c r="Y464" t="inlineStr">
        <is>
          <t>27715159358</t>
        </is>
      </c>
    </row>
    <row r="465">
      <c r="A465" t="inlineStr">
        <is>
          <t>14900000</t>
        </is>
      </c>
      <c r="B465" t="inlineStr">
        <is>
          <t>e1146e37-1135-4e6f-aca8-7504098e79df</t>
        </is>
      </c>
      <c r="D465" t="inlineStr">
        <is>
          <t>111111124</t>
        </is>
      </c>
      <c r="E465" t="inlineStr">
        <is>
          <t>Vodacom Life 20260617</t>
        </is>
      </c>
      <c r="G465" t="inlineStr">
        <is>
          <t>JULIA</t>
        </is>
      </c>
      <c r="H465" t="inlineStr">
        <is>
          <t>MASHOLA</t>
        </is>
      </c>
      <c r="J465" t="inlineStr">
        <is>
          <t>AA</t>
        </is>
      </c>
      <c r="K465" t="inlineStr">
        <is>
          <t>Answering Machine Autodial</t>
        </is>
      </c>
      <c r="L465" t="n">
        <v>5</v>
      </c>
      <c r="M465" t="inlineStr">
        <is>
          <t>2026-06-29 13:21:35</t>
        </is>
      </c>
      <c r="N465" t="inlineStr">
        <is>
          <t>system</t>
        </is>
      </c>
      <c r="O465" t="inlineStr">
        <is>
          <t>2026-06-17 14:10:06</t>
        </is>
      </c>
      <c r="P465" t="inlineStr">
        <is>
          <t>2026-06-17 14:10:06</t>
        </is>
      </c>
      <c r="Y465" t="inlineStr">
        <is>
          <t>27769610766</t>
        </is>
      </c>
    </row>
    <row r="466">
      <c r="A466" t="inlineStr">
        <is>
          <t>14920961</t>
        </is>
      </c>
      <c r="B466" t="inlineStr">
        <is>
          <t>80b45bca-e5bc-47e2-8c24-30659850be95</t>
        </is>
      </c>
      <c r="D466" t="inlineStr">
        <is>
          <t>111111124</t>
        </is>
      </c>
      <c r="E466" t="inlineStr">
        <is>
          <t>Vodacom Life 20260617</t>
        </is>
      </c>
      <c r="G466" t="inlineStr">
        <is>
          <t>JAN</t>
        </is>
      </c>
      <c r="H466" t="inlineStr">
        <is>
          <t>VOSLOO</t>
        </is>
      </c>
      <c r="J466" t="inlineStr">
        <is>
          <t>AE</t>
        </is>
      </c>
      <c r="K466" t="inlineStr">
        <is>
          <t>Auto Engaged</t>
        </is>
      </c>
      <c r="L466" t="n">
        <v>5</v>
      </c>
      <c r="M466" t="inlineStr">
        <is>
          <t>2026-06-29 13:21:33</t>
        </is>
      </c>
      <c r="N466" t="inlineStr">
        <is>
          <t>system</t>
        </is>
      </c>
      <c r="O466" t="inlineStr">
        <is>
          <t>2026-06-17 14:10:06</t>
        </is>
      </c>
      <c r="P466" t="inlineStr">
        <is>
          <t>2026-06-17 14:10:06</t>
        </is>
      </c>
      <c r="Y466" t="inlineStr">
        <is>
          <t>27711473141</t>
        </is>
      </c>
    </row>
    <row r="467">
      <c r="A467" t="inlineStr">
        <is>
          <t>14920962</t>
        </is>
      </c>
      <c r="B467" t="inlineStr">
        <is>
          <t>cfe00bb3-99f0-486c-b665-103bb5e3ff67</t>
        </is>
      </c>
      <c r="D467" t="inlineStr">
        <is>
          <t>111111124</t>
        </is>
      </c>
      <c r="E467" t="inlineStr">
        <is>
          <t>Vodacom Life 20260617</t>
        </is>
      </c>
      <c r="G467" t="inlineStr">
        <is>
          <t>NTHABISENG</t>
        </is>
      </c>
      <c r="H467" t="inlineStr">
        <is>
          <t>MAKUA</t>
        </is>
      </c>
      <c r="J467" t="inlineStr">
        <is>
          <t>NA</t>
        </is>
      </c>
      <c r="K467" t="inlineStr">
        <is>
          <t>No Answer Autodial</t>
        </is>
      </c>
      <c r="L467" t="n">
        <v>5</v>
      </c>
      <c r="M467" t="inlineStr">
        <is>
          <t>2026-06-29 13:21:33</t>
        </is>
      </c>
      <c r="N467" t="inlineStr">
        <is>
          <t>system</t>
        </is>
      </c>
      <c r="O467" t="inlineStr">
        <is>
          <t>2026-06-17 14:10:06</t>
        </is>
      </c>
      <c r="P467" t="inlineStr">
        <is>
          <t>2026-06-17 14:10:06</t>
        </is>
      </c>
      <c r="Y467" t="inlineStr">
        <is>
          <t>27791023251</t>
        </is>
      </c>
    </row>
    <row r="468">
      <c r="A468" t="inlineStr">
        <is>
          <t>14920963</t>
        </is>
      </c>
      <c r="B468" t="inlineStr">
        <is>
          <t>7a674b12-c3a0-4531-a38a-4b709d0beb27</t>
        </is>
      </c>
      <c r="D468" t="inlineStr">
        <is>
          <t>111111124</t>
        </is>
      </c>
      <c r="E468" t="inlineStr">
        <is>
          <t>Vodacom Life 20260617</t>
        </is>
      </c>
      <c r="G468" t="inlineStr">
        <is>
          <t>THEMBEKILE</t>
        </is>
      </c>
      <c r="H468" t="inlineStr">
        <is>
          <t>KHANYILE</t>
        </is>
      </c>
      <c r="J468" t="inlineStr">
        <is>
          <t>CU</t>
        </is>
      </c>
      <c r="K468" t="inlineStr">
        <is>
          <t>Client Hung Up</t>
        </is>
      </c>
      <c r="L468" t="n">
        <v>5</v>
      </c>
      <c r="M468" t="inlineStr">
        <is>
          <t>2026-06-29 13:21:32</t>
        </is>
      </c>
      <c r="N468" t="inlineStr">
        <is>
          <t>Maureen Ntsoko</t>
        </is>
      </c>
      <c r="O468" t="inlineStr">
        <is>
          <t>2026-06-17 14:10:06</t>
        </is>
      </c>
      <c r="P468" t="inlineStr">
        <is>
          <t>2026-06-17 14:10:06</t>
        </is>
      </c>
      <c r="Y468" t="inlineStr">
        <is>
          <t>27827370050</t>
        </is>
      </c>
    </row>
    <row r="469">
      <c r="A469" t="inlineStr">
        <is>
          <t>14900000</t>
        </is>
      </c>
      <c r="B469" t="inlineStr">
        <is>
          <t>9e620082-c200-4988-a5d1-9201ce3304e4</t>
        </is>
      </c>
      <c r="D469" t="inlineStr">
        <is>
          <t>111111124</t>
        </is>
      </c>
      <c r="E469" t="inlineStr">
        <is>
          <t>Vodacom Life 20260617</t>
        </is>
      </c>
      <c r="G469" t="inlineStr">
        <is>
          <t>GAVIN</t>
        </is>
      </c>
      <c r="H469" t="inlineStr">
        <is>
          <t>PHELELO</t>
        </is>
      </c>
      <c r="J469" t="inlineStr">
        <is>
          <t>NA</t>
        </is>
      </c>
      <c r="K469" t="inlineStr">
        <is>
          <t>No Answer Autodial</t>
        </is>
      </c>
      <c r="L469" t="n">
        <v>5</v>
      </c>
      <c r="M469" t="inlineStr">
        <is>
          <t>2026-06-29 13:21:32</t>
        </is>
      </c>
      <c r="N469" t="inlineStr">
        <is>
          <t>system</t>
        </is>
      </c>
      <c r="O469" t="inlineStr">
        <is>
          <t>2026-06-17 14:10:06</t>
        </is>
      </c>
      <c r="P469" t="inlineStr">
        <is>
          <t>2026-06-17 14:10:06</t>
        </is>
      </c>
      <c r="Y469" t="inlineStr">
        <is>
          <t>27781229053</t>
        </is>
      </c>
    </row>
    <row r="470">
      <c r="A470" t="inlineStr">
        <is>
          <t>14920968</t>
        </is>
      </c>
      <c r="B470" t="inlineStr">
        <is>
          <t>2962ce85-1d9e-47b1-9a41-ea9b79b0630f</t>
        </is>
      </c>
      <c r="D470" t="inlineStr">
        <is>
          <t>111111124</t>
        </is>
      </c>
      <c r="E470" t="inlineStr">
        <is>
          <t>Vodacom Life 20260617</t>
        </is>
      </c>
      <c r="G470" t="inlineStr">
        <is>
          <t>RIANTO</t>
        </is>
      </c>
      <c r="H470" t="inlineStr">
        <is>
          <t>MYBURGH</t>
        </is>
      </c>
      <c r="J470" t="inlineStr">
        <is>
          <t>AA</t>
        </is>
      </c>
      <c r="K470" t="inlineStr">
        <is>
          <t>Answering Machine Autodial</t>
        </is>
      </c>
      <c r="L470" t="n">
        <v>5</v>
      </c>
      <c r="M470" t="inlineStr">
        <is>
          <t>2026-06-29 13:21:27</t>
        </is>
      </c>
      <c r="N470" t="inlineStr">
        <is>
          <t>system</t>
        </is>
      </c>
      <c r="O470" t="inlineStr">
        <is>
          <t>2026-06-17 14:10:06</t>
        </is>
      </c>
      <c r="P470" t="inlineStr">
        <is>
          <t>2026-06-17 14:10:06</t>
        </is>
      </c>
      <c r="Y470" t="inlineStr">
        <is>
          <t>27763925128</t>
        </is>
      </c>
    </row>
    <row r="471">
      <c r="A471" t="inlineStr">
        <is>
          <t>14920970</t>
        </is>
      </c>
      <c r="B471" t="inlineStr">
        <is>
          <t>6c00bf9c-5e30-48af-9213-7807bd19e55f</t>
        </is>
      </c>
      <c r="D471" t="inlineStr">
        <is>
          <t>111111124</t>
        </is>
      </c>
      <c r="E471" t="inlineStr">
        <is>
          <t>Vodacom Life 20260617</t>
        </is>
      </c>
      <c r="G471" t="inlineStr">
        <is>
          <t>GERBRECHT</t>
        </is>
      </c>
      <c r="H471" t="inlineStr">
        <is>
          <t>VAN NIEKERK</t>
        </is>
      </c>
      <c r="J471" t="inlineStr">
        <is>
          <t>CU</t>
        </is>
      </c>
      <c r="K471" t="inlineStr">
        <is>
          <t>Client Hung Up</t>
        </is>
      </c>
      <c r="L471" t="n">
        <v>5</v>
      </c>
      <c r="M471" t="inlineStr">
        <is>
          <t>2026-06-29 13:21:24</t>
        </is>
      </c>
      <c r="N471" t="inlineStr">
        <is>
          <t>bongiwe lushaba</t>
        </is>
      </c>
      <c r="O471" t="inlineStr">
        <is>
          <t>2026-06-17 14:10:06</t>
        </is>
      </c>
      <c r="P471" t="inlineStr">
        <is>
          <t>2026-06-17 14:10:06</t>
        </is>
      </c>
      <c r="Y471" t="inlineStr">
        <is>
          <t>27636829132</t>
        </is>
      </c>
    </row>
    <row r="472">
      <c r="A472" t="inlineStr">
        <is>
          <t>14921131</t>
        </is>
      </c>
      <c r="B472" t="inlineStr">
        <is>
          <t>570f3f1a-f022-449f-8c90-fd2f365f3357</t>
        </is>
      </c>
      <c r="D472" t="inlineStr">
        <is>
          <t>111111124</t>
        </is>
      </c>
      <c r="E472" t="inlineStr">
        <is>
          <t>Vodacom Life 20260617</t>
        </is>
      </c>
      <c r="G472" t="inlineStr">
        <is>
          <t>BERNADETTE</t>
        </is>
      </c>
      <c r="H472" t="inlineStr">
        <is>
          <t>VELDSMAN</t>
        </is>
      </c>
      <c r="J472" t="inlineStr">
        <is>
          <t>ADC</t>
        </is>
      </c>
      <c r="K472" t="inlineStr">
        <is>
          <t>Auto Dial Disconnected</t>
        </is>
      </c>
      <c r="L472" t="n">
        <v>5</v>
      </c>
      <c r="M472" t="inlineStr">
        <is>
          <t>2026-06-29 13:21:24</t>
        </is>
      </c>
      <c r="N472" t="inlineStr">
        <is>
          <t>system</t>
        </is>
      </c>
      <c r="O472" t="inlineStr">
        <is>
          <t>2026-06-17 14:10:06</t>
        </is>
      </c>
      <c r="P472" t="inlineStr">
        <is>
          <t>2026-06-17 14:10:06</t>
        </is>
      </c>
      <c r="Y472" t="inlineStr">
        <is>
          <t>27714822684</t>
        </is>
      </c>
    </row>
    <row r="473">
      <c r="A473" t="inlineStr">
        <is>
          <t>14921139</t>
        </is>
      </c>
      <c r="B473" t="inlineStr">
        <is>
          <t>1d0cbae8-ca00-459b-8041-25e5f70601ea</t>
        </is>
      </c>
      <c r="D473" t="inlineStr">
        <is>
          <t>111111124</t>
        </is>
      </c>
      <c r="E473" t="inlineStr">
        <is>
          <t>Vodacom Life 20260617</t>
        </is>
      </c>
      <c r="G473" t="inlineStr">
        <is>
          <t>KARABO</t>
        </is>
      </c>
      <c r="H473" t="inlineStr">
        <is>
          <t>SERALA</t>
        </is>
      </c>
      <c r="J473" t="inlineStr">
        <is>
          <t>AA</t>
        </is>
      </c>
      <c r="K473" t="inlineStr">
        <is>
          <t>Answering Machine Autodial</t>
        </is>
      </c>
      <c r="L473" t="n">
        <v>5</v>
      </c>
      <c r="M473" t="inlineStr">
        <is>
          <t>2026-06-29 13:21:24</t>
        </is>
      </c>
      <c r="N473" t="inlineStr">
        <is>
          <t>system</t>
        </is>
      </c>
      <c r="O473" t="inlineStr">
        <is>
          <t>2026-06-17 14:10:06</t>
        </is>
      </c>
      <c r="P473" t="inlineStr">
        <is>
          <t>2026-06-17 14:10:06</t>
        </is>
      </c>
      <c r="Y473" t="inlineStr">
        <is>
          <t>27637105436</t>
        </is>
      </c>
    </row>
    <row r="474">
      <c r="A474" t="inlineStr">
        <is>
          <t>14920756</t>
        </is>
      </c>
      <c r="B474" t="inlineStr">
        <is>
          <t>b2d0b022-49ae-4a26-9b29-4035f16d227e</t>
        </is>
      </c>
      <c r="D474" t="inlineStr">
        <is>
          <t>111111124</t>
        </is>
      </c>
      <c r="E474" t="inlineStr">
        <is>
          <t>Vodacom Life 20260617</t>
        </is>
      </c>
      <c r="G474" t="inlineStr">
        <is>
          <t>MANATHE</t>
        </is>
      </c>
      <c r="H474" t="inlineStr">
        <is>
          <t>MOTHOGWANE</t>
        </is>
      </c>
      <c r="J474" t="inlineStr">
        <is>
          <t>AA</t>
        </is>
      </c>
      <c r="K474" t="inlineStr">
        <is>
          <t>Answering Machine Autodial</t>
        </is>
      </c>
      <c r="L474" t="n">
        <v>5</v>
      </c>
      <c r="M474" t="inlineStr">
        <is>
          <t>2026-06-29 13:20:43</t>
        </is>
      </c>
      <c r="N474" t="inlineStr">
        <is>
          <t>system</t>
        </is>
      </c>
      <c r="O474" t="inlineStr">
        <is>
          <t>2026-06-17 14:10:06</t>
        </is>
      </c>
      <c r="P474" t="inlineStr">
        <is>
          <t>2026-06-17 14:10:06</t>
        </is>
      </c>
      <c r="Y474" t="inlineStr">
        <is>
          <t>27646083327</t>
        </is>
      </c>
    </row>
    <row r="475">
      <c r="A475" t="inlineStr">
        <is>
          <t>14920759</t>
        </is>
      </c>
      <c r="B475" t="inlineStr">
        <is>
          <t>26f83624-5a4b-45a6-b219-0c897fc50d55</t>
        </is>
      </c>
      <c r="D475" t="inlineStr">
        <is>
          <t>111111124</t>
        </is>
      </c>
      <c r="E475" t="inlineStr">
        <is>
          <t>Vodacom Life 20260617</t>
        </is>
      </c>
      <c r="G475" t="inlineStr">
        <is>
          <t>MAMOSA</t>
        </is>
      </c>
      <c r="H475" t="inlineStr">
        <is>
          <t>MOTAUNG</t>
        </is>
      </c>
      <c r="J475" t="inlineStr">
        <is>
          <t>AA</t>
        </is>
      </c>
      <c r="K475" t="inlineStr">
        <is>
          <t>Answering Machine Autodial</t>
        </is>
      </c>
      <c r="L475" t="n">
        <v>5</v>
      </c>
      <c r="M475" t="inlineStr">
        <is>
          <t>2026-06-29 13:20:35</t>
        </is>
      </c>
      <c r="N475" t="inlineStr">
        <is>
          <t>system</t>
        </is>
      </c>
      <c r="O475" t="inlineStr">
        <is>
          <t>2026-06-17 14:10:06</t>
        </is>
      </c>
      <c r="P475" t="inlineStr">
        <is>
          <t>2026-06-17 14:10:06</t>
        </is>
      </c>
      <c r="Y475" t="inlineStr">
        <is>
          <t>27828385943</t>
        </is>
      </c>
    </row>
    <row r="476">
      <c r="A476" t="inlineStr">
        <is>
          <t>14920760</t>
        </is>
      </c>
      <c r="B476" t="inlineStr">
        <is>
          <t>2cdde4d2-8922-40d5-8cfa-e26b6a2ead75</t>
        </is>
      </c>
      <c r="D476" t="inlineStr">
        <is>
          <t>111111124</t>
        </is>
      </c>
      <c r="E476" t="inlineStr">
        <is>
          <t>Vodacom Life 20260617</t>
        </is>
      </c>
      <c r="G476" t="inlineStr">
        <is>
          <t>GCINA</t>
        </is>
      </c>
      <c r="H476" t="inlineStr">
        <is>
          <t>XULU</t>
        </is>
      </c>
      <c r="J476" t="inlineStr">
        <is>
          <t>ADC</t>
        </is>
      </c>
      <c r="K476" t="inlineStr">
        <is>
          <t>Auto Dial Disconnected</t>
        </is>
      </c>
      <c r="L476" t="n">
        <v>5</v>
      </c>
      <c r="M476" t="inlineStr">
        <is>
          <t>2026-06-29 13:20:29</t>
        </is>
      </c>
      <c r="N476" t="inlineStr">
        <is>
          <t>system</t>
        </is>
      </c>
      <c r="O476" t="inlineStr">
        <is>
          <t>2026-06-17 14:10:06</t>
        </is>
      </c>
      <c r="P476" t="inlineStr">
        <is>
          <t>2026-06-17 14:10:06</t>
        </is>
      </c>
      <c r="Y476" t="inlineStr">
        <is>
          <t>27725698240</t>
        </is>
      </c>
    </row>
    <row r="477">
      <c r="A477" t="inlineStr">
        <is>
          <t>14920762</t>
        </is>
      </c>
      <c r="B477" t="inlineStr">
        <is>
          <t>d56b5d8b-5777-4d79-9350-cfdc6925ccb6</t>
        </is>
      </c>
      <c r="D477" t="inlineStr">
        <is>
          <t>111111124</t>
        </is>
      </c>
      <c r="E477" t="inlineStr">
        <is>
          <t>Vodacom Life 20260617</t>
        </is>
      </c>
      <c r="G477" t="inlineStr">
        <is>
          <t>MATLOTLENG</t>
        </is>
      </c>
      <c r="H477" t="inlineStr">
        <is>
          <t>MOEMA</t>
        </is>
      </c>
      <c r="J477" t="inlineStr">
        <is>
          <t>AA</t>
        </is>
      </c>
      <c r="K477" t="inlineStr">
        <is>
          <t>Answering Machine Autodial</t>
        </is>
      </c>
      <c r="L477" t="n">
        <v>5</v>
      </c>
      <c r="M477" t="inlineStr">
        <is>
          <t>2026-06-29 13:20:29</t>
        </is>
      </c>
      <c r="N477" t="inlineStr">
        <is>
          <t>system</t>
        </is>
      </c>
      <c r="O477" t="inlineStr">
        <is>
          <t>2026-06-17 14:10:06</t>
        </is>
      </c>
      <c r="P477" t="inlineStr">
        <is>
          <t>2026-06-17 14:10:06</t>
        </is>
      </c>
      <c r="Y477" t="inlineStr">
        <is>
          <t>27818116359</t>
        </is>
      </c>
    </row>
    <row r="478">
      <c r="A478" t="inlineStr">
        <is>
          <t>14920764</t>
        </is>
      </c>
      <c r="B478" t="inlineStr">
        <is>
          <t>f66e1b2a-0e59-406f-ac47-9f1970c9b839</t>
        </is>
      </c>
      <c r="D478" t="inlineStr">
        <is>
          <t>111111124</t>
        </is>
      </c>
      <c r="E478" t="inlineStr">
        <is>
          <t>Vodacom Life 20260617</t>
        </is>
      </c>
      <c r="G478" t="inlineStr">
        <is>
          <t>SUSANNA</t>
        </is>
      </c>
      <c r="H478" t="inlineStr">
        <is>
          <t>BROWN</t>
        </is>
      </c>
      <c r="J478" t="inlineStr">
        <is>
          <t>NA</t>
        </is>
      </c>
      <c r="K478" t="inlineStr">
        <is>
          <t>No Answer Autodial</t>
        </is>
      </c>
      <c r="L478" t="n">
        <v>5</v>
      </c>
      <c r="M478" t="inlineStr">
        <is>
          <t>2026-06-29 13:20:29</t>
        </is>
      </c>
      <c r="N478" t="inlineStr">
        <is>
          <t>system</t>
        </is>
      </c>
      <c r="O478" t="inlineStr">
        <is>
          <t>2026-06-17 14:10:06</t>
        </is>
      </c>
      <c r="P478" t="inlineStr">
        <is>
          <t>2026-06-17 14:10:06</t>
        </is>
      </c>
      <c r="Y478" t="inlineStr">
        <is>
          <t>27825612715</t>
        </is>
      </c>
    </row>
    <row r="479">
      <c r="A479" t="inlineStr">
        <is>
          <t>14920765</t>
        </is>
      </c>
      <c r="B479" t="inlineStr">
        <is>
          <t>6ceb9075-7e13-4967-b06c-0ad7a7c99190</t>
        </is>
      </c>
      <c r="D479" t="inlineStr">
        <is>
          <t>111111124</t>
        </is>
      </c>
      <c r="E479" t="inlineStr">
        <is>
          <t>Vodacom Life 20260617</t>
        </is>
      </c>
      <c r="G479" t="inlineStr">
        <is>
          <t>ANNE</t>
        </is>
      </c>
      <c r="H479" t="inlineStr">
        <is>
          <t>FLEISCHACK-THOMSON</t>
        </is>
      </c>
      <c r="J479" t="inlineStr">
        <is>
          <t>AA</t>
        </is>
      </c>
      <c r="K479" t="inlineStr">
        <is>
          <t>Answering Machine Autodial</t>
        </is>
      </c>
      <c r="L479" t="n">
        <v>5</v>
      </c>
      <c r="M479" t="inlineStr">
        <is>
          <t>2026-06-29 13:20:29</t>
        </is>
      </c>
      <c r="N479" t="inlineStr">
        <is>
          <t>system</t>
        </is>
      </c>
      <c r="O479" t="inlineStr">
        <is>
          <t>2026-06-17 14:10:06</t>
        </is>
      </c>
      <c r="P479" t="inlineStr">
        <is>
          <t>2026-06-17 14:10:06</t>
        </is>
      </c>
      <c r="Y479" t="inlineStr">
        <is>
          <t>27842993513</t>
        </is>
      </c>
    </row>
    <row r="480">
      <c r="A480" t="inlineStr">
        <is>
          <t>14920766</t>
        </is>
      </c>
      <c r="B480" t="inlineStr">
        <is>
          <t>617b91bb-af95-4fff-bafb-394c49475139</t>
        </is>
      </c>
      <c r="D480" t="inlineStr">
        <is>
          <t>111111124</t>
        </is>
      </c>
      <c r="E480" t="inlineStr">
        <is>
          <t>Vodacom Life 20260617</t>
        </is>
      </c>
      <c r="G480" t="inlineStr">
        <is>
          <t>RIAAN</t>
        </is>
      </c>
      <c r="H480" t="inlineStr">
        <is>
          <t>JACOBS</t>
        </is>
      </c>
      <c r="J480" t="inlineStr">
        <is>
          <t>CU</t>
        </is>
      </c>
      <c r="K480" t="inlineStr">
        <is>
          <t>Client Hung Up</t>
        </is>
      </c>
      <c r="L480" t="n">
        <v>5</v>
      </c>
      <c r="M480" t="inlineStr">
        <is>
          <t>2026-06-29 13:20:28</t>
        </is>
      </c>
      <c r="N480" t="inlineStr">
        <is>
          <t>bongiwe lushaba</t>
        </is>
      </c>
      <c r="O480" t="inlineStr">
        <is>
          <t>2026-06-17 14:10:06</t>
        </is>
      </c>
      <c r="P480" t="inlineStr">
        <is>
          <t>2026-06-17 14:10:06</t>
        </is>
      </c>
      <c r="Y480" t="inlineStr">
        <is>
          <t>27823236672</t>
        </is>
      </c>
    </row>
    <row r="481">
      <c r="A481" t="inlineStr">
        <is>
          <t>14920827</t>
        </is>
      </c>
      <c r="B481" t="inlineStr">
        <is>
          <t>dec612d5-545e-4622-8f52-27b30c40869c</t>
        </is>
      </c>
      <c r="D481" t="inlineStr">
        <is>
          <t>111111124</t>
        </is>
      </c>
      <c r="E481" t="inlineStr">
        <is>
          <t>Vodacom Life 20260617</t>
        </is>
      </c>
      <c r="G481" t="inlineStr">
        <is>
          <t>BRITNEY</t>
        </is>
      </c>
      <c r="H481" t="inlineStr">
        <is>
          <t>FLINK</t>
        </is>
      </c>
      <c r="J481" t="inlineStr">
        <is>
          <t>ADC</t>
        </is>
      </c>
      <c r="K481" t="inlineStr">
        <is>
          <t>Auto Dial Disconnected</t>
        </is>
      </c>
      <c r="L481" t="n">
        <v>5</v>
      </c>
      <c r="M481" t="inlineStr">
        <is>
          <t>2026-06-29 13:20:27</t>
        </is>
      </c>
      <c r="N481" t="inlineStr">
        <is>
          <t>system</t>
        </is>
      </c>
      <c r="O481" t="inlineStr">
        <is>
          <t>2026-06-17 14:10:06</t>
        </is>
      </c>
      <c r="P481" t="inlineStr">
        <is>
          <t>2026-06-17 14:10:06</t>
        </is>
      </c>
      <c r="Y481" t="inlineStr">
        <is>
          <t>27647675081</t>
        </is>
      </c>
    </row>
    <row r="482">
      <c r="A482" t="inlineStr">
        <is>
          <t>14920789</t>
        </is>
      </c>
      <c r="B482" t="inlineStr">
        <is>
          <t>f6f64ed5-7a68-4223-94fa-b8e5a3abe6b6</t>
        </is>
      </c>
      <c r="D482" t="inlineStr">
        <is>
          <t>111111124</t>
        </is>
      </c>
      <c r="E482" t="inlineStr">
        <is>
          <t>Vodacom Life 20260617</t>
        </is>
      </c>
      <c r="G482" t="inlineStr">
        <is>
          <t>JUANITA</t>
        </is>
      </c>
      <c r="H482" t="inlineStr">
        <is>
          <t>ANSELL</t>
        </is>
      </c>
      <c r="J482" t="inlineStr">
        <is>
          <t>DROP</t>
        </is>
      </c>
      <c r="K482" t="inlineStr">
        <is>
          <t>Dropped</t>
        </is>
      </c>
      <c r="L482" t="n">
        <v>5</v>
      </c>
      <c r="M482" t="inlineStr">
        <is>
          <t>2026-06-29 13:20:27</t>
        </is>
      </c>
      <c r="N482" t="inlineStr">
        <is>
          <t>system</t>
        </is>
      </c>
      <c r="O482" t="inlineStr">
        <is>
          <t>2026-06-17 14:10:06</t>
        </is>
      </c>
      <c r="P482" t="inlineStr">
        <is>
          <t>2026-06-17 14:10:06</t>
        </is>
      </c>
      <c r="Y482" t="inlineStr">
        <is>
          <t>27662399288</t>
        </is>
      </c>
    </row>
    <row r="483">
      <c r="A483" t="inlineStr">
        <is>
          <t>14921102</t>
        </is>
      </c>
      <c r="B483" t="inlineStr">
        <is>
          <t>4b105b97-65a1-4c8d-b4ac-af2779dd6eb0</t>
        </is>
      </c>
      <c r="D483" t="inlineStr">
        <is>
          <t>111111124</t>
        </is>
      </c>
      <c r="E483" t="inlineStr">
        <is>
          <t>Vodacom Life 20260617</t>
        </is>
      </c>
      <c r="G483" t="inlineStr">
        <is>
          <t>OVINA</t>
        </is>
      </c>
      <c r="H483" t="inlineStr">
        <is>
          <t>MAHARAJ</t>
        </is>
      </c>
      <c r="J483" t="inlineStr">
        <is>
          <t>NA</t>
        </is>
      </c>
      <c r="K483" t="inlineStr">
        <is>
          <t>No Answer Autodial</t>
        </is>
      </c>
      <c r="L483" t="n">
        <v>5</v>
      </c>
      <c r="M483" t="inlineStr">
        <is>
          <t>2026-06-29 13:20:27</t>
        </is>
      </c>
      <c r="N483" t="inlineStr">
        <is>
          <t>system</t>
        </is>
      </c>
      <c r="O483" t="inlineStr">
        <is>
          <t>2026-06-17 14:10:06</t>
        </is>
      </c>
      <c r="P483" t="inlineStr">
        <is>
          <t>2026-06-17 14:10:06</t>
        </is>
      </c>
      <c r="Y483" t="inlineStr">
        <is>
          <t>27637714931</t>
        </is>
      </c>
    </row>
    <row r="484">
      <c r="A484" t="inlineStr">
        <is>
          <t>14900000</t>
        </is>
      </c>
      <c r="B484" t="inlineStr">
        <is>
          <t>e4278270-af2b-4192-b1a2-041f8c86f127</t>
        </is>
      </c>
      <c r="D484" t="inlineStr">
        <is>
          <t>111111124</t>
        </is>
      </c>
      <c r="E484" t="inlineStr">
        <is>
          <t>Vodacom Life 20260617</t>
        </is>
      </c>
      <c r="G484" t="inlineStr">
        <is>
          <t>SHAUN</t>
        </is>
      </c>
      <c r="H484" t="inlineStr">
        <is>
          <t>SMIT</t>
        </is>
      </c>
      <c r="J484" t="inlineStr">
        <is>
          <t>AE</t>
        </is>
      </c>
      <c r="K484" t="inlineStr">
        <is>
          <t>Auto Engaged</t>
        </is>
      </c>
      <c r="L484" t="n">
        <v>5</v>
      </c>
      <c r="M484" t="inlineStr">
        <is>
          <t>2026-06-29 13:19:36</t>
        </is>
      </c>
      <c r="N484" t="inlineStr">
        <is>
          <t>system</t>
        </is>
      </c>
      <c r="O484" t="inlineStr">
        <is>
          <t>2026-06-17 14:10:06</t>
        </is>
      </c>
      <c r="P484" t="inlineStr">
        <is>
          <t>2026-06-17 14:10:06</t>
        </is>
      </c>
      <c r="Y484" t="inlineStr">
        <is>
          <t>27663576189</t>
        </is>
      </c>
    </row>
    <row r="485">
      <c r="A485" t="inlineStr">
        <is>
          <t>14921041</t>
        </is>
      </c>
      <c r="B485" t="inlineStr">
        <is>
          <t>9fb23440-0511-4820-b16f-70a56c304892</t>
        </is>
      </c>
      <c r="D485" t="inlineStr">
        <is>
          <t>111111124</t>
        </is>
      </c>
      <c r="E485" t="inlineStr">
        <is>
          <t>Vodacom Life 20260617</t>
        </is>
      </c>
      <c r="G485" t="inlineStr">
        <is>
          <t>ASANDA</t>
        </is>
      </c>
      <c r="H485" t="inlineStr">
        <is>
          <t>FIHLA</t>
        </is>
      </c>
      <c r="J485" t="inlineStr">
        <is>
          <t>AE</t>
        </is>
      </c>
      <c r="K485" t="inlineStr">
        <is>
          <t>Auto Engaged</t>
        </is>
      </c>
      <c r="L485" t="n">
        <v>5</v>
      </c>
      <c r="M485" t="inlineStr">
        <is>
          <t>2026-06-29 13:19:33</t>
        </is>
      </c>
      <c r="N485" t="inlineStr">
        <is>
          <t>system</t>
        </is>
      </c>
      <c r="O485" t="inlineStr">
        <is>
          <t>2026-06-17 14:10:06</t>
        </is>
      </c>
      <c r="P485" t="inlineStr">
        <is>
          <t>2026-06-17 14:10:06</t>
        </is>
      </c>
      <c r="Y485" t="inlineStr">
        <is>
          <t>27766833700</t>
        </is>
      </c>
    </row>
    <row r="486">
      <c r="A486" t="inlineStr">
        <is>
          <t>14920710</t>
        </is>
      </c>
      <c r="B486" t="inlineStr">
        <is>
          <t>5f16ea5c-a253-4836-b024-f6bb98bebb52</t>
        </is>
      </c>
      <c r="D486" t="inlineStr">
        <is>
          <t>111111124</t>
        </is>
      </c>
      <c r="E486" t="inlineStr">
        <is>
          <t>Vodacom Life 20260617</t>
        </is>
      </c>
      <c r="G486" t="inlineStr">
        <is>
          <t>LUCAS</t>
        </is>
      </c>
      <c r="H486" t="inlineStr">
        <is>
          <t>MOHLAMONYANE</t>
        </is>
      </c>
      <c r="J486" t="inlineStr">
        <is>
          <t>DROP</t>
        </is>
      </c>
      <c r="K486" t="inlineStr">
        <is>
          <t>Dropped</t>
        </is>
      </c>
      <c r="L486" t="n">
        <v>5</v>
      </c>
      <c r="M486" t="inlineStr">
        <is>
          <t>2026-06-29 13:19:32</t>
        </is>
      </c>
      <c r="N486" t="inlineStr">
        <is>
          <t>system</t>
        </is>
      </c>
      <c r="O486" t="inlineStr">
        <is>
          <t>2026-06-17 14:10:06</t>
        </is>
      </c>
      <c r="P486" t="inlineStr">
        <is>
          <t>2026-06-17 14:10:06</t>
        </is>
      </c>
      <c r="Y486" t="inlineStr">
        <is>
          <t>27740316347</t>
        </is>
      </c>
    </row>
    <row r="487">
      <c r="A487" t="inlineStr">
        <is>
          <t>14920711</t>
        </is>
      </c>
      <c r="B487" t="inlineStr">
        <is>
          <t>06b14bde-5db4-4452-b587-e19158ce4318</t>
        </is>
      </c>
      <c r="D487" t="inlineStr">
        <is>
          <t>111111124</t>
        </is>
      </c>
      <c r="E487" t="inlineStr">
        <is>
          <t>Vodacom Life 20260617</t>
        </is>
      </c>
      <c r="G487" t="inlineStr">
        <is>
          <t>DEWALD</t>
        </is>
      </c>
      <c r="H487" t="inlineStr">
        <is>
          <t>BEZUIDENHOUT</t>
        </is>
      </c>
      <c r="J487" t="inlineStr">
        <is>
          <t>AA</t>
        </is>
      </c>
      <c r="K487" t="inlineStr">
        <is>
          <t>Answering Machine Autodial</t>
        </is>
      </c>
      <c r="L487" t="n">
        <v>5</v>
      </c>
      <c r="M487" t="inlineStr">
        <is>
          <t>2026-06-29 13:19:32</t>
        </is>
      </c>
      <c r="N487" t="inlineStr">
        <is>
          <t>system</t>
        </is>
      </c>
      <c r="O487" t="inlineStr">
        <is>
          <t>2026-06-17 14:10:06</t>
        </is>
      </c>
      <c r="P487" t="inlineStr">
        <is>
          <t>2026-06-17 14:10:06</t>
        </is>
      </c>
      <c r="Y487" t="inlineStr">
        <is>
          <t>27729163548</t>
        </is>
      </c>
    </row>
    <row r="488">
      <c r="A488" t="inlineStr">
        <is>
          <t>14920712</t>
        </is>
      </c>
      <c r="B488" t="inlineStr">
        <is>
          <t>11cc1268-fbfb-41fa-b61c-7c8e4006f7b7</t>
        </is>
      </c>
      <c r="D488" t="inlineStr">
        <is>
          <t>111111124</t>
        </is>
      </c>
      <c r="E488" t="inlineStr">
        <is>
          <t>Vodacom Life 20260617</t>
        </is>
      </c>
      <c r="G488" t="inlineStr">
        <is>
          <t>JABULANI</t>
        </is>
      </c>
      <c r="H488" t="inlineStr">
        <is>
          <t>MASINA</t>
        </is>
      </c>
      <c r="J488" t="inlineStr">
        <is>
          <t>AF</t>
        </is>
      </c>
      <c r="K488" t="inlineStr">
        <is>
          <t>Cannot Afford</t>
        </is>
      </c>
      <c r="L488" t="n">
        <v>5</v>
      </c>
      <c r="M488" t="inlineStr">
        <is>
          <t>2026-06-29 13:19:32</t>
        </is>
      </c>
      <c r="N488" t="inlineStr">
        <is>
          <t>Vanessa Kekana</t>
        </is>
      </c>
      <c r="O488" t="inlineStr">
        <is>
          <t>2026-06-17 14:10:06</t>
        </is>
      </c>
      <c r="P488" t="inlineStr">
        <is>
          <t>2026-06-17 14:10:06</t>
        </is>
      </c>
      <c r="Y488" t="inlineStr">
        <is>
          <t>27721039063</t>
        </is>
      </c>
    </row>
    <row r="489">
      <c r="A489" t="inlineStr">
        <is>
          <t>14920716</t>
        </is>
      </c>
      <c r="B489" t="inlineStr">
        <is>
          <t>f28df470-7abf-4cb1-b9fe-f1e2de15c4b4</t>
        </is>
      </c>
      <c r="D489" t="inlineStr">
        <is>
          <t>111111124</t>
        </is>
      </c>
      <c r="E489" t="inlineStr">
        <is>
          <t>Vodacom Life 20260617</t>
        </is>
      </c>
      <c r="G489" t="inlineStr">
        <is>
          <t>BYRON</t>
        </is>
      </c>
      <c r="H489" t="inlineStr">
        <is>
          <t>PARROTT</t>
        </is>
      </c>
      <c r="J489" t="inlineStr">
        <is>
          <t>NA</t>
        </is>
      </c>
      <c r="K489" t="inlineStr">
        <is>
          <t>No Answer Autodial</t>
        </is>
      </c>
      <c r="L489" t="n">
        <v>5</v>
      </c>
      <c r="M489" t="inlineStr">
        <is>
          <t>2026-06-29 13:19:32</t>
        </is>
      </c>
      <c r="N489" t="inlineStr">
        <is>
          <t>system</t>
        </is>
      </c>
      <c r="O489" t="inlineStr">
        <is>
          <t>2026-06-17 14:10:06</t>
        </is>
      </c>
      <c r="P489" t="inlineStr">
        <is>
          <t>2026-06-17 14:10:06</t>
        </is>
      </c>
      <c r="Y489" t="inlineStr">
        <is>
          <t>27716712920</t>
        </is>
      </c>
    </row>
    <row r="490">
      <c r="A490" t="inlineStr">
        <is>
          <t>14920885</t>
        </is>
      </c>
      <c r="B490" t="inlineStr">
        <is>
          <t>6aed71f5-81e5-4139-870d-d77099dd71f8</t>
        </is>
      </c>
      <c r="D490" t="inlineStr">
        <is>
          <t>111111124</t>
        </is>
      </c>
      <c r="E490" t="inlineStr">
        <is>
          <t>Vodacom Life 20260617</t>
        </is>
      </c>
      <c r="G490" t="inlineStr">
        <is>
          <t>AYANDA</t>
        </is>
      </c>
      <c r="H490" t="inlineStr">
        <is>
          <t>SESHABELA</t>
        </is>
      </c>
      <c r="J490" t="inlineStr">
        <is>
          <t>AE</t>
        </is>
      </c>
      <c r="K490" t="inlineStr">
        <is>
          <t>Auto Engaged</t>
        </is>
      </c>
      <c r="L490" t="n">
        <v>5</v>
      </c>
      <c r="M490" t="inlineStr">
        <is>
          <t>2026-06-29 13:19:13</t>
        </is>
      </c>
      <c r="N490" t="inlineStr">
        <is>
          <t>system</t>
        </is>
      </c>
      <c r="O490" t="inlineStr">
        <is>
          <t>2026-06-17 14:10:06</t>
        </is>
      </c>
      <c r="P490" t="inlineStr">
        <is>
          <t>2026-06-17 14:10:06</t>
        </is>
      </c>
      <c r="Y490" t="inlineStr">
        <is>
          <t>27769908122</t>
        </is>
      </c>
    </row>
    <row r="491">
      <c r="A491" t="inlineStr">
        <is>
          <t>14920886</t>
        </is>
      </c>
      <c r="B491" t="inlineStr">
        <is>
          <t>a152bce1-af7c-436b-8720-a9d4601d64b4</t>
        </is>
      </c>
      <c r="D491" t="inlineStr">
        <is>
          <t>111111124</t>
        </is>
      </c>
      <c r="E491" t="inlineStr">
        <is>
          <t>Vodacom Life 20260617</t>
        </is>
      </c>
      <c r="G491" t="inlineStr">
        <is>
          <t>ANTONIE</t>
        </is>
      </c>
      <c r="H491" t="inlineStr">
        <is>
          <t>DE KLERK</t>
        </is>
      </c>
      <c r="J491" t="inlineStr">
        <is>
          <t>CU</t>
        </is>
      </c>
      <c r="K491" t="inlineStr">
        <is>
          <t>Client Hung Up</t>
        </is>
      </c>
      <c r="L491" t="n">
        <v>5</v>
      </c>
      <c r="M491" t="inlineStr">
        <is>
          <t>2026-06-29 13:19:11</t>
        </is>
      </c>
      <c r="N491" t="inlineStr">
        <is>
          <t>Khensane Mabasa</t>
        </is>
      </c>
      <c r="O491" t="inlineStr">
        <is>
          <t>2026-06-17 14:10:06</t>
        </is>
      </c>
      <c r="P491" t="inlineStr">
        <is>
          <t>2026-06-17 14:10:06</t>
        </is>
      </c>
      <c r="Y491" t="inlineStr">
        <is>
          <t>27826961566</t>
        </is>
      </c>
    </row>
    <row r="492">
      <c r="A492" t="inlineStr">
        <is>
          <t>14920888</t>
        </is>
      </c>
      <c r="B492" t="inlineStr">
        <is>
          <t>30fedc30-fc30-49e7-9d37-055c06cee348</t>
        </is>
      </c>
      <c r="D492" t="inlineStr">
        <is>
          <t>111111124</t>
        </is>
      </c>
      <c r="E492" t="inlineStr">
        <is>
          <t>Vodacom Life 20260617</t>
        </is>
      </c>
      <c r="G492" t="inlineStr">
        <is>
          <t>MPUTLE</t>
        </is>
      </c>
      <c r="H492" t="inlineStr">
        <is>
          <t>MDLULI</t>
        </is>
      </c>
      <c r="J492" t="inlineStr">
        <is>
          <t>DROP</t>
        </is>
      </c>
      <c r="K492" t="inlineStr">
        <is>
          <t>Dropped</t>
        </is>
      </c>
      <c r="L492" t="n">
        <v>5</v>
      </c>
      <c r="M492" t="inlineStr">
        <is>
          <t>2026-06-29 13:19:11</t>
        </is>
      </c>
      <c r="N492" t="inlineStr">
        <is>
          <t>system</t>
        </is>
      </c>
      <c r="O492" t="inlineStr">
        <is>
          <t>2026-06-17 14:10:06</t>
        </is>
      </c>
      <c r="P492" t="inlineStr">
        <is>
          <t>2026-06-17 14:10:06</t>
        </is>
      </c>
      <c r="Y492" t="inlineStr">
        <is>
          <t>27823340486</t>
        </is>
      </c>
    </row>
    <row r="493">
      <c r="A493" t="inlineStr">
        <is>
          <t>14920953</t>
        </is>
      </c>
      <c r="B493" t="inlineStr">
        <is>
          <t>e2aea4c9-7d32-4b6b-9859-08710b1a69a7</t>
        </is>
      </c>
      <c r="D493" t="inlineStr">
        <is>
          <t>111111124</t>
        </is>
      </c>
      <c r="E493" t="inlineStr">
        <is>
          <t>Vodacom Life 20260617</t>
        </is>
      </c>
      <c r="G493" t="inlineStr">
        <is>
          <t>NIKIWE</t>
        </is>
      </c>
      <c r="H493" t="inlineStr">
        <is>
          <t>KGOMO</t>
        </is>
      </c>
      <c r="J493" t="inlineStr">
        <is>
          <t>AE</t>
        </is>
      </c>
      <c r="K493" t="inlineStr">
        <is>
          <t>Auto Engaged</t>
        </is>
      </c>
      <c r="L493" t="n">
        <v>5</v>
      </c>
      <c r="M493" t="inlineStr">
        <is>
          <t>2026-06-29 13:19:11</t>
        </is>
      </c>
      <c r="N493" t="inlineStr">
        <is>
          <t>system</t>
        </is>
      </c>
      <c r="O493" t="inlineStr">
        <is>
          <t>2026-06-17 14:10:06</t>
        </is>
      </c>
      <c r="P493" t="inlineStr">
        <is>
          <t>2026-06-17 14:10:06</t>
        </is>
      </c>
      <c r="Y493" t="inlineStr">
        <is>
          <t>27646824830</t>
        </is>
      </c>
    </row>
    <row r="494">
      <c r="A494" t="inlineStr">
        <is>
          <t>14920889</t>
        </is>
      </c>
      <c r="B494" t="inlineStr">
        <is>
          <t>5c63de8d-8cb4-4255-ab6c-686a44342d5d</t>
        </is>
      </c>
      <c r="D494" t="inlineStr">
        <is>
          <t>111111124</t>
        </is>
      </c>
      <c r="E494" t="inlineStr">
        <is>
          <t>Vodacom Life 20260617</t>
        </is>
      </c>
      <c r="G494" t="inlineStr">
        <is>
          <t>VIRESH</t>
        </is>
      </c>
      <c r="H494" t="inlineStr">
        <is>
          <t>KUNTHIKUMAR</t>
        </is>
      </c>
      <c r="J494" t="inlineStr">
        <is>
          <t>DROP</t>
        </is>
      </c>
      <c r="K494" t="inlineStr">
        <is>
          <t>Dropped</t>
        </is>
      </c>
      <c r="L494" t="n">
        <v>5</v>
      </c>
      <c r="M494" t="inlineStr">
        <is>
          <t>2026-06-29 13:19:11</t>
        </is>
      </c>
      <c r="N494" t="inlineStr">
        <is>
          <t>system</t>
        </is>
      </c>
      <c r="O494" t="inlineStr">
        <is>
          <t>2026-06-17 14:10:06</t>
        </is>
      </c>
      <c r="P494" t="inlineStr">
        <is>
          <t>2026-06-17 14:10:06</t>
        </is>
      </c>
      <c r="Y494" t="inlineStr">
        <is>
          <t>27713835221</t>
        </is>
      </c>
    </row>
    <row r="495">
      <c r="A495" t="inlineStr">
        <is>
          <t>14920890</t>
        </is>
      </c>
      <c r="B495" t="inlineStr">
        <is>
          <t>a45cca43-a7aa-4cae-a06f-fd52ce7b52e5</t>
        </is>
      </c>
      <c r="D495" t="inlineStr">
        <is>
          <t>111111124</t>
        </is>
      </c>
      <c r="E495" t="inlineStr">
        <is>
          <t>Vodacom Life 20260617</t>
        </is>
      </c>
      <c r="G495" t="inlineStr">
        <is>
          <t>KATARINA</t>
        </is>
      </c>
      <c r="H495" t="inlineStr">
        <is>
          <t>JAGNERT</t>
        </is>
      </c>
      <c r="J495" t="inlineStr">
        <is>
          <t>DROP</t>
        </is>
      </c>
      <c r="K495" t="inlineStr">
        <is>
          <t>Dropped</t>
        </is>
      </c>
      <c r="L495" t="n">
        <v>5</v>
      </c>
      <c r="M495" t="inlineStr">
        <is>
          <t>2026-06-29 13:19:11</t>
        </is>
      </c>
      <c r="N495" t="inlineStr">
        <is>
          <t>system</t>
        </is>
      </c>
      <c r="O495" t="inlineStr">
        <is>
          <t>2026-06-17 14:10:06</t>
        </is>
      </c>
      <c r="P495" t="inlineStr">
        <is>
          <t>2026-06-17 14:10:06</t>
        </is>
      </c>
      <c r="Y495" t="inlineStr">
        <is>
          <t>27720195944</t>
        </is>
      </c>
    </row>
    <row r="496">
      <c r="A496" t="inlineStr">
        <is>
          <t>14900000</t>
        </is>
      </c>
      <c r="B496" t="inlineStr">
        <is>
          <t>e3550fc7-641e-43c8-8205-2bd547548ad2</t>
        </is>
      </c>
      <c r="D496" t="inlineStr">
        <is>
          <t>111111124</t>
        </is>
      </c>
      <c r="E496" t="inlineStr">
        <is>
          <t>Vodacom Life 20260617</t>
        </is>
      </c>
      <c r="G496" t="inlineStr">
        <is>
          <t>JOHAAN</t>
        </is>
      </c>
      <c r="H496" t="inlineStr">
        <is>
          <t>OLIVIER</t>
        </is>
      </c>
      <c r="J496" t="inlineStr">
        <is>
          <t>IABDN</t>
        </is>
      </c>
      <c r="K496" t="inlineStr">
        <is>
          <t>Inbound Abandon</t>
        </is>
      </c>
      <c r="L496" t="n">
        <v>5</v>
      </c>
      <c r="M496" t="inlineStr">
        <is>
          <t>2026-06-29 13:18:19</t>
        </is>
      </c>
      <c r="N496" t="inlineStr">
        <is>
          <t>system</t>
        </is>
      </c>
      <c r="O496" t="inlineStr">
        <is>
          <t>2026-06-17 14:10:06</t>
        </is>
      </c>
      <c r="P496" t="inlineStr">
        <is>
          <t>2026-06-17 14:10:06</t>
        </is>
      </c>
      <c r="Y496" t="inlineStr">
        <is>
          <t>27824575353</t>
        </is>
      </c>
    </row>
    <row r="497">
      <c r="A497" t="inlineStr">
        <is>
          <t>14920773</t>
        </is>
      </c>
      <c r="B497" t="inlineStr">
        <is>
          <t>cf193bb2-ad08-49e7-911d-4294b857d4fe</t>
        </is>
      </c>
      <c r="D497" t="inlineStr">
        <is>
          <t>111111124</t>
        </is>
      </c>
      <c r="E497" t="inlineStr">
        <is>
          <t>Vodacom Life 20260617</t>
        </is>
      </c>
      <c r="G497" t="inlineStr">
        <is>
          <t>ANNARIE</t>
        </is>
      </c>
      <c r="H497" t="inlineStr">
        <is>
          <t>HENRICO</t>
        </is>
      </c>
      <c r="J497" t="inlineStr">
        <is>
          <t>IABDN</t>
        </is>
      </c>
      <c r="K497" t="inlineStr">
        <is>
          <t>Inbound Abandon</t>
        </is>
      </c>
      <c r="L497" t="n">
        <v>5</v>
      </c>
      <c r="M497" t="inlineStr">
        <is>
          <t>2026-06-29 13:08:38</t>
        </is>
      </c>
      <c r="N497" t="inlineStr">
        <is>
          <t>system</t>
        </is>
      </c>
      <c r="O497" t="inlineStr">
        <is>
          <t>2026-06-17 14:10:06</t>
        </is>
      </c>
      <c r="P497" t="inlineStr">
        <is>
          <t>2026-06-17 14:10:06</t>
        </is>
      </c>
      <c r="Y497" t="inlineStr">
        <is>
          <t>27735227459</t>
        </is>
      </c>
    </row>
    <row r="498">
      <c r="A498" t="inlineStr">
        <is>
          <t>14921246</t>
        </is>
      </c>
      <c r="B498" t="inlineStr">
        <is>
          <t>33b8599d-e96a-411b-9020-26afdd78973a</t>
        </is>
      </c>
      <c r="D498" t="inlineStr">
        <is>
          <t>111111124</t>
        </is>
      </c>
      <c r="E498" t="inlineStr">
        <is>
          <t>Vodacom Life 20260617</t>
        </is>
      </c>
      <c r="G498" t="inlineStr">
        <is>
          <t>OLGAR</t>
        </is>
      </c>
      <c r="H498" t="inlineStr">
        <is>
          <t>MATJEKE</t>
        </is>
      </c>
      <c r="J498" t="inlineStr">
        <is>
          <t>AA</t>
        </is>
      </c>
      <c r="K498" t="inlineStr">
        <is>
          <t>Answering Machine Autodial</t>
        </is>
      </c>
      <c r="L498" t="n">
        <v>5</v>
      </c>
      <c r="M498" t="inlineStr">
        <is>
          <t>2026-06-29 13:05:22</t>
        </is>
      </c>
      <c r="N498" t="inlineStr">
        <is>
          <t>system</t>
        </is>
      </c>
      <c r="O498" t="inlineStr">
        <is>
          <t>2026-06-17 14:10:06</t>
        </is>
      </c>
      <c r="P498" t="inlineStr">
        <is>
          <t>2026-06-17 14:10:06</t>
        </is>
      </c>
      <c r="Y498" t="inlineStr">
        <is>
          <t>27646560757</t>
        </is>
      </c>
    </row>
    <row r="499">
      <c r="A499" t="inlineStr">
        <is>
          <t>14900000</t>
        </is>
      </c>
      <c r="B499" t="inlineStr">
        <is>
          <t>e500bc9a-458f-4dbf-b120-4698b021b6e1</t>
        </is>
      </c>
      <c r="D499" t="inlineStr">
        <is>
          <t>111111124</t>
        </is>
      </c>
      <c r="E499" t="inlineStr">
        <is>
          <t>Vodacom Life 20260617</t>
        </is>
      </c>
      <c r="G499" t="inlineStr">
        <is>
          <t>PERCEVEARANCE</t>
        </is>
      </c>
      <c r="H499" t="inlineStr">
        <is>
          <t>NKWANYANA</t>
        </is>
      </c>
      <c r="J499" t="inlineStr">
        <is>
          <t>AA</t>
        </is>
      </c>
      <c r="K499" t="inlineStr">
        <is>
          <t>Answering Machine Autodial</t>
        </is>
      </c>
      <c r="L499" t="n">
        <v>5</v>
      </c>
      <c r="M499" t="inlineStr">
        <is>
          <t>2026-06-29 13:05:21</t>
        </is>
      </c>
      <c r="N499" t="inlineStr">
        <is>
          <t>system</t>
        </is>
      </c>
      <c r="O499" t="inlineStr">
        <is>
          <t>2026-06-17 14:10:06</t>
        </is>
      </c>
      <c r="P499" t="inlineStr">
        <is>
          <t>2026-06-17 14:10:06</t>
        </is>
      </c>
      <c r="Y499" t="inlineStr">
        <is>
          <t>27662040042</t>
        </is>
      </c>
    </row>
    <row r="500">
      <c r="A500" t="inlineStr">
        <is>
          <t>14921248</t>
        </is>
      </c>
      <c r="B500" t="inlineStr">
        <is>
          <t>1209d070-af27-447b-aa46-73345fbadc02</t>
        </is>
      </c>
      <c r="D500" t="inlineStr">
        <is>
          <t>111111124</t>
        </is>
      </c>
      <c r="E500" t="inlineStr">
        <is>
          <t>Vodacom Life 20260617</t>
        </is>
      </c>
      <c r="G500" t="inlineStr">
        <is>
          <t>CAROL</t>
        </is>
      </c>
      <c r="H500" t="inlineStr">
        <is>
          <t>FREDERICKS</t>
        </is>
      </c>
      <c r="J500" t="inlineStr">
        <is>
          <t>AE</t>
        </is>
      </c>
      <c r="K500" t="inlineStr">
        <is>
          <t>Auto Engaged</t>
        </is>
      </c>
      <c r="L500" t="n">
        <v>5</v>
      </c>
      <c r="M500" t="inlineStr">
        <is>
          <t>2026-06-29 13:05:21</t>
        </is>
      </c>
      <c r="N500" t="inlineStr">
        <is>
          <t>system</t>
        </is>
      </c>
      <c r="O500" t="inlineStr">
        <is>
          <t>2026-06-17 14:10:06</t>
        </is>
      </c>
      <c r="P500" t="inlineStr">
        <is>
          <t>2026-06-17 14:10:06</t>
        </is>
      </c>
      <c r="Y500" t="inlineStr">
        <is>
          <t>27793548821</t>
        </is>
      </c>
    </row>
    <row r="501">
      <c r="A501" t="inlineStr">
        <is>
          <t>14921249</t>
        </is>
      </c>
      <c r="B501" t="inlineStr">
        <is>
          <t>610ad5c7-49b2-4ae8-a18e-11e36dc0906d</t>
        </is>
      </c>
      <c r="D501" t="inlineStr">
        <is>
          <t>111111124</t>
        </is>
      </c>
      <c r="E501" t="inlineStr">
        <is>
          <t>Vodacom Life 20260617</t>
        </is>
      </c>
      <c r="G501" t="inlineStr">
        <is>
          <t>JACQUES</t>
        </is>
      </c>
      <c r="H501" t="inlineStr">
        <is>
          <t>HARMSE</t>
        </is>
      </c>
      <c r="J501" t="inlineStr">
        <is>
          <t>AA</t>
        </is>
      </c>
      <c r="K501" t="inlineStr">
        <is>
          <t>Answering Machine Autodial</t>
        </is>
      </c>
      <c r="L501" t="n">
        <v>5</v>
      </c>
      <c r="M501" t="inlineStr">
        <is>
          <t>2026-06-29 13:05:21</t>
        </is>
      </c>
      <c r="N501" t="inlineStr">
        <is>
          <t>system</t>
        </is>
      </c>
      <c r="O501" t="inlineStr">
        <is>
          <t>2026-06-17 14:10:06</t>
        </is>
      </c>
      <c r="P501" t="inlineStr">
        <is>
          <t>2026-06-17 14:10:06</t>
        </is>
      </c>
      <c r="Y501" t="inlineStr">
        <is>
          <t>27823810971</t>
        </is>
      </c>
    </row>
    <row r="502">
      <c r="A502" t="inlineStr">
        <is>
          <t>14921184</t>
        </is>
      </c>
      <c r="B502" t="inlineStr">
        <is>
          <t>8f166c77-6720-44eb-ae97-c7ba65e893a8</t>
        </is>
      </c>
      <c r="D502" t="inlineStr">
        <is>
          <t>111111124</t>
        </is>
      </c>
      <c r="E502" t="inlineStr">
        <is>
          <t>Vodacom Life 20260617</t>
        </is>
      </c>
      <c r="G502" t="inlineStr">
        <is>
          <t>NASIA</t>
        </is>
      </c>
      <c r="H502" t="inlineStr">
        <is>
          <t>SEYUBA</t>
        </is>
      </c>
      <c r="J502" t="inlineStr">
        <is>
          <t>A</t>
        </is>
      </c>
      <c r="K502" t="inlineStr">
        <is>
          <t>Answering Machine</t>
        </is>
      </c>
      <c r="L502" t="n">
        <v>5</v>
      </c>
      <c r="M502" t="inlineStr">
        <is>
          <t>2026-06-29 13:04:51</t>
        </is>
      </c>
      <c r="N502" t="inlineStr">
        <is>
          <t>bongiwe lushaba</t>
        </is>
      </c>
      <c r="O502" t="inlineStr">
        <is>
          <t>2026-06-17 14:10:06</t>
        </is>
      </c>
      <c r="P502" t="inlineStr">
        <is>
          <t>2026-06-17 14:10:06</t>
        </is>
      </c>
      <c r="Y502" t="inlineStr">
        <is>
          <t>27646333484</t>
        </is>
      </c>
    </row>
    <row r="503">
      <c r="A503" t="inlineStr">
        <is>
          <t>14921203</t>
        </is>
      </c>
      <c r="B503" t="inlineStr">
        <is>
          <t>aaf079dd-1b4d-4837-b906-c3d560076815</t>
        </is>
      </c>
      <c r="D503" t="inlineStr">
        <is>
          <t>111111124</t>
        </is>
      </c>
      <c r="E503" t="inlineStr">
        <is>
          <t>Vodacom Life 20260617</t>
        </is>
      </c>
      <c r="G503" t="inlineStr">
        <is>
          <t>KELLY</t>
        </is>
      </c>
      <c r="H503" t="inlineStr">
        <is>
          <t>BASS</t>
        </is>
      </c>
      <c r="J503" t="inlineStr">
        <is>
          <t>NA</t>
        </is>
      </c>
      <c r="K503" t="inlineStr">
        <is>
          <t>No Answer Autodial</t>
        </is>
      </c>
      <c r="L503" t="n">
        <v>5</v>
      </c>
      <c r="M503" t="inlineStr">
        <is>
          <t>2026-06-29 13:04:23</t>
        </is>
      </c>
      <c r="N503" t="inlineStr">
        <is>
          <t>system</t>
        </is>
      </c>
      <c r="O503" t="inlineStr">
        <is>
          <t>2026-06-17 14:10:06</t>
        </is>
      </c>
      <c r="P503" t="inlineStr">
        <is>
          <t>2026-06-17 14:10:06</t>
        </is>
      </c>
      <c r="Y503" t="inlineStr">
        <is>
          <t>27795597381</t>
        </is>
      </c>
    </row>
    <row r="504">
      <c r="A504" t="inlineStr">
        <is>
          <t>14921205</t>
        </is>
      </c>
      <c r="B504" t="inlineStr">
        <is>
          <t>41c850ff-5aeb-442b-8757-1c2129eb6cc2</t>
        </is>
      </c>
      <c r="D504" t="inlineStr">
        <is>
          <t>111111124</t>
        </is>
      </c>
      <c r="E504" t="inlineStr">
        <is>
          <t>Vodacom Life 20260617</t>
        </is>
      </c>
      <c r="G504" t="inlineStr">
        <is>
          <t>DARIUS</t>
        </is>
      </c>
      <c r="H504" t="inlineStr">
        <is>
          <t>BEKKER</t>
        </is>
      </c>
      <c r="J504" t="inlineStr">
        <is>
          <t>AE</t>
        </is>
      </c>
      <c r="K504" t="inlineStr">
        <is>
          <t>Auto Engaged</t>
        </is>
      </c>
      <c r="L504" t="n">
        <v>5</v>
      </c>
      <c r="M504" t="inlineStr">
        <is>
          <t>2026-06-29 13:04:23</t>
        </is>
      </c>
      <c r="N504" t="inlineStr">
        <is>
          <t>system</t>
        </is>
      </c>
      <c r="O504" t="inlineStr">
        <is>
          <t>2026-06-17 14:10:06</t>
        </is>
      </c>
      <c r="P504" t="inlineStr">
        <is>
          <t>2026-06-17 14:10:06</t>
        </is>
      </c>
      <c r="Y504" t="inlineStr">
        <is>
          <t>27609602339</t>
        </is>
      </c>
    </row>
    <row r="505">
      <c r="A505" t="inlineStr">
        <is>
          <t>14921206</t>
        </is>
      </c>
      <c r="B505" t="inlineStr">
        <is>
          <t>13e3a4ff-8522-4c39-bf07-d121b1ceb7e4</t>
        </is>
      </c>
      <c r="D505" t="inlineStr">
        <is>
          <t>111111124</t>
        </is>
      </c>
      <c r="E505" t="inlineStr">
        <is>
          <t>Vodacom Life 20260617</t>
        </is>
      </c>
      <c r="G505" t="inlineStr">
        <is>
          <t>MOSES</t>
        </is>
      </c>
      <c r="H505" t="inlineStr">
        <is>
          <t>MAKGOBA</t>
        </is>
      </c>
      <c r="J505" t="inlineStr">
        <is>
          <t>AE</t>
        </is>
      </c>
      <c r="K505" t="inlineStr">
        <is>
          <t>Auto Engaged</t>
        </is>
      </c>
      <c r="L505" t="n">
        <v>5</v>
      </c>
      <c r="M505" t="inlineStr">
        <is>
          <t>2026-06-29 13:04:23</t>
        </is>
      </c>
      <c r="N505" t="inlineStr">
        <is>
          <t>system</t>
        </is>
      </c>
      <c r="O505" t="inlineStr">
        <is>
          <t>2026-06-17 14:10:06</t>
        </is>
      </c>
      <c r="P505" t="inlineStr">
        <is>
          <t>2026-06-17 14:10:06</t>
        </is>
      </c>
      <c r="Y505" t="inlineStr">
        <is>
          <t>27662262382</t>
        </is>
      </c>
    </row>
    <row r="506">
      <c r="A506" t="inlineStr">
        <is>
          <t>14921207</t>
        </is>
      </c>
      <c r="B506" t="inlineStr">
        <is>
          <t>d3639d7a-d766-4198-aa5b-17428582be49</t>
        </is>
      </c>
      <c r="D506" t="inlineStr">
        <is>
          <t>111111124</t>
        </is>
      </c>
      <c r="E506" t="inlineStr">
        <is>
          <t>Vodacom Life 20260617</t>
        </is>
      </c>
      <c r="G506" t="inlineStr">
        <is>
          <t>ANDRE</t>
        </is>
      </c>
      <c r="H506" t="inlineStr">
        <is>
          <t>FOURIE</t>
        </is>
      </c>
      <c r="J506" t="inlineStr">
        <is>
          <t>AE</t>
        </is>
      </c>
      <c r="K506" t="inlineStr">
        <is>
          <t>Auto Engaged</t>
        </is>
      </c>
      <c r="L506" t="n">
        <v>5</v>
      </c>
      <c r="M506" t="inlineStr">
        <is>
          <t>2026-06-29 13:04:23</t>
        </is>
      </c>
      <c r="N506" t="inlineStr">
        <is>
          <t>system</t>
        </is>
      </c>
      <c r="O506" t="inlineStr">
        <is>
          <t>2026-06-17 14:10:06</t>
        </is>
      </c>
      <c r="P506" t="inlineStr">
        <is>
          <t>2026-06-17 14:10:06</t>
        </is>
      </c>
      <c r="Y506" t="inlineStr">
        <is>
          <t>27832360790</t>
        </is>
      </c>
    </row>
    <row r="507">
      <c r="A507" t="inlineStr">
        <is>
          <t>14921208</t>
        </is>
      </c>
      <c r="B507" t="inlineStr">
        <is>
          <t>bf4f3194-fe46-41d5-9add-457ba78c7772</t>
        </is>
      </c>
      <c r="D507" t="inlineStr">
        <is>
          <t>111111124</t>
        </is>
      </c>
      <c r="E507" t="inlineStr">
        <is>
          <t>Vodacom Life 20260617</t>
        </is>
      </c>
      <c r="G507" t="inlineStr">
        <is>
          <t>MOTSHIDISI</t>
        </is>
      </c>
      <c r="H507" t="inlineStr">
        <is>
          <t>MADUNA</t>
        </is>
      </c>
      <c r="J507" t="inlineStr">
        <is>
          <t>DROP</t>
        </is>
      </c>
      <c r="K507" t="inlineStr">
        <is>
          <t>Dropped</t>
        </is>
      </c>
      <c r="L507" t="n">
        <v>5</v>
      </c>
      <c r="M507" t="inlineStr">
        <is>
          <t>2026-06-29 13:04:23</t>
        </is>
      </c>
      <c r="N507" t="inlineStr">
        <is>
          <t>system</t>
        </is>
      </c>
      <c r="O507" t="inlineStr">
        <is>
          <t>2026-06-17 14:10:06</t>
        </is>
      </c>
      <c r="P507" t="inlineStr">
        <is>
          <t>2026-06-17 14:10:06</t>
        </is>
      </c>
      <c r="Y507" t="inlineStr">
        <is>
          <t>27836340669</t>
        </is>
      </c>
    </row>
    <row r="508">
      <c r="A508" t="inlineStr">
        <is>
          <t>14921181</t>
        </is>
      </c>
      <c r="B508" t="inlineStr">
        <is>
          <t>96099bd0-4a24-41b6-b59c-b2a5837fec28</t>
        </is>
      </c>
      <c r="D508" t="inlineStr">
        <is>
          <t>111111124</t>
        </is>
      </c>
      <c r="E508" t="inlineStr">
        <is>
          <t>Vodacom Life 20260617</t>
        </is>
      </c>
      <c r="G508" t="inlineStr">
        <is>
          <t>NOMFUNDO</t>
        </is>
      </c>
      <c r="H508" t="inlineStr">
        <is>
          <t>MEYIWA</t>
        </is>
      </c>
      <c r="J508" t="inlineStr">
        <is>
          <t>AA</t>
        </is>
      </c>
      <c r="K508" t="inlineStr">
        <is>
          <t>Answering Machine Autodial</t>
        </is>
      </c>
      <c r="L508" t="n">
        <v>5</v>
      </c>
      <c r="M508" t="inlineStr">
        <is>
          <t>2026-06-29 13:02:38</t>
        </is>
      </c>
      <c r="N508" t="inlineStr">
        <is>
          <t>system</t>
        </is>
      </c>
      <c r="O508" t="inlineStr">
        <is>
          <t>2026-06-17 14:10:06</t>
        </is>
      </c>
      <c r="P508" t="inlineStr">
        <is>
          <t>2026-06-17 14:10:06</t>
        </is>
      </c>
      <c r="Y508" t="inlineStr">
        <is>
          <t>27662534064</t>
        </is>
      </c>
    </row>
    <row r="509">
      <c r="A509" t="inlineStr">
        <is>
          <t>14921182</t>
        </is>
      </c>
      <c r="B509" t="inlineStr">
        <is>
          <t>3aca2668-5fd7-4c3a-be15-de9bc05d4e1f</t>
        </is>
      </c>
      <c r="D509" t="inlineStr">
        <is>
          <t>111111124</t>
        </is>
      </c>
      <c r="E509" t="inlineStr">
        <is>
          <t>Vodacom Life 20260617</t>
        </is>
      </c>
      <c r="G509" t="inlineStr">
        <is>
          <t>SIVAKELE</t>
        </is>
      </c>
      <c r="H509" t="inlineStr">
        <is>
          <t>GANTSHO</t>
        </is>
      </c>
      <c r="J509" t="inlineStr">
        <is>
          <t>AE</t>
        </is>
      </c>
      <c r="K509" t="inlineStr">
        <is>
          <t>Auto Engaged</t>
        </is>
      </c>
      <c r="L509" t="n">
        <v>5</v>
      </c>
      <c r="M509" t="inlineStr">
        <is>
          <t>2026-06-29 13:02:28</t>
        </is>
      </c>
      <c r="N509" t="inlineStr">
        <is>
          <t>system</t>
        </is>
      </c>
      <c r="O509" t="inlineStr">
        <is>
          <t>2026-06-17 14:10:06</t>
        </is>
      </c>
      <c r="P509" t="inlineStr">
        <is>
          <t>2026-06-17 14:10:06</t>
        </is>
      </c>
      <c r="Y509" t="inlineStr">
        <is>
          <t>27646479116</t>
        </is>
      </c>
    </row>
    <row r="510">
      <c r="A510" t="inlineStr">
        <is>
          <t>14921186</t>
        </is>
      </c>
      <c r="B510" t="inlineStr">
        <is>
          <t>5ffb17ba-b691-4863-9953-237233094e47</t>
        </is>
      </c>
      <c r="D510" t="inlineStr">
        <is>
          <t>111111124</t>
        </is>
      </c>
      <c r="E510" t="inlineStr">
        <is>
          <t>Vodacom Life 20260617</t>
        </is>
      </c>
      <c r="G510" t="inlineStr">
        <is>
          <t>SHAWN</t>
        </is>
      </c>
      <c r="H510" t="inlineStr">
        <is>
          <t>FELICETI</t>
        </is>
      </c>
      <c r="J510" t="inlineStr">
        <is>
          <t>AA</t>
        </is>
      </c>
      <c r="K510" t="inlineStr">
        <is>
          <t>Answering Machine Autodial</t>
        </is>
      </c>
      <c r="L510" t="n">
        <v>5</v>
      </c>
      <c r="M510" t="inlineStr">
        <is>
          <t>2026-06-29 13:02:28</t>
        </is>
      </c>
      <c r="N510" t="inlineStr">
        <is>
          <t>system</t>
        </is>
      </c>
      <c r="O510" t="inlineStr">
        <is>
          <t>2026-06-17 14:10:06</t>
        </is>
      </c>
      <c r="P510" t="inlineStr">
        <is>
          <t>2026-06-17 14:10:06</t>
        </is>
      </c>
      <c r="Y510" t="inlineStr">
        <is>
          <t>27636161230</t>
        </is>
      </c>
    </row>
    <row r="511">
      <c r="A511" t="inlineStr">
        <is>
          <t>14921187</t>
        </is>
      </c>
      <c r="B511" t="inlineStr">
        <is>
          <t>0ed2f8f2-dc4a-4b01-9462-eba52dcc6d7d</t>
        </is>
      </c>
      <c r="D511" t="inlineStr">
        <is>
          <t>111111124</t>
        </is>
      </c>
      <c r="E511" t="inlineStr">
        <is>
          <t>Vodacom Life 20260617</t>
        </is>
      </c>
      <c r="G511" t="inlineStr">
        <is>
          <t>THEMBA</t>
        </is>
      </c>
      <c r="H511" t="inlineStr">
        <is>
          <t>NKAMBULE</t>
        </is>
      </c>
      <c r="J511" t="inlineStr">
        <is>
          <t>DROP</t>
        </is>
      </c>
      <c r="K511" t="inlineStr">
        <is>
          <t>Dropped</t>
        </is>
      </c>
      <c r="L511" t="n">
        <v>5</v>
      </c>
      <c r="M511" t="inlineStr">
        <is>
          <t>2026-06-29 13:01:44</t>
        </is>
      </c>
      <c r="N511" t="inlineStr">
        <is>
          <t>system</t>
        </is>
      </c>
      <c r="O511" t="inlineStr">
        <is>
          <t>2026-06-17 14:10:06</t>
        </is>
      </c>
      <c r="P511" t="inlineStr">
        <is>
          <t>2026-06-17 14:10:06</t>
        </is>
      </c>
      <c r="Y511" t="inlineStr">
        <is>
          <t>27729026663</t>
        </is>
      </c>
    </row>
    <row r="512">
      <c r="A512" t="inlineStr">
        <is>
          <t>14921188</t>
        </is>
      </c>
      <c r="B512" t="inlineStr">
        <is>
          <t>35c241db-b4de-431a-9f6c-c3bebd3571c1</t>
        </is>
      </c>
      <c r="D512" t="inlineStr">
        <is>
          <t>111111124</t>
        </is>
      </c>
      <c r="E512" t="inlineStr">
        <is>
          <t>Vodacom Life 20260617</t>
        </is>
      </c>
      <c r="G512" t="inlineStr">
        <is>
          <t>GUDANI</t>
        </is>
      </c>
      <c r="H512" t="inlineStr">
        <is>
          <t>BUDELI</t>
        </is>
      </c>
      <c r="J512" t="inlineStr">
        <is>
          <t>DROP</t>
        </is>
      </c>
      <c r="K512" t="inlineStr">
        <is>
          <t>Dropped</t>
        </is>
      </c>
      <c r="L512" t="n">
        <v>5</v>
      </c>
      <c r="M512" t="inlineStr">
        <is>
          <t>2026-06-29 13:01:43</t>
        </is>
      </c>
      <c r="N512" t="inlineStr">
        <is>
          <t>system</t>
        </is>
      </c>
      <c r="O512" t="inlineStr">
        <is>
          <t>2026-06-17 14:10:06</t>
        </is>
      </c>
      <c r="P512" t="inlineStr">
        <is>
          <t>2026-06-17 14:10:06</t>
        </is>
      </c>
      <c r="Y512" t="inlineStr">
        <is>
          <t>27823589191</t>
        </is>
      </c>
    </row>
    <row r="513">
      <c r="A513" t="inlineStr">
        <is>
          <t>14921189</t>
        </is>
      </c>
      <c r="B513" t="inlineStr">
        <is>
          <t>af026fe3-fdef-47c4-80b5-d7d7a3ea2cd4</t>
        </is>
      </c>
      <c r="D513" t="inlineStr">
        <is>
          <t>111111124</t>
        </is>
      </c>
      <c r="E513" t="inlineStr">
        <is>
          <t>Vodacom Life 20260617</t>
        </is>
      </c>
      <c r="G513" t="inlineStr">
        <is>
          <t>MZIWAMANDLA</t>
        </is>
      </c>
      <c r="H513" t="inlineStr">
        <is>
          <t>NQEZO</t>
        </is>
      </c>
      <c r="J513" t="inlineStr">
        <is>
          <t>NA</t>
        </is>
      </c>
      <c r="K513" t="inlineStr">
        <is>
          <t>No Answer Autodial</t>
        </is>
      </c>
      <c r="L513" t="n">
        <v>5</v>
      </c>
      <c r="M513" t="inlineStr">
        <is>
          <t>2026-06-29 13:01:43</t>
        </is>
      </c>
      <c r="N513" t="inlineStr">
        <is>
          <t>system</t>
        </is>
      </c>
      <c r="O513" t="inlineStr">
        <is>
          <t>2026-06-17 14:10:06</t>
        </is>
      </c>
      <c r="P513" t="inlineStr">
        <is>
          <t>2026-06-17 14:10:06</t>
        </is>
      </c>
      <c r="Y513" t="inlineStr">
        <is>
          <t>27827036467</t>
        </is>
      </c>
    </row>
    <row r="514">
      <c r="A514" t="inlineStr">
        <is>
          <t>14921190</t>
        </is>
      </c>
      <c r="B514" t="inlineStr">
        <is>
          <t>447f1958-0e03-4f16-a886-f77271b8c0bd</t>
        </is>
      </c>
      <c r="D514" t="inlineStr">
        <is>
          <t>111111124</t>
        </is>
      </c>
      <c r="E514" t="inlineStr">
        <is>
          <t>Vodacom Life 20260617</t>
        </is>
      </c>
      <c r="G514" t="inlineStr">
        <is>
          <t>MMBULAHENI</t>
        </is>
      </c>
      <c r="H514" t="inlineStr">
        <is>
          <t>LUVHIMBI</t>
        </is>
      </c>
      <c r="J514" t="inlineStr">
        <is>
          <t>AA</t>
        </is>
      </c>
      <c r="K514" t="inlineStr">
        <is>
          <t>Answering Machine Autodial</t>
        </is>
      </c>
      <c r="L514" t="n">
        <v>5</v>
      </c>
      <c r="M514" t="inlineStr">
        <is>
          <t>2026-06-29 13:01:43</t>
        </is>
      </c>
      <c r="N514" t="inlineStr">
        <is>
          <t>system</t>
        </is>
      </c>
      <c r="O514" t="inlineStr">
        <is>
          <t>2026-06-17 14:10:06</t>
        </is>
      </c>
      <c r="P514" t="inlineStr">
        <is>
          <t>2026-06-17 14:10:06</t>
        </is>
      </c>
      <c r="Y514" t="inlineStr">
        <is>
          <t>27722894032</t>
        </is>
      </c>
    </row>
    <row r="515">
      <c r="A515" t="inlineStr">
        <is>
          <t>14921192</t>
        </is>
      </c>
      <c r="B515" t="inlineStr">
        <is>
          <t>02b4b45c-0dba-4f6a-b8b1-804f71fc8c33</t>
        </is>
      </c>
      <c r="D515" t="inlineStr">
        <is>
          <t>111111124</t>
        </is>
      </c>
      <c r="E515" t="inlineStr">
        <is>
          <t>Vodacom Life 20260617</t>
        </is>
      </c>
      <c r="G515" t="inlineStr">
        <is>
          <t>NOMAKHOSI</t>
        </is>
      </c>
      <c r="H515" t="inlineStr">
        <is>
          <t>MATOLA</t>
        </is>
      </c>
      <c r="J515" t="inlineStr">
        <is>
          <t>AA</t>
        </is>
      </c>
      <c r="K515" t="inlineStr">
        <is>
          <t>Answering Machine Autodial</t>
        </is>
      </c>
      <c r="L515" t="n">
        <v>5</v>
      </c>
      <c r="M515" t="inlineStr">
        <is>
          <t>2026-06-29 13:01:35</t>
        </is>
      </c>
      <c r="N515" t="inlineStr">
        <is>
          <t>system</t>
        </is>
      </c>
      <c r="O515" t="inlineStr">
        <is>
          <t>2026-06-17 14:10:06</t>
        </is>
      </c>
      <c r="P515" t="inlineStr">
        <is>
          <t>2026-06-17 14:10:06</t>
        </is>
      </c>
      <c r="Y515" t="inlineStr">
        <is>
          <t>27794999663</t>
        </is>
      </c>
    </row>
    <row r="516">
      <c r="A516" t="inlineStr">
        <is>
          <t>14921193</t>
        </is>
      </c>
      <c r="B516" t="inlineStr">
        <is>
          <t>86154619-79fc-4164-8a0f-3831d2ec4e1e</t>
        </is>
      </c>
      <c r="D516" t="inlineStr">
        <is>
          <t>111111124</t>
        </is>
      </c>
      <c r="E516" t="inlineStr">
        <is>
          <t>Vodacom Life 20260617</t>
        </is>
      </c>
      <c r="G516" t="inlineStr">
        <is>
          <t>JESSE</t>
        </is>
      </c>
      <c r="H516" t="inlineStr">
        <is>
          <t>BROWN</t>
        </is>
      </c>
      <c r="J516" t="inlineStr">
        <is>
          <t>CU</t>
        </is>
      </c>
      <c r="K516" t="inlineStr">
        <is>
          <t>Client Hung Up</t>
        </is>
      </c>
      <c r="L516" t="n">
        <v>5</v>
      </c>
      <c r="M516" t="inlineStr">
        <is>
          <t>2026-06-29 13:01:29</t>
        </is>
      </c>
      <c r="N516" t="inlineStr">
        <is>
          <t>Vanessa Kekana</t>
        </is>
      </c>
      <c r="O516" t="inlineStr">
        <is>
          <t>2026-06-17 14:10:06</t>
        </is>
      </c>
      <c r="P516" t="inlineStr">
        <is>
          <t>2026-06-17 14:10:06</t>
        </is>
      </c>
      <c r="Y516" t="inlineStr">
        <is>
          <t>27716036750</t>
        </is>
      </c>
    </row>
    <row r="517">
      <c r="A517" t="inlineStr">
        <is>
          <t>14921196</t>
        </is>
      </c>
      <c r="B517" t="inlineStr">
        <is>
          <t>b224fa39-1134-4e20-8a83-18f49ec67e63</t>
        </is>
      </c>
      <c r="D517" t="inlineStr">
        <is>
          <t>111111124</t>
        </is>
      </c>
      <c r="E517" t="inlineStr">
        <is>
          <t>Vodacom Life 20260617</t>
        </is>
      </c>
      <c r="G517" t="inlineStr">
        <is>
          <t>TAMSAN</t>
        </is>
      </c>
      <c r="H517" t="inlineStr">
        <is>
          <t>DAVIDS</t>
        </is>
      </c>
      <c r="J517" t="inlineStr">
        <is>
          <t>DROP</t>
        </is>
      </c>
      <c r="K517" t="inlineStr">
        <is>
          <t>Dropped</t>
        </is>
      </c>
      <c r="L517" t="n">
        <v>5</v>
      </c>
      <c r="M517" t="inlineStr">
        <is>
          <t>2026-06-29 13:01:29</t>
        </is>
      </c>
      <c r="N517" t="inlineStr">
        <is>
          <t>system</t>
        </is>
      </c>
      <c r="O517" t="inlineStr">
        <is>
          <t>2026-06-17 14:10:06</t>
        </is>
      </c>
      <c r="P517" t="inlineStr">
        <is>
          <t>2026-06-17 14:10:06</t>
        </is>
      </c>
      <c r="Y517" t="inlineStr">
        <is>
          <t>27712119710</t>
        </is>
      </c>
    </row>
    <row r="518">
      <c r="A518" t="inlineStr">
        <is>
          <t>14921197</t>
        </is>
      </c>
      <c r="B518" t="inlineStr">
        <is>
          <t>33215b55-33a2-4c0b-8c5b-43caa323a62e</t>
        </is>
      </c>
      <c r="D518" t="inlineStr">
        <is>
          <t>111111124</t>
        </is>
      </c>
      <c r="E518" t="inlineStr">
        <is>
          <t>Vodacom Life 20260617</t>
        </is>
      </c>
      <c r="G518" t="inlineStr">
        <is>
          <t>ITUMELENG</t>
        </is>
      </c>
      <c r="H518" t="inlineStr">
        <is>
          <t>KHANYETSI</t>
        </is>
      </c>
      <c r="J518" t="inlineStr">
        <is>
          <t>AE</t>
        </is>
      </c>
      <c r="K518" t="inlineStr">
        <is>
          <t>Auto Engaged</t>
        </is>
      </c>
      <c r="L518" t="n">
        <v>5</v>
      </c>
      <c r="M518" t="inlineStr">
        <is>
          <t>2026-06-29 13:01:29</t>
        </is>
      </c>
      <c r="N518" t="inlineStr">
        <is>
          <t>system</t>
        </is>
      </c>
      <c r="O518" t="inlineStr">
        <is>
          <t>2026-06-17 14:10:06</t>
        </is>
      </c>
      <c r="P518" t="inlineStr">
        <is>
          <t>2026-06-17 14:10:06</t>
        </is>
      </c>
      <c r="Y518" t="inlineStr">
        <is>
          <t>27721762537</t>
        </is>
      </c>
    </row>
    <row r="519">
      <c r="A519" t="inlineStr">
        <is>
          <t>14921198</t>
        </is>
      </c>
      <c r="B519" t="inlineStr">
        <is>
          <t>c73da23c-0fc0-4c9e-9920-488a86017e69</t>
        </is>
      </c>
      <c r="D519" t="inlineStr">
        <is>
          <t>111111124</t>
        </is>
      </c>
      <c r="E519" t="inlineStr">
        <is>
          <t>Vodacom Life 20260617</t>
        </is>
      </c>
      <c r="G519" t="inlineStr">
        <is>
          <t>REBECCA</t>
        </is>
      </c>
      <c r="H519" t="inlineStr">
        <is>
          <t>GOVENDER</t>
        </is>
      </c>
      <c r="J519" t="inlineStr">
        <is>
          <t>AA</t>
        </is>
      </c>
      <c r="K519" t="inlineStr">
        <is>
          <t>Answering Machine Autodial</t>
        </is>
      </c>
      <c r="L519" t="n">
        <v>5</v>
      </c>
      <c r="M519" t="inlineStr">
        <is>
          <t>2026-06-29 13:01:29</t>
        </is>
      </c>
      <c r="N519" t="inlineStr">
        <is>
          <t>system</t>
        </is>
      </c>
      <c r="O519" t="inlineStr">
        <is>
          <t>2026-06-17 14:10:06</t>
        </is>
      </c>
      <c r="P519" t="inlineStr">
        <is>
          <t>2026-06-17 14:10:06</t>
        </is>
      </c>
      <c r="Y519" t="inlineStr">
        <is>
          <t>27824339384</t>
        </is>
      </c>
    </row>
    <row r="520">
      <c r="A520" t="inlineStr">
        <is>
          <t>14921140</t>
        </is>
      </c>
      <c r="B520" t="inlineStr">
        <is>
          <t>86f4c21c-8361-4217-85af-237306f0bcf9</t>
        </is>
      </c>
      <c r="D520" t="inlineStr">
        <is>
          <t>111111124</t>
        </is>
      </c>
      <c r="E520" t="inlineStr">
        <is>
          <t>Vodacom Life 20260617</t>
        </is>
      </c>
      <c r="G520" t="inlineStr">
        <is>
          <t>JUANDRI</t>
        </is>
      </c>
      <c r="H520" t="inlineStr">
        <is>
          <t>KNOETZE</t>
        </is>
      </c>
      <c r="J520" t="inlineStr">
        <is>
          <t>AE</t>
        </is>
      </c>
      <c r="K520" t="inlineStr">
        <is>
          <t>Auto Engaged</t>
        </is>
      </c>
      <c r="L520" t="n">
        <v>5</v>
      </c>
      <c r="M520" t="inlineStr">
        <is>
          <t>2026-06-29 13:01:04</t>
        </is>
      </c>
      <c r="N520" t="inlineStr">
        <is>
          <t>system</t>
        </is>
      </c>
      <c r="O520" t="inlineStr">
        <is>
          <t>2026-06-17 14:10:06</t>
        </is>
      </c>
      <c r="P520" t="inlineStr">
        <is>
          <t>2026-06-17 14:10:06</t>
        </is>
      </c>
      <c r="Y520" t="inlineStr">
        <is>
          <t>27824482397</t>
        </is>
      </c>
    </row>
    <row r="521">
      <c r="A521" t="inlineStr">
        <is>
          <t>14921142</t>
        </is>
      </c>
      <c r="B521" t="inlineStr">
        <is>
          <t>f98f8427-8400-4e65-9d65-195f370a73b7</t>
        </is>
      </c>
      <c r="D521" t="inlineStr">
        <is>
          <t>111111124</t>
        </is>
      </c>
      <c r="E521" t="inlineStr">
        <is>
          <t>Vodacom Life 20260617</t>
        </is>
      </c>
      <c r="G521" t="inlineStr">
        <is>
          <t>ANDRIES</t>
        </is>
      </c>
      <c r="H521" t="inlineStr">
        <is>
          <t>BROODRYK</t>
        </is>
      </c>
      <c r="J521" t="inlineStr">
        <is>
          <t>AA</t>
        </is>
      </c>
      <c r="K521" t="inlineStr">
        <is>
          <t>Answering Machine Autodial</t>
        </is>
      </c>
      <c r="L521" t="n">
        <v>5</v>
      </c>
      <c r="M521" t="inlineStr">
        <is>
          <t>2026-06-29 13:00:56</t>
        </is>
      </c>
      <c r="N521" t="inlineStr">
        <is>
          <t>system</t>
        </is>
      </c>
      <c r="O521" t="inlineStr">
        <is>
          <t>2026-06-17 14:10:06</t>
        </is>
      </c>
      <c r="P521" t="inlineStr">
        <is>
          <t>2026-06-17 14:10:06</t>
        </is>
      </c>
      <c r="Y521" t="inlineStr">
        <is>
          <t>27662515328</t>
        </is>
      </c>
    </row>
    <row r="522">
      <c r="A522" t="inlineStr">
        <is>
          <t>14921143</t>
        </is>
      </c>
      <c r="B522" t="inlineStr">
        <is>
          <t>52c2d1a6-6244-4dc6-b13a-6f83ac3cf7d7</t>
        </is>
      </c>
      <c r="D522" t="inlineStr">
        <is>
          <t>111111124</t>
        </is>
      </c>
      <c r="E522" t="inlineStr">
        <is>
          <t>Vodacom Life 20260617</t>
        </is>
      </c>
      <c r="G522" t="inlineStr">
        <is>
          <t>BUSHY</t>
        </is>
      </c>
      <c r="H522" t="inlineStr">
        <is>
          <t>ZULU</t>
        </is>
      </c>
      <c r="J522" t="inlineStr">
        <is>
          <t>NI</t>
        </is>
      </c>
      <c r="K522" t="inlineStr">
        <is>
          <t>Not Interested</t>
        </is>
      </c>
      <c r="L522" t="n">
        <v>5</v>
      </c>
      <c r="M522" t="inlineStr">
        <is>
          <t>2026-06-29 13:00:56</t>
        </is>
      </c>
      <c r="N522" t="inlineStr">
        <is>
          <t>Maureen Ntsoko</t>
        </is>
      </c>
      <c r="O522" t="inlineStr">
        <is>
          <t>2026-06-17 14:10:06</t>
        </is>
      </c>
      <c r="P522" t="inlineStr">
        <is>
          <t>2026-06-17 14:10:06</t>
        </is>
      </c>
      <c r="Y522" t="inlineStr">
        <is>
          <t>27726098487</t>
        </is>
      </c>
    </row>
    <row r="523">
      <c r="A523" t="inlineStr">
        <is>
          <t>14921144</t>
        </is>
      </c>
      <c r="B523" t="inlineStr">
        <is>
          <t>5516d1db-9ce0-4d39-a592-197662e2caa8</t>
        </is>
      </c>
      <c r="D523" t="inlineStr">
        <is>
          <t>111111124</t>
        </is>
      </c>
      <c r="E523" t="inlineStr">
        <is>
          <t>Vodacom Life 20260617</t>
        </is>
      </c>
      <c r="G523" t="inlineStr">
        <is>
          <t>THOBEKA</t>
        </is>
      </c>
      <c r="H523" t="inlineStr">
        <is>
          <t>MAVUSO</t>
        </is>
      </c>
      <c r="J523" t="inlineStr">
        <is>
          <t>AA</t>
        </is>
      </c>
      <c r="K523" t="inlineStr">
        <is>
          <t>Answering Machine Autodial</t>
        </is>
      </c>
      <c r="L523" t="n">
        <v>5</v>
      </c>
      <c r="M523" t="inlineStr">
        <is>
          <t>2026-06-29 13:00:56</t>
        </is>
      </c>
      <c r="N523" t="inlineStr">
        <is>
          <t>system</t>
        </is>
      </c>
      <c r="O523" t="inlineStr">
        <is>
          <t>2026-06-17 14:10:06</t>
        </is>
      </c>
      <c r="P523" t="inlineStr">
        <is>
          <t>2026-06-17 14:10:06</t>
        </is>
      </c>
      <c r="Y523" t="inlineStr">
        <is>
          <t>27766846746</t>
        </is>
      </c>
    </row>
    <row r="524">
      <c r="A524" t="inlineStr">
        <is>
          <t>14921793</t>
        </is>
      </c>
      <c r="B524" t="inlineStr">
        <is>
          <t>3c5bbefe-7763-40dc-b58e-47abeb8863da</t>
        </is>
      </c>
      <c r="D524" t="inlineStr">
        <is>
          <t>111111124</t>
        </is>
      </c>
      <c r="E524" t="inlineStr">
        <is>
          <t>Vodacom Life 20260617</t>
        </is>
      </c>
      <c r="G524" t="inlineStr">
        <is>
          <t>NOKO</t>
        </is>
      </c>
      <c r="H524" t="inlineStr">
        <is>
          <t>MATLALA</t>
        </is>
      </c>
      <c r="J524" t="inlineStr">
        <is>
          <t>IABDN</t>
        </is>
      </c>
      <c r="K524" t="inlineStr">
        <is>
          <t>Inbound Abandon</t>
        </is>
      </c>
      <c r="L524" t="n">
        <v>5</v>
      </c>
      <c r="M524" t="inlineStr">
        <is>
          <t>2026-06-29 13:00:50</t>
        </is>
      </c>
      <c r="N524" t="inlineStr">
        <is>
          <t>system</t>
        </is>
      </c>
      <c r="O524" t="inlineStr">
        <is>
          <t>2026-06-17 14:10:06</t>
        </is>
      </c>
      <c r="P524" t="inlineStr">
        <is>
          <t>2026-06-17 14:10:06</t>
        </is>
      </c>
      <c r="Y524" t="inlineStr">
        <is>
          <t>27761135393</t>
        </is>
      </c>
    </row>
    <row r="525">
      <c r="A525" t="inlineStr">
        <is>
          <t>14921146</t>
        </is>
      </c>
      <c r="B525" t="inlineStr">
        <is>
          <t>466222c1-163d-4428-95b3-cd8a451cf228</t>
        </is>
      </c>
      <c r="D525" t="inlineStr">
        <is>
          <t>111111124</t>
        </is>
      </c>
      <c r="E525" t="inlineStr">
        <is>
          <t>Vodacom Life 20260617</t>
        </is>
      </c>
      <c r="G525" t="inlineStr">
        <is>
          <t>M</t>
        </is>
      </c>
      <c r="H525" t="inlineStr">
        <is>
          <t>MOHAPI</t>
        </is>
      </c>
      <c r="J525" t="inlineStr">
        <is>
          <t>AA</t>
        </is>
      </c>
      <c r="K525" t="inlineStr">
        <is>
          <t>Answering Machine Autodial</t>
        </is>
      </c>
      <c r="L525" t="n">
        <v>5</v>
      </c>
      <c r="M525" t="inlineStr">
        <is>
          <t>2026-06-29 13:00:41</t>
        </is>
      </c>
      <c r="N525" t="inlineStr">
        <is>
          <t>system</t>
        </is>
      </c>
      <c r="O525" t="inlineStr">
        <is>
          <t>2026-06-17 14:10:06</t>
        </is>
      </c>
      <c r="P525" t="inlineStr">
        <is>
          <t>2026-06-17 14:10:06</t>
        </is>
      </c>
      <c r="Y525" t="inlineStr">
        <is>
          <t>27827827862</t>
        </is>
      </c>
    </row>
    <row r="526">
      <c r="A526" t="inlineStr">
        <is>
          <t>14921337</t>
        </is>
      </c>
      <c r="B526" t="inlineStr">
        <is>
          <t>580aedf0-be36-4815-ae8f-88b1719ef413</t>
        </is>
      </c>
      <c r="D526" t="inlineStr">
        <is>
          <t>111111124</t>
        </is>
      </c>
      <c r="E526" t="inlineStr">
        <is>
          <t>Vodacom Life 20260617</t>
        </is>
      </c>
      <c r="G526" t="inlineStr">
        <is>
          <t>NOMPUMELELO</t>
        </is>
      </c>
      <c r="H526" t="inlineStr">
        <is>
          <t>VOYI</t>
        </is>
      </c>
      <c r="J526" t="inlineStr">
        <is>
          <t>CBACK</t>
        </is>
      </c>
      <c r="K526" t="inlineStr">
        <is>
          <t>Callback</t>
        </is>
      </c>
      <c r="L526" t="n">
        <v>5</v>
      </c>
      <c r="M526" t="inlineStr">
        <is>
          <t>2026-06-29 13:00:41</t>
        </is>
      </c>
      <c r="N526" t="inlineStr">
        <is>
          <t>Khensane Mabasa</t>
        </is>
      </c>
      <c r="O526" t="inlineStr">
        <is>
          <t>2026-06-17 14:10:06</t>
        </is>
      </c>
      <c r="P526" t="inlineStr">
        <is>
          <t>2026-06-17 14:10:06</t>
        </is>
      </c>
      <c r="Y526" t="inlineStr">
        <is>
          <t>27792321937</t>
        </is>
      </c>
    </row>
    <row r="527">
      <c r="A527" t="inlineStr">
        <is>
          <t>14921148</t>
        </is>
      </c>
      <c r="B527" t="inlineStr">
        <is>
          <t>54c517b4-b1de-443c-8f0e-4b814ca9cff5</t>
        </is>
      </c>
      <c r="D527" t="inlineStr">
        <is>
          <t>111111124</t>
        </is>
      </c>
      <c r="E527" t="inlineStr">
        <is>
          <t>Vodacom Life 20260617</t>
        </is>
      </c>
      <c r="G527" t="inlineStr">
        <is>
          <t>KELAEGILE</t>
        </is>
      </c>
      <c r="H527" t="inlineStr">
        <is>
          <t>LEGALAMITLWA</t>
        </is>
      </c>
      <c r="J527" t="inlineStr">
        <is>
          <t>AA</t>
        </is>
      </c>
      <c r="K527" t="inlineStr">
        <is>
          <t>Answering Machine Autodial</t>
        </is>
      </c>
      <c r="L527" t="n">
        <v>5</v>
      </c>
      <c r="M527" t="inlineStr">
        <is>
          <t>2026-06-29 13:00:37</t>
        </is>
      </c>
      <c r="N527" t="inlineStr">
        <is>
          <t>system</t>
        </is>
      </c>
      <c r="O527" t="inlineStr">
        <is>
          <t>2026-06-17 14:10:06</t>
        </is>
      </c>
      <c r="P527" t="inlineStr">
        <is>
          <t>2026-06-17 14:10:06</t>
        </is>
      </c>
      <c r="Y527" t="inlineStr">
        <is>
          <t>27827592961</t>
        </is>
      </c>
    </row>
    <row r="528">
      <c r="A528" t="inlineStr">
        <is>
          <t>14921149</t>
        </is>
      </c>
      <c r="B528" t="inlineStr">
        <is>
          <t>64bb7d99-062d-4193-acbc-1f37ce7cd09a</t>
        </is>
      </c>
      <c r="D528" t="inlineStr">
        <is>
          <t>111111124</t>
        </is>
      </c>
      <c r="E528" t="inlineStr">
        <is>
          <t>Vodacom Life 20260617</t>
        </is>
      </c>
      <c r="G528" t="inlineStr">
        <is>
          <t>ROBIN</t>
        </is>
      </c>
      <c r="H528" t="inlineStr">
        <is>
          <t>ALEXANDER</t>
        </is>
      </c>
      <c r="J528" t="inlineStr">
        <is>
          <t>AA</t>
        </is>
      </c>
      <c r="K528" t="inlineStr">
        <is>
          <t>Answering Machine Autodial</t>
        </is>
      </c>
      <c r="L528" t="n">
        <v>5</v>
      </c>
      <c r="M528" t="inlineStr">
        <is>
          <t>2026-06-29 13:00:37</t>
        </is>
      </c>
      <c r="N528" t="inlineStr">
        <is>
          <t>system</t>
        </is>
      </c>
      <c r="O528" t="inlineStr">
        <is>
          <t>2026-06-17 14:10:06</t>
        </is>
      </c>
      <c r="P528" t="inlineStr">
        <is>
          <t>2026-06-17 14:10:06</t>
        </is>
      </c>
      <c r="Y528" t="inlineStr">
        <is>
          <t>27793732404</t>
        </is>
      </c>
    </row>
    <row r="529">
      <c r="A529" t="inlineStr">
        <is>
          <t>14921150</t>
        </is>
      </c>
      <c r="B529" t="inlineStr">
        <is>
          <t>a10ff4fc-a997-46e3-a3f7-b18dfd668a4d</t>
        </is>
      </c>
      <c r="D529" t="inlineStr">
        <is>
          <t>111111124</t>
        </is>
      </c>
      <c r="E529" t="inlineStr">
        <is>
          <t>Vodacom Life 20260617</t>
        </is>
      </c>
      <c r="G529" t="inlineStr">
        <is>
          <t>LESEGO</t>
        </is>
      </c>
      <c r="H529" t="inlineStr">
        <is>
          <t>MOKGOJE</t>
        </is>
      </c>
      <c r="J529" t="inlineStr">
        <is>
          <t>AE</t>
        </is>
      </c>
      <c r="K529" t="inlineStr">
        <is>
          <t>Auto Engaged</t>
        </is>
      </c>
      <c r="L529" t="n">
        <v>5</v>
      </c>
      <c r="M529" t="inlineStr">
        <is>
          <t>2026-06-29 13:00:37</t>
        </is>
      </c>
      <c r="N529" t="inlineStr">
        <is>
          <t>system</t>
        </is>
      </c>
      <c r="O529" t="inlineStr">
        <is>
          <t>2026-06-17 14:10:06</t>
        </is>
      </c>
      <c r="P529" t="inlineStr">
        <is>
          <t>2026-06-17 14:10:06</t>
        </is>
      </c>
      <c r="Y529" t="inlineStr">
        <is>
          <t>27769671043</t>
        </is>
      </c>
    </row>
    <row r="530">
      <c r="A530" t="inlineStr">
        <is>
          <t>14921152</t>
        </is>
      </c>
      <c r="B530" t="inlineStr">
        <is>
          <t>c4eeaa43-38c1-4673-b864-64fd9e81ff49</t>
        </is>
      </c>
      <c r="D530" t="inlineStr">
        <is>
          <t>111111124</t>
        </is>
      </c>
      <c r="E530" t="inlineStr">
        <is>
          <t>Vodacom Life 20260617</t>
        </is>
      </c>
      <c r="G530" t="inlineStr">
        <is>
          <t>BONGANI</t>
        </is>
      </c>
      <c r="H530" t="inlineStr">
        <is>
          <t>MUKHUBA</t>
        </is>
      </c>
      <c r="J530" t="inlineStr">
        <is>
          <t>TDN</t>
        </is>
      </c>
      <c r="K530" t="inlineStr">
        <is>
          <t>Temporary Disconnected Number</t>
        </is>
      </c>
      <c r="L530" t="n">
        <v>5</v>
      </c>
      <c r="M530" t="inlineStr">
        <is>
          <t>2026-06-29 13:00:36</t>
        </is>
      </c>
      <c r="N530" t="inlineStr">
        <is>
          <t>system</t>
        </is>
      </c>
      <c r="O530" t="inlineStr">
        <is>
          <t>2026-06-17 14:10:06</t>
        </is>
      </c>
      <c r="P530" t="inlineStr">
        <is>
          <t>2026-06-17 14:10:06</t>
        </is>
      </c>
      <c r="Y530" t="inlineStr">
        <is>
          <t>27714759039</t>
        </is>
      </c>
    </row>
    <row r="531">
      <c r="A531" t="inlineStr">
        <is>
          <t>14921159</t>
        </is>
      </c>
      <c r="B531" t="inlineStr">
        <is>
          <t>833dc905-bc0b-4be6-b031-1a3cf4747315</t>
        </is>
      </c>
      <c r="D531" t="inlineStr">
        <is>
          <t>111111124</t>
        </is>
      </c>
      <c r="E531" t="inlineStr">
        <is>
          <t>Vodacom Life 20260617</t>
        </is>
      </c>
      <c r="G531" t="inlineStr">
        <is>
          <t>ARAMIDE</t>
        </is>
      </c>
      <c r="H531" t="inlineStr">
        <is>
          <t>OLAGOKE</t>
        </is>
      </c>
      <c r="J531" t="inlineStr">
        <is>
          <t>IABDN</t>
        </is>
      </c>
      <c r="K531" t="inlineStr">
        <is>
          <t>Inbound Abandon</t>
        </is>
      </c>
      <c r="L531" t="n">
        <v>5</v>
      </c>
      <c r="M531" t="inlineStr">
        <is>
          <t>2026-06-29 13:00:04</t>
        </is>
      </c>
      <c r="N531" t="inlineStr">
        <is>
          <t>system</t>
        </is>
      </c>
      <c r="O531" t="inlineStr">
        <is>
          <t>2026-06-17 14:10:06</t>
        </is>
      </c>
      <c r="P531" t="inlineStr">
        <is>
          <t>2026-06-17 14:10:06</t>
        </is>
      </c>
      <c r="Y531" t="inlineStr">
        <is>
          <t>27606061122</t>
        </is>
      </c>
    </row>
    <row r="532">
      <c r="A532" t="inlineStr">
        <is>
          <t>14921153</t>
        </is>
      </c>
      <c r="B532" t="inlineStr">
        <is>
          <t>d278b1e6-603f-453c-90b1-0d53eca9caed</t>
        </is>
      </c>
      <c r="D532" t="inlineStr">
        <is>
          <t>111111124</t>
        </is>
      </c>
      <c r="E532" t="inlineStr">
        <is>
          <t>Vodacom Life 20260617</t>
        </is>
      </c>
      <c r="G532" t="inlineStr">
        <is>
          <t>ELZONIA</t>
        </is>
      </c>
      <c r="H532" t="inlineStr">
        <is>
          <t>KAMINET</t>
        </is>
      </c>
      <c r="J532" t="inlineStr">
        <is>
          <t>NA</t>
        </is>
      </c>
      <c r="K532" t="inlineStr">
        <is>
          <t>No Answer Autodial</t>
        </is>
      </c>
      <c r="L532" t="n">
        <v>5</v>
      </c>
      <c r="M532" t="inlineStr">
        <is>
          <t>2026-06-29 12:59:34</t>
        </is>
      </c>
      <c r="N532" t="inlineStr">
        <is>
          <t>system</t>
        </is>
      </c>
      <c r="O532" t="inlineStr">
        <is>
          <t>2026-06-17 14:10:06</t>
        </is>
      </c>
      <c r="P532" t="inlineStr">
        <is>
          <t>2026-06-17 14:10:06</t>
        </is>
      </c>
      <c r="Y532" t="inlineStr">
        <is>
          <t>27721056215</t>
        </is>
      </c>
    </row>
    <row r="533">
      <c r="A533" t="inlineStr">
        <is>
          <t>14921154</t>
        </is>
      </c>
      <c r="B533" t="inlineStr">
        <is>
          <t>c9c7a295-36c2-4918-9bed-2e481124b34d</t>
        </is>
      </c>
      <c r="D533" t="inlineStr">
        <is>
          <t>111111124</t>
        </is>
      </c>
      <c r="E533" t="inlineStr">
        <is>
          <t>Vodacom Life 20260617</t>
        </is>
      </c>
      <c r="G533" t="inlineStr">
        <is>
          <t>MONIQUE</t>
        </is>
      </c>
      <c r="H533" t="inlineStr">
        <is>
          <t>PHILLIS</t>
        </is>
      </c>
      <c r="J533" t="inlineStr">
        <is>
          <t>AE</t>
        </is>
      </c>
      <c r="K533" t="inlineStr">
        <is>
          <t>Auto Engaged</t>
        </is>
      </c>
      <c r="L533" t="n">
        <v>5</v>
      </c>
      <c r="M533" t="inlineStr">
        <is>
          <t>2026-06-29 12:59:32</t>
        </is>
      </c>
      <c r="N533" t="inlineStr">
        <is>
          <t>system</t>
        </is>
      </c>
      <c r="O533" t="inlineStr">
        <is>
          <t>2026-06-17 14:10:06</t>
        </is>
      </c>
      <c r="P533" t="inlineStr">
        <is>
          <t>2026-06-17 14:10:06</t>
        </is>
      </c>
      <c r="Y533" t="inlineStr">
        <is>
          <t>27712186258</t>
        </is>
      </c>
    </row>
    <row r="534">
      <c r="A534" t="inlineStr">
        <is>
          <t>14921155</t>
        </is>
      </c>
      <c r="B534" t="inlineStr">
        <is>
          <t>28484f43-7d3a-4211-9e7b-cb7d46dd48e3</t>
        </is>
      </c>
      <c r="D534" t="inlineStr">
        <is>
          <t>111111124</t>
        </is>
      </c>
      <c r="E534" t="inlineStr">
        <is>
          <t>Vodacom Life 20260617</t>
        </is>
      </c>
      <c r="G534" t="inlineStr">
        <is>
          <t>JAN</t>
        </is>
      </c>
      <c r="H534" t="inlineStr">
        <is>
          <t>ERASMUS</t>
        </is>
      </c>
      <c r="J534" t="inlineStr">
        <is>
          <t>AE</t>
        </is>
      </c>
      <c r="K534" t="inlineStr">
        <is>
          <t>Auto Engaged</t>
        </is>
      </c>
      <c r="L534" t="n">
        <v>5</v>
      </c>
      <c r="M534" t="inlineStr">
        <is>
          <t>2026-06-29 12:59:30</t>
        </is>
      </c>
      <c r="N534" t="inlineStr">
        <is>
          <t>system</t>
        </is>
      </c>
      <c r="O534" t="inlineStr">
        <is>
          <t>2026-06-17 14:10:06</t>
        </is>
      </c>
      <c r="P534" t="inlineStr">
        <is>
          <t>2026-06-17 14:10:06</t>
        </is>
      </c>
      <c r="Y534" t="inlineStr">
        <is>
          <t>27828549807</t>
        </is>
      </c>
    </row>
    <row r="535">
      <c r="A535" t="inlineStr">
        <is>
          <t>14921156</t>
        </is>
      </c>
      <c r="B535" t="inlineStr">
        <is>
          <t>b293cd2a-a534-4566-ae45-55491fa6796f</t>
        </is>
      </c>
      <c r="D535" t="inlineStr">
        <is>
          <t>111111124</t>
        </is>
      </c>
      <c r="E535" t="inlineStr">
        <is>
          <t>Vodacom Life 20260617</t>
        </is>
      </c>
      <c r="G535" t="inlineStr">
        <is>
          <t>THERESA</t>
        </is>
      </c>
      <c r="H535" t="inlineStr">
        <is>
          <t>ROUX</t>
        </is>
      </c>
      <c r="J535" t="inlineStr">
        <is>
          <t>DROP</t>
        </is>
      </c>
      <c r="K535" t="inlineStr">
        <is>
          <t>Dropped</t>
        </is>
      </c>
      <c r="L535" t="n">
        <v>5</v>
      </c>
      <c r="M535" t="inlineStr">
        <is>
          <t>2026-06-29 12:59:29</t>
        </is>
      </c>
      <c r="N535" t="inlineStr">
        <is>
          <t>system</t>
        </is>
      </c>
      <c r="O535" t="inlineStr">
        <is>
          <t>2026-06-17 14:10:06</t>
        </is>
      </c>
      <c r="P535" t="inlineStr">
        <is>
          <t>2026-06-17 14:10:06</t>
        </is>
      </c>
      <c r="Y535" t="inlineStr">
        <is>
          <t>27725405005</t>
        </is>
      </c>
    </row>
    <row r="536">
      <c r="A536" t="inlineStr">
        <is>
          <t>14921157</t>
        </is>
      </c>
      <c r="B536" t="inlineStr">
        <is>
          <t>b5880ce4-5bef-4d7a-8127-6dd4173a2837</t>
        </is>
      </c>
      <c r="D536" t="inlineStr">
        <is>
          <t>111111124</t>
        </is>
      </c>
      <c r="E536" t="inlineStr">
        <is>
          <t>Vodacom Life 20260617</t>
        </is>
      </c>
      <c r="G536" t="inlineStr">
        <is>
          <t>MAGDA</t>
        </is>
      </c>
      <c r="H536" t="inlineStr">
        <is>
          <t>FOURIE</t>
        </is>
      </c>
      <c r="J536" t="inlineStr">
        <is>
          <t>CU</t>
        </is>
      </c>
      <c r="K536" t="inlineStr">
        <is>
          <t>Client Hung Up</t>
        </is>
      </c>
      <c r="L536" t="n">
        <v>5</v>
      </c>
      <c r="M536" t="inlineStr">
        <is>
          <t>2026-06-29 12:59:25</t>
        </is>
      </c>
      <c r="N536" t="inlineStr">
        <is>
          <t>Vanessa Kekana</t>
        </is>
      </c>
      <c r="O536" t="inlineStr">
        <is>
          <t>2026-06-17 14:10:06</t>
        </is>
      </c>
      <c r="P536" t="inlineStr">
        <is>
          <t>2026-06-17 14:10:06</t>
        </is>
      </c>
      <c r="Y536" t="inlineStr">
        <is>
          <t>27715888731</t>
        </is>
      </c>
    </row>
    <row r="537">
      <c r="A537" t="inlineStr">
        <is>
          <t>14921158</t>
        </is>
      </c>
      <c r="B537" t="inlineStr">
        <is>
          <t>ef85f03e-a453-4cfa-a011-0eb1bc550e6e</t>
        </is>
      </c>
      <c r="D537" t="inlineStr">
        <is>
          <t>111111124</t>
        </is>
      </c>
      <c r="E537" t="inlineStr">
        <is>
          <t>Vodacom Life 20260617</t>
        </is>
      </c>
      <c r="G537" t="inlineStr">
        <is>
          <t>JOHANNES</t>
        </is>
      </c>
      <c r="H537" t="inlineStr">
        <is>
          <t>FOURIE</t>
        </is>
      </c>
      <c r="J537" t="inlineStr">
        <is>
          <t>AA</t>
        </is>
      </c>
      <c r="K537" t="inlineStr">
        <is>
          <t>Answering Machine Autodial</t>
        </is>
      </c>
      <c r="L537" t="n">
        <v>5</v>
      </c>
      <c r="M537" t="inlineStr">
        <is>
          <t>2026-06-29 12:59:20</t>
        </is>
      </c>
      <c r="N537" t="inlineStr">
        <is>
          <t>system</t>
        </is>
      </c>
      <c r="O537" t="inlineStr">
        <is>
          <t>2026-06-17 14:10:06</t>
        </is>
      </c>
      <c r="P537" t="inlineStr">
        <is>
          <t>2026-06-17 14:10:06</t>
        </is>
      </c>
      <c r="Y537" t="inlineStr">
        <is>
          <t>27828334883</t>
        </is>
      </c>
    </row>
    <row r="538">
      <c r="A538" t="inlineStr">
        <is>
          <t>14920984</t>
        </is>
      </c>
      <c r="B538" t="inlineStr">
        <is>
          <t>a8818d88-77af-4329-ba73-e2c4ad8caa67</t>
        </is>
      </c>
      <c r="D538" t="inlineStr">
        <is>
          <t>111111124</t>
        </is>
      </c>
      <c r="E538" t="inlineStr">
        <is>
          <t>Vodacom Life 20260617</t>
        </is>
      </c>
      <c r="G538" t="inlineStr">
        <is>
          <t>ELSIE</t>
        </is>
      </c>
      <c r="H538" t="inlineStr">
        <is>
          <t>RAMOKGABA</t>
        </is>
      </c>
      <c r="J538" t="inlineStr">
        <is>
          <t>IABDN</t>
        </is>
      </c>
      <c r="K538" t="inlineStr">
        <is>
          <t>Inbound Abandon</t>
        </is>
      </c>
      <c r="L538" t="n">
        <v>5</v>
      </c>
      <c r="M538" t="inlineStr">
        <is>
          <t>2026-06-29 12:58:56</t>
        </is>
      </c>
      <c r="N538" t="inlineStr">
        <is>
          <t>system</t>
        </is>
      </c>
      <c r="O538" t="inlineStr">
        <is>
          <t>2026-06-17 14:10:06</t>
        </is>
      </c>
      <c r="P538" t="inlineStr">
        <is>
          <t>2026-06-17 14:10:06</t>
        </is>
      </c>
      <c r="Y538" t="inlineStr">
        <is>
          <t>27723765091</t>
        </is>
      </c>
    </row>
    <row r="539">
      <c r="A539" t="inlineStr">
        <is>
          <t>14920974</t>
        </is>
      </c>
      <c r="B539" t="inlineStr">
        <is>
          <t>60aac902-638e-4e41-8245-0a07a8787672</t>
        </is>
      </c>
      <c r="D539" t="inlineStr">
        <is>
          <t>111111124</t>
        </is>
      </c>
      <c r="E539" t="inlineStr">
        <is>
          <t>Vodacom Life 20260617</t>
        </is>
      </c>
      <c r="G539" t="inlineStr">
        <is>
          <t>ELIJAH</t>
        </is>
      </c>
      <c r="H539" t="inlineStr">
        <is>
          <t>MZIYAKO</t>
        </is>
      </c>
      <c r="J539" t="inlineStr">
        <is>
          <t>AA</t>
        </is>
      </c>
      <c r="K539" t="inlineStr">
        <is>
          <t>Answering Machine Autodial</t>
        </is>
      </c>
      <c r="L539" t="n">
        <v>5</v>
      </c>
      <c r="M539" t="inlineStr">
        <is>
          <t>2026-06-29 12:58:36</t>
        </is>
      </c>
      <c r="N539" t="inlineStr">
        <is>
          <t>system</t>
        </is>
      </c>
      <c r="O539" t="inlineStr">
        <is>
          <t>2026-06-17 14:10:06</t>
        </is>
      </c>
      <c r="P539" t="inlineStr">
        <is>
          <t>2026-06-17 14:10:06</t>
        </is>
      </c>
      <c r="Y539" t="inlineStr">
        <is>
          <t>27712869491</t>
        </is>
      </c>
    </row>
    <row r="540">
      <c r="A540" t="inlineStr">
        <is>
          <t>14920982</t>
        </is>
      </c>
      <c r="B540" t="inlineStr">
        <is>
          <t>d4b24a7a-333f-442d-aa60-978e47ebac40</t>
        </is>
      </c>
      <c r="D540" t="inlineStr">
        <is>
          <t>111111124</t>
        </is>
      </c>
      <c r="E540" t="inlineStr">
        <is>
          <t>Vodacom Life 20260617</t>
        </is>
      </c>
      <c r="G540" t="inlineStr">
        <is>
          <t>VUTLHARI</t>
        </is>
      </c>
      <c r="H540" t="inlineStr">
        <is>
          <t>HONWANI</t>
        </is>
      </c>
      <c r="J540" t="inlineStr">
        <is>
          <t>AE</t>
        </is>
      </c>
      <c r="K540" t="inlineStr">
        <is>
          <t>Auto Engaged</t>
        </is>
      </c>
      <c r="L540" t="n">
        <v>5</v>
      </c>
      <c r="M540" t="inlineStr">
        <is>
          <t>2026-06-29 12:58:36</t>
        </is>
      </c>
      <c r="N540" t="inlineStr">
        <is>
          <t>system</t>
        </is>
      </c>
      <c r="O540" t="inlineStr">
        <is>
          <t>2026-06-17 14:10:06</t>
        </is>
      </c>
      <c r="P540" t="inlineStr">
        <is>
          <t>2026-06-17 14:10:06</t>
        </is>
      </c>
      <c r="Y540" t="inlineStr">
        <is>
          <t>27721048041</t>
        </is>
      </c>
    </row>
    <row r="541">
      <c r="A541" t="inlineStr">
        <is>
          <t>14920983</t>
        </is>
      </c>
      <c r="B541" t="inlineStr">
        <is>
          <t>3b03b9d2-d64c-43f8-a88d-6a7dd70fa8ec</t>
        </is>
      </c>
      <c r="D541" t="inlineStr">
        <is>
          <t>111111124</t>
        </is>
      </c>
      <c r="E541" t="inlineStr">
        <is>
          <t>Vodacom Life 20260617</t>
        </is>
      </c>
      <c r="G541" t="inlineStr">
        <is>
          <t>LYDIA</t>
        </is>
      </c>
      <c r="H541" t="inlineStr">
        <is>
          <t>NTABENI</t>
        </is>
      </c>
      <c r="J541" t="inlineStr">
        <is>
          <t>AA</t>
        </is>
      </c>
      <c r="K541" t="inlineStr">
        <is>
          <t>Answering Machine Autodial</t>
        </is>
      </c>
      <c r="L541" t="n">
        <v>5</v>
      </c>
      <c r="M541" t="inlineStr">
        <is>
          <t>2026-06-29 12:58:36</t>
        </is>
      </c>
      <c r="N541" t="inlineStr">
        <is>
          <t>system</t>
        </is>
      </c>
      <c r="O541" t="inlineStr">
        <is>
          <t>2026-06-17 14:10:06</t>
        </is>
      </c>
      <c r="P541" t="inlineStr">
        <is>
          <t>2026-06-17 14:10:06</t>
        </is>
      </c>
      <c r="Y541" t="inlineStr">
        <is>
          <t>27729357149</t>
        </is>
      </c>
    </row>
    <row r="542">
      <c r="A542" t="inlineStr">
        <is>
          <t>14920985</t>
        </is>
      </c>
      <c r="B542" t="inlineStr">
        <is>
          <t>d628333f-3f0a-4c51-b1d6-87646801aefc</t>
        </is>
      </c>
      <c r="D542" t="inlineStr">
        <is>
          <t>111111124</t>
        </is>
      </c>
      <c r="E542" t="inlineStr">
        <is>
          <t>Vodacom Life 20260617</t>
        </is>
      </c>
      <c r="G542" t="inlineStr">
        <is>
          <t>PATRICIA</t>
        </is>
      </c>
      <c r="H542" t="inlineStr">
        <is>
          <t>NKAU</t>
        </is>
      </c>
      <c r="J542" t="inlineStr">
        <is>
          <t>CU</t>
        </is>
      </c>
      <c r="K542" t="inlineStr">
        <is>
          <t>Client Hung Up</t>
        </is>
      </c>
      <c r="L542" t="n">
        <v>5</v>
      </c>
      <c r="M542" t="inlineStr">
        <is>
          <t>2026-06-29 12:58:27</t>
        </is>
      </c>
      <c r="N542" t="inlineStr">
        <is>
          <t>Khensane Mabasa</t>
        </is>
      </c>
      <c r="O542" t="inlineStr">
        <is>
          <t>2026-06-17 14:10:06</t>
        </is>
      </c>
      <c r="P542" t="inlineStr">
        <is>
          <t>2026-06-17 14:10:06</t>
        </is>
      </c>
      <c r="Y542" t="inlineStr">
        <is>
          <t>27797251543</t>
        </is>
      </c>
    </row>
    <row r="543">
      <c r="A543" t="inlineStr">
        <is>
          <t>14920986</t>
        </is>
      </c>
      <c r="B543" t="inlineStr">
        <is>
          <t>8d3a53be-fdba-4744-8614-cd7b6d8af53d</t>
        </is>
      </c>
      <c r="D543" t="inlineStr">
        <is>
          <t>111111124</t>
        </is>
      </c>
      <c r="E543" t="inlineStr">
        <is>
          <t>Vodacom Life 20260617</t>
        </is>
      </c>
      <c r="G543" t="inlineStr">
        <is>
          <t>SONJA</t>
        </is>
      </c>
      <c r="H543" t="inlineStr">
        <is>
          <t>WALKER</t>
        </is>
      </c>
      <c r="J543" t="inlineStr">
        <is>
          <t>AA</t>
        </is>
      </c>
      <c r="K543" t="inlineStr">
        <is>
          <t>Answering Machine Autodial</t>
        </is>
      </c>
      <c r="L543" t="n">
        <v>5</v>
      </c>
      <c r="M543" t="inlineStr">
        <is>
          <t>2026-06-29 12:58:20</t>
        </is>
      </c>
      <c r="N543" t="inlineStr">
        <is>
          <t>system</t>
        </is>
      </c>
      <c r="O543" t="inlineStr">
        <is>
          <t>2026-06-17 14:10:06</t>
        </is>
      </c>
      <c r="P543" t="inlineStr">
        <is>
          <t>2026-06-17 14:10:06</t>
        </is>
      </c>
      <c r="Y543" t="inlineStr">
        <is>
          <t>27765590074</t>
        </is>
      </c>
    </row>
    <row r="544">
      <c r="A544" t="inlineStr">
        <is>
          <t>14920987</t>
        </is>
      </c>
      <c r="B544" t="inlineStr">
        <is>
          <t>773fab75-9908-4949-b28a-9aa167a26b95</t>
        </is>
      </c>
      <c r="D544" t="inlineStr">
        <is>
          <t>111111124</t>
        </is>
      </c>
      <c r="E544" t="inlineStr">
        <is>
          <t>Vodacom Life 20260617</t>
        </is>
      </c>
      <c r="G544" t="inlineStr">
        <is>
          <t>CHARNEL</t>
        </is>
      </c>
      <c r="H544" t="inlineStr">
        <is>
          <t>NIEUWENHUIZEN</t>
        </is>
      </c>
      <c r="J544" t="inlineStr">
        <is>
          <t>AA</t>
        </is>
      </c>
      <c r="K544" t="inlineStr">
        <is>
          <t>Answering Machine Autodial</t>
        </is>
      </c>
      <c r="L544" t="n">
        <v>5</v>
      </c>
      <c r="M544" t="inlineStr">
        <is>
          <t>2026-06-29 12:58:18</t>
        </is>
      </c>
      <c r="N544" t="inlineStr">
        <is>
          <t>system</t>
        </is>
      </c>
      <c r="O544" t="inlineStr">
        <is>
          <t>2026-06-17 14:10:06</t>
        </is>
      </c>
      <c r="P544" t="inlineStr">
        <is>
          <t>2026-06-17 14:10:06</t>
        </is>
      </c>
      <c r="Y544" t="inlineStr">
        <is>
          <t>27769305168</t>
        </is>
      </c>
    </row>
    <row r="545">
      <c r="A545" t="inlineStr">
        <is>
          <t>14920785</t>
        </is>
      </c>
      <c r="B545" t="inlineStr">
        <is>
          <t>52921eb1-8888-4319-8392-f1c48cbc5d4e</t>
        </is>
      </c>
      <c r="D545" t="inlineStr">
        <is>
          <t>111111124</t>
        </is>
      </c>
      <c r="E545" t="inlineStr">
        <is>
          <t>Vodacom Life 20260617</t>
        </is>
      </c>
      <c r="G545" t="inlineStr">
        <is>
          <t>CECILIA</t>
        </is>
      </c>
      <c r="H545" t="inlineStr">
        <is>
          <t>GUMBO</t>
        </is>
      </c>
      <c r="J545" t="inlineStr">
        <is>
          <t>CU</t>
        </is>
      </c>
      <c r="K545" t="inlineStr">
        <is>
          <t>Client Hung Up</t>
        </is>
      </c>
      <c r="L545" t="n">
        <v>5</v>
      </c>
      <c r="M545" t="inlineStr">
        <is>
          <t>2026-06-29 12:58:13</t>
        </is>
      </c>
      <c r="N545" t="inlineStr">
        <is>
          <t>Vanessa Kekana</t>
        </is>
      </c>
      <c r="O545" t="inlineStr">
        <is>
          <t>2026-06-17 14:10:06</t>
        </is>
      </c>
      <c r="P545" t="inlineStr">
        <is>
          <t>2026-06-17 14:10:06</t>
        </is>
      </c>
      <c r="Y545" t="inlineStr">
        <is>
          <t>27769750119</t>
        </is>
      </c>
    </row>
    <row r="546">
      <c r="A546" t="inlineStr">
        <is>
          <t>14920988</t>
        </is>
      </c>
      <c r="B546" t="inlineStr">
        <is>
          <t>49c61df8-6d10-44d9-9e78-f26bb266ae05</t>
        </is>
      </c>
      <c r="D546" t="inlineStr">
        <is>
          <t>111111124</t>
        </is>
      </c>
      <c r="E546" t="inlineStr">
        <is>
          <t>Vodacom Life 20260617</t>
        </is>
      </c>
      <c r="G546" t="inlineStr">
        <is>
          <t>KETINA</t>
        </is>
      </c>
      <c r="H546" t="inlineStr">
        <is>
          <t>KANYEMBA</t>
        </is>
      </c>
      <c r="J546" t="inlineStr">
        <is>
          <t>AA</t>
        </is>
      </c>
      <c r="K546" t="inlineStr">
        <is>
          <t>Answering Machine Autodial</t>
        </is>
      </c>
      <c r="L546" t="n">
        <v>5</v>
      </c>
      <c r="M546" t="inlineStr">
        <is>
          <t>2026-06-29 12:58:12</t>
        </is>
      </c>
      <c r="N546" t="inlineStr">
        <is>
          <t>system</t>
        </is>
      </c>
      <c r="O546" t="inlineStr">
        <is>
          <t>2026-06-17 14:10:06</t>
        </is>
      </c>
      <c r="P546" t="inlineStr">
        <is>
          <t>2026-06-17 14:10:06</t>
        </is>
      </c>
      <c r="Y546" t="inlineStr">
        <is>
          <t>27662748525</t>
        </is>
      </c>
    </row>
    <row r="547">
      <c r="A547" t="inlineStr">
        <is>
          <t>14920989</t>
        </is>
      </c>
      <c r="B547" t="inlineStr">
        <is>
          <t>1d7c387c-56a2-4d76-904f-d6fd18382502</t>
        </is>
      </c>
      <c r="D547" t="inlineStr">
        <is>
          <t>111111124</t>
        </is>
      </c>
      <c r="E547" t="inlineStr">
        <is>
          <t>Vodacom Life 20260617</t>
        </is>
      </c>
      <c r="G547" t="inlineStr">
        <is>
          <t>THERESO</t>
        </is>
      </c>
      <c r="H547" t="inlineStr">
        <is>
          <t>SEMENYA</t>
        </is>
      </c>
      <c r="J547" t="inlineStr">
        <is>
          <t>NA</t>
        </is>
      </c>
      <c r="K547" t="inlineStr">
        <is>
          <t>No Answer Autodial</t>
        </is>
      </c>
      <c r="L547" t="n">
        <v>5</v>
      </c>
      <c r="M547" t="inlineStr">
        <is>
          <t>2026-06-29 12:58:12</t>
        </is>
      </c>
      <c r="N547" t="inlineStr">
        <is>
          <t>system</t>
        </is>
      </c>
      <c r="O547" t="inlineStr">
        <is>
          <t>2026-06-17 14:10:06</t>
        </is>
      </c>
      <c r="P547" t="inlineStr">
        <is>
          <t>2026-06-17 14:10:06</t>
        </is>
      </c>
      <c r="Y547" t="inlineStr">
        <is>
          <t>27649014414</t>
        </is>
      </c>
    </row>
    <row r="548">
      <c r="A548" t="inlineStr">
        <is>
          <t>14920990</t>
        </is>
      </c>
      <c r="B548" t="inlineStr">
        <is>
          <t>8b7b20eb-0410-4438-8c6a-dea00deef5d1</t>
        </is>
      </c>
      <c r="D548" t="inlineStr">
        <is>
          <t>111111124</t>
        </is>
      </c>
      <c r="E548" t="inlineStr">
        <is>
          <t>Vodacom Life 20260617</t>
        </is>
      </c>
      <c r="G548" t="inlineStr">
        <is>
          <t>ZINHLE</t>
        </is>
      </c>
      <c r="H548" t="inlineStr">
        <is>
          <t>MAZIBUKO</t>
        </is>
      </c>
      <c r="J548" t="inlineStr">
        <is>
          <t>NA</t>
        </is>
      </c>
      <c r="K548" t="inlineStr">
        <is>
          <t>No Answer Autodial</t>
        </is>
      </c>
      <c r="L548" t="n">
        <v>5</v>
      </c>
      <c r="M548" t="inlineStr">
        <is>
          <t>2026-06-29 12:58:00</t>
        </is>
      </c>
      <c r="N548" t="inlineStr">
        <is>
          <t>system</t>
        </is>
      </c>
      <c r="O548" t="inlineStr">
        <is>
          <t>2026-06-17 14:10:06</t>
        </is>
      </c>
      <c r="P548" t="inlineStr">
        <is>
          <t>2026-06-17 14:10:06</t>
        </is>
      </c>
      <c r="Y548" t="inlineStr">
        <is>
          <t>27798496343</t>
        </is>
      </c>
    </row>
    <row r="549">
      <c r="A549" t="inlineStr">
        <is>
          <t>14921036</t>
        </is>
      </c>
      <c r="B549" t="inlineStr">
        <is>
          <t>50b2b8cb-bdec-4382-be72-742707b25ee8</t>
        </is>
      </c>
      <c r="D549" t="inlineStr">
        <is>
          <t>111111124</t>
        </is>
      </c>
      <c r="E549" t="inlineStr">
        <is>
          <t>Vodacom Life 20260617</t>
        </is>
      </c>
      <c r="G549" t="inlineStr">
        <is>
          <t>CATHERINA</t>
        </is>
      </c>
      <c r="H549" t="inlineStr">
        <is>
          <t>VAN ZYL</t>
        </is>
      </c>
      <c r="J549" t="inlineStr">
        <is>
          <t>CCB</t>
        </is>
      </c>
      <c r="K549" t="inlineStr">
        <is>
          <t>Call Dropped</t>
        </is>
      </c>
      <c r="L549" t="n">
        <v>5</v>
      </c>
      <c r="M549" t="inlineStr">
        <is>
          <t>2026-06-29 12:57:58</t>
        </is>
      </c>
      <c r="N549" t="inlineStr">
        <is>
          <t>Khensane Mabasa</t>
        </is>
      </c>
      <c r="O549" t="inlineStr">
        <is>
          <t>2026-06-17 14:10:06</t>
        </is>
      </c>
      <c r="P549" t="inlineStr">
        <is>
          <t>2026-06-17 14:10:06</t>
        </is>
      </c>
      <c r="Y549" t="inlineStr">
        <is>
          <t>27798610630</t>
        </is>
      </c>
    </row>
    <row r="550">
      <c r="A550" t="inlineStr">
        <is>
          <t>14921029</t>
        </is>
      </c>
      <c r="B550" t="inlineStr">
        <is>
          <t>dbc9c744-5930-4b86-a68a-42fcd8f04587</t>
        </is>
      </c>
      <c r="D550" t="inlineStr">
        <is>
          <t>111111124</t>
        </is>
      </c>
      <c r="E550" t="inlineStr">
        <is>
          <t>Vodacom Life 20260617</t>
        </is>
      </c>
      <c r="G550" t="inlineStr">
        <is>
          <t>HUMBULANI</t>
        </is>
      </c>
      <c r="H550" t="inlineStr">
        <is>
          <t>NDAMBAKUWA</t>
        </is>
      </c>
      <c r="J550" t="inlineStr">
        <is>
          <t>AE</t>
        </is>
      </c>
      <c r="K550" t="inlineStr">
        <is>
          <t>Auto Engaged</t>
        </is>
      </c>
      <c r="L550" t="n">
        <v>5</v>
      </c>
      <c r="M550" t="inlineStr">
        <is>
          <t>2026-06-29 12:57:57</t>
        </is>
      </c>
      <c r="N550" t="inlineStr">
        <is>
          <t>system</t>
        </is>
      </c>
      <c r="O550" t="inlineStr">
        <is>
          <t>2026-06-17 14:10:06</t>
        </is>
      </c>
      <c r="P550" t="inlineStr">
        <is>
          <t>2026-06-17 14:10:06</t>
        </is>
      </c>
      <c r="Y550" t="inlineStr">
        <is>
          <t>27796413203</t>
        </is>
      </c>
    </row>
    <row r="551">
      <c r="A551" t="inlineStr">
        <is>
          <t>14920991</t>
        </is>
      </c>
      <c r="B551" t="inlineStr">
        <is>
          <t>1ffc1f18-5d5a-42f8-9037-0051cdb54ad1</t>
        </is>
      </c>
      <c r="D551" t="inlineStr">
        <is>
          <t>111111124</t>
        </is>
      </c>
      <c r="E551" t="inlineStr">
        <is>
          <t>Vodacom Life 20260617</t>
        </is>
      </c>
      <c r="G551" t="inlineStr">
        <is>
          <t>JULIA</t>
        </is>
      </c>
      <c r="H551" t="inlineStr">
        <is>
          <t>MBOKANE</t>
        </is>
      </c>
      <c r="J551" t="inlineStr">
        <is>
          <t>AA</t>
        </is>
      </c>
      <c r="K551" t="inlineStr">
        <is>
          <t>Answering Machine Autodial</t>
        </is>
      </c>
      <c r="L551" t="n">
        <v>5</v>
      </c>
      <c r="M551" t="inlineStr">
        <is>
          <t>2026-06-29 12:57:57</t>
        </is>
      </c>
      <c r="N551" t="inlineStr">
        <is>
          <t>system</t>
        </is>
      </c>
      <c r="O551" t="inlineStr">
        <is>
          <t>2026-06-17 14:10:06</t>
        </is>
      </c>
      <c r="P551" t="inlineStr">
        <is>
          <t>2026-06-17 14:10:06</t>
        </is>
      </c>
      <c r="Y551" t="inlineStr">
        <is>
          <t>27827802766</t>
        </is>
      </c>
    </row>
    <row r="552">
      <c r="A552" t="inlineStr">
        <is>
          <t>14921031</t>
        </is>
      </c>
      <c r="B552" t="inlineStr">
        <is>
          <t>ae0a5057-96a9-484c-9fe9-1c4bf87d913e</t>
        </is>
      </c>
      <c r="D552" t="inlineStr">
        <is>
          <t>111111124</t>
        </is>
      </c>
      <c r="E552" t="inlineStr">
        <is>
          <t>Vodacom Life 20260617</t>
        </is>
      </c>
      <c r="G552" t="inlineStr">
        <is>
          <t>JOYCE</t>
        </is>
      </c>
      <c r="H552" t="inlineStr">
        <is>
          <t>TSHEBESEBE</t>
        </is>
      </c>
      <c r="J552" t="inlineStr">
        <is>
          <t>DROP</t>
        </is>
      </c>
      <c r="K552" t="inlineStr">
        <is>
          <t>Dropped</t>
        </is>
      </c>
      <c r="L552" t="n">
        <v>5</v>
      </c>
      <c r="M552" t="inlineStr">
        <is>
          <t>2026-06-29 12:57:56</t>
        </is>
      </c>
      <c r="N552" t="inlineStr">
        <is>
          <t>system</t>
        </is>
      </c>
      <c r="O552" t="inlineStr">
        <is>
          <t>2026-06-17 14:10:06</t>
        </is>
      </c>
      <c r="P552" t="inlineStr">
        <is>
          <t>2026-06-17 14:10:06</t>
        </is>
      </c>
      <c r="Y552" t="inlineStr">
        <is>
          <t>27794422085</t>
        </is>
      </c>
    </row>
    <row r="553">
      <c r="A553" t="inlineStr">
        <is>
          <t>14921032</t>
        </is>
      </c>
      <c r="B553" t="inlineStr">
        <is>
          <t>cc525982-2d01-4563-bcfd-ef06e180b07f</t>
        </is>
      </c>
      <c r="D553" t="inlineStr">
        <is>
          <t>111111124</t>
        </is>
      </c>
      <c r="E553" t="inlineStr">
        <is>
          <t>Vodacom Life 20260617</t>
        </is>
      </c>
      <c r="G553" t="inlineStr">
        <is>
          <t>DERRICK</t>
        </is>
      </c>
      <c r="H553" t="inlineStr">
        <is>
          <t>KHOZA</t>
        </is>
      </c>
      <c r="J553" t="inlineStr">
        <is>
          <t>NA</t>
        </is>
      </c>
      <c r="K553" t="inlineStr">
        <is>
          <t>No Answer Autodial</t>
        </is>
      </c>
      <c r="L553" t="n">
        <v>5</v>
      </c>
      <c r="M553" t="inlineStr">
        <is>
          <t>2026-06-29 12:57:56</t>
        </is>
      </c>
      <c r="N553" t="inlineStr">
        <is>
          <t>system</t>
        </is>
      </c>
      <c r="O553" t="inlineStr">
        <is>
          <t>2026-06-17 14:10:06</t>
        </is>
      </c>
      <c r="P553" t="inlineStr">
        <is>
          <t>2026-06-17 14:10:06</t>
        </is>
      </c>
      <c r="Y553" t="inlineStr">
        <is>
          <t>27826553967</t>
        </is>
      </c>
    </row>
    <row r="554">
      <c r="A554" t="inlineStr">
        <is>
          <t>14921033</t>
        </is>
      </c>
      <c r="B554" t="inlineStr">
        <is>
          <t>f67961ae-a602-45b7-9fc4-dba96d0c8ff5</t>
        </is>
      </c>
      <c r="D554" t="inlineStr">
        <is>
          <t>111111124</t>
        </is>
      </c>
      <c r="E554" t="inlineStr">
        <is>
          <t>Vodacom Life 20260617</t>
        </is>
      </c>
      <c r="G554" t="inlineStr">
        <is>
          <t>MFANIFIKILE</t>
        </is>
      </c>
      <c r="H554" t="inlineStr">
        <is>
          <t>NGCAMU</t>
        </is>
      </c>
      <c r="J554" t="inlineStr">
        <is>
          <t>DROP</t>
        </is>
      </c>
      <c r="K554" t="inlineStr">
        <is>
          <t>Dropped</t>
        </is>
      </c>
      <c r="L554" t="n">
        <v>5</v>
      </c>
      <c r="M554" t="inlineStr">
        <is>
          <t>2026-06-29 12:57:37</t>
        </is>
      </c>
      <c r="N554" t="inlineStr">
        <is>
          <t>system</t>
        </is>
      </c>
      <c r="O554" t="inlineStr">
        <is>
          <t>2026-06-17 14:10:06</t>
        </is>
      </c>
      <c r="P554" t="inlineStr">
        <is>
          <t>2026-06-17 14:10:06</t>
        </is>
      </c>
      <c r="Y554" t="inlineStr">
        <is>
          <t>27820604072</t>
        </is>
      </c>
    </row>
    <row r="555">
      <c r="A555" t="inlineStr">
        <is>
          <t>14921034</t>
        </is>
      </c>
      <c r="B555" t="inlineStr">
        <is>
          <t>f56a09eb-bfe9-4014-9ec8-98c5a9447fde</t>
        </is>
      </c>
      <c r="D555" t="inlineStr">
        <is>
          <t>111111124</t>
        </is>
      </c>
      <c r="E555" t="inlineStr">
        <is>
          <t>Vodacom Life 20260617</t>
        </is>
      </c>
      <c r="G555" t="inlineStr">
        <is>
          <t>THOZAMA</t>
        </is>
      </c>
      <c r="H555" t="inlineStr">
        <is>
          <t>JOJI</t>
        </is>
      </c>
      <c r="J555" t="inlineStr">
        <is>
          <t>DROP</t>
        </is>
      </c>
      <c r="K555" t="inlineStr">
        <is>
          <t>Dropped</t>
        </is>
      </c>
      <c r="L555" t="n">
        <v>5</v>
      </c>
      <c r="M555" t="inlineStr">
        <is>
          <t>2026-06-29 12:57:35</t>
        </is>
      </c>
      <c r="N555" t="inlineStr">
        <is>
          <t>system</t>
        </is>
      </c>
      <c r="O555" t="inlineStr">
        <is>
          <t>2026-06-17 14:10:06</t>
        </is>
      </c>
      <c r="P555" t="inlineStr">
        <is>
          <t>2026-06-17 14:10:06</t>
        </is>
      </c>
      <c r="Y555" t="inlineStr">
        <is>
          <t>27716731622</t>
        </is>
      </c>
    </row>
    <row r="556">
      <c r="A556" t="inlineStr">
        <is>
          <t>14921035</t>
        </is>
      </c>
      <c r="B556" t="inlineStr">
        <is>
          <t>b4876ef2-5289-436f-b231-07d528860cac</t>
        </is>
      </c>
      <c r="D556" t="inlineStr">
        <is>
          <t>111111124</t>
        </is>
      </c>
      <c r="E556" t="inlineStr">
        <is>
          <t>Vodacom Life 20260617</t>
        </is>
      </c>
      <c r="G556" t="inlineStr">
        <is>
          <t>PIETER</t>
        </is>
      </c>
      <c r="H556" t="inlineStr">
        <is>
          <t>GREEFF</t>
        </is>
      </c>
      <c r="J556" t="inlineStr">
        <is>
          <t>ADC</t>
        </is>
      </c>
      <c r="K556" t="inlineStr">
        <is>
          <t>Auto Dial Disconnected</t>
        </is>
      </c>
      <c r="L556" t="n">
        <v>5</v>
      </c>
      <c r="M556" t="inlineStr">
        <is>
          <t>2026-06-29 12:57:35</t>
        </is>
      </c>
      <c r="N556" t="inlineStr">
        <is>
          <t>system</t>
        </is>
      </c>
      <c r="O556" t="inlineStr">
        <is>
          <t>2026-06-17 14:10:06</t>
        </is>
      </c>
      <c r="P556" t="inlineStr">
        <is>
          <t>2026-06-17 14:10:06</t>
        </is>
      </c>
      <c r="Y556" t="inlineStr">
        <is>
          <t>27662335478</t>
        </is>
      </c>
    </row>
    <row r="557">
      <c r="A557" t="inlineStr">
        <is>
          <t>14921037</t>
        </is>
      </c>
      <c r="B557" t="inlineStr">
        <is>
          <t>14d895ad-9aeb-4980-8244-77f6c04b132d</t>
        </is>
      </c>
      <c r="D557" t="inlineStr">
        <is>
          <t>111111124</t>
        </is>
      </c>
      <c r="E557" t="inlineStr">
        <is>
          <t>Vodacom Life 20260617</t>
        </is>
      </c>
      <c r="G557" t="inlineStr">
        <is>
          <t>IZAK</t>
        </is>
      </c>
      <c r="H557" t="inlineStr">
        <is>
          <t>DU PLESSIS</t>
        </is>
      </c>
      <c r="J557" t="inlineStr">
        <is>
          <t>AE</t>
        </is>
      </c>
      <c r="K557" t="inlineStr">
        <is>
          <t>Auto Engaged</t>
        </is>
      </c>
      <c r="L557" t="n">
        <v>5</v>
      </c>
      <c r="M557" t="inlineStr">
        <is>
          <t>2026-06-29 12:57:32</t>
        </is>
      </c>
      <c r="N557" t="inlineStr">
        <is>
          <t>system</t>
        </is>
      </c>
      <c r="O557" t="inlineStr">
        <is>
          <t>2026-06-17 14:10:06</t>
        </is>
      </c>
      <c r="P557" t="inlineStr">
        <is>
          <t>2026-06-17 14:10:06</t>
        </is>
      </c>
      <c r="Y557" t="inlineStr">
        <is>
          <t>27723429798</t>
        </is>
      </c>
    </row>
    <row r="558">
      <c r="A558" t="inlineStr">
        <is>
          <t>14921038</t>
        </is>
      </c>
      <c r="B558" t="inlineStr">
        <is>
          <t>2d33548f-7877-4664-a105-6199a4601fb7</t>
        </is>
      </c>
      <c r="D558" t="inlineStr">
        <is>
          <t>111111124</t>
        </is>
      </c>
      <c r="E558" t="inlineStr">
        <is>
          <t>Vodacom Life 20260617</t>
        </is>
      </c>
      <c r="G558" t="inlineStr">
        <is>
          <t>SIBUSISO</t>
        </is>
      </c>
      <c r="H558" t="inlineStr">
        <is>
          <t>LANGA</t>
        </is>
      </c>
      <c r="J558" t="inlineStr">
        <is>
          <t>AA</t>
        </is>
      </c>
      <c r="K558" t="inlineStr">
        <is>
          <t>Answering Machine Autodial</t>
        </is>
      </c>
      <c r="L558" t="n">
        <v>5</v>
      </c>
      <c r="M558" t="inlineStr">
        <is>
          <t>2026-06-29 12:57:29</t>
        </is>
      </c>
      <c r="N558" t="inlineStr">
        <is>
          <t>system</t>
        </is>
      </c>
      <c r="O558" t="inlineStr">
        <is>
          <t>2026-06-17 14:10:06</t>
        </is>
      </c>
      <c r="P558" t="inlineStr">
        <is>
          <t>2026-06-17 14:10:06</t>
        </is>
      </c>
      <c r="Y558" t="inlineStr">
        <is>
          <t>27828745243</t>
        </is>
      </c>
    </row>
    <row r="559">
      <c r="A559" t="inlineStr">
        <is>
          <t>14921039</t>
        </is>
      </c>
      <c r="B559" t="inlineStr">
        <is>
          <t>ad4c4502-9727-4060-9a90-690ec6c320c3</t>
        </is>
      </c>
      <c r="D559" t="inlineStr">
        <is>
          <t>111111124</t>
        </is>
      </c>
      <c r="E559" t="inlineStr">
        <is>
          <t>Vodacom Life 20260617</t>
        </is>
      </c>
      <c r="G559" t="inlineStr">
        <is>
          <t>MOTSHWANE</t>
        </is>
      </c>
      <c r="H559" t="inlineStr">
        <is>
          <t>LEHOBYE</t>
        </is>
      </c>
      <c r="J559" t="inlineStr">
        <is>
          <t>CU</t>
        </is>
      </c>
      <c r="K559" t="inlineStr">
        <is>
          <t>Client Hung Up</t>
        </is>
      </c>
      <c r="L559" t="n">
        <v>5</v>
      </c>
      <c r="M559" t="inlineStr">
        <is>
          <t>2026-06-29 12:57:26</t>
        </is>
      </c>
      <c r="N559" t="inlineStr">
        <is>
          <t>bongiwe lushaba</t>
        </is>
      </c>
      <c r="O559" t="inlineStr">
        <is>
          <t>2026-06-17 14:10:06</t>
        </is>
      </c>
      <c r="P559" t="inlineStr">
        <is>
          <t>2026-06-17 14:10:06</t>
        </is>
      </c>
      <c r="Y559" t="inlineStr">
        <is>
          <t>27662017394</t>
        </is>
      </c>
    </row>
    <row r="560">
      <c r="A560" t="inlineStr">
        <is>
          <t>14920781</t>
        </is>
      </c>
      <c r="B560" t="inlineStr">
        <is>
          <t>00d3afe1-5515-447a-9d8f-c0945e20b098</t>
        </is>
      </c>
      <c r="D560" t="inlineStr">
        <is>
          <t>111111124</t>
        </is>
      </c>
      <c r="E560" t="inlineStr">
        <is>
          <t>Vodacom Life 20260617</t>
        </is>
      </c>
      <c r="G560" t="inlineStr">
        <is>
          <t>AGNES</t>
        </is>
      </c>
      <c r="H560" t="inlineStr">
        <is>
          <t>NEMAVUNDE</t>
        </is>
      </c>
      <c r="J560" t="inlineStr">
        <is>
          <t>BLQ</t>
        </is>
      </c>
      <c r="K560" t="inlineStr">
        <is>
          <t>Bad Line Quality</t>
        </is>
      </c>
      <c r="L560" t="n">
        <v>5</v>
      </c>
      <c r="M560" t="inlineStr">
        <is>
          <t>2026-06-29 12:57:13</t>
        </is>
      </c>
      <c r="N560" t="inlineStr">
        <is>
          <t>Vanessa Kekana</t>
        </is>
      </c>
      <c r="O560" t="inlineStr">
        <is>
          <t>2026-06-17 14:10:06</t>
        </is>
      </c>
      <c r="P560" t="inlineStr">
        <is>
          <t>2026-06-17 14:10:06</t>
        </is>
      </c>
      <c r="Y560" t="inlineStr">
        <is>
          <t>27818040746</t>
        </is>
      </c>
    </row>
    <row r="561">
      <c r="A561" t="inlineStr">
        <is>
          <t>14900000</t>
        </is>
      </c>
      <c r="B561" t="inlineStr">
        <is>
          <t>591e7104-901a-4b26-b38a-946430c538e1</t>
        </is>
      </c>
      <c r="D561" t="inlineStr">
        <is>
          <t>111111124</t>
        </is>
      </c>
      <c r="E561" t="inlineStr">
        <is>
          <t>Vodacom Life 20260617</t>
        </is>
      </c>
      <c r="G561" t="inlineStr">
        <is>
          <t>RIANA</t>
        </is>
      </c>
      <c r="H561" t="inlineStr">
        <is>
          <t>BURGER</t>
        </is>
      </c>
      <c r="J561" t="inlineStr">
        <is>
          <t>AA</t>
        </is>
      </c>
      <c r="K561" t="inlineStr">
        <is>
          <t>Answering Machine Autodial</t>
        </is>
      </c>
      <c r="L561" t="n">
        <v>5</v>
      </c>
      <c r="M561" t="inlineStr">
        <is>
          <t>2026-06-29 12:57:09</t>
        </is>
      </c>
      <c r="N561" t="inlineStr">
        <is>
          <t>system</t>
        </is>
      </c>
      <c r="O561" t="inlineStr">
        <is>
          <t>2026-06-17 14:10:06</t>
        </is>
      </c>
      <c r="P561" t="inlineStr">
        <is>
          <t>2026-06-17 14:10:06</t>
        </is>
      </c>
      <c r="Y561" t="inlineStr">
        <is>
          <t>27762287987</t>
        </is>
      </c>
    </row>
    <row r="562">
      <c r="A562" t="inlineStr">
        <is>
          <t>14920771</t>
        </is>
      </c>
      <c r="B562" t="inlineStr">
        <is>
          <t>f0511914-aadd-4bdf-9934-69df91d5da91</t>
        </is>
      </c>
      <c r="D562" t="inlineStr">
        <is>
          <t>111111124</t>
        </is>
      </c>
      <c r="E562" t="inlineStr">
        <is>
          <t>Vodacom Life 20260617</t>
        </is>
      </c>
      <c r="G562" t="inlineStr">
        <is>
          <t>THEMBI</t>
        </is>
      </c>
      <c r="H562" t="inlineStr">
        <is>
          <t>MAHLANGU</t>
        </is>
      </c>
      <c r="J562" t="inlineStr">
        <is>
          <t>AE</t>
        </is>
      </c>
      <c r="K562" t="inlineStr">
        <is>
          <t>Auto Engaged</t>
        </is>
      </c>
      <c r="L562" t="n">
        <v>5</v>
      </c>
      <c r="M562" t="inlineStr">
        <is>
          <t>2026-06-29 12:57:05</t>
        </is>
      </c>
      <c r="N562" t="inlineStr">
        <is>
          <t>system</t>
        </is>
      </c>
      <c r="O562" t="inlineStr">
        <is>
          <t>2026-06-17 14:10:06</t>
        </is>
      </c>
      <c r="P562" t="inlineStr">
        <is>
          <t>2026-06-17 14:10:06</t>
        </is>
      </c>
      <c r="Y562" t="inlineStr">
        <is>
          <t>27607171828</t>
        </is>
      </c>
    </row>
    <row r="563">
      <c r="A563" t="inlineStr">
        <is>
          <t>14920772</t>
        </is>
      </c>
      <c r="B563" t="inlineStr">
        <is>
          <t>340c9ed5-40f9-4eee-8f61-4ea004c06885</t>
        </is>
      </c>
      <c r="D563" t="inlineStr">
        <is>
          <t>111111124</t>
        </is>
      </c>
      <c r="E563" t="inlineStr">
        <is>
          <t>Vodacom Life 20260617</t>
        </is>
      </c>
      <c r="G563" t="inlineStr">
        <is>
          <t>LYNETTE</t>
        </is>
      </c>
      <c r="H563" t="inlineStr">
        <is>
          <t>BARNARD</t>
        </is>
      </c>
      <c r="J563" t="inlineStr">
        <is>
          <t>AE</t>
        </is>
      </c>
      <c r="K563" t="inlineStr">
        <is>
          <t>Auto Engaged</t>
        </is>
      </c>
      <c r="L563" t="n">
        <v>5</v>
      </c>
      <c r="M563" t="inlineStr">
        <is>
          <t>2026-06-29 12:57:01</t>
        </is>
      </c>
      <c r="N563" t="inlineStr">
        <is>
          <t>system</t>
        </is>
      </c>
      <c r="O563" t="inlineStr">
        <is>
          <t>2026-06-17 14:10:06</t>
        </is>
      </c>
      <c r="P563" t="inlineStr">
        <is>
          <t>2026-06-17 14:10:06</t>
        </is>
      </c>
      <c r="Y563" t="inlineStr">
        <is>
          <t>27828089564</t>
        </is>
      </c>
    </row>
    <row r="564">
      <c r="A564" t="inlineStr">
        <is>
          <t>14920774</t>
        </is>
      </c>
      <c r="B564" t="inlineStr">
        <is>
          <t>69da77c2-9747-42a8-871d-cb0e32aed56f</t>
        </is>
      </c>
      <c r="D564" t="inlineStr">
        <is>
          <t>111111124</t>
        </is>
      </c>
      <c r="E564" t="inlineStr">
        <is>
          <t>Vodacom Life 20260617</t>
        </is>
      </c>
      <c r="G564" t="inlineStr">
        <is>
          <t>SOFIA</t>
        </is>
      </c>
      <c r="H564" t="inlineStr">
        <is>
          <t>TITUS</t>
        </is>
      </c>
      <c r="J564" t="inlineStr">
        <is>
          <t>AA</t>
        </is>
      </c>
      <c r="K564" t="inlineStr">
        <is>
          <t>Answering Machine Autodial</t>
        </is>
      </c>
      <c r="L564" t="n">
        <v>5</v>
      </c>
      <c r="M564" t="inlineStr">
        <is>
          <t>2026-06-29 12:56:57</t>
        </is>
      </c>
      <c r="N564" t="inlineStr">
        <is>
          <t>system</t>
        </is>
      </c>
      <c r="O564" t="inlineStr">
        <is>
          <t>2026-06-17 14:10:06</t>
        </is>
      </c>
      <c r="P564" t="inlineStr">
        <is>
          <t>2026-06-17 14:10:06</t>
        </is>
      </c>
      <c r="Y564" t="inlineStr">
        <is>
          <t>27763104168</t>
        </is>
      </c>
    </row>
    <row r="565">
      <c r="A565" t="inlineStr">
        <is>
          <t>14920775</t>
        </is>
      </c>
      <c r="B565" t="inlineStr">
        <is>
          <t>40b6629c-da73-4225-9f05-2ae754f854f2</t>
        </is>
      </c>
      <c r="D565" t="inlineStr">
        <is>
          <t>111111124</t>
        </is>
      </c>
      <c r="E565" t="inlineStr">
        <is>
          <t>Vodacom Life 20260617</t>
        </is>
      </c>
      <c r="G565" t="inlineStr">
        <is>
          <t>TAKEEASY</t>
        </is>
      </c>
      <c r="H565" t="inlineStr">
        <is>
          <t>NXUMALO</t>
        </is>
      </c>
      <c r="J565" t="inlineStr">
        <is>
          <t>AE</t>
        </is>
      </c>
      <c r="K565" t="inlineStr">
        <is>
          <t>Auto Engaged</t>
        </is>
      </c>
      <c r="L565" t="n">
        <v>5</v>
      </c>
      <c r="M565" t="inlineStr">
        <is>
          <t>2026-06-29 12:56:57</t>
        </is>
      </c>
      <c r="N565" t="inlineStr">
        <is>
          <t>system</t>
        </is>
      </c>
      <c r="O565" t="inlineStr">
        <is>
          <t>2026-06-17 14:10:06</t>
        </is>
      </c>
      <c r="P565" t="inlineStr">
        <is>
          <t>2026-06-17 14:10:06</t>
        </is>
      </c>
      <c r="Y565" t="inlineStr">
        <is>
          <t>27728333138</t>
        </is>
      </c>
    </row>
    <row r="566">
      <c r="A566" t="inlineStr">
        <is>
          <t>14920776</t>
        </is>
      </c>
      <c r="B566" t="inlineStr">
        <is>
          <t>38529a5a-4043-4789-972f-8fc3a7dfa791</t>
        </is>
      </c>
      <c r="D566" t="inlineStr">
        <is>
          <t>111111124</t>
        </is>
      </c>
      <c r="E566" t="inlineStr">
        <is>
          <t>Vodacom Life 20260617</t>
        </is>
      </c>
      <c r="G566" t="inlineStr">
        <is>
          <t>JACOB</t>
        </is>
      </c>
      <c r="H566" t="inlineStr">
        <is>
          <t>BOSMAN</t>
        </is>
      </c>
      <c r="J566" t="inlineStr">
        <is>
          <t>AE</t>
        </is>
      </c>
      <c r="K566" t="inlineStr">
        <is>
          <t>Auto Engaged</t>
        </is>
      </c>
      <c r="L566" t="n">
        <v>5</v>
      </c>
      <c r="M566" t="inlineStr">
        <is>
          <t>2026-06-29 12:56:56</t>
        </is>
      </c>
      <c r="N566" t="inlineStr">
        <is>
          <t>system</t>
        </is>
      </c>
      <c r="O566" t="inlineStr">
        <is>
          <t>2026-06-17 14:10:06</t>
        </is>
      </c>
      <c r="P566" t="inlineStr">
        <is>
          <t>2026-06-17 14:10:06</t>
        </is>
      </c>
      <c r="Y566" t="inlineStr">
        <is>
          <t>27824230060</t>
        </is>
      </c>
    </row>
    <row r="567">
      <c r="A567" t="inlineStr">
        <is>
          <t>14920778</t>
        </is>
      </c>
      <c r="B567" t="inlineStr">
        <is>
          <t>746d7bcd-c35d-4b3a-8fef-a269ba529bac</t>
        </is>
      </c>
      <c r="D567" t="inlineStr">
        <is>
          <t>111111124</t>
        </is>
      </c>
      <c r="E567" t="inlineStr">
        <is>
          <t>Vodacom Life 20260617</t>
        </is>
      </c>
      <c r="G567" t="inlineStr">
        <is>
          <t>BANELE</t>
        </is>
      </c>
      <c r="H567" t="inlineStr">
        <is>
          <t>MASONDO</t>
        </is>
      </c>
      <c r="J567" t="inlineStr">
        <is>
          <t>NA</t>
        </is>
      </c>
      <c r="K567" t="inlineStr">
        <is>
          <t>No Answer Autodial</t>
        </is>
      </c>
      <c r="L567" t="n">
        <v>5</v>
      </c>
      <c r="M567" t="inlineStr">
        <is>
          <t>2026-06-29 12:56:04</t>
        </is>
      </c>
      <c r="N567" t="inlineStr">
        <is>
          <t>system</t>
        </is>
      </c>
      <c r="O567" t="inlineStr">
        <is>
          <t>2026-06-17 14:10:06</t>
        </is>
      </c>
      <c r="P567" t="inlineStr">
        <is>
          <t>2026-06-17 14:10:06</t>
        </is>
      </c>
      <c r="Y567" t="inlineStr">
        <is>
          <t>27796134939</t>
        </is>
      </c>
    </row>
    <row r="568">
      <c r="A568" t="inlineStr">
        <is>
          <t>14920779</t>
        </is>
      </c>
      <c r="B568" t="inlineStr">
        <is>
          <t>6bfeae8d-eb56-43d0-b759-cf58bc264a16</t>
        </is>
      </c>
      <c r="D568" t="inlineStr">
        <is>
          <t>111111124</t>
        </is>
      </c>
      <c r="E568" t="inlineStr">
        <is>
          <t>Vodacom Life 20260617</t>
        </is>
      </c>
      <c r="G568" t="inlineStr">
        <is>
          <t>THOBILE</t>
        </is>
      </c>
      <c r="H568" t="inlineStr">
        <is>
          <t>MBOKANE</t>
        </is>
      </c>
      <c r="J568" t="inlineStr">
        <is>
          <t>NA</t>
        </is>
      </c>
      <c r="K568" t="inlineStr">
        <is>
          <t>No Answer Autodial</t>
        </is>
      </c>
      <c r="L568" t="n">
        <v>5</v>
      </c>
      <c r="M568" t="inlineStr">
        <is>
          <t>2026-06-29 12:56:00</t>
        </is>
      </c>
      <c r="N568" t="inlineStr">
        <is>
          <t>system</t>
        </is>
      </c>
      <c r="O568" t="inlineStr">
        <is>
          <t>2026-06-17 14:10:06</t>
        </is>
      </c>
      <c r="P568" t="inlineStr">
        <is>
          <t>2026-06-17 14:10:06</t>
        </is>
      </c>
      <c r="Y568" t="inlineStr">
        <is>
          <t>27818395297</t>
        </is>
      </c>
    </row>
    <row r="569">
      <c r="A569" t="inlineStr">
        <is>
          <t>14920780</t>
        </is>
      </c>
      <c r="B569" t="inlineStr">
        <is>
          <t>31ce4c81-4814-4a65-9804-65bc1329c05c</t>
        </is>
      </c>
      <c r="D569" t="inlineStr">
        <is>
          <t>111111124</t>
        </is>
      </c>
      <c r="E569" t="inlineStr">
        <is>
          <t>Vodacom Life 20260617</t>
        </is>
      </c>
      <c r="G569" t="inlineStr">
        <is>
          <t>SESHUPO</t>
        </is>
      </c>
      <c r="H569" t="inlineStr">
        <is>
          <t>MODIRWA</t>
        </is>
      </c>
      <c r="J569" t="inlineStr">
        <is>
          <t>AA</t>
        </is>
      </c>
      <c r="K569" t="inlineStr">
        <is>
          <t>Answering Machine Autodial</t>
        </is>
      </c>
      <c r="L569" t="n">
        <v>5</v>
      </c>
      <c r="M569" t="inlineStr">
        <is>
          <t>2026-06-29 12:55:57</t>
        </is>
      </c>
      <c r="N569" t="inlineStr">
        <is>
          <t>system</t>
        </is>
      </c>
      <c r="O569" t="inlineStr">
        <is>
          <t>2026-06-17 14:10:06</t>
        </is>
      </c>
      <c r="P569" t="inlineStr">
        <is>
          <t>2026-06-17 14:10:06</t>
        </is>
      </c>
      <c r="Y569" t="inlineStr">
        <is>
          <t>27820414876</t>
        </is>
      </c>
    </row>
    <row r="570">
      <c r="A570" t="inlineStr">
        <is>
          <t>14920782</t>
        </is>
      </c>
      <c r="B570" t="inlineStr">
        <is>
          <t>beb0da22-4803-4cf1-bdf5-0b5e13e09355</t>
        </is>
      </c>
      <c r="D570" t="inlineStr">
        <is>
          <t>111111124</t>
        </is>
      </c>
      <c r="E570" t="inlineStr">
        <is>
          <t>Vodacom Life 20260617</t>
        </is>
      </c>
      <c r="G570" t="inlineStr">
        <is>
          <t>WILLEM</t>
        </is>
      </c>
      <c r="H570" t="inlineStr">
        <is>
          <t>LOUW</t>
        </is>
      </c>
      <c r="J570" t="inlineStr">
        <is>
          <t>AE</t>
        </is>
      </c>
      <c r="K570" t="inlineStr">
        <is>
          <t>Auto Engaged</t>
        </is>
      </c>
      <c r="L570" t="n">
        <v>5</v>
      </c>
      <c r="M570" t="inlineStr">
        <is>
          <t>2026-06-29 12:55:56</t>
        </is>
      </c>
      <c r="N570" t="inlineStr">
        <is>
          <t>system</t>
        </is>
      </c>
      <c r="O570" t="inlineStr">
        <is>
          <t>2026-06-17 14:10:06</t>
        </is>
      </c>
      <c r="P570" t="inlineStr">
        <is>
          <t>2026-06-17 14:10:06</t>
        </is>
      </c>
      <c r="Y570" t="inlineStr">
        <is>
          <t>27828708394</t>
        </is>
      </c>
    </row>
    <row r="571">
      <c r="A571" t="inlineStr">
        <is>
          <t>14920783</t>
        </is>
      </c>
      <c r="B571" t="inlineStr">
        <is>
          <t>1661358d-cb3e-45e0-83b5-f00d79ad1ec4</t>
        </is>
      </c>
      <c r="D571" t="inlineStr">
        <is>
          <t>111111124</t>
        </is>
      </c>
      <c r="E571" t="inlineStr">
        <is>
          <t>Vodacom Life 20260617</t>
        </is>
      </c>
      <c r="G571" t="inlineStr">
        <is>
          <t>JOSIAH</t>
        </is>
      </c>
      <c r="H571" t="inlineStr">
        <is>
          <t>SEKITI</t>
        </is>
      </c>
      <c r="J571" t="inlineStr">
        <is>
          <t>CCB</t>
        </is>
      </c>
      <c r="K571" t="inlineStr">
        <is>
          <t>Call Dropped</t>
        </is>
      </c>
      <c r="L571" t="n">
        <v>5</v>
      </c>
      <c r="M571" t="inlineStr">
        <is>
          <t>2026-06-29 12:55:55</t>
        </is>
      </c>
      <c r="N571" t="inlineStr">
        <is>
          <t>Musiiwa Mary Mabirimisa</t>
        </is>
      </c>
      <c r="O571" t="inlineStr">
        <is>
          <t>2026-06-17 14:10:06</t>
        </is>
      </c>
      <c r="P571" t="inlineStr">
        <is>
          <t>2026-06-17 14:10:06</t>
        </is>
      </c>
      <c r="Y571" t="inlineStr">
        <is>
          <t>27722019847</t>
        </is>
      </c>
    </row>
    <row r="572">
      <c r="A572" t="inlineStr">
        <is>
          <t>14920784</t>
        </is>
      </c>
      <c r="B572" t="inlineStr">
        <is>
          <t>ec8d032c-aae3-4184-a843-030752fe98b5</t>
        </is>
      </c>
      <c r="D572" t="inlineStr">
        <is>
          <t>111111124</t>
        </is>
      </c>
      <c r="E572" t="inlineStr">
        <is>
          <t>Vodacom Life 20260617</t>
        </is>
      </c>
      <c r="G572" t="inlineStr">
        <is>
          <t>LUCIA</t>
        </is>
      </c>
      <c r="H572" t="inlineStr">
        <is>
          <t>MSOMI</t>
        </is>
      </c>
      <c r="J572" t="inlineStr">
        <is>
          <t>AE</t>
        </is>
      </c>
      <c r="K572" t="inlineStr">
        <is>
          <t>Auto Engaged</t>
        </is>
      </c>
      <c r="L572" t="n">
        <v>5</v>
      </c>
      <c r="M572" t="inlineStr">
        <is>
          <t>2026-06-29 12:55:54</t>
        </is>
      </c>
      <c r="N572" t="inlineStr">
        <is>
          <t>system</t>
        </is>
      </c>
      <c r="O572" t="inlineStr">
        <is>
          <t>2026-06-17 14:10:06</t>
        </is>
      </c>
      <c r="P572" t="inlineStr">
        <is>
          <t>2026-06-17 14:10:06</t>
        </is>
      </c>
      <c r="Y572" t="inlineStr">
        <is>
          <t>27720694582</t>
        </is>
      </c>
    </row>
    <row r="573">
      <c r="A573" t="inlineStr">
        <is>
          <t>14920786</t>
        </is>
      </c>
      <c r="B573" t="inlineStr">
        <is>
          <t>5ce32f1f-fbd2-43cf-a45d-602aad538ac9</t>
        </is>
      </c>
      <c r="D573" t="inlineStr">
        <is>
          <t>111111124</t>
        </is>
      </c>
      <c r="E573" t="inlineStr">
        <is>
          <t>Vodacom Life 20260617</t>
        </is>
      </c>
      <c r="G573" t="inlineStr">
        <is>
          <t>PERVESERANCE</t>
        </is>
      </c>
      <c r="H573" t="inlineStr">
        <is>
          <t>NYELELE</t>
        </is>
      </c>
      <c r="J573" t="inlineStr">
        <is>
          <t>CCB</t>
        </is>
      </c>
      <c r="K573" t="inlineStr">
        <is>
          <t>Call Dropped</t>
        </is>
      </c>
      <c r="L573" t="n">
        <v>5</v>
      </c>
      <c r="M573" t="inlineStr">
        <is>
          <t>2026-06-29 12:55:34</t>
        </is>
      </c>
      <c r="N573" t="inlineStr">
        <is>
          <t>Khensane Mabasa</t>
        </is>
      </c>
      <c r="O573" t="inlineStr">
        <is>
          <t>2026-06-17 14:10:06</t>
        </is>
      </c>
      <c r="P573" t="inlineStr">
        <is>
          <t>2026-06-17 14:10:06</t>
        </is>
      </c>
      <c r="Y573" t="inlineStr">
        <is>
          <t>27646803271</t>
        </is>
      </c>
    </row>
    <row r="574">
      <c r="A574" t="inlineStr">
        <is>
          <t>14920948</t>
        </is>
      </c>
      <c r="B574" t="inlineStr">
        <is>
          <t>b6051c0e-81b5-400e-90b3-4e923c14c213</t>
        </is>
      </c>
      <c r="D574" t="inlineStr">
        <is>
          <t>111111124</t>
        </is>
      </c>
      <c r="E574" t="inlineStr">
        <is>
          <t>Vodacom Life 20260617</t>
        </is>
      </c>
      <c r="G574" t="inlineStr">
        <is>
          <t>MONIQUE</t>
        </is>
      </c>
      <c r="H574" t="inlineStr">
        <is>
          <t>ROLANDO</t>
        </is>
      </c>
      <c r="J574" t="inlineStr">
        <is>
          <t>AE</t>
        </is>
      </c>
      <c r="K574" t="inlineStr">
        <is>
          <t>Auto Engaged</t>
        </is>
      </c>
      <c r="L574" t="n">
        <v>5</v>
      </c>
      <c r="M574" t="inlineStr">
        <is>
          <t>2026-06-29 12:55:33</t>
        </is>
      </c>
      <c r="N574" t="inlineStr">
        <is>
          <t>system</t>
        </is>
      </c>
      <c r="O574" t="inlineStr">
        <is>
          <t>2026-06-17 14:10:06</t>
        </is>
      </c>
      <c r="P574" t="inlineStr">
        <is>
          <t>2026-06-17 14:10:06</t>
        </is>
      </c>
      <c r="Y574" t="inlineStr">
        <is>
          <t>27825555610</t>
        </is>
      </c>
    </row>
    <row r="575">
      <c r="A575" t="inlineStr">
        <is>
          <t>14920787</t>
        </is>
      </c>
      <c r="B575" t="inlineStr">
        <is>
          <t>9644afe4-ca4d-4886-92d4-cdde105ae01b</t>
        </is>
      </c>
      <c r="D575" t="inlineStr">
        <is>
          <t>111111124</t>
        </is>
      </c>
      <c r="E575" t="inlineStr">
        <is>
          <t>Vodacom Life 20260617</t>
        </is>
      </c>
      <c r="G575" t="inlineStr">
        <is>
          <t>AL</t>
        </is>
      </c>
      <c r="H575" t="inlineStr">
        <is>
          <t>KHUMALO</t>
        </is>
      </c>
      <c r="J575" t="inlineStr">
        <is>
          <t>AA</t>
        </is>
      </c>
      <c r="K575" t="inlineStr">
        <is>
          <t>Answering Machine Autodial</t>
        </is>
      </c>
      <c r="L575" t="n">
        <v>5</v>
      </c>
      <c r="M575" t="inlineStr">
        <is>
          <t>2026-06-29 12:55:33</t>
        </is>
      </c>
      <c r="N575" t="inlineStr">
        <is>
          <t>system</t>
        </is>
      </c>
      <c r="O575" t="inlineStr">
        <is>
          <t>2026-06-17 14:10:06</t>
        </is>
      </c>
      <c r="P575" t="inlineStr">
        <is>
          <t>2026-06-17 14:10:06</t>
        </is>
      </c>
      <c r="Y575" t="inlineStr">
        <is>
          <t>27826997159</t>
        </is>
      </c>
    </row>
    <row r="576">
      <c r="A576" t="inlineStr">
        <is>
          <t>14920788</t>
        </is>
      </c>
      <c r="B576" t="inlineStr">
        <is>
          <t>7b6ba37b-e58e-4a70-baab-b9fc43bfe1e2</t>
        </is>
      </c>
      <c r="D576" t="inlineStr">
        <is>
          <t>111111124</t>
        </is>
      </c>
      <c r="E576" t="inlineStr">
        <is>
          <t>Vodacom Life 20260617</t>
        </is>
      </c>
      <c r="G576" t="inlineStr">
        <is>
          <t>HUNGANI</t>
        </is>
      </c>
      <c r="H576" t="inlineStr">
        <is>
          <t>NDLOVU</t>
        </is>
      </c>
      <c r="J576" t="inlineStr">
        <is>
          <t>AA</t>
        </is>
      </c>
      <c r="K576" t="inlineStr">
        <is>
          <t>Answering Machine Autodial</t>
        </is>
      </c>
      <c r="L576" t="n">
        <v>5</v>
      </c>
      <c r="M576" t="inlineStr">
        <is>
          <t>2026-06-29 12:55:33</t>
        </is>
      </c>
      <c r="N576" t="inlineStr">
        <is>
          <t>system</t>
        </is>
      </c>
      <c r="O576" t="inlineStr">
        <is>
          <t>2026-06-17 14:10:06</t>
        </is>
      </c>
      <c r="P576" t="inlineStr">
        <is>
          <t>2026-06-17 14:10:06</t>
        </is>
      </c>
      <c r="Y576" t="inlineStr">
        <is>
          <t>27766747417</t>
        </is>
      </c>
    </row>
    <row r="577">
      <c r="A577" t="inlineStr">
        <is>
          <t>14920821</t>
        </is>
      </c>
      <c r="B577" t="inlineStr">
        <is>
          <t>54429a4b-1330-43e9-ab43-a8c662bf72ae</t>
        </is>
      </c>
      <c r="D577" t="inlineStr">
        <is>
          <t>111111124</t>
        </is>
      </c>
      <c r="E577" t="inlineStr">
        <is>
          <t>Vodacom Life 20260617</t>
        </is>
      </c>
      <c r="G577" t="inlineStr">
        <is>
          <t>JUSTIN</t>
        </is>
      </c>
      <c r="H577" t="inlineStr">
        <is>
          <t>WILLIAMS</t>
        </is>
      </c>
      <c r="J577" t="inlineStr">
        <is>
          <t>AA</t>
        </is>
      </c>
      <c r="K577" t="inlineStr">
        <is>
          <t>Answering Machine Autodial</t>
        </is>
      </c>
      <c r="L577" t="n">
        <v>5</v>
      </c>
      <c r="M577" t="inlineStr">
        <is>
          <t>2026-06-29 12:54:29</t>
        </is>
      </c>
      <c r="N577" t="inlineStr">
        <is>
          <t>system</t>
        </is>
      </c>
      <c r="O577" t="inlineStr">
        <is>
          <t>2026-06-17 14:10:06</t>
        </is>
      </c>
      <c r="P577" t="inlineStr">
        <is>
          <t>2026-06-17 14:10:06</t>
        </is>
      </c>
      <c r="Y577" t="inlineStr">
        <is>
          <t>27673328545</t>
        </is>
      </c>
    </row>
    <row r="578">
      <c r="A578" t="inlineStr">
        <is>
          <t>14920823</t>
        </is>
      </c>
      <c r="B578" t="inlineStr">
        <is>
          <t>aeda3550-95a9-4012-bf07-ffab93de3147</t>
        </is>
      </c>
      <c r="D578" t="inlineStr">
        <is>
          <t>111111124</t>
        </is>
      </c>
      <c r="E578" t="inlineStr">
        <is>
          <t>Vodacom Life 20260617</t>
        </is>
      </c>
      <c r="G578" t="inlineStr">
        <is>
          <t>KATLEGO</t>
        </is>
      </c>
      <c r="H578" t="inlineStr">
        <is>
          <t>POOE</t>
        </is>
      </c>
      <c r="J578" t="inlineStr">
        <is>
          <t>CBACK</t>
        </is>
      </c>
      <c r="K578" t="inlineStr">
        <is>
          <t>Callback</t>
        </is>
      </c>
      <c r="L578" t="n">
        <v>5</v>
      </c>
      <c r="M578" t="inlineStr">
        <is>
          <t>2026-06-29 12:54:27</t>
        </is>
      </c>
      <c r="N578" t="inlineStr">
        <is>
          <t>Vanessa Kekana</t>
        </is>
      </c>
      <c r="O578" t="inlineStr">
        <is>
          <t>2026-06-17 14:10:06</t>
        </is>
      </c>
      <c r="P578" t="inlineStr">
        <is>
          <t>2026-06-17 14:10:06</t>
        </is>
      </c>
      <c r="Y578" t="inlineStr">
        <is>
          <t>27729486608</t>
        </is>
      </c>
    </row>
    <row r="579">
      <c r="A579" t="inlineStr">
        <is>
          <t>14920824</t>
        </is>
      </c>
      <c r="B579" t="inlineStr">
        <is>
          <t>b3aacbc9-9872-488c-be60-99ab1b983c20</t>
        </is>
      </c>
      <c r="D579" t="inlineStr">
        <is>
          <t>111111124</t>
        </is>
      </c>
      <c r="E579" t="inlineStr">
        <is>
          <t>Vodacom Life 20260617</t>
        </is>
      </c>
      <c r="G579" t="inlineStr">
        <is>
          <t>NICOLENE</t>
        </is>
      </c>
      <c r="H579" t="inlineStr">
        <is>
          <t>LUBBE</t>
        </is>
      </c>
      <c r="J579" t="inlineStr">
        <is>
          <t>DROP</t>
        </is>
      </c>
      <c r="K579" t="inlineStr">
        <is>
          <t>Dropped</t>
        </is>
      </c>
      <c r="L579" t="n">
        <v>5</v>
      </c>
      <c r="M579" t="inlineStr">
        <is>
          <t>2026-06-29 12:54:27</t>
        </is>
      </c>
      <c r="N579" t="inlineStr">
        <is>
          <t>system</t>
        </is>
      </c>
      <c r="O579" t="inlineStr">
        <is>
          <t>2026-06-17 14:10:06</t>
        </is>
      </c>
      <c r="P579" t="inlineStr">
        <is>
          <t>2026-06-17 14:10:06</t>
        </is>
      </c>
      <c r="Y579" t="inlineStr">
        <is>
          <t>27736086413</t>
        </is>
      </c>
    </row>
    <row r="580">
      <c r="A580" t="inlineStr">
        <is>
          <t>14920825</t>
        </is>
      </c>
      <c r="B580" t="inlineStr">
        <is>
          <t>4b0bb1f7-ae6e-4ed9-b0f5-a23c15a16bf3</t>
        </is>
      </c>
      <c r="D580" t="inlineStr">
        <is>
          <t>111111124</t>
        </is>
      </c>
      <c r="E580" t="inlineStr">
        <is>
          <t>Vodacom Life 20260617</t>
        </is>
      </c>
      <c r="G580" t="inlineStr">
        <is>
          <t>LUYANDA</t>
        </is>
      </c>
      <c r="H580" t="inlineStr">
        <is>
          <t>MALINGA</t>
        </is>
      </c>
      <c r="J580" t="inlineStr">
        <is>
          <t>NA</t>
        </is>
      </c>
      <c r="K580" t="inlineStr">
        <is>
          <t>No Answer Autodial</t>
        </is>
      </c>
      <c r="L580" t="n">
        <v>5</v>
      </c>
      <c r="M580" t="inlineStr">
        <is>
          <t>2026-06-29 12:54:27</t>
        </is>
      </c>
      <c r="N580" t="inlineStr">
        <is>
          <t>system</t>
        </is>
      </c>
      <c r="O580" t="inlineStr">
        <is>
          <t>2026-06-17 14:10:06</t>
        </is>
      </c>
      <c r="P580" t="inlineStr">
        <is>
          <t>2026-06-17 14:10:06</t>
        </is>
      </c>
      <c r="Y580" t="inlineStr">
        <is>
          <t>27715064422</t>
        </is>
      </c>
    </row>
    <row r="581">
      <c r="A581" t="inlineStr">
        <is>
          <t>14920826</t>
        </is>
      </c>
      <c r="B581" t="inlineStr">
        <is>
          <t>aa20c534-b474-4b76-874e-b7e2237a3715</t>
        </is>
      </c>
      <c r="D581" t="inlineStr">
        <is>
          <t>111111124</t>
        </is>
      </c>
      <c r="E581" t="inlineStr">
        <is>
          <t>Vodacom Life 20260617</t>
        </is>
      </c>
      <c r="G581" t="inlineStr">
        <is>
          <t>NOMTHANDEKI</t>
        </is>
      </c>
      <c r="H581" t="inlineStr">
        <is>
          <t>MTHEMBU</t>
        </is>
      </c>
      <c r="J581" t="inlineStr">
        <is>
          <t>DROP</t>
        </is>
      </c>
      <c r="K581" t="inlineStr">
        <is>
          <t>Dropped</t>
        </is>
      </c>
      <c r="L581" t="n">
        <v>5</v>
      </c>
      <c r="M581" t="inlineStr">
        <is>
          <t>2026-06-29 12:54:26</t>
        </is>
      </c>
      <c r="N581" t="inlineStr">
        <is>
          <t>system</t>
        </is>
      </c>
      <c r="O581" t="inlineStr">
        <is>
          <t>2026-06-17 14:10:06</t>
        </is>
      </c>
      <c r="P581" t="inlineStr">
        <is>
          <t>2026-06-17 14:10:06</t>
        </is>
      </c>
      <c r="Y581" t="inlineStr">
        <is>
          <t>27660584107</t>
        </is>
      </c>
    </row>
    <row r="582">
      <c r="A582" t="inlineStr">
        <is>
          <t>14920933</t>
        </is>
      </c>
      <c r="B582" t="inlineStr">
        <is>
          <t>40a8e413-6d7e-470d-a066-16cb10680ad9</t>
        </is>
      </c>
      <c r="D582" t="inlineStr">
        <is>
          <t>111111124</t>
        </is>
      </c>
      <c r="E582" t="inlineStr">
        <is>
          <t>Vodacom Life 20260617</t>
        </is>
      </c>
      <c r="G582" t="inlineStr">
        <is>
          <t>ANGELA</t>
        </is>
      </c>
      <c r="H582" t="inlineStr">
        <is>
          <t>JANSE VAN RENSBURG</t>
        </is>
      </c>
      <c r="J582" t="inlineStr">
        <is>
          <t>AE</t>
        </is>
      </c>
      <c r="K582" t="inlineStr">
        <is>
          <t>Auto Engaged</t>
        </is>
      </c>
      <c r="L582" t="n">
        <v>5</v>
      </c>
      <c r="M582" t="inlineStr">
        <is>
          <t>2026-06-29 12:54:26</t>
        </is>
      </c>
      <c r="N582" t="inlineStr">
        <is>
          <t>system</t>
        </is>
      </c>
      <c r="O582" t="inlineStr">
        <is>
          <t>2026-06-17 14:10:06</t>
        </is>
      </c>
      <c r="P582" t="inlineStr">
        <is>
          <t>2026-06-17 14:10:06</t>
        </is>
      </c>
      <c r="Y582" t="inlineStr">
        <is>
          <t>27765988606</t>
        </is>
      </c>
    </row>
    <row r="583">
      <c r="A583" t="inlineStr">
        <is>
          <t>14920790</t>
        </is>
      </c>
      <c r="B583" t="inlineStr">
        <is>
          <t>7f8fc5b7-a979-47e6-8fdb-d3ee31ade1ef</t>
        </is>
      </c>
      <c r="D583" t="inlineStr">
        <is>
          <t>111111124</t>
        </is>
      </c>
      <c r="E583" t="inlineStr">
        <is>
          <t>Vodacom Life 20260617</t>
        </is>
      </c>
      <c r="G583" t="inlineStr">
        <is>
          <t>SBUSISO</t>
        </is>
      </c>
      <c r="H583" t="inlineStr">
        <is>
          <t>HLABISA</t>
        </is>
      </c>
      <c r="J583" t="inlineStr">
        <is>
          <t>CU</t>
        </is>
      </c>
      <c r="K583" t="inlineStr">
        <is>
          <t>Client Hung Up</t>
        </is>
      </c>
      <c r="L583" t="n">
        <v>5</v>
      </c>
      <c r="M583" t="inlineStr">
        <is>
          <t>2026-06-29 12:53:23</t>
        </is>
      </c>
      <c r="N583" t="inlineStr">
        <is>
          <t>Musiiwa Mary Mabirimisa</t>
        </is>
      </c>
      <c r="O583" t="inlineStr">
        <is>
          <t>2026-06-17 14:10:06</t>
        </is>
      </c>
      <c r="P583" t="inlineStr">
        <is>
          <t>2026-06-17 14:10:06</t>
        </is>
      </c>
      <c r="Y583" t="inlineStr">
        <is>
          <t>27760474817</t>
        </is>
      </c>
    </row>
    <row r="584">
      <c r="A584" t="inlineStr">
        <is>
          <t>14920669</t>
        </is>
      </c>
      <c r="B584" t="inlineStr">
        <is>
          <t>c640db92-493b-4993-b44b-b520be922c95</t>
        </is>
      </c>
      <c r="D584" t="inlineStr">
        <is>
          <t>111111124</t>
        </is>
      </c>
      <c r="E584" t="inlineStr">
        <is>
          <t>Vodacom Life 20260617</t>
        </is>
      </c>
      <c r="G584" t="inlineStr">
        <is>
          <t>THAKANE</t>
        </is>
      </c>
      <c r="H584" t="inlineStr">
        <is>
          <t>RAMPHOMA</t>
        </is>
      </c>
      <c r="J584" t="inlineStr">
        <is>
          <t>CBACK</t>
        </is>
      </c>
      <c r="K584" t="inlineStr">
        <is>
          <t>Callback</t>
        </is>
      </c>
      <c r="L584" t="n">
        <v>6</v>
      </c>
      <c r="M584" t="inlineStr">
        <is>
          <t>2026-06-29 12:53:22</t>
        </is>
      </c>
      <c r="N584" t="inlineStr">
        <is>
          <t>Maureen Ntsoko</t>
        </is>
      </c>
      <c r="O584" t="inlineStr">
        <is>
          <t>2026-06-17 14:10:06</t>
        </is>
      </c>
      <c r="P584" t="inlineStr">
        <is>
          <t>2026-06-17 14:10:06</t>
        </is>
      </c>
      <c r="Y584" t="inlineStr">
        <is>
          <t>27665747814</t>
        </is>
      </c>
    </row>
    <row r="585">
      <c r="A585" t="inlineStr">
        <is>
          <t>14920792</t>
        </is>
      </c>
      <c r="B585" t="inlineStr">
        <is>
          <t>6222f70a-b06e-4b1c-b600-96c289c01061</t>
        </is>
      </c>
      <c r="D585" t="inlineStr">
        <is>
          <t>111111124</t>
        </is>
      </c>
      <c r="E585" t="inlineStr">
        <is>
          <t>Vodacom Life 20260617</t>
        </is>
      </c>
      <c r="G585" t="inlineStr">
        <is>
          <t>ROBERTSON</t>
        </is>
      </c>
      <c r="H585" t="inlineStr">
        <is>
          <t>HLATSHWAYO</t>
        </is>
      </c>
      <c r="J585" t="inlineStr">
        <is>
          <t>AE</t>
        </is>
      </c>
      <c r="K585" t="inlineStr">
        <is>
          <t>Auto Engaged</t>
        </is>
      </c>
      <c r="L585" t="n">
        <v>5</v>
      </c>
      <c r="M585" t="inlineStr">
        <is>
          <t>2026-06-29 12:53:21</t>
        </is>
      </c>
      <c r="N585" t="inlineStr">
        <is>
          <t>system</t>
        </is>
      </c>
      <c r="O585" t="inlineStr">
        <is>
          <t>2026-06-17 14:10:06</t>
        </is>
      </c>
      <c r="P585" t="inlineStr">
        <is>
          <t>2026-06-17 14:10:06</t>
        </is>
      </c>
      <c r="Y585" t="inlineStr">
        <is>
          <t>27728146854</t>
        </is>
      </c>
    </row>
    <row r="586">
      <c r="A586" t="inlineStr">
        <is>
          <t>14920793</t>
        </is>
      </c>
      <c r="B586" t="inlineStr">
        <is>
          <t>b2bf2bb7-0c0b-4f0b-a742-157777919524</t>
        </is>
      </c>
      <c r="D586" t="inlineStr">
        <is>
          <t>111111124</t>
        </is>
      </c>
      <c r="E586" t="inlineStr">
        <is>
          <t>Vodacom Life 20260617</t>
        </is>
      </c>
      <c r="G586" t="inlineStr">
        <is>
          <t>JUDITH</t>
        </is>
      </c>
      <c r="H586" t="inlineStr">
        <is>
          <t>GEYSER</t>
        </is>
      </c>
      <c r="J586" t="inlineStr">
        <is>
          <t>AE</t>
        </is>
      </c>
      <c r="K586" t="inlineStr">
        <is>
          <t>Auto Engaged</t>
        </is>
      </c>
      <c r="L586" t="n">
        <v>5</v>
      </c>
      <c r="M586" t="inlineStr">
        <is>
          <t>2026-06-29 12:53:20</t>
        </is>
      </c>
      <c r="N586" t="inlineStr">
        <is>
          <t>system</t>
        </is>
      </c>
      <c r="O586" t="inlineStr">
        <is>
          <t>2026-06-17 14:10:06</t>
        </is>
      </c>
      <c r="P586" t="inlineStr">
        <is>
          <t>2026-06-17 14:10:06</t>
        </is>
      </c>
      <c r="Y586" t="inlineStr">
        <is>
          <t>27767467456</t>
        </is>
      </c>
    </row>
    <row r="587">
      <c r="A587" t="inlineStr">
        <is>
          <t>14920794</t>
        </is>
      </c>
      <c r="B587" t="inlineStr">
        <is>
          <t>6a04d9e0-cb98-498b-ad35-ab0b9e08f5f1</t>
        </is>
      </c>
      <c r="D587" t="inlineStr">
        <is>
          <t>111111124</t>
        </is>
      </c>
      <c r="E587" t="inlineStr">
        <is>
          <t>Vodacom Life 20260617</t>
        </is>
      </c>
      <c r="G587" t="inlineStr">
        <is>
          <t>LENOX</t>
        </is>
      </c>
      <c r="H587" t="inlineStr">
        <is>
          <t>KWINDA</t>
        </is>
      </c>
      <c r="J587" t="inlineStr">
        <is>
          <t>DROP</t>
        </is>
      </c>
      <c r="K587" t="inlineStr">
        <is>
          <t>Dropped</t>
        </is>
      </c>
      <c r="L587" t="n">
        <v>5</v>
      </c>
      <c r="M587" t="inlineStr">
        <is>
          <t>2026-06-29 12:53:20</t>
        </is>
      </c>
      <c r="N587" t="inlineStr">
        <is>
          <t>system</t>
        </is>
      </c>
      <c r="O587" t="inlineStr">
        <is>
          <t>2026-06-17 14:10:06</t>
        </is>
      </c>
      <c r="P587" t="inlineStr">
        <is>
          <t>2026-06-17 14:10:06</t>
        </is>
      </c>
      <c r="Y587" t="inlineStr">
        <is>
          <t>27827902542</t>
        </is>
      </c>
    </row>
    <row r="588">
      <c r="A588" t="inlineStr">
        <is>
          <t>14920795</t>
        </is>
      </c>
      <c r="B588" t="inlineStr">
        <is>
          <t>f488583e-b0bc-4ab1-aa0c-cbcdb8d99147</t>
        </is>
      </c>
      <c r="D588" t="inlineStr">
        <is>
          <t>111111124</t>
        </is>
      </c>
      <c r="E588" t="inlineStr">
        <is>
          <t>Vodacom Life 20260617</t>
        </is>
      </c>
      <c r="G588" t="inlineStr">
        <is>
          <t>RUAN</t>
        </is>
      </c>
      <c r="H588" t="inlineStr">
        <is>
          <t>NEETHLING</t>
        </is>
      </c>
      <c r="J588" t="inlineStr">
        <is>
          <t>AE</t>
        </is>
      </c>
      <c r="K588" t="inlineStr">
        <is>
          <t>Auto Engaged</t>
        </is>
      </c>
      <c r="L588" t="n">
        <v>5</v>
      </c>
      <c r="M588" t="inlineStr">
        <is>
          <t>2026-06-29 12:53:20</t>
        </is>
      </c>
      <c r="N588" t="inlineStr">
        <is>
          <t>system</t>
        </is>
      </c>
      <c r="O588" t="inlineStr">
        <is>
          <t>2026-06-17 14:10:06</t>
        </is>
      </c>
      <c r="P588" t="inlineStr">
        <is>
          <t>2026-06-17 14:10:06</t>
        </is>
      </c>
      <c r="Y588" t="inlineStr">
        <is>
          <t>27609520222</t>
        </is>
      </c>
    </row>
    <row r="589">
      <c r="A589" t="inlineStr">
        <is>
          <t>14920796</t>
        </is>
      </c>
      <c r="B589" t="inlineStr">
        <is>
          <t>524aaec9-e205-4d7e-a556-6dbe54eb087f</t>
        </is>
      </c>
      <c r="D589" t="inlineStr">
        <is>
          <t>111111124</t>
        </is>
      </c>
      <c r="E589" t="inlineStr">
        <is>
          <t>Vodacom Life 20260617</t>
        </is>
      </c>
      <c r="G589" t="inlineStr">
        <is>
          <t>EUCEBIOUS</t>
        </is>
      </c>
      <c r="H589" t="inlineStr">
        <is>
          <t>LEKALAKALA-MOKGELE</t>
        </is>
      </c>
      <c r="J589" t="inlineStr">
        <is>
          <t>AA</t>
        </is>
      </c>
      <c r="K589" t="inlineStr">
        <is>
          <t>Answering Machine Autodial</t>
        </is>
      </c>
      <c r="L589" t="n">
        <v>5</v>
      </c>
      <c r="M589" t="inlineStr">
        <is>
          <t>2026-06-29 12:53:18</t>
        </is>
      </c>
      <c r="N589" t="inlineStr">
        <is>
          <t>system</t>
        </is>
      </c>
      <c r="O589" t="inlineStr">
        <is>
          <t>2026-06-17 14:10:06</t>
        </is>
      </c>
      <c r="P589" t="inlineStr">
        <is>
          <t>2026-06-17 14:10:06</t>
        </is>
      </c>
      <c r="Y589" t="inlineStr">
        <is>
          <t>27794962396</t>
        </is>
      </c>
    </row>
    <row r="590">
      <c r="A590" t="inlineStr">
        <is>
          <t>14920797</t>
        </is>
      </c>
      <c r="B590" t="inlineStr">
        <is>
          <t>f1496b0a-847f-4340-a9d1-c0f9b74ce049</t>
        </is>
      </c>
      <c r="D590" t="inlineStr">
        <is>
          <t>111111124</t>
        </is>
      </c>
      <c r="E590" t="inlineStr">
        <is>
          <t>Vodacom Life 20260617</t>
        </is>
      </c>
      <c r="G590" t="inlineStr">
        <is>
          <t>ULRICH</t>
        </is>
      </c>
      <c r="H590" t="inlineStr">
        <is>
          <t>STANDAAR</t>
        </is>
      </c>
      <c r="J590" t="inlineStr">
        <is>
          <t>AA</t>
        </is>
      </c>
      <c r="K590" t="inlineStr">
        <is>
          <t>Answering Machine Autodial</t>
        </is>
      </c>
      <c r="L590" t="n">
        <v>5</v>
      </c>
      <c r="M590" t="inlineStr">
        <is>
          <t>2026-06-29 12:53:18</t>
        </is>
      </c>
      <c r="N590" t="inlineStr">
        <is>
          <t>system</t>
        </is>
      </c>
      <c r="O590" t="inlineStr">
        <is>
          <t>2026-06-17 14:10:06</t>
        </is>
      </c>
      <c r="P590" t="inlineStr">
        <is>
          <t>2026-06-17 14:10:06</t>
        </is>
      </c>
      <c r="Y590" t="inlineStr">
        <is>
          <t>27823323456</t>
        </is>
      </c>
    </row>
    <row r="591">
      <c r="A591" t="inlineStr">
        <is>
          <t>14920799</t>
        </is>
      </c>
      <c r="B591" t="inlineStr">
        <is>
          <t>58443910-70e6-4bb9-9b33-2f27596b706a</t>
        </is>
      </c>
      <c r="D591" t="inlineStr">
        <is>
          <t>111111124</t>
        </is>
      </c>
      <c r="E591" t="inlineStr">
        <is>
          <t>Vodacom Life 20260617</t>
        </is>
      </c>
      <c r="G591" t="inlineStr">
        <is>
          <t>NOELINE</t>
        </is>
      </c>
      <c r="H591" t="inlineStr">
        <is>
          <t>VAN GREUNEN</t>
        </is>
      </c>
      <c r="J591" t="inlineStr">
        <is>
          <t>AE</t>
        </is>
      </c>
      <c r="K591" t="inlineStr">
        <is>
          <t>Auto Engaged</t>
        </is>
      </c>
      <c r="L591" t="n">
        <v>5</v>
      </c>
      <c r="M591" t="inlineStr">
        <is>
          <t>2026-06-29 12:52:42</t>
        </is>
      </c>
      <c r="N591" t="inlineStr">
        <is>
          <t>system</t>
        </is>
      </c>
      <c r="O591" t="inlineStr">
        <is>
          <t>2026-06-17 14:10:06</t>
        </is>
      </c>
      <c r="P591" t="inlineStr">
        <is>
          <t>2026-06-17 14:10:06</t>
        </is>
      </c>
      <c r="Y591" t="inlineStr">
        <is>
          <t>27825516809</t>
        </is>
      </c>
    </row>
    <row r="592">
      <c r="A592" t="inlineStr">
        <is>
          <t>14900000</t>
        </is>
      </c>
      <c r="B592" t="inlineStr">
        <is>
          <t>092e7931-ce19-4f7c-a016-db9f790f7083</t>
        </is>
      </c>
      <c r="D592" t="inlineStr">
        <is>
          <t>111111124</t>
        </is>
      </c>
      <c r="E592" t="inlineStr">
        <is>
          <t>Vodacom Life 20260617</t>
        </is>
      </c>
      <c r="G592" t="inlineStr">
        <is>
          <t>ENRIQUE</t>
        </is>
      </c>
      <c r="H592" t="inlineStr">
        <is>
          <t>PIETERSEN</t>
        </is>
      </c>
      <c r="J592" t="inlineStr">
        <is>
          <t>NA</t>
        </is>
      </c>
      <c r="K592" t="inlineStr">
        <is>
          <t>No Answer Autodial</t>
        </is>
      </c>
      <c r="L592" t="n">
        <v>5</v>
      </c>
      <c r="M592" t="inlineStr">
        <is>
          <t>2026-06-29 12:52:42</t>
        </is>
      </c>
      <c r="N592" t="inlineStr">
        <is>
          <t>system</t>
        </is>
      </c>
      <c r="O592" t="inlineStr">
        <is>
          <t>2026-06-17 14:10:06</t>
        </is>
      </c>
      <c r="P592" t="inlineStr">
        <is>
          <t>2026-06-17 14:10:06</t>
        </is>
      </c>
      <c r="Y592" t="inlineStr">
        <is>
          <t>27847729014</t>
        </is>
      </c>
    </row>
    <row r="593">
      <c r="A593" t="inlineStr">
        <is>
          <t>14920801</t>
        </is>
      </c>
      <c r="B593" t="inlineStr">
        <is>
          <t>9097f8d4-672d-4b2f-aa1a-7af314f4a970</t>
        </is>
      </c>
      <c r="D593" t="inlineStr">
        <is>
          <t>111111124</t>
        </is>
      </c>
      <c r="E593" t="inlineStr">
        <is>
          <t>Vodacom Life 20260617</t>
        </is>
      </c>
      <c r="G593" t="inlineStr">
        <is>
          <t>REXWINDIS</t>
        </is>
      </c>
      <c r="H593" t="inlineStr">
        <is>
          <t>DZANIBE</t>
        </is>
      </c>
      <c r="J593" t="inlineStr">
        <is>
          <t>AE</t>
        </is>
      </c>
      <c r="K593" t="inlineStr">
        <is>
          <t>Auto Engaged</t>
        </is>
      </c>
      <c r="L593" t="n">
        <v>5</v>
      </c>
      <c r="M593" t="inlineStr">
        <is>
          <t>2026-06-29 12:52:40</t>
        </is>
      </c>
      <c r="N593" t="inlineStr">
        <is>
          <t>system</t>
        </is>
      </c>
      <c r="O593" t="inlineStr">
        <is>
          <t>2026-06-17 14:10:06</t>
        </is>
      </c>
      <c r="P593" t="inlineStr">
        <is>
          <t>2026-06-17 14:10:06</t>
        </is>
      </c>
      <c r="Y593" t="inlineStr">
        <is>
          <t>27828057892</t>
        </is>
      </c>
    </row>
    <row r="594">
      <c r="A594" t="inlineStr">
        <is>
          <t>14920802</t>
        </is>
      </c>
      <c r="B594" t="inlineStr">
        <is>
          <t>ceeaf02b-be4c-42a7-878c-da6bd83a2c4f</t>
        </is>
      </c>
      <c r="D594" t="inlineStr">
        <is>
          <t>111111124</t>
        </is>
      </c>
      <c r="E594" t="inlineStr">
        <is>
          <t>Vodacom Life 20260617</t>
        </is>
      </c>
      <c r="G594" t="inlineStr">
        <is>
          <t>LWAZI</t>
        </is>
      </c>
      <c r="H594" t="inlineStr">
        <is>
          <t>DANISA</t>
        </is>
      </c>
      <c r="J594" t="inlineStr">
        <is>
          <t>AA</t>
        </is>
      </c>
      <c r="K594" t="inlineStr">
        <is>
          <t>Answering Machine Autodial</t>
        </is>
      </c>
      <c r="L594" t="n">
        <v>5</v>
      </c>
      <c r="M594" t="inlineStr">
        <is>
          <t>2026-06-29 12:52:38</t>
        </is>
      </c>
      <c r="N594" t="inlineStr">
        <is>
          <t>system</t>
        </is>
      </c>
      <c r="O594" t="inlineStr">
        <is>
          <t>2026-06-17 14:10:06</t>
        </is>
      </c>
      <c r="P594" t="inlineStr">
        <is>
          <t>2026-06-17 14:10:06</t>
        </is>
      </c>
      <c r="Y594" t="inlineStr">
        <is>
          <t>27637424950</t>
        </is>
      </c>
    </row>
    <row r="595">
      <c r="A595" t="inlineStr">
        <is>
          <t>14920803</t>
        </is>
      </c>
      <c r="B595" t="inlineStr">
        <is>
          <t>eea553ca-50be-42de-93c9-a1aa62ea96c7</t>
        </is>
      </c>
      <c r="D595" t="inlineStr">
        <is>
          <t>111111124</t>
        </is>
      </c>
      <c r="E595" t="inlineStr">
        <is>
          <t>Vodacom Life 20260617</t>
        </is>
      </c>
      <c r="G595" t="inlineStr">
        <is>
          <t>BARATANG</t>
        </is>
      </c>
      <c r="H595" t="inlineStr">
        <is>
          <t>MOGAMI</t>
        </is>
      </c>
      <c r="J595" t="inlineStr">
        <is>
          <t>AE</t>
        </is>
      </c>
      <c r="K595" t="inlineStr">
        <is>
          <t>Auto Engaged</t>
        </is>
      </c>
      <c r="L595" t="n">
        <v>5</v>
      </c>
      <c r="M595" t="inlineStr">
        <is>
          <t>2026-06-29 12:52:38</t>
        </is>
      </c>
      <c r="N595" t="inlineStr">
        <is>
          <t>system</t>
        </is>
      </c>
      <c r="O595" t="inlineStr">
        <is>
          <t>2026-06-17 14:10:06</t>
        </is>
      </c>
      <c r="P595" t="inlineStr">
        <is>
          <t>2026-06-17 14:10:06</t>
        </is>
      </c>
      <c r="Y595" t="inlineStr">
        <is>
          <t>27827872548</t>
        </is>
      </c>
    </row>
    <row r="596">
      <c r="A596" t="inlineStr">
        <is>
          <t>14920804</t>
        </is>
      </c>
      <c r="B596" t="inlineStr">
        <is>
          <t>61812a03-2be1-4b0c-a6b6-b7e22c492c2c</t>
        </is>
      </c>
      <c r="D596" t="inlineStr">
        <is>
          <t>111111124</t>
        </is>
      </c>
      <c r="E596" t="inlineStr">
        <is>
          <t>Vodacom Life 20260617</t>
        </is>
      </c>
      <c r="G596" t="inlineStr">
        <is>
          <t>WAYNE</t>
        </is>
      </c>
      <c r="H596" t="inlineStr">
        <is>
          <t>DICKS</t>
        </is>
      </c>
      <c r="J596" t="inlineStr">
        <is>
          <t>TDN</t>
        </is>
      </c>
      <c r="K596" t="inlineStr">
        <is>
          <t>Temporary Disconnected Number</t>
        </is>
      </c>
      <c r="L596" t="n">
        <v>5</v>
      </c>
      <c r="M596" t="inlineStr">
        <is>
          <t>2026-06-29 12:52:38</t>
        </is>
      </c>
      <c r="N596" t="inlineStr">
        <is>
          <t>system</t>
        </is>
      </c>
      <c r="O596" t="inlineStr">
        <is>
          <t>2026-06-17 14:10:06</t>
        </is>
      </c>
      <c r="P596" t="inlineStr">
        <is>
          <t>2026-06-17 14:10:06</t>
        </is>
      </c>
      <c r="Y596" t="inlineStr">
        <is>
          <t>27716861269</t>
        </is>
      </c>
    </row>
    <row r="597">
      <c r="A597" t="inlineStr">
        <is>
          <t>14900000</t>
        </is>
      </c>
      <c r="B597" t="inlineStr">
        <is>
          <t>e5047d73-d5bc-4ac9-9b66-647ef2b2ee30</t>
        </is>
      </c>
      <c r="D597" t="inlineStr">
        <is>
          <t>111111124</t>
        </is>
      </c>
      <c r="E597" t="inlineStr">
        <is>
          <t>Vodacom Life 20260617</t>
        </is>
      </c>
      <c r="G597" t="inlineStr">
        <is>
          <t>EDWARD</t>
        </is>
      </c>
      <c r="H597" t="inlineStr">
        <is>
          <t>NONYANE</t>
        </is>
      </c>
      <c r="J597" t="inlineStr">
        <is>
          <t>NA</t>
        </is>
      </c>
      <c r="K597" t="inlineStr">
        <is>
          <t>No Answer Autodial</t>
        </is>
      </c>
      <c r="L597" t="n">
        <v>5</v>
      </c>
      <c r="M597" t="inlineStr">
        <is>
          <t>2026-06-29 12:52:38</t>
        </is>
      </c>
      <c r="N597" t="inlineStr">
        <is>
          <t>system</t>
        </is>
      </c>
      <c r="O597" t="inlineStr">
        <is>
          <t>2026-06-17 14:10:06</t>
        </is>
      </c>
      <c r="P597" t="inlineStr">
        <is>
          <t>2026-06-17 14:10:06</t>
        </is>
      </c>
      <c r="Y597" t="inlineStr">
        <is>
          <t>27728740985</t>
        </is>
      </c>
    </row>
    <row r="598">
      <c r="A598" t="inlineStr">
        <is>
          <t>14920806</t>
        </is>
      </c>
      <c r="B598" t="inlineStr">
        <is>
          <t>292801ee-d398-4fa4-ae42-8fb7aca96417</t>
        </is>
      </c>
      <c r="D598" t="inlineStr">
        <is>
          <t>111111124</t>
        </is>
      </c>
      <c r="E598" t="inlineStr">
        <is>
          <t>Vodacom Life 20260617</t>
        </is>
      </c>
      <c r="G598" t="inlineStr">
        <is>
          <t>MAHLATSE</t>
        </is>
      </c>
      <c r="H598" t="inlineStr">
        <is>
          <t>SEFALA</t>
        </is>
      </c>
      <c r="J598" t="inlineStr">
        <is>
          <t>NA</t>
        </is>
      </c>
      <c r="K598" t="inlineStr">
        <is>
          <t>No Answer Autodial</t>
        </is>
      </c>
      <c r="L598" t="n">
        <v>5</v>
      </c>
      <c r="M598" t="inlineStr">
        <is>
          <t>2026-06-29 12:52:15</t>
        </is>
      </c>
      <c r="N598" t="inlineStr">
        <is>
          <t>system</t>
        </is>
      </c>
      <c r="O598" t="inlineStr">
        <is>
          <t>2026-06-17 14:10:06</t>
        </is>
      </c>
      <c r="P598" t="inlineStr">
        <is>
          <t>2026-06-17 14:10:06</t>
        </is>
      </c>
      <c r="Y598" t="inlineStr">
        <is>
          <t>27661496326</t>
        </is>
      </c>
    </row>
    <row r="599">
      <c r="A599" t="inlineStr">
        <is>
          <t>14920809</t>
        </is>
      </c>
      <c r="B599" t="inlineStr">
        <is>
          <t>92e7b73e-bb5e-4421-8290-9ae32373399a</t>
        </is>
      </c>
      <c r="D599" t="inlineStr">
        <is>
          <t>111111124</t>
        </is>
      </c>
      <c r="E599" t="inlineStr">
        <is>
          <t>Vodacom Life 20260617</t>
        </is>
      </c>
      <c r="G599" t="inlineStr">
        <is>
          <t>PRECIOUS</t>
        </is>
      </c>
      <c r="H599" t="inlineStr">
        <is>
          <t>MTHEMBU</t>
        </is>
      </c>
      <c r="J599" t="inlineStr">
        <is>
          <t>AA</t>
        </is>
      </c>
      <c r="K599" t="inlineStr">
        <is>
          <t>Answering Machine Autodial</t>
        </is>
      </c>
      <c r="L599" t="n">
        <v>5</v>
      </c>
      <c r="M599" t="inlineStr">
        <is>
          <t>2026-06-29 12:52:11</t>
        </is>
      </c>
      <c r="N599" t="inlineStr">
        <is>
          <t>system</t>
        </is>
      </c>
      <c r="O599" t="inlineStr">
        <is>
          <t>2026-06-17 14:10:06</t>
        </is>
      </c>
      <c r="P599" t="inlineStr">
        <is>
          <t>2026-06-17 14:10:06</t>
        </is>
      </c>
      <c r="Y599" t="inlineStr">
        <is>
          <t>27728020943</t>
        </is>
      </c>
    </row>
    <row r="600">
      <c r="A600" t="inlineStr">
        <is>
          <t>14920810</t>
        </is>
      </c>
      <c r="B600" t="inlineStr">
        <is>
          <t>cfd5eddb-962e-449b-9e1a-030d32f8a7ca</t>
        </is>
      </c>
      <c r="D600" t="inlineStr">
        <is>
          <t>111111124</t>
        </is>
      </c>
      <c r="E600" t="inlineStr">
        <is>
          <t>Vodacom Life 20260617</t>
        </is>
      </c>
      <c r="G600" t="inlineStr">
        <is>
          <t>KEEGAN</t>
        </is>
      </c>
      <c r="H600" t="inlineStr">
        <is>
          <t>CLARK</t>
        </is>
      </c>
      <c r="J600" t="inlineStr">
        <is>
          <t>DROP</t>
        </is>
      </c>
      <c r="K600" t="inlineStr">
        <is>
          <t>Dropped</t>
        </is>
      </c>
      <c r="L600" t="n">
        <v>5</v>
      </c>
      <c r="M600" t="inlineStr">
        <is>
          <t>2026-06-29 12:52:09</t>
        </is>
      </c>
      <c r="N600" t="inlineStr">
        <is>
          <t>system</t>
        </is>
      </c>
      <c r="O600" t="inlineStr">
        <is>
          <t>2026-06-17 14:10:06</t>
        </is>
      </c>
      <c r="P600" t="inlineStr">
        <is>
          <t>2026-06-17 14:10:06</t>
        </is>
      </c>
      <c r="Y600" t="inlineStr">
        <is>
          <t>27796502987</t>
        </is>
      </c>
    </row>
    <row r="601">
      <c r="A601" t="inlineStr">
        <is>
          <t>14920812</t>
        </is>
      </c>
      <c r="B601" t="inlineStr">
        <is>
          <t>3b7497de-48d9-4c47-bdea-61e5ce8dd4e8</t>
        </is>
      </c>
      <c r="D601" t="inlineStr">
        <is>
          <t>111111124</t>
        </is>
      </c>
      <c r="E601" t="inlineStr">
        <is>
          <t>Vodacom Life 20260617</t>
        </is>
      </c>
      <c r="G601" t="inlineStr">
        <is>
          <t>SYLVIA</t>
        </is>
      </c>
      <c r="H601" t="inlineStr">
        <is>
          <t>DAMBA</t>
        </is>
      </c>
      <c r="J601" t="inlineStr">
        <is>
          <t>AE</t>
        </is>
      </c>
      <c r="K601" t="inlineStr">
        <is>
          <t>Auto Engaged</t>
        </is>
      </c>
      <c r="L601" t="n">
        <v>5</v>
      </c>
      <c r="M601" t="inlineStr">
        <is>
          <t>2026-06-29 12:52:07</t>
        </is>
      </c>
      <c r="N601" t="inlineStr">
        <is>
          <t>system</t>
        </is>
      </c>
      <c r="O601" t="inlineStr">
        <is>
          <t>2026-06-17 14:10:06</t>
        </is>
      </c>
      <c r="P601" t="inlineStr">
        <is>
          <t>2026-06-17 14:10:06</t>
        </is>
      </c>
      <c r="Y601" t="inlineStr">
        <is>
          <t>27790846833</t>
        </is>
      </c>
    </row>
    <row r="602">
      <c r="A602" t="inlineStr">
        <is>
          <t>14920816</t>
        </is>
      </c>
      <c r="B602" t="inlineStr">
        <is>
          <t>2f9ff39a-e2d3-4be3-8bdf-e2c3e37744dc</t>
        </is>
      </c>
      <c r="D602" t="inlineStr">
        <is>
          <t>111111124</t>
        </is>
      </c>
      <c r="E602" t="inlineStr">
        <is>
          <t>Vodacom Life 20260617</t>
        </is>
      </c>
      <c r="G602" t="inlineStr">
        <is>
          <t>PATRICK</t>
        </is>
      </c>
      <c r="H602" t="inlineStr">
        <is>
          <t>MSIZA</t>
        </is>
      </c>
      <c r="J602" t="inlineStr">
        <is>
          <t>AA</t>
        </is>
      </c>
      <c r="K602" t="inlineStr">
        <is>
          <t>Answering Machine Autodial</t>
        </is>
      </c>
      <c r="L602" t="n">
        <v>5</v>
      </c>
      <c r="M602" t="inlineStr">
        <is>
          <t>2026-06-29 12:52:03</t>
        </is>
      </c>
      <c r="N602" t="inlineStr">
        <is>
          <t>system</t>
        </is>
      </c>
      <c r="O602" t="inlineStr">
        <is>
          <t>2026-06-17 14:10:06</t>
        </is>
      </c>
      <c r="P602" t="inlineStr">
        <is>
          <t>2026-06-17 14:10:06</t>
        </is>
      </c>
      <c r="Y602" t="inlineStr">
        <is>
          <t>27826553641</t>
        </is>
      </c>
    </row>
    <row r="603">
      <c r="A603" t="inlineStr">
        <is>
          <t>14920813</t>
        </is>
      </c>
      <c r="B603" t="inlineStr">
        <is>
          <t>9422da55-80f9-43c9-a6ce-3ba53cb257c7</t>
        </is>
      </c>
      <c r="D603" t="inlineStr">
        <is>
          <t>111111124</t>
        </is>
      </c>
      <c r="E603" t="inlineStr">
        <is>
          <t>Vodacom Life 20260617</t>
        </is>
      </c>
      <c r="G603" t="inlineStr">
        <is>
          <t>NOMGQIBELO</t>
        </is>
      </c>
      <c r="H603" t="inlineStr">
        <is>
          <t>CEKESHE</t>
        </is>
      </c>
      <c r="J603" t="inlineStr">
        <is>
          <t>AE</t>
        </is>
      </c>
      <c r="K603" t="inlineStr">
        <is>
          <t>Auto Engaged</t>
        </is>
      </c>
      <c r="L603" t="n">
        <v>5</v>
      </c>
      <c r="M603" t="inlineStr">
        <is>
          <t>2026-06-29 12:52:03</t>
        </is>
      </c>
      <c r="N603" t="inlineStr">
        <is>
          <t>system</t>
        </is>
      </c>
      <c r="O603" t="inlineStr">
        <is>
          <t>2026-06-17 14:10:06</t>
        </is>
      </c>
      <c r="P603" t="inlineStr">
        <is>
          <t>2026-06-17 14:10:06</t>
        </is>
      </c>
      <c r="Y603" t="inlineStr">
        <is>
          <t>27720234948</t>
        </is>
      </c>
    </row>
    <row r="604">
      <c r="A604" t="inlineStr">
        <is>
          <t>14920817</t>
        </is>
      </c>
      <c r="B604" t="inlineStr">
        <is>
          <t>82ded697-8175-49e2-a44d-d0df512c6ef1</t>
        </is>
      </c>
      <c r="D604" t="inlineStr">
        <is>
          <t>111111124</t>
        </is>
      </c>
      <c r="E604" t="inlineStr">
        <is>
          <t>Vodacom Life 20260617</t>
        </is>
      </c>
      <c r="G604" t="inlineStr">
        <is>
          <t>LEHLOHONOLO</t>
        </is>
      </c>
      <c r="H604" t="inlineStr">
        <is>
          <t>PHOLOANE</t>
        </is>
      </c>
      <c r="J604" t="inlineStr">
        <is>
          <t>AE</t>
        </is>
      </c>
      <c r="K604" t="inlineStr">
        <is>
          <t>Auto Engaged</t>
        </is>
      </c>
      <c r="L604" t="n">
        <v>5</v>
      </c>
      <c r="M604" t="inlineStr">
        <is>
          <t>2026-06-29 12:52:02</t>
        </is>
      </c>
      <c r="N604" t="inlineStr">
        <is>
          <t>system</t>
        </is>
      </c>
      <c r="O604" t="inlineStr">
        <is>
          <t>2026-06-17 14:10:06</t>
        </is>
      </c>
      <c r="P604" t="inlineStr">
        <is>
          <t>2026-06-17 14:10:06</t>
        </is>
      </c>
      <c r="Y604" t="inlineStr">
        <is>
          <t>27828911857</t>
        </is>
      </c>
    </row>
    <row r="605">
      <c r="A605" t="inlineStr">
        <is>
          <t>14920820</t>
        </is>
      </c>
      <c r="B605" t="inlineStr">
        <is>
          <t>a225fddd-b9d3-4625-8222-b7adb6074748</t>
        </is>
      </c>
      <c r="D605" t="inlineStr">
        <is>
          <t>111111124</t>
        </is>
      </c>
      <c r="E605" t="inlineStr">
        <is>
          <t>Vodacom Life 20260617</t>
        </is>
      </c>
      <c r="G605" t="inlineStr">
        <is>
          <t>BUSISIWE</t>
        </is>
      </c>
      <c r="H605" t="inlineStr">
        <is>
          <t>NTSELE</t>
        </is>
      </c>
      <c r="J605" t="inlineStr">
        <is>
          <t>CU</t>
        </is>
      </c>
      <c r="K605" t="inlineStr">
        <is>
          <t>Client Hung Up</t>
        </is>
      </c>
      <c r="L605" t="n">
        <v>5</v>
      </c>
      <c r="M605" t="inlineStr">
        <is>
          <t>2026-06-29 12:52:02</t>
        </is>
      </c>
      <c r="N605" t="inlineStr">
        <is>
          <t>bongiwe lushaba</t>
        </is>
      </c>
      <c r="O605" t="inlineStr">
        <is>
          <t>2026-06-17 14:10:06</t>
        </is>
      </c>
      <c r="P605" t="inlineStr">
        <is>
          <t>2026-06-17 14:10:06</t>
        </is>
      </c>
      <c r="Y605" t="inlineStr">
        <is>
          <t>27636850578</t>
        </is>
      </c>
    </row>
    <row r="606">
      <c r="A606" t="inlineStr">
        <is>
          <t>14920877</t>
        </is>
      </c>
      <c r="B606" t="inlineStr">
        <is>
          <t>2f2d5e71-636a-4679-95dd-45380060ebab</t>
        </is>
      </c>
      <c r="D606" t="inlineStr">
        <is>
          <t>111111124</t>
        </is>
      </c>
      <c r="E606" t="inlineStr">
        <is>
          <t>Vodacom Life 20260617</t>
        </is>
      </c>
      <c r="G606" t="inlineStr">
        <is>
          <t>JACOBUS</t>
        </is>
      </c>
      <c r="H606" t="inlineStr">
        <is>
          <t>ENGELBRECHT</t>
        </is>
      </c>
      <c r="J606" t="inlineStr">
        <is>
          <t>AA</t>
        </is>
      </c>
      <c r="K606" t="inlineStr">
        <is>
          <t>Answering Machine Autodial</t>
        </is>
      </c>
      <c r="L606" t="n">
        <v>5</v>
      </c>
      <c r="M606" t="inlineStr">
        <is>
          <t>2026-06-29 12:52:02</t>
        </is>
      </c>
      <c r="N606" t="inlineStr">
        <is>
          <t>system</t>
        </is>
      </c>
      <c r="O606" t="inlineStr">
        <is>
          <t>2026-06-17 14:10:06</t>
        </is>
      </c>
      <c r="P606" t="inlineStr">
        <is>
          <t>2026-06-17 14:10:06</t>
        </is>
      </c>
      <c r="Y606" t="inlineStr">
        <is>
          <t>27791335982</t>
        </is>
      </c>
    </row>
    <row r="607">
      <c r="A607" t="inlineStr">
        <is>
          <t>14921919</t>
        </is>
      </c>
      <c r="B607" t="inlineStr">
        <is>
          <t>877d5a96-795c-4842-84a9-6ead833ad3f1</t>
        </is>
      </c>
      <c r="D607" t="inlineStr">
        <is>
          <t>111111124</t>
        </is>
      </c>
      <c r="E607" t="inlineStr">
        <is>
          <t>Vodacom Life 20260617</t>
        </is>
      </c>
      <c r="G607" t="inlineStr">
        <is>
          <t>EUNICE</t>
        </is>
      </c>
      <c r="H607" t="inlineStr">
        <is>
          <t>SEKHITLA</t>
        </is>
      </c>
      <c r="J607" t="inlineStr">
        <is>
          <t>IABDN</t>
        </is>
      </c>
      <c r="K607" t="inlineStr">
        <is>
          <t>Inbound Abandon</t>
        </is>
      </c>
      <c r="L607" t="n">
        <v>5</v>
      </c>
      <c r="M607" t="inlineStr">
        <is>
          <t>2026-06-29 12:51:58</t>
        </is>
      </c>
      <c r="N607" t="inlineStr">
        <is>
          <t>system</t>
        </is>
      </c>
      <c r="O607" t="inlineStr">
        <is>
          <t>2026-06-17 14:10:06</t>
        </is>
      </c>
      <c r="P607" t="inlineStr">
        <is>
          <t>2026-06-17 14:10:06</t>
        </is>
      </c>
      <c r="Y607" t="inlineStr">
        <is>
          <t>27799655745</t>
        </is>
      </c>
    </row>
    <row r="608">
      <c r="A608" t="inlineStr">
        <is>
          <t>14921405</t>
        </is>
      </c>
      <c r="B608" t="inlineStr">
        <is>
          <t>db95f036-7fa2-489f-ba5e-2a985820951e</t>
        </is>
      </c>
      <c r="D608" t="inlineStr">
        <is>
          <t>111111124</t>
        </is>
      </c>
      <c r="E608" t="inlineStr">
        <is>
          <t>Vodacom Life 20260617</t>
        </is>
      </c>
      <c r="G608" t="inlineStr">
        <is>
          <t>RORISANG</t>
        </is>
      </c>
      <c r="H608" t="inlineStr">
        <is>
          <t>MOGAPI</t>
        </is>
      </c>
      <c r="J608" t="inlineStr">
        <is>
          <t>AE</t>
        </is>
      </c>
      <c r="K608" t="inlineStr">
        <is>
          <t>Auto Engaged</t>
        </is>
      </c>
      <c r="L608" t="n">
        <v>5</v>
      </c>
      <c r="M608" t="inlineStr">
        <is>
          <t>2026-06-29 12:50:26</t>
        </is>
      </c>
      <c r="N608" t="inlineStr">
        <is>
          <t>system</t>
        </is>
      </c>
      <c r="O608" t="inlineStr">
        <is>
          <t>2026-06-17 14:10:06</t>
        </is>
      </c>
      <c r="P608" t="inlineStr">
        <is>
          <t>2026-06-17 14:10:06</t>
        </is>
      </c>
      <c r="Y608" t="inlineStr">
        <is>
          <t>27823269081</t>
        </is>
      </c>
    </row>
    <row r="609">
      <c r="A609" t="inlineStr">
        <is>
          <t>14900000</t>
        </is>
      </c>
      <c r="B609" t="inlineStr">
        <is>
          <t>3e755c16-d838-457c-9ad8-50fb09bb674f</t>
        </is>
      </c>
      <c r="D609" t="inlineStr">
        <is>
          <t>111111124</t>
        </is>
      </c>
      <c r="E609" t="inlineStr">
        <is>
          <t>Vodacom Life 20260617</t>
        </is>
      </c>
      <c r="G609" t="inlineStr">
        <is>
          <t>JAN-LOUIS</t>
        </is>
      </c>
      <c r="H609" t="inlineStr">
        <is>
          <t>BOTHA</t>
        </is>
      </c>
      <c r="J609" t="inlineStr">
        <is>
          <t>AA</t>
        </is>
      </c>
      <c r="K609" t="inlineStr">
        <is>
          <t>Answering Machine Autodial</t>
        </is>
      </c>
      <c r="L609" t="n">
        <v>5</v>
      </c>
      <c r="M609" t="inlineStr">
        <is>
          <t>2026-06-29 12:50:26</t>
        </is>
      </c>
      <c r="N609" t="inlineStr">
        <is>
          <t>system</t>
        </is>
      </c>
      <c r="O609" t="inlineStr">
        <is>
          <t>2026-06-17 14:10:06</t>
        </is>
      </c>
      <c r="P609" t="inlineStr">
        <is>
          <t>2026-06-17 14:10:06</t>
        </is>
      </c>
      <c r="Y609" t="inlineStr">
        <is>
          <t>27662551059</t>
        </is>
      </c>
    </row>
    <row r="610">
      <c r="A610" t="inlineStr">
        <is>
          <t>14921407</t>
        </is>
      </c>
      <c r="B610" t="inlineStr">
        <is>
          <t>f8330eb6-6eac-4bce-9285-7ad7e8e87445</t>
        </is>
      </c>
      <c r="D610" t="inlineStr">
        <is>
          <t>111111124</t>
        </is>
      </c>
      <c r="E610" t="inlineStr">
        <is>
          <t>Vodacom Life 20260617</t>
        </is>
      </c>
      <c r="G610" t="inlineStr">
        <is>
          <t>DAGMAR</t>
        </is>
      </c>
      <c r="H610" t="inlineStr">
        <is>
          <t>BERTOLETTI</t>
        </is>
      </c>
      <c r="J610" t="inlineStr">
        <is>
          <t>AE</t>
        </is>
      </c>
      <c r="K610" t="inlineStr">
        <is>
          <t>Auto Engaged</t>
        </is>
      </c>
      <c r="L610" t="n">
        <v>5</v>
      </c>
      <c r="M610" t="inlineStr">
        <is>
          <t>2026-06-29 12:50:26</t>
        </is>
      </c>
      <c r="N610" t="inlineStr">
        <is>
          <t>system</t>
        </is>
      </c>
      <c r="O610" t="inlineStr">
        <is>
          <t>2026-06-17 14:10:06</t>
        </is>
      </c>
      <c r="P610" t="inlineStr">
        <is>
          <t>2026-06-17 14:10:06</t>
        </is>
      </c>
      <c r="Y610" t="inlineStr">
        <is>
          <t>27844860232</t>
        </is>
      </c>
    </row>
    <row r="611">
      <c r="A611" t="inlineStr">
        <is>
          <t>14921408</t>
        </is>
      </c>
      <c r="B611" t="inlineStr">
        <is>
          <t>cd79f65e-3dcd-40a5-9ec9-ed22e397c1ef</t>
        </is>
      </c>
      <c r="D611" t="inlineStr">
        <is>
          <t>111111124</t>
        </is>
      </c>
      <c r="E611" t="inlineStr">
        <is>
          <t>Vodacom Life 20260617</t>
        </is>
      </c>
      <c r="G611" t="inlineStr">
        <is>
          <t>THABISO</t>
        </is>
      </c>
      <c r="H611" t="inlineStr">
        <is>
          <t>MONCHONYANE</t>
        </is>
      </c>
      <c r="J611" t="inlineStr">
        <is>
          <t>AE</t>
        </is>
      </c>
      <c r="K611" t="inlineStr">
        <is>
          <t>Auto Engaged</t>
        </is>
      </c>
      <c r="L611" t="n">
        <v>5</v>
      </c>
      <c r="M611" t="inlineStr">
        <is>
          <t>2026-06-29 12:50:26</t>
        </is>
      </c>
      <c r="N611" t="inlineStr">
        <is>
          <t>system</t>
        </is>
      </c>
      <c r="O611" t="inlineStr">
        <is>
          <t>2026-06-17 14:10:06</t>
        </is>
      </c>
      <c r="P611" t="inlineStr">
        <is>
          <t>2026-06-17 14:10:06</t>
        </is>
      </c>
      <c r="Y611" t="inlineStr">
        <is>
          <t>27712984596</t>
        </is>
      </c>
    </row>
    <row r="612">
      <c r="A612" t="inlineStr">
        <is>
          <t>14921381</t>
        </is>
      </c>
      <c r="B612" t="inlineStr">
        <is>
          <t>e27eb787-1b91-40b9-a939-158a22535ac5</t>
        </is>
      </c>
      <c r="D612" t="inlineStr">
        <is>
          <t>111111124</t>
        </is>
      </c>
      <c r="E612" t="inlineStr">
        <is>
          <t>Vodacom Life 20260617</t>
        </is>
      </c>
      <c r="G612" t="inlineStr">
        <is>
          <t>AZWIDOHWI</t>
        </is>
      </c>
      <c r="H612" t="inlineStr">
        <is>
          <t>MUNYAI</t>
        </is>
      </c>
      <c r="J612" t="inlineStr">
        <is>
          <t>AE</t>
        </is>
      </c>
      <c r="K612" t="inlineStr">
        <is>
          <t>Auto Engaged</t>
        </is>
      </c>
      <c r="L612" t="n">
        <v>5</v>
      </c>
      <c r="M612" t="inlineStr">
        <is>
          <t>2026-06-29 12:49:48</t>
        </is>
      </c>
      <c r="N612" t="inlineStr">
        <is>
          <t>system</t>
        </is>
      </c>
      <c r="O612" t="inlineStr">
        <is>
          <t>2026-06-17 14:10:06</t>
        </is>
      </c>
      <c r="P612" t="inlineStr">
        <is>
          <t>2026-06-17 14:10:06</t>
        </is>
      </c>
      <c r="Y612" t="inlineStr">
        <is>
          <t>27766439666</t>
        </is>
      </c>
    </row>
    <row r="613">
      <c r="A613" t="inlineStr">
        <is>
          <t>14921399</t>
        </is>
      </c>
      <c r="B613" t="inlineStr">
        <is>
          <t>480af878-d381-46f9-8809-51754c33fdff</t>
        </is>
      </c>
      <c r="D613" t="inlineStr">
        <is>
          <t>111111124</t>
        </is>
      </c>
      <c r="E613" t="inlineStr">
        <is>
          <t>Vodacom Life 20260617</t>
        </is>
      </c>
      <c r="G613" t="inlineStr">
        <is>
          <t>HERMAN</t>
        </is>
      </c>
      <c r="H613" t="inlineStr">
        <is>
          <t>MAUTLE</t>
        </is>
      </c>
      <c r="J613" t="inlineStr">
        <is>
          <t>AA</t>
        </is>
      </c>
      <c r="K613" t="inlineStr">
        <is>
          <t>Answering Machine Autodial</t>
        </is>
      </c>
      <c r="L613" t="n">
        <v>5</v>
      </c>
      <c r="M613" t="inlineStr">
        <is>
          <t>2026-06-29 12:49:48</t>
        </is>
      </c>
      <c r="N613" t="inlineStr">
        <is>
          <t>system</t>
        </is>
      </c>
      <c r="O613" t="inlineStr">
        <is>
          <t>2026-06-17 14:10:06</t>
        </is>
      </c>
      <c r="P613" t="inlineStr">
        <is>
          <t>2026-06-17 14:10:06</t>
        </is>
      </c>
      <c r="Y613" t="inlineStr">
        <is>
          <t>27825668563</t>
        </is>
      </c>
    </row>
    <row r="614">
      <c r="A614" t="inlineStr">
        <is>
          <t>14921401</t>
        </is>
      </c>
      <c r="B614" t="inlineStr">
        <is>
          <t>3043872c-7d53-4fa6-bfdb-dad13db020dc</t>
        </is>
      </c>
      <c r="D614" t="inlineStr">
        <is>
          <t>111111124</t>
        </is>
      </c>
      <c r="E614" t="inlineStr">
        <is>
          <t>Vodacom Life 20260617</t>
        </is>
      </c>
      <c r="G614" t="inlineStr">
        <is>
          <t>WAYNE</t>
        </is>
      </c>
      <c r="H614" t="inlineStr">
        <is>
          <t>MUNGER</t>
        </is>
      </c>
      <c r="J614" t="inlineStr">
        <is>
          <t>DROP</t>
        </is>
      </c>
      <c r="K614" t="inlineStr">
        <is>
          <t>Dropped</t>
        </is>
      </c>
      <c r="L614" t="n">
        <v>5</v>
      </c>
      <c r="M614" t="inlineStr">
        <is>
          <t>2026-06-29 12:49:48</t>
        </is>
      </c>
      <c r="N614" t="inlineStr">
        <is>
          <t>system</t>
        </is>
      </c>
      <c r="O614" t="inlineStr">
        <is>
          <t>2026-06-17 14:10:06</t>
        </is>
      </c>
      <c r="P614" t="inlineStr">
        <is>
          <t>2026-06-17 14:10:06</t>
        </is>
      </c>
      <c r="Y614" t="inlineStr">
        <is>
          <t>27825592853</t>
        </is>
      </c>
    </row>
    <row r="615">
      <c r="A615" t="inlineStr">
        <is>
          <t>14921403</t>
        </is>
      </c>
      <c r="B615" t="inlineStr">
        <is>
          <t>c4e30e44-4e0e-4d27-80f8-19ab7339fe07</t>
        </is>
      </c>
      <c r="D615" t="inlineStr">
        <is>
          <t>111111124</t>
        </is>
      </c>
      <c r="E615" t="inlineStr">
        <is>
          <t>Vodacom Life 20260617</t>
        </is>
      </c>
      <c r="G615" t="inlineStr">
        <is>
          <t>MONARE</t>
        </is>
      </c>
      <c r="H615" t="inlineStr">
        <is>
          <t>MALATJIE</t>
        </is>
      </c>
      <c r="J615" t="inlineStr">
        <is>
          <t>AA</t>
        </is>
      </c>
      <c r="K615" t="inlineStr">
        <is>
          <t>Answering Machine Autodial</t>
        </is>
      </c>
      <c r="L615" t="n">
        <v>5</v>
      </c>
      <c r="M615" t="inlineStr">
        <is>
          <t>2026-06-29 12:49:48</t>
        </is>
      </c>
      <c r="N615" t="inlineStr">
        <is>
          <t>system</t>
        </is>
      </c>
      <c r="O615" t="inlineStr">
        <is>
          <t>2026-06-17 14:10:06</t>
        </is>
      </c>
      <c r="P615" t="inlineStr">
        <is>
          <t>2026-06-17 14:10:06</t>
        </is>
      </c>
      <c r="Y615" t="inlineStr">
        <is>
          <t>27794511776</t>
        </is>
      </c>
    </row>
    <row r="616">
      <c r="A616" t="inlineStr">
        <is>
          <t>14920670</t>
        </is>
      </c>
      <c r="B616" t="inlineStr">
        <is>
          <t>11864eb3-a2ec-4f06-931d-14ffc49383a5</t>
        </is>
      </c>
      <c r="D616" t="inlineStr">
        <is>
          <t>111111124</t>
        </is>
      </c>
      <c r="E616" t="inlineStr">
        <is>
          <t>Vodacom Life 20260617</t>
        </is>
      </c>
      <c r="G616" t="inlineStr">
        <is>
          <t>PRINCESS</t>
        </is>
      </c>
      <c r="H616" t="inlineStr">
        <is>
          <t>SITHOLE</t>
        </is>
      </c>
      <c r="J616" t="inlineStr">
        <is>
          <t>CU</t>
        </is>
      </c>
      <c r="K616" t="inlineStr">
        <is>
          <t>Client Hung Up</t>
        </is>
      </c>
      <c r="L616" t="n">
        <v>5</v>
      </c>
      <c r="M616" t="inlineStr">
        <is>
          <t>2026-06-29 12:49:47</t>
        </is>
      </c>
      <c r="N616" t="inlineStr">
        <is>
          <t>Vanessa Kekana</t>
        </is>
      </c>
      <c r="O616" t="inlineStr">
        <is>
          <t>2026-06-17 14:10:06</t>
        </is>
      </c>
      <c r="P616" t="inlineStr">
        <is>
          <t>2026-06-17 14:10:06</t>
        </is>
      </c>
      <c r="Y616" t="inlineStr">
        <is>
          <t>27792120937</t>
        </is>
      </c>
    </row>
    <row r="617">
      <c r="A617" t="inlineStr">
        <is>
          <t>14920692</t>
        </is>
      </c>
      <c r="B617" t="inlineStr">
        <is>
          <t>34095cc5-db01-4cc9-9078-24e483069deb</t>
        </is>
      </c>
      <c r="D617" t="inlineStr">
        <is>
          <t>111111124</t>
        </is>
      </c>
      <c r="E617" t="inlineStr">
        <is>
          <t>Vodacom Life 20260617</t>
        </is>
      </c>
      <c r="G617" t="inlineStr">
        <is>
          <t>SABELO</t>
        </is>
      </c>
      <c r="H617" t="inlineStr">
        <is>
          <t>VIKWA</t>
        </is>
      </c>
      <c r="J617" t="inlineStr">
        <is>
          <t>CU</t>
        </is>
      </c>
      <c r="K617" t="inlineStr">
        <is>
          <t>Client Hung Up</t>
        </is>
      </c>
      <c r="L617" t="n">
        <v>5</v>
      </c>
      <c r="M617" t="inlineStr">
        <is>
          <t>2026-06-29 12:49:08</t>
        </is>
      </c>
      <c r="N617" t="inlineStr">
        <is>
          <t>Vanessa Kekana</t>
        </is>
      </c>
      <c r="O617" t="inlineStr">
        <is>
          <t>2026-06-17 14:10:06</t>
        </is>
      </c>
      <c r="P617" t="inlineStr">
        <is>
          <t>2026-06-17 14:10:06</t>
        </is>
      </c>
      <c r="Y617" t="inlineStr">
        <is>
          <t>27724952266</t>
        </is>
      </c>
    </row>
    <row r="618">
      <c r="A618" t="inlineStr">
        <is>
          <t>14920630</t>
        </is>
      </c>
      <c r="B618" t="inlineStr">
        <is>
          <t>8b448b99-a133-4cc4-a348-e524f86b27a8</t>
        </is>
      </c>
      <c r="D618" t="inlineStr">
        <is>
          <t>111111124</t>
        </is>
      </c>
      <c r="E618" t="inlineStr">
        <is>
          <t>Vodacom Life 20260617</t>
        </is>
      </c>
      <c r="G618" t="inlineStr">
        <is>
          <t>JACQUES</t>
        </is>
      </c>
      <c r="H618" t="inlineStr">
        <is>
          <t>DE BEER</t>
        </is>
      </c>
      <c r="J618" t="inlineStr">
        <is>
          <t>AE</t>
        </is>
      </c>
      <c r="K618" t="inlineStr">
        <is>
          <t>Auto Engaged</t>
        </is>
      </c>
      <c r="L618" t="n">
        <v>5</v>
      </c>
      <c r="M618" t="inlineStr">
        <is>
          <t>2026-06-29 12:49:08</t>
        </is>
      </c>
      <c r="N618" t="inlineStr">
        <is>
          <t>system</t>
        </is>
      </c>
      <c r="O618" t="inlineStr">
        <is>
          <t>2026-06-17 14:10:06</t>
        </is>
      </c>
      <c r="P618" t="inlineStr">
        <is>
          <t>2026-06-17 14:10:06</t>
        </is>
      </c>
      <c r="Y618" t="inlineStr">
        <is>
          <t>27713337407</t>
        </is>
      </c>
    </row>
    <row r="619">
      <c r="A619" t="inlineStr">
        <is>
          <t>14920631</t>
        </is>
      </c>
      <c r="B619" t="inlineStr">
        <is>
          <t>fac61182-a6ce-4e0d-b724-d81af7aa932c</t>
        </is>
      </c>
      <c r="D619" t="inlineStr">
        <is>
          <t>111111124</t>
        </is>
      </c>
      <c r="E619" t="inlineStr">
        <is>
          <t>Vodacom Life 20260617</t>
        </is>
      </c>
      <c r="G619" t="inlineStr">
        <is>
          <t>VUYOKAZI</t>
        </is>
      </c>
      <c r="H619" t="inlineStr">
        <is>
          <t>MBENGO-LUPONDFO</t>
        </is>
      </c>
      <c r="J619" t="inlineStr">
        <is>
          <t>NA</t>
        </is>
      </c>
      <c r="K619" t="inlineStr">
        <is>
          <t>No Answer Autodial</t>
        </is>
      </c>
      <c r="L619" t="n">
        <v>5</v>
      </c>
      <c r="M619" t="inlineStr">
        <is>
          <t>2026-06-29 12:49:08</t>
        </is>
      </c>
      <c r="N619" t="inlineStr">
        <is>
          <t>system</t>
        </is>
      </c>
      <c r="O619" t="inlineStr">
        <is>
          <t>2026-06-17 14:10:06</t>
        </is>
      </c>
      <c r="P619" t="inlineStr">
        <is>
          <t>2026-06-17 14:10:06</t>
        </is>
      </c>
      <c r="Y619" t="inlineStr">
        <is>
          <t>27787131196</t>
        </is>
      </c>
    </row>
    <row r="620">
      <c r="A620" t="inlineStr">
        <is>
          <t>14920632</t>
        </is>
      </c>
      <c r="B620" t="inlineStr">
        <is>
          <t>e1de3d3c-c7b8-4c78-ab1b-98904fb82b21</t>
        </is>
      </c>
      <c r="D620" t="inlineStr">
        <is>
          <t>111111124</t>
        </is>
      </c>
      <c r="E620" t="inlineStr">
        <is>
          <t>Vodacom Life 20260617</t>
        </is>
      </c>
      <c r="G620" t="inlineStr">
        <is>
          <t>MBALI</t>
        </is>
      </c>
      <c r="H620" t="inlineStr">
        <is>
          <t>NTHO</t>
        </is>
      </c>
      <c r="J620" t="inlineStr">
        <is>
          <t>AE</t>
        </is>
      </c>
      <c r="K620" t="inlineStr">
        <is>
          <t>Auto Engaged</t>
        </is>
      </c>
      <c r="L620" t="n">
        <v>5</v>
      </c>
      <c r="M620" t="inlineStr">
        <is>
          <t>2026-06-29 12:49:08</t>
        </is>
      </c>
      <c r="N620" t="inlineStr">
        <is>
          <t>system</t>
        </is>
      </c>
      <c r="O620" t="inlineStr">
        <is>
          <t>2026-06-17 14:10:06</t>
        </is>
      </c>
      <c r="P620" t="inlineStr">
        <is>
          <t>2026-06-17 14:10:06</t>
        </is>
      </c>
      <c r="Y620" t="inlineStr">
        <is>
          <t>27826531027</t>
        </is>
      </c>
    </row>
    <row r="621">
      <c r="A621" t="inlineStr">
        <is>
          <t>14920633</t>
        </is>
      </c>
      <c r="B621" t="inlineStr">
        <is>
          <t>414eee36-ddf9-45aa-83e4-ac89a01ce5db</t>
        </is>
      </c>
      <c r="D621" t="inlineStr">
        <is>
          <t>111111124</t>
        </is>
      </c>
      <c r="E621" t="inlineStr">
        <is>
          <t>Vodacom Life 20260617</t>
        </is>
      </c>
      <c r="G621" t="inlineStr">
        <is>
          <t>ALFRED</t>
        </is>
      </c>
      <c r="H621" t="inlineStr">
        <is>
          <t>BALOYI</t>
        </is>
      </c>
      <c r="J621" t="inlineStr">
        <is>
          <t>AA</t>
        </is>
      </c>
      <c r="K621" t="inlineStr">
        <is>
          <t>Answering Machine Autodial</t>
        </is>
      </c>
      <c r="L621" t="n">
        <v>5</v>
      </c>
      <c r="M621" t="inlineStr">
        <is>
          <t>2026-06-29 12:49:07</t>
        </is>
      </c>
      <c r="N621" t="inlineStr">
        <is>
          <t>system</t>
        </is>
      </c>
      <c r="O621" t="inlineStr">
        <is>
          <t>2026-06-17 14:10:06</t>
        </is>
      </c>
      <c r="P621" t="inlineStr">
        <is>
          <t>2026-06-17 14:10:06</t>
        </is>
      </c>
      <c r="Y621" t="inlineStr">
        <is>
          <t>27713505579</t>
        </is>
      </c>
    </row>
    <row r="622">
      <c r="A622" t="inlineStr">
        <is>
          <t>14920635</t>
        </is>
      </c>
      <c r="B622" t="inlineStr">
        <is>
          <t>72d62f0e-3056-496d-9394-86c5e5e98896</t>
        </is>
      </c>
      <c r="D622" t="inlineStr">
        <is>
          <t>111111124</t>
        </is>
      </c>
      <c r="E622" t="inlineStr">
        <is>
          <t>Vodacom Life 20260617</t>
        </is>
      </c>
      <c r="G622" t="inlineStr">
        <is>
          <t>MOKOENA</t>
        </is>
      </c>
      <c r="H622" t="inlineStr">
        <is>
          <t>MOGOTLANE</t>
        </is>
      </c>
      <c r="J622" t="inlineStr">
        <is>
          <t>AA</t>
        </is>
      </c>
      <c r="K622" t="inlineStr">
        <is>
          <t>Answering Machine Autodial</t>
        </is>
      </c>
      <c r="L622" t="n">
        <v>5</v>
      </c>
      <c r="M622" t="inlineStr">
        <is>
          <t>2026-06-29 12:49:07</t>
        </is>
      </c>
      <c r="N622" t="inlineStr">
        <is>
          <t>system</t>
        </is>
      </c>
      <c r="O622" t="inlineStr">
        <is>
          <t>2026-06-17 14:10:06</t>
        </is>
      </c>
      <c r="P622" t="inlineStr">
        <is>
          <t>2026-06-17 14:10:06</t>
        </is>
      </c>
      <c r="Y622" t="inlineStr">
        <is>
          <t>27769521365</t>
        </is>
      </c>
    </row>
    <row r="623">
      <c r="A623" t="inlineStr">
        <is>
          <t>14920664</t>
        </is>
      </c>
      <c r="B623" t="inlineStr">
        <is>
          <t>cd16ac64-3fc6-41f9-a4c4-73d2396dd98a</t>
        </is>
      </c>
      <c r="D623" t="inlineStr">
        <is>
          <t>111111124</t>
        </is>
      </c>
      <c r="E623" t="inlineStr">
        <is>
          <t>Vodacom Life 20260617</t>
        </is>
      </c>
      <c r="G623" t="inlineStr">
        <is>
          <t>NANDULI</t>
        </is>
      </c>
      <c r="H623" t="inlineStr">
        <is>
          <t>MAHLANGU</t>
        </is>
      </c>
      <c r="J623" t="inlineStr">
        <is>
          <t>DROP</t>
        </is>
      </c>
      <c r="K623" t="inlineStr">
        <is>
          <t>Dropped</t>
        </is>
      </c>
      <c r="L623" t="n">
        <v>5</v>
      </c>
      <c r="M623" t="inlineStr">
        <is>
          <t>2026-06-29 12:48:38</t>
        </is>
      </c>
      <c r="N623" t="inlineStr">
        <is>
          <t>system</t>
        </is>
      </c>
      <c r="O623" t="inlineStr">
        <is>
          <t>2026-06-17 14:10:06</t>
        </is>
      </c>
      <c r="P623" t="inlineStr">
        <is>
          <t>2026-06-17 14:10:06</t>
        </is>
      </c>
      <c r="Y623" t="inlineStr">
        <is>
          <t>27646276433</t>
        </is>
      </c>
    </row>
    <row r="624">
      <c r="A624" t="inlineStr">
        <is>
          <t>14920665</t>
        </is>
      </c>
      <c r="B624" t="inlineStr">
        <is>
          <t>88373537-0eac-4e40-8abd-20fa4171c52d</t>
        </is>
      </c>
      <c r="D624" t="inlineStr">
        <is>
          <t>111111124</t>
        </is>
      </c>
      <c r="E624" t="inlineStr">
        <is>
          <t>Vodacom Life 20260617</t>
        </is>
      </c>
      <c r="G624" t="inlineStr">
        <is>
          <t>WILLIAM</t>
        </is>
      </c>
      <c r="H624" t="inlineStr">
        <is>
          <t>MITCHELL</t>
        </is>
      </c>
      <c r="J624" t="inlineStr">
        <is>
          <t>AA</t>
        </is>
      </c>
      <c r="K624" t="inlineStr">
        <is>
          <t>Answering Machine Autodial</t>
        </is>
      </c>
      <c r="L624" t="n">
        <v>5</v>
      </c>
      <c r="M624" t="inlineStr">
        <is>
          <t>2026-06-29 12:48:37</t>
        </is>
      </c>
      <c r="N624" t="inlineStr">
        <is>
          <t>system</t>
        </is>
      </c>
      <c r="O624" t="inlineStr">
        <is>
          <t>2026-06-17 14:10:06</t>
        </is>
      </c>
      <c r="P624" t="inlineStr">
        <is>
          <t>2026-06-17 14:10:06</t>
        </is>
      </c>
      <c r="Y624" t="inlineStr">
        <is>
          <t>27726786633</t>
        </is>
      </c>
    </row>
    <row r="625">
      <c r="A625" t="inlineStr">
        <is>
          <t>14920814</t>
        </is>
      </c>
      <c r="B625" t="inlineStr">
        <is>
          <t>4b98019e-5a60-4a07-8f87-9990cec45d20</t>
        </is>
      </c>
      <c r="D625" t="inlineStr">
        <is>
          <t>111111124</t>
        </is>
      </c>
      <c r="E625" t="inlineStr">
        <is>
          <t>Vodacom Life 20260617</t>
        </is>
      </c>
      <c r="G625" t="inlineStr">
        <is>
          <t>OUPA</t>
        </is>
      </c>
      <c r="H625" t="inlineStr">
        <is>
          <t>NKWANE</t>
        </is>
      </c>
      <c r="J625" t="inlineStr">
        <is>
          <t>DROP</t>
        </is>
      </c>
      <c r="K625" t="inlineStr">
        <is>
          <t>Dropped</t>
        </is>
      </c>
      <c r="L625" t="n">
        <v>5</v>
      </c>
      <c r="M625" t="inlineStr">
        <is>
          <t>2026-06-29 12:48:37</t>
        </is>
      </c>
      <c r="N625" t="inlineStr">
        <is>
          <t>system</t>
        </is>
      </c>
      <c r="O625" t="inlineStr">
        <is>
          <t>2026-06-17 14:10:06</t>
        </is>
      </c>
      <c r="P625" t="inlineStr">
        <is>
          <t>2026-06-17 14:10:06</t>
        </is>
      </c>
      <c r="Y625" t="inlineStr">
        <is>
          <t>27766394755</t>
        </is>
      </c>
    </row>
    <row r="626">
      <c r="A626" t="inlineStr">
        <is>
          <t>14920666</t>
        </is>
      </c>
      <c r="B626" t="inlineStr">
        <is>
          <t>45d7c139-0968-4b1c-9f13-5eb5cb0949ee</t>
        </is>
      </c>
      <c r="D626" t="inlineStr">
        <is>
          <t>111111124</t>
        </is>
      </c>
      <c r="E626" t="inlineStr">
        <is>
          <t>Vodacom Life 20260617</t>
        </is>
      </c>
      <c r="G626" t="inlineStr">
        <is>
          <t>LETHABO</t>
        </is>
      </c>
      <c r="H626" t="inlineStr">
        <is>
          <t>KENAME</t>
        </is>
      </c>
      <c r="J626" t="inlineStr">
        <is>
          <t>AC</t>
        </is>
      </c>
      <c r="K626" t="inlineStr">
        <is>
          <t>Already Contacted</t>
        </is>
      </c>
      <c r="L626" t="n">
        <v>5</v>
      </c>
      <c r="M626" t="inlineStr">
        <is>
          <t>2026-06-29 12:48:34</t>
        </is>
      </c>
      <c r="N626" t="inlineStr">
        <is>
          <t>Maureen Ntsoko</t>
        </is>
      </c>
      <c r="O626" t="inlineStr">
        <is>
          <t>2026-06-17 14:10:06</t>
        </is>
      </c>
      <c r="P626" t="inlineStr">
        <is>
          <t>2026-06-17 14:10:06</t>
        </is>
      </c>
      <c r="Y626" t="inlineStr">
        <is>
          <t>27714139361</t>
        </is>
      </c>
    </row>
    <row r="627">
      <c r="A627" t="inlineStr">
        <is>
          <t>14920667</t>
        </is>
      </c>
      <c r="B627" t="inlineStr">
        <is>
          <t>6f20f598-0dd5-4bac-880e-0a4c28d969cd</t>
        </is>
      </c>
      <c r="D627" t="inlineStr">
        <is>
          <t>111111124</t>
        </is>
      </c>
      <c r="E627" t="inlineStr">
        <is>
          <t>Vodacom Life 20260617</t>
        </is>
      </c>
      <c r="G627" t="inlineStr">
        <is>
          <t>PETER</t>
        </is>
      </c>
      <c r="H627" t="inlineStr">
        <is>
          <t>PAYNE</t>
        </is>
      </c>
      <c r="J627" t="inlineStr">
        <is>
          <t>AE</t>
        </is>
      </c>
      <c r="K627" t="inlineStr">
        <is>
          <t>Auto Engaged</t>
        </is>
      </c>
      <c r="L627" t="n">
        <v>5</v>
      </c>
      <c r="M627" t="inlineStr">
        <is>
          <t>2026-06-29 12:48:34</t>
        </is>
      </c>
      <c r="N627" t="inlineStr">
        <is>
          <t>system</t>
        </is>
      </c>
      <c r="O627" t="inlineStr">
        <is>
          <t>2026-06-17 14:10:06</t>
        </is>
      </c>
      <c r="P627" t="inlineStr">
        <is>
          <t>2026-06-17 14:10:06</t>
        </is>
      </c>
      <c r="Y627" t="inlineStr">
        <is>
          <t>27823260371</t>
        </is>
      </c>
    </row>
    <row r="628">
      <c r="A628" t="inlineStr">
        <is>
          <t>14920668</t>
        </is>
      </c>
      <c r="B628" t="inlineStr">
        <is>
          <t>926e5ef8-c365-4827-9c59-4b7ff2b581f6</t>
        </is>
      </c>
      <c r="D628" t="inlineStr">
        <is>
          <t>111111124</t>
        </is>
      </c>
      <c r="E628" t="inlineStr">
        <is>
          <t>Vodacom Life 20260617</t>
        </is>
      </c>
      <c r="G628" t="inlineStr">
        <is>
          <t>SHANE</t>
        </is>
      </c>
      <c r="H628" t="inlineStr">
        <is>
          <t>FRANS</t>
        </is>
      </c>
      <c r="J628" t="inlineStr">
        <is>
          <t>ADC</t>
        </is>
      </c>
      <c r="K628" t="inlineStr">
        <is>
          <t>Auto Dial Disconnected</t>
        </is>
      </c>
      <c r="L628" t="n">
        <v>5</v>
      </c>
      <c r="M628" t="inlineStr">
        <is>
          <t>2026-06-29 12:48:34</t>
        </is>
      </c>
      <c r="N628" t="inlineStr">
        <is>
          <t>system</t>
        </is>
      </c>
      <c r="O628" t="inlineStr">
        <is>
          <t>2026-06-17 14:10:06</t>
        </is>
      </c>
      <c r="P628" t="inlineStr">
        <is>
          <t>2026-06-17 14:10:06</t>
        </is>
      </c>
      <c r="Y628" t="inlineStr">
        <is>
          <t>27728472540</t>
        </is>
      </c>
    </row>
    <row r="629">
      <c r="A629" t="inlineStr">
        <is>
          <t>14900000</t>
        </is>
      </c>
      <c r="B629" t="inlineStr">
        <is>
          <t>0e2228ad-9aeb-48ce-90fc-ee2114960236</t>
        </is>
      </c>
      <c r="D629" t="inlineStr">
        <is>
          <t>111111124</t>
        </is>
      </c>
      <c r="E629" t="inlineStr">
        <is>
          <t>Vodacom Life 20260617</t>
        </is>
      </c>
      <c r="G629" t="inlineStr">
        <is>
          <t>CHRISTINE</t>
        </is>
      </c>
      <c r="H629" t="inlineStr">
        <is>
          <t>RASMUSSEN</t>
        </is>
      </c>
      <c r="J629" t="inlineStr">
        <is>
          <t>AA</t>
        </is>
      </c>
      <c r="K629" t="inlineStr">
        <is>
          <t>Answering Machine Autodial</t>
        </is>
      </c>
      <c r="L629" t="n">
        <v>5</v>
      </c>
      <c r="M629" t="inlineStr">
        <is>
          <t>2026-06-29 12:48:13</t>
        </is>
      </c>
      <c r="N629" t="inlineStr">
        <is>
          <t>system</t>
        </is>
      </c>
      <c r="O629" t="inlineStr">
        <is>
          <t>2026-06-17 14:10:06</t>
        </is>
      </c>
      <c r="P629" t="inlineStr">
        <is>
          <t>2026-06-17 14:10:06</t>
        </is>
      </c>
      <c r="Y629" t="inlineStr">
        <is>
          <t>27813804254</t>
        </is>
      </c>
    </row>
    <row r="630">
      <c r="A630" t="inlineStr">
        <is>
          <t>14920815</t>
        </is>
      </c>
      <c r="B630" t="inlineStr">
        <is>
          <t>67bf5061-130b-4d3e-8958-81d151f4cb86</t>
        </is>
      </c>
      <c r="D630" t="inlineStr">
        <is>
          <t>111111124</t>
        </is>
      </c>
      <c r="E630" t="inlineStr">
        <is>
          <t>Vodacom Life 20260617</t>
        </is>
      </c>
      <c r="G630" t="inlineStr">
        <is>
          <t>DINAH</t>
        </is>
      </c>
      <c r="H630" t="inlineStr">
        <is>
          <t>MONTSHO</t>
        </is>
      </c>
      <c r="J630" t="inlineStr">
        <is>
          <t>IABDN</t>
        </is>
      </c>
      <c r="K630" t="inlineStr">
        <is>
          <t>Inbound Abandon</t>
        </is>
      </c>
      <c r="L630" t="n">
        <v>5</v>
      </c>
      <c r="M630" t="inlineStr">
        <is>
          <t>2026-06-29 12:48:13</t>
        </is>
      </c>
      <c r="N630" t="inlineStr">
        <is>
          <t>system</t>
        </is>
      </c>
      <c r="O630" t="inlineStr">
        <is>
          <t>2026-06-17 14:10:06</t>
        </is>
      </c>
      <c r="P630" t="inlineStr">
        <is>
          <t>2026-06-17 14:10:06</t>
        </is>
      </c>
      <c r="Y630" t="inlineStr">
        <is>
          <t>27825631091</t>
        </is>
      </c>
    </row>
    <row r="631">
      <c r="A631" t="inlineStr">
        <is>
          <t>14920818</t>
        </is>
      </c>
      <c r="B631" t="inlineStr">
        <is>
          <t>b07b3dcc-d1e3-4dc8-bf95-c1474c4a2a81</t>
        </is>
      </c>
      <c r="D631" t="inlineStr">
        <is>
          <t>111111124</t>
        </is>
      </c>
      <c r="E631" t="inlineStr">
        <is>
          <t>Vodacom Life 20260617</t>
        </is>
      </c>
      <c r="G631" t="inlineStr">
        <is>
          <t>NOKUKHANYA</t>
        </is>
      </c>
      <c r="H631" t="inlineStr">
        <is>
          <t>STANDER</t>
        </is>
      </c>
      <c r="J631" t="inlineStr">
        <is>
          <t>AA</t>
        </is>
      </c>
      <c r="K631" t="inlineStr">
        <is>
          <t>Answering Machine Autodial</t>
        </is>
      </c>
      <c r="L631" t="n">
        <v>5</v>
      </c>
      <c r="M631" t="inlineStr">
        <is>
          <t>2026-06-29 12:48:09</t>
        </is>
      </c>
      <c r="N631" t="inlineStr">
        <is>
          <t>system</t>
        </is>
      </c>
      <c r="O631" t="inlineStr">
        <is>
          <t>2026-06-17 14:10:06</t>
        </is>
      </c>
      <c r="P631" t="inlineStr">
        <is>
          <t>2026-06-17 14:10:06</t>
        </is>
      </c>
      <c r="Y631" t="inlineStr">
        <is>
          <t>27711715720</t>
        </is>
      </c>
    </row>
    <row r="632">
      <c r="A632" t="inlineStr">
        <is>
          <t>14920691</t>
        </is>
      </c>
      <c r="B632" t="inlineStr">
        <is>
          <t>157e6acd-7c14-4aeb-9eb7-d16f8cfedfc0</t>
        </is>
      </c>
      <c r="D632" t="inlineStr">
        <is>
          <t>111111124</t>
        </is>
      </c>
      <c r="E632" t="inlineStr">
        <is>
          <t>Vodacom Life 20260617</t>
        </is>
      </c>
      <c r="G632" t="inlineStr">
        <is>
          <t>JOHAN</t>
        </is>
      </c>
      <c r="H632" t="inlineStr">
        <is>
          <t>DEMPSEY</t>
        </is>
      </c>
      <c r="J632" t="inlineStr">
        <is>
          <t>AE</t>
        </is>
      </c>
      <c r="K632" t="inlineStr">
        <is>
          <t>Auto Engaged</t>
        </is>
      </c>
      <c r="L632" t="n">
        <v>5</v>
      </c>
      <c r="M632" t="inlineStr">
        <is>
          <t>2026-06-29 12:48:08</t>
        </is>
      </c>
      <c r="N632" t="inlineStr">
        <is>
          <t>system</t>
        </is>
      </c>
      <c r="O632" t="inlineStr">
        <is>
          <t>2026-06-17 14:10:06</t>
        </is>
      </c>
      <c r="P632" t="inlineStr">
        <is>
          <t>2026-06-17 14:10:06</t>
        </is>
      </c>
      <c r="Y632" t="inlineStr">
        <is>
          <t>27823819057</t>
        </is>
      </c>
    </row>
    <row r="633">
      <c r="A633" t="inlineStr">
        <is>
          <t>14920693</t>
        </is>
      </c>
      <c r="B633" t="inlineStr">
        <is>
          <t>1bf821c6-ab4e-4565-b4d4-6375bc350a80</t>
        </is>
      </c>
      <c r="D633" t="inlineStr">
        <is>
          <t>111111124</t>
        </is>
      </c>
      <c r="E633" t="inlineStr">
        <is>
          <t>Vodacom Life 20260617</t>
        </is>
      </c>
      <c r="G633" t="inlineStr">
        <is>
          <t>ANDRIES</t>
        </is>
      </c>
      <c r="H633" t="inlineStr">
        <is>
          <t>DU PLESSIS</t>
        </is>
      </c>
      <c r="J633" t="inlineStr">
        <is>
          <t>AE</t>
        </is>
      </c>
      <c r="K633" t="inlineStr">
        <is>
          <t>Auto Engaged</t>
        </is>
      </c>
      <c r="L633" t="n">
        <v>5</v>
      </c>
      <c r="M633" t="inlineStr">
        <is>
          <t>2026-06-29 12:48:02</t>
        </is>
      </c>
      <c r="N633" t="inlineStr">
        <is>
          <t>system</t>
        </is>
      </c>
      <c r="O633" t="inlineStr">
        <is>
          <t>2026-06-17 14:10:06</t>
        </is>
      </c>
      <c r="P633" t="inlineStr">
        <is>
          <t>2026-06-17 14:10:06</t>
        </is>
      </c>
      <c r="Y633" t="inlineStr">
        <is>
          <t>27825552558</t>
        </is>
      </c>
    </row>
    <row r="634">
      <c r="A634" t="inlineStr">
        <is>
          <t>14920694</t>
        </is>
      </c>
      <c r="B634" t="inlineStr">
        <is>
          <t>5b857cff-0e53-47fe-92c6-e780747ce617</t>
        </is>
      </c>
      <c r="D634" t="inlineStr">
        <is>
          <t>111111124</t>
        </is>
      </c>
      <c r="E634" t="inlineStr">
        <is>
          <t>Vodacom Life 20260617</t>
        </is>
      </c>
      <c r="G634" t="inlineStr">
        <is>
          <t>BILLY</t>
        </is>
      </c>
      <c r="H634" t="inlineStr">
        <is>
          <t>CELE</t>
        </is>
      </c>
      <c r="J634" t="inlineStr">
        <is>
          <t>AE</t>
        </is>
      </c>
      <c r="K634" t="inlineStr">
        <is>
          <t>Auto Engaged</t>
        </is>
      </c>
      <c r="L634" t="n">
        <v>5</v>
      </c>
      <c r="M634" t="inlineStr">
        <is>
          <t>2026-06-29 12:48:02</t>
        </is>
      </c>
      <c r="N634" t="inlineStr">
        <is>
          <t>system</t>
        </is>
      </c>
      <c r="O634" t="inlineStr">
        <is>
          <t>2026-06-17 14:10:06</t>
        </is>
      </c>
      <c r="P634" t="inlineStr">
        <is>
          <t>2026-06-17 14:10:06</t>
        </is>
      </c>
      <c r="Y634" t="inlineStr">
        <is>
          <t>27823453567</t>
        </is>
      </c>
    </row>
    <row r="635">
      <c r="A635" t="inlineStr">
        <is>
          <t>14920697</t>
        </is>
      </c>
      <c r="B635" t="inlineStr">
        <is>
          <t>69122364-c4a0-47d0-92c9-b2747f5324d0</t>
        </is>
      </c>
      <c r="D635" t="inlineStr">
        <is>
          <t>111111124</t>
        </is>
      </c>
      <c r="E635" t="inlineStr">
        <is>
          <t>Vodacom Life 20260617</t>
        </is>
      </c>
      <c r="G635" t="inlineStr">
        <is>
          <t>VIOLET</t>
        </is>
      </c>
      <c r="H635" t="inlineStr">
        <is>
          <t>LEGOABE</t>
        </is>
      </c>
      <c r="J635" t="inlineStr">
        <is>
          <t>AA</t>
        </is>
      </c>
      <c r="K635" t="inlineStr">
        <is>
          <t>Answering Machine Autodial</t>
        </is>
      </c>
      <c r="L635" t="n">
        <v>5</v>
      </c>
      <c r="M635" t="inlineStr">
        <is>
          <t>2026-06-29 12:47:39</t>
        </is>
      </c>
      <c r="N635" t="inlineStr">
        <is>
          <t>system</t>
        </is>
      </c>
      <c r="O635" t="inlineStr">
        <is>
          <t>2026-06-17 14:10:06</t>
        </is>
      </c>
      <c r="P635" t="inlineStr">
        <is>
          <t>2026-06-17 14:10:06</t>
        </is>
      </c>
      <c r="Y635" t="inlineStr">
        <is>
          <t>27723132414</t>
        </is>
      </c>
    </row>
    <row r="636">
      <c r="A636" t="inlineStr">
        <is>
          <t>14920819</t>
        </is>
      </c>
      <c r="B636" t="inlineStr">
        <is>
          <t>ed3a7b13-78ec-416a-9be0-90229a19e274</t>
        </is>
      </c>
      <c r="D636" t="inlineStr">
        <is>
          <t>111111124</t>
        </is>
      </c>
      <c r="E636" t="inlineStr">
        <is>
          <t>Vodacom Life 20260617</t>
        </is>
      </c>
      <c r="G636" t="inlineStr">
        <is>
          <t>LINDIWE</t>
        </is>
      </c>
      <c r="H636" t="inlineStr">
        <is>
          <t>ZUMA</t>
        </is>
      </c>
      <c r="J636" t="inlineStr">
        <is>
          <t>AA</t>
        </is>
      </c>
      <c r="K636" t="inlineStr">
        <is>
          <t>Answering Machine Autodial</t>
        </is>
      </c>
      <c r="L636" t="n">
        <v>5</v>
      </c>
      <c r="M636" t="inlineStr">
        <is>
          <t>2026-06-29 12:47:39</t>
        </is>
      </c>
      <c r="N636" t="inlineStr">
        <is>
          <t>system</t>
        </is>
      </c>
      <c r="O636" t="inlineStr">
        <is>
          <t>2026-06-17 14:10:06</t>
        </is>
      </c>
      <c r="P636" t="inlineStr">
        <is>
          <t>2026-06-17 14:10:06</t>
        </is>
      </c>
      <c r="Y636" t="inlineStr">
        <is>
          <t>27609505054</t>
        </is>
      </c>
    </row>
    <row r="637">
      <c r="A637" t="inlineStr">
        <is>
          <t>14920636</t>
        </is>
      </c>
      <c r="B637" t="inlineStr">
        <is>
          <t>53d759ba-3d86-4476-ba1f-b90d3f3958e9</t>
        </is>
      </c>
      <c r="D637" t="inlineStr">
        <is>
          <t>111111124</t>
        </is>
      </c>
      <c r="E637" t="inlineStr">
        <is>
          <t>Vodacom Life 20260617</t>
        </is>
      </c>
      <c r="G637" t="inlineStr">
        <is>
          <t>RAJENDRAN</t>
        </is>
      </c>
      <c r="H637" t="inlineStr">
        <is>
          <t>NAICKER</t>
        </is>
      </c>
      <c r="J637" t="inlineStr">
        <is>
          <t>DROP</t>
        </is>
      </c>
      <c r="K637" t="inlineStr">
        <is>
          <t>Dropped</t>
        </is>
      </c>
      <c r="L637" t="n">
        <v>5</v>
      </c>
      <c r="M637" t="inlineStr">
        <is>
          <t>2026-06-29 12:47:11</t>
        </is>
      </c>
      <c r="N637" t="inlineStr">
        <is>
          <t>system</t>
        </is>
      </c>
      <c r="O637" t="inlineStr">
        <is>
          <t>2026-06-17 14:10:06</t>
        </is>
      </c>
      <c r="P637" t="inlineStr">
        <is>
          <t>2026-06-17 14:10:06</t>
        </is>
      </c>
      <c r="Y637" t="inlineStr">
        <is>
          <t>27828516161</t>
        </is>
      </c>
    </row>
    <row r="638">
      <c r="A638" t="inlineStr">
        <is>
          <t>14920637</t>
        </is>
      </c>
      <c r="B638" t="inlineStr">
        <is>
          <t>115fcd51-3d8a-4062-8954-5b2843a265f8</t>
        </is>
      </c>
      <c r="D638" t="inlineStr">
        <is>
          <t>111111124</t>
        </is>
      </c>
      <c r="E638" t="inlineStr">
        <is>
          <t>Vodacom Life 20260617</t>
        </is>
      </c>
      <c r="G638" t="inlineStr">
        <is>
          <t>MARLENE</t>
        </is>
      </c>
      <c r="H638" t="inlineStr">
        <is>
          <t>GOVENDER</t>
        </is>
      </c>
      <c r="J638" t="inlineStr">
        <is>
          <t>NA</t>
        </is>
      </c>
      <c r="K638" t="inlineStr">
        <is>
          <t>No Answer Autodial</t>
        </is>
      </c>
      <c r="L638" t="n">
        <v>5</v>
      </c>
      <c r="M638" t="inlineStr">
        <is>
          <t>2026-06-29 12:46:52</t>
        </is>
      </c>
      <c r="N638" t="inlineStr">
        <is>
          <t>system</t>
        </is>
      </c>
      <c r="O638" t="inlineStr">
        <is>
          <t>2026-06-17 14:10:06</t>
        </is>
      </c>
      <c r="P638" t="inlineStr">
        <is>
          <t>2026-06-17 14:10:06</t>
        </is>
      </c>
      <c r="Y638" t="inlineStr">
        <is>
          <t>27646503003</t>
        </is>
      </c>
    </row>
    <row r="639">
      <c r="A639" t="inlineStr">
        <is>
          <t>14920639</t>
        </is>
      </c>
      <c r="B639" t="inlineStr">
        <is>
          <t>09a7c218-9e44-4fd8-bec5-e6c57567707a</t>
        </is>
      </c>
      <c r="D639" t="inlineStr">
        <is>
          <t>111111124</t>
        </is>
      </c>
      <c r="E639" t="inlineStr">
        <is>
          <t>Vodacom Life 20260617</t>
        </is>
      </c>
      <c r="G639" t="inlineStr">
        <is>
          <t>SANELISIWE</t>
        </is>
      </c>
      <c r="H639" t="inlineStr">
        <is>
          <t>ZANGWA</t>
        </is>
      </c>
      <c r="J639" t="inlineStr">
        <is>
          <t>DROP</t>
        </is>
      </c>
      <c r="K639" t="inlineStr">
        <is>
          <t>Dropped</t>
        </is>
      </c>
      <c r="L639" t="n">
        <v>5</v>
      </c>
      <c r="M639" t="inlineStr">
        <is>
          <t>2026-06-29 12:46:52</t>
        </is>
      </c>
      <c r="N639" t="inlineStr">
        <is>
          <t>system</t>
        </is>
      </c>
      <c r="O639" t="inlineStr">
        <is>
          <t>2026-06-17 14:10:06</t>
        </is>
      </c>
      <c r="P639" t="inlineStr">
        <is>
          <t>2026-06-17 14:10:06</t>
        </is>
      </c>
      <c r="Y639" t="inlineStr">
        <is>
          <t>27714351078</t>
        </is>
      </c>
    </row>
    <row r="640">
      <c r="A640" t="inlineStr">
        <is>
          <t>14920739</t>
        </is>
      </c>
      <c r="B640" t="inlineStr">
        <is>
          <t>0a25bb45-9e01-4707-bfdb-679da56d4202</t>
        </is>
      </c>
      <c r="D640" t="inlineStr">
        <is>
          <t>111111124</t>
        </is>
      </c>
      <c r="E640" t="inlineStr">
        <is>
          <t>Vodacom Life 20260617</t>
        </is>
      </c>
      <c r="G640" t="inlineStr">
        <is>
          <t>GERT</t>
        </is>
      </c>
      <c r="H640" t="inlineStr">
        <is>
          <t>HENNING</t>
        </is>
      </c>
      <c r="J640" t="inlineStr">
        <is>
          <t>TDN</t>
        </is>
      </c>
      <c r="K640" t="inlineStr">
        <is>
          <t>Temporary Disconnected Number</t>
        </is>
      </c>
      <c r="L640" t="n">
        <v>5</v>
      </c>
      <c r="M640" t="inlineStr">
        <is>
          <t>2026-06-29 12:46:50</t>
        </is>
      </c>
      <c r="N640" t="inlineStr">
        <is>
          <t>system</t>
        </is>
      </c>
      <c r="O640" t="inlineStr">
        <is>
          <t>2026-06-17 14:10:06</t>
        </is>
      </c>
      <c r="P640" t="inlineStr">
        <is>
          <t>2026-06-17 14:10:06</t>
        </is>
      </c>
      <c r="Y640" t="inlineStr">
        <is>
          <t>27823747244</t>
        </is>
      </c>
    </row>
    <row r="641">
      <c r="A641" t="inlineStr">
        <is>
          <t>14920640</t>
        </is>
      </c>
      <c r="B641" t="inlineStr">
        <is>
          <t>43961a1f-436e-4198-aea3-4d090fc952ec</t>
        </is>
      </c>
      <c r="D641" t="inlineStr">
        <is>
          <t>111111124</t>
        </is>
      </c>
      <c r="E641" t="inlineStr">
        <is>
          <t>Vodacom Life 20260617</t>
        </is>
      </c>
      <c r="G641" t="inlineStr">
        <is>
          <t>LINAH</t>
        </is>
      </c>
      <c r="H641" t="inlineStr">
        <is>
          <t>MADONSELA</t>
        </is>
      </c>
      <c r="J641" t="inlineStr">
        <is>
          <t>DROP</t>
        </is>
      </c>
      <c r="K641" t="inlineStr">
        <is>
          <t>Dropped</t>
        </is>
      </c>
      <c r="L641" t="n">
        <v>5</v>
      </c>
      <c r="M641" t="inlineStr">
        <is>
          <t>2026-06-29 12:46:48</t>
        </is>
      </c>
      <c r="N641" t="inlineStr">
        <is>
          <t>system</t>
        </is>
      </c>
      <c r="O641" t="inlineStr">
        <is>
          <t>2026-06-17 14:10:06</t>
        </is>
      </c>
      <c r="P641" t="inlineStr">
        <is>
          <t>2026-06-17 14:10:06</t>
        </is>
      </c>
      <c r="Y641" t="inlineStr">
        <is>
          <t>27822093418</t>
        </is>
      </c>
    </row>
    <row r="642">
      <c r="A642" t="inlineStr">
        <is>
          <t>14920642</t>
        </is>
      </c>
      <c r="B642" t="inlineStr">
        <is>
          <t>69be84f2-5caa-4090-a25e-f211915166a6</t>
        </is>
      </c>
      <c r="D642" t="inlineStr">
        <is>
          <t>111111124</t>
        </is>
      </c>
      <c r="E642" t="inlineStr">
        <is>
          <t>Vodacom Life 20260617</t>
        </is>
      </c>
      <c r="G642" t="inlineStr">
        <is>
          <t>BENEDICTA</t>
        </is>
      </c>
      <c r="H642" t="inlineStr">
        <is>
          <t>TSHWANE</t>
        </is>
      </c>
      <c r="J642" t="inlineStr">
        <is>
          <t>AE</t>
        </is>
      </c>
      <c r="K642" t="inlineStr">
        <is>
          <t>Auto Engaged</t>
        </is>
      </c>
      <c r="L642" t="n">
        <v>5</v>
      </c>
      <c r="M642" t="inlineStr">
        <is>
          <t>2026-06-29 12:46:44</t>
        </is>
      </c>
      <c r="N642" t="inlineStr">
        <is>
          <t>system</t>
        </is>
      </c>
      <c r="O642" t="inlineStr">
        <is>
          <t>2026-06-17 14:10:06</t>
        </is>
      </c>
      <c r="P642" t="inlineStr">
        <is>
          <t>2026-06-17 14:10:06</t>
        </is>
      </c>
      <c r="Y642" t="inlineStr">
        <is>
          <t>27720984145</t>
        </is>
      </c>
    </row>
    <row r="643">
      <c r="A643" t="inlineStr">
        <is>
          <t>14920643</t>
        </is>
      </c>
      <c r="B643" t="inlineStr">
        <is>
          <t>13d7872a-173a-46d9-a7c1-da2c68b6d450</t>
        </is>
      </c>
      <c r="D643" t="inlineStr">
        <is>
          <t>111111124</t>
        </is>
      </c>
      <c r="E643" t="inlineStr">
        <is>
          <t>Vodacom Life 20260617</t>
        </is>
      </c>
      <c r="G643" t="inlineStr">
        <is>
          <t>REFILOE</t>
        </is>
      </c>
      <c r="H643" t="inlineStr">
        <is>
          <t>THUBAKGALE</t>
        </is>
      </c>
      <c r="J643" t="inlineStr">
        <is>
          <t>AE</t>
        </is>
      </c>
      <c r="K643" t="inlineStr">
        <is>
          <t>Auto Engaged</t>
        </is>
      </c>
      <c r="L643" t="n">
        <v>5</v>
      </c>
      <c r="M643" t="inlineStr">
        <is>
          <t>2026-06-29 12:46:42</t>
        </is>
      </c>
      <c r="N643" t="inlineStr">
        <is>
          <t>system</t>
        </is>
      </c>
      <c r="O643" t="inlineStr">
        <is>
          <t>2026-06-17 14:10:06</t>
        </is>
      </c>
      <c r="P643" t="inlineStr">
        <is>
          <t>2026-06-17 14:10:06</t>
        </is>
      </c>
      <c r="Y643" t="inlineStr">
        <is>
          <t>27724453210</t>
        </is>
      </c>
    </row>
    <row r="644">
      <c r="A644" t="inlineStr">
        <is>
          <t>14920644</t>
        </is>
      </c>
      <c r="B644" t="inlineStr">
        <is>
          <t>6cb25cb3-c683-4c6c-9a5b-c12b3c2050b2</t>
        </is>
      </c>
      <c r="D644" t="inlineStr">
        <is>
          <t>111111124</t>
        </is>
      </c>
      <c r="E644" t="inlineStr">
        <is>
          <t>Vodacom Life 20260617</t>
        </is>
      </c>
      <c r="G644" t="inlineStr">
        <is>
          <t>NATALIE</t>
        </is>
      </c>
      <c r="H644" t="inlineStr">
        <is>
          <t>WILKINSON</t>
        </is>
      </c>
      <c r="J644" t="inlineStr">
        <is>
          <t>NA</t>
        </is>
      </c>
      <c r="K644" t="inlineStr">
        <is>
          <t>No Answer Autodial</t>
        </is>
      </c>
      <c r="L644" t="n">
        <v>5</v>
      </c>
      <c r="M644" t="inlineStr">
        <is>
          <t>2026-06-29 12:46:40</t>
        </is>
      </c>
      <c r="N644" t="inlineStr">
        <is>
          <t>system</t>
        </is>
      </c>
      <c r="O644" t="inlineStr">
        <is>
          <t>2026-06-17 14:10:06</t>
        </is>
      </c>
      <c r="P644" t="inlineStr">
        <is>
          <t>2026-06-17 14:10:06</t>
        </is>
      </c>
      <c r="Y644" t="inlineStr">
        <is>
          <t>27726071863</t>
        </is>
      </c>
    </row>
    <row r="645">
      <c r="A645" t="inlineStr">
        <is>
          <t>14920645</t>
        </is>
      </c>
      <c r="B645" t="inlineStr">
        <is>
          <t>5c8b0231-7768-4ad6-bd05-5188a7d4dd42</t>
        </is>
      </c>
      <c r="D645" t="inlineStr">
        <is>
          <t>111111124</t>
        </is>
      </c>
      <c r="E645" t="inlineStr">
        <is>
          <t>Vodacom Life 20260617</t>
        </is>
      </c>
      <c r="G645" t="inlineStr">
        <is>
          <t>MALEFETSANE</t>
        </is>
      </c>
      <c r="H645" t="inlineStr">
        <is>
          <t>MOSILIKI</t>
        </is>
      </c>
      <c r="J645" t="inlineStr">
        <is>
          <t>AA</t>
        </is>
      </c>
      <c r="K645" t="inlineStr">
        <is>
          <t>Answering Machine Autodial</t>
        </is>
      </c>
      <c r="L645" t="n">
        <v>5</v>
      </c>
      <c r="M645" t="inlineStr">
        <is>
          <t>2026-06-29 12:46:39</t>
        </is>
      </c>
      <c r="N645" t="inlineStr">
        <is>
          <t>system</t>
        </is>
      </c>
      <c r="O645" t="inlineStr">
        <is>
          <t>2026-06-17 14:10:06</t>
        </is>
      </c>
      <c r="P645" t="inlineStr">
        <is>
          <t>2026-06-17 14:10:06</t>
        </is>
      </c>
      <c r="Y645" t="inlineStr">
        <is>
          <t>27824443771</t>
        </is>
      </c>
    </row>
    <row r="646">
      <c r="A646" t="inlineStr">
        <is>
          <t>14920646</t>
        </is>
      </c>
      <c r="B646" t="inlineStr">
        <is>
          <t>5a1b179a-2e07-4aa6-948d-fc0ca228127e</t>
        </is>
      </c>
      <c r="D646" t="inlineStr">
        <is>
          <t>111111124</t>
        </is>
      </c>
      <c r="E646" t="inlineStr">
        <is>
          <t>Vodacom Life 20260617</t>
        </is>
      </c>
      <c r="G646" t="inlineStr">
        <is>
          <t>THEMBA</t>
        </is>
      </c>
      <c r="H646" t="inlineStr">
        <is>
          <t>GUMEDE</t>
        </is>
      </c>
      <c r="J646" t="inlineStr">
        <is>
          <t>DROP</t>
        </is>
      </c>
      <c r="K646" t="inlineStr">
        <is>
          <t>Dropped</t>
        </is>
      </c>
      <c r="L646" t="n">
        <v>5</v>
      </c>
      <c r="M646" t="inlineStr">
        <is>
          <t>2026-06-29 12:46:39</t>
        </is>
      </c>
      <c r="N646" t="inlineStr">
        <is>
          <t>system</t>
        </is>
      </c>
      <c r="O646" t="inlineStr">
        <is>
          <t>2026-06-17 14:10:06</t>
        </is>
      </c>
      <c r="P646" t="inlineStr">
        <is>
          <t>2026-06-17 14:10:06</t>
        </is>
      </c>
      <c r="Y646" t="inlineStr">
        <is>
          <t>27762757401</t>
        </is>
      </c>
    </row>
    <row r="647">
      <c r="A647" t="inlineStr">
        <is>
          <t>14920647</t>
        </is>
      </c>
      <c r="B647" t="inlineStr">
        <is>
          <t>62b9307d-aec8-4c59-9d25-11d8beb6ec95</t>
        </is>
      </c>
      <c r="D647" t="inlineStr">
        <is>
          <t>111111124</t>
        </is>
      </c>
      <c r="E647" t="inlineStr">
        <is>
          <t>Vodacom Life 20260617</t>
        </is>
      </c>
      <c r="G647" t="inlineStr">
        <is>
          <t>MATSIE</t>
        </is>
      </c>
      <c r="H647" t="inlineStr">
        <is>
          <t>MAKWELA</t>
        </is>
      </c>
      <c r="J647" t="inlineStr">
        <is>
          <t>AA</t>
        </is>
      </c>
      <c r="K647" t="inlineStr">
        <is>
          <t>Answering Machine Autodial</t>
        </is>
      </c>
      <c r="L647" t="n">
        <v>5</v>
      </c>
      <c r="M647" t="inlineStr">
        <is>
          <t>2026-06-29 12:46:39</t>
        </is>
      </c>
      <c r="N647" t="inlineStr">
        <is>
          <t>system</t>
        </is>
      </c>
      <c r="O647" t="inlineStr">
        <is>
          <t>2026-06-17 14:10:06</t>
        </is>
      </c>
      <c r="P647" t="inlineStr">
        <is>
          <t>2026-06-17 14:10:06</t>
        </is>
      </c>
      <c r="Y647" t="inlineStr">
        <is>
          <t>27727642163</t>
        </is>
      </c>
    </row>
    <row r="648">
      <c r="A648" t="inlineStr">
        <is>
          <t>14920648</t>
        </is>
      </c>
      <c r="B648" t="inlineStr">
        <is>
          <t>d5d42342-7579-4850-838b-5fcc22a55a84</t>
        </is>
      </c>
      <c r="D648" t="inlineStr">
        <is>
          <t>111111124</t>
        </is>
      </c>
      <c r="E648" t="inlineStr">
        <is>
          <t>Vodacom Life 20260617</t>
        </is>
      </c>
      <c r="G648" t="inlineStr">
        <is>
          <t>REGINELD</t>
        </is>
      </c>
      <c r="H648" t="inlineStr">
        <is>
          <t>VAN DER BERG</t>
        </is>
      </c>
      <c r="J648" t="inlineStr">
        <is>
          <t>CBACK</t>
        </is>
      </c>
      <c r="K648" t="inlineStr">
        <is>
          <t>Callback</t>
        </is>
      </c>
      <c r="L648" t="n">
        <v>5</v>
      </c>
      <c r="M648" t="inlineStr">
        <is>
          <t>2026-06-29 12:46:38</t>
        </is>
      </c>
      <c r="N648" t="inlineStr">
        <is>
          <t>Vanessa Kekana</t>
        </is>
      </c>
      <c r="O648" t="inlineStr">
        <is>
          <t>2026-06-17 14:10:06</t>
        </is>
      </c>
      <c r="P648" t="inlineStr">
        <is>
          <t>2026-06-17 14:10:06</t>
        </is>
      </c>
      <c r="Y648" t="inlineStr">
        <is>
          <t>27767408297</t>
        </is>
      </c>
    </row>
    <row r="649">
      <c r="A649" t="inlineStr">
        <is>
          <t>14920649</t>
        </is>
      </c>
      <c r="B649" t="inlineStr">
        <is>
          <t>af5fbddc-2267-4aee-b2d2-f8ebc344df07</t>
        </is>
      </c>
      <c r="D649" t="inlineStr">
        <is>
          <t>111111124</t>
        </is>
      </c>
      <c r="E649" t="inlineStr">
        <is>
          <t>Vodacom Life 20260617</t>
        </is>
      </c>
      <c r="G649" t="inlineStr">
        <is>
          <t>SESETHU</t>
        </is>
      </c>
      <c r="H649" t="inlineStr">
        <is>
          <t>NODADA</t>
        </is>
      </c>
      <c r="J649" t="inlineStr">
        <is>
          <t>CU</t>
        </is>
      </c>
      <c r="K649" t="inlineStr">
        <is>
          <t>Client Hung Up</t>
        </is>
      </c>
      <c r="L649" t="n">
        <v>5</v>
      </c>
      <c r="M649" t="inlineStr">
        <is>
          <t>2026-06-29 12:46:38</t>
        </is>
      </c>
      <c r="N649" t="inlineStr">
        <is>
          <t>Khensane Mabasa</t>
        </is>
      </c>
      <c r="O649" t="inlineStr">
        <is>
          <t>2026-06-17 14:10:06</t>
        </is>
      </c>
      <c r="P649" t="inlineStr">
        <is>
          <t>2026-06-17 14:10:06</t>
        </is>
      </c>
      <c r="Y649" t="inlineStr">
        <is>
          <t>27713040100</t>
        </is>
      </c>
    </row>
    <row r="650">
      <c r="A650" t="inlineStr">
        <is>
          <t>14920650</t>
        </is>
      </c>
      <c r="B650" t="inlineStr">
        <is>
          <t>308fc8c5-e332-4d41-810b-096ac19d8908</t>
        </is>
      </c>
      <c r="D650" t="inlineStr">
        <is>
          <t>111111124</t>
        </is>
      </c>
      <c r="E650" t="inlineStr">
        <is>
          <t>Vodacom Life 20260617</t>
        </is>
      </c>
      <c r="G650" t="inlineStr">
        <is>
          <t>JACOBUS</t>
        </is>
      </c>
      <c r="H650" t="inlineStr">
        <is>
          <t>VILJOEN</t>
        </is>
      </c>
      <c r="J650" t="inlineStr">
        <is>
          <t>AA</t>
        </is>
      </c>
      <c r="K650" t="inlineStr">
        <is>
          <t>Answering Machine Autodial</t>
        </is>
      </c>
      <c r="L650" t="n">
        <v>5</v>
      </c>
      <c r="M650" t="inlineStr">
        <is>
          <t>2026-06-29 12:46:38</t>
        </is>
      </c>
      <c r="N650" t="inlineStr">
        <is>
          <t>system</t>
        </is>
      </c>
      <c r="O650" t="inlineStr">
        <is>
          <t>2026-06-17 14:10:06</t>
        </is>
      </c>
      <c r="P650" t="inlineStr">
        <is>
          <t>2026-06-17 14:10:06</t>
        </is>
      </c>
      <c r="Y650" t="inlineStr">
        <is>
          <t>27792205463</t>
        </is>
      </c>
    </row>
    <row r="651">
      <c r="A651" t="inlineStr">
        <is>
          <t>14920652</t>
        </is>
      </c>
      <c r="B651" t="inlineStr">
        <is>
          <t>7f3ac486-3148-45d9-aff5-50c2f8609011</t>
        </is>
      </c>
      <c r="D651" t="inlineStr">
        <is>
          <t>111111124</t>
        </is>
      </c>
      <c r="E651" t="inlineStr">
        <is>
          <t>Vodacom Life 20260617</t>
        </is>
      </c>
      <c r="G651" t="inlineStr">
        <is>
          <t>NTOMBIZANELE</t>
        </is>
      </c>
      <c r="H651" t="inlineStr">
        <is>
          <t>KHANYILE</t>
        </is>
      </c>
      <c r="J651" t="inlineStr">
        <is>
          <t>AA</t>
        </is>
      </c>
      <c r="K651" t="inlineStr">
        <is>
          <t>Answering Machine Autodial</t>
        </is>
      </c>
      <c r="L651" t="n">
        <v>5</v>
      </c>
      <c r="M651" t="inlineStr">
        <is>
          <t>2026-06-29 12:46:38</t>
        </is>
      </c>
      <c r="N651" t="inlineStr">
        <is>
          <t>system</t>
        </is>
      </c>
      <c r="O651" t="inlineStr">
        <is>
          <t>2026-06-17 14:10:06</t>
        </is>
      </c>
      <c r="P651" t="inlineStr">
        <is>
          <t>2026-06-17 14:10:06</t>
        </is>
      </c>
      <c r="Y651" t="inlineStr">
        <is>
          <t>27833551802</t>
        </is>
      </c>
    </row>
    <row r="652">
      <c r="A652" t="inlineStr">
        <is>
          <t>14920740</t>
        </is>
      </c>
      <c r="B652" t="inlineStr">
        <is>
          <t>a1bd982c-4d3d-4fba-be0d-a894a3f95a9a</t>
        </is>
      </c>
      <c r="D652" t="inlineStr">
        <is>
          <t>111111124</t>
        </is>
      </c>
      <c r="E652" t="inlineStr">
        <is>
          <t>Vodacom Life 20260617</t>
        </is>
      </c>
      <c r="G652" t="inlineStr">
        <is>
          <t>LUCHILLE</t>
        </is>
      </c>
      <c r="H652" t="inlineStr">
        <is>
          <t>SMITH</t>
        </is>
      </c>
      <c r="J652" t="inlineStr">
        <is>
          <t>AE</t>
        </is>
      </c>
      <c r="K652" t="inlineStr">
        <is>
          <t>Auto Engaged</t>
        </is>
      </c>
      <c r="L652" t="n">
        <v>5</v>
      </c>
      <c r="M652" t="inlineStr">
        <is>
          <t>2026-06-29 12:46:38</t>
        </is>
      </c>
      <c r="N652" t="inlineStr">
        <is>
          <t>system</t>
        </is>
      </c>
      <c r="O652" t="inlineStr">
        <is>
          <t>2026-06-17 14:10:06</t>
        </is>
      </c>
      <c r="P652" t="inlineStr">
        <is>
          <t>2026-06-17 14:10:06</t>
        </is>
      </c>
      <c r="Y652" t="inlineStr">
        <is>
          <t>27824989091</t>
        </is>
      </c>
    </row>
    <row r="653">
      <c r="A653" t="inlineStr">
        <is>
          <t>14921928</t>
        </is>
      </c>
      <c r="B653" t="inlineStr">
        <is>
          <t>1d9d0671-6539-4ed3-9b55-69d9f2cf748d</t>
        </is>
      </c>
      <c r="D653" t="inlineStr">
        <is>
          <t>111111124</t>
        </is>
      </c>
      <c r="E653" t="inlineStr">
        <is>
          <t>Vodacom Life 20260617</t>
        </is>
      </c>
      <c r="G653" t="inlineStr">
        <is>
          <t>RUPHUS</t>
        </is>
      </c>
      <c r="H653" t="inlineStr">
        <is>
          <t>BALOYI</t>
        </is>
      </c>
      <c r="J653" t="inlineStr">
        <is>
          <t>DNCLIFE</t>
        </is>
      </c>
      <c r="K653" t="inlineStr">
        <is>
          <t>Do Not Call</t>
        </is>
      </c>
      <c r="L653" t="n">
        <v>6</v>
      </c>
      <c r="M653" t="inlineStr">
        <is>
          <t>2026-06-29 12:46:38</t>
        </is>
      </c>
      <c r="N653" t="inlineStr">
        <is>
          <t>Maureen Ntsoko</t>
        </is>
      </c>
      <c r="O653" t="inlineStr">
        <is>
          <t>2026-06-17 14:10:06</t>
        </is>
      </c>
      <c r="P653" t="inlineStr">
        <is>
          <t>2026-06-17 14:10:06</t>
        </is>
      </c>
      <c r="Y653" t="inlineStr">
        <is>
          <t>27826921358</t>
        </is>
      </c>
    </row>
    <row r="654">
      <c r="A654" t="inlineStr">
        <is>
          <t>14920653</t>
        </is>
      </c>
      <c r="B654" t="inlineStr">
        <is>
          <t>19980eae-3d51-4106-9436-6c71510fbe58</t>
        </is>
      </c>
      <c r="D654" t="inlineStr">
        <is>
          <t>111111124</t>
        </is>
      </c>
      <c r="E654" t="inlineStr">
        <is>
          <t>Vodacom Life 20260617</t>
        </is>
      </c>
      <c r="G654" t="inlineStr">
        <is>
          <t>ROSELYNN</t>
        </is>
      </c>
      <c r="H654" t="inlineStr">
        <is>
          <t>FERREIRA</t>
        </is>
      </c>
      <c r="J654" t="inlineStr">
        <is>
          <t>AE</t>
        </is>
      </c>
      <c r="K654" t="inlineStr">
        <is>
          <t>Auto Engaged</t>
        </is>
      </c>
      <c r="L654" t="n">
        <v>5</v>
      </c>
      <c r="M654" t="inlineStr">
        <is>
          <t>2026-06-29 12:46:37</t>
        </is>
      </c>
      <c r="N654" t="inlineStr">
        <is>
          <t>system</t>
        </is>
      </c>
      <c r="O654" t="inlineStr">
        <is>
          <t>2026-06-17 14:10:06</t>
        </is>
      </c>
      <c r="P654" t="inlineStr">
        <is>
          <t>2026-06-17 14:10:06</t>
        </is>
      </c>
      <c r="Y654" t="inlineStr">
        <is>
          <t>27662047670</t>
        </is>
      </c>
    </row>
    <row r="655">
      <c r="A655" t="inlineStr">
        <is>
          <t>14920654</t>
        </is>
      </c>
      <c r="B655" t="inlineStr">
        <is>
          <t>974d4ce8-c1b8-441e-94b9-3bbcf5659209</t>
        </is>
      </c>
      <c r="D655" t="inlineStr">
        <is>
          <t>111111124</t>
        </is>
      </c>
      <c r="E655" t="inlineStr">
        <is>
          <t>Vodacom Life 20260617</t>
        </is>
      </c>
      <c r="G655" t="inlineStr">
        <is>
          <t>FRANCOIS</t>
        </is>
      </c>
      <c r="H655" t="inlineStr">
        <is>
          <t>LOUW</t>
        </is>
      </c>
      <c r="J655" t="inlineStr">
        <is>
          <t>AA</t>
        </is>
      </c>
      <c r="K655" t="inlineStr">
        <is>
          <t>Answering Machine Autodial</t>
        </is>
      </c>
      <c r="L655" t="n">
        <v>5</v>
      </c>
      <c r="M655" t="inlineStr">
        <is>
          <t>2026-06-29 12:46:10</t>
        </is>
      </c>
      <c r="N655" t="inlineStr">
        <is>
          <t>system</t>
        </is>
      </c>
      <c r="O655" t="inlineStr">
        <is>
          <t>2026-06-17 14:10:06</t>
        </is>
      </c>
      <c r="P655" t="inlineStr">
        <is>
          <t>2026-06-17 14:10:06</t>
        </is>
      </c>
      <c r="Y655" t="inlineStr">
        <is>
          <t>27659635862</t>
        </is>
      </c>
    </row>
    <row r="656">
      <c r="A656" t="inlineStr">
        <is>
          <t>14920655</t>
        </is>
      </c>
      <c r="B656" t="inlineStr">
        <is>
          <t>ded689b7-fd04-48f6-bfdb-7fdfa1dbd1cc</t>
        </is>
      </c>
      <c r="D656" t="inlineStr">
        <is>
          <t>111111124</t>
        </is>
      </c>
      <c r="E656" t="inlineStr">
        <is>
          <t>Vodacom Life 20260617</t>
        </is>
      </c>
      <c r="G656" t="inlineStr">
        <is>
          <t>DOMINIC</t>
        </is>
      </c>
      <c r="H656" t="inlineStr">
        <is>
          <t>PRENDERGAST</t>
        </is>
      </c>
      <c r="J656" t="inlineStr">
        <is>
          <t>AE</t>
        </is>
      </c>
      <c r="K656" t="inlineStr">
        <is>
          <t>Auto Engaged</t>
        </is>
      </c>
      <c r="L656" t="n">
        <v>5</v>
      </c>
      <c r="M656" t="inlineStr">
        <is>
          <t>2026-06-29 12:46:10</t>
        </is>
      </c>
      <c r="N656" t="inlineStr">
        <is>
          <t>system</t>
        </is>
      </c>
      <c r="O656" t="inlineStr">
        <is>
          <t>2026-06-17 14:10:06</t>
        </is>
      </c>
      <c r="P656" t="inlineStr">
        <is>
          <t>2026-06-17 14:10:06</t>
        </is>
      </c>
      <c r="Y656" t="inlineStr">
        <is>
          <t>27826177058</t>
        </is>
      </c>
    </row>
    <row r="657">
      <c r="A657" t="inlineStr">
        <is>
          <t>14920656</t>
        </is>
      </c>
      <c r="B657" t="inlineStr">
        <is>
          <t>a6483738-63a1-48a2-85ae-1464a3686c56</t>
        </is>
      </c>
      <c r="D657" t="inlineStr">
        <is>
          <t>111111124</t>
        </is>
      </c>
      <c r="E657" t="inlineStr">
        <is>
          <t>Vodacom Life 20260617</t>
        </is>
      </c>
      <c r="G657" t="inlineStr">
        <is>
          <t>BHEHUMUZI</t>
        </is>
      </c>
      <c r="H657" t="inlineStr">
        <is>
          <t>LEMBEDE</t>
        </is>
      </c>
      <c r="J657" t="inlineStr">
        <is>
          <t>AE</t>
        </is>
      </c>
      <c r="K657" t="inlineStr">
        <is>
          <t>Auto Engaged</t>
        </is>
      </c>
      <c r="L657" t="n">
        <v>5</v>
      </c>
      <c r="M657" t="inlineStr">
        <is>
          <t>2026-06-29 12:46:10</t>
        </is>
      </c>
      <c r="N657" t="inlineStr">
        <is>
          <t>system</t>
        </is>
      </c>
      <c r="O657" t="inlineStr">
        <is>
          <t>2026-06-17 14:10:06</t>
        </is>
      </c>
      <c r="P657" t="inlineStr">
        <is>
          <t>2026-06-17 14:10:06</t>
        </is>
      </c>
      <c r="Y657" t="inlineStr">
        <is>
          <t>27828795259</t>
        </is>
      </c>
    </row>
    <row r="658">
      <c r="A658" t="inlineStr">
        <is>
          <t>14920663</t>
        </is>
      </c>
      <c r="B658" t="inlineStr">
        <is>
          <t>d019ef57-45ef-4c78-85f3-e59d2523c475</t>
        </is>
      </c>
      <c r="D658" t="inlineStr">
        <is>
          <t>111111124</t>
        </is>
      </c>
      <c r="E658" t="inlineStr">
        <is>
          <t>Vodacom Life 20260617</t>
        </is>
      </c>
      <c r="G658" t="inlineStr">
        <is>
          <t>MELISSA</t>
        </is>
      </c>
      <c r="H658" t="inlineStr">
        <is>
          <t>TAYLOR</t>
        </is>
      </c>
      <c r="J658" t="inlineStr">
        <is>
          <t>AA</t>
        </is>
      </c>
      <c r="K658" t="inlineStr">
        <is>
          <t>Answering Machine Autodial</t>
        </is>
      </c>
      <c r="L658" t="n">
        <v>5</v>
      </c>
      <c r="M658" t="inlineStr">
        <is>
          <t>2026-06-29 12:46:10</t>
        </is>
      </c>
      <c r="N658" t="inlineStr">
        <is>
          <t>system</t>
        </is>
      </c>
      <c r="O658" t="inlineStr">
        <is>
          <t>2026-06-17 14:10:06</t>
        </is>
      </c>
      <c r="P658" t="inlineStr">
        <is>
          <t>2026-06-17 14:10:06</t>
        </is>
      </c>
      <c r="Y658" t="inlineStr">
        <is>
          <t>27616251978</t>
        </is>
      </c>
    </row>
    <row r="659">
      <c r="A659" t="inlineStr">
        <is>
          <t>14920746</t>
        </is>
      </c>
      <c r="B659" t="inlineStr">
        <is>
          <t>f512c695-04f8-4b45-9aab-120b556ed70a</t>
        </is>
      </c>
      <c r="D659" t="inlineStr">
        <is>
          <t>111111124</t>
        </is>
      </c>
      <c r="E659" t="inlineStr">
        <is>
          <t>Vodacom Life 20260617</t>
        </is>
      </c>
      <c r="G659" t="inlineStr">
        <is>
          <t>NTANGANEDZENI</t>
        </is>
      </c>
      <c r="H659" t="inlineStr">
        <is>
          <t>NEMADODZI</t>
        </is>
      </c>
      <c r="J659" t="inlineStr">
        <is>
          <t>DROP</t>
        </is>
      </c>
      <c r="K659" t="inlineStr">
        <is>
          <t>Dropped</t>
        </is>
      </c>
      <c r="L659" t="n">
        <v>5</v>
      </c>
      <c r="M659" t="inlineStr">
        <is>
          <t>2026-06-29 12:46:10</t>
        </is>
      </c>
      <c r="N659" t="inlineStr">
        <is>
          <t>system</t>
        </is>
      </c>
      <c r="O659" t="inlineStr">
        <is>
          <t>2026-06-17 14:10:06</t>
        </is>
      </c>
      <c r="P659" t="inlineStr">
        <is>
          <t>2026-06-17 14:10:06</t>
        </is>
      </c>
      <c r="Y659" t="inlineStr">
        <is>
          <t>27829736935</t>
        </is>
      </c>
    </row>
    <row r="660">
      <c r="A660" t="inlineStr">
        <is>
          <t>14920660</t>
        </is>
      </c>
      <c r="B660" t="inlineStr">
        <is>
          <t>5ee8a69d-d3b8-403d-a1df-c7545a7996d9</t>
        </is>
      </c>
      <c r="D660" t="inlineStr">
        <is>
          <t>111111124</t>
        </is>
      </c>
      <c r="E660" t="inlineStr">
        <is>
          <t>Vodacom Life 20260617</t>
        </is>
      </c>
      <c r="G660" t="inlineStr">
        <is>
          <t>NOMZAMO</t>
        </is>
      </c>
      <c r="H660" t="inlineStr">
        <is>
          <t>TYANDA</t>
        </is>
      </c>
      <c r="J660" t="inlineStr">
        <is>
          <t>AA</t>
        </is>
      </c>
      <c r="K660" t="inlineStr">
        <is>
          <t>Answering Machine Autodial</t>
        </is>
      </c>
      <c r="L660" t="n">
        <v>5</v>
      </c>
      <c r="M660" t="inlineStr">
        <is>
          <t>2026-06-29 12:45:39</t>
        </is>
      </c>
      <c r="N660" t="inlineStr">
        <is>
          <t>system</t>
        </is>
      </c>
      <c r="O660" t="inlineStr">
        <is>
          <t>2026-06-17 14:10:06</t>
        </is>
      </c>
      <c r="P660" t="inlineStr">
        <is>
          <t>2026-06-17 14:10:06</t>
        </is>
      </c>
      <c r="Y660" t="inlineStr">
        <is>
          <t>27794908065</t>
        </is>
      </c>
    </row>
    <row r="661">
      <c r="A661" t="inlineStr">
        <is>
          <t>14920661</t>
        </is>
      </c>
      <c r="B661" t="inlineStr">
        <is>
          <t>8ddcf04f-1a8e-4387-b69c-62ddab0fa85f</t>
        </is>
      </c>
      <c r="D661" t="inlineStr">
        <is>
          <t>111111124</t>
        </is>
      </c>
      <c r="E661" t="inlineStr">
        <is>
          <t>Vodacom Life 20260617</t>
        </is>
      </c>
      <c r="G661" t="inlineStr">
        <is>
          <t>SIMPHIWE</t>
        </is>
      </c>
      <c r="H661" t="inlineStr">
        <is>
          <t>MTYELE</t>
        </is>
      </c>
      <c r="J661" t="inlineStr">
        <is>
          <t>AA</t>
        </is>
      </c>
      <c r="K661" t="inlineStr">
        <is>
          <t>Answering Machine Autodial</t>
        </is>
      </c>
      <c r="L661" t="n">
        <v>5</v>
      </c>
      <c r="M661" t="inlineStr">
        <is>
          <t>2026-06-29 12:45:32</t>
        </is>
      </c>
      <c r="N661" t="inlineStr">
        <is>
          <t>system</t>
        </is>
      </c>
      <c r="O661" t="inlineStr">
        <is>
          <t>2026-06-17 14:10:06</t>
        </is>
      </c>
      <c r="P661" t="inlineStr">
        <is>
          <t>2026-06-17 14:10:06</t>
        </is>
      </c>
      <c r="Y661" t="inlineStr">
        <is>
          <t>27766961488</t>
        </is>
      </c>
    </row>
    <row r="662">
      <c r="A662" t="inlineStr">
        <is>
          <t>14920662</t>
        </is>
      </c>
      <c r="B662" t="inlineStr">
        <is>
          <t>02772627-621f-4383-9d3b-4ca9df763b5c</t>
        </is>
      </c>
      <c r="D662" t="inlineStr">
        <is>
          <t>111111124</t>
        </is>
      </c>
      <c r="E662" t="inlineStr">
        <is>
          <t>Vodacom Life 20260617</t>
        </is>
      </c>
      <c r="G662" t="inlineStr">
        <is>
          <t>AGANDHRI</t>
        </is>
      </c>
      <c r="H662" t="inlineStr">
        <is>
          <t>PILLAY</t>
        </is>
      </c>
      <c r="J662" t="inlineStr">
        <is>
          <t>CU</t>
        </is>
      </c>
      <c r="K662" t="inlineStr">
        <is>
          <t>Client Hung Up</t>
        </is>
      </c>
      <c r="L662" t="n">
        <v>5</v>
      </c>
      <c r="M662" t="inlineStr">
        <is>
          <t>2026-06-29 12:45:32</t>
        </is>
      </c>
      <c r="N662" t="inlineStr">
        <is>
          <t>Khensane Mabasa</t>
        </is>
      </c>
      <c r="O662" t="inlineStr">
        <is>
          <t>2026-06-17 14:10:06</t>
        </is>
      </c>
      <c r="P662" t="inlineStr">
        <is>
          <t>2026-06-17 14:10:06</t>
        </is>
      </c>
      <c r="Y662" t="inlineStr">
        <is>
          <t>27845573387</t>
        </is>
      </c>
    </row>
    <row r="663">
      <c r="A663" t="inlineStr">
        <is>
          <t>14920745</t>
        </is>
      </c>
      <c r="B663" t="inlineStr">
        <is>
          <t>673647f1-8659-4c47-99dd-f2d18f1deadc</t>
        </is>
      </c>
      <c r="D663" t="inlineStr">
        <is>
          <t>111111124</t>
        </is>
      </c>
      <c r="E663" t="inlineStr">
        <is>
          <t>Vodacom Life 20260617</t>
        </is>
      </c>
      <c r="G663" t="inlineStr">
        <is>
          <t>LESEGO</t>
        </is>
      </c>
      <c r="H663" t="inlineStr">
        <is>
          <t>NKOTWE</t>
        </is>
      </c>
      <c r="J663" t="inlineStr">
        <is>
          <t>DROP</t>
        </is>
      </c>
      <c r="K663" t="inlineStr">
        <is>
          <t>Dropped</t>
        </is>
      </c>
      <c r="L663" t="n">
        <v>5</v>
      </c>
      <c r="M663" t="inlineStr">
        <is>
          <t>2026-06-29 12:45:32</t>
        </is>
      </c>
      <c r="N663" t="inlineStr">
        <is>
          <t>system</t>
        </is>
      </c>
      <c r="O663" t="inlineStr">
        <is>
          <t>2026-06-17 14:10:06</t>
        </is>
      </c>
      <c r="P663" t="inlineStr">
        <is>
          <t>2026-06-17 14:10:06</t>
        </is>
      </c>
      <c r="Y663" t="inlineStr">
        <is>
          <t>27716876420</t>
        </is>
      </c>
    </row>
    <row r="664">
      <c r="A664" t="inlineStr">
        <is>
          <t>14920672</t>
        </is>
      </c>
      <c r="B664" t="inlineStr">
        <is>
          <t>4a0d0868-2d74-4929-b30f-93ad9febffd4</t>
        </is>
      </c>
      <c r="D664" t="inlineStr">
        <is>
          <t>111111124</t>
        </is>
      </c>
      <c r="E664" t="inlineStr">
        <is>
          <t>Vodacom Life 20260617</t>
        </is>
      </c>
      <c r="G664" t="inlineStr">
        <is>
          <t>PIETER</t>
        </is>
      </c>
      <c r="H664" t="inlineStr">
        <is>
          <t>VAN EEDEN</t>
        </is>
      </c>
      <c r="J664" t="inlineStr">
        <is>
          <t>AE</t>
        </is>
      </c>
      <c r="K664" t="inlineStr">
        <is>
          <t>Auto Engaged</t>
        </is>
      </c>
      <c r="L664" t="n">
        <v>5</v>
      </c>
      <c r="M664" t="inlineStr">
        <is>
          <t>2026-06-29 12:45:29</t>
        </is>
      </c>
      <c r="N664" t="inlineStr">
        <is>
          <t>system</t>
        </is>
      </c>
      <c r="O664" t="inlineStr">
        <is>
          <t>2026-06-17 14:10:06</t>
        </is>
      </c>
      <c r="P664" t="inlineStr">
        <is>
          <t>2026-06-17 14:10:06</t>
        </is>
      </c>
      <c r="Y664" t="inlineStr">
        <is>
          <t>27652810973</t>
        </is>
      </c>
    </row>
    <row r="665">
      <c r="A665" t="inlineStr">
        <is>
          <t>14920688</t>
        </is>
      </c>
      <c r="B665" t="inlineStr">
        <is>
          <t>02e14a5b-79c1-4444-b429-c3e904e92bb4</t>
        </is>
      </c>
      <c r="D665" t="inlineStr">
        <is>
          <t>111111124</t>
        </is>
      </c>
      <c r="E665" t="inlineStr">
        <is>
          <t>Vodacom Life 20260617</t>
        </is>
      </c>
      <c r="G665" t="inlineStr">
        <is>
          <t>MCFALDA</t>
        </is>
      </c>
      <c r="H665" t="inlineStr">
        <is>
          <t>KUMALO</t>
        </is>
      </c>
      <c r="J665" t="inlineStr">
        <is>
          <t>AE</t>
        </is>
      </c>
      <c r="K665" t="inlineStr">
        <is>
          <t>Auto Engaged</t>
        </is>
      </c>
      <c r="L665" t="n">
        <v>5</v>
      </c>
      <c r="M665" t="inlineStr">
        <is>
          <t>2026-06-29 12:45:29</t>
        </is>
      </c>
      <c r="N665" t="inlineStr">
        <is>
          <t>system</t>
        </is>
      </c>
      <c r="O665" t="inlineStr">
        <is>
          <t>2026-06-17 14:10:06</t>
        </is>
      </c>
      <c r="P665" t="inlineStr">
        <is>
          <t>2026-06-17 14:10:06</t>
        </is>
      </c>
      <c r="Y665" t="inlineStr">
        <is>
          <t>27828067751</t>
        </is>
      </c>
    </row>
    <row r="666">
      <c r="A666" t="inlineStr">
        <is>
          <t>14920718</t>
        </is>
      </c>
      <c r="B666" t="inlineStr">
        <is>
          <t>19eb05c2-2ebe-4cd5-aabb-366db545b15b</t>
        </is>
      </c>
      <c r="D666" t="inlineStr">
        <is>
          <t>111111124</t>
        </is>
      </c>
      <c r="E666" t="inlineStr">
        <is>
          <t>Vodacom Life 20260617</t>
        </is>
      </c>
      <c r="G666" t="inlineStr">
        <is>
          <t>KONSTANTINOS</t>
        </is>
      </c>
      <c r="H666" t="inlineStr">
        <is>
          <t>KOUTSOUVELIS</t>
        </is>
      </c>
      <c r="J666" t="inlineStr">
        <is>
          <t>AE</t>
        </is>
      </c>
      <c r="K666" t="inlineStr">
        <is>
          <t>Auto Engaged</t>
        </is>
      </c>
      <c r="L666" t="n">
        <v>5</v>
      </c>
      <c r="M666" t="inlineStr">
        <is>
          <t>2026-06-29 12:45:28</t>
        </is>
      </c>
      <c r="N666" t="inlineStr">
        <is>
          <t>system</t>
        </is>
      </c>
      <c r="O666" t="inlineStr">
        <is>
          <t>2026-06-17 14:10:06</t>
        </is>
      </c>
      <c r="P666" t="inlineStr">
        <is>
          <t>2026-06-17 14:10:06</t>
        </is>
      </c>
      <c r="Y666" t="inlineStr">
        <is>
          <t>27729737358</t>
        </is>
      </c>
    </row>
    <row r="667">
      <c r="A667" t="inlineStr">
        <is>
          <t>14920620</t>
        </is>
      </c>
      <c r="B667" t="inlineStr">
        <is>
          <t>0cfa12bf-b950-414a-9e08-d1e7d5388170</t>
        </is>
      </c>
      <c r="D667" t="inlineStr">
        <is>
          <t>111111124</t>
        </is>
      </c>
      <c r="E667" t="inlineStr">
        <is>
          <t>Vodacom Life 20260617</t>
        </is>
      </c>
      <c r="G667" t="inlineStr">
        <is>
          <t>SHANGFEI</t>
        </is>
      </c>
      <c r="H667" t="inlineStr">
        <is>
          <t>ZHOU</t>
        </is>
      </c>
      <c r="J667" t="inlineStr">
        <is>
          <t>NI</t>
        </is>
      </c>
      <c r="K667" t="inlineStr">
        <is>
          <t>Not Interested</t>
        </is>
      </c>
      <c r="L667" t="n">
        <v>6</v>
      </c>
      <c r="M667" t="inlineStr">
        <is>
          <t>2026-06-29 12:44:44</t>
        </is>
      </c>
      <c r="N667" t="inlineStr">
        <is>
          <t>Musiiwa Mary Mabirimisa</t>
        </is>
      </c>
      <c r="O667" t="inlineStr">
        <is>
          <t>2026-06-17 14:10:06</t>
        </is>
      </c>
      <c r="P667" t="inlineStr">
        <is>
          <t>2026-06-17 14:10:06</t>
        </is>
      </c>
      <c r="Y667" t="inlineStr">
        <is>
          <t>27726421300</t>
        </is>
      </c>
    </row>
    <row r="668">
      <c r="A668" t="inlineStr">
        <is>
          <t>14920673</t>
        </is>
      </c>
      <c r="B668" t="inlineStr">
        <is>
          <t>a5937832-a551-407f-8217-73f5dbdf4d73</t>
        </is>
      </c>
      <c r="D668" t="inlineStr">
        <is>
          <t>111111124</t>
        </is>
      </c>
      <c r="E668" t="inlineStr">
        <is>
          <t>Vodacom Life 20260617</t>
        </is>
      </c>
      <c r="G668" t="inlineStr">
        <is>
          <t>ASHANDRA</t>
        </is>
      </c>
      <c r="H668" t="inlineStr">
        <is>
          <t>STENEKAMP</t>
        </is>
      </c>
      <c r="J668" t="inlineStr">
        <is>
          <t>AA</t>
        </is>
      </c>
      <c r="K668" t="inlineStr">
        <is>
          <t>Answering Machine Autodial</t>
        </is>
      </c>
      <c r="L668" t="n">
        <v>5</v>
      </c>
      <c r="M668" t="inlineStr">
        <is>
          <t>2026-06-29 12:44:34</t>
        </is>
      </c>
      <c r="N668" t="inlineStr">
        <is>
          <t>system</t>
        </is>
      </c>
      <c r="O668" t="inlineStr">
        <is>
          <t>2026-06-17 14:10:06</t>
        </is>
      </c>
      <c r="P668" t="inlineStr">
        <is>
          <t>2026-06-17 14:10:06</t>
        </is>
      </c>
      <c r="Y668" t="inlineStr">
        <is>
          <t>27783441481</t>
        </is>
      </c>
    </row>
    <row r="669">
      <c r="A669" t="inlineStr">
        <is>
          <t>14920674</t>
        </is>
      </c>
      <c r="B669" t="inlineStr">
        <is>
          <t>554548da-ca96-426f-af12-d2415cfc8449</t>
        </is>
      </c>
      <c r="D669" t="inlineStr">
        <is>
          <t>111111124</t>
        </is>
      </c>
      <c r="E669" t="inlineStr">
        <is>
          <t>Vodacom Life 20260617</t>
        </is>
      </c>
      <c r="G669" t="inlineStr">
        <is>
          <t>KETETSE</t>
        </is>
      </c>
      <c r="H669" t="inlineStr">
        <is>
          <t>MOSIUOA</t>
        </is>
      </c>
      <c r="J669" t="inlineStr">
        <is>
          <t>N</t>
        </is>
      </c>
      <c r="K669" t="inlineStr">
        <is>
          <t>No Answer</t>
        </is>
      </c>
      <c r="L669" t="n">
        <v>5</v>
      </c>
      <c r="M669" t="inlineStr">
        <is>
          <t>2026-06-29 12:44:34</t>
        </is>
      </c>
      <c r="N669" t="inlineStr">
        <is>
          <t>Maureen Ntsoko</t>
        </is>
      </c>
      <c r="O669" t="inlineStr">
        <is>
          <t>2026-06-17 14:10:06</t>
        </is>
      </c>
      <c r="P669" t="inlineStr">
        <is>
          <t>2026-06-17 14:10:06</t>
        </is>
      </c>
      <c r="Y669" t="inlineStr">
        <is>
          <t>27761128922</t>
        </is>
      </c>
    </row>
    <row r="670">
      <c r="A670" t="inlineStr">
        <is>
          <t>14920675</t>
        </is>
      </c>
      <c r="B670" t="inlineStr">
        <is>
          <t>db103c9f-a19c-4c63-91bf-80ad31024aaf</t>
        </is>
      </c>
      <c r="D670" t="inlineStr">
        <is>
          <t>111111124</t>
        </is>
      </c>
      <c r="E670" t="inlineStr">
        <is>
          <t>Vodacom Life 20260617</t>
        </is>
      </c>
      <c r="G670" t="inlineStr">
        <is>
          <t>CINGA</t>
        </is>
      </c>
      <c r="H670" t="inlineStr">
        <is>
          <t>MATANGA</t>
        </is>
      </c>
      <c r="J670" t="inlineStr">
        <is>
          <t>NA</t>
        </is>
      </c>
      <c r="K670" t="inlineStr">
        <is>
          <t>No Answer Autodial</t>
        </is>
      </c>
      <c r="L670" t="n">
        <v>5</v>
      </c>
      <c r="M670" t="inlineStr">
        <is>
          <t>2026-06-29 12:44:34</t>
        </is>
      </c>
      <c r="N670" t="inlineStr">
        <is>
          <t>system</t>
        </is>
      </c>
      <c r="O670" t="inlineStr">
        <is>
          <t>2026-06-17 14:10:06</t>
        </is>
      </c>
      <c r="P670" t="inlineStr">
        <is>
          <t>2026-06-17 14:10:06</t>
        </is>
      </c>
      <c r="Y670" t="inlineStr">
        <is>
          <t>27823360492</t>
        </is>
      </c>
    </row>
    <row r="671">
      <c r="A671" t="inlineStr">
        <is>
          <t>14920679</t>
        </is>
      </c>
      <c r="B671" t="inlineStr">
        <is>
          <t>2ad79cbf-b73b-4ba0-81f8-dfa8fc902cf7</t>
        </is>
      </c>
      <c r="D671" t="inlineStr">
        <is>
          <t>111111124</t>
        </is>
      </c>
      <c r="E671" t="inlineStr">
        <is>
          <t>Vodacom Life 20260617</t>
        </is>
      </c>
      <c r="G671" t="inlineStr">
        <is>
          <t>PUVANESPARY</t>
        </is>
      </c>
      <c r="H671" t="inlineStr">
        <is>
          <t>PILLAY</t>
        </is>
      </c>
      <c r="J671" t="inlineStr">
        <is>
          <t>AA</t>
        </is>
      </c>
      <c r="K671" t="inlineStr">
        <is>
          <t>Answering Machine Autodial</t>
        </is>
      </c>
      <c r="L671" t="n">
        <v>5</v>
      </c>
      <c r="M671" t="inlineStr">
        <is>
          <t>2026-06-29 12:44:34</t>
        </is>
      </c>
      <c r="N671" t="inlineStr">
        <is>
          <t>system</t>
        </is>
      </c>
      <c r="O671" t="inlineStr">
        <is>
          <t>2026-06-17 14:10:06</t>
        </is>
      </c>
      <c r="P671" t="inlineStr">
        <is>
          <t>2026-06-17 14:10:06</t>
        </is>
      </c>
      <c r="Y671" t="inlineStr">
        <is>
          <t>27799920588</t>
        </is>
      </c>
    </row>
    <row r="672">
      <c r="A672" t="inlineStr">
        <is>
          <t>14920680</t>
        </is>
      </c>
      <c r="B672" t="inlineStr">
        <is>
          <t>34571611-f34c-48ea-b1ca-c9e0fd529ec3</t>
        </is>
      </c>
      <c r="D672" t="inlineStr">
        <is>
          <t>111111124</t>
        </is>
      </c>
      <c r="E672" t="inlineStr">
        <is>
          <t>Vodacom Life 20260617</t>
        </is>
      </c>
      <c r="G672" t="inlineStr">
        <is>
          <t>PRINCE</t>
        </is>
      </c>
      <c r="H672" t="inlineStr">
        <is>
          <t>KUBEKA</t>
        </is>
      </c>
      <c r="J672" t="inlineStr">
        <is>
          <t>AA</t>
        </is>
      </c>
      <c r="K672" t="inlineStr">
        <is>
          <t>Answering Machine Autodial</t>
        </is>
      </c>
      <c r="L672" t="n">
        <v>5</v>
      </c>
      <c r="M672" t="inlineStr">
        <is>
          <t>2026-06-29 12:44:33</t>
        </is>
      </c>
      <c r="N672" t="inlineStr">
        <is>
          <t>system</t>
        </is>
      </c>
      <c r="O672" t="inlineStr">
        <is>
          <t>2026-06-17 14:10:06</t>
        </is>
      </c>
      <c r="P672" t="inlineStr">
        <is>
          <t>2026-06-17 14:10:06</t>
        </is>
      </c>
      <c r="Y672" t="inlineStr">
        <is>
          <t>27828356514</t>
        </is>
      </c>
    </row>
    <row r="673">
      <c r="A673" t="inlineStr">
        <is>
          <t>14920681</t>
        </is>
      </c>
      <c r="B673" t="inlineStr">
        <is>
          <t>7c031a9e-b335-492d-8961-5853e23ad5b2</t>
        </is>
      </c>
      <c r="D673" t="inlineStr">
        <is>
          <t>111111124</t>
        </is>
      </c>
      <c r="E673" t="inlineStr">
        <is>
          <t>Vodacom Life 20260617</t>
        </is>
      </c>
      <c r="G673" t="inlineStr">
        <is>
          <t>ITUMELENG</t>
        </is>
      </c>
      <c r="H673" t="inlineStr">
        <is>
          <t>NKHASI</t>
        </is>
      </c>
      <c r="J673" t="inlineStr">
        <is>
          <t>NA</t>
        </is>
      </c>
      <c r="K673" t="inlineStr">
        <is>
          <t>No Answer Autodial</t>
        </is>
      </c>
      <c r="L673" t="n">
        <v>5</v>
      </c>
      <c r="M673" t="inlineStr">
        <is>
          <t>2026-06-29 12:44:16</t>
        </is>
      </c>
      <c r="N673" t="inlineStr">
        <is>
          <t>system</t>
        </is>
      </c>
      <c r="O673" t="inlineStr">
        <is>
          <t>2026-06-17 14:10:06</t>
        </is>
      </c>
      <c r="P673" t="inlineStr">
        <is>
          <t>2026-06-17 14:10:06</t>
        </is>
      </c>
      <c r="Y673" t="inlineStr">
        <is>
          <t>27720516263</t>
        </is>
      </c>
    </row>
    <row r="674">
      <c r="A674" t="inlineStr">
        <is>
          <t>14920682</t>
        </is>
      </c>
      <c r="B674" t="inlineStr">
        <is>
          <t>1ccccbbe-1829-40c1-a494-260b8c7977b3</t>
        </is>
      </c>
      <c r="D674" t="inlineStr">
        <is>
          <t>111111124</t>
        </is>
      </c>
      <c r="E674" t="inlineStr">
        <is>
          <t>Vodacom Life 20260617</t>
        </is>
      </c>
      <c r="G674" t="inlineStr">
        <is>
          <t>HAYDEN</t>
        </is>
      </c>
      <c r="H674" t="inlineStr">
        <is>
          <t>PRITCHARD</t>
        </is>
      </c>
      <c r="J674" t="inlineStr">
        <is>
          <t>AA</t>
        </is>
      </c>
      <c r="K674" t="inlineStr">
        <is>
          <t>Answering Machine Autodial</t>
        </is>
      </c>
      <c r="L674" t="n">
        <v>5</v>
      </c>
      <c r="M674" t="inlineStr">
        <is>
          <t>2026-06-29 12:44:16</t>
        </is>
      </c>
      <c r="N674" t="inlineStr">
        <is>
          <t>system</t>
        </is>
      </c>
      <c r="O674" t="inlineStr">
        <is>
          <t>2026-06-17 14:10:06</t>
        </is>
      </c>
      <c r="P674" t="inlineStr">
        <is>
          <t>2026-06-17 14:10:06</t>
        </is>
      </c>
      <c r="Y674" t="inlineStr">
        <is>
          <t>27608310785</t>
        </is>
      </c>
    </row>
    <row r="675">
      <c r="A675" t="inlineStr">
        <is>
          <t>14920683</t>
        </is>
      </c>
      <c r="B675" t="inlineStr">
        <is>
          <t>89a132a1-43f0-4d96-bff3-4b9f04daed31</t>
        </is>
      </c>
      <c r="D675" t="inlineStr">
        <is>
          <t>111111124</t>
        </is>
      </c>
      <c r="E675" t="inlineStr">
        <is>
          <t>Vodacom Life 20260617</t>
        </is>
      </c>
      <c r="G675" t="inlineStr">
        <is>
          <t>THRISHA</t>
        </is>
      </c>
      <c r="H675" t="inlineStr">
        <is>
          <t>SONI</t>
        </is>
      </c>
      <c r="J675" t="inlineStr">
        <is>
          <t>AA</t>
        </is>
      </c>
      <c r="K675" t="inlineStr">
        <is>
          <t>Answering Machine Autodial</t>
        </is>
      </c>
      <c r="L675" t="n">
        <v>5</v>
      </c>
      <c r="M675" t="inlineStr">
        <is>
          <t>2026-06-29 12:44:06</t>
        </is>
      </c>
      <c r="N675" t="inlineStr">
        <is>
          <t>system</t>
        </is>
      </c>
      <c r="O675" t="inlineStr">
        <is>
          <t>2026-06-17 14:10:06</t>
        </is>
      </c>
      <c r="P675" t="inlineStr">
        <is>
          <t>2026-06-17 14:10:06</t>
        </is>
      </c>
      <c r="Y675" t="inlineStr">
        <is>
          <t>27766438967</t>
        </is>
      </c>
    </row>
    <row r="676">
      <c r="A676" t="inlineStr">
        <is>
          <t>14920684</t>
        </is>
      </c>
      <c r="B676" t="inlineStr">
        <is>
          <t>a07c8f24-70ae-46e0-82a6-81d7e5e20c4d</t>
        </is>
      </c>
      <c r="D676" t="inlineStr">
        <is>
          <t>111111124</t>
        </is>
      </c>
      <c r="E676" t="inlineStr">
        <is>
          <t>Vodacom Life 20260617</t>
        </is>
      </c>
      <c r="G676" t="inlineStr">
        <is>
          <t>ELTON</t>
        </is>
      </c>
      <c r="H676" t="inlineStr">
        <is>
          <t>BOOYSEN</t>
        </is>
      </c>
      <c r="J676" t="inlineStr">
        <is>
          <t>AE</t>
        </is>
      </c>
      <c r="K676" t="inlineStr">
        <is>
          <t>Auto Engaged</t>
        </is>
      </c>
      <c r="L676" t="n">
        <v>5</v>
      </c>
      <c r="M676" t="inlineStr">
        <is>
          <t>2026-06-29 12:44:06</t>
        </is>
      </c>
      <c r="N676" t="inlineStr">
        <is>
          <t>system</t>
        </is>
      </c>
      <c r="O676" t="inlineStr">
        <is>
          <t>2026-06-17 14:10:06</t>
        </is>
      </c>
      <c r="P676" t="inlineStr">
        <is>
          <t>2026-06-17 14:10:06</t>
        </is>
      </c>
      <c r="Y676" t="inlineStr">
        <is>
          <t>27713123604</t>
        </is>
      </c>
    </row>
    <row r="677">
      <c r="A677" t="inlineStr">
        <is>
          <t>14920685</t>
        </is>
      </c>
      <c r="B677" t="inlineStr">
        <is>
          <t>be9f51ad-ef7d-419e-a289-b135bf0f8b1a</t>
        </is>
      </c>
      <c r="D677" t="inlineStr">
        <is>
          <t>111111124</t>
        </is>
      </c>
      <c r="E677" t="inlineStr">
        <is>
          <t>Vodacom Life 20260617</t>
        </is>
      </c>
      <c r="G677" t="inlineStr">
        <is>
          <t>NONHLANHLA</t>
        </is>
      </c>
      <c r="H677" t="inlineStr">
        <is>
          <t>NHLANGEBE</t>
        </is>
      </c>
      <c r="J677" t="inlineStr">
        <is>
          <t>AA</t>
        </is>
      </c>
      <c r="K677" t="inlineStr">
        <is>
          <t>Answering Machine Autodial</t>
        </is>
      </c>
      <c r="L677" t="n">
        <v>5</v>
      </c>
      <c r="M677" t="inlineStr">
        <is>
          <t>2026-06-29 12:44:06</t>
        </is>
      </c>
      <c r="N677" t="inlineStr">
        <is>
          <t>system</t>
        </is>
      </c>
      <c r="O677" t="inlineStr">
        <is>
          <t>2026-06-17 14:10:06</t>
        </is>
      </c>
      <c r="P677" t="inlineStr">
        <is>
          <t>2026-06-17 14:10:06</t>
        </is>
      </c>
      <c r="Y677" t="inlineStr">
        <is>
          <t>27662737401</t>
        </is>
      </c>
    </row>
    <row r="678">
      <c r="A678" t="inlineStr">
        <is>
          <t>14920687</t>
        </is>
      </c>
      <c r="B678" t="inlineStr">
        <is>
          <t>8a713cd7-1f3a-4aa8-9134-b247f49577bc</t>
        </is>
      </c>
      <c r="D678" t="inlineStr">
        <is>
          <t>111111124</t>
        </is>
      </c>
      <c r="E678" t="inlineStr">
        <is>
          <t>Vodacom Life 20260617</t>
        </is>
      </c>
      <c r="G678" t="inlineStr">
        <is>
          <t>FARAYI</t>
        </is>
      </c>
      <c r="H678" t="inlineStr">
        <is>
          <t>MATSA</t>
        </is>
      </c>
      <c r="J678" t="inlineStr">
        <is>
          <t>NA</t>
        </is>
      </c>
      <c r="K678" t="inlineStr">
        <is>
          <t>No Answer Autodial</t>
        </is>
      </c>
      <c r="L678" t="n">
        <v>5</v>
      </c>
      <c r="M678" t="inlineStr">
        <is>
          <t>2026-06-29 12:43:36</t>
        </is>
      </c>
      <c r="N678" t="inlineStr">
        <is>
          <t>system</t>
        </is>
      </c>
      <c r="O678" t="inlineStr">
        <is>
          <t>2026-06-17 14:10:06</t>
        </is>
      </c>
      <c r="P678" t="inlineStr">
        <is>
          <t>2026-06-17 14:10:06</t>
        </is>
      </c>
      <c r="Y678" t="inlineStr">
        <is>
          <t>27662148444</t>
        </is>
      </c>
    </row>
    <row r="679">
      <c r="A679" t="inlineStr">
        <is>
          <t>14920717</t>
        </is>
      </c>
      <c r="B679" t="inlineStr">
        <is>
          <t>96f87790-7bb8-44e6-a745-7b61521a724c</t>
        </is>
      </c>
      <c r="D679" t="inlineStr">
        <is>
          <t>111111124</t>
        </is>
      </c>
      <c r="E679" t="inlineStr">
        <is>
          <t>Vodacom Life 20260617</t>
        </is>
      </c>
      <c r="G679" t="inlineStr">
        <is>
          <t>AARON</t>
        </is>
      </c>
      <c r="H679" t="inlineStr">
        <is>
          <t>ZITHA</t>
        </is>
      </c>
      <c r="J679" t="inlineStr">
        <is>
          <t>DROP</t>
        </is>
      </c>
      <c r="K679" t="inlineStr">
        <is>
          <t>Dropped</t>
        </is>
      </c>
      <c r="L679" t="n">
        <v>5</v>
      </c>
      <c r="M679" t="inlineStr">
        <is>
          <t>2026-06-29 12:43:36</t>
        </is>
      </c>
      <c r="N679" t="inlineStr">
        <is>
          <t>system</t>
        </is>
      </c>
      <c r="O679" t="inlineStr">
        <is>
          <t>2026-06-17 14:10:06</t>
        </is>
      </c>
      <c r="P679" t="inlineStr">
        <is>
          <t>2026-06-17 14:10:06</t>
        </is>
      </c>
      <c r="Y679" t="inlineStr">
        <is>
          <t>27825509574</t>
        </is>
      </c>
    </row>
    <row r="680">
      <c r="A680" t="inlineStr">
        <is>
          <t>14920607</t>
        </is>
      </c>
      <c r="B680" t="inlineStr">
        <is>
          <t>dee9f894-91ae-4b55-9a63-15e9f4b542ea</t>
        </is>
      </c>
      <c r="D680" t="inlineStr">
        <is>
          <t>111111124</t>
        </is>
      </c>
      <c r="E680" t="inlineStr">
        <is>
          <t>Vodacom Life 20260617</t>
        </is>
      </c>
      <c r="G680" t="inlineStr">
        <is>
          <t>THANDI</t>
        </is>
      </c>
      <c r="H680" t="inlineStr">
        <is>
          <t>MADIGAGE</t>
        </is>
      </c>
      <c r="J680" t="inlineStr">
        <is>
          <t>AE</t>
        </is>
      </c>
      <c r="K680" t="inlineStr">
        <is>
          <t>Auto Engaged</t>
        </is>
      </c>
      <c r="L680" t="n">
        <v>5</v>
      </c>
      <c r="M680" t="inlineStr">
        <is>
          <t>2026-06-29 12:43:19</t>
        </is>
      </c>
      <c r="N680" t="inlineStr">
        <is>
          <t>system</t>
        </is>
      </c>
      <c r="O680" t="inlineStr">
        <is>
          <t>2026-06-17 14:10:06</t>
        </is>
      </c>
      <c r="P680" t="inlineStr">
        <is>
          <t>2026-06-17 14:10:06</t>
        </is>
      </c>
      <c r="Y680" t="inlineStr">
        <is>
          <t>27823823613</t>
        </is>
      </c>
    </row>
    <row r="681">
      <c r="A681" t="inlineStr">
        <is>
          <t>14920608</t>
        </is>
      </c>
      <c r="B681" t="inlineStr">
        <is>
          <t>23f9ac24-9a38-4a64-99b1-d8724ce50b9b</t>
        </is>
      </c>
      <c r="D681" t="inlineStr">
        <is>
          <t>111111124</t>
        </is>
      </c>
      <c r="E681" t="inlineStr">
        <is>
          <t>Vodacom Life 20260617</t>
        </is>
      </c>
      <c r="G681" t="inlineStr">
        <is>
          <t>NONTSIKELELO</t>
        </is>
      </c>
      <c r="H681" t="inlineStr">
        <is>
          <t>NOHIYA</t>
        </is>
      </c>
      <c r="J681" t="inlineStr">
        <is>
          <t>NA</t>
        </is>
      </c>
      <c r="K681" t="inlineStr">
        <is>
          <t>No Answer Autodial</t>
        </is>
      </c>
      <c r="L681" t="n">
        <v>5</v>
      </c>
      <c r="M681" t="inlineStr">
        <is>
          <t>2026-06-29 12:43:19</t>
        </is>
      </c>
      <c r="N681" t="inlineStr">
        <is>
          <t>system</t>
        </is>
      </c>
      <c r="O681" t="inlineStr">
        <is>
          <t>2026-06-17 14:10:06</t>
        </is>
      </c>
      <c r="P681" t="inlineStr">
        <is>
          <t>2026-06-17 14:10:06</t>
        </is>
      </c>
      <c r="Y681" t="inlineStr">
        <is>
          <t>27712295641</t>
        </is>
      </c>
    </row>
    <row r="682">
      <c r="A682" t="inlineStr">
        <is>
          <t>14920609</t>
        </is>
      </c>
      <c r="B682" t="inlineStr">
        <is>
          <t>dcf44d29-c049-4527-a5a5-5ab03c50f0a3</t>
        </is>
      </c>
      <c r="D682" t="inlineStr">
        <is>
          <t>111111124</t>
        </is>
      </c>
      <c r="E682" t="inlineStr">
        <is>
          <t>Vodacom Life 20260617</t>
        </is>
      </c>
      <c r="G682" t="inlineStr">
        <is>
          <t>APHINDILE</t>
        </is>
      </c>
      <c r="H682" t="inlineStr">
        <is>
          <t>ZONDEKA</t>
        </is>
      </c>
      <c r="J682" t="inlineStr">
        <is>
          <t>DROP</t>
        </is>
      </c>
      <c r="K682" t="inlineStr">
        <is>
          <t>Dropped</t>
        </is>
      </c>
      <c r="L682" t="n">
        <v>5</v>
      </c>
      <c r="M682" t="inlineStr">
        <is>
          <t>2026-06-29 12:43:19</t>
        </is>
      </c>
      <c r="N682" t="inlineStr">
        <is>
          <t>system</t>
        </is>
      </c>
      <c r="O682" t="inlineStr">
        <is>
          <t>2026-06-17 14:10:06</t>
        </is>
      </c>
      <c r="P682" t="inlineStr">
        <is>
          <t>2026-06-17 14:10:06</t>
        </is>
      </c>
      <c r="Y682" t="inlineStr">
        <is>
          <t>27662676545</t>
        </is>
      </c>
    </row>
    <row r="683">
      <c r="A683" t="inlineStr">
        <is>
          <t>14920613</t>
        </is>
      </c>
      <c r="B683" t="inlineStr">
        <is>
          <t>fcc84797-6134-4c59-b587-eba60bf6e4b8</t>
        </is>
      </c>
      <c r="D683" t="inlineStr">
        <is>
          <t>111111124</t>
        </is>
      </c>
      <c r="E683" t="inlineStr">
        <is>
          <t>Vodacom Life 20260617</t>
        </is>
      </c>
      <c r="G683" t="inlineStr">
        <is>
          <t>MLUNGISI</t>
        </is>
      </c>
      <c r="H683" t="inlineStr">
        <is>
          <t>MAPHANGA</t>
        </is>
      </c>
      <c r="J683" t="inlineStr">
        <is>
          <t>AE</t>
        </is>
      </c>
      <c r="K683" t="inlineStr">
        <is>
          <t>Auto Engaged</t>
        </is>
      </c>
      <c r="L683" t="n">
        <v>5</v>
      </c>
      <c r="M683" t="inlineStr">
        <is>
          <t>2026-06-29 12:42:47</t>
        </is>
      </c>
      <c r="N683" t="inlineStr">
        <is>
          <t>system</t>
        </is>
      </c>
      <c r="O683" t="inlineStr">
        <is>
          <t>2026-06-17 14:10:06</t>
        </is>
      </c>
      <c r="P683" t="inlineStr">
        <is>
          <t>2026-06-17 14:10:06</t>
        </is>
      </c>
      <c r="Y683" t="inlineStr">
        <is>
          <t>27765222785</t>
        </is>
      </c>
    </row>
    <row r="684">
      <c r="A684" t="inlineStr">
        <is>
          <t>14920614</t>
        </is>
      </c>
      <c r="B684" t="inlineStr">
        <is>
          <t>9ee52960-35d3-454d-b41b-a95a79c52acc</t>
        </is>
      </c>
      <c r="D684" t="inlineStr">
        <is>
          <t>111111124</t>
        </is>
      </c>
      <c r="E684" t="inlineStr">
        <is>
          <t>Vodacom Life 20260617</t>
        </is>
      </c>
      <c r="G684" t="inlineStr">
        <is>
          <t>THANDOKAZI</t>
        </is>
      </c>
      <c r="H684" t="inlineStr">
        <is>
          <t>GCABA</t>
        </is>
      </c>
      <c r="J684" t="inlineStr">
        <is>
          <t>CU</t>
        </is>
      </c>
      <c r="K684" t="inlineStr">
        <is>
          <t>Client Hung Up</t>
        </is>
      </c>
      <c r="L684" t="n">
        <v>5</v>
      </c>
      <c r="M684" t="inlineStr">
        <is>
          <t>2026-06-29 12:42:46</t>
        </is>
      </c>
      <c r="N684" t="inlineStr">
        <is>
          <t>Khensane Mabasa</t>
        </is>
      </c>
      <c r="O684" t="inlineStr">
        <is>
          <t>2026-06-17 14:10:06</t>
        </is>
      </c>
      <c r="P684" t="inlineStr">
        <is>
          <t>2026-06-17 14:10:06</t>
        </is>
      </c>
      <c r="Y684" t="inlineStr">
        <is>
          <t>27723094925</t>
        </is>
      </c>
    </row>
    <row r="685">
      <c r="A685" t="inlineStr">
        <is>
          <t>14920615</t>
        </is>
      </c>
      <c r="B685" t="inlineStr">
        <is>
          <t>d3974a7a-7a1f-4d9e-96c8-c80a2f2b5b3d</t>
        </is>
      </c>
      <c r="D685" t="inlineStr">
        <is>
          <t>111111124</t>
        </is>
      </c>
      <c r="E685" t="inlineStr">
        <is>
          <t>Vodacom Life 20260617</t>
        </is>
      </c>
      <c r="G685" t="inlineStr">
        <is>
          <t>JEAN-PIERRE</t>
        </is>
      </c>
      <c r="H685" t="inlineStr">
        <is>
          <t>FOUCHE</t>
        </is>
      </c>
      <c r="J685" t="inlineStr">
        <is>
          <t>AA</t>
        </is>
      </c>
      <c r="K685" t="inlineStr">
        <is>
          <t>Answering Machine Autodial</t>
        </is>
      </c>
      <c r="L685" t="n">
        <v>5</v>
      </c>
      <c r="M685" t="inlineStr">
        <is>
          <t>2026-06-29 12:42:46</t>
        </is>
      </c>
      <c r="N685" t="inlineStr">
        <is>
          <t>system</t>
        </is>
      </c>
      <c r="O685" t="inlineStr">
        <is>
          <t>2026-06-17 14:10:06</t>
        </is>
      </c>
      <c r="P685" t="inlineStr">
        <is>
          <t>2026-06-17 14:10:06</t>
        </is>
      </c>
      <c r="Y685" t="inlineStr">
        <is>
          <t>27727195950</t>
        </is>
      </c>
    </row>
    <row r="686">
      <c r="A686" t="inlineStr">
        <is>
          <t>14920616</t>
        </is>
      </c>
      <c r="B686" t="inlineStr">
        <is>
          <t>1d39ab7e-6a54-431e-aa8f-cf11d3ce2565</t>
        </is>
      </c>
      <c r="D686" t="inlineStr">
        <is>
          <t>111111124</t>
        </is>
      </c>
      <c r="E686" t="inlineStr">
        <is>
          <t>Vodacom Life 20260617</t>
        </is>
      </c>
      <c r="G686" t="inlineStr">
        <is>
          <t>LORINDA</t>
        </is>
      </c>
      <c r="H686" t="inlineStr">
        <is>
          <t>VAN NIEKERK</t>
        </is>
      </c>
      <c r="J686" t="inlineStr">
        <is>
          <t>A</t>
        </is>
      </c>
      <c r="K686" t="inlineStr">
        <is>
          <t>Answering Machine</t>
        </is>
      </c>
      <c r="L686" t="n">
        <v>5</v>
      </c>
      <c r="M686" t="inlineStr">
        <is>
          <t>2026-06-29 12:42:46</t>
        </is>
      </c>
      <c r="N686" t="inlineStr">
        <is>
          <t>Musiiwa Mary Mabirimisa</t>
        </is>
      </c>
      <c r="O686" t="inlineStr">
        <is>
          <t>2026-06-17 14:10:06</t>
        </is>
      </c>
      <c r="P686" t="inlineStr">
        <is>
          <t>2026-06-17 14:10:06</t>
        </is>
      </c>
      <c r="Y686" t="inlineStr">
        <is>
          <t>27716793009</t>
        </is>
      </c>
    </row>
    <row r="687">
      <c r="A687" t="inlineStr">
        <is>
          <t>14920617</t>
        </is>
      </c>
      <c r="B687" t="inlineStr">
        <is>
          <t>5c207815-1714-410a-83a3-6381e4246aae</t>
        </is>
      </c>
      <c r="D687" t="inlineStr">
        <is>
          <t>111111124</t>
        </is>
      </c>
      <c r="E687" t="inlineStr">
        <is>
          <t>Vodacom Life 20260617</t>
        </is>
      </c>
      <c r="G687" t="inlineStr">
        <is>
          <t>SHUHAYMA</t>
        </is>
      </c>
      <c r="H687" t="inlineStr">
        <is>
          <t>ALLIE</t>
        </is>
      </c>
      <c r="J687" t="inlineStr">
        <is>
          <t>AA</t>
        </is>
      </c>
      <c r="K687" t="inlineStr">
        <is>
          <t>Answering Machine Autodial</t>
        </is>
      </c>
      <c r="L687" t="n">
        <v>5</v>
      </c>
      <c r="M687" t="inlineStr">
        <is>
          <t>2026-06-29 12:42:39</t>
        </is>
      </c>
      <c r="N687" t="inlineStr">
        <is>
          <t>system</t>
        </is>
      </c>
      <c r="O687" t="inlineStr">
        <is>
          <t>2026-06-17 14:10:06</t>
        </is>
      </c>
      <c r="P687" t="inlineStr">
        <is>
          <t>2026-06-17 14:10:06</t>
        </is>
      </c>
      <c r="Y687" t="inlineStr">
        <is>
          <t>27828724929</t>
        </is>
      </c>
    </row>
    <row r="688">
      <c r="A688" t="inlineStr">
        <is>
          <t>14920618</t>
        </is>
      </c>
      <c r="B688" t="inlineStr">
        <is>
          <t>0967e1a2-11c9-4067-a2f8-e88aa2d17b62</t>
        </is>
      </c>
      <c r="D688" t="inlineStr">
        <is>
          <t>111111124</t>
        </is>
      </c>
      <c r="E688" t="inlineStr">
        <is>
          <t>Vodacom Life 20260617</t>
        </is>
      </c>
      <c r="G688" t="inlineStr">
        <is>
          <t>ALWYN</t>
        </is>
      </c>
      <c r="H688" t="inlineStr">
        <is>
          <t>DIPPENAAR</t>
        </is>
      </c>
      <c r="J688" t="inlineStr">
        <is>
          <t>AE</t>
        </is>
      </c>
      <c r="K688" t="inlineStr">
        <is>
          <t>Auto Engaged</t>
        </is>
      </c>
      <c r="L688" t="n">
        <v>5</v>
      </c>
      <c r="M688" t="inlineStr">
        <is>
          <t>2026-06-29 12:42:37</t>
        </is>
      </c>
      <c r="N688" t="inlineStr">
        <is>
          <t>system</t>
        </is>
      </c>
      <c r="O688" t="inlineStr">
        <is>
          <t>2026-06-17 14:10:06</t>
        </is>
      </c>
      <c r="P688" t="inlineStr">
        <is>
          <t>2026-06-17 14:10:06</t>
        </is>
      </c>
      <c r="Y688" t="inlineStr">
        <is>
          <t>27765572225</t>
        </is>
      </c>
    </row>
    <row r="689">
      <c r="A689" t="inlineStr">
        <is>
          <t>14920619</t>
        </is>
      </c>
      <c r="B689" t="inlineStr">
        <is>
          <t>ea5ddadc-3880-40ad-b25c-1ace1e77b95f</t>
        </is>
      </c>
      <c r="D689" t="inlineStr">
        <is>
          <t>111111124</t>
        </is>
      </c>
      <c r="E689" t="inlineStr">
        <is>
          <t>Vodacom Life 20260617</t>
        </is>
      </c>
      <c r="G689" t="inlineStr">
        <is>
          <t>INGRED</t>
        </is>
      </c>
      <c r="H689" t="inlineStr">
        <is>
          <t>VAN ROOYEN</t>
        </is>
      </c>
      <c r="J689" t="inlineStr">
        <is>
          <t>NA</t>
        </is>
      </c>
      <c r="K689" t="inlineStr">
        <is>
          <t>No Answer Autodial</t>
        </is>
      </c>
      <c r="L689" t="n">
        <v>5</v>
      </c>
      <c r="M689" t="inlineStr">
        <is>
          <t>2026-06-29 12:42:36</t>
        </is>
      </c>
      <c r="N689" t="inlineStr">
        <is>
          <t>system</t>
        </is>
      </c>
      <c r="O689" t="inlineStr">
        <is>
          <t>2026-06-17 14:10:06</t>
        </is>
      </c>
      <c r="P689" t="inlineStr">
        <is>
          <t>2026-06-17 14:10:06</t>
        </is>
      </c>
      <c r="Y689" t="inlineStr">
        <is>
          <t>27716107269</t>
        </is>
      </c>
    </row>
    <row r="690">
      <c r="A690" t="inlineStr">
        <is>
          <t>14920621</t>
        </is>
      </c>
      <c r="B690" t="inlineStr">
        <is>
          <t>7bb56d51-f61f-43eb-b6ee-bf5eba6f9e62</t>
        </is>
      </c>
      <c r="D690" t="inlineStr">
        <is>
          <t>111111124</t>
        </is>
      </c>
      <c r="E690" t="inlineStr">
        <is>
          <t>Vodacom Life 20260617</t>
        </is>
      </c>
      <c r="G690" t="inlineStr">
        <is>
          <t>THABO</t>
        </is>
      </c>
      <c r="H690" t="inlineStr">
        <is>
          <t>MFIKOE</t>
        </is>
      </c>
      <c r="J690" t="inlineStr">
        <is>
          <t>NA</t>
        </is>
      </c>
      <c r="K690" t="inlineStr">
        <is>
          <t>No Answer Autodial</t>
        </is>
      </c>
      <c r="L690" t="n">
        <v>5</v>
      </c>
      <c r="M690" t="inlineStr">
        <is>
          <t>2026-06-29 12:41:53</t>
        </is>
      </c>
      <c r="N690" t="inlineStr">
        <is>
          <t>system</t>
        </is>
      </c>
      <c r="O690" t="inlineStr">
        <is>
          <t>2026-06-17 14:10:06</t>
        </is>
      </c>
      <c r="P690" t="inlineStr">
        <is>
          <t>2026-06-17 14:10:06</t>
        </is>
      </c>
      <c r="Y690" t="inlineStr">
        <is>
          <t>27714375184</t>
        </is>
      </c>
    </row>
    <row r="691">
      <c r="A691" t="inlineStr">
        <is>
          <t>14920629</t>
        </is>
      </c>
      <c r="B691" t="inlineStr">
        <is>
          <t>66163d9f-2470-491f-94c9-2f067a2fe826</t>
        </is>
      </c>
      <c r="D691" t="inlineStr">
        <is>
          <t>111111124</t>
        </is>
      </c>
      <c r="E691" t="inlineStr">
        <is>
          <t>Vodacom Life 20260617</t>
        </is>
      </c>
      <c r="G691" t="inlineStr">
        <is>
          <t>JONATHAN</t>
        </is>
      </c>
      <c r="H691" t="inlineStr">
        <is>
          <t>HITCHINGS</t>
        </is>
      </c>
      <c r="J691" t="inlineStr">
        <is>
          <t>ADC</t>
        </is>
      </c>
      <c r="K691" t="inlineStr">
        <is>
          <t>Auto Dial Disconnected</t>
        </is>
      </c>
      <c r="L691" t="n">
        <v>5</v>
      </c>
      <c r="M691" t="inlineStr">
        <is>
          <t>2026-06-29 12:41:51</t>
        </is>
      </c>
      <c r="N691" t="inlineStr">
        <is>
          <t>system</t>
        </is>
      </c>
      <c r="O691" t="inlineStr">
        <is>
          <t>2026-06-17 14:10:06</t>
        </is>
      </c>
      <c r="P691" t="inlineStr">
        <is>
          <t>2026-06-17 14:10:06</t>
        </is>
      </c>
      <c r="Y691" t="inlineStr">
        <is>
          <t>27825238699</t>
        </is>
      </c>
    </row>
    <row r="692">
      <c r="A692" t="inlineStr">
        <is>
          <t>14920677</t>
        </is>
      </c>
      <c r="B692" t="inlineStr">
        <is>
          <t>50d718f2-e3a3-4a2e-afbc-6a4047ec3b89</t>
        </is>
      </c>
      <c r="D692" t="inlineStr">
        <is>
          <t>111111124</t>
        </is>
      </c>
      <c r="E692" t="inlineStr">
        <is>
          <t>Vodacom Life 20260617</t>
        </is>
      </c>
      <c r="G692" t="inlineStr">
        <is>
          <t>TEBOGO</t>
        </is>
      </c>
      <c r="H692" t="inlineStr">
        <is>
          <t>PULE</t>
        </is>
      </c>
      <c r="J692" t="inlineStr">
        <is>
          <t>NA</t>
        </is>
      </c>
      <c r="K692" t="inlineStr">
        <is>
          <t>No Answer Autodial</t>
        </is>
      </c>
      <c r="L692" t="n">
        <v>5</v>
      </c>
      <c r="M692" t="inlineStr">
        <is>
          <t>2026-06-29 12:41:45</t>
        </is>
      </c>
      <c r="N692" t="inlineStr">
        <is>
          <t>system</t>
        </is>
      </c>
      <c r="O692" t="inlineStr">
        <is>
          <t>2026-06-17 14:10:06</t>
        </is>
      </c>
      <c r="P692" t="inlineStr">
        <is>
          <t>2026-06-17 14:10:06</t>
        </is>
      </c>
      <c r="Y692" t="inlineStr">
        <is>
          <t>27713591754</t>
        </is>
      </c>
    </row>
    <row r="693">
      <c r="A693" t="inlineStr">
        <is>
          <t>14920622</t>
        </is>
      </c>
      <c r="B693" t="inlineStr">
        <is>
          <t>363c2838-c7da-4f59-880e-6bb18f0c591d</t>
        </is>
      </c>
      <c r="D693" t="inlineStr">
        <is>
          <t>111111124</t>
        </is>
      </c>
      <c r="E693" t="inlineStr">
        <is>
          <t>Vodacom Life 20260617</t>
        </is>
      </c>
      <c r="G693" t="inlineStr">
        <is>
          <t>NDUDUZO</t>
        </is>
      </c>
      <c r="H693" t="inlineStr">
        <is>
          <t>MAGWAZA</t>
        </is>
      </c>
      <c r="J693" t="inlineStr">
        <is>
          <t>CU</t>
        </is>
      </c>
      <c r="K693" t="inlineStr">
        <is>
          <t>Client Hung Up</t>
        </is>
      </c>
      <c r="L693" t="n">
        <v>5</v>
      </c>
      <c r="M693" t="inlineStr">
        <is>
          <t>2026-06-29 12:41:45</t>
        </is>
      </c>
      <c r="N693" t="inlineStr">
        <is>
          <t>Khensane Mabasa</t>
        </is>
      </c>
      <c r="O693" t="inlineStr">
        <is>
          <t>2026-06-17 14:10:06</t>
        </is>
      </c>
      <c r="P693" t="inlineStr">
        <is>
          <t>2026-06-17 14:10:06</t>
        </is>
      </c>
      <c r="Y693" t="inlineStr">
        <is>
          <t>27724045073</t>
        </is>
      </c>
    </row>
    <row r="694">
      <c r="A694" t="inlineStr">
        <is>
          <t>14920623</t>
        </is>
      </c>
      <c r="B694" t="inlineStr">
        <is>
          <t>cf09bb4a-f1a1-4a5b-b8d1-981f3f28e8ac</t>
        </is>
      </c>
      <c r="D694" t="inlineStr">
        <is>
          <t>111111124</t>
        </is>
      </c>
      <c r="E694" t="inlineStr">
        <is>
          <t>Vodacom Life 20260617</t>
        </is>
      </c>
      <c r="G694" t="inlineStr">
        <is>
          <t>MFUNDO</t>
        </is>
      </c>
      <c r="H694" t="inlineStr">
        <is>
          <t>NDLOVU</t>
        </is>
      </c>
      <c r="J694" t="inlineStr">
        <is>
          <t>AA</t>
        </is>
      </c>
      <c r="K694" t="inlineStr">
        <is>
          <t>Answering Machine Autodial</t>
        </is>
      </c>
      <c r="L694" t="n">
        <v>5</v>
      </c>
      <c r="M694" t="inlineStr">
        <is>
          <t>2026-06-29 12:41:35</t>
        </is>
      </c>
      <c r="N694" t="inlineStr">
        <is>
          <t>system</t>
        </is>
      </c>
      <c r="O694" t="inlineStr">
        <is>
          <t>2026-06-17 14:10:06</t>
        </is>
      </c>
      <c r="P694" t="inlineStr">
        <is>
          <t>2026-06-17 14:10:06</t>
        </is>
      </c>
      <c r="Y694" t="inlineStr">
        <is>
          <t>27794215029</t>
        </is>
      </c>
    </row>
    <row r="695">
      <c r="A695" t="inlineStr">
        <is>
          <t>14920626</t>
        </is>
      </c>
      <c r="B695" t="inlineStr">
        <is>
          <t>650462c9-e743-4453-bc57-68b2379ed0b3</t>
        </is>
      </c>
      <c r="D695" t="inlineStr">
        <is>
          <t>111111124</t>
        </is>
      </c>
      <c r="E695" t="inlineStr">
        <is>
          <t>Vodacom Life 20260617</t>
        </is>
      </c>
      <c r="G695" t="inlineStr">
        <is>
          <t>LETITIA</t>
        </is>
      </c>
      <c r="H695" t="inlineStr">
        <is>
          <t>DIPPENAAR</t>
        </is>
      </c>
      <c r="J695" t="inlineStr">
        <is>
          <t>NI</t>
        </is>
      </c>
      <c r="K695" t="inlineStr">
        <is>
          <t>Not Interested</t>
        </is>
      </c>
      <c r="L695" t="n">
        <v>5</v>
      </c>
      <c r="M695" t="inlineStr">
        <is>
          <t>2026-06-29 12:41:31</t>
        </is>
      </c>
      <c r="N695" t="inlineStr">
        <is>
          <t>Musiiwa Mary Mabirimisa</t>
        </is>
      </c>
      <c r="O695" t="inlineStr">
        <is>
          <t>2026-06-17 14:10:06</t>
        </is>
      </c>
      <c r="P695" t="inlineStr">
        <is>
          <t>2026-06-17 14:10:06</t>
        </is>
      </c>
      <c r="Y695" t="inlineStr">
        <is>
          <t>27826926580</t>
        </is>
      </c>
    </row>
    <row r="696">
      <c r="A696" t="inlineStr">
        <is>
          <t>14920628</t>
        </is>
      </c>
      <c r="B696" t="inlineStr">
        <is>
          <t>a6f404b3-0199-47b4-91df-9989ddcb1228</t>
        </is>
      </c>
      <c r="D696" t="inlineStr">
        <is>
          <t>111111124</t>
        </is>
      </c>
      <c r="E696" t="inlineStr">
        <is>
          <t>Vodacom Life 20260617</t>
        </is>
      </c>
      <c r="G696" t="inlineStr">
        <is>
          <t>MOKGOTHU</t>
        </is>
      </c>
      <c r="H696" t="inlineStr">
        <is>
          <t>MOTSOELI</t>
        </is>
      </c>
      <c r="J696" t="inlineStr">
        <is>
          <t>NA</t>
        </is>
      </c>
      <c r="K696" t="inlineStr">
        <is>
          <t>No Answer Autodial</t>
        </is>
      </c>
      <c r="L696" t="n">
        <v>5</v>
      </c>
      <c r="M696" t="inlineStr">
        <is>
          <t>2026-06-29 12:41:29</t>
        </is>
      </c>
      <c r="N696" t="inlineStr">
        <is>
          <t>system</t>
        </is>
      </c>
      <c r="O696" t="inlineStr">
        <is>
          <t>2026-06-17 14:10:06</t>
        </is>
      </c>
      <c r="P696" t="inlineStr">
        <is>
          <t>2026-06-17 14:10:06</t>
        </is>
      </c>
      <c r="Y696" t="inlineStr">
        <is>
          <t>27826161499</t>
        </is>
      </c>
    </row>
    <row r="697">
      <c r="A697" t="inlineStr">
        <is>
          <t>14920676</t>
        </is>
      </c>
      <c r="B697" t="inlineStr">
        <is>
          <t>853c8bc6-043f-4cba-94cc-2d0378b5cba1</t>
        </is>
      </c>
      <c r="D697" t="inlineStr">
        <is>
          <t>111111124</t>
        </is>
      </c>
      <c r="E697" t="inlineStr">
        <is>
          <t>Vodacom Life 20260617</t>
        </is>
      </c>
      <c r="G697" t="inlineStr">
        <is>
          <t>KEDIBONE</t>
        </is>
      </c>
      <c r="H697" t="inlineStr">
        <is>
          <t>MALAKA</t>
        </is>
      </c>
      <c r="J697" t="inlineStr">
        <is>
          <t>AE</t>
        </is>
      </c>
      <c r="K697" t="inlineStr">
        <is>
          <t>Auto Engaged</t>
        </is>
      </c>
      <c r="L697" t="n">
        <v>5</v>
      </c>
      <c r="M697" t="inlineStr">
        <is>
          <t>2026-06-29 12:41:25</t>
        </is>
      </c>
      <c r="N697" t="inlineStr">
        <is>
          <t>system</t>
        </is>
      </c>
      <c r="O697" t="inlineStr">
        <is>
          <t>2026-06-17 14:10:06</t>
        </is>
      </c>
      <c r="P697" t="inlineStr">
        <is>
          <t>2026-06-17 14:10:06</t>
        </is>
      </c>
      <c r="Y697" t="inlineStr">
        <is>
          <t>27828250464</t>
        </is>
      </c>
    </row>
    <row r="698">
      <c r="A698" t="inlineStr">
        <is>
          <t>14921736</t>
        </is>
      </c>
      <c r="B698" t="inlineStr">
        <is>
          <t>2bac7b2d-f911-43a6-a3f3-e0fb20d5226d</t>
        </is>
      </c>
      <c r="D698" t="inlineStr">
        <is>
          <t>111111124</t>
        </is>
      </c>
      <c r="E698" t="inlineStr">
        <is>
          <t>Vodacom Life 20260617</t>
        </is>
      </c>
      <c r="G698" t="inlineStr">
        <is>
          <t>MADODA</t>
        </is>
      </c>
      <c r="H698" t="inlineStr">
        <is>
          <t>PLAATJIE</t>
        </is>
      </c>
      <c r="J698" t="inlineStr">
        <is>
          <t>CCB</t>
        </is>
      </c>
      <c r="K698" t="inlineStr">
        <is>
          <t>Call Dropped</t>
        </is>
      </c>
      <c r="L698" t="n">
        <v>5</v>
      </c>
      <c r="M698" t="inlineStr">
        <is>
          <t>2026-06-29 12:41:05</t>
        </is>
      </c>
      <c r="N698" t="inlineStr">
        <is>
          <t>Khensane Mabasa</t>
        </is>
      </c>
      <c r="O698" t="inlineStr">
        <is>
          <t>2026-06-17 14:10:06</t>
        </is>
      </c>
      <c r="P698" t="inlineStr">
        <is>
          <t>2026-06-17 14:10:06</t>
        </is>
      </c>
      <c r="Y698" t="inlineStr">
        <is>
          <t>27823225279</t>
        </is>
      </c>
    </row>
    <row r="699">
      <c r="A699" t="inlineStr">
        <is>
          <t>14921737</t>
        </is>
      </c>
      <c r="B699" t="inlineStr">
        <is>
          <t>aaf694a2-2c17-4b6e-8829-d97734b645f4</t>
        </is>
      </c>
      <c r="D699" t="inlineStr">
        <is>
          <t>111111124</t>
        </is>
      </c>
      <c r="E699" t="inlineStr">
        <is>
          <t>Vodacom Life 20260617</t>
        </is>
      </c>
      <c r="G699" t="inlineStr">
        <is>
          <t>ROBERT</t>
        </is>
      </c>
      <c r="H699" t="inlineStr">
        <is>
          <t>MONYELA</t>
        </is>
      </c>
      <c r="J699" t="inlineStr">
        <is>
          <t>CBACK</t>
        </is>
      </c>
      <c r="K699" t="inlineStr">
        <is>
          <t>Callback</t>
        </is>
      </c>
      <c r="L699" t="n">
        <v>5</v>
      </c>
      <c r="M699" t="inlineStr">
        <is>
          <t>2026-06-29 12:41:05</t>
        </is>
      </c>
      <c r="N699" t="inlineStr">
        <is>
          <t>Vanessa Kekana</t>
        </is>
      </c>
      <c r="O699" t="inlineStr">
        <is>
          <t>2026-06-17 14:10:06</t>
        </is>
      </c>
      <c r="P699" t="inlineStr">
        <is>
          <t>2026-06-17 14:10:06</t>
        </is>
      </c>
      <c r="Y699" t="inlineStr">
        <is>
          <t>27826959123</t>
        </is>
      </c>
    </row>
    <row r="700">
      <c r="A700" t="inlineStr">
        <is>
          <t>14921738</t>
        </is>
      </c>
      <c r="B700" t="inlineStr">
        <is>
          <t>2eefcb32-e4cb-489b-a8cd-3d6402cde270</t>
        </is>
      </c>
      <c r="D700" t="inlineStr">
        <is>
          <t>111111124</t>
        </is>
      </c>
      <c r="E700" t="inlineStr">
        <is>
          <t>Vodacom Life 20260617</t>
        </is>
      </c>
      <c r="G700" t="inlineStr">
        <is>
          <t>MPHO</t>
        </is>
      </c>
      <c r="H700" t="inlineStr">
        <is>
          <t>PHEHLE</t>
        </is>
      </c>
      <c r="J700" t="inlineStr">
        <is>
          <t>AA</t>
        </is>
      </c>
      <c r="K700" t="inlineStr">
        <is>
          <t>Answering Machine Autodial</t>
        </is>
      </c>
      <c r="L700" t="n">
        <v>5</v>
      </c>
      <c r="M700" t="inlineStr">
        <is>
          <t>2026-06-29 12:41:05</t>
        </is>
      </c>
      <c r="N700" t="inlineStr">
        <is>
          <t>system</t>
        </is>
      </c>
      <c r="O700" t="inlineStr">
        <is>
          <t>2026-06-17 14:10:06</t>
        </is>
      </c>
      <c r="P700" t="inlineStr">
        <is>
          <t>2026-06-17 14:10:06</t>
        </is>
      </c>
      <c r="Y700" t="inlineStr">
        <is>
          <t>27768039445</t>
        </is>
      </c>
    </row>
    <row r="701">
      <c r="A701" t="inlineStr">
        <is>
          <t>14921739</t>
        </is>
      </c>
      <c r="B701" t="inlineStr">
        <is>
          <t>1b078612-9058-40b3-b6aa-fa57b11a5734</t>
        </is>
      </c>
      <c r="D701" t="inlineStr">
        <is>
          <t>111111124</t>
        </is>
      </c>
      <c r="E701" t="inlineStr">
        <is>
          <t>Vodacom Life 20260617</t>
        </is>
      </c>
      <c r="G701" t="inlineStr">
        <is>
          <t>THAMODERAN</t>
        </is>
      </c>
      <c r="H701" t="inlineStr">
        <is>
          <t>PILLAY</t>
        </is>
      </c>
      <c r="J701" t="inlineStr">
        <is>
          <t>NA</t>
        </is>
      </c>
      <c r="K701" t="inlineStr">
        <is>
          <t>No Answer Autodial</t>
        </is>
      </c>
      <c r="L701" t="n">
        <v>5</v>
      </c>
      <c r="M701" t="inlineStr">
        <is>
          <t>2026-06-29 12:41:05</t>
        </is>
      </c>
      <c r="N701" t="inlineStr">
        <is>
          <t>system</t>
        </is>
      </c>
      <c r="O701" t="inlineStr">
        <is>
          <t>2026-06-17 14:10:06</t>
        </is>
      </c>
      <c r="P701" t="inlineStr">
        <is>
          <t>2026-06-17 14:10:06</t>
        </is>
      </c>
      <c r="Y701" t="inlineStr">
        <is>
          <t>27606574357</t>
        </is>
      </c>
    </row>
    <row r="702">
      <c r="A702" t="inlineStr">
        <is>
          <t>14921740</t>
        </is>
      </c>
      <c r="B702" t="inlineStr">
        <is>
          <t>4ef96152-f67b-4d15-9e30-f30e92b01a8b</t>
        </is>
      </c>
      <c r="D702" t="inlineStr">
        <is>
          <t>111111124</t>
        </is>
      </c>
      <c r="E702" t="inlineStr">
        <is>
          <t>Vodacom Life 20260617</t>
        </is>
      </c>
      <c r="G702" t="inlineStr">
        <is>
          <t>THABANG</t>
        </is>
      </c>
      <c r="H702" t="inlineStr">
        <is>
          <t>LEGOBATE</t>
        </is>
      </c>
      <c r="J702" t="inlineStr">
        <is>
          <t>AA</t>
        </is>
      </c>
      <c r="K702" t="inlineStr">
        <is>
          <t>Answering Machine Autodial</t>
        </is>
      </c>
      <c r="L702" t="n">
        <v>5</v>
      </c>
      <c r="M702" t="inlineStr">
        <is>
          <t>2026-06-29 12:41:04</t>
        </is>
      </c>
      <c r="N702" t="inlineStr">
        <is>
          <t>system</t>
        </is>
      </c>
      <c r="O702" t="inlineStr">
        <is>
          <t>2026-06-17 14:10:06</t>
        </is>
      </c>
      <c r="P702" t="inlineStr">
        <is>
          <t>2026-06-17 14:10:06</t>
        </is>
      </c>
      <c r="Y702" t="inlineStr">
        <is>
          <t>27663437780</t>
        </is>
      </c>
    </row>
    <row r="703">
      <c r="A703" t="inlineStr">
        <is>
          <t>14921744</t>
        </is>
      </c>
      <c r="B703" t="inlineStr">
        <is>
          <t>9c5d1db1-66c6-424e-8b7c-012bc858bc11</t>
        </is>
      </c>
      <c r="D703" t="inlineStr">
        <is>
          <t>111111124</t>
        </is>
      </c>
      <c r="E703" t="inlineStr">
        <is>
          <t>Vodacom Life 20260617</t>
        </is>
      </c>
      <c r="G703" t="inlineStr">
        <is>
          <t>ELLAH</t>
        </is>
      </c>
      <c r="H703" t="inlineStr">
        <is>
          <t>RADINGWANA</t>
        </is>
      </c>
      <c r="J703" t="inlineStr">
        <is>
          <t>IABDN</t>
        </is>
      </c>
      <c r="K703" t="inlineStr">
        <is>
          <t>Inbound Abandon</t>
        </is>
      </c>
      <c r="L703" t="n">
        <v>5</v>
      </c>
      <c r="M703" t="inlineStr">
        <is>
          <t>2026-06-29 12:40:31</t>
        </is>
      </c>
      <c r="N703" t="inlineStr">
        <is>
          <t>system</t>
        </is>
      </c>
      <c r="O703" t="inlineStr">
        <is>
          <t>2026-06-17 14:10:06</t>
        </is>
      </c>
      <c r="P703" t="inlineStr">
        <is>
          <t>2026-06-17 14:10:06</t>
        </is>
      </c>
      <c r="Y703" t="inlineStr">
        <is>
          <t>27662123796</t>
        </is>
      </c>
    </row>
    <row r="704">
      <c r="A704" t="inlineStr">
        <is>
          <t>14921764</t>
        </is>
      </c>
      <c r="B704" t="inlineStr">
        <is>
          <t>260a6823-14df-42c0-b562-67f6e35615a2</t>
        </is>
      </c>
      <c r="D704" t="inlineStr">
        <is>
          <t>111111124</t>
        </is>
      </c>
      <c r="E704" t="inlineStr">
        <is>
          <t>Vodacom Life 20260617</t>
        </is>
      </c>
      <c r="G704" t="inlineStr">
        <is>
          <t>XOLANI</t>
        </is>
      </c>
      <c r="H704" t="inlineStr">
        <is>
          <t>NGCOBO</t>
        </is>
      </c>
      <c r="J704" t="inlineStr">
        <is>
          <t>IABDN</t>
        </is>
      </c>
      <c r="K704" t="inlineStr">
        <is>
          <t>Inbound Abandon</t>
        </is>
      </c>
      <c r="L704" t="n">
        <v>5</v>
      </c>
      <c r="M704" t="inlineStr">
        <is>
          <t>2026-06-29 12:40:12</t>
        </is>
      </c>
      <c r="N704" t="inlineStr">
        <is>
          <t>system</t>
        </is>
      </c>
      <c r="O704" t="inlineStr">
        <is>
          <t>2026-06-17 14:10:06</t>
        </is>
      </c>
      <c r="P704" t="inlineStr">
        <is>
          <t>2026-06-17 14:10:06</t>
        </is>
      </c>
      <c r="Y704" t="inlineStr">
        <is>
          <t>27662873728</t>
        </is>
      </c>
    </row>
    <row r="705">
      <c r="A705" t="inlineStr">
        <is>
          <t>14921741</t>
        </is>
      </c>
      <c r="B705" t="inlineStr">
        <is>
          <t>2b197c72-169f-45d1-8a84-9f46b6e9ad86</t>
        </is>
      </c>
      <c r="D705" t="inlineStr">
        <is>
          <t>111111124</t>
        </is>
      </c>
      <c r="E705" t="inlineStr">
        <is>
          <t>Vodacom Life 20260617</t>
        </is>
      </c>
      <c r="G705" t="inlineStr">
        <is>
          <t>JOHAN</t>
        </is>
      </c>
      <c r="H705" t="inlineStr">
        <is>
          <t>BARKHUIZEN</t>
        </is>
      </c>
      <c r="J705" t="inlineStr">
        <is>
          <t>NIUP</t>
        </is>
      </c>
      <c r="K705" t="inlineStr">
        <is>
          <t>Not Interested Upfront</t>
        </is>
      </c>
      <c r="L705" t="n">
        <v>5</v>
      </c>
      <c r="M705" t="inlineStr">
        <is>
          <t>2026-06-29 12:39:58</t>
        </is>
      </c>
      <c r="N705" t="inlineStr">
        <is>
          <t>Vanessa Kekana</t>
        </is>
      </c>
      <c r="O705" t="inlineStr">
        <is>
          <t>2026-06-17 14:10:06</t>
        </is>
      </c>
      <c r="P705" t="inlineStr">
        <is>
          <t>2026-06-17 14:10:06</t>
        </is>
      </c>
      <c r="Y705" t="inlineStr">
        <is>
          <t>27824959052</t>
        </is>
      </c>
    </row>
    <row r="706">
      <c r="A706" t="inlineStr">
        <is>
          <t>14921742</t>
        </is>
      </c>
      <c r="B706" t="inlineStr">
        <is>
          <t>58160ffa-c2f1-4093-af9f-e9769bd5b01a</t>
        </is>
      </c>
      <c r="D706" t="inlineStr">
        <is>
          <t>111111124</t>
        </is>
      </c>
      <c r="E706" t="inlineStr">
        <is>
          <t>Vodacom Life 20260617</t>
        </is>
      </c>
      <c r="G706" t="inlineStr">
        <is>
          <t>MATSELISO</t>
        </is>
      </c>
      <c r="H706" t="inlineStr">
        <is>
          <t>MOEKETSE</t>
        </is>
      </c>
      <c r="J706" t="inlineStr">
        <is>
          <t>AA</t>
        </is>
      </c>
      <c r="K706" t="inlineStr">
        <is>
          <t>Answering Machine Autodial</t>
        </is>
      </c>
      <c r="L706" t="n">
        <v>5</v>
      </c>
      <c r="M706" t="inlineStr">
        <is>
          <t>2026-06-29 12:39:58</t>
        </is>
      </c>
      <c r="N706" t="inlineStr">
        <is>
          <t>system</t>
        </is>
      </c>
      <c r="O706" t="inlineStr">
        <is>
          <t>2026-06-17 14:10:06</t>
        </is>
      </c>
      <c r="P706" t="inlineStr">
        <is>
          <t>2026-06-17 14:10:06</t>
        </is>
      </c>
      <c r="Y706" t="inlineStr">
        <is>
          <t>27716063987</t>
        </is>
      </c>
    </row>
    <row r="707">
      <c r="A707" t="inlineStr">
        <is>
          <t>14921747</t>
        </is>
      </c>
      <c r="B707" t="inlineStr">
        <is>
          <t>97c3d559-19fa-4e84-81a4-394ca084eb6f</t>
        </is>
      </c>
      <c r="D707" t="inlineStr">
        <is>
          <t>111111124</t>
        </is>
      </c>
      <c r="E707" t="inlineStr">
        <is>
          <t>Vodacom Life 20260617</t>
        </is>
      </c>
      <c r="G707" t="inlineStr">
        <is>
          <t>ADERITO</t>
        </is>
      </c>
      <c r="H707" t="inlineStr">
        <is>
          <t>DA SILVA</t>
        </is>
      </c>
      <c r="J707" t="inlineStr">
        <is>
          <t>AA</t>
        </is>
      </c>
      <c r="K707" t="inlineStr">
        <is>
          <t>Answering Machine Autodial</t>
        </is>
      </c>
      <c r="L707" t="n">
        <v>5</v>
      </c>
      <c r="M707" t="inlineStr">
        <is>
          <t>2026-06-29 12:39:57</t>
        </is>
      </c>
      <c r="N707" t="inlineStr">
        <is>
          <t>system</t>
        </is>
      </c>
      <c r="O707" t="inlineStr">
        <is>
          <t>2026-06-17 14:10:06</t>
        </is>
      </c>
      <c r="P707" t="inlineStr">
        <is>
          <t>2026-06-17 14:10:06</t>
        </is>
      </c>
      <c r="Y707" t="inlineStr">
        <is>
          <t>27646873376</t>
        </is>
      </c>
    </row>
    <row r="708">
      <c r="A708" t="inlineStr">
        <is>
          <t>14921748</t>
        </is>
      </c>
      <c r="B708" t="inlineStr">
        <is>
          <t>c84e5fec-12ab-4d7c-942d-707f29f6e53d</t>
        </is>
      </c>
      <c r="D708" t="inlineStr">
        <is>
          <t>111111124</t>
        </is>
      </c>
      <c r="E708" t="inlineStr">
        <is>
          <t>Vodacom Life 20260617</t>
        </is>
      </c>
      <c r="G708" t="inlineStr">
        <is>
          <t>MARCHELLE</t>
        </is>
      </c>
      <c r="H708" t="inlineStr">
        <is>
          <t>MINNAAR</t>
        </is>
      </c>
      <c r="J708" t="inlineStr">
        <is>
          <t>ADC</t>
        </is>
      </c>
      <c r="K708" t="inlineStr">
        <is>
          <t>Auto Dial Disconnected</t>
        </is>
      </c>
      <c r="L708" t="n">
        <v>5</v>
      </c>
      <c r="M708" t="inlineStr">
        <is>
          <t>2026-06-29 12:39:57</t>
        </is>
      </c>
      <c r="N708" t="inlineStr">
        <is>
          <t>system</t>
        </is>
      </c>
      <c r="O708" t="inlineStr">
        <is>
          <t>2026-06-17 14:10:06</t>
        </is>
      </c>
      <c r="P708" t="inlineStr">
        <is>
          <t>2026-06-17 14:10:06</t>
        </is>
      </c>
      <c r="Y708" t="inlineStr">
        <is>
          <t>27847403247</t>
        </is>
      </c>
    </row>
    <row r="709">
      <c r="A709" t="inlineStr">
        <is>
          <t>14921749</t>
        </is>
      </c>
      <c r="B709" t="inlineStr">
        <is>
          <t>b3ea65ac-420e-41ab-bbda-d5eae9f44708</t>
        </is>
      </c>
      <c r="D709" t="inlineStr">
        <is>
          <t>111111124</t>
        </is>
      </c>
      <c r="E709" t="inlineStr">
        <is>
          <t>Vodacom Life 20260617</t>
        </is>
      </c>
      <c r="G709" t="inlineStr">
        <is>
          <t>NQOBILE</t>
        </is>
      </c>
      <c r="H709" t="inlineStr">
        <is>
          <t>KEKANA</t>
        </is>
      </c>
      <c r="J709" t="inlineStr">
        <is>
          <t>AA</t>
        </is>
      </c>
      <c r="K709" t="inlineStr">
        <is>
          <t>Answering Machine Autodial</t>
        </is>
      </c>
      <c r="L709" t="n">
        <v>5</v>
      </c>
      <c r="M709" t="inlineStr">
        <is>
          <t>2026-06-29 12:39:57</t>
        </is>
      </c>
      <c r="N709" t="inlineStr">
        <is>
          <t>system</t>
        </is>
      </c>
      <c r="O709" t="inlineStr">
        <is>
          <t>2026-06-17 14:10:06</t>
        </is>
      </c>
      <c r="P709" t="inlineStr">
        <is>
          <t>2026-06-17 14:10:06</t>
        </is>
      </c>
      <c r="Y709" t="inlineStr">
        <is>
          <t>27828113835</t>
        </is>
      </c>
    </row>
    <row r="710">
      <c r="A710" t="inlineStr">
        <is>
          <t>14921750</t>
        </is>
      </c>
      <c r="B710" t="inlineStr">
        <is>
          <t>7f19c7e8-4089-490a-b3fd-61c364656498</t>
        </is>
      </c>
      <c r="D710" t="inlineStr">
        <is>
          <t>111111124</t>
        </is>
      </c>
      <c r="E710" t="inlineStr">
        <is>
          <t>Vodacom Life 20260617</t>
        </is>
      </c>
      <c r="G710" t="inlineStr">
        <is>
          <t>TALIA</t>
        </is>
      </c>
      <c r="H710" t="inlineStr">
        <is>
          <t>WEST</t>
        </is>
      </c>
      <c r="J710" t="inlineStr">
        <is>
          <t>AE</t>
        </is>
      </c>
      <c r="K710" t="inlineStr">
        <is>
          <t>Auto Engaged</t>
        </is>
      </c>
      <c r="L710" t="n">
        <v>5</v>
      </c>
      <c r="M710" t="inlineStr">
        <is>
          <t>2026-06-29 12:39:57</t>
        </is>
      </c>
      <c r="N710" t="inlineStr">
        <is>
          <t>system</t>
        </is>
      </c>
      <c r="O710" t="inlineStr">
        <is>
          <t>2026-06-17 14:10:06</t>
        </is>
      </c>
      <c r="P710" t="inlineStr">
        <is>
          <t>2026-06-17 14:10:06</t>
        </is>
      </c>
      <c r="Y710" t="inlineStr">
        <is>
          <t>27725053307</t>
        </is>
      </c>
    </row>
    <row r="711">
      <c r="A711" t="inlineStr">
        <is>
          <t>14921751</t>
        </is>
      </c>
      <c r="B711" t="inlineStr">
        <is>
          <t>a54c3ac2-9505-4049-89b3-02cb124d873c</t>
        </is>
      </c>
      <c r="D711" t="inlineStr">
        <is>
          <t>111111124</t>
        </is>
      </c>
      <c r="E711" t="inlineStr">
        <is>
          <t>Vodacom Life 20260617</t>
        </is>
      </c>
      <c r="G711" t="inlineStr">
        <is>
          <t>MARDA</t>
        </is>
      </c>
      <c r="H711" t="inlineStr">
        <is>
          <t>VAN NIEKERK</t>
        </is>
      </c>
      <c r="J711" t="inlineStr">
        <is>
          <t>AA</t>
        </is>
      </c>
      <c r="K711" t="inlineStr">
        <is>
          <t>Answering Machine Autodial</t>
        </is>
      </c>
      <c r="L711" t="n">
        <v>5</v>
      </c>
      <c r="M711" t="inlineStr">
        <is>
          <t>2026-06-29 12:39:57</t>
        </is>
      </c>
      <c r="N711" t="inlineStr">
        <is>
          <t>system</t>
        </is>
      </c>
      <c r="O711" t="inlineStr">
        <is>
          <t>2026-06-17 14:10:06</t>
        </is>
      </c>
      <c r="P711" t="inlineStr">
        <is>
          <t>2026-06-17 14:10:06</t>
        </is>
      </c>
      <c r="Y711" t="inlineStr">
        <is>
          <t>27609238721</t>
        </is>
      </c>
    </row>
    <row r="712">
      <c r="A712" t="inlineStr">
        <is>
          <t>14921752</t>
        </is>
      </c>
      <c r="B712" t="inlineStr">
        <is>
          <t>f2838d2e-c7d3-434c-8ec0-3e69ead3871b</t>
        </is>
      </c>
      <c r="D712" t="inlineStr">
        <is>
          <t>111111124</t>
        </is>
      </c>
      <c r="E712" t="inlineStr">
        <is>
          <t>Vodacom Life 20260617</t>
        </is>
      </c>
      <c r="G712" t="inlineStr">
        <is>
          <t>INNOCENT</t>
        </is>
      </c>
      <c r="H712" t="inlineStr">
        <is>
          <t>NXUMALO</t>
        </is>
      </c>
      <c r="J712" t="inlineStr">
        <is>
          <t>ADC</t>
        </is>
      </c>
      <c r="K712" t="inlineStr">
        <is>
          <t>Auto Dial Disconnected</t>
        </is>
      </c>
      <c r="L712" t="n">
        <v>5</v>
      </c>
      <c r="M712" t="inlineStr">
        <is>
          <t>2026-06-29 12:39:56</t>
        </is>
      </c>
      <c r="N712" t="inlineStr">
        <is>
          <t>system</t>
        </is>
      </c>
      <c r="O712" t="inlineStr">
        <is>
          <t>2026-06-17 14:10:06</t>
        </is>
      </c>
      <c r="P712" t="inlineStr">
        <is>
          <t>2026-06-17 14:10:06</t>
        </is>
      </c>
      <c r="Y712" t="inlineStr">
        <is>
          <t>27796352424</t>
        </is>
      </c>
    </row>
    <row r="713">
      <c r="A713" t="inlineStr">
        <is>
          <t>14921753</t>
        </is>
      </c>
      <c r="B713" t="inlineStr">
        <is>
          <t>7aaea088-e395-424a-ac81-5d51dbc69aae</t>
        </is>
      </c>
      <c r="D713" t="inlineStr">
        <is>
          <t>111111124</t>
        </is>
      </c>
      <c r="E713" t="inlineStr">
        <is>
          <t>Vodacom Life 20260617</t>
        </is>
      </c>
      <c r="G713" t="inlineStr">
        <is>
          <t>PHALANE</t>
        </is>
      </c>
      <c r="H713" t="inlineStr">
        <is>
          <t>MAKUA</t>
        </is>
      </c>
      <c r="J713" t="inlineStr">
        <is>
          <t>AA</t>
        </is>
      </c>
      <c r="K713" t="inlineStr">
        <is>
          <t>Answering Machine Autodial</t>
        </is>
      </c>
      <c r="L713" t="n">
        <v>5</v>
      </c>
      <c r="M713" t="inlineStr">
        <is>
          <t>2026-06-29 12:39:53</t>
        </is>
      </c>
      <c r="N713" t="inlineStr">
        <is>
          <t>system</t>
        </is>
      </c>
      <c r="O713" t="inlineStr">
        <is>
          <t>2026-06-17 14:10:06</t>
        </is>
      </c>
      <c r="P713" t="inlineStr">
        <is>
          <t>2026-06-17 14:10:06</t>
        </is>
      </c>
      <c r="Y713" t="inlineStr">
        <is>
          <t>27769137236</t>
        </is>
      </c>
    </row>
    <row r="714">
      <c r="A714" t="inlineStr">
        <is>
          <t>14921754</t>
        </is>
      </c>
      <c r="B714" t="inlineStr">
        <is>
          <t>b4ac00f7-6e7c-479e-b6fe-ec444bd236a1</t>
        </is>
      </c>
      <c r="D714" t="inlineStr">
        <is>
          <t>111111124</t>
        </is>
      </c>
      <c r="E714" t="inlineStr">
        <is>
          <t>Vodacom Life 20260617</t>
        </is>
      </c>
      <c r="G714" t="inlineStr">
        <is>
          <t>REINHARD</t>
        </is>
      </c>
      <c r="H714" t="inlineStr">
        <is>
          <t>JANSE VAN VUUREN</t>
        </is>
      </c>
      <c r="J714" t="inlineStr">
        <is>
          <t>NI</t>
        </is>
      </c>
      <c r="K714" t="inlineStr">
        <is>
          <t>Not Interested</t>
        </is>
      </c>
      <c r="L714" t="n">
        <v>5</v>
      </c>
      <c r="M714" t="inlineStr">
        <is>
          <t>2026-06-29 12:39:47</t>
        </is>
      </c>
      <c r="N714" t="inlineStr">
        <is>
          <t>Musiiwa Mary Mabirimisa</t>
        </is>
      </c>
      <c r="O714" t="inlineStr">
        <is>
          <t>2026-06-17 14:10:06</t>
        </is>
      </c>
      <c r="P714" t="inlineStr">
        <is>
          <t>2026-06-17 14:10:06</t>
        </is>
      </c>
      <c r="Y714" t="inlineStr">
        <is>
          <t>27662720746</t>
        </is>
      </c>
    </row>
    <row r="715">
      <c r="A715" t="inlineStr">
        <is>
          <t>14921755</t>
        </is>
      </c>
      <c r="B715" t="inlineStr">
        <is>
          <t>706fd796-0b33-4780-ac50-e6658d5cfb91</t>
        </is>
      </c>
      <c r="D715" t="inlineStr">
        <is>
          <t>111111124</t>
        </is>
      </c>
      <c r="E715" t="inlineStr">
        <is>
          <t>Vodacom Life 20260617</t>
        </is>
      </c>
      <c r="G715" t="inlineStr">
        <is>
          <t>COLI</t>
        </is>
      </c>
      <c r="H715" t="inlineStr">
        <is>
          <t>WERNER</t>
        </is>
      </c>
      <c r="J715" t="inlineStr">
        <is>
          <t>AA</t>
        </is>
      </c>
      <c r="K715" t="inlineStr">
        <is>
          <t>Answering Machine Autodial</t>
        </is>
      </c>
      <c r="L715" t="n">
        <v>5</v>
      </c>
      <c r="M715" t="inlineStr">
        <is>
          <t>2026-06-29 12:39:45</t>
        </is>
      </c>
      <c r="N715" t="inlineStr">
        <is>
          <t>system</t>
        </is>
      </c>
      <c r="O715" t="inlineStr">
        <is>
          <t>2026-06-17 14:10:06</t>
        </is>
      </c>
      <c r="P715" t="inlineStr">
        <is>
          <t>2026-06-17 14:10:06</t>
        </is>
      </c>
      <c r="Y715" t="inlineStr">
        <is>
          <t>27766199928</t>
        </is>
      </c>
    </row>
    <row r="716">
      <c r="A716" t="inlineStr">
        <is>
          <t>14921756</t>
        </is>
      </c>
      <c r="B716" t="inlineStr">
        <is>
          <t>1bd1aeea-85b6-4d7d-964a-ee7379fda44d</t>
        </is>
      </c>
      <c r="D716" t="inlineStr">
        <is>
          <t>111111124</t>
        </is>
      </c>
      <c r="E716" t="inlineStr">
        <is>
          <t>Vodacom Life 20260617</t>
        </is>
      </c>
      <c r="G716" t="inlineStr">
        <is>
          <t>MARINA</t>
        </is>
      </c>
      <c r="H716" t="inlineStr">
        <is>
          <t>POTGIETER</t>
        </is>
      </c>
      <c r="J716" t="inlineStr">
        <is>
          <t>AE</t>
        </is>
      </c>
      <c r="K716" t="inlineStr">
        <is>
          <t>Auto Engaged</t>
        </is>
      </c>
      <c r="L716" t="n">
        <v>5</v>
      </c>
      <c r="M716" t="inlineStr">
        <is>
          <t>2026-06-29 12:39:45</t>
        </is>
      </c>
      <c r="N716" t="inlineStr">
        <is>
          <t>system</t>
        </is>
      </c>
      <c r="O716" t="inlineStr">
        <is>
          <t>2026-06-17 14:10:06</t>
        </is>
      </c>
      <c r="P716" t="inlineStr">
        <is>
          <t>2026-06-17 14:10:06</t>
        </is>
      </c>
      <c r="Y716" t="inlineStr">
        <is>
          <t>27799410809</t>
        </is>
      </c>
    </row>
    <row r="717">
      <c r="A717" t="inlineStr">
        <is>
          <t>14920651</t>
        </is>
      </c>
      <c r="B717" t="inlineStr">
        <is>
          <t>4493c46c-caf7-41e8-be7e-45d6ca74d50b</t>
        </is>
      </c>
      <c r="D717" t="inlineStr">
        <is>
          <t>111111124</t>
        </is>
      </c>
      <c r="E717" t="inlineStr">
        <is>
          <t>Vodacom Life 20260617</t>
        </is>
      </c>
      <c r="G717" t="inlineStr">
        <is>
          <t>MANNZWA</t>
        </is>
      </c>
      <c r="H717" t="inlineStr">
        <is>
          <t>LAMBANI</t>
        </is>
      </c>
      <c r="J717" t="inlineStr">
        <is>
          <t>AA</t>
        </is>
      </c>
      <c r="K717" t="inlineStr">
        <is>
          <t>Answering Machine Autodial</t>
        </is>
      </c>
      <c r="L717" t="n">
        <v>5</v>
      </c>
      <c r="M717" t="inlineStr">
        <is>
          <t>2026-06-29 12:39:44</t>
        </is>
      </c>
      <c r="N717" t="inlineStr">
        <is>
          <t>system</t>
        </is>
      </c>
      <c r="O717" t="inlineStr">
        <is>
          <t>2026-06-17 14:10:06</t>
        </is>
      </c>
      <c r="P717" t="inlineStr">
        <is>
          <t>2026-06-17 14:10:06</t>
        </is>
      </c>
      <c r="Y717" t="inlineStr">
        <is>
          <t>27725642552</t>
        </is>
      </c>
    </row>
    <row r="718">
      <c r="A718" t="inlineStr">
        <is>
          <t>14920610</t>
        </is>
      </c>
      <c r="B718" t="inlineStr">
        <is>
          <t>4e03eb25-ad6e-4c5b-8120-7e277fe936fc</t>
        </is>
      </c>
      <c r="D718" t="inlineStr">
        <is>
          <t>111111124</t>
        </is>
      </c>
      <c r="E718" t="inlineStr">
        <is>
          <t>Vodacom Life 20260617</t>
        </is>
      </c>
      <c r="G718" t="inlineStr">
        <is>
          <t>MICHELLE</t>
        </is>
      </c>
      <c r="H718" t="inlineStr">
        <is>
          <t>PIETERSEN</t>
        </is>
      </c>
      <c r="J718" t="inlineStr">
        <is>
          <t>OAL</t>
        </is>
      </c>
      <c r="K718" t="inlineStr">
        <is>
          <t>Over Age Limit</t>
        </is>
      </c>
      <c r="L718" t="n">
        <v>5</v>
      </c>
      <c r="M718" t="inlineStr">
        <is>
          <t>2026-06-29 12:39:44</t>
        </is>
      </c>
      <c r="N718" t="inlineStr">
        <is>
          <t>Maureen Ntsoko</t>
        </is>
      </c>
      <c r="O718" t="inlineStr">
        <is>
          <t>2026-06-17 14:10:06</t>
        </is>
      </c>
      <c r="P718" t="inlineStr">
        <is>
          <t>2026-06-17 14:10:06</t>
        </is>
      </c>
      <c r="Y718" t="inlineStr">
        <is>
          <t>27722740314</t>
        </is>
      </c>
    </row>
    <row r="719">
      <c r="A719" t="inlineStr">
        <is>
          <t>14921765</t>
        </is>
      </c>
      <c r="B719" t="inlineStr">
        <is>
          <t>cbc8e99d-5478-4905-9455-81f16300d2b2</t>
        </is>
      </c>
      <c r="D719" t="inlineStr">
        <is>
          <t>111111124</t>
        </is>
      </c>
      <c r="E719" t="inlineStr">
        <is>
          <t>Vodacom Life 20260617</t>
        </is>
      </c>
      <c r="G719" t="inlineStr">
        <is>
          <t>MI</t>
        </is>
      </c>
      <c r="H719" t="inlineStr">
        <is>
          <t>NKOSI</t>
        </is>
      </c>
      <c r="J719" t="inlineStr">
        <is>
          <t>AE</t>
        </is>
      </c>
      <c r="K719" t="inlineStr">
        <is>
          <t>Auto Engaged</t>
        </is>
      </c>
      <c r="L719" t="n">
        <v>5</v>
      </c>
      <c r="M719" t="inlineStr">
        <is>
          <t>2026-06-29 12:38:57</t>
        </is>
      </c>
      <c r="N719" t="inlineStr">
        <is>
          <t>system</t>
        </is>
      </c>
      <c r="O719" t="inlineStr">
        <is>
          <t>2026-06-17 14:10:06</t>
        </is>
      </c>
      <c r="P719" t="inlineStr">
        <is>
          <t>2026-06-17 14:10:06</t>
        </is>
      </c>
      <c r="Y719" t="inlineStr">
        <is>
          <t>27826166408</t>
        </is>
      </c>
    </row>
    <row r="720">
      <c r="A720" t="inlineStr">
        <is>
          <t>14921770</t>
        </is>
      </c>
      <c r="B720" t="inlineStr">
        <is>
          <t>34ff246e-7618-4a14-825c-e55e2f7a36b0</t>
        </is>
      </c>
      <c r="D720" t="inlineStr">
        <is>
          <t>111111124</t>
        </is>
      </c>
      <c r="E720" t="inlineStr">
        <is>
          <t>Vodacom Life 20260617</t>
        </is>
      </c>
      <c r="G720" t="inlineStr">
        <is>
          <t>JENNA</t>
        </is>
      </c>
      <c r="H720" t="inlineStr">
        <is>
          <t>KEMP</t>
        </is>
      </c>
      <c r="J720" t="inlineStr">
        <is>
          <t>AE</t>
        </is>
      </c>
      <c r="K720" t="inlineStr">
        <is>
          <t>Auto Engaged</t>
        </is>
      </c>
      <c r="L720" t="n">
        <v>5</v>
      </c>
      <c r="M720" t="inlineStr">
        <is>
          <t>2026-06-29 12:38:57</t>
        </is>
      </c>
      <c r="N720" t="inlineStr">
        <is>
          <t>system</t>
        </is>
      </c>
      <c r="O720" t="inlineStr">
        <is>
          <t>2026-06-17 14:10:06</t>
        </is>
      </c>
      <c r="P720" t="inlineStr">
        <is>
          <t>2026-06-17 14:10:06</t>
        </is>
      </c>
      <c r="Y720" t="inlineStr">
        <is>
          <t>27825723551</t>
        </is>
      </c>
    </row>
    <row r="721">
      <c r="A721" t="inlineStr">
        <is>
          <t>14921945</t>
        </is>
      </c>
      <c r="B721" t="inlineStr">
        <is>
          <t>29ba28e6-164f-4605-a4e4-6ac2e84255cc</t>
        </is>
      </c>
      <c r="D721" t="inlineStr">
        <is>
          <t>111111124</t>
        </is>
      </c>
      <c r="E721" t="inlineStr">
        <is>
          <t>Vodacom Life 20260617</t>
        </is>
      </c>
      <c r="G721" t="inlineStr">
        <is>
          <t>DUMISO</t>
        </is>
      </c>
      <c r="H721" t="inlineStr">
        <is>
          <t>NGOMANE</t>
        </is>
      </c>
      <c r="J721" t="inlineStr">
        <is>
          <t>CBACK</t>
        </is>
      </c>
      <c r="K721" t="inlineStr">
        <is>
          <t>Callback</t>
        </is>
      </c>
      <c r="L721" t="n">
        <v>5</v>
      </c>
      <c r="M721" t="inlineStr">
        <is>
          <t>2026-06-29 12:38:47</t>
        </is>
      </c>
      <c r="N721" t="inlineStr">
        <is>
          <t>Maureen Ntsoko</t>
        </is>
      </c>
      <c r="O721" t="inlineStr">
        <is>
          <t>2026-06-17 14:10:06</t>
        </is>
      </c>
      <c r="P721" t="inlineStr">
        <is>
          <t>2026-06-17 14:10:06</t>
        </is>
      </c>
      <c r="Y721" t="inlineStr">
        <is>
          <t>27723196121</t>
        </is>
      </c>
    </row>
    <row r="722">
      <c r="A722" t="inlineStr">
        <is>
          <t>14921771</t>
        </is>
      </c>
      <c r="B722" t="inlineStr">
        <is>
          <t>cbe66927-f593-44f7-a0e5-4f5033e56083</t>
        </is>
      </c>
      <c r="D722" t="inlineStr">
        <is>
          <t>111111124</t>
        </is>
      </c>
      <c r="E722" t="inlineStr">
        <is>
          <t>Vodacom Life 20260617</t>
        </is>
      </c>
      <c r="G722" t="inlineStr">
        <is>
          <t>JUSTICE</t>
        </is>
      </c>
      <c r="H722" t="inlineStr">
        <is>
          <t>MOERANE</t>
        </is>
      </c>
      <c r="J722" t="inlineStr">
        <is>
          <t>DROP</t>
        </is>
      </c>
      <c r="K722" t="inlineStr">
        <is>
          <t>Dropped</t>
        </is>
      </c>
      <c r="L722" t="n">
        <v>5</v>
      </c>
      <c r="M722" t="inlineStr">
        <is>
          <t>2026-06-29 12:38:29</t>
        </is>
      </c>
      <c r="N722" t="inlineStr">
        <is>
          <t>system</t>
        </is>
      </c>
      <c r="O722" t="inlineStr">
        <is>
          <t>2026-06-17 14:10:06</t>
        </is>
      </c>
      <c r="P722" t="inlineStr">
        <is>
          <t>2026-06-17 14:10:06</t>
        </is>
      </c>
      <c r="Y722" t="inlineStr">
        <is>
          <t>27824351843</t>
        </is>
      </c>
    </row>
    <row r="723">
      <c r="A723" t="inlineStr">
        <is>
          <t>14921828</t>
        </is>
      </c>
      <c r="B723" t="inlineStr">
        <is>
          <t>2ab156ef-50d5-476a-bf9b-c69a395d4e5a</t>
        </is>
      </c>
      <c r="D723" t="inlineStr">
        <is>
          <t>111111124</t>
        </is>
      </c>
      <c r="E723" t="inlineStr">
        <is>
          <t>Vodacom Life 20260617</t>
        </is>
      </c>
      <c r="G723" t="inlineStr">
        <is>
          <t>NEO</t>
        </is>
      </c>
      <c r="H723" t="inlineStr">
        <is>
          <t>SATHEKGE</t>
        </is>
      </c>
      <c r="J723" t="inlineStr">
        <is>
          <t>CCB</t>
        </is>
      </c>
      <c r="K723" t="inlineStr">
        <is>
          <t>Call Dropped</t>
        </is>
      </c>
      <c r="L723" t="n">
        <v>5</v>
      </c>
      <c r="M723" t="inlineStr">
        <is>
          <t>2026-06-29 12:38:28</t>
        </is>
      </c>
      <c r="N723" t="inlineStr">
        <is>
          <t>Musiiwa Mary Mabirimisa</t>
        </is>
      </c>
      <c r="O723" t="inlineStr">
        <is>
          <t>2026-06-17 14:10:06</t>
        </is>
      </c>
      <c r="P723" t="inlineStr">
        <is>
          <t>2026-06-17 14:10:06</t>
        </is>
      </c>
      <c r="Y723" t="inlineStr">
        <is>
          <t>27765305015</t>
        </is>
      </c>
    </row>
    <row r="724">
      <c r="A724" t="inlineStr">
        <is>
          <t>14921773</t>
        </is>
      </c>
      <c r="B724" t="inlineStr">
        <is>
          <t>966c8384-110e-4b3f-8afd-7d863b6321fe</t>
        </is>
      </c>
      <c r="D724" t="inlineStr">
        <is>
          <t>111111124</t>
        </is>
      </c>
      <c r="E724" t="inlineStr">
        <is>
          <t>Vodacom Life 20260617</t>
        </is>
      </c>
      <c r="G724" t="inlineStr">
        <is>
          <t>MZWANDILE</t>
        </is>
      </c>
      <c r="H724" t="inlineStr">
        <is>
          <t>ZONDI</t>
        </is>
      </c>
      <c r="J724" t="inlineStr">
        <is>
          <t>DROP</t>
        </is>
      </c>
      <c r="K724" t="inlineStr">
        <is>
          <t>Dropped</t>
        </is>
      </c>
      <c r="L724" t="n">
        <v>5</v>
      </c>
      <c r="M724" t="inlineStr">
        <is>
          <t>2026-06-29 12:38:28</t>
        </is>
      </c>
      <c r="N724" t="inlineStr">
        <is>
          <t>system</t>
        </is>
      </c>
      <c r="O724" t="inlineStr">
        <is>
          <t>2026-06-17 14:10:06</t>
        </is>
      </c>
      <c r="P724" t="inlineStr">
        <is>
          <t>2026-06-17 14:10:06</t>
        </is>
      </c>
      <c r="Y724" t="inlineStr">
        <is>
          <t>27729804268</t>
        </is>
      </c>
    </row>
    <row r="725">
      <c r="A725" t="inlineStr">
        <is>
          <t>14921774</t>
        </is>
      </c>
      <c r="B725" t="inlineStr">
        <is>
          <t>7f68cb9c-ee69-4b7d-b185-bf6633661aa7</t>
        </is>
      </c>
      <c r="D725" t="inlineStr">
        <is>
          <t>111111124</t>
        </is>
      </c>
      <c r="E725" t="inlineStr">
        <is>
          <t>Vodacom Life 20260617</t>
        </is>
      </c>
      <c r="G725" t="inlineStr">
        <is>
          <t>JACINTHIA</t>
        </is>
      </c>
      <c r="H725" t="inlineStr">
        <is>
          <t>LANGEVELD</t>
        </is>
      </c>
      <c r="J725" t="inlineStr">
        <is>
          <t>AA</t>
        </is>
      </c>
      <c r="K725" t="inlineStr">
        <is>
          <t>Answering Machine Autodial</t>
        </is>
      </c>
      <c r="L725" t="n">
        <v>5</v>
      </c>
      <c r="M725" t="inlineStr">
        <is>
          <t>2026-06-29 12:38:25</t>
        </is>
      </c>
      <c r="N725" t="inlineStr">
        <is>
          <t>system</t>
        </is>
      </c>
      <c r="O725" t="inlineStr">
        <is>
          <t>2026-06-17 14:10:06</t>
        </is>
      </c>
      <c r="P725" t="inlineStr">
        <is>
          <t>2026-06-17 14:10:06</t>
        </is>
      </c>
      <c r="Y725" t="inlineStr">
        <is>
          <t>27662213884</t>
        </is>
      </c>
    </row>
    <row r="726">
      <c r="A726" t="inlineStr">
        <is>
          <t>14921775</t>
        </is>
      </c>
      <c r="B726" t="inlineStr">
        <is>
          <t>c628955e-bf4b-4b4e-b751-38f0dd416609</t>
        </is>
      </c>
      <c r="D726" t="inlineStr">
        <is>
          <t>111111124</t>
        </is>
      </c>
      <c r="E726" t="inlineStr">
        <is>
          <t>Vodacom Life 20260617</t>
        </is>
      </c>
      <c r="G726" t="inlineStr">
        <is>
          <t>SIMANGA</t>
        </is>
      </c>
      <c r="H726" t="inlineStr">
        <is>
          <t>NDAWO</t>
        </is>
      </c>
      <c r="J726" t="inlineStr">
        <is>
          <t>AE</t>
        </is>
      </c>
      <c r="K726" t="inlineStr">
        <is>
          <t>Auto Engaged</t>
        </is>
      </c>
      <c r="L726" t="n">
        <v>5</v>
      </c>
      <c r="M726" t="inlineStr">
        <is>
          <t>2026-06-29 12:38:25</t>
        </is>
      </c>
      <c r="N726" t="inlineStr">
        <is>
          <t>system</t>
        </is>
      </c>
      <c r="O726" t="inlineStr">
        <is>
          <t>2026-06-17 14:10:06</t>
        </is>
      </c>
      <c r="P726" t="inlineStr">
        <is>
          <t>2026-06-17 14:10:06</t>
        </is>
      </c>
      <c r="Y726" t="inlineStr">
        <is>
          <t>27826013127</t>
        </is>
      </c>
    </row>
    <row r="727">
      <c r="A727" t="inlineStr">
        <is>
          <t>14921776</t>
        </is>
      </c>
      <c r="B727" t="inlineStr">
        <is>
          <t>56b43ae4-5556-4539-8cd5-522b7b27c8f7</t>
        </is>
      </c>
      <c r="D727" t="inlineStr">
        <is>
          <t>111111124</t>
        </is>
      </c>
      <c r="E727" t="inlineStr">
        <is>
          <t>Vodacom Life 20260617</t>
        </is>
      </c>
      <c r="G727" t="inlineStr">
        <is>
          <t>GRACA</t>
        </is>
      </c>
      <c r="H727" t="inlineStr">
        <is>
          <t>DA SILVA</t>
        </is>
      </c>
      <c r="J727" t="inlineStr">
        <is>
          <t>AA</t>
        </is>
      </c>
      <c r="K727" t="inlineStr">
        <is>
          <t>Answering Machine Autodial</t>
        </is>
      </c>
      <c r="L727" t="n">
        <v>5</v>
      </c>
      <c r="M727" t="inlineStr">
        <is>
          <t>2026-06-29 12:38:24</t>
        </is>
      </c>
      <c r="N727" t="inlineStr">
        <is>
          <t>system</t>
        </is>
      </c>
      <c r="O727" t="inlineStr">
        <is>
          <t>2026-06-17 14:10:06</t>
        </is>
      </c>
      <c r="P727" t="inlineStr">
        <is>
          <t>2026-06-17 14:10:06</t>
        </is>
      </c>
      <c r="Y727" t="inlineStr">
        <is>
          <t>27829602303</t>
        </is>
      </c>
    </row>
    <row r="728">
      <c r="A728" t="inlineStr">
        <is>
          <t>14921777</t>
        </is>
      </c>
      <c r="B728" t="inlineStr">
        <is>
          <t>1c9e2d13-7d2f-4782-9cc6-d56290be8173</t>
        </is>
      </c>
      <c r="D728" t="inlineStr">
        <is>
          <t>111111124</t>
        </is>
      </c>
      <c r="E728" t="inlineStr">
        <is>
          <t>Vodacom Life 20260617</t>
        </is>
      </c>
      <c r="G728" t="inlineStr">
        <is>
          <t>MANDLA</t>
        </is>
      </c>
      <c r="H728" t="inlineStr">
        <is>
          <t>NGUBENI</t>
        </is>
      </c>
      <c r="J728" t="inlineStr">
        <is>
          <t>NA</t>
        </is>
      </c>
      <c r="K728" t="inlineStr">
        <is>
          <t>No Answer Autodial</t>
        </is>
      </c>
      <c r="L728" t="n">
        <v>5</v>
      </c>
      <c r="M728" t="inlineStr">
        <is>
          <t>2026-06-29 12:38:24</t>
        </is>
      </c>
      <c r="N728" t="inlineStr">
        <is>
          <t>system</t>
        </is>
      </c>
      <c r="O728" t="inlineStr">
        <is>
          <t>2026-06-17 14:10:06</t>
        </is>
      </c>
      <c r="P728" t="inlineStr">
        <is>
          <t>2026-06-17 14:10:06</t>
        </is>
      </c>
      <c r="Y728" t="inlineStr">
        <is>
          <t>27760829494</t>
        </is>
      </c>
    </row>
    <row r="729">
      <c r="A729" t="inlineStr">
        <is>
          <t>14921778</t>
        </is>
      </c>
      <c r="B729" t="inlineStr">
        <is>
          <t>278a94bb-d363-4ab9-baa5-bebf92b21b4e</t>
        </is>
      </c>
      <c r="D729" t="inlineStr">
        <is>
          <t>111111124</t>
        </is>
      </c>
      <c r="E729" t="inlineStr">
        <is>
          <t>Vodacom Life 20260617</t>
        </is>
      </c>
      <c r="G729" t="inlineStr">
        <is>
          <t>ELANZA</t>
        </is>
      </c>
      <c r="H729" t="inlineStr">
        <is>
          <t>DE VILLIERS</t>
        </is>
      </c>
      <c r="J729" t="inlineStr">
        <is>
          <t>CU</t>
        </is>
      </c>
      <c r="K729" t="inlineStr">
        <is>
          <t>Client Hung Up</t>
        </is>
      </c>
      <c r="L729" t="n">
        <v>5</v>
      </c>
      <c r="M729" t="inlineStr">
        <is>
          <t>2026-06-29 12:38:22</t>
        </is>
      </c>
      <c r="N729" t="inlineStr">
        <is>
          <t>Maureen Ntsoko</t>
        </is>
      </c>
      <c r="O729" t="inlineStr">
        <is>
          <t>2026-06-17 14:10:06</t>
        </is>
      </c>
      <c r="P729" t="inlineStr">
        <is>
          <t>2026-06-17 14:10:06</t>
        </is>
      </c>
      <c r="Y729" t="inlineStr">
        <is>
          <t>27790647262</t>
        </is>
      </c>
    </row>
    <row r="730">
      <c r="A730" t="inlineStr">
        <is>
          <t>14921780</t>
        </is>
      </c>
      <c r="B730" t="inlineStr">
        <is>
          <t>0495ee33-2451-41bc-b604-bdd9ca962444</t>
        </is>
      </c>
      <c r="D730" t="inlineStr">
        <is>
          <t>111111124</t>
        </is>
      </c>
      <c r="E730" t="inlineStr">
        <is>
          <t>Vodacom Life 20260617</t>
        </is>
      </c>
      <c r="G730" t="inlineStr">
        <is>
          <t>LEONIE</t>
        </is>
      </c>
      <c r="H730" t="inlineStr">
        <is>
          <t>BOTHA</t>
        </is>
      </c>
      <c r="J730" t="inlineStr">
        <is>
          <t>AE</t>
        </is>
      </c>
      <c r="K730" t="inlineStr">
        <is>
          <t>Auto Engaged</t>
        </is>
      </c>
      <c r="L730" t="n">
        <v>5</v>
      </c>
      <c r="M730" t="inlineStr">
        <is>
          <t>2026-06-29 12:38:22</t>
        </is>
      </c>
      <c r="N730" t="inlineStr">
        <is>
          <t>system</t>
        </is>
      </c>
      <c r="O730" t="inlineStr">
        <is>
          <t>2026-06-17 14:10:06</t>
        </is>
      </c>
      <c r="P730" t="inlineStr">
        <is>
          <t>2026-06-17 14:10:06</t>
        </is>
      </c>
      <c r="Y730" t="inlineStr">
        <is>
          <t>27729421559</t>
        </is>
      </c>
    </row>
    <row r="731">
      <c r="A731" t="inlineStr">
        <is>
          <t>14921781</t>
        </is>
      </c>
      <c r="B731" t="inlineStr">
        <is>
          <t>07250d4f-d2d6-4328-89b2-7a166ffd3180</t>
        </is>
      </c>
      <c r="D731" t="inlineStr">
        <is>
          <t>111111124</t>
        </is>
      </c>
      <c r="E731" t="inlineStr">
        <is>
          <t>Vodacom Life 20260617</t>
        </is>
      </c>
      <c r="G731" t="inlineStr">
        <is>
          <t>SIHLE</t>
        </is>
      </c>
      <c r="H731" t="inlineStr">
        <is>
          <t>HLUYAKO</t>
        </is>
      </c>
      <c r="J731" t="inlineStr">
        <is>
          <t>DROP</t>
        </is>
      </c>
      <c r="K731" t="inlineStr">
        <is>
          <t>Dropped</t>
        </is>
      </c>
      <c r="L731" t="n">
        <v>5</v>
      </c>
      <c r="M731" t="inlineStr">
        <is>
          <t>2026-06-29 12:38:22</t>
        </is>
      </c>
      <c r="N731" t="inlineStr">
        <is>
          <t>system</t>
        </is>
      </c>
      <c r="O731" t="inlineStr">
        <is>
          <t>2026-06-17 14:10:06</t>
        </is>
      </c>
      <c r="P731" t="inlineStr">
        <is>
          <t>2026-06-17 14:10:06</t>
        </is>
      </c>
      <c r="Y731" t="inlineStr">
        <is>
          <t>27723339097</t>
        </is>
      </c>
    </row>
    <row r="732">
      <c r="A732" t="inlineStr">
        <is>
          <t>14921072</t>
        </is>
      </c>
      <c r="B732" t="inlineStr">
        <is>
          <t>12fed8cd-0929-4d3f-bf81-1f204f51ca4a</t>
        </is>
      </c>
      <c r="D732" t="inlineStr">
        <is>
          <t>111111124</t>
        </is>
      </c>
      <c r="E732" t="inlineStr">
        <is>
          <t>Vodacom Life 20260617</t>
        </is>
      </c>
      <c r="G732" t="inlineStr">
        <is>
          <t>JOHAN</t>
        </is>
      </c>
      <c r="H732" t="inlineStr">
        <is>
          <t>HUMAN</t>
        </is>
      </c>
      <c r="J732" t="inlineStr">
        <is>
          <t>IABDN</t>
        </is>
      </c>
      <c r="K732" t="inlineStr">
        <is>
          <t>Inbound Abandon</t>
        </is>
      </c>
      <c r="L732" t="n">
        <v>5</v>
      </c>
      <c r="M732" t="inlineStr">
        <is>
          <t>2026-06-29 12:38:19</t>
        </is>
      </c>
      <c r="N732" t="inlineStr">
        <is>
          <t>system</t>
        </is>
      </c>
      <c r="O732" t="inlineStr">
        <is>
          <t>2026-06-17 14:10:06</t>
        </is>
      </c>
      <c r="P732" t="inlineStr">
        <is>
          <t>2026-06-17 14:10:06</t>
        </is>
      </c>
      <c r="Y732" t="inlineStr">
        <is>
          <t>27836260690</t>
        </is>
      </c>
    </row>
    <row r="733">
      <c r="A733" t="inlineStr">
        <is>
          <t>14921782</t>
        </is>
      </c>
      <c r="B733" t="inlineStr">
        <is>
          <t>c69e6f63-249f-41e6-bc06-d7a23ad45734</t>
        </is>
      </c>
      <c r="D733" t="inlineStr">
        <is>
          <t>111111124</t>
        </is>
      </c>
      <c r="E733" t="inlineStr">
        <is>
          <t>Vodacom Life 20260617</t>
        </is>
      </c>
      <c r="G733" t="inlineStr">
        <is>
          <t>TOE</t>
        </is>
      </c>
      <c r="H733" t="inlineStr">
        <is>
          <t>NKOSI</t>
        </is>
      </c>
      <c r="J733" t="inlineStr">
        <is>
          <t>CU</t>
        </is>
      </c>
      <c r="K733" t="inlineStr">
        <is>
          <t>Client Hung Up</t>
        </is>
      </c>
      <c r="L733" t="n">
        <v>5</v>
      </c>
      <c r="M733" t="inlineStr">
        <is>
          <t>2026-06-29 12:38:00</t>
        </is>
      </c>
      <c r="N733" t="inlineStr">
        <is>
          <t>Maureen Ntsoko</t>
        </is>
      </c>
      <c r="O733" t="inlineStr">
        <is>
          <t>2026-06-17 14:10:06</t>
        </is>
      </c>
      <c r="P733" t="inlineStr">
        <is>
          <t>2026-06-17 14:10:06</t>
        </is>
      </c>
      <c r="Y733" t="inlineStr">
        <is>
          <t>27726526724</t>
        </is>
      </c>
    </row>
    <row r="734">
      <c r="A734" t="inlineStr">
        <is>
          <t>14921783</t>
        </is>
      </c>
      <c r="B734" t="inlineStr">
        <is>
          <t>70245db2-cea9-4fb5-acb6-18f57b892eeb</t>
        </is>
      </c>
      <c r="D734" t="inlineStr">
        <is>
          <t>111111124</t>
        </is>
      </c>
      <c r="E734" t="inlineStr">
        <is>
          <t>Vodacom Life 20260617</t>
        </is>
      </c>
      <c r="G734" t="inlineStr">
        <is>
          <t>SALMON</t>
        </is>
      </c>
      <c r="H734" t="inlineStr">
        <is>
          <t>STRYDOM</t>
        </is>
      </c>
      <c r="J734" t="inlineStr">
        <is>
          <t>AE</t>
        </is>
      </c>
      <c r="K734" t="inlineStr">
        <is>
          <t>Auto Engaged</t>
        </is>
      </c>
      <c r="L734" t="n">
        <v>5</v>
      </c>
      <c r="M734" t="inlineStr">
        <is>
          <t>2026-06-29 12:38:00</t>
        </is>
      </c>
      <c r="N734" t="inlineStr">
        <is>
          <t>system</t>
        </is>
      </c>
      <c r="O734" t="inlineStr">
        <is>
          <t>2026-06-17 14:10:06</t>
        </is>
      </c>
      <c r="P734" t="inlineStr">
        <is>
          <t>2026-06-17 14:10:06</t>
        </is>
      </c>
      <c r="Y734" t="inlineStr">
        <is>
          <t>27787372595</t>
        </is>
      </c>
    </row>
    <row r="735">
      <c r="A735" t="inlineStr">
        <is>
          <t>14921785</t>
        </is>
      </c>
      <c r="B735" t="inlineStr">
        <is>
          <t>d39e2f07-5292-4b2b-ade4-b6331d9795fd</t>
        </is>
      </c>
      <c r="D735" t="inlineStr">
        <is>
          <t>111111124</t>
        </is>
      </c>
      <c r="E735" t="inlineStr">
        <is>
          <t>Vodacom Life 20260617</t>
        </is>
      </c>
      <c r="G735" t="inlineStr">
        <is>
          <t>JUSTICE</t>
        </is>
      </c>
      <c r="H735" t="inlineStr">
        <is>
          <t>MABASO</t>
        </is>
      </c>
      <c r="J735" t="inlineStr">
        <is>
          <t>DROP</t>
        </is>
      </c>
      <c r="K735" t="inlineStr">
        <is>
          <t>Dropped</t>
        </is>
      </c>
      <c r="L735" t="n">
        <v>5</v>
      </c>
      <c r="M735" t="inlineStr">
        <is>
          <t>2026-06-29 12:38:00</t>
        </is>
      </c>
      <c r="N735" t="inlineStr">
        <is>
          <t>system</t>
        </is>
      </c>
      <c r="O735" t="inlineStr">
        <is>
          <t>2026-06-17 14:10:06</t>
        </is>
      </c>
      <c r="P735" t="inlineStr">
        <is>
          <t>2026-06-17 14:10:06</t>
        </is>
      </c>
      <c r="Y735" t="inlineStr">
        <is>
          <t>27665431977</t>
        </is>
      </c>
    </row>
    <row r="736">
      <c r="A736" t="inlineStr">
        <is>
          <t>14921786</t>
        </is>
      </c>
      <c r="B736" t="inlineStr">
        <is>
          <t>57918e04-9a46-4334-907f-ad68a9c9968d</t>
        </is>
      </c>
      <c r="D736" t="inlineStr">
        <is>
          <t>111111124</t>
        </is>
      </c>
      <c r="E736" t="inlineStr">
        <is>
          <t>Vodacom Life 20260617</t>
        </is>
      </c>
      <c r="G736" t="inlineStr">
        <is>
          <t>PAULINE</t>
        </is>
      </c>
      <c r="H736" t="inlineStr">
        <is>
          <t>MATJILA</t>
        </is>
      </c>
      <c r="J736" t="inlineStr">
        <is>
          <t>ADC</t>
        </is>
      </c>
      <c r="K736" t="inlineStr">
        <is>
          <t>Auto Dial Disconnected</t>
        </is>
      </c>
      <c r="L736" t="n">
        <v>5</v>
      </c>
      <c r="M736" t="inlineStr">
        <is>
          <t>2026-06-29 12:38:00</t>
        </is>
      </c>
      <c r="N736" t="inlineStr">
        <is>
          <t>system</t>
        </is>
      </c>
      <c r="O736" t="inlineStr">
        <is>
          <t>2026-06-17 14:10:06</t>
        </is>
      </c>
      <c r="P736" t="inlineStr">
        <is>
          <t>2026-06-17 14:10:06</t>
        </is>
      </c>
      <c r="Y736" t="inlineStr">
        <is>
          <t>27799173799</t>
        </is>
      </c>
    </row>
    <row r="737">
      <c r="A737" t="inlineStr">
        <is>
          <t>14921787</t>
        </is>
      </c>
      <c r="B737" t="inlineStr">
        <is>
          <t>065a8d89-19fd-44f4-9c74-586499e26e16</t>
        </is>
      </c>
      <c r="D737" t="inlineStr">
        <is>
          <t>111111124</t>
        </is>
      </c>
      <c r="E737" t="inlineStr">
        <is>
          <t>Vodacom Life 20260617</t>
        </is>
      </c>
      <c r="G737" t="inlineStr">
        <is>
          <t>AYANDA</t>
        </is>
      </c>
      <c r="H737" t="inlineStr">
        <is>
          <t>THELA</t>
        </is>
      </c>
      <c r="J737" t="inlineStr">
        <is>
          <t>AE</t>
        </is>
      </c>
      <c r="K737" t="inlineStr">
        <is>
          <t>Auto Engaged</t>
        </is>
      </c>
      <c r="L737" t="n">
        <v>5</v>
      </c>
      <c r="M737" t="inlineStr">
        <is>
          <t>2026-06-29 12:37:53</t>
        </is>
      </c>
      <c r="N737" t="inlineStr">
        <is>
          <t>system</t>
        </is>
      </c>
      <c r="O737" t="inlineStr">
        <is>
          <t>2026-06-17 14:10:06</t>
        </is>
      </c>
      <c r="P737" t="inlineStr">
        <is>
          <t>2026-06-17 14:10:06</t>
        </is>
      </c>
      <c r="Y737" t="inlineStr">
        <is>
          <t>27762752311</t>
        </is>
      </c>
    </row>
    <row r="738">
      <c r="A738" t="inlineStr">
        <is>
          <t>14921788</t>
        </is>
      </c>
      <c r="B738" t="inlineStr">
        <is>
          <t>4924bc4e-4689-47f4-871e-81cdbb938c73</t>
        </is>
      </c>
      <c r="D738" t="inlineStr">
        <is>
          <t>111111124</t>
        </is>
      </c>
      <c r="E738" t="inlineStr">
        <is>
          <t>Vodacom Life 20260617</t>
        </is>
      </c>
      <c r="G738" t="inlineStr">
        <is>
          <t>HESTER</t>
        </is>
      </c>
      <c r="H738" t="inlineStr">
        <is>
          <t>KRITZINGER</t>
        </is>
      </c>
      <c r="J738" t="inlineStr">
        <is>
          <t>DROP</t>
        </is>
      </c>
      <c r="K738" t="inlineStr">
        <is>
          <t>Dropped</t>
        </is>
      </c>
      <c r="L738" t="n">
        <v>5</v>
      </c>
      <c r="M738" t="inlineStr">
        <is>
          <t>2026-06-29 12:37:51</t>
        </is>
      </c>
      <c r="N738" t="inlineStr">
        <is>
          <t>system</t>
        </is>
      </c>
      <c r="O738" t="inlineStr">
        <is>
          <t>2026-06-17 14:10:06</t>
        </is>
      </c>
      <c r="P738" t="inlineStr">
        <is>
          <t>2026-06-17 14:10:06</t>
        </is>
      </c>
      <c r="Y738" t="inlineStr">
        <is>
          <t>27796912695</t>
        </is>
      </c>
    </row>
    <row r="739">
      <c r="A739" t="inlineStr">
        <is>
          <t>14921790</t>
        </is>
      </c>
      <c r="B739" t="inlineStr">
        <is>
          <t>18ad8d5d-76d8-4b25-a798-b00e0306d199</t>
        </is>
      </c>
      <c r="D739" t="inlineStr">
        <is>
          <t>111111124</t>
        </is>
      </c>
      <c r="E739" t="inlineStr">
        <is>
          <t>Vodacom Life 20260617</t>
        </is>
      </c>
      <c r="G739" t="inlineStr">
        <is>
          <t>CHIEF</t>
        </is>
      </c>
      <c r="H739" t="inlineStr">
        <is>
          <t>VILAKAZI</t>
        </is>
      </c>
      <c r="J739" t="inlineStr">
        <is>
          <t>DROP</t>
        </is>
      </c>
      <c r="K739" t="inlineStr">
        <is>
          <t>Dropped</t>
        </is>
      </c>
      <c r="L739" t="n">
        <v>5</v>
      </c>
      <c r="M739" t="inlineStr">
        <is>
          <t>2026-06-29 12:37:50</t>
        </is>
      </c>
      <c r="N739" t="inlineStr">
        <is>
          <t>system</t>
        </is>
      </c>
      <c r="O739" t="inlineStr">
        <is>
          <t>2026-06-17 14:10:06</t>
        </is>
      </c>
      <c r="P739" t="inlineStr">
        <is>
          <t>2026-06-17 14:10:06</t>
        </is>
      </c>
      <c r="Y739" t="inlineStr">
        <is>
          <t>27646598837</t>
        </is>
      </c>
    </row>
    <row r="740">
      <c r="A740" t="inlineStr">
        <is>
          <t>14921792</t>
        </is>
      </c>
      <c r="B740" t="inlineStr">
        <is>
          <t>483707e7-2f91-4394-9379-29d65efd711b</t>
        </is>
      </c>
      <c r="D740" t="inlineStr">
        <is>
          <t>111111124</t>
        </is>
      </c>
      <c r="E740" t="inlineStr">
        <is>
          <t>Vodacom Life 20260617</t>
        </is>
      </c>
      <c r="G740" t="inlineStr">
        <is>
          <t>DYLAN</t>
        </is>
      </c>
      <c r="H740" t="inlineStr">
        <is>
          <t>SCHOOMBIE</t>
        </is>
      </c>
      <c r="J740" t="inlineStr">
        <is>
          <t>AA</t>
        </is>
      </c>
      <c r="K740" t="inlineStr">
        <is>
          <t>Answering Machine Autodial</t>
        </is>
      </c>
      <c r="L740" t="n">
        <v>5</v>
      </c>
      <c r="M740" t="inlineStr">
        <is>
          <t>2026-06-29 12:37:49</t>
        </is>
      </c>
      <c r="N740" t="inlineStr">
        <is>
          <t>system</t>
        </is>
      </c>
      <c r="O740" t="inlineStr">
        <is>
          <t>2026-06-17 14:10:06</t>
        </is>
      </c>
      <c r="P740" t="inlineStr">
        <is>
          <t>2026-06-17 14:10:06</t>
        </is>
      </c>
      <c r="Y740" t="inlineStr">
        <is>
          <t>27824483207</t>
        </is>
      </c>
    </row>
    <row r="741">
      <c r="A741" t="inlineStr">
        <is>
          <t>14921794</t>
        </is>
      </c>
      <c r="B741" t="inlineStr">
        <is>
          <t>d3fef0c8-ef96-46fb-98c2-a9706855dfff</t>
        </is>
      </c>
      <c r="D741" t="inlineStr">
        <is>
          <t>111111124</t>
        </is>
      </c>
      <c r="E741" t="inlineStr">
        <is>
          <t>Vodacom Life 20260617</t>
        </is>
      </c>
      <c r="G741" t="inlineStr">
        <is>
          <t>M</t>
        </is>
      </c>
      <c r="H741" t="inlineStr">
        <is>
          <t>RANAMANE</t>
        </is>
      </c>
      <c r="J741" t="inlineStr">
        <is>
          <t>DROP</t>
        </is>
      </c>
      <c r="K741" t="inlineStr">
        <is>
          <t>Dropped</t>
        </is>
      </c>
      <c r="L741" t="n">
        <v>5</v>
      </c>
      <c r="M741" t="inlineStr">
        <is>
          <t>2026-06-29 12:37:49</t>
        </is>
      </c>
      <c r="N741" t="inlineStr">
        <is>
          <t>system</t>
        </is>
      </c>
      <c r="O741" t="inlineStr">
        <is>
          <t>2026-06-17 14:10:06</t>
        </is>
      </c>
      <c r="P741" t="inlineStr">
        <is>
          <t>2026-06-17 14:10:06</t>
        </is>
      </c>
      <c r="Y741" t="inlineStr">
        <is>
          <t>27664387013</t>
        </is>
      </c>
    </row>
    <row r="742">
      <c r="A742" t="inlineStr">
        <is>
          <t>14921795</t>
        </is>
      </c>
      <c r="B742" t="inlineStr">
        <is>
          <t>d32ae7e3-af94-43b5-aeea-7886da7c6b0e</t>
        </is>
      </c>
      <c r="D742" t="inlineStr">
        <is>
          <t>111111124</t>
        </is>
      </c>
      <c r="E742" t="inlineStr">
        <is>
          <t>Vodacom Life 20260617</t>
        </is>
      </c>
      <c r="G742" t="inlineStr">
        <is>
          <t>DUMISANI</t>
        </is>
      </c>
      <c r="H742" t="inlineStr">
        <is>
          <t>MABASO</t>
        </is>
      </c>
      <c r="J742" t="inlineStr">
        <is>
          <t>AA</t>
        </is>
      </c>
      <c r="K742" t="inlineStr">
        <is>
          <t>Answering Machine Autodial</t>
        </is>
      </c>
      <c r="L742" t="n">
        <v>5</v>
      </c>
      <c r="M742" t="inlineStr">
        <is>
          <t>2026-06-29 12:37:47</t>
        </is>
      </c>
      <c r="N742" t="inlineStr">
        <is>
          <t>system</t>
        </is>
      </c>
      <c r="O742" t="inlineStr">
        <is>
          <t>2026-06-17 14:10:06</t>
        </is>
      </c>
      <c r="P742" t="inlineStr">
        <is>
          <t>2026-06-17 14:10:06</t>
        </is>
      </c>
      <c r="Y742" t="inlineStr">
        <is>
          <t>27798034003</t>
        </is>
      </c>
    </row>
    <row r="743">
      <c r="A743" t="inlineStr">
        <is>
          <t>14921183</t>
        </is>
      </c>
      <c r="B743" t="inlineStr">
        <is>
          <t>2027ec3c-51e7-4c02-ae8d-78738c6521c3</t>
        </is>
      </c>
      <c r="D743" t="inlineStr">
        <is>
          <t>111111124</t>
        </is>
      </c>
      <c r="E743" t="inlineStr">
        <is>
          <t>Vodacom Life 20260617</t>
        </is>
      </c>
      <c r="G743" t="inlineStr">
        <is>
          <t>SHARONROSE</t>
        </is>
      </c>
      <c r="H743" t="inlineStr">
        <is>
          <t>SEFORA</t>
        </is>
      </c>
      <c r="J743" t="inlineStr">
        <is>
          <t>AE</t>
        </is>
      </c>
      <c r="K743" t="inlineStr">
        <is>
          <t>Auto Engaged</t>
        </is>
      </c>
      <c r="L743" t="n">
        <v>5</v>
      </c>
      <c r="M743" t="inlineStr">
        <is>
          <t>2026-06-29 12:37:46</t>
        </is>
      </c>
      <c r="N743" t="inlineStr">
        <is>
          <t>system</t>
        </is>
      </c>
      <c r="O743" t="inlineStr">
        <is>
          <t>2026-06-17 14:10:06</t>
        </is>
      </c>
      <c r="P743" t="inlineStr">
        <is>
          <t>2026-06-17 14:10:06</t>
        </is>
      </c>
      <c r="Y743" t="inlineStr">
        <is>
          <t>27798644990</t>
        </is>
      </c>
    </row>
    <row r="744">
      <c r="A744" t="inlineStr">
        <is>
          <t>14921812</t>
        </is>
      </c>
      <c r="B744" t="inlineStr">
        <is>
          <t>fe4dbbd5-a49f-4ce2-8c60-34e3177dbc60</t>
        </is>
      </c>
      <c r="D744" t="inlineStr">
        <is>
          <t>111111124</t>
        </is>
      </c>
      <c r="E744" t="inlineStr">
        <is>
          <t>Vodacom Life 20260617</t>
        </is>
      </c>
      <c r="G744" t="inlineStr">
        <is>
          <t>SANDILE</t>
        </is>
      </c>
      <c r="H744" t="inlineStr">
        <is>
          <t>ZIQUBU</t>
        </is>
      </c>
      <c r="J744" t="inlineStr">
        <is>
          <t>AA</t>
        </is>
      </c>
      <c r="K744" t="inlineStr">
        <is>
          <t>Answering Machine Autodial</t>
        </is>
      </c>
      <c r="L744" t="n">
        <v>5</v>
      </c>
      <c r="M744" t="inlineStr">
        <is>
          <t>2026-06-29 12:37:46</t>
        </is>
      </c>
      <c r="N744" t="inlineStr">
        <is>
          <t>system</t>
        </is>
      </c>
      <c r="O744" t="inlineStr">
        <is>
          <t>2026-06-17 14:10:06</t>
        </is>
      </c>
      <c r="P744" t="inlineStr">
        <is>
          <t>2026-06-17 14:10:06</t>
        </is>
      </c>
      <c r="Y744" t="inlineStr">
        <is>
          <t>27761737921</t>
        </is>
      </c>
    </row>
    <row r="745">
      <c r="A745" t="inlineStr">
        <is>
          <t>14921813</t>
        </is>
      </c>
      <c r="B745" t="inlineStr">
        <is>
          <t>6434fdc1-aaf1-4845-971c-6c8574ea6f0a</t>
        </is>
      </c>
      <c r="D745" t="inlineStr">
        <is>
          <t>111111124</t>
        </is>
      </c>
      <c r="E745" t="inlineStr">
        <is>
          <t>Vodacom Life 20260617</t>
        </is>
      </c>
      <c r="G745" t="inlineStr">
        <is>
          <t>H</t>
        </is>
      </c>
      <c r="H745" t="inlineStr">
        <is>
          <t>BRAND</t>
        </is>
      </c>
      <c r="J745" t="inlineStr">
        <is>
          <t>AA</t>
        </is>
      </c>
      <c r="K745" t="inlineStr">
        <is>
          <t>Answering Machine Autodial</t>
        </is>
      </c>
      <c r="L745" t="n">
        <v>5</v>
      </c>
      <c r="M745" t="inlineStr">
        <is>
          <t>2026-06-29 12:37:46</t>
        </is>
      </c>
      <c r="N745" t="inlineStr">
        <is>
          <t>system</t>
        </is>
      </c>
      <c r="O745" t="inlineStr">
        <is>
          <t>2026-06-17 14:10:06</t>
        </is>
      </c>
      <c r="P745" t="inlineStr">
        <is>
          <t>2026-06-17 14:10:06</t>
        </is>
      </c>
      <c r="Y745" t="inlineStr">
        <is>
          <t>27764023764</t>
        </is>
      </c>
    </row>
    <row r="746">
      <c r="A746" t="inlineStr">
        <is>
          <t>14921814</t>
        </is>
      </c>
      <c r="B746" t="inlineStr">
        <is>
          <t>3c334ee2-ac9f-4641-81cf-7c7fb1e16be2</t>
        </is>
      </c>
      <c r="D746" t="inlineStr">
        <is>
          <t>111111124</t>
        </is>
      </c>
      <c r="E746" t="inlineStr">
        <is>
          <t>Vodacom Life 20260617</t>
        </is>
      </c>
      <c r="G746" t="inlineStr">
        <is>
          <t>VIDHYA</t>
        </is>
      </c>
      <c r="H746" t="inlineStr">
        <is>
          <t>DAYALALL</t>
        </is>
      </c>
      <c r="J746" t="inlineStr">
        <is>
          <t>AE</t>
        </is>
      </c>
      <c r="K746" t="inlineStr">
        <is>
          <t>Auto Engaged</t>
        </is>
      </c>
      <c r="L746" t="n">
        <v>5</v>
      </c>
      <c r="M746" t="inlineStr">
        <is>
          <t>2026-06-29 12:37:46</t>
        </is>
      </c>
      <c r="N746" t="inlineStr">
        <is>
          <t>system</t>
        </is>
      </c>
      <c r="O746" t="inlineStr">
        <is>
          <t>2026-06-17 14:10:06</t>
        </is>
      </c>
      <c r="P746" t="inlineStr">
        <is>
          <t>2026-06-17 14:10:06</t>
        </is>
      </c>
      <c r="Y746" t="inlineStr">
        <is>
          <t>27727869581</t>
        </is>
      </c>
    </row>
    <row r="747">
      <c r="A747" t="inlineStr">
        <is>
          <t>14921797</t>
        </is>
      </c>
      <c r="B747" t="inlineStr">
        <is>
          <t>1fa39f37-61d2-46f7-b481-2b42f16f0a4f</t>
        </is>
      </c>
      <c r="D747" t="inlineStr">
        <is>
          <t>111111124</t>
        </is>
      </c>
      <c r="E747" t="inlineStr">
        <is>
          <t>Vodacom Life 20260617</t>
        </is>
      </c>
      <c r="G747" t="inlineStr">
        <is>
          <t>MAGATE</t>
        </is>
      </c>
      <c r="H747" t="inlineStr">
        <is>
          <t>MOTEME</t>
        </is>
      </c>
      <c r="J747" t="inlineStr">
        <is>
          <t>AE</t>
        </is>
      </c>
      <c r="K747" t="inlineStr">
        <is>
          <t>Auto Engaged</t>
        </is>
      </c>
      <c r="L747" t="n">
        <v>5</v>
      </c>
      <c r="M747" t="inlineStr">
        <is>
          <t>2026-06-29 12:37:46</t>
        </is>
      </c>
      <c r="N747" t="inlineStr">
        <is>
          <t>system</t>
        </is>
      </c>
      <c r="O747" t="inlineStr">
        <is>
          <t>2026-06-17 14:10:06</t>
        </is>
      </c>
      <c r="P747" t="inlineStr">
        <is>
          <t>2026-06-17 14:10:06</t>
        </is>
      </c>
      <c r="Y747" t="inlineStr">
        <is>
          <t>27721534340</t>
        </is>
      </c>
    </row>
    <row r="748">
      <c r="A748" t="inlineStr">
        <is>
          <t>14921799</t>
        </is>
      </c>
      <c r="B748" t="inlineStr">
        <is>
          <t>c8600436-d30b-455f-9b6a-45a8b1891b77</t>
        </is>
      </c>
      <c r="D748" t="inlineStr">
        <is>
          <t>111111124</t>
        </is>
      </c>
      <c r="E748" t="inlineStr">
        <is>
          <t>Vodacom Life 20260617</t>
        </is>
      </c>
      <c r="G748" t="inlineStr">
        <is>
          <t>MILLICENT</t>
        </is>
      </c>
      <c r="H748" t="inlineStr">
        <is>
          <t>MASHA</t>
        </is>
      </c>
      <c r="J748" t="inlineStr">
        <is>
          <t>DROP</t>
        </is>
      </c>
      <c r="K748" t="inlineStr">
        <is>
          <t>Dropped</t>
        </is>
      </c>
      <c r="L748" t="n">
        <v>5</v>
      </c>
      <c r="M748" t="inlineStr">
        <is>
          <t>2026-06-29 12:37:46</t>
        </is>
      </c>
      <c r="N748" t="inlineStr">
        <is>
          <t>system</t>
        </is>
      </c>
      <c r="O748" t="inlineStr">
        <is>
          <t>2026-06-17 14:10:06</t>
        </is>
      </c>
      <c r="P748" t="inlineStr">
        <is>
          <t>2026-06-17 14:10:06</t>
        </is>
      </c>
      <c r="Y748" t="inlineStr">
        <is>
          <t>27720761160</t>
        </is>
      </c>
    </row>
    <row r="749">
      <c r="A749" t="inlineStr">
        <is>
          <t>14921800</t>
        </is>
      </c>
      <c r="B749" t="inlineStr">
        <is>
          <t>b511edcf-d752-4d14-9d56-dfbfb6322500</t>
        </is>
      </c>
      <c r="D749" t="inlineStr">
        <is>
          <t>111111124</t>
        </is>
      </c>
      <c r="E749" t="inlineStr">
        <is>
          <t>Vodacom Life 20260617</t>
        </is>
      </c>
      <c r="G749" t="inlineStr">
        <is>
          <t>MOYAHABO</t>
        </is>
      </c>
      <c r="H749" t="inlineStr">
        <is>
          <t>MANTHATA</t>
        </is>
      </c>
      <c r="J749" t="inlineStr">
        <is>
          <t>A</t>
        </is>
      </c>
      <c r="K749" t="inlineStr">
        <is>
          <t>Answering Machine</t>
        </is>
      </c>
      <c r="L749" t="n">
        <v>5</v>
      </c>
      <c r="M749" t="inlineStr">
        <is>
          <t>2026-06-29 12:37:46</t>
        </is>
      </c>
      <c r="N749" t="inlineStr">
        <is>
          <t>bongiwe lushaba</t>
        </is>
      </c>
      <c r="O749" t="inlineStr">
        <is>
          <t>2026-06-17 14:10:06</t>
        </is>
      </c>
      <c r="P749" t="inlineStr">
        <is>
          <t>2026-06-17 14:10:06</t>
        </is>
      </c>
      <c r="Y749" t="inlineStr">
        <is>
          <t>27827191916</t>
        </is>
      </c>
    </row>
    <row r="750">
      <c r="A750" t="inlineStr">
        <is>
          <t>14921801</t>
        </is>
      </c>
      <c r="B750" t="inlineStr">
        <is>
          <t>fdb3e901-a797-4339-80dd-6fe645e5df6c</t>
        </is>
      </c>
      <c r="D750" t="inlineStr">
        <is>
          <t>111111124</t>
        </is>
      </c>
      <c r="E750" t="inlineStr">
        <is>
          <t>Vodacom Life 20260617</t>
        </is>
      </c>
      <c r="G750" t="inlineStr">
        <is>
          <t>ABRAM</t>
        </is>
      </c>
      <c r="H750" t="inlineStr">
        <is>
          <t>MOFOKENG</t>
        </is>
      </c>
      <c r="J750" t="inlineStr">
        <is>
          <t>OAL</t>
        </is>
      </c>
      <c r="K750" t="inlineStr">
        <is>
          <t>Over Age Limit</t>
        </is>
      </c>
      <c r="L750" t="n">
        <v>5</v>
      </c>
      <c r="M750" t="inlineStr">
        <is>
          <t>2026-06-29 12:37:46</t>
        </is>
      </c>
      <c r="N750" t="inlineStr">
        <is>
          <t>Khensane Mabasa</t>
        </is>
      </c>
      <c r="O750" t="inlineStr">
        <is>
          <t>2026-06-17 14:10:06</t>
        </is>
      </c>
      <c r="P750" t="inlineStr">
        <is>
          <t>2026-06-17 14:10:06</t>
        </is>
      </c>
      <c r="Y750" t="inlineStr">
        <is>
          <t>27776072252</t>
        </is>
      </c>
    </row>
    <row r="751">
      <c r="A751" t="inlineStr">
        <is>
          <t>14921806</t>
        </is>
      </c>
      <c r="B751" t="inlineStr">
        <is>
          <t>158953ca-6102-4cc0-bcc0-a5c07908dcac</t>
        </is>
      </c>
      <c r="D751" t="inlineStr">
        <is>
          <t>111111124</t>
        </is>
      </c>
      <c r="E751" t="inlineStr">
        <is>
          <t>Vodacom Life 20260617</t>
        </is>
      </c>
      <c r="G751" t="inlineStr">
        <is>
          <t>MALEKELA</t>
        </is>
      </c>
      <c r="H751" t="inlineStr">
        <is>
          <t>MOKOBAKE</t>
        </is>
      </c>
      <c r="J751" t="inlineStr">
        <is>
          <t>AE</t>
        </is>
      </c>
      <c r="K751" t="inlineStr">
        <is>
          <t>Auto Engaged</t>
        </is>
      </c>
      <c r="L751" t="n">
        <v>5</v>
      </c>
      <c r="M751" t="inlineStr">
        <is>
          <t>2026-06-29 12:37:45</t>
        </is>
      </c>
      <c r="N751" t="inlineStr">
        <is>
          <t>system</t>
        </is>
      </c>
      <c r="O751" t="inlineStr">
        <is>
          <t>2026-06-17 14:10:06</t>
        </is>
      </c>
      <c r="P751" t="inlineStr">
        <is>
          <t>2026-06-17 14:10:06</t>
        </is>
      </c>
      <c r="Y751" t="inlineStr">
        <is>
          <t>27662216932</t>
        </is>
      </c>
    </row>
    <row r="752">
      <c r="A752" t="inlineStr">
        <is>
          <t>14921810</t>
        </is>
      </c>
      <c r="B752" t="inlineStr">
        <is>
          <t>43376c60-a0a7-43e0-805b-a6b82e121974</t>
        </is>
      </c>
      <c r="D752" t="inlineStr">
        <is>
          <t>111111124</t>
        </is>
      </c>
      <c r="E752" t="inlineStr">
        <is>
          <t>Vodacom Life 20260617</t>
        </is>
      </c>
      <c r="G752" t="inlineStr">
        <is>
          <t>PIETER</t>
        </is>
      </c>
      <c r="H752" t="inlineStr">
        <is>
          <t>HITGE</t>
        </is>
      </c>
      <c r="J752" t="inlineStr">
        <is>
          <t>AE</t>
        </is>
      </c>
      <c r="K752" t="inlineStr">
        <is>
          <t>Auto Engaged</t>
        </is>
      </c>
      <c r="L752" t="n">
        <v>5</v>
      </c>
      <c r="M752" t="inlineStr">
        <is>
          <t>2026-06-29 12:37:45</t>
        </is>
      </c>
      <c r="N752" t="inlineStr">
        <is>
          <t>system</t>
        </is>
      </c>
      <c r="O752" t="inlineStr">
        <is>
          <t>2026-06-17 14:10:06</t>
        </is>
      </c>
      <c r="P752" t="inlineStr">
        <is>
          <t>2026-06-17 14:10:06</t>
        </is>
      </c>
      <c r="Y752" t="inlineStr">
        <is>
          <t>27662223821</t>
        </is>
      </c>
    </row>
    <row r="753">
      <c r="A753" t="inlineStr">
        <is>
          <t>14921811</t>
        </is>
      </c>
      <c r="B753" t="inlineStr">
        <is>
          <t>5a1dc9f9-df29-4467-b9c7-9eead8ea2a4c</t>
        </is>
      </c>
      <c r="D753" t="inlineStr">
        <is>
          <t>111111124</t>
        </is>
      </c>
      <c r="E753" t="inlineStr">
        <is>
          <t>Vodacom Life 20260617</t>
        </is>
      </c>
      <c r="G753" t="inlineStr">
        <is>
          <t>WALDEMAR</t>
        </is>
      </c>
      <c r="H753" t="inlineStr">
        <is>
          <t>WENHOLD</t>
        </is>
      </c>
      <c r="J753" t="inlineStr">
        <is>
          <t>WN</t>
        </is>
      </c>
      <c r="K753" t="inlineStr">
        <is>
          <t>Wrong Number</t>
        </is>
      </c>
      <c r="L753" t="n">
        <v>5</v>
      </c>
      <c r="M753" t="inlineStr">
        <is>
          <t>2026-06-29 12:37:45</t>
        </is>
      </c>
      <c r="N753" t="inlineStr">
        <is>
          <t>Musiiwa Mary Mabirimisa</t>
        </is>
      </c>
      <c r="O753" t="inlineStr">
        <is>
          <t>2026-06-17 14:10:06</t>
        </is>
      </c>
      <c r="P753" t="inlineStr">
        <is>
          <t>2026-06-17 14:10:06</t>
        </is>
      </c>
      <c r="Y753" t="inlineStr">
        <is>
          <t>27714469138</t>
        </is>
      </c>
    </row>
    <row r="754">
      <c r="A754" t="inlineStr">
        <is>
          <t>14921802</t>
        </is>
      </c>
      <c r="B754" t="inlineStr">
        <is>
          <t>4fc81b20-1faa-470b-b018-3cf286629bc9</t>
        </is>
      </c>
      <c r="D754" t="inlineStr">
        <is>
          <t>111111124</t>
        </is>
      </c>
      <c r="E754" t="inlineStr">
        <is>
          <t>Vodacom Life 20260617</t>
        </is>
      </c>
      <c r="G754" t="inlineStr">
        <is>
          <t>THEIMULI</t>
        </is>
      </c>
      <c r="H754" t="inlineStr">
        <is>
          <t>RATSHIVHOMBELA</t>
        </is>
      </c>
      <c r="J754" t="inlineStr">
        <is>
          <t>NIUP</t>
        </is>
      </c>
      <c r="K754" t="inlineStr">
        <is>
          <t>Not Interested Upfront</t>
        </is>
      </c>
      <c r="L754" t="n">
        <v>5</v>
      </c>
      <c r="M754" t="inlineStr">
        <is>
          <t>2026-06-29 12:37:45</t>
        </is>
      </c>
      <c r="N754" t="inlineStr">
        <is>
          <t>Vanessa Kekana</t>
        </is>
      </c>
      <c r="O754" t="inlineStr">
        <is>
          <t>2026-06-17 14:10:06</t>
        </is>
      </c>
      <c r="P754" t="inlineStr">
        <is>
          <t>2026-06-17 14:10:06</t>
        </is>
      </c>
      <c r="Y754" t="inlineStr">
        <is>
          <t>27796119251</t>
        </is>
      </c>
    </row>
    <row r="755">
      <c r="A755" t="inlineStr">
        <is>
          <t>14921803</t>
        </is>
      </c>
      <c r="B755" t="inlineStr">
        <is>
          <t>1180c54f-b8e0-49ad-b295-28b274ca8e8b</t>
        </is>
      </c>
      <c r="D755" t="inlineStr">
        <is>
          <t>111111124</t>
        </is>
      </c>
      <c r="E755" t="inlineStr">
        <is>
          <t>Vodacom Life 20260617</t>
        </is>
      </c>
      <c r="G755" t="inlineStr">
        <is>
          <t>MORNE</t>
        </is>
      </c>
      <c r="H755" t="inlineStr">
        <is>
          <t>VAN TONDER</t>
        </is>
      </c>
      <c r="J755" t="inlineStr">
        <is>
          <t>AE</t>
        </is>
      </c>
      <c r="K755" t="inlineStr">
        <is>
          <t>Auto Engaged</t>
        </is>
      </c>
      <c r="L755" t="n">
        <v>5</v>
      </c>
      <c r="M755" t="inlineStr">
        <is>
          <t>2026-06-29 12:37:45</t>
        </is>
      </c>
      <c r="N755" t="inlineStr">
        <is>
          <t>system</t>
        </is>
      </c>
      <c r="O755" t="inlineStr">
        <is>
          <t>2026-06-17 14:10:06</t>
        </is>
      </c>
      <c r="P755" t="inlineStr">
        <is>
          <t>2026-06-17 14:10:06</t>
        </is>
      </c>
      <c r="Y755" t="inlineStr">
        <is>
          <t>27786667374</t>
        </is>
      </c>
    </row>
    <row r="756">
      <c r="A756" t="inlineStr">
        <is>
          <t>14921094</t>
        </is>
      </c>
      <c r="B756" t="inlineStr">
        <is>
          <t>209607be-effb-4474-9403-d871a6663dcf</t>
        </is>
      </c>
      <c r="D756" t="inlineStr">
        <is>
          <t>111111124</t>
        </is>
      </c>
      <c r="E756" t="inlineStr">
        <is>
          <t>Vodacom Life 20260617</t>
        </is>
      </c>
      <c r="G756" t="inlineStr">
        <is>
          <t>ANEZEL</t>
        </is>
      </c>
      <c r="H756" t="inlineStr">
        <is>
          <t>ZYLSTRA</t>
        </is>
      </c>
      <c r="J756" t="inlineStr">
        <is>
          <t>AE</t>
        </is>
      </c>
      <c r="K756" t="inlineStr">
        <is>
          <t>Auto Engaged</t>
        </is>
      </c>
      <c r="L756" t="n">
        <v>5</v>
      </c>
      <c r="M756" t="inlineStr">
        <is>
          <t>2026-06-29 12:37:12</t>
        </is>
      </c>
      <c r="N756" t="inlineStr">
        <is>
          <t>system</t>
        </is>
      </c>
      <c r="O756" t="inlineStr">
        <is>
          <t>2026-06-17 14:10:06</t>
        </is>
      </c>
      <c r="P756" t="inlineStr">
        <is>
          <t>2026-06-17 14:10:06</t>
        </is>
      </c>
      <c r="Y756" t="inlineStr">
        <is>
          <t>27844687224</t>
        </is>
      </c>
    </row>
    <row r="757">
      <c r="A757" t="inlineStr">
        <is>
          <t>14921079</t>
        </is>
      </c>
      <c r="B757" t="inlineStr">
        <is>
          <t>33b6bdc7-5e7e-4f17-aa26-dd0c2fc77ef0</t>
        </is>
      </c>
      <c r="D757" t="inlineStr">
        <is>
          <t>111111124</t>
        </is>
      </c>
      <c r="E757" t="inlineStr">
        <is>
          <t>Vodacom Life 20260617</t>
        </is>
      </c>
      <c r="G757" t="inlineStr">
        <is>
          <t>KIRSTEN</t>
        </is>
      </c>
      <c r="H757" t="inlineStr">
        <is>
          <t>KENZIE-ERASMUS</t>
        </is>
      </c>
      <c r="J757" t="inlineStr">
        <is>
          <t>DROP</t>
        </is>
      </c>
      <c r="K757" t="inlineStr">
        <is>
          <t>Dropped</t>
        </is>
      </c>
      <c r="L757" t="n">
        <v>5</v>
      </c>
      <c r="M757" t="inlineStr">
        <is>
          <t>2026-06-29 12:37:10</t>
        </is>
      </c>
      <c r="N757" t="inlineStr">
        <is>
          <t>system</t>
        </is>
      </c>
      <c r="O757" t="inlineStr">
        <is>
          <t>2026-06-17 14:10:06</t>
        </is>
      </c>
      <c r="P757" t="inlineStr">
        <is>
          <t>2026-06-17 14:10:06</t>
        </is>
      </c>
      <c r="Y757" t="inlineStr">
        <is>
          <t>27764742717</t>
        </is>
      </c>
    </row>
    <row r="758">
      <c r="A758" t="inlineStr">
        <is>
          <t>14921084</t>
        </is>
      </c>
      <c r="B758" t="inlineStr">
        <is>
          <t>ff74d1ce-157a-42dc-9e53-ee1209ca618a</t>
        </is>
      </c>
      <c r="D758" t="inlineStr">
        <is>
          <t>111111124</t>
        </is>
      </c>
      <c r="E758" t="inlineStr">
        <is>
          <t>Vodacom Life 20260617</t>
        </is>
      </c>
      <c r="G758" t="inlineStr">
        <is>
          <t>JULIA</t>
        </is>
      </c>
      <c r="H758" t="inlineStr">
        <is>
          <t>JOUBERT-PRATT</t>
        </is>
      </c>
      <c r="J758" t="inlineStr">
        <is>
          <t>CU</t>
        </is>
      </c>
      <c r="K758" t="inlineStr">
        <is>
          <t>Client Hung Up</t>
        </is>
      </c>
      <c r="L758" t="n">
        <v>5</v>
      </c>
      <c r="M758" t="inlineStr">
        <is>
          <t>2026-06-29 12:37:10</t>
        </is>
      </c>
      <c r="N758" t="inlineStr">
        <is>
          <t>Vanessa Kekana</t>
        </is>
      </c>
      <c r="O758" t="inlineStr">
        <is>
          <t>2026-06-17 14:10:06</t>
        </is>
      </c>
      <c r="P758" t="inlineStr">
        <is>
          <t>2026-06-17 14:10:06</t>
        </is>
      </c>
      <c r="Y758" t="inlineStr">
        <is>
          <t>27765726054</t>
        </is>
      </c>
    </row>
    <row r="759">
      <c r="A759" t="inlineStr">
        <is>
          <t>14921092</t>
        </is>
      </c>
      <c r="B759" t="inlineStr">
        <is>
          <t>6f601df1-181e-4c3a-968c-ee21aec3c0ec</t>
        </is>
      </c>
      <c r="D759" t="inlineStr">
        <is>
          <t>111111124</t>
        </is>
      </c>
      <c r="E759" t="inlineStr">
        <is>
          <t>Vodacom Life 20260617</t>
        </is>
      </c>
      <c r="G759" t="inlineStr">
        <is>
          <t>CHRISTINA</t>
        </is>
      </c>
      <c r="H759" t="inlineStr">
        <is>
          <t>KYLANDER</t>
        </is>
      </c>
      <c r="J759" t="inlineStr">
        <is>
          <t>AE</t>
        </is>
      </c>
      <c r="K759" t="inlineStr">
        <is>
          <t>Auto Engaged</t>
        </is>
      </c>
      <c r="L759" t="n">
        <v>5</v>
      </c>
      <c r="M759" t="inlineStr">
        <is>
          <t>2026-06-29 12:37:10</t>
        </is>
      </c>
      <c r="N759" t="inlineStr">
        <is>
          <t>system</t>
        </is>
      </c>
      <c r="O759" t="inlineStr">
        <is>
          <t>2026-06-17 14:10:06</t>
        </is>
      </c>
      <c r="P759" t="inlineStr">
        <is>
          <t>2026-06-17 14:10:06</t>
        </is>
      </c>
      <c r="Y759" t="inlineStr">
        <is>
          <t>27721102655</t>
        </is>
      </c>
    </row>
    <row r="760">
      <c r="A760" t="inlineStr">
        <is>
          <t>14921093</t>
        </is>
      </c>
      <c r="B760" t="inlineStr">
        <is>
          <t>7d706d29-d8fa-4119-b678-c52ad846fda0</t>
        </is>
      </c>
      <c r="D760" t="inlineStr">
        <is>
          <t>111111124</t>
        </is>
      </c>
      <c r="E760" t="inlineStr">
        <is>
          <t>Vodacom Life 20260617</t>
        </is>
      </c>
      <c r="G760" t="inlineStr">
        <is>
          <t>KGOMOTSO</t>
        </is>
      </c>
      <c r="H760" t="inlineStr">
        <is>
          <t>MOTLHABANE</t>
        </is>
      </c>
      <c r="J760" t="inlineStr">
        <is>
          <t>AA</t>
        </is>
      </c>
      <c r="K760" t="inlineStr">
        <is>
          <t>Answering Machine Autodial</t>
        </is>
      </c>
      <c r="L760" t="n">
        <v>5</v>
      </c>
      <c r="M760" t="inlineStr">
        <is>
          <t>2026-06-29 12:37:10</t>
        </is>
      </c>
      <c r="N760" t="inlineStr">
        <is>
          <t>system</t>
        </is>
      </c>
      <c r="O760" t="inlineStr">
        <is>
          <t>2026-06-17 14:10:06</t>
        </is>
      </c>
      <c r="P760" t="inlineStr">
        <is>
          <t>2026-06-17 14:10:06</t>
        </is>
      </c>
      <c r="Y760" t="inlineStr">
        <is>
          <t>27662423918</t>
        </is>
      </c>
    </row>
    <row r="761">
      <c r="A761" t="inlineStr">
        <is>
          <t>14921089</t>
        </is>
      </c>
      <c r="B761" t="inlineStr">
        <is>
          <t>79abad6a-77b3-4965-8f66-70fd9d7b5046</t>
        </is>
      </c>
      <c r="D761" t="inlineStr">
        <is>
          <t>111111124</t>
        </is>
      </c>
      <c r="E761" t="inlineStr">
        <is>
          <t>Vodacom Life 20260617</t>
        </is>
      </c>
      <c r="G761" t="inlineStr">
        <is>
          <t>PIETER</t>
        </is>
      </c>
      <c r="H761" t="inlineStr">
        <is>
          <t>ENGELBRECHT</t>
        </is>
      </c>
      <c r="J761" t="inlineStr">
        <is>
          <t>AE</t>
        </is>
      </c>
      <c r="K761" t="inlineStr">
        <is>
          <t>Auto Engaged</t>
        </is>
      </c>
      <c r="L761" t="n">
        <v>5</v>
      </c>
      <c r="M761" t="inlineStr">
        <is>
          <t>2026-06-29 12:37:09</t>
        </is>
      </c>
      <c r="N761" t="inlineStr">
        <is>
          <t>system</t>
        </is>
      </c>
      <c r="O761" t="inlineStr">
        <is>
          <t>2026-06-17 14:10:06</t>
        </is>
      </c>
      <c r="P761" t="inlineStr">
        <is>
          <t>2026-06-17 14:10:06</t>
        </is>
      </c>
      <c r="Y761" t="inlineStr">
        <is>
          <t>27711657720</t>
        </is>
      </c>
    </row>
    <row r="762">
      <c r="A762" t="inlineStr">
        <is>
          <t>14921083</t>
        </is>
      </c>
      <c r="B762" t="inlineStr">
        <is>
          <t>c0a45563-7d85-4706-a23f-69cf14f242d9</t>
        </is>
      </c>
      <c r="D762" t="inlineStr">
        <is>
          <t>111111124</t>
        </is>
      </c>
      <c r="E762" t="inlineStr">
        <is>
          <t>Vodacom Life 20260617</t>
        </is>
      </c>
      <c r="G762" t="inlineStr">
        <is>
          <t>JAMY-LEE</t>
        </is>
      </c>
      <c r="H762" t="inlineStr">
        <is>
          <t>FITZPATRICK</t>
        </is>
      </c>
      <c r="J762" t="inlineStr">
        <is>
          <t>AA</t>
        </is>
      </c>
      <c r="K762" t="inlineStr">
        <is>
          <t>Answering Machine Autodial</t>
        </is>
      </c>
      <c r="L762" t="n">
        <v>5</v>
      </c>
      <c r="M762" t="inlineStr">
        <is>
          <t>2026-06-29 12:37:05</t>
        </is>
      </c>
      <c r="N762" t="inlineStr">
        <is>
          <t>system</t>
        </is>
      </c>
      <c r="O762" t="inlineStr">
        <is>
          <t>2026-06-17 14:10:06</t>
        </is>
      </c>
      <c r="P762" t="inlineStr">
        <is>
          <t>2026-06-17 14:10:06</t>
        </is>
      </c>
      <c r="Y762" t="inlineStr">
        <is>
          <t>27674079509</t>
        </is>
      </c>
    </row>
    <row r="763">
      <c r="A763" t="inlineStr">
        <is>
          <t>14921080</t>
        </is>
      </c>
      <c r="B763" t="inlineStr">
        <is>
          <t>313a77ae-1762-4f92-bbcb-fe159c8887f3</t>
        </is>
      </c>
      <c r="D763" t="inlineStr">
        <is>
          <t>111111124</t>
        </is>
      </c>
      <c r="E763" t="inlineStr">
        <is>
          <t>Vodacom Life 20260617</t>
        </is>
      </c>
      <c r="G763" t="inlineStr">
        <is>
          <t>MANDLENKOSI</t>
        </is>
      </c>
      <c r="H763" t="inlineStr">
        <is>
          <t>SIMELANE</t>
        </is>
      </c>
      <c r="J763" t="inlineStr">
        <is>
          <t>AA</t>
        </is>
      </c>
      <c r="K763" t="inlineStr">
        <is>
          <t>Answering Machine Autodial</t>
        </is>
      </c>
      <c r="L763" t="n">
        <v>5</v>
      </c>
      <c r="M763" t="inlineStr">
        <is>
          <t>2026-06-29 12:36:56</t>
        </is>
      </c>
      <c r="N763" t="inlineStr">
        <is>
          <t>system</t>
        </is>
      </c>
      <c r="O763" t="inlineStr">
        <is>
          <t>2026-06-17 14:10:06</t>
        </is>
      </c>
      <c r="P763" t="inlineStr">
        <is>
          <t>2026-06-17 14:10:06</t>
        </is>
      </c>
      <c r="Y763" t="inlineStr">
        <is>
          <t>27716791527</t>
        </is>
      </c>
    </row>
    <row r="764">
      <c r="A764" t="inlineStr">
        <is>
          <t>14921081</t>
        </is>
      </c>
      <c r="B764" t="inlineStr">
        <is>
          <t>3ff781bb-e2d7-48d6-91b5-99e2a3400d57</t>
        </is>
      </c>
      <c r="D764" t="inlineStr">
        <is>
          <t>111111124</t>
        </is>
      </c>
      <c r="E764" t="inlineStr">
        <is>
          <t>Vodacom Life 20260617</t>
        </is>
      </c>
      <c r="G764" t="inlineStr">
        <is>
          <t>TSHANDUKO</t>
        </is>
      </c>
      <c r="H764" t="inlineStr">
        <is>
          <t>RAMUSETHELI</t>
        </is>
      </c>
      <c r="J764" t="inlineStr">
        <is>
          <t>AA</t>
        </is>
      </c>
      <c r="K764" t="inlineStr">
        <is>
          <t>Answering Machine Autodial</t>
        </is>
      </c>
      <c r="L764" t="n">
        <v>5</v>
      </c>
      <c r="M764" t="inlineStr">
        <is>
          <t>2026-06-29 12:36:54</t>
        </is>
      </c>
      <c r="N764" t="inlineStr">
        <is>
          <t>system</t>
        </is>
      </c>
      <c r="O764" t="inlineStr">
        <is>
          <t>2026-06-17 14:10:06</t>
        </is>
      </c>
      <c r="P764" t="inlineStr">
        <is>
          <t>2026-06-17 14:10:06</t>
        </is>
      </c>
      <c r="Y764" t="inlineStr">
        <is>
          <t>27636827997</t>
        </is>
      </c>
    </row>
    <row r="765">
      <c r="A765" t="inlineStr">
        <is>
          <t>14921086</t>
        </is>
      </c>
      <c r="B765" t="inlineStr">
        <is>
          <t>0438cd26-1aff-4cdd-b835-81991ad505b8</t>
        </is>
      </c>
      <c r="D765" t="inlineStr">
        <is>
          <t>111111124</t>
        </is>
      </c>
      <c r="E765" t="inlineStr">
        <is>
          <t>Vodacom Life 20260617</t>
        </is>
      </c>
      <c r="G765" t="inlineStr">
        <is>
          <t>TSHEPHO</t>
        </is>
      </c>
      <c r="H765" t="inlineStr">
        <is>
          <t>KOBE</t>
        </is>
      </c>
      <c r="J765" t="inlineStr">
        <is>
          <t>AE</t>
        </is>
      </c>
      <c r="K765" t="inlineStr">
        <is>
          <t>Auto Engaged</t>
        </is>
      </c>
      <c r="L765" t="n">
        <v>5</v>
      </c>
      <c r="M765" t="inlineStr">
        <is>
          <t>2026-06-29 12:36:51</t>
        </is>
      </c>
      <c r="N765" t="inlineStr">
        <is>
          <t>system</t>
        </is>
      </c>
      <c r="O765" t="inlineStr">
        <is>
          <t>2026-06-17 14:10:06</t>
        </is>
      </c>
      <c r="P765" t="inlineStr">
        <is>
          <t>2026-06-17 14:10:06</t>
        </is>
      </c>
      <c r="Y765" t="inlineStr">
        <is>
          <t>27766586469</t>
        </is>
      </c>
    </row>
    <row r="766">
      <c r="A766" t="inlineStr">
        <is>
          <t>14921064</t>
        </is>
      </c>
      <c r="B766" t="inlineStr">
        <is>
          <t>3209c733-e9c3-4121-a4ae-d28e1f3b7e84</t>
        </is>
      </c>
      <c r="D766" t="inlineStr">
        <is>
          <t>111111124</t>
        </is>
      </c>
      <c r="E766" t="inlineStr">
        <is>
          <t>Vodacom Life 20260617</t>
        </is>
      </c>
      <c r="G766" t="inlineStr">
        <is>
          <t>HELEN</t>
        </is>
      </c>
      <c r="H766" t="inlineStr">
        <is>
          <t>GOLDBERG</t>
        </is>
      </c>
      <c r="J766" t="inlineStr">
        <is>
          <t>NA</t>
        </is>
      </c>
      <c r="K766" t="inlineStr">
        <is>
          <t>No Answer Autodial</t>
        </is>
      </c>
      <c r="L766" t="n">
        <v>5</v>
      </c>
      <c r="M766" t="inlineStr">
        <is>
          <t>2026-06-29 12:36:40</t>
        </is>
      </c>
      <c r="N766" t="inlineStr">
        <is>
          <t>system</t>
        </is>
      </c>
      <c r="O766" t="inlineStr">
        <is>
          <t>2026-06-17 14:10:06</t>
        </is>
      </c>
      <c r="P766" t="inlineStr">
        <is>
          <t>2026-06-17 14:10:06</t>
        </is>
      </c>
      <c r="Y766" t="inlineStr">
        <is>
          <t>27828005700</t>
        </is>
      </c>
    </row>
    <row r="767">
      <c r="A767" t="inlineStr">
        <is>
          <t>14921088</t>
        </is>
      </c>
      <c r="B767" t="inlineStr">
        <is>
          <t>00efcf15-6b1b-4992-97e7-ff1f6145fb34</t>
        </is>
      </c>
      <c r="D767" t="inlineStr">
        <is>
          <t>111111124</t>
        </is>
      </c>
      <c r="E767" t="inlineStr">
        <is>
          <t>Vodacom Life 20260617</t>
        </is>
      </c>
      <c r="G767" t="inlineStr">
        <is>
          <t>NEIL</t>
        </is>
      </c>
      <c r="H767" t="inlineStr">
        <is>
          <t>LURIE</t>
        </is>
      </c>
      <c r="J767" t="inlineStr">
        <is>
          <t>CBACK</t>
        </is>
      </c>
      <c r="K767" t="inlineStr">
        <is>
          <t>Callback</t>
        </is>
      </c>
      <c r="L767" t="n">
        <v>5</v>
      </c>
      <c r="M767" t="inlineStr">
        <is>
          <t>2026-06-29 12:36:40</t>
        </is>
      </c>
      <c r="N767" t="inlineStr">
        <is>
          <t>Maureen Ntsoko</t>
        </is>
      </c>
      <c r="O767" t="inlineStr">
        <is>
          <t>2026-06-17 14:10:06</t>
        </is>
      </c>
      <c r="P767" t="inlineStr">
        <is>
          <t>2026-06-17 14:10:06</t>
        </is>
      </c>
      <c r="Y767" t="inlineStr">
        <is>
          <t>27647510196</t>
        </is>
      </c>
    </row>
    <row r="768">
      <c r="A768" t="inlineStr">
        <is>
          <t>14921066</t>
        </is>
      </c>
      <c r="B768" t="inlineStr">
        <is>
          <t>b0557310-1c8c-4dcc-a2af-c815f091bcd1</t>
        </is>
      </c>
      <c r="D768" t="inlineStr">
        <is>
          <t>111111124</t>
        </is>
      </c>
      <c r="E768" t="inlineStr">
        <is>
          <t>Vodacom Life 20260617</t>
        </is>
      </c>
      <c r="G768" t="inlineStr">
        <is>
          <t>BLADE</t>
        </is>
      </c>
      <c r="H768" t="inlineStr">
        <is>
          <t>DE KLERK</t>
        </is>
      </c>
      <c r="J768" t="inlineStr">
        <is>
          <t>AA</t>
        </is>
      </c>
      <c r="K768" t="inlineStr">
        <is>
          <t>Answering Machine Autodial</t>
        </is>
      </c>
      <c r="L768" t="n">
        <v>5</v>
      </c>
      <c r="M768" t="inlineStr">
        <is>
          <t>2026-06-29 12:36:39</t>
        </is>
      </c>
      <c r="N768" t="inlineStr">
        <is>
          <t>system</t>
        </is>
      </c>
      <c r="O768" t="inlineStr">
        <is>
          <t>2026-06-17 14:10:06</t>
        </is>
      </c>
      <c r="P768" t="inlineStr">
        <is>
          <t>2026-06-17 14:10:06</t>
        </is>
      </c>
      <c r="Y768" t="inlineStr">
        <is>
          <t>27674188799</t>
        </is>
      </c>
    </row>
    <row r="769">
      <c r="A769" t="inlineStr">
        <is>
          <t>14921085</t>
        </is>
      </c>
      <c r="B769" t="inlineStr">
        <is>
          <t>55aaca5f-435d-47c7-ba1f-f7ca2b62e29e</t>
        </is>
      </c>
      <c r="D769" t="inlineStr">
        <is>
          <t>111111124</t>
        </is>
      </c>
      <c r="E769" t="inlineStr">
        <is>
          <t>Vodacom Life 20260617</t>
        </is>
      </c>
      <c r="G769" t="inlineStr">
        <is>
          <t>AUDELE</t>
        </is>
      </c>
      <c r="H769" t="inlineStr">
        <is>
          <t>NAIDOO</t>
        </is>
      </c>
      <c r="J769" t="inlineStr">
        <is>
          <t>IABDN</t>
        </is>
      </c>
      <c r="K769" t="inlineStr">
        <is>
          <t>Inbound Abandon</t>
        </is>
      </c>
      <c r="L769" t="n">
        <v>5</v>
      </c>
      <c r="M769" t="inlineStr">
        <is>
          <t>2026-06-29 12:36:33</t>
        </is>
      </c>
      <c r="N769" t="inlineStr">
        <is>
          <t>system</t>
        </is>
      </c>
      <c r="O769" t="inlineStr">
        <is>
          <t>2026-06-17 14:10:06</t>
        </is>
      </c>
      <c r="P769" t="inlineStr">
        <is>
          <t>2026-06-17 14:10:06</t>
        </is>
      </c>
      <c r="Y769" t="inlineStr">
        <is>
          <t>27716060434</t>
        </is>
      </c>
    </row>
    <row r="770">
      <c r="A770" t="inlineStr">
        <is>
          <t>14921920</t>
        </is>
      </c>
      <c r="B770" t="inlineStr">
        <is>
          <t>1d2f612e-72bf-48d4-9ffc-709d3b5a75a6</t>
        </is>
      </c>
      <c r="D770" t="inlineStr">
        <is>
          <t>111111124</t>
        </is>
      </c>
      <c r="E770" t="inlineStr">
        <is>
          <t>Vodacom Life 20260617</t>
        </is>
      </c>
      <c r="G770" t="inlineStr">
        <is>
          <t>NONKANYISO</t>
        </is>
      </c>
      <c r="H770" t="inlineStr">
        <is>
          <t>XHONGWANA</t>
        </is>
      </c>
      <c r="J770" t="inlineStr">
        <is>
          <t>CU</t>
        </is>
      </c>
      <c r="K770" t="inlineStr">
        <is>
          <t>Client Hung Up</t>
        </is>
      </c>
      <c r="L770" t="n">
        <v>5</v>
      </c>
      <c r="M770" t="inlineStr">
        <is>
          <t>2026-06-29 12:36:23</t>
        </is>
      </c>
      <c r="N770" t="inlineStr">
        <is>
          <t>Khensane Mabasa</t>
        </is>
      </c>
      <c r="O770" t="inlineStr">
        <is>
          <t>2026-06-17 14:10:06</t>
        </is>
      </c>
      <c r="P770" t="inlineStr">
        <is>
          <t>2026-06-17 14:10:06</t>
        </is>
      </c>
      <c r="Y770" t="inlineStr">
        <is>
          <t>27825200252</t>
        </is>
      </c>
    </row>
    <row r="771">
      <c r="A771" t="inlineStr">
        <is>
          <t>14921816</t>
        </is>
      </c>
      <c r="B771" t="inlineStr">
        <is>
          <t>f654d994-0671-49ba-b0a2-9395e7106c41</t>
        </is>
      </c>
      <c r="D771" t="inlineStr">
        <is>
          <t>111111124</t>
        </is>
      </c>
      <c r="E771" t="inlineStr">
        <is>
          <t>Vodacom Life 20260617</t>
        </is>
      </c>
      <c r="G771" t="inlineStr">
        <is>
          <t>MAKGATHI</t>
        </is>
      </c>
      <c r="H771" t="inlineStr">
        <is>
          <t>SEKONYA</t>
        </is>
      </c>
      <c r="J771" t="inlineStr">
        <is>
          <t>NA</t>
        </is>
      </c>
      <c r="K771" t="inlineStr">
        <is>
          <t>No Answer Autodial</t>
        </is>
      </c>
      <c r="L771" t="n">
        <v>5</v>
      </c>
      <c r="M771" t="inlineStr">
        <is>
          <t>2026-06-29 12:36:15</t>
        </is>
      </c>
      <c r="N771" t="inlineStr">
        <is>
          <t>system</t>
        </is>
      </c>
      <c r="O771" t="inlineStr">
        <is>
          <t>2026-06-17 14:10:06</t>
        </is>
      </c>
      <c r="P771" t="inlineStr">
        <is>
          <t>2026-06-17 14:10:06</t>
        </is>
      </c>
      <c r="Y771" t="inlineStr">
        <is>
          <t>27829382023</t>
        </is>
      </c>
    </row>
    <row r="772">
      <c r="A772" t="inlineStr">
        <is>
          <t>14921067</t>
        </is>
      </c>
      <c r="B772" t="inlineStr">
        <is>
          <t>002b5133-8b51-494d-b211-aac874b02401</t>
        </is>
      </c>
      <c r="D772" t="inlineStr">
        <is>
          <t>111111124</t>
        </is>
      </c>
      <c r="E772" t="inlineStr">
        <is>
          <t>Vodacom Life 20260617</t>
        </is>
      </c>
      <c r="G772" t="inlineStr">
        <is>
          <t>TONNY</t>
        </is>
      </c>
      <c r="H772" t="inlineStr">
        <is>
          <t>MOKOENA</t>
        </is>
      </c>
      <c r="J772" t="inlineStr">
        <is>
          <t>DROP</t>
        </is>
      </c>
      <c r="K772" t="inlineStr">
        <is>
          <t>Dropped</t>
        </is>
      </c>
      <c r="L772" t="n">
        <v>5</v>
      </c>
      <c r="M772" t="inlineStr">
        <is>
          <t>2026-06-29 12:36:04</t>
        </is>
      </c>
      <c r="N772" t="inlineStr">
        <is>
          <t>system</t>
        </is>
      </c>
      <c r="O772" t="inlineStr">
        <is>
          <t>2026-06-17 14:10:06</t>
        </is>
      </c>
      <c r="P772" t="inlineStr">
        <is>
          <t>2026-06-17 14:10:06</t>
        </is>
      </c>
      <c r="Y772" t="inlineStr">
        <is>
          <t>27792291516</t>
        </is>
      </c>
    </row>
    <row r="773">
      <c r="A773" t="inlineStr">
        <is>
          <t>14921068</t>
        </is>
      </c>
      <c r="B773" t="inlineStr">
        <is>
          <t>f9ac7b4a-7505-444d-a19e-4d460ee0627d</t>
        </is>
      </c>
      <c r="D773" t="inlineStr">
        <is>
          <t>111111124</t>
        </is>
      </c>
      <c r="E773" t="inlineStr">
        <is>
          <t>Vodacom Life 20260617</t>
        </is>
      </c>
      <c r="G773" t="inlineStr">
        <is>
          <t>HARRY</t>
        </is>
      </c>
      <c r="H773" t="inlineStr">
        <is>
          <t>NEL</t>
        </is>
      </c>
      <c r="J773" t="inlineStr">
        <is>
          <t>DROP</t>
        </is>
      </c>
      <c r="K773" t="inlineStr">
        <is>
          <t>Dropped</t>
        </is>
      </c>
      <c r="L773" t="n">
        <v>5</v>
      </c>
      <c r="M773" t="inlineStr">
        <is>
          <t>2026-06-29 12:36:04</t>
        </is>
      </c>
      <c r="N773" t="inlineStr">
        <is>
          <t>system</t>
        </is>
      </c>
      <c r="O773" t="inlineStr">
        <is>
          <t>2026-06-17 14:10:06</t>
        </is>
      </c>
      <c r="P773" t="inlineStr">
        <is>
          <t>2026-06-17 14:10:06</t>
        </is>
      </c>
      <c r="Y773" t="inlineStr">
        <is>
          <t>27721611207</t>
        </is>
      </c>
    </row>
    <row r="774">
      <c r="A774" t="inlineStr">
        <is>
          <t>14921069</t>
        </is>
      </c>
      <c r="B774" t="inlineStr">
        <is>
          <t>e4db1777-253e-4c7e-8834-91a842e9c8e4</t>
        </is>
      </c>
      <c r="D774" t="inlineStr">
        <is>
          <t>111111124</t>
        </is>
      </c>
      <c r="E774" t="inlineStr">
        <is>
          <t>Vodacom Life 20260617</t>
        </is>
      </c>
      <c r="G774" t="inlineStr">
        <is>
          <t>NOKUTHULA</t>
        </is>
      </c>
      <c r="H774" t="inlineStr">
        <is>
          <t>ZONDO</t>
        </is>
      </c>
      <c r="J774" t="inlineStr">
        <is>
          <t>AA</t>
        </is>
      </c>
      <c r="K774" t="inlineStr">
        <is>
          <t>Answering Machine Autodial</t>
        </is>
      </c>
      <c r="L774" t="n">
        <v>5</v>
      </c>
      <c r="M774" t="inlineStr">
        <is>
          <t>2026-06-29 12:36:04</t>
        </is>
      </c>
      <c r="N774" t="inlineStr">
        <is>
          <t>system</t>
        </is>
      </c>
      <c r="O774" t="inlineStr">
        <is>
          <t>2026-06-17 14:10:06</t>
        </is>
      </c>
      <c r="P774" t="inlineStr">
        <is>
          <t>2026-06-17 14:10:06</t>
        </is>
      </c>
      <c r="Y774" t="inlineStr">
        <is>
          <t>27827606286</t>
        </is>
      </c>
    </row>
    <row r="775">
      <c r="A775" t="inlineStr">
        <is>
          <t>14921070</t>
        </is>
      </c>
      <c r="B775" t="inlineStr">
        <is>
          <t>7be3240b-58f0-4437-8020-aa24ce2619c5</t>
        </is>
      </c>
      <c r="D775" t="inlineStr">
        <is>
          <t>111111124</t>
        </is>
      </c>
      <c r="E775" t="inlineStr">
        <is>
          <t>Vodacom Life 20260617</t>
        </is>
      </c>
      <c r="G775" t="inlineStr">
        <is>
          <t>YESHREE</t>
        </is>
      </c>
      <c r="H775" t="inlineStr">
        <is>
          <t>SHADRACH</t>
        </is>
      </c>
      <c r="J775" t="inlineStr">
        <is>
          <t>AE</t>
        </is>
      </c>
      <c r="K775" t="inlineStr">
        <is>
          <t>Auto Engaged</t>
        </is>
      </c>
      <c r="L775" t="n">
        <v>5</v>
      </c>
      <c r="M775" t="inlineStr">
        <is>
          <t>2026-06-29 12:36:04</t>
        </is>
      </c>
      <c r="N775" t="inlineStr">
        <is>
          <t>system</t>
        </is>
      </c>
      <c r="O775" t="inlineStr">
        <is>
          <t>2026-06-17 14:10:06</t>
        </is>
      </c>
      <c r="P775" t="inlineStr">
        <is>
          <t>2026-06-17 14:10:06</t>
        </is>
      </c>
      <c r="Y775" t="inlineStr">
        <is>
          <t>27823963632</t>
        </is>
      </c>
    </row>
    <row r="776">
      <c r="A776" t="inlineStr">
        <is>
          <t>14921090</t>
        </is>
      </c>
      <c r="B776" t="inlineStr">
        <is>
          <t>21b301c6-9066-4f36-8491-de1dc979151a</t>
        </is>
      </c>
      <c r="D776" t="inlineStr">
        <is>
          <t>111111124</t>
        </is>
      </c>
      <c r="E776" t="inlineStr">
        <is>
          <t>Vodacom Life 20260617</t>
        </is>
      </c>
      <c r="G776" t="inlineStr">
        <is>
          <t>MMANIKI</t>
        </is>
      </c>
      <c r="H776" t="inlineStr">
        <is>
          <t>MORABA</t>
        </is>
      </c>
      <c r="J776" t="inlineStr">
        <is>
          <t>AA</t>
        </is>
      </c>
      <c r="K776" t="inlineStr">
        <is>
          <t>Answering Machine Autodial</t>
        </is>
      </c>
      <c r="L776" t="n">
        <v>5</v>
      </c>
      <c r="M776" t="inlineStr">
        <is>
          <t>2026-06-29 12:36:04</t>
        </is>
      </c>
      <c r="N776" t="inlineStr">
        <is>
          <t>system</t>
        </is>
      </c>
      <c r="O776" t="inlineStr">
        <is>
          <t>2026-06-17 14:10:06</t>
        </is>
      </c>
      <c r="P776" t="inlineStr">
        <is>
          <t>2026-06-17 14:10:06</t>
        </is>
      </c>
      <c r="Y776" t="inlineStr">
        <is>
          <t>27673733337</t>
        </is>
      </c>
    </row>
    <row r="777">
      <c r="A777" t="inlineStr">
        <is>
          <t>14900000</t>
        </is>
      </c>
      <c r="B777" t="inlineStr">
        <is>
          <t>e9504108-c165-417d-9b88-2f80b5da6015</t>
        </is>
      </c>
      <c r="D777" t="inlineStr">
        <is>
          <t>111111124</t>
        </is>
      </c>
      <c r="E777" t="inlineStr">
        <is>
          <t>Vodacom Life 20260617</t>
        </is>
      </c>
      <c r="G777" t="inlineStr">
        <is>
          <t>LOUISA</t>
        </is>
      </c>
      <c r="H777" t="inlineStr">
        <is>
          <t>BOOYSE</t>
        </is>
      </c>
      <c r="J777" t="inlineStr">
        <is>
          <t>CU</t>
        </is>
      </c>
      <c r="K777" t="inlineStr">
        <is>
          <t>Client Hung Up</t>
        </is>
      </c>
      <c r="L777" t="n">
        <v>5</v>
      </c>
      <c r="M777" t="inlineStr">
        <is>
          <t>2026-06-29 12:35:54</t>
        </is>
      </c>
      <c r="N777" t="inlineStr">
        <is>
          <t>Musiiwa Mary Mabirimisa</t>
        </is>
      </c>
      <c r="O777" t="inlineStr">
        <is>
          <t>2026-06-17 14:10:06</t>
        </is>
      </c>
      <c r="P777" t="inlineStr">
        <is>
          <t>2026-06-17 14:10:06</t>
        </is>
      </c>
      <c r="Y777" t="inlineStr">
        <is>
          <t>27795163195</t>
        </is>
      </c>
    </row>
    <row r="778">
      <c r="A778" t="inlineStr">
        <is>
          <t>14921051</t>
        </is>
      </c>
      <c r="B778" t="inlineStr">
        <is>
          <t>df7bfafe-8a46-4689-b5f9-c1e79736e10e</t>
        </is>
      </c>
      <c r="D778" t="inlineStr">
        <is>
          <t>111111124</t>
        </is>
      </c>
      <c r="E778" t="inlineStr">
        <is>
          <t>Vodacom Life 20260617</t>
        </is>
      </c>
      <c r="G778" t="inlineStr">
        <is>
          <t>ROSE</t>
        </is>
      </c>
      <c r="H778" t="inlineStr">
        <is>
          <t>TSHABALALA</t>
        </is>
      </c>
      <c r="J778" t="inlineStr">
        <is>
          <t>NIUP</t>
        </is>
      </c>
      <c r="K778" t="inlineStr">
        <is>
          <t>Not Interested Upfront</t>
        </is>
      </c>
      <c r="L778" t="n">
        <v>5</v>
      </c>
      <c r="M778" t="inlineStr">
        <is>
          <t>2026-06-29 12:35:50</t>
        </is>
      </c>
      <c r="N778" t="inlineStr">
        <is>
          <t>Vanessa Kekana</t>
        </is>
      </c>
      <c r="O778" t="inlineStr">
        <is>
          <t>2026-06-17 14:10:06</t>
        </is>
      </c>
      <c r="P778" t="inlineStr">
        <is>
          <t>2026-06-17 14:10:06</t>
        </is>
      </c>
      <c r="Y778" t="inlineStr">
        <is>
          <t>27662510924</t>
        </is>
      </c>
    </row>
    <row r="779">
      <c r="A779" t="inlineStr">
        <is>
          <t>14921050</t>
        </is>
      </c>
      <c r="B779" t="inlineStr">
        <is>
          <t>b9aa2449-1abc-4917-bd52-06a4aca1bfaa</t>
        </is>
      </c>
      <c r="D779" t="inlineStr">
        <is>
          <t>111111124</t>
        </is>
      </c>
      <c r="E779" t="inlineStr">
        <is>
          <t>Vodacom Life 20260617</t>
        </is>
      </c>
      <c r="G779" t="inlineStr">
        <is>
          <t>LEKOBA</t>
        </is>
      </c>
      <c r="H779" t="inlineStr">
        <is>
          <t>MOLOPE</t>
        </is>
      </c>
      <c r="J779" t="inlineStr">
        <is>
          <t>NA</t>
        </is>
      </c>
      <c r="K779" t="inlineStr">
        <is>
          <t>No Answer Autodial</t>
        </is>
      </c>
      <c r="L779" t="n">
        <v>5</v>
      </c>
      <c r="M779" t="inlineStr">
        <is>
          <t>2026-06-29 12:35:43</t>
        </is>
      </c>
      <c r="N779" t="inlineStr">
        <is>
          <t>system</t>
        </is>
      </c>
      <c r="O779" t="inlineStr">
        <is>
          <t>2026-06-17 14:10:06</t>
        </is>
      </c>
      <c r="P779" t="inlineStr">
        <is>
          <t>2026-06-17 14:10:06</t>
        </is>
      </c>
      <c r="Y779" t="inlineStr">
        <is>
          <t>27794047329</t>
        </is>
      </c>
    </row>
    <row r="780">
      <c r="A780" t="inlineStr">
        <is>
          <t>14921815</t>
        </is>
      </c>
      <c r="B780" t="inlineStr">
        <is>
          <t>8f8d0f2d-1a04-4457-b5c4-6403ec9f00a9</t>
        </is>
      </c>
      <c r="D780" t="inlineStr">
        <is>
          <t>111111124</t>
        </is>
      </c>
      <c r="E780" t="inlineStr">
        <is>
          <t>Vodacom Life 20260617</t>
        </is>
      </c>
      <c r="G780" t="inlineStr">
        <is>
          <t>RIAAN</t>
        </is>
      </c>
      <c r="H780" t="inlineStr">
        <is>
          <t>MULLER</t>
        </is>
      </c>
      <c r="J780" t="inlineStr">
        <is>
          <t>AC</t>
        </is>
      </c>
      <c r="K780" t="inlineStr">
        <is>
          <t>Already Contacted</t>
        </is>
      </c>
      <c r="L780" t="n">
        <v>5</v>
      </c>
      <c r="M780" t="inlineStr">
        <is>
          <t>2026-06-29 12:35:18</t>
        </is>
      </c>
      <c r="N780" t="inlineStr">
        <is>
          <t>Maureen Ntsoko</t>
        </is>
      </c>
      <c r="O780" t="inlineStr">
        <is>
          <t>2026-06-17 14:10:06</t>
        </is>
      </c>
      <c r="P780" t="inlineStr">
        <is>
          <t>2026-06-17 14:10:06</t>
        </is>
      </c>
      <c r="Y780" t="inlineStr">
        <is>
          <t>27798851708</t>
        </is>
      </c>
    </row>
    <row r="781">
      <c r="A781" t="inlineStr">
        <is>
          <t>14921819</t>
        </is>
      </c>
      <c r="B781" t="inlineStr">
        <is>
          <t>a0d8d5f7-c6b7-46f7-829b-09bff478f1be</t>
        </is>
      </c>
      <c r="D781" t="inlineStr">
        <is>
          <t>111111124</t>
        </is>
      </c>
      <c r="E781" t="inlineStr">
        <is>
          <t>Vodacom Life 20260617</t>
        </is>
      </c>
      <c r="G781" t="inlineStr">
        <is>
          <t>CELINO</t>
        </is>
      </c>
      <c r="H781" t="inlineStr">
        <is>
          <t>MANUS</t>
        </is>
      </c>
      <c r="J781" t="inlineStr">
        <is>
          <t>AA</t>
        </is>
      </c>
      <c r="K781" t="inlineStr">
        <is>
          <t>Answering Machine Autodial</t>
        </is>
      </c>
      <c r="L781" t="n">
        <v>5</v>
      </c>
      <c r="M781" t="inlineStr">
        <is>
          <t>2026-06-29 12:34:58</t>
        </is>
      </c>
      <c r="N781" t="inlineStr">
        <is>
          <t>system</t>
        </is>
      </c>
      <c r="O781" t="inlineStr">
        <is>
          <t>2026-06-17 14:10:06</t>
        </is>
      </c>
      <c r="P781" t="inlineStr">
        <is>
          <t>2026-06-17 14:10:06</t>
        </is>
      </c>
      <c r="Y781" t="inlineStr">
        <is>
          <t>27828010267</t>
        </is>
      </c>
    </row>
    <row r="782">
      <c r="A782" t="inlineStr">
        <is>
          <t>14921820</t>
        </is>
      </c>
      <c r="B782" t="inlineStr">
        <is>
          <t>c511a3cf-63f3-49c3-84fa-c8ccd2db294a</t>
        </is>
      </c>
      <c r="D782" t="inlineStr">
        <is>
          <t>111111124</t>
        </is>
      </c>
      <c r="E782" t="inlineStr">
        <is>
          <t>Vodacom Life 20260617</t>
        </is>
      </c>
      <c r="G782" t="inlineStr">
        <is>
          <t>GRIFF</t>
        </is>
      </c>
      <c r="H782" t="inlineStr">
        <is>
          <t>MPHAHLELE</t>
        </is>
      </c>
      <c r="J782" t="inlineStr">
        <is>
          <t>AE</t>
        </is>
      </c>
      <c r="K782" t="inlineStr">
        <is>
          <t>Auto Engaged</t>
        </is>
      </c>
      <c r="L782" t="n">
        <v>5</v>
      </c>
      <c r="M782" t="inlineStr">
        <is>
          <t>2026-06-29 12:34:55</t>
        </is>
      </c>
      <c r="N782" t="inlineStr">
        <is>
          <t>system</t>
        </is>
      </c>
      <c r="O782" t="inlineStr">
        <is>
          <t>2026-06-17 14:10:06</t>
        </is>
      </c>
      <c r="P782" t="inlineStr">
        <is>
          <t>2026-06-17 14:10:06</t>
        </is>
      </c>
      <c r="Y782" t="inlineStr">
        <is>
          <t>27636709465</t>
        </is>
      </c>
    </row>
    <row r="783">
      <c r="A783" t="inlineStr">
        <is>
          <t>14921821</t>
        </is>
      </c>
      <c r="B783" t="inlineStr">
        <is>
          <t>d61fb90e-7d2d-4708-890e-43ee5fe490e4</t>
        </is>
      </c>
      <c r="D783" t="inlineStr">
        <is>
          <t>111111124</t>
        </is>
      </c>
      <c r="E783" t="inlineStr">
        <is>
          <t>Vodacom Life 20260617</t>
        </is>
      </c>
      <c r="G783" t="inlineStr">
        <is>
          <t>GOPICHUND</t>
        </is>
      </c>
      <c r="H783" t="inlineStr">
        <is>
          <t>MAHARAJ</t>
        </is>
      </c>
      <c r="J783" t="inlineStr">
        <is>
          <t>NA</t>
        </is>
      </c>
      <c r="K783" t="inlineStr">
        <is>
          <t>No Answer Autodial</t>
        </is>
      </c>
      <c r="L783" t="n">
        <v>5</v>
      </c>
      <c r="M783" t="inlineStr">
        <is>
          <t>2026-06-29 12:34:55</t>
        </is>
      </c>
      <c r="N783" t="inlineStr">
        <is>
          <t>system</t>
        </is>
      </c>
      <c r="O783" t="inlineStr">
        <is>
          <t>2026-06-17 14:10:06</t>
        </is>
      </c>
      <c r="P783" t="inlineStr">
        <is>
          <t>2026-06-17 14:10:06</t>
        </is>
      </c>
      <c r="Y783" t="inlineStr">
        <is>
          <t>27765515018</t>
        </is>
      </c>
    </row>
    <row r="784">
      <c r="A784" t="inlineStr">
        <is>
          <t>14921822</t>
        </is>
      </c>
      <c r="B784" t="inlineStr">
        <is>
          <t>1fcfaa6c-dcb7-4228-9b84-0beb5b4e51be</t>
        </is>
      </c>
      <c r="D784" t="inlineStr">
        <is>
          <t>111111124</t>
        </is>
      </c>
      <c r="E784" t="inlineStr">
        <is>
          <t>Vodacom Life 20260617</t>
        </is>
      </c>
      <c r="G784" t="inlineStr">
        <is>
          <t>PHUMLA</t>
        </is>
      </c>
      <c r="H784" t="inlineStr">
        <is>
          <t>CHITHA</t>
        </is>
      </c>
      <c r="J784" t="inlineStr">
        <is>
          <t>AA</t>
        </is>
      </c>
      <c r="K784" t="inlineStr">
        <is>
          <t>Answering Machine Autodial</t>
        </is>
      </c>
      <c r="L784" t="n">
        <v>5</v>
      </c>
      <c r="M784" t="inlineStr">
        <is>
          <t>2026-06-29 12:34:55</t>
        </is>
      </c>
      <c r="N784" t="inlineStr">
        <is>
          <t>system</t>
        </is>
      </c>
      <c r="O784" t="inlineStr">
        <is>
          <t>2026-06-17 14:10:06</t>
        </is>
      </c>
      <c r="P784" t="inlineStr">
        <is>
          <t>2026-06-17 14:10:06</t>
        </is>
      </c>
      <c r="Y784" t="inlineStr">
        <is>
          <t>27791841374</t>
        </is>
      </c>
    </row>
    <row r="785">
      <c r="A785" t="inlineStr">
        <is>
          <t>14921823</t>
        </is>
      </c>
      <c r="B785" t="inlineStr">
        <is>
          <t>dce7970a-25fd-486b-9978-8738aac62498</t>
        </is>
      </c>
      <c r="D785" t="inlineStr">
        <is>
          <t>111111124</t>
        </is>
      </c>
      <c r="E785" t="inlineStr">
        <is>
          <t>Vodacom Life 20260617</t>
        </is>
      </c>
      <c r="G785" t="inlineStr">
        <is>
          <t>ANGELIQUE</t>
        </is>
      </c>
      <c r="H785" t="inlineStr">
        <is>
          <t>BAATJIES</t>
        </is>
      </c>
      <c r="J785" t="inlineStr">
        <is>
          <t>NA</t>
        </is>
      </c>
      <c r="K785" t="inlineStr">
        <is>
          <t>No Answer Autodial</t>
        </is>
      </c>
      <c r="L785" t="n">
        <v>5</v>
      </c>
      <c r="M785" t="inlineStr">
        <is>
          <t>2026-06-29 12:34:55</t>
        </is>
      </c>
      <c r="N785" t="inlineStr">
        <is>
          <t>system</t>
        </is>
      </c>
      <c r="O785" t="inlineStr">
        <is>
          <t>2026-06-17 14:10:06</t>
        </is>
      </c>
      <c r="P785" t="inlineStr">
        <is>
          <t>2026-06-17 14:10:06</t>
        </is>
      </c>
      <c r="Y785" t="inlineStr">
        <is>
          <t>27725876535</t>
        </is>
      </c>
    </row>
    <row r="786">
      <c r="A786" t="inlineStr">
        <is>
          <t>14921824</t>
        </is>
      </c>
      <c r="B786" t="inlineStr">
        <is>
          <t>1d16f5ae-c885-46af-abd8-0bc40f2fbe7c</t>
        </is>
      </c>
      <c r="D786" t="inlineStr">
        <is>
          <t>111111124</t>
        </is>
      </c>
      <c r="E786" t="inlineStr">
        <is>
          <t>Vodacom Life 20260617</t>
        </is>
      </c>
      <c r="G786" t="inlineStr">
        <is>
          <t>NKOSINATHI</t>
        </is>
      </c>
      <c r="H786" t="inlineStr">
        <is>
          <t>MTOLO</t>
        </is>
      </c>
      <c r="J786" t="inlineStr">
        <is>
          <t>NA</t>
        </is>
      </c>
      <c r="K786" t="inlineStr">
        <is>
          <t>No Answer Autodial</t>
        </is>
      </c>
      <c r="L786" t="n">
        <v>5</v>
      </c>
      <c r="M786" t="inlineStr">
        <is>
          <t>2026-06-29 12:34:21</t>
        </is>
      </c>
      <c r="N786" t="inlineStr">
        <is>
          <t>system</t>
        </is>
      </c>
      <c r="O786" t="inlineStr">
        <is>
          <t>2026-06-17 14:10:06</t>
        </is>
      </c>
      <c r="P786" t="inlineStr">
        <is>
          <t>2026-06-17 14:10:06</t>
        </is>
      </c>
      <c r="Y786" t="inlineStr">
        <is>
          <t>27763418480</t>
        </is>
      </c>
    </row>
    <row r="787">
      <c r="A787" t="inlineStr">
        <is>
          <t>14921825</t>
        </is>
      </c>
      <c r="B787" t="inlineStr">
        <is>
          <t>be7b32b8-bbab-4c72-804d-d48a35714942</t>
        </is>
      </c>
      <c r="D787" t="inlineStr">
        <is>
          <t>111111124</t>
        </is>
      </c>
      <c r="E787" t="inlineStr">
        <is>
          <t>Vodacom Life 20260617</t>
        </is>
      </c>
      <c r="G787" t="inlineStr">
        <is>
          <t>GERHARDUS</t>
        </is>
      </c>
      <c r="H787" t="inlineStr">
        <is>
          <t>VISSER</t>
        </is>
      </c>
      <c r="J787" t="inlineStr">
        <is>
          <t>AE</t>
        </is>
      </c>
      <c r="K787" t="inlineStr">
        <is>
          <t>Auto Engaged</t>
        </is>
      </c>
      <c r="L787" t="n">
        <v>5</v>
      </c>
      <c r="M787" t="inlineStr">
        <is>
          <t>2026-06-29 12:34:18</t>
        </is>
      </c>
      <c r="N787" t="inlineStr">
        <is>
          <t>system</t>
        </is>
      </c>
      <c r="O787" t="inlineStr">
        <is>
          <t>2026-06-17 14:10:06</t>
        </is>
      </c>
      <c r="P787" t="inlineStr">
        <is>
          <t>2026-06-17 14:10:06</t>
        </is>
      </c>
      <c r="Y787" t="inlineStr">
        <is>
          <t>27826938951</t>
        </is>
      </c>
    </row>
    <row r="788">
      <c r="A788" t="inlineStr">
        <is>
          <t>14921826</t>
        </is>
      </c>
      <c r="B788" t="inlineStr">
        <is>
          <t>9b844768-6ff5-4920-9019-2cf46a847966</t>
        </is>
      </c>
      <c r="D788" t="inlineStr">
        <is>
          <t>111111124</t>
        </is>
      </c>
      <c r="E788" t="inlineStr">
        <is>
          <t>Vodacom Life 20260617</t>
        </is>
      </c>
      <c r="G788" t="inlineStr">
        <is>
          <t>ANNELIZE</t>
        </is>
      </c>
      <c r="H788" t="inlineStr">
        <is>
          <t>HOYER</t>
        </is>
      </c>
      <c r="J788" t="inlineStr">
        <is>
          <t>CU</t>
        </is>
      </c>
      <c r="K788" t="inlineStr">
        <is>
          <t>Client Hung Up</t>
        </is>
      </c>
      <c r="L788" t="n">
        <v>5</v>
      </c>
      <c r="M788" t="inlineStr">
        <is>
          <t>2026-06-29 12:34:18</t>
        </is>
      </c>
      <c r="N788" t="inlineStr">
        <is>
          <t>Maureen Ntsoko</t>
        </is>
      </c>
      <c r="O788" t="inlineStr">
        <is>
          <t>2026-06-17 14:10:06</t>
        </is>
      </c>
      <c r="P788" t="inlineStr">
        <is>
          <t>2026-06-17 14:10:06</t>
        </is>
      </c>
      <c r="Y788" t="inlineStr">
        <is>
          <t>27836306587</t>
        </is>
      </c>
    </row>
    <row r="789">
      <c r="A789" t="inlineStr">
        <is>
          <t>14921827</t>
        </is>
      </c>
      <c r="B789" t="inlineStr">
        <is>
          <t>5072ff1f-24e8-4627-bd90-1222759b00e8</t>
        </is>
      </c>
      <c r="D789" t="inlineStr">
        <is>
          <t>111111124</t>
        </is>
      </c>
      <c r="E789" t="inlineStr">
        <is>
          <t>Vodacom Life 20260617</t>
        </is>
      </c>
      <c r="G789" t="inlineStr">
        <is>
          <t>RAKHELI</t>
        </is>
      </c>
      <c r="H789" t="inlineStr">
        <is>
          <t>NDLOVU</t>
        </is>
      </c>
      <c r="J789" t="inlineStr">
        <is>
          <t>AE</t>
        </is>
      </c>
      <c r="K789" t="inlineStr">
        <is>
          <t>Auto Engaged</t>
        </is>
      </c>
      <c r="L789" t="n">
        <v>5</v>
      </c>
      <c r="M789" t="inlineStr">
        <is>
          <t>2026-06-29 12:34:15</t>
        </is>
      </c>
      <c r="N789" t="inlineStr">
        <is>
          <t>system</t>
        </is>
      </c>
      <c r="O789" t="inlineStr">
        <is>
          <t>2026-06-17 14:10:06</t>
        </is>
      </c>
      <c r="P789" t="inlineStr">
        <is>
          <t>2026-06-17 14:10:06</t>
        </is>
      </c>
      <c r="Y789" t="inlineStr">
        <is>
          <t>27729361015</t>
        </is>
      </c>
    </row>
    <row r="790">
      <c r="A790" t="inlineStr">
        <is>
          <t>14921829</t>
        </is>
      </c>
      <c r="B790" t="inlineStr">
        <is>
          <t>71d36a98-6370-4a86-ac4e-c46390fe8ec8</t>
        </is>
      </c>
      <c r="D790" t="inlineStr">
        <is>
          <t>111111124</t>
        </is>
      </c>
      <c r="E790" t="inlineStr">
        <is>
          <t>Vodacom Life 20260617</t>
        </is>
      </c>
      <c r="G790" t="inlineStr">
        <is>
          <t>ROBERT</t>
        </is>
      </c>
      <c r="H790" t="inlineStr">
        <is>
          <t>NDLELA</t>
        </is>
      </c>
      <c r="J790" t="inlineStr">
        <is>
          <t>CU</t>
        </is>
      </c>
      <c r="K790" t="inlineStr">
        <is>
          <t>Client Hung Up</t>
        </is>
      </c>
      <c r="L790" t="n">
        <v>5</v>
      </c>
      <c r="M790" t="inlineStr">
        <is>
          <t>2026-06-29 12:34:13</t>
        </is>
      </c>
      <c r="N790" t="inlineStr">
        <is>
          <t>bongiwe lushaba</t>
        </is>
      </c>
      <c r="O790" t="inlineStr">
        <is>
          <t>2026-06-17 14:10:06</t>
        </is>
      </c>
      <c r="P790" t="inlineStr">
        <is>
          <t>2026-06-17 14:10:06</t>
        </is>
      </c>
      <c r="Y790" t="inlineStr">
        <is>
          <t>27824185851</t>
        </is>
      </c>
    </row>
    <row r="791">
      <c r="A791" t="inlineStr">
        <is>
          <t>14921101</t>
        </is>
      </c>
      <c r="B791" t="inlineStr">
        <is>
          <t>9dda46ee-9681-4b3a-a319-523b4ac3d069</t>
        </is>
      </c>
      <c r="D791" t="inlineStr">
        <is>
          <t>111111124</t>
        </is>
      </c>
      <c r="E791" t="inlineStr">
        <is>
          <t>Vodacom Life 20260617</t>
        </is>
      </c>
      <c r="G791" t="inlineStr">
        <is>
          <t>THABANG</t>
        </is>
      </c>
      <c r="H791" t="inlineStr">
        <is>
          <t>MORAKA</t>
        </is>
      </c>
      <c r="J791" t="inlineStr">
        <is>
          <t>ADC</t>
        </is>
      </c>
      <c r="K791" t="inlineStr">
        <is>
          <t>Auto Dial Disconnected</t>
        </is>
      </c>
      <c r="L791" t="n">
        <v>5</v>
      </c>
      <c r="M791" t="inlineStr">
        <is>
          <t>2026-06-29 12:33:57</t>
        </is>
      </c>
      <c r="N791" t="inlineStr">
        <is>
          <t>system</t>
        </is>
      </c>
      <c r="O791" t="inlineStr">
        <is>
          <t>2026-06-17 14:10:06</t>
        </is>
      </c>
      <c r="P791" t="inlineStr">
        <is>
          <t>2026-06-17 14:10:06</t>
        </is>
      </c>
      <c r="Y791" t="inlineStr">
        <is>
          <t>27763858686</t>
        </is>
      </c>
    </row>
    <row r="792">
      <c r="A792" t="inlineStr">
        <is>
          <t>14921830</t>
        </is>
      </c>
      <c r="B792" t="inlineStr">
        <is>
          <t>98002efa-73d7-49ed-9502-b7c55bd70d82</t>
        </is>
      </c>
      <c r="D792" t="inlineStr">
        <is>
          <t>111111124</t>
        </is>
      </c>
      <c r="E792" t="inlineStr">
        <is>
          <t>Vodacom Life 20260617</t>
        </is>
      </c>
      <c r="G792" t="inlineStr">
        <is>
          <t>BAFANA</t>
        </is>
      </c>
      <c r="H792" t="inlineStr">
        <is>
          <t>MASHININI</t>
        </is>
      </c>
      <c r="J792" t="inlineStr">
        <is>
          <t>AA</t>
        </is>
      </c>
      <c r="K792" t="inlineStr">
        <is>
          <t>Answering Machine Autodial</t>
        </is>
      </c>
      <c r="L792" t="n">
        <v>5</v>
      </c>
      <c r="M792" t="inlineStr">
        <is>
          <t>2026-06-29 12:33:57</t>
        </is>
      </c>
      <c r="N792" t="inlineStr">
        <is>
          <t>system</t>
        </is>
      </c>
      <c r="O792" t="inlineStr">
        <is>
          <t>2026-06-17 14:10:06</t>
        </is>
      </c>
      <c r="P792" t="inlineStr">
        <is>
          <t>2026-06-17 14:10:06</t>
        </is>
      </c>
      <c r="Y792" t="inlineStr">
        <is>
          <t>27768005676</t>
        </is>
      </c>
    </row>
    <row r="793">
      <c r="A793" t="inlineStr">
        <is>
          <t>14921831</t>
        </is>
      </c>
      <c r="B793" t="inlineStr">
        <is>
          <t>0bdb8f4d-58e9-4c4e-a69c-ef75be399696</t>
        </is>
      </c>
      <c r="D793" t="inlineStr">
        <is>
          <t>111111124</t>
        </is>
      </c>
      <c r="E793" t="inlineStr">
        <is>
          <t>Vodacom Life 20260617</t>
        </is>
      </c>
      <c r="G793" t="inlineStr">
        <is>
          <t>SITHEMBINKOSI</t>
        </is>
      </c>
      <c r="H793" t="inlineStr">
        <is>
          <t>MOYO</t>
        </is>
      </c>
      <c r="J793" t="inlineStr">
        <is>
          <t>WN</t>
        </is>
      </c>
      <c r="K793" t="inlineStr">
        <is>
          <t>Wrong Number</t>
        </is>
      </c>
      <c r="L793" t="n">
        <v>5</v>
      </c>
      <c r="M793" t="inlineStr">
        <is>
          <t>2026-06-29 12:33:57</t>
        </is>
      </c>
      <c r="N793" t="inlineStr">
        <is>
          <t>Musiiwa Mary Mabirimisa</t>
        </is>
      </c>
      <c r="O793" t="inlineStr">
        <is>
          <t>2026-06-17 14:10:06</t>
        </is>
      </c>
      <c r="P793" t="inlineStr">
        <is>
          <t>2026-06-17 14:10:06</t>
        </is>
      </c>
      <c r="Y793" t="inlineStr">
        <is>
          <t>27827866424</t>
        </is>
      </c>
    </row>
    <row r="794">
      <c r="A794" t="inlineStr">
        <is>
          <t>14921832</t>
        </is>
      </c>
      <c r="B794" t="inlineStr">
        <is>
          <t>6535bc67-8fbd-40c8-be12-990285b822b7</t>
        </is>
      </c>
      <c r="D794" t="inlineStr">
        <is>
          <t>111111124</t>
        </is>
      </c>
      <c r="E794" t="inlineStr">
        <is>
          <t>Vodacom Life 20260617</t>
        </is>
      </c>
      <c r="G794" t="inlineStr">
        <is>
          <t>VUYISA</t>
        </is>
      </c>
      <c r="H794" t="inlineStr">
        <is>
          <t>BAZA</t>
        </is>
      </c>
      <c r="J794" t="inlineStr">
        <is>
          <t>NA</t>
        </is>
      </c>
      <c r="K794" t="inlineStr">
        <is>
          <t>No Answer Autodial</t>
        </is>
      </c>
      <c r="L794" t="n">
        <v>5</v>
      </c>
      <c r="M794" t="inlineStr">
        <is>
          <t>2026-06-29 12:32:57</t>
        </is>
      </c>
      <c r="N794" t="inlineStr">
        <is>
          <t>system</t>
        </is>
      </c>
      <c r="O794" t="inlineStr">
        <is>
          <t>2026-06-17 14:10:06</t>
        </is>
      </c>
      <c r="P794" t="inlineStr">
        <is>
          <t>2026-06-17 14:10:06</t>
        </is>
      </c>
      <c r="Y794" t="inlineStr">
        <is>
          <t>27646867898</t>
        </is>
      </c>
    </row>
    <row r="795">
      <c r="A795" t="inlineStr">
        <is>
          <t>14921833</t>
        </is>
      </c>
      <c r="B795" t="inlineStr">
        <is>
          <t>9422f032-b7ab-48dc-aa9a-fcb92709d3b2</t>
        </is>
      </c>
      <c r="D795" t="inlineStr">
        <is>
          <t>111111124</t>
        </is>
      </c>
      <c r="E795" t="inlineStr">
        <is>
          <t>Vodacom Life 20260617</t>
        </is>
      </c>
      <c r="G795" t="inlineStr">
        <is>
          <t>S</t>
        </is>
      </c>
      <c r="H795" t="inlineStr">
        <is>
          <t>REINECKE</t>
        </is>
      </c>
      <c r="J795" t="inlineStr">
        <is>
          <t>AA</t>
        </is>
      </c>
      <c r="K795" t="inlineStr">
        <is>
          <t>Answering Machine Autodial</t>
        </is>
      </c>
      <c r="L795" t="n">
        <v>5</v>
      </c>
      <c r="M795" t="inlineStr">
        <is>
          <t>2026-06-29 12:32:57</t>
        </is>
      </c>
      <c r="N795" t="inlineStr">
        <is>
          <t>system</t>
        </is>
      </c>
      <c r="O795" t="inlineStr">
        <is>
          <t>2026-06-17 14:10:06</t>
        </is>
      </c>
      <c r="P795" t="inlineStr">
        <is>
          <t>2026-06-17 14:10:06</t>
        </is>
      </c>
      <c r="Y795" t="inlineStr">
        <is>
          <t>27797535007</t>
        </is>
      </c>
    </row>
    <row r="796">
      <c r="A796" t="inlineStr">
        <is>
          <t>14921834</t>
        </is>
      </c>
      <c r="B796" t="inlineStr">
        <is>
          <t>23049ee2-47f8-4856-9801-0743917514a1</t>
        </is>
      </c>
      <c r="D796" t="inlineStr">
        <is>
          <t>111111124</t>
        </is>
      </c>
      <c r="E796" t="inlineStr">
        <is>
          <t>Vodacom Life 20260617</t>
        </is>
      </c>
      <c r="G796" t="inlineStr">
        <is>
          <t>MMAMOLAPI</t>
        </is>
      </c>
      <c r="H796" t="inlineStr">
        <is>
          <t>MOLOKWANE</t>
        </is>
      </c>
      <c r="J796" t="inlineStr">
        <is>
          <t>NA</t>
        </is>
      </c>
      <c r="K796" t="inlineStr">
        <is>
          <t>No Answer Autodial</t>
        </is>
      </c>
      <c r="L796" t="n">
        <v>5</v>
      </c>
      <c r="M796" t="inlineStr">
        <is>
          <t>2026-06-29 12:32:46</t>
        </is>
      </c>
      <c r="N796" t="inlineStr">
        <is>
          <t>system</t>
        </is>
      </c>
      <c r="O796" t="inlineStr">
        <is>
          <t>2026-06-17 14:10:06</t>
        </is>
      </c>
      <c r="P796" t="inlineStr">
        <is>
          <t>2026-06-17 14:10:06</t>
        </is>
      </c>
      <c r="Y796" t="inlineStr">
        <is>
          <t>27769196504</t>
        </is>
      </c>
    </row>
    <row r="797">
      <c r="A797" t="inlineStr">
        <is>
          <t>14921835</t>
        </is>
      </c>
      <c r="B797" t="inlineStr">
        <is>
          <t>09e22fb0-dad9-4ddf-a22a-1656681185c2</t>
        </is>
      </c>
      <c r="D797" t="inlineStr">
        <is>
          <t>111111124</t>
        </is>
      </c>
      <c r="E797" t="inlineStr">
        <is>
          <t>Vodacom Life 20260617</t>
        </is>
      </c>
      <c r="G797" t="inlineStr">
        <is>
          <t>SAKHAMUZI</t>
        </is>
      </c>
      <c r="H797" t="inlineStr">
        <is>
          <t>MAKHAYE</t>
        </is>
      </c>
      <c r="J797" t="inlineStr">
        <is>
          <t>CBACK</t>
        </is>
      </c>
      <c r="K797" t="inlineStr">
        <is>
          <t>Callback</t>
        </is>
      </c>
      <c r="L797" t="n">
        <v>5</v>
      </c>
      <c r="M797" t="inlineStr">
        <is>
          <t>2026-06-29 12:32:45</t>
        </is>
      </c>
      <c r="N797" t="inlineStr">
        <is>
          <t>Vanessa Kekana</t>
        </is>
      </c>
      <c r="O797" t="inlineStr">
        <is>
          <t>2026-06-17 14:10:06</t>
        </is>
      </c>
      <c r="P797" t="inlineStr">
        <is>
          <t>2026-06-17 14:10:06</t>
        </is>
      </c>
      <c r="Y797" t="inlineStr">
        <is>
          <t>27714025501</t>
        </is>
      </c>
    </row>
    <row r="798">
      <c r="A798" t="inlineStr">
        <is>
          <t>14921836</t>
        </is>
      </c>
      <c r="B798" t="inlineStr">
        <is>
          <t>7fc6adc3-12d8-4026-86bb-eb602056762b</t>
        </is>
      </c>
      <c r="D798" t="inlineStr">
        <is>
          <t>111111124</t>
        </is>
      </c>
      <c r="E798" t="inlineStr">
        <is>
          <t>Vodacom Life 20260617</t>
        </is>
      </c>
      <c r="G798" t="inlineStr">
        <is>
          <t>IAN</t>
        </is>
      </c>
      <c r="H798" t="inlineStr">
        <is>
          <t>MILLAR</t>
        </is>
      </c>
      <c r="J798" t="inlineStr">
        <is>
          <t>A</t>
        </is>
      </c>
      <c r="K798" t="inlineStr">
        <is>
          <t>Answering Machine</t>
        </is>
      </c>
      <c r="L798" t="n">
        <v>5</v>
      </c>
      <c r="M798" t="inlineStr">
        <is>
          <t>2026-06-29 12:32:45</t>
        </is>
      </c>
      <c r="N798" t="inlineStr">
        <is>
          <t>Musiiwa Mary Mabirimisa</t>
        </is>
      </c>
      <c r="O798" t="inlineStr">
        <is>
          <t>2026-06-17 14:10:06</t>
        </is>
      </c>
      <c r="P798" t="inlineStr">
        <is>
          <t>2026-06-17 14:10:06</t>
        </is>
      </c>
      <c r="Y798" t="inlineStr">
        <is>
          <t>27721415989</t>
        </is>
      </c>
    </row>
    <row r="799">
      <c r="A799" t="inlineStr">
        <is>
          <t>14921837</t>
        </is>
      </c>
      <c r="B799" t="inlineStr">
        <is>
          <t>da929354-801a-4c7a-b42e-a8dfb297e3c5</t>
        </is>
      </c>
      <c r="D799" t="inlineStr">
        <is>
          <t>111111124</t>
        </is>
      </c>
      <c r="E799" t="inlineStr">
        <is>
          <t>Vodacom Life 20260617</t>
        </is>
      </c>
      <c r="G799" t="inlineStr">
        <is>
          <t>LENECIA</t>
        </is>
      </c>
      <c r="H799" t="inlineStr">
        <is>
          <t>JANTJES</t>
        </is>
      </c>
      <c r="J799" t="inlineStr">
        <is>
          <t>AA</t>
        </is>
      </c>
      <c r="K799" t="inlineStr">
        <is>
          <t>Answering Machine Autodial</t>
        </is>
      </c>
      <c r="L799" t="n">
        <v>5</v>
      </c>
      <c r="M799" t="inlineStr">
        <is>
          <t>2026-06-29 12:32:45</t>
        </is>
      </c>
      <c r="N799" t="inlineStr">
        <is>
          <t>system</t>
        </is>
      </c>
      <c r="O799" t="inlineStr">
        <is>
          <t>2026-06-17 14:10:06</t>
        </is>
      </c>
      <c r="P799" t="inlineStr">
        <is>
          <t>2026-06-17 14:10:06</t>
        </is>
      </c>
      <c r="Y799" t="inlineStr">
        <is>
          <t>27662493701</t>
        </is>
      </c>
    </row>
    <row r="800">
      <c r="A800" t="inlineStr">
        <is>
          <t>14921838</t>
        </is>
      </c>
      <c r="B800" t="inlineStr">
        <is>
          <t>b98b463e-de5b-4614-a190-d4fa3f4546d4</t>
        </is>
      </c>
      <c r="D800" t="inlineStr">
        <is>
          <t>111111124</t>
        </is>
      </c>
      <c r="E800" t="inlineStr">
        <is>
          <t>Vodacom Life 20260617</t>
        </is>
      </c>
      <c r="G800" t="inlineStr">
        <is>
          <t>LE -ROY</t>
        </is>
      </c>
      <c r="H800" t="inlineStr">
        <is>
          <t>ROOLVINH</t>
        </is>
      </c>
      <c r="J800" t="inlineStr">
        <is>
          <t>AA</t>
        </is>
      </c>
      <c r="K800" t="inlineStr">
        <is>
          <t>Answering Machine Autodial</t>
        </is>
      </c>
      <c r="L800" t="n">
        <v>5</v>
      </c>
      <c r="M800" t="inlineStr">
        <is>
          <t>2026-06-29 12:32:44</t>
        </is>
      </c>
      <c r="N800" t="inlineStr">
        <is>
          <t>system</t>
        </is>
      </c>
      <c r="O800" t="inlineStr">
        <is>
          <t>2026-06-17 14:10:06</t>
        </is>
      </c>
      <c r="P800" t="inlineStr">
        <is>
          <t>2026-06-17 14:10:06</t>
        </is>
      </c>
      <c r="Y800" t="inlineStr">
        <is>
          <t>27739877275</t>
        </is>
      </c>
    </row>
    <row r="801">
      <c r="A801" t="inlineStr">
        <is>
          <t>14921839</t>
        </is>
      </c>
      <c r="B801" t="inlineStr">
        <is>
          <t>06c30948-5b3b-4d9e-a8ac-fe32e389b866</t>
        </is>
      </c>
      <c r="D801" t="inlineStr">
        <is>
          <t>111111124</t>
        </is>
      </c>
      <c r="E801" t="inlineStr">
        <is>
          <t>Vodacom Life 20260617</t>
        </is>
      </c>
      <c r="G801" t="inlineStr">
        <is>
          <t>TROY</t>
        </is>
      </c>
      <c r="H801" t="inlineStr">
        <is>
          <t>VAN ES</t>
        </is>
      </c>
      <c r="J801" t="inlineStr">
        <is>
          <t>AA</t>
        </is>
      </c>
      <c r="K801" t="inlineStr">
        <is>
          <t>Answering Machine Autodial</t>
        </is>
      </c>
      <c r="L801" t="n">
        <v>5</v>
      </c>
      <c r="M801" t="inlineStr">
        <is>
          <t>2026-06-29 12:32:44</t>
        </is>
      </c>
      <c r="N801" t="inlineStr">
        <is>
          <t>system</t>
        </is>
      </c>
      <c r="O801" t="inlineStr">
        <is>
          <t>2026-06-17 14:10:06</t>
        </is>
      </c>
      <c r="P801" t="inlineStr">
        <is>
          <t>2026-06-17 14:10:06</t>
        </is>
      </c>
      <c r="Y801" t="inlineStr">
        <is>
          <t>27674092489</t>
        </is>
      </c>
    </row>
    <row r="802">
      <c r="A802" t="inlineStr">
        <is>
          <t>14921840</t>
        </is>
      </c>
      <c r="B802" t="inlineStr">
        <is>
          <t>92fd2da8-4185-40f5-897e-69844b871e6d</t>
        </is>
      </c>
      <c r="D802" t="inlineStr">
        <is>
          <t>111111124</t>
        </is>
      </c>
      <c r="E802" t="inlineStr">
        <is>
          <t>Vodacom Life 20260617</t>
        </is>
      </c>
      <c r="G802" t="inlineStr">
        <is>
          <t>WONDER</t>
        </is>
      </c>
      <c r="H802" t="inlineStr">
        <is>
          <t>GUMEDE</t>
        </is>
      </c>
      <c r="J802" t="inlineStr">
        <is>
          <t>AA</t>
        </is>
      </c>
      <c r="K802" t="inlineStr">
        <is>
          <t>Answering Machine Autodial</t>
        </is>
      </c>
      <c r="L802" t="n">
        <v>5</v>
      </c>
      <c r="M802" t="inlineStr">
        <is>
          <t>2026-06-29 12:32:39</t>
        </is>
      </c>
      <c r="N802" t="inlineStr">
        <is>
          <t>system</t>
        </is>
      </c>
      <c r="O802" t="inlineStr">
        <is>
          <t>2026-06-17 14:10:06</t>
        </is>
      </c>
      <c r="P802" t="inlineStr">
        <is>
          <t>2026-06-17 14:10:06</t>
        </is>
      </c>
      <c r="Y802" t="inlineStr">
        <is>
          <t>27607961239</t>
        </is>
      </c>
    </row>
    <row r="803">
      <c r="A803" t="inlineStr">
        <is>
          <t>14921841</t>
        </is>
      </c>
      <c r="B803" t="inlineStr">
        <is>
          <t>652ab9da-da30-4532-b10f-a4b81a64956e</t>
        </is>
      </c>
      <c r="D803" t="inlineStr">
        <is>
          <t>111111124</t>
        </is>
      </c>
      <c r="E803" t="inlineStr">
        <is>
          <t>Vodacom Life 20260617</t>
        </is>
      </c>
      <c r="G803" t="inlineStr">
        <is>
          <t>IMOGENE</t>
        </is>
      </c>
      <c r="H803" t="inlineStr">
        <is>
          <t>VAN DEN HOECK</t>
        </is>
      </c>
      <c r="J803" t="inlineStr">
        <is>
          <t>AE</t>
        </is>
      </c>
      <c r="K803" t="inlineStr">
        <is>
          <t>Auto Engaged</t>
        </is>
      </c>
      <c r="L803" t="n">
        <v>5</v>
      </c>
      <c r="M803" t="inlineStr">
        <is>
          <t>2026-06-29 12:32:37</t>
        </is>
      </c>
      <c r="N803" t="inlineStr">
        <is>
          <t>system</t>
        </is>
      </c>
      <c r="O803" t="inlineStr">
        <is>
          <t>2026-06-17 14:10:06</t>
        </is>
      </c>
      <c r="P803" t="inlineStr">
        <is>
          <t>2026-06-17 14:10:06</t>
        </is>
      </c>
      <c r="Y803" t="inlineStr">
        <is>
          <t>27828048262</t>
        </is>
      </c>
    </row>
    <row r="804">
      <c r="A804" t="inlineStr">
        <is>
          <t>14921842</t>
        </is>
      </c>
      <c r="B804" t="inlineStr">
        <is>
          <t>d685fc7c-7fe3-4a32-911e-7369246869b3</t>
        </is>
      </c>
      <c r="D804" t="inlineStr">
        <is>
          <t>111111124</t>
        </is>
      </c>
      <c r="E804" t="inlineStr">
        <is>
          <t>Vodacom Life 20260617</t>
        </is>
      </c>
      <c r="G804" t="inlineStr">
        <is>
          <t>KENNETH</t>
        </is>
      </c>
      <c r="H804" t="inlineStr">
        <is>
          <t>POTSANE</t>
        </is>
      </c>
      <c r="J804" t="inlineStr">
        <is>
          <t>AE</t>
        </is>
      </c>
      <c r="K804" t="inlineStr">
        <is>
          <t>Auto Engaged</t>
        </is>
      </c>
      <c r="L804" t="n">
        <v>5</v>
      </c>
      <c r="M804" t="inlineStr">
        <is>
          <t>2026-06-29 12:32:37</t>
        </is>
      </c>
      <c r="N804" t="inlineStr">
        <is>
          <t>system</t>
        </is>
      </c>
      <c r="O804" t="inlineStr">
        <is>
          <t>2026-06-17 14:10:06</t>
        </is>
      </c>
      <c r="P804" t="inlineStr">
        <is>
          <t>2026-06-17 14:10:06</t>
        </is>
      </c>
      <c r="Y804" t="inlineStr">
        <is>
          <t>27799295185</t>
        </is>
      </c>
    </row>
    <row r="805">
      <c r="A805" t="inlineStr">
        <is>
          <t>14921843</t>
        </is>
      </c>
      <c r="B805" t="inlineStr">
        <is>
          <t>04f640f1-bba2-4ac4-aad1-3a932fb0572d</t>
        </is>
      </c>
      <c r="D805" t="inlineStr">
        <is>
          <t>111111124</t>
        </is>
      </c>
      <c r="E805" t="inlineStr">
        <is>
          <t>Vodacom Life 20260617</t>
        </is>
      </c>
      <c r="G805" t="inlineStr">
        <is>
          <t>KEEPENG</t>
        </is>
      </c>
      <c r="H805" t="inlineStr">
        <is>
          <t>MOLOSIWA</t>
        </is>
      </c>
      <c r="J805" t="inlineStr">
        <is>
          <t>CU</t>
        </is>
      </c>
      <c r="K805" t="inlineStr">
        <is>
          <t>Client Hung Up</t>
        </is>
      </c>
      <c r="L805" t="n">
        <v>5</v>
      </c>
      <c r="M805" t="inlineStr">
        <is>
          <t>2026-06-29 12:32:36</t>
        </is>
      </c>
      <c r="N805" t="inlineStr">
        <is>
          <t>bongiwe lushaba</t>
        </is>
      </c>
      <c r="O805" t="inlineStr">
        <is>
          <t>2026-06-17 14:10:06</t>
        </is>
      </c>
      <c r="P805" t="inlineStr">
        <is>
          <t>2026-06-17 14:10:06</t>
        </is>
      </c>
      <c r="Y805" t="inlineStr">
        <is>
          <t>27796915373</t>
        </is>
      </c>
    </row>
    <row r="806">
      <c r="A806" t="inlineStr">
        <is>
          <t>14921845</t>
        </is>
      </c>
      <c r="B806" t="inlineStr">
        <is>
          <t>1eea5f62-61c5-4ad8-a71e-80bbfc548316</t>
        </is>
      </c>
      <c r="D806" t="inlineStr">
        <is>
          <t>111111124</t>
        </is>
      </c>
      <c r="E806" t="inlineStr">
        <is>
          <t>Vodacom Life 20260617</t>
        </is>
      </c>
      <c r="G806" t="inlineStr">
        <is>
          <t>THURLO</t>
        </is>
      </c>
      <c r="H806" t="inlineStr">
        <is>
          <t>MARITZ</t>
        </is>
      </c>
      <c r="J806" t="inlineStr">
        <is>
          <t>DROP</t>
        </is>
      </c>
      <c r="K806" t="inlineStr">
        <is>
          <t>Dropped</t>
        </is>
      </c>
      <c r="L806" t="n">
        <v>5</v>
      </c>
      <c r="M806" t="inlineStr">
        <is>
          <t>2026-06-29 12:32:06</t>
        </is>
      </c>
      <c r="N806" t="inlineStr">
        <is>
          <t>system</t>
        </is>
      </c>
      <c r="O806" t="inlineStr">
        <is>
          <t>2026-06-17 14:10:06</t>
        </is>
      </c>
      <c r="P806" t="inlineStr">
        <is>
          <t>2026-06-17 14:10:06</t>
        </is>
      </c>
      <c r="Y806" t="inlineStr">
        <is>
          <t>27714118555</t>
        </is>
      </c>
    </row>
    <row r="807">
      <c r="A807" t="inlineStr">
        <is>
          <t>14921846</t>
        </is>
      </c>
      <c r="B807" t="inlineStr">
        <is>
          <t>d8485b29-1f53-4cec-b3b3-e2c69bde474a</t>
        </is>
      </c>
      <c r="D807" t="inlineStr">
        <is>
          <t>111111124</t>
        </is>
      </c>
      <c r="E807" t="inlineStr">
        <is>
          <t>Vodacom Life 20260617</t>
        </is>
      </c>
      <c r="G807" t="inlineStr">
        <is>
          <t>SESETHU</t>
        </is>
      </c>
      <c r="H807" t="inlineStr">
        <is>
          <t>NGOTANA-NTABA</t>
        </is>
      </c>
      <c r="J807" t="inlineStr">
        <is>
          <t>AA</t>
        </is>
      </c>
      <c r="K807" t="inlineStr">
        <is>
          <t>Answering Machine Autodial</t>
        </is>
      </c>
      <c r="L807" t="n">
        <v>5</v>
      </c>
      <c r="M807" t="inlineStr">
        <is>
          <t>2026-06-29 12:31:49</t>
        </is>
      </c>
      <c r="N807" t="inlineStr">
        <is>
          <t>system</t>
        </is>
      </c>
      <c r="O807" t="inlineStr">
        <is>
          <t>2026-06-17 14:10:06</t>
        </is>
      </c>
      <c r="P807" t="inlineStr">
        <is>
          <t>2026-06-17 14:10:06</t>
        </is>
      </c>
      <c r="Y807" t="inlineStr">
        <is>
          <t>27727798987</t>
        </is>
      </c>
    </row>
    <row r="808">
      <c r="A808" t="inlineStr">
        <is>
          <t>14921847</t>
        </is>
      </c>
      <c r="B808" t="inlineStr">
        <is>
          <t>705be7b9-56cd-4f01-b2e7-565215a7d2c1</t>
        </is>
      </c>
      <c r="D808" t="inlineStr">
        <is>
          <t>111111124</t>
        </is>
      </c>
      <c r="E808" t="inlineStr">
        <is>
          <t>Vodacom Life 20260617</t>
        </is>
      </c>
      <c r="G808" t="inlineStr">
        <is>
          <t>NAOMI</t>
        </is>
      </c>
      <c r="H808" t="inlineStr">
        <is>
          <t>RIET</t>
        </is>
      </c>
      <c r="J808" t="inlineStr">
        <is>
          <t>AA</t>
        </is>
      </c>
      <c r="K808" t="inlineStr">
        <is>
          <t>Answering Machine Autodial</t>
        </is>
      </c>
      <c r="L808" t="n">
        <v>5</v>
      </c>
      <c r="M808" t="inlineStr">
        <is>
          <t>2026-06-29 12:31:48</t>
        </is>
      </c>
      <c r="N808" t="inlineStr">
        <is>
          <t>system</t>
        </is>
      </c>
      <c r="O808" t="inlineStr">
        <is>
          <t>2026-06-17 14:10:06</t>
        </is>
      </c>
      <c r="P808" t="inlineStr">
        <is>
          <t>2026-06-17 14:10:06</t>
        </is>
      </c>
      <c r="Y808" t="inlineStr">
        <is>
          <t>27662892680</t>
        </is>
      </c>
    </row>
    <row r="809">
      <c r="A809" t="inlineStr">
        <is>
          <t>14921849</t>
        </is>
      </c>
      <c r="B809" t="inlineStr">
        <is>
          <t>0dcbf2d2-31dc-4fe1-85d7-bb19dfdb6e06</t>
        </is>
      </c>
      <c r="D809" t="inlineStr">
        <is>
          <t>111111124</t>
        </is>
      </c>
      <c r="E809" t="inlineStr">
        <is>
          <t>Vodacom Life 20260617</t>
        </is>
      </c>
      <c r="G809" t="inlineStr">
        <is>
          <t>HENDRICK</t>
        </is>
      </c>
      <c r="H809" t="inlineStr">
        <is>
          <t>KONDLO</t>
        </is>
      </c>
      <c r="J809" t="inlineStr">
        <is>
          <t>AE</t>
        </is>
      </c>
      <c r="K809" t="inlineStr">
        <is>
          <t>Auto Engaged</t>
        </is>
      </c>
      <c r="L809" t="n">
        <v>5</v>
      </c>
      <c r="M809" t="inlineStr">
        <is>
          <t>2026-06-29 12:31:46</t>
        </is>
      </c>
      <c r="N809" t="inlineStr">
        <is>
          <t>system</t>
        </is>
      </c>
      <c r="O809" t="inlineStr">
        <is>
          <t>2026-06-17 14:10:06</t>
        </is>
      </c>
      <c r="P809" t="inlineStr">
        <is>
          <t>2026-06-17 14:10:06</t>
        </is>
      </c>
      <c r="Y809" t="inlineStr">
        <is>
          <t>27662701998</t>
        </is>
      </c>
    </row>
    <row r="810">
      <c r="A810" t="inlineStr">
        <is>
          <t>14921850</t>
        </is>
      </c>
      <c r="B810" t="inlineStr">
        <is>
          <t>deb9040b-75e3-43e9-b4cd-f9c15eba47d4</t>
        </is>
      </c>
      <c r="D810" t="inlineStr">
        <is>
          <t>111111124</t>
        </is>
      </c>
      <c r="E810" t="inlineStr">
        <is>
          <t>Vodacom Life 20260617</t>
        </is>
      </c>
      <c r="G810" t="inlineStr">
        <is>
          <t>ERIKA</t>
        </is>
      </c>
      <c r="H810" t="inlineStr">
        <is>
          <t>VAN RENSBURG</t>
        </is>
      </c>
      <c r="J810" t="inlineStr">
        <is>
          <t>AE</t>
        </is>
      </c>
      <c r="K810" t="inlineStr">
        <is>
          <t>Auto Engaged</t>
        </is>
      </c>
      <c r="L810" t="n">
        <v>5</v>
      </c>
      <c r="M810" t="inlineStr">
        <is>
          <t>2026-06-29 12:31:46</t>
        </is>
      </c>
      <c r="N810" t="inlineStr">
        <is>
          <t>system</t>
        </is>
      </c>
      <c r="O810" t="inlineStr">
        <is>
          <t>2026-06-17 14:10:06</t>
        </is>
      </c>
      <c r="P810" t="inlineStr">
        <is>
          <t>2026-06-17 14:10:06</t>
        </is>
      </c>
      <c r="Y810" t="inlineStr">
        <is>
          <t>27823907552</t>
        </is>
      </c>
    </row>
    <row r="811">
      <c r="A811" t="inlineStr">
        <is>
          <t>14921872</t>
        </is>
      </c>
      <c r="B811" t="inlineStr">
        <is>
          <t>7f527207-c7aa-4d70-aae5-58f420823c59</t>
        </is>
      </c>
      <c r="D811" t="inlineStr">
        <is>
          <t>111111124</t>
        </is>
      </c>
      <c r="E811" t="inlineStr">
        <is>
          <t>Vodacom Life 20260617</t>
        </is>
      </c>
      <c r="G811" t="inlineStr">
        <is>
          <t>BRENT</t>
        </is>
      </c>
      <c r="H811" t="inlineStr">
        <is>
          <t>VAN ZYL</t>
        </is>
      </c>
      <c r="J811" t="inlineStr">
        <is>
          <t>AA</t>
        </is>
      </c>
      <c r="K811" t="inlineStr">
        <is>
          <t>Answering Machine Autodial</t>
        </is>
      </c>
      <c r="L811" t="n">
        <v>5</v>
      </c>
      <c r="M811" t="inlineStr">
        <is>
          <t>2026-06-29 12:31:44</t>
        </is>
      </c>
      <c r="N811" t="inlineStr">
        <is>
          <t>system</t>
        </is>
      </c>
      <c r="O811" t="inlineStr">
        <is>
          <t>2026-06-17 14:10:06</t>
        </is>
      </c>
      <c r="P811" t="inlineStr">
        <is>
          <t>2026-06-17 14:10:06</t>
        </is>
      </c>
      <c r="Y811" t="inlineStr">
        <is>
          <t>27646572470</t>
        </is>
      </c>
    </row>
    <row r="812">
      <c r="A812" t="inlineStr">
        <is>
          <t>14921907</t>
        </is>
      </c>
      <c r="B812" t="inlineStr">
        <is>
          <t>bd3ae590-18f5-4016-a8fd-a524c573395c</t>
        </is>
      </c>
      <c r="D812" t="inlineStr">
        <is>
          <t>111111124</t>
        </is>
      </c>
      <c r="E812" t="inlineStr">
        <is>
          <t>Vodacom Life 20260617</t>
        </is>
      </c>
      <c r="G812" t="inlineStr">
        <is>
          <t>ANDISWA</t>
        </is>
      </c>
      <c r="H812" t="inlineStr">
        <is>
          <t>GUMEDE</t>
        </is>
      </c>
      <c r="J812" t="inlineStr">
        <is>
          <t>CU</t>
        </is>
      </c>
      <c r="K812" t="inlineStr">
        <is>
          <t>Client Hung Up</t>
        </is>
      </c>
      <c r="L812" t="n">
        <v>5</v>
      </c>
      <c r="M812" t="inlineStr">
        <is>
          <t>2026-06-29 12:31:42</t>
        </is>
      </c>
      <c r="N812" t="inlineStr">
        <is>
          <t>Vanessa Kekana</t>
        </is>
      </c>
      <c r="O812" t="inlineStr">
        <is>
          <t>2026-06-17 14:10:06</t>
        </is>
      </c>
      <c r="P812" t="inlineStr">
        <is>
          <t>2026-06-17 14:10:06</t>
        </is>
      </c>
      <c r="Y812" t="inlineStr">
        <is>
          <t>27720602044</t>
        </is>
      </c>
    </row>
    <row r="813">
      <c r="A813" t="inlineStr">
        <is>
          <t>14921908</t>
        </is>
      </c>
      <c r="B813" t="inlineStr">
        <is>
          <t>c8f99026-24d8-4afe-990f-fc373a7cf382</t>
        </is>
      </c>
      <c r="D813" t="inlineStr">
        <is>
          <t>111111124</t>
        </is>
      </c>
      <c r="E813" t="inlineStr">
        <is>
          <t>Vodacom Life 20260617</t>
        </is>
      </c>
      <c r="G813" t="inlineStr">
        <is>
          <t>MA</t>
        </is>
      </c>
      <c r="H813" t="inlineStr">
        <is>
          <t>SIMELANE</t>
        </is>
      </c>
      <c r="J813" t="inlineStr">
        <is>
          <t>AE</t>
        </is>
      </c>
      <c r="K813" t="inlineStr">
        <is>
          <t>Auto Engaged</t>
        </is>
      </c>
      <c r="L813" t="n">
        <v>5</v>
      </c>
      <c r="M813" t="inlineStr">
        <is>
          <t>2026-06-29 12:31:41</t>
        </is>
      </c>
      <c r="N813" t="inlineStr">
        <is>
          <t>system</t>
        </is>
      </c>
      <c r="O813" t="inlineStr">
        <is>
          <t>2026-06-17 14:10:06</t>
        </is>
      </c>
      <c r="P813" t="inlineStr">
        <is>
          <t>2026-06-17 14:10:06</t>
        </is>
      </c>
      <c r="Y813" t="inlineStr">
        <is>
          <t>27646545112</t>
        </is>
      </c>
    </row>
    <row r="814">
      <c r="A814" t="inlineStr">
        <is>
          <t>14921909</t>
        </is>
      </c>
      <c r="B814" t="inlineStr">
        <is>
          <t>1b0a68ff-f8dc-4d98-bac6-608c00fd092c</t>
        </is>
      </c>
      <c r="D814" t="inlineStr">
        <is>
          <t>111111124</t>
        </is>
      </c>
      <c r="E814" t="inlineStr">
        <is>
          <t>Vodacom Life 20260617</t>
        </is>
      </c>
      <c r="G814" t="inlineStr">
        <is>
          <t>BONGIWE</t>
        </is>
      </c>
      <c r="H814" t="inlineStr">
        <is>
          <t>BOOI</t>
        </is>
      </c>
      <c r="J814" t="inlineStr">
        <is>
          <t>AE</t>
        </is>
      </c>
      <c r="K814" t="inlineStr">
        <is>
          <t>Auto Engaged</t>
        </is>
      </c>
      <c r="L814" t="n">
        <v>5</v>
      </c>
      <c r="M814" t="inlineStr">
        <is>
          <t>2026-06-29 12:31:38</t>
        </is>
      </c>
      <c r="N814" t="inlineStr">
        <is>
          <t>system</t>
        </is>
      </c>
      <c r="O814" t="inlineStr">
        <is>
          <t>2026-06-17 14:10:06</t>
        </is>
      </c>
      <c r="P814" t="inlineStr">
        <is>
          <t>2026-06-17 14:10:06</t>
        </is>
      </c>
      <c r="Y814" t="inlineStr">
        <is>
          <t>27822161672</t>
        </is>
      </c>
    </row>
    <row r="815">
      <c r="A815" t="inlineStr">
        <is>
          <t>14921040</t>
        </is>
      </c>
      <c r="B815" t="inlineStr">
        <is>
          <t>26c559b0-eba2-4d82-becf-bfed2c126ba0</t>
        </is>
      </c>
      <c r="D815" t="inlineStr">
        <is>
          <t>111111124</t>
        </is>
      </c>
      <c r="E815" t="inlineStr">
        <is>
          <t>Vodacom Life 20260617</t>
        </is>
      </c>
      <c r="G815" t="inlineStr">
        <is>
          <t>TSHIISAPHUNGO</t>
        </is>
      </c>
      <c r="H815" t="inlineStr">
        <is>
          <t>RAMASINDI</t>
        </is>
      </c>
      <c r="J815" t="inlineStr">
        <is>
          <t>NA</t>
        </is>
      </c>
      <c r="K815" t="inlineStr">
        <is>
          <t>No Answer Autodial</t>
        </is>
      </c>
      <c r="L815" t="n">
        <v>5</v>
      </c>
      <c r="M815" t="inlineStr">
        <is>
          <t>2026-06-29 12:31:30</t>
        </is>
      </c>
      <c r="N815" t="inlineStr">
        <is>
          <t>system</t>
        </is>
      </c>
      <c r="O815" t="inlineStr">
        <is>
          <t>2026-06-17 14:10:06</t>
        </is>
      </c>
      <c r="P815" t="inlineStr">
        <is>
          <t>2026-06-17 14:10:06</t>
        </is>
      </c>
      <c r="Y815" t="inlineStr">
        <is>
          <t>27662291008</t>
        </is>
      </c>
    </row>
    <row r="816">
      <c r="A816" t="inlineStr">
        <is>
          <t>14921910</t>
        </is>
      </c>
      <c r="B816" t="inlineStr">
        <is>
          <t>2194a487-8c94-4757-a1e3-b9dd0ec644a5</t>
        </is>
      </c>
      <c r="D816" t="inlineStr">
        <is>
          <t>111111124</t>
        </is>
      </c>
      <c r="E816" t="inlineStr">
        <is>
          <t>Vodacom Life 20260617</t>
        </is>
      </c>
      <c r="G816" t="inlineStr">
        <is>
          <t>MIRANDA</t>
        </is>
      </c>
      <c r="H816" t="inlineStr">
        <is>
          <t>MAYINDI</t>
        </is>
      </c>
      <c r="J816" t="inlineStr">
        <is>
          <t>NA</t>
        </is>
      </c>
      <c r="K816" t="inlineStr">
        <is>
          <t>No Answer Autodial</t>
        </is>
      </c>
      <c r="L816" t="n">
        <v>5</v>
      </c>
      <c r="M816" t="inlineStr">
        <is>
          <t>2026-06-29 12:30:55</t>
        </is>
      </c>
      <c r="N816" t="inlineStr">
        <is>
          <t>system</t>
        </is>
      </c>
      <c r="O816" t="inlineStr">
        <is>
          <t>2026-06-17 14:10:06</t>
        </is>
      </c>
      <c r="P816" t="inlineStr">
        <is>
          <t>2026-06-17 14:10:06</t>
        </is>
      </c>
      <c r="Y816" t="inlineStr">
        <is>
          <t>27646538649</t>
        </is>
      </c>
    </row>
    <row r="817">
      <c r="A817" t="inlineStr">
        <is>
          <t>14921911</t>
        </is>
      </c>
      <c r="B817" t="inlineStr">
        <is>
          <t>8e8ef492-ebba-42e4-af32-6169e1f2ffff</t>
        </is>
      </c>
      <c r="D817" t="inlineStr">
        <is>
          <t>111111124</t>
        </is>
      </c>
      <c r="E817" t="inlineStr">
        <is>
          <t>Vodacom Life 20260617</t>
        </is>
      </c>
      <c r="G817" t="inlineStr">
        <is>
          <t>LIZETTE</t>
        </is>
      </c>
      <c r="H817" t="inlineStr">
        <is>
          <t>VAN HANSEN</t>
        </is>
      </c>
      <c r="J817" t="inlineStr">
        <is>
          <t>AE</t>
        </is>
      </c>
      <c r="K817" t="inlineStr">
        <is>
          <t>Auto Engaged</t>
        </is>
      </c>
      <c r="L817" t="n">
        <v>5</v>
      </c>
      <c r="M817" t="inlineStr">
        <is>
          <t>2026-06-29 12:30:53</t>
        </is>
      </c>
      <c r="N817" t="inlineStr">
        <is>
          <t>system</t>
        </is>
      </c>
      <c r="O817" t="inlineStr">
        <is>
          <t>2026-06-17 14:10:06</t>
        </is>
      </c>
      <c r="P817" t="inlineStr">
        <is>
          <t>2026-06-17 14:10:06</t>
        </is>
      </c>
      <c r="Y817" t="inlineStr">
        <is>
          <t>27714712018</t>
        </is>
      </c>
    </row>
    <row r="818">
      <c r="A818" t="inlineStr">
        <is>
          <t>14921912</t>
        </is>
      </c>
      <c r="B818" t="inlineStr">
        <is>
          <t>b7bf02fe-4fc9-470b-b793-365657ce1666</t>
        </is>
      </c>
      <c r="D818" t="inlineStr">
        <is>
          <t>111111124</t>
        </is>
      </c>
      <c r="E818" t="inlineStr">
        <is>
          <t>Vodacom Life 20260617</t>
        </is>
      </c>
      <c r="G818" t="inlineStr">
        <is>
          <t>LEBOGANG</t>
        </is>
      </c>
      <c r="H818" t="inlineStr">
        <is>
          <t>MOGAMISI</t>
        </is>
      </c>
      <c r="J818" t="inlineStr">
        <is>
          <t>AE</t>
        </is>
      </c>
      <c r="K818" t="inlineStr">
        <is>
          <t>Auto Engaged</t>
        </is>
      </c>
      <c r="L818" t="n">
        <v>5</v>
      </c>
      <c r="M818" t="inlineStr">
        <is>
          <t>2026-06-29 12:30:53</t>
        </is>
      </c>
      <c r="N818" t="inlineStr">
        <is>
          <t>system</t>
        </is>
      </c>
      <c r="O818" t="inlineStr">
        <is>
          <t>2026-06-17 14:10:06</t>
        </is>
      </c>
      <c r="P818" t="inlineStr">
        <is>
          <t>2026-06-17 14:10:06</t>
        </is>
      </c>
      <c r="Y818" t="inlineStr">
        <is>
          <t>27720785240</t>
        </is>
      </c>
    </row>
    <row r="819">
      <c r="A819" t="inlineStr">
        <is>
          <t>14921914</t>
        </is>
      </c>
      <c r="B819" t="inlineStr">
        <is>
          <t>d6a32cd8-fc7d-4a38-bbde-6a7085dbc704</t>
        </is>
      </c>
      <c r="D819" t="inlineStr">
        <is>
          <t>111111124</t>
        </is>
      </c>
      <c r="E819" t="inlineStr">
        <is>
          <t>Vodacom Life 20260617</t>
        </is>
      </c>
      <c r="G819" t="inlineStr">
        <is>
          <t>LEANDRI</t>
        </is>
      </c>
      <c r="H819" t="inlineStr">
        <is>
          <t>VAN DEN BERG</t>
        </is>
      </c>
      <c r="J819" t="inlineStr">
        <is>
          <t>DROP</t>
        </is>
      </c>
      <c r="K819" t="inlineStr">
        <is>
          <t>Dropped</t>
        </is>
      </c>
      <c r="L819" t="n">
        <v>5</v>
      </c>
      <c r="M819" t="inlineStr">
        <is>
          <t>2026-06-29 12:30:52</t>
        </is>
      </c>
      <c r="N819" t="inlineStr">
        <is>
          <t>system</t>
        </is>
      </c>
      <c r="O819" t="inlineStr">
        <is>
          <t>2026-06-17 14:10:06</t>
        </is>
      </c>
      <c r="P819" t="inlineStr">
        <is>
          <t>2026-06-17 14:10:06</t>
        </is>
      </c>
      <c r="Y819" t="inlineStr">
        <is>
          <t>27723993294</t>
        </is>
      </c>
    </row>
    <row r="820">
      <c r="A820" t="inlineStr">
        <is>
          <t>14921915</t>
        </is>
      </c>
      <c r="B820" t="inlineStr">
        <is>
          <t>489e9b70-4830-44d0-9b1c-de43fb277601</t>
        </is>
      </c>
      <c r="D820" t="inlineStr">
        <is>
          <t>111111124</t>
        </is>
      </c>
      <c r="E820" t="inlineStr">
        <is>
          <t>Vodacom Life 20260617</t>
        </is>
      </c>
      <c r="G820" t="inlineStr">
        <is>
          <t>JACOBUS</t>
        </is>
      </c>
      <c r="H820" t="inlineStr">
        <is>
          <t>ALBERTS</t>
        </is>
      </c>
      <c r="J820" t="inlineStr">
        <is>
          <t>A</t>
        </is>
      </c>
      <c r="K820" t="inlineStr">
        <is>
          <t>Answering Machine</t>
        </is>
      </c>
      <c r="L820" t="n">
        <v>5</v>
      </c>
      <c r="M820" t="inlineStr">
        <is>
          <t>2026-06-29 12:30:52</t>
        </is>
      </c>
      <c r="N820" t="inlineStr">
        <is>
          <t>Khensane Mabasa</t>
        </is>
      </c>
      <c r="O820" t="inlineStr">
        <is>
          <t>2026-06-17 14:10:06</t>
        </is>
      </c>
      <c r="P820" t="inlineStr">
        <is>
          <t>2026-06-17 14:10:06</t>
        </is>
      </c>
      <c r="Y820" t="inlineStr">
        <is>
          <t>27827871690</t>
        </is>
      </c>
    </row>
    <row r="821">
      <c r="A821" t="inlineStr">
        <is>
          <t>14921916</t>
        </is>
      </c>
      <c r="B821" t="inlineStr">
        <is>
          <t>9a63b03a-6b03-44fb-b69d-4d7f31c7c0ff</t>
        </is>
      </c>
      <c r="D821" t="inlineStr">
        <is>
          <t>111111124</t>
        </is>
      </c>
      <c r="E821" t="inlineStr">
        <is>
          <t>Vodacom Life 20260617</t>
        </is>
      </c>
      <c r="G821" t="inlineStr">
        <is>
          <t>LWANDLE</t>
        </is>
      </c>
      <c r="H821" t="inlineStr">
        <is>
          <t>GXAKA</t>
        </is>
      </c>
      <c r="J821" t="inlineStr">
        <is>
          <t>A</t>
        </is>
      </c>
      <c r="K821" t="inlineStr">
        <is>
          <t>Answering Machine</t>
        </is>
      </c>
      <c r="L821" t="n">
        <v>5</v>
      </c>
      <c r="M821" t="inlineStr">
        <is>
          <t>2026-06-29 12:30:45</t>
        </is>
      </c>
      <c r="N821" t="inlineStr">
        <is>
          <t>bongiwe lushaba</t>
        </is>
      </c>
      <c r="O821" t="inlineStr">
        <is>
          <t>2026-06-17 14:10:06</t>
        </is>
      </c>
      <c r="P821" t="inlineStr">
        <is>
          <t>2026-06-17 14:10:06</t>
        </is>
      </c>
      <c r="Y821" t="inlineStr">
        <is>
          <t>27762265358</t>
        </is>
      </c>
    </row>
    <row r="822">
      <c r="A822" t="inlineStr">
        <is>
          <t>14921917</t>
        </is>
      </c>
      <c r="B822" t="inlineStr">
        <is>
          <t>9906dcb7-a605-4577-95c7-18b0e9ba69b5</t>
        </is>
      </c>
      <c r="D822" t="inlineStr">
        <is>
          <t>111111124</t>
        </is>
      </c>
      <c r="E822" t="inlineStr">
        <is>
          <t>Vodacom Life 20260617</t>
        </is>
      </c>
      <c r="G822" t="inlineStr">
        <is>
          <t>NTOMBI</t>
        </is>
      </c>
      <c r="H822" t="inlineStr">
        <is>
          <t>ZUMA</t>
        </is>
      </c>
      <c r="J822" t="inlineStr">
        <is>
          <t>CU</t>
        </is>
      </c>
      <c r="K822" t="inlineStr">
        <is>
          <t>Client Hung Up</t>
        </is>
      </c>
      <c r="L822" t="n">
        <v>5</v>
      </c>
      <c r="M822" t="inlineStr">
        <is>
          <t>2026-06-29 12:30:43</t>
        </is>
      </c>
      <c r="N822" t="inlineStr">
        <is>
          <t>Vanessa Kekana</t>
        </is>
      </c>
      <c r="O822" t="inlineStr">
        <is>
          <t>2026-06-17 14:10:06</t>
        </is>
      </c>
      <c r="P822" t="inlineStr">
        <is>
          <t>2026-06-17 14:10:06</t>
        </is>
      </c>
      <c r="Y822" t="inlineStr">
        <is>
          <t>27647211104</t>
        </is>
      </c>
    </row>
    <row r="823">
      <c r="A823" t="inlineStr">
        <is>
          <t>14921918</t>
        </is>
      </c>
      <c r="B823" t="inlineStr">
        <is>
          <t>6753a52e-f302-4e3e-a42d-c0fcb5b2b44a</t>
        </is>
      </c>
      <c r="D823" t="inlineStr">
        <is>
          <t>111111124</t>
        </is>
      </c>
      <c r="E823" t="inlineStr">
        <is>
          <t>Vodacom Life 20260617</t>
        </is>
      </c>
      <c r="G823" t="inlineStr">
        <is>
          <t>MADIPOANE</t>
        </is>
      </c>
      <c r="H823" t="inlineStr">
        <is>
          <t>MASENYA</t>
        </is>
      </c>
      <c r="J823" t="inlineStr">
        <is>
          <t>AA</t>
        </is>
      </c>
      <c r="K823" t="inlineStr">
        <is>
          <t>Answering Machine Autodial</t>
        </is>
      </c>
      <c r="L823" t="n">
        <v>5</v>
      </c>
      <c r="M823" t="inlineStr">
        <is>
          <t>2026-06-29 12:30:40</t>
        </is>
      </c>
      <c r="N823" t="inlineStr">
        <is>
          <t>system</t>
        </is>
      </c>
      <c r="O823" t="inlineStr">
        <is>
          <t>2026-06-17 14:10:06</t>
        </is>
      </c>
      <c r="P823" t="inlineStr">
        <is>
          <t>2026-06-17 14:10:06</t>
        </is>
      </c>
      <c r="Y823" t="inlineStr">
        <is>
          <t>27827769037</t>
        </is>
      </c>
    </row>
    <row r="824">
      <c r="A824" t="inlineStr">
        <is>
          <t>14921921</t>
        </is>
      </c>
      <c r="B824" t="inlineStr">
        <is>
          <t>84f66210-9f17-4f8d-97e2-000296aba926</t>
        </is>
      </c>
      <c r="D824" t="inlineStr">
        <is>
          <t>111111124</t>
        </is>
      </c>
      <c r="E824" t="inlineStr">
        <is>
          <t>Vodacom Life 20260617</t>
        </is>
      </c>
      <c r="G824" t="inlineStr">
        <is>
          <t>NKHANEDZENI</t>
        </is>
      </c>
      <c r="H824" t="inlineStr">
        <is>
          <t>MATHOHO</t>
        </is>
      </c>
      <c r="J824" t="inlineStr">
        <is>
          <t>AA</t>
        </is>
      </c>
      <c r="K824" t="inlineStr">
        <is>
          <t>Answering Machine Autodial</t>
        </is>
      </c>
      <c r="L824" t="n">
        <v>5</v>
      </c>
      <c r="M824" t="inlineStr">
        <is>
          <t>2026-06-29 12:30:18</t>
        </is>
      </c>
      <c r="N824" t="inlineStr">
        <is>
          <t>system</t>
        </is>
      </c>
      <c r="O824" t="inlineStr">
        <is>
          <t>2026-06-17 14:10:06</t>
        </is>
      </c>
      <c r="P824" t="inlineStr">
        <is>
          <t>2026-06-17 14:10:06</t>
        </is>
      </c>
      <c r="Y824" t="inlineStr">
        <is>
          <t>27607998468</t>
        </is>
      </c>
    </row>
    <row r="825">
      <c r="A825" t="inlineStr">
        <is>
          <t>14921922</t>
        </is>
      </c>
      <c r="B825" t="inlineStr">
        <is>
          <t>47b4b984-01ce-490c-8497-1678f4997295</t>
        </is>
      </c>
      <c r="D825" t="inlineStr">
        <is>
          <t>111111124</t>
        </is>
      </c>
      <c r="E825" t="inlineStr">
        <is>
          <t>Vodacom Life 20260617</t>
        </is>
      </c>
      <c r="G825" t="inlineStr">
        <is>
          <t>VIOLET</t>
        </is>
      </c>
      <c r="H825" t="inlineStr">
        <is>
          <t>MOKGATLA</t>
        </is>
      </c>
      <c r="J825" t="inlineStr">
        <is>
          <t>AE</t>
        </is>
      </c>
      <c r="K825" t="inlineStr">
        <is>
          <t>Auto Engaged</t>
        </is>
      </c>
      <c r="L825" t="n">
        <v>5</v>
      </c>
      <c r="M825" t="inlineStr">
        <is>
          <t>2026-06-29 12:30:17</t>
        </is>
      </c>
      <c r="N825" t="inlineStr">
        <is>
          <t>system</t>
        </is>
      </c>
      <c r="O825" t="inlineStr">
        <is>
          <t>2026-06-17 14:10:06</t>
        </is>
      </c>
      <c r="P825" t="inlineStr">
        <is>
          <t>2026-06-17 14:10:06</t>
        </is>
      </c>
      <c r="Y825" t="inlineStr">
        <is>
          <t>27609738203</t>
        </is>
      </c>
    </row>
    <row r="826">
      <c r="A826" t="inlineStr">
        <is>
          <t>14921923</t>
        </is>
      </c>
      <c r="B826" t="inlineStr">
        <is>
          <t>5875516e-adf0-4f1b-80f3-6a2bd72bcb7a</t>
        </is>
      </c>
      <c r="D826" t="inlineStr">
        <is>
          <t>111111124</t>
        </is>
      </c>
      <c r="E826" t="inlineStr">
        <is>
          <t>Vodacom Life 20260617</t>
        </is>
      </c>
      <c r="G826" t="inlineStr">
        <is>
          <t>SHANNON</t>
        </is>
      </c>
      <c r="H826" t="inlineStr">
        <is>
          <t>MACKEY</t>
        </is>
      </c>
      <c r="J826" t="inlineStr">
        <is>
          <t>A</t>
        </is>
      </c>
      <c r="K826" t="inlineStr">
        <is>
          <t>Answering Machine</t>
        </is>
      </c>
      <c r="L826" t="n">
        <v>5</v>
      </c>
      <c r="M826" t="inlineStr">
        <is>
          <t>2026-06-29 12:30:14</t>
        </is>
      </c>
      <c r="N826" t="inlineStr">
        <is>
          <t>bongiwe lushaba</t>
        </is>
      </c>
      <c r="O826" t="inlineStr">
        <is>
          <t>2026-06-17 14:10:06</t>
        </is>
      </c>
      <c r="P826" t="inlineStr">
        <is>
          <t>2026-06-17 14:10:06</t>
        </is>
      </c>
      <c r="Y826" t="inlineStr">
        <is>
          <t>27824903003</t>
        </is>
      </c>
    </row>
    <row r="827">
      <c r="A827" t="inlineStr">
        <is>
          <t>14921925</t>
        </is>
      </c>
      <c r="B827" t="inlineStr">
        <is>
          <t>c820aa6c-5d3b-4f4a-a515-69780dea018b</t>
        </is>
      </c>
      <c r="D827" t="inlineStr">
        <is>
          <t>111111124</t>
        </is>
      </c>
      <c r="E827" t="inlineStr">
        <is>
          <t>Vodacom Life 20260617</t>
        </is>
      </c>
      <c r="G827" t="inlineStr">
        <is>
          <t>MOELETSI</t>
        </is>
      </c>
      <c r="H827" t="inlineStr">
        <is>
          <t>LEBALLO</t>
        </is>
      </c>
      <c r="J827" t="inlineStr">
        <is>
          <t>AA</t>
        </is>
      </c>
      <c r="K827" t="inlineStr">
        <is>
          <t>Answering Machine Autodial</t>
        </is>
      </c>
      <c r="L827" t="n">
        <v>5</v>
      </c>
      <c r="M827" t="inlineStr">
        <is>
          <t>2026-06-29 12:30:13</t>
        </is>
      </c>
      <c r="N827" t="inlineStr">
        <is>
          <t>system</t>
        </is>
      </c>
      <c r="O827" t="inlineStr">
        <is>
          <t>2026-06-17 14:10:06</t>
        </is>
      </c>
      <c r="P827" t="inlineStr">
        <is>
          <t>2026-06-17 14:10:06</t>
        </is>
      </c>
      <c r="Y827" t="inlineStr">
        <is>
          <t>27828223612</t>
        </is>
      </c>
    </row>
    <row r="828">
      <c r="A828" t="inlineStr">
        <is>
          <t>14921929</t>
        </is>
      </c>
      <c r="B828" t="inlineStr">
        <is>
          <t>2e09e862-cc8e-4769-818d-9f16dad9caa1</t>
        </is>
      </c>
      <c r="D828" t="inlineStr">
        <is>
          <t>111111124</t>
        </is>
      </c>
      <c r="E828" t="inlineStr">
        <is>
          <t>Vodacom Life 20260617</t>
        </is>
      </c>
      <c r="G828" t="inlineStr">
        <is>
          <t>MALESELA</t>
        </is>
      </c>
      <c r="H828" t="inlineStr">
        <is>
          <t>APHANE</t>
        </is>
      </c>
      <c r="J828" t="inlineStr">
        <is>
          <t>NI</t>
        </is>
      </c>
      <c r="K828" t="inlineStr">
        <is>
          <t>Not Interested</t>
        </is>
      </c>
      <c r="L828" t="n">
        <v>5</v>
      </c>
      <c r="M828" t="inlineStr">
        <is>
          <t>2026-06-29 12:30:13</t>
        </is>
      </c>
      <c r="N828" t="inlineStr">
        <is>
          <t>Maureen Ntsoko</t>
        </is>
      </c>
      <c r="O828" t="inlineStr">
        <is>
          <t>2026-06-17 14:10:06</t>
        </is>
      </c>
      <c r="P828" t="inlineStr">
        <is>
          <t>2026-06-17 14:10:06</t>
        </is>
      </c>
      <c r="Y828" t="inlineStr">
        <is>
          <t>27662375122</t>
        </is>
      </c>
    </row>
    <row r="829">
      <c r="A829" t="inlineStr">
        <is>
          <t>14921930</t>
        </is>
      </c>
      <c r="B829" t="inlineStr">
        <is>
          <t>eedbfff1-904c-446c-8066-bea2b8660471</t>
        </is>
      </c>
      <c r="D829" t="inlineStr">
        <is>
          <t>111111124</t>
        </is>
      </c>
      <c r="E829" t="inlineStr">
        <is>
          <t>Vodacom Life 20260617</t>
        </is>
      </c>
      <c r="G829" t="inlineStr">
        <is>
          <t>KATLEGO</t>
        </is>
      </c>
      <c r="H829" t="inlineStr">
        <is>
          <t>MOKWENA</t>
        </is>
      </c>
      <c r="J829" t="inlineStr">
        <is>
          <t>NA</t>
        </is>
      </c>
      <c r="K829" t="inlineStr">
        <is>
          <t>No Answer Autodial</t>
        </is>
      </c>
      <c r="L829" t="n">
        <v>5</v>
      </c>
      <c r="M829" t="inlineStr">
        <is>
          <t>2026-06-29 12:30:12</t>
        </is>
      </c>
      <c r="N829" t="inlineStr">
        <is>
          <t>system</t>
        </is>
      </c>
      <c r="O829" t="inlineStr">
        <is>
          <t>2026-06-17 14:10:06</t>
        </is>
      </c>
      <c r="P829" t="inlineStr">
        <is>
          <t>2026-06-17 14:10:06</t>
        </is>
      </c>
      <c r="Y829" t="inlineStr">
        <is>
          <t>27726499954</t>
        </is>
      </c>
    </row>
    <row r="830">
      <c r="A830" t="inlineStr">
        <is>
          <t>14921931</t>
        </is>
      </c>
      <c r="B830" t="inlineStr">
        <is>
          <t>22e0be7d-dc77-4514-b6f0-2e0ca5ed2e83</t>
        </is>
      </c>
      <c r="D830" t="inlineStr">
        <is>
          <t>111111124</t>
        </is>
      </c>
      <c r="E830" t="inlineStr">
        <is>
          <t>Vodacom Life 20260617</t>
        </is>
      </c>
      <c r="G830" t="inlineStr">
        <is>
          <t>FELICITAS</t>
        </is>
      </c>
      <c r="H830" t="inlineStr">
        <is>
          <t>ZULU</t>
        </is>
      </c>
      <c r="J830" t="inlineStr">
        <is>
          <t>AA</t>
        </is>
      </c>
      <c r="K830" t="inlineStr">
        <is>
          <t>Answering Machine Autodial</t>
        </is>
      </c>
      <c r="L830" t="n">
        <v>5</v>
      </c>
      <c r="M830" t="inlineStr">
        <is>
          <t>2026-06-29 12:30:09</t>
        </is>
      </c>
      <c r="N830" t="inlineStr">
        <is>
          <t>system</t>
        </is>
      </c>
      <c r="O830" t="inlineStr">
        <is>
          <t>2026-06-17 14:10:06</t>
        </is>
      </c>
      <c r="P830" t="inlineStr">
        <is>
          <t>2026-06-17 14:10:06</t>
        </is>
      </c>
      <c r="Y830" t="inlineStr">
        <is>
          <t>27720686942</t>
        </is>
      </c>
    </row>
    <row r="831">
      <c r="A831" t="inlineStr">
        <is>
          <t>14921934</t>
        </is>
      </c>
      <c r="B831" t="inlineStr">
        <is>
          <t>62896b1f-d97a-4ce7-ac09-d46f6a5c6ffa</t>
        </is>
      </c>
      <c r="D831" t="inlineStr">
        <is>
          <t>111111124</t>
        </is>
      </c>
      <c r="E831" t="inlineStr">
        <is>
          <t>Vodacom Life 20260617</t>
        </is>
      </c>
      <c r="G831" t="inlineStr">
        <is>
          <t>LETTIE</t>
        </is>
      </c>
      <c r="H831" t="inlineStr">
        <is>
          <t>NTLHE</t>
        </is>
      </c>
      <c r="J831" t="inlineStr">
        <is>
          <t>ADC</t>
        </is>
      </c>
      <c r="K831" t="inlineStr">
        <is>
          <t>Auto Dial Disconnected</t>
        </is>
      </c>
      <c r="L831" t="n">
        <v>5</v>
      </c>
      <c r="M831" t="inlineStr">
        <is>
          <t>2026-06-29 12:30:09</t>
        </is>
      </c>
      <c r="N831" t="inlineStr">
        <is>
          <t>system</t>
        </is>
      </c>
      <c r="O831" t="inlineStr">
        <is>
          <t>2026-06-17 14:10:06</t>
        </is>
      </c>
      <c r="P831" t="inlineStr">
        <is>
          <t>2026-06-17 14:10:06</t>
        </is>
      </c>
      <c r="Y831" t="inlineStr">
        <is>
          <t>27725677250</t>
        </is>
      </c>
    </row>
    <row r="832">
      <c r="A832" t="inlineStr">
        <is>
          <t>14920969</t>
        </is>
      </c>
      <c r="B832" t="inlineStr">
        <is>
          <t>8f5b94b3-0f0f-4d1a-a1bc-93075524fff0</t>
        </is>
      </c>
      <c r="D832" t="inlineStr">
        <is>
          <t>111111124</t>
        </is>
      </c>
      <c r="E832" t="inlineStr">
        <is>
          <t>Vodacom Life 20260617</t>
        </is>
      </c>
      <c r="G832" t="inlineStr">
        <is>
          <t>SIBONISO</t>
        </is>
      </c>
      <c r="H832" t="inlineStr">
        <is>
          <t>MNGOMEZULU</t>
        </is>
      </c>
      <c r="J832" t="inlineStr">
        <is>
          <t>NA</t>
        </is>
      </c>
      <c r="K832" t="inlineStr">
        <is>
          <t>No Answer Autodial</t>
        </is>
      </c>
      <c r="L832" t="n">
        <v>5</v>
      </c>
      <c r="M832" t="inlineStr">
        <is>
          <t>2026-06-29 12:30:08</t>
        </is>
      </c>
      <c r="N832" t="inlineStr">
        <is>
          <t>system</t>
        </is>
      </c>
      <c r="O832" t="inlineStr">
        <is>
          <t>2026-06-17 14:10:06</t>
        </is>
      </c>
      <c r="P832" t="inlineStr">
        <is>
          <t>2026-06-17 14:10:06</t>
        </is>
      </c>
      <c r="Y832" t="inlineStr">
        <is>
          <t>27762072560</t>
        </is>
      </c>
    </row>
    <row r="833">
      <c r="A833" t="inlineStr">
        <is>
          <t>14921891</t>
        </is>
      </c>
      <c r="B833" t="inlineStr">
        <is>
          <t>65e61f87-c1c0-4c80-a0c8-1f5aad2dc25e</t>
        </is>
      </c>
      <c r="D833" t="inlineStr">
        <is>
          <t>111111124</t>
        </is>
      </c>
      <c r="E833" t="inlineStr">
        <is>
          <t>Vodacom Life 20260617</t>
        </is>
      </c>
      <c r="G833" t="inlineStr">
        <is>
          <t>LODI</t>
        </is>
      </c>
      <c r="H833" t="inlineStr">
        <is>
          <t>OLIVIER</t>
        </is>
      </c>
      <c r="J833" t="inlineStr">
        <is>
          <t>CCB</t>
        </is>
      </c>
      <c r="K833" t="inlineStr">
        <is>
          <t>Call Dropped</t>
        </is>
      </c>
      <c r="L833" t="n">
        <v>5</v>
      </c>
      <c r="M833" t="inlineStr">
        <is>
          <t>2026-06-29 12:29:28</t>
        </is>
      </c>
      <c r="N833" t="inlineStr">
        <is>
          <t>Khensane Mabasa</t>
        </is>
      </c>
      <c r="O833" t="inlineStr">
        <is>
          <t>2026-06-17 14:10:06</t>
        </is>
      </c>
      <c r="P833" t="inlineStr">
        <is>
          <t>2026-06-17 14:10:06</t>
        </is>
      </c>
      <c r="Y833" t="inlineStr">
        <is>
          <t>27764016488</t>
        </is>
      </c>
    </row>
    <row r="834">
      <c r="A834" t="inlineStr">
        <is>
          <t>14921904</t>
        </is>
      </c>
      <c r="B834" t="inlineStr">
        <is>
          <t>4b7414c6-bc28-4978-87c7-9aa571370ad9</t>
        </is>
      </c>
      <c r="D834" t="inlineStr">
        <is>
          <t>111111124</t>
        </is>
      </c>
      <c r="E834" t="inlineStr">
        <is>
          <t>Vodacom Life 20260617</t>
        </is>
      </c>
      <c r="G834" t="inlineStr">
        <is>
          <t>PUMZA</t>
        </is>
      </c>
      <c r="H834" t="inlineStr">
        <is>
          <t>PHOSHOKO</t>
        </is>
      </c>
      <c r="J834" t="inlineStr">
        <is>
          <t>AE</t>
        </is>
      </c>
      <c r="K834" t="inlineStr">
        <is>
          <t>Auto Engaged</t>
        </is>
      </c>
      <c r="L834" t="n">
        <v>5</v>
      </c>
      <c r="M834" t="inlineStr">
        <is>
          <t>2026-06-29 12:29:11</t>
        </is>
      </c>
      <c r="N834" t="inlineStr">
        <is>
          <t>system</t>
        </is>
      </c>
      <c r="O834" t="inlineStr">
        <is>
          <t>2026-06-17 14:10:06</t>
        </is>
      </c>
      <c r="P834" t="inlineStr">
        <is>
          <t>2026-06-17 14:10:06</t>
        </is>
      </c>
      <c r="Y834" t="inlineStr">
        <is>
          <t>27640635184</t>
        </is>
      </c>
    </row>
    <row r="835">
      <c r="A835" t="inlineStr">
        <is>
          <t>14921905</t>
        </is>
      </c>
      <c r="B835" t="inlineStr">
        <is>
          <t>1fa3180f-5a50-4d4b-8ba5-4fa7d79274bd</t>
        </is>
      </c>
      <c r="D835" t="inlineStr">
        <is>
          <t>111111124</t>
        </is>
      </c>
      <c r="E835" t="inlineStr">
        <is>
          <t>Vodacom Life 20260617</t>
        </is>
      </c>
      <c r="G835" t="inlineStr">
        <is>
          <t>ROBERT</t>
        </is>
      </c>
      <c r="H835" t="inlineStr">
        <is>
          <t>BLACK</t>
        </is>
      </c>
      <c r="J835" t="inlineStr">
        <is>
          <t>ADC</t>
        </is>
      </c>
      <c r="K835" t="inlineStr">
        <is>
          <t>Auto Dial Disconnected</t>
        </is>
      </c>
      <c r="L835" t="n">
        <v>5</v>
      </c>
      <c r="M835" t="inlineStr">
        <is>
          <t>2026-06-29 12:29:11</t>
        </is>
      </c>
      <c r="N835" t="inlineStr">
        <is>
          <t>system</t>
        </is>
      </c>
      <c r="O835" t="inlineStr">
        <is>
          <t>2026-06-17 14:10:06</t>
        </is>
      </c>
      <c r="P835" t="inlineStr">
        <is>
          <t>2026-06-17 14:10:06</t>
        </is>
      </c>
      <c r="Y835" t="inlineStr">
        <is>
          <t>27825646453</t>
        </is>
      </c>
    </row>
    <row r="836">
      <c r="A836" t="inlineStr">
        <is>
          <t>14921906</t>
        </is>
      </c>
      <c r="B836" t="inlineStr">
        <is>
          <t>68121869-82f2-4533-aa39-0b13ed68253e</t>
        </is>
      </c>
      <c r="D836" t="inlineStr">
        <is>
          <t>111111124</t>
        </is>
      </c>
      <c r="E836" t="inlineStr">
        <is>
          <t>Vodacom Life 20260617</t>
        </is>
      </c>
      <c r="G836" t="inlineStr">
        <is>
          <t>R</t>
        </is>
      </c>
      <c r="H836" t="inlineStr">
        <is>
          <t>HOWARTH</t>
        </is>
      </c>
      <c r="J836" t="inlineStr">
        <is>
          <t>AA</t>
        </is>
      </c>
      <c r="K836" t="inlineStr">
        <is>
          <t>Answering Machine Autodial</t>
        </is>
      </c>
      <c r="L836" t="n">
        <v>5</v>
      </c>
      <c r="M836" t="inlineStr">
        <is>
          <t>2026-06-29 12:29:11</t>
        </is>
      </c>
      <c r="N836" t="inlineStr">
        <is>
          <t>system</t>
        </is>
      </c>
      <c r="O836" t="inlineStr">
        <is>
          <t>2026-06-17 14:10:06</t>
        </is>
      </c>
      <c r="P836" t="inlineStr">
        <is>
          <t>2026-06-17 14:10:06</t>
        </is>
      </c>
      <c r="Y836" t="inlineStr">
        <is>
          <t>27823434691</t>
        </is>
      </c>
    </row>
    <row r="837">
      <c r="A837" t="inlineStr">
        <is>
          <t>14921900</t>
        </is>
      </c>
      <c r="B837" t="inlineStr">
        <is>
          <t>7b89db44-f891-4d72-88b7-1bd82f9096ea</t>
        </is>
      </c>
      <c r="D837" t="inlineStr">
        <is>
          <t>111111124</t>
        </is>
      </c>
      <c r="E837" t="inlineStr">
        <is>
          <t>Vodacom Life 20260617</t>
        </is>
      </c>
      <c r="G837" t="inlineStr">
        <is>
          <t>ANGELIC</t>
        </is>
      </c>
      <c r="H837" t="inlineStr">
        <is>
          <t>GOEIEMAN</t>
        </is>
      </c>
      <c r="J837" t="inlineStr">
        <is>
          <t>NA</t>
        </is>
      </c>
      <c r="K837" t="inlineStr">
        <is>
          <t>No Answer Autodial</t>
        </is>
      </c>
      <c r="L837" t="n">
        <v>5</v>
      </c>
      <c r="M837" t="inlineStr">
        <is>
          <t>2026-06-29 12:28:48</t>
        </is>
      </c>
      <c r="N837" t="inlineStr">
        <is>
          <t>system</t>
        </is>
      </c>
      <c r="O837" t="inlineStr">
        <is>
          <t>2026-06-17 14:10:06</t>
        </is>
      </c>
      <c r="P837" t="inlineStr">
        <is>
          <t>2026-06-17 14:10:06</t>
        </is>
      </c>
      <c r="Y837" t="inlineStr">
        <is>
          <t>27787647560</t>
        </is>
      </c>
    </row>
    <row r="838">
      <c r="A838" t="inlineStr">
        <is>
          <t>14921901</t>
        </is>
      </c>
      <c r="B838" t="inlineStr">
        <is>
          <t>ef7f9c83-e002-4702-85dc-a555f72470fd</t>
        </is>
      </c>
      <c r="D838" t="inlineStr">
        <is>
          <t>111111124</t>
        </is>
      </c>
      <c r="E838" t="inlineStr">
        <is>
          <t>Vodacom Life 20260617</t>
        </is>
      </c>
      <c r="G838" t="inlineStr">
        <is>
          <t>ADAM</t>
        </is>
      </c>
      <c r="H838" t="inlineStr">
        <is>
          <t>ZITHA</t>
        </is>
      </c>
      <c r="J838" t="inlineStr">
        <is>
          <t>DROP</t>
        </is>
      </c>
      <c r="K838" t="inlineStr">
        <is>
          <t>Dropped</t>
        </is>
      </c>
      <c r="L838" t="n">
        <v>5</v>
      </c>
      <c r="M838" t="inlineStr">
        <is>
          <t>2026-06-29 12:28:48</t>
        </is>
      </c>
      <c r="N838" t="inlineStr">
        <is>
          <t>system</t>
        </is>
      </c>
      <c r="O838" t="inlineStr">
        <is>
          <t>2026-06-17 14:10:06</t>
        </is>
      </c>
      <c r="P838" t="inlineStr">
        <is>
          <t>2026-06-17 14:10:06</t>
        </is>
      </c>
      <c r="Y838" t="inlineStr">
        <is>
          <t>27818061355</t>
        </is>
      </c>
    </row>
    <row r="839">
      <c r="A839" t="inlineStr">
        <is>
          <t>14921897</t>
        </is>
      </c>
      <c r="B839" t="inlineStr">
        <is>
          <t>26566994-02a2-4ea1-901b-81755b783ca6</t>
        </is>
      </c>
      <c r="D839" t="inlineStr">
        <is>
          <t>111111124</t>
        </is>
      </c>
      <c r="E839" t="inlineStr">
        <is>
          <t>Vodacom Life 20260617</t>
        </is>
      </c>
      <c r="G839" t="inlineStr">
        <is>
          <t>AMORI</t>
        </is>
      </c>
      <c r="H839" t="inlineStr">
        <is>
          <t>VILJOEN</t>
        </is>
      </c>
      <c r="J839" t="inlineStr">
        <is>
          <t>NA</t>
        </is>
      </c>
      <c r="K839" t="inlineStr">
        <is>
          <t>No Answer Autodial</t>
        </is>
      </c>
      <c r="L839" t="n">
        <v>5</v>
      </c>
      <c r="M839" t="inlineStr">
        <is>
          <t>2026-06-29 12:28:42</t>
        </is>
      </c>
      <c r="N839" t="inlineStr">
        <is>
          <t>system</t>
        </is>
      </c>
      <c r="O839" t="inlineStr">
        <is>
          <t>2026-06-17 14:10:06</t>
        </is>
      </c>
      <c r="P839" t="inlineStr">
        <is>
          <t>2026-06-17 14:10:06</t>
        </is>
      </c>
      <c r="Y839" t="inlineStr">
        <is>
          <t>27823866212</t>
        </is>
      </c>
    </row>
    <row r="840">
      <c r="A840" t="inlineStr">
        <is>
          <t>14921893</t>
        </is>
      </c>
      <c r="B840" t="inlineStr">
        <is>
          <t>f8189a6a-8495-48b6-9eda-2c5cda1ce5cb</t>
        </is>
      </c>
      <c r="D840" t="inlineStr">
        <is>
          <t>111111124</t>
        </is>
      </c>
      <c r="E840" t="inlineStr">
        <is>
          <t>Vodacom Life 20260617</t>
        </is>
      </c>
      <c r="G840" t="inlineStr">
        <is>
          <t>ZODWA</t>
        </is>
      </c>
      <c r="H840" t="inlineStr">
        <is>
          <t>MASOMBUKA</t>
        </is>
      </c>
      <c r="J840" t="inlineStr">
        <is>
          <t>NA</t>
        </is>
      </c>
      <c r="K840" t="inlineStr">
        <is>
          <t>No Answer Autodial</t>
        </is>
      </c>
      <c r="L840" t="n">
        <v>5</v>
      </c>
      <c r="M840" t="inlineStr">
        <is>
          <t>2026-06-29 12:28:40</t>
        </is>
      </c>
      <c r="N840" t="inlineStr">
        <is>
          <t>system</t>
        </is>
      </c>
      <c r="O840" t="inlineStr">
        <is>
          <t>2026-06-17 14:10:06</t>
        </is>
      </c>
      <c r="P840" t="inlineStr">
        <is>
          <t>2026-06-17 14:10:06</t>
        </is>
      </c>
      <c r="Y840" t="inlineStr">
        <is>
          <t>27728153367</t>
        </is>
      </c>
    </row>
    <row r="841">
      <c r="A841" t="inlineStr">
        <is>
          <t>14921894</t>
        </is>
      </c>
      <c r="B841" t="inlineStr">
        <is>
          <t>344d1397-7651-415f-a307-e27cecad72a7</t>
        </is>
      </c>
      <c r="D841" t="inlineStr">
        <is>
          <t>111111124</t>
        </is>
      </c>
      <c r="E841" t="inlineStr">
        <is>
          <t>Vodacom Life 20260617</t>
        </is>
      </c>
      <c r="G841" t="inlineStr">
        <is>
          <t>OSCA</t>
        </is>
      </c>
      <c r="H841" t="inlineStr">
        <is>
          <t>MOGADIME</t>
        </is>
      </c>
      <c r="J841" t="inlineStr">
        <is>
          <t>NA</t>
        </is>
      </c>
      <c r="K841" t="inlineStr">
        <is>
          <t>No Answer Autodial</t>
        </is>
      </c>
      <c r="L841" t="n">
        <v>5</v>
      </c>
      <c r="M841" t="inlineStr">
        <is>
          <t>2026-06-29 12:28:40</t>
        </is>
      </c>
      <c r="N841" t="inlineStr">
        <is>
          <t>system</t>
        </is>
      </c>
      <c r="O841" t="inlineStr">
        <is>
          <t>2026-06-17 14:10:06</t>
        </is>
      </c>
      <c r="P841" t="inlineStr">
        <is>
          <t>2026-06-17 14:10:06</t>
        </is>
      </c>
      <c r="Y841" t="inlineStr">
        <is>
          <t>27637220709</t>
        </is>
      </c>
    </row>
    <row r="842">
      <c r="A842" t="inlineStr">
        <is>
          <t>14921887</t>
        </is>
      </c>
      <c r="B842" t="inlineStr">
        <is>
          <t>5db2e776-e6e5-4058-b3d8-8e610cff304f</t>
        </is>
      </c>
      <c r="D842" t="inlineStr">
        <is>
          <t>111111124</t>
        </is>
      </c>
      <c r="E842" t="inlineStr">
        <is>
          <t>Vodacom Life 20260617</t>
        </is>
      </c>
      <c r="G842" t="inlineStr">
        <is>
          <t>LINDA</t>
        </is>
      </c>
      <c r="H842" t="inlineStr">
        <is>
          <t>WEWERS</t>
        </is>
      </c>
      <c r="J842" t="inlineStr">
        <is>
          <t>BLQ</t>
        </is>
      </c>
      <c r="K842" t="inlineStr">
        <is>
          <t>Bad Line Quality</t>
        </is>
      </c>
      <c r="L842" t="n">
        <v>5</v>
      </c>
      <c r="M842" t="inlineStr">
        <is>
          <t>2026-06-29 12:28:39</t>
        </is>
      </c>
      <c r="N842" t="inlineStr">
        <is>
          <t>Khensane Mabasa</t>
        </is>
      </c>
      <c r="O842" t="inlineStr">
        <is>
          <t>2026-06-17 14:10:06</t>
        </is>
      </c>
      <c r="P842" t="inlineStr">
        <is>
          <t>2026-06-17 14:10:06</t>
        </is>
      </c>
      <c r="Y842" t="inlineStr">
        <is>
          <t>27713713667</t>
        </is>
      </c>
    </row>
    <row r="843">
      <c r="A843" t="inlineStr">
        <is>
          <t>14921889</t>
        </is>
      </c>
      <c r="B843" t="inlineStr">
        <is>
          <t>1cd03546-c029-41d5-9c86-94df5cfd327a</t>
        </is>
      </c>
      <c r="D843" t="inlineStr">
        <is>
          <t>111111124</t>
        </is>
      </c>
      <c r="E843" t="inlineStr">
        <is>
          <t>Vodacom Life 20260617</t>
        </is>
      </c>
      <c r="G843" t="inlineStr">
        <is>
          <t>PHILEMON</t>
        </is>
      </c>
      <c r="H843" t="inlineStr">
        <is>
          <t>MASILELA</t>
        </is>
      </c>
      <c r="J843" t="inlineStr">
        <is>
          <t>NI</t>
        </is>
      </c>
      <c r="K843" t="inlineStr">
        <is>
          <t>Not Interested</t>
        </is>
      </c>
      <c r="L843" t="n">
        <v>5</v>
      </c>
      <c r="M843" t="inlineStr">
        <is>
          <t>2026-06-29 12:28:39</t>
        </is>
      </c>
      <c r="N843" t="inlineStr">
        <is>
          <t>Vanessa Kekana</t>
        </is>
      </c>
      <c r="O843" t="inlineStr">
        <is>
          <t>2026-06-17 14:10:06</t>
        </is>
      </c>
      <c r="P843" t="inlineStr">
        <is>
          <t>2026-06-17 14:10:06</t>
        </is>
      </c>
      <c r="Y843" t="inlineStr">
        <is>
          <t>27711230875</t>
        </is>
      </c>
    </row>
    <row r="844">
      <c r="A844" t="inlineStr">
        <is>
          <t>14921890</t>
        </is>
      </c>
      <c r="B844" t="inlineStr">
        <is>
          <t>1663987d-40d4-417f-ac67-4204ba13a40d</t>
        </is>
      </c>
      <c r="D844" t="inlineStr">
        <is>
          <t>111111124</t>
        </is>
      </c>
      <c r="E844" t="inlineStr">
        <is>
          <t>Vodacom Life 20260617</t>
        </is>
      </c>
      <c r="G844" t="inlineStr">
        <is>
          <t>DOUGLAS</t>
        </is>
      </c>
      <c r="H844" t="inlineStr">
        <is>
          <t>MOMBERG</t>
        </is>
      </c>
      <c r="J844" t="inlineStr">
        <is>
          <t>AA</t>
        </is>
      </c>
      <c r="K844" t="inlineStr">
        <is>
          <t>Answering Machine Autodial</t>
        </is>
      </c>
      <c r="L844" t="n">
        <v>5</v>
      </c>
      <c r="M844" t="inlineStr">
        <is>
          <t>2026-06-29 12:28:39</t>
        </is>
      </c>
      <c r="N844" t="inlineStr">
        <is>
          <t>system</t>
        </is>
      </c>
      <c r="O844" t="inlineStr">
        <is>
          <t>2026-06-17 14:10:06</t>
        </is>
      </c>
      <c r="P844" t="inlineStr">
        <is>
          <t>2026-06-17 14:10:06</t>
        </is>
      </c>
      <c r="Y844" t="inlineStr">
        <is>
          <t>27798748164</t>
        </is>
      </c>
    </row>
    <row r="845">
      <c r="A845" t="inlineStr">
        <is>
          <t>14921892</t>
        </is>
      </c>
      <c r="B845" t="inlineStr">
        <is>
          <t>583a9ea9-9fd5-4958-b621-48c1cb92b6fd</t>
        </is>
      </c>
      <c r="D845" t="inlineStr">
        <is>
          <t>111111124</t>
        </is>
      </c>
      <c r="E845" t="inlineStr">
        <is>
          <t>Vodacom Life 20260617</t>
        </is>
      </c>
      <c r="G845" t="inlineStr">
        <is>
          <t>THEOPHILUS</t>
        </is>
      </c>
      <c r="H845" t="inlineStr">
        <is>
          <t>ISINEYI</t>
        </is>
      </c>
      <c r="J845" t="inlineStr">
        <is>
          <t>AA</t>
        </is>
      </c>
      <c r="K845" t="inlineStr">
        <is>
          <t>Answering Machine Autodial</t>
        </is>
      </c>
      <c r="L845" t="n">
        <v>5</v>
      </c>
      <c r="M845" t="inlineStr">
        <is>
          <t>2026-06-29 12:28:39</t>
        </is>
      </c>
      <c r="N845" t="inlineStr">
        <is>
          <t>system</t>
        </is>
      </c>
      <c r="O845" t="inlineStr">
        <is>
          <t>2026-06-17 14:10:06</t>
        </is>
      </c>
      <c r="P845" t="inlineStr">
        <is>
          <t>2026-06-17 14:10:06</t>
        </is>
      </c>
      <c r="Y845" t="inlineStr">
        <is>
          <t>27829611920</t>
        </is>
      </c>
    </row>
    <row r="846">
      <c r="A846" t="inlineStr">
        <is>
          <t>14921885</t>
        </is>
      </c>
      <c r="B846" t="inlineStr">
        <is>
          <t>d38ba9fc-2864-48d0-a539-cb4aead029a6</t>
        </is>
      </c>
      <c r="D846" t="inlineStr">
        <is>
          <t>111111124</t>
        </is>
      </c>
      <c r="E846" t="inlineStr">
        <is>
          <t>Vodacom Life 20260617</t>
        </is>
      </c>
      <c r="G846" t="inlineStr">
        <is>
          <t>BERNADETTE</t>
        </is>
      </c>
      <c r="H846" t="inlineStr">
        <is>
          <t>KIRSTEIN</t>
        </is>
      </c>
      <c r="J846" t="inlineStr">
        <is>
          <t>AE</t>
        </is>
      </c>
      <c r="K846" t="inlineStr">
        <is>
          <t>Auto Engaged</t>
        </is>
      </c>
      <c r="L846" t="n">
        <v>5</v>
      </c>
      <c r="M846" t="inlineStr">
        <is>
          <t>2026-06-29 12:28:38</t>
        </is>
      </c>
      <c r="N846" t="inlineStr">
        <is>
          <t>system</t>
        </is>
      </c>
      <c r="O846" t="inlineStr">
        <is>
          <t>2026-06-17 14:10:06</t>
        </is>
      </c>
      <c r="P846" t="inlineStr">
        <is>
          <t>2026-06-17 14:10:06</t>
        </is>
      </c>
      <c r="Y846" t="inlineStr">
        <is>
          <t>27828924697</t>
        </is>
      </c>
    </row>
    <row r="847">
      <c r="A847" t="inlineStr">
        <is>
          <t>14921880</t>
        </is>
      </c>
      <c r="B847" t="inlineStr">
        <is>
          <t>c80df83d-c091-4c56-93fb-7ebdfeffe8b7</t>
        </is>
      </c>
      <c r="D847" t="inlineStr">
        <is>
          <t>111111124</t>
        </is>
      </c>
      <c r="E847" t="inlineStr">
        <is>
          <t>Vodacom Life 20260617</t>
        </is>
      </c>
      <c r="G847" t="inlineStr">
        <is>
          <t>NHLAKANIPHO</t>
        </is>
      </c>
      <c r="H847" t="inlineStr">
        <is>
          <t>NGQULUNGA</t>
        </is>
      </c>
      <c r="J847" t="inlineStr">
        <is>
          <t>DROP</t>
        </is>
      </c>
      <c r="K847" t="inlineStr">
        <is>
          <t>Dropped</t>
        </is>
      </c>
      <c r="L847" t="n">
        <v>5</v>
      </c>
      <c r="M847" t="inlineStr">
        <is>
          <t>2026-06-29 12:28:15</t>
        </is>
      </c>
      <c r="N847" t="inlineStr">
        <is>
          <t>system</t>
        </is>
      </c>
      <c r="O847" t="inlineStr">
        <is>
          <t>2026-06-17 14:10:06</t>
        </is>
      </c>
      <c r="P847" t="inlineStr">
        <is>
          <t>2026-06-17 14:10:06</t>
        </is>
      </c>
      <c r="Y847" t="inlineStr">
        <is>
          <t>27799422379</t>
        </is>
      </c>
    </row>
    <row r="848">
      <c r="A848" t="inlineStr">
        <is>
          <t>14921881</t>
        </is>
      </c>
      <c r="B848" t="inlineStr">
        <is>
          <t>942cd282-f926-46bf-961e-e2bb527d06e6</t>
        </is>
      </c>
      <c r="D848" t="inlineStr">
        <is>
          <t>111111124</t>
        </is>
      </c>
      <c r="E848" t="inlineStr">
        <is>
          <t>Vodacom Life 20260617</t>
        </is>
      </c>
      <c r="G848" t="inlineStr">
        <is>
          <t>KHULEKANI</t>
        </is>
      </c>
      <c r="H848" t="inlineStr">
        <is>
          <t>CELE</t>
        </is>
      </c>
      <c r="J848" t="inlineStr">
        <is>
          <t>CU</t>
        </is>
      </c>
      <c r="K848" t="inlineStr">
        <is>
          <t>Client Hung Up</t>
        </is>
      </c>
      <c r="L848" t="n">
        <v>5</v>
      </c>
      <c r="M848" t="inlineStr">
        <is>
          <t>2026-06-29 12:28:15</t>
        </is>
      </c>
      <c r="N848" t="inlineStr">
        <is>
          <t>Musiiwa Mary Mabirimisa</t>
        </is>
      </c>
      <c r="O848" t="inlineStr">
        <is>
          <t>2026-06-17 14:10:06</t>
        </is>
      </c>
      <c r="P848" t="inlineStr">
        <is>
          <t>2026-06-17 14:10:06</t>
        </is>
      </c>
      <c r="Y848" t="inlineStr">
        <is>
          <t>27762677396</t>
        </is>
      </c>
    </row>
    <row r="849">
      <c r="A849" t="inlineStr">
        <is>
          <t>14921883</t>
        </is>
      </c>
      <c r="B849" t="inlineStr">
        <is>
          <t>df14df5c-ef9d-4604-9866-991daedbd9f6</t>
        </is>
      </c>
      <c r="D849" t="inlineStr">
        <is>
          <t>111111124</t>
        </is>
      </c>
      <c r="E849" t="inlineStr">
        <is>
          <t>Vodacom Life 20260617</t>
        </is>
      </c>
      <c r="G849" t="inlineStr">
        <is>
          <t>REA</t>
        </is>
      </c>
      <c r="H849" t="inlineStr">
        <is>
          <t>LE ROUX</t>
        </is>
      </c>
      <c r="J849" t="inlineStr">
        <is>
          <t>AA</t>
        </is>
      </c>
      <c r="K849" t="inlineStr">
        <is>
          <t>Answering Machine Autodial</t>
        </is>
      </c>
      <c r="L849" t="n">
        <v>5</v>
      </c>
      <c r="M849" t="inlineStr">
        <is>
          <t>2026-06-29 12:28:15</t>
        </is>
      </c>
      <c r="N849" t="inlineStr">
        <is>
          <t>system</t>
        </is>
      </c>
      <c r="O849" t="inlineStr">
        <is>
          <t>2026-06-17 14:10:06</t>
        </is>
      </c>
      <c r="P849" t="inlineStr">
        <is>
          <t>2026-06-17 14:10:06</t>
        </is>
      </c>
      <c r="Y849" t="inlineStr">
        <is>
          <t>27662207345</t>
        </is>
      </c>
    </row>
    <row r="850">
      <c r="A850" t="inlineStr">
        <is>
          <t>14921884</t>
        </is>
      </c>
      <c r="B850" t="inlineStr">
        <is>
          <t>a58712b9-355a-479b-ae94-23a20561832d</t>
        </is>
      </c>
      <c r="D850" t="inlineStr">
        <is>
          <t>111111124</t>
        </is>
      </c>
      <c r="E850" t="inlineStr">
        <is>
          <t>Vodacom Life 20260617</t>
        </is>
      </c>
      <c r="G850" t="inlineStr">
        <is>
          <t>LEHLOHONOLO</t>
        </is>
      </c>
      <c r="H850" t="inlineStr">
        <is>
          <t>KHALA</t>
        </is>
      </c>
      <c r="J850" t="inlineStr">
        <is>
          <t>DROP</t>
        </is>
      </c>
      <c r="K850" t="inlineStr">
        <is>
          <t>Dropped</t>
        </is>
      </c>
      <c r="L850" t="n">
        <v>5</v>
      </c>
      <c r="M850" t="inlineStr">
        <is>
          <t>2026-06-29 12:28:15</t>
        </is>
      </c>
      <c r="N850" t="inlineStr">
        <is>
          <t>system</t>
        </is>
      </c>
      <c r="O850" t="inlineStr">
        <is>
          <t>2026-06-17 14:10:06</t>
        </is>
      </c>
      <c r="P850" t="inlineStr">
        <is>
          <t>2026-06-17 14:10:06</t>
        </is>
      </c>
      <c r="Y850" t="inlineStr">
        <is>
          <t>27822961981</t>
        </is>
      </c>
    </row>
    <row r="851">
      <c r="A851" t="inlineStr">
        <is>
          <t>14921879</t>
        </is>
      </c>
      <c r="B851" t="inlineStr">
        <is>
          <t>ef652f45-7825-4f60-96d5-bcd8756a8a12</t>
        </is>
      </c>
      <c r="D851" t="inlineStr">
        <is>
          <t>111111124</t>
        </is>
      </c>
      <c r="E851" t="inlineStr">
        <is>
          <t>Vodacom Life 20260617</t>
        </is>
      </c>
      <c r="G851" t="inlineStr">
        <is>
          <t>THABISO</t>
        </is>
      </c>
      <c r="H851" t="inlineStr">
        <is>
          <t>MOKUBUNG</t>
        </is>
      </c>
      <c r="J851" t="inlineStr">
        <is>
          <t>AE</t>
        </is>
      </c>
      <c r="K851" t="inlineStr">
        <is>
          <t>Auto Engaged</t>
        </is>
      </c>
      <c r="L851" t="n">
        <v>5</v>
      </c>
      <c r="M851" t="inlineStr">
        <is>
          <t>2026-06-29 12:28:14</t>
        </is>
      </c>
      <c r="N851" t="inlineStr">
        <is>
          <t>system</t>
        </is>
      </c>
      <c r="O851" t="inlineStr">
        <is>
          <t>2026-06-17 14:10:06</t>
        </is>
      </c>
      <c r="P851" t="inlineStr">
        <is>
          <t>2026-06-17 14:10:06</t>
        </is>
      </c>
      <c r="Y851" t="inlineStr">
        <is>
          <t>27662709670</t>
        </is>
      </c>
    </row>
    <row r="852">
      <c r="A852" t="inlineStr">
        <is>
          <t>14921878</t>
        </is>
      </c>
      <c r="B852" t="inlineStr">
        <is>
          <t>c8453437-cc11-4e39-8ff6-ea809b739e69</t>
        </is>
      </c>
      <c r="D852" t="inlineStr">
        <is>
          <t>111111124</t>
        </is>
      </c>
      <c r="E852" t="inlineStr">
        <is>
          <t>Vodacom Life 20260617</t>
        </is>
      </c>
      <c r="G852" t="inlineStr">
        <is>
          <t>LEBOHANG</t>
        </is>
      </c>
      <c r="H852" t="inlineStr">
        <is>
          <t>MOKOENA-SEMELA</t>
        </is>
      </c>
      <c r="J852" t="inlineStr">
        <is>
          <t>DROP</t>
        </is>
      </c>
      <c r="K852" t="inlineStr">
        <is>
          <t>Dropped</t>
        </is>
      </c>
      <c r="L852" t="n">
        <v>5</v>
      </c>
      <c r="M852" t="inlineStr">
        <is>
          <t>2026-06-29 12:28:02</t>
        </is>
      </c>
      <c r="N852" t="inlineStr">
        <is>
          <t>system</t>
        </is>
      </c>
      <c r="O852" t="inlineStr">
        <is>
          <t>2026-06-17 14:10:06</t>
        </is>
      </c>
      <c r="P852" t="inlineStr">
        <is>
          <t>2026-06-17 14:10:06</t>
        </is>
      </c>
      <c r="Y852" t="inlineStr">
        <is>
          <t>27662699768</t>
        </is>
      </c>
    </row>
    <row r="853">
      <c r="A853" t="inlineStr">
        <is>
          <t>14921874</t>
        </is>
      </c>
      <c r="B853" t="inlineStr">
        <is>
          <t>7e032fb7-a8d1-4b11-95f0-e751a047dd7c</t>
        </is>
      </c>
      <c r="D853" t="inlineStr">
        <is>
          <t>111111124</t>
        </is>
      </c>
      <c r="E853" t="inlineStr">
        <is>
          <t>Vodacom Life 20260617</t>
        </is>
      </c>
      <c r="G853" t="inlineStr">
        <is>
          <t>BERNICE</t>
        </is>
      </c>
      <c r="H853" t="inlineStr">
        <is>
          <t>FIELD</t>
        </is>
      </c>
      <c r="J853" t="inlineStr">
        <is>
          <t>AA</t>
        </is>
      </c>
      <c r="K853" t="inlineStr">
        <is>
          <t>Answering Machine Autodial</t>
        </is>
      </c>
      <c r="L853" t="n">
        <v>5</v>
      </c>
      <c r="M853" t="inlineStr">
        <is>
          <t>2026-06-29 12:27:59</t>
        </is>
      </c>
      <c r="N853" t="inlineStr">
        <is>
          <t>system</t>
        </is>
      </c>
      <c r="O853" t="inlineStr">
        <is>
          <t>2026-06-17 14:10:06</t>
        </is>
      </c>
      <c r="P853" t="inlineStr">
        <is>
          <t>2026-06-17 14:10:06</t>
        </is>
      </c>
      <c r="Y853" t="inlineStr">
        <is>
          <t>27764189161</t>
        </is>
      </c>
    </row>
    <row r="854">
      <c r="A854" t="inlineStr">
        <is>
          <t>14921875</t>
        </is>
      </c>
      <c r="B854" t="inlineStr">
        <is>
          <t>767be23f-3eca-4096-9f21-6b9c98052021</t>
        </is>
      </c>
      <c r="D854" t="inlineStr">
        <is>
          <t>111111124</t>
        </is>
      </c>
      <c r="E854" t="inlineStr">
        <is>
          <t>Vodacom Life 20260617</t>
        </is>
      </c>
      <c r="G854" t="inlineStr">
        <is>
          <t>PHILLIP</t>
        </is>
      </c>
      <c r="H854" t="inlineStr">
        <is>
          <t>SALUKAZANA</t>
        </is>
      </c>
      <c r="J854" t="inlineStr">
        <is>
          <t>NA</t>
        </is>
      </c>
      <c r="K854" t="inlineStr">
        <is>
          <t>No Answer Autodial</t>
        </is>
      </c>
      <c r="L854" t="n">
        <v>5</v>
      </c>
      <c r="M854" t="inlineStr">
        <is>
          <t>2026-06-29 12:27:59</t>
        </is>
      </c>
      <c r="N854" t="inlineStr">
        <is>
          <t>system</t>
        </is>
      </c>
      <c r="O854" t="inlineStr">
        <is>
          <t>2026-06-17 14:10:06</t>
        </is>
      </c>
      <c r="P854" t="inlineStr">
        <is>
          <t>2026-06-17 14:10:06</t>
        </is>
      </c>
      <c r="Y854" t="inlineStr">
        <is>
          <t>27827983122</t>
        </is>
      </c>
    </row>
    <row r="855">
      <c r="A855" t="inlineStr">
        <is>
          <t>14921877</t>
        </is>
      </c>
      <c r="B855" t="inlineStr">
        <is>
          <t>3775ac24-93aa-43da-b943-c63c4142a27e</t>
        </is>
      </c>
      <c r="D855" t="inlineStr">
        <is>
          <t>111111124</t>
        </is>
      </c>
      <c r="E855" t="inlineStr">
        <is>
          <t>Vodacom Life 20260617</t>
        </is>
      </c>
      <c r="G855" t="inlineStr">
        <is>
          <t>NKOANE</t>
        </is>
      </c>
      <c r="H855" t="inlineStr">
        <is>
          <t>MATLALA</t>
        </is>
      </c>
      <c r="J855" t="inlineStr">
        <is>
          <t>AE</t>
        </is>
      </c>
      <c r="K855" t="inlineStr">
        <is>
          <t>Auto Engaged</t>
        </is>
      </c>
      <c r="L855" t="n">
        <v>5</v>
      </c>
      <c r="M855" t="inlineStr">
        <is>
          <t>2026-06-29 12:27:59</t>
        </is>
      </c>
      <c r="N855" t="inlineStr">
        <is>
          <t>system</t>
        </is>
      </c>
      <c r="O855" t="inlineStr">
        <is>
          <t>2026-06-17 14:10:06</t>
        </is>
      </c>
      <c r="P855" t="inlineStr">
        <is>
          <t>2026-06-17 14:10:06</t>
        </is>
      </c>
      <c r="Y855" t="inlineStr">
        <is>
          <t>27795269962</t>
        </is>
      </c>
    </row>
    <row r="856">
      <c r="A856" t="inlineStr">
        <is>
          <t>14921871</t>
        </is>
      </c>
      <c r="B856" t="inlineStr">
        <is>
          <t>232f844d-db72-4d1d-b9de-e294214cb23f</t>
        </is>
      </c>
      <c r="D856" t="inlineStr">
        <is>
          <t>111111124</t>
        </is>
      </c>
      <c r="E856" t="inlineStr">
        <is>
          <t>Vodacom Life 20260617</t>
        </is>
      </c>
      <c r="G856" t="inlineStr">
        <is>
          <t>ERNEST</t>
        </is>
      </c>
      <c r="H856" t="inlineStr">
        <is>
          <t>NGOBENI</t>
        </is>
      </c>
      <c r="J856" t="inlineStr">
        <is>
          <t>A</t>
        </is>
      </c>
      <c r="K856" t="inlineStr">
        <is>
          <t>Answering Machine</t>
        </is>
      </c>
      <c r="L856" t="n">
        <v>5</v>
      </c>
      <c r="M856" t="inlineStr">
        <is>
          <t>2026-06-29 12:27:45</t>
        </is>
      </c>
      <c r="N856" t="inlineStr">
        <is>
          <t>Khensane Mabasa</t>
        </is>
      </c>
      <c r="O856" t="inlineStr">
        <is>
          <t>2026-06-17 14:10:06</t>
        </is>
      </c>
      <c r="P856" t="inlineStr">
        <is>
          <t>2026-06-17 14:10:06</t>
        </is>
      </c>
      <c r="Y856" t="inlineStr">
        <is>
          <t>27794133100</t>
        </is>
      </c>
    </row>
    <row r="857">
      <c r="A857" t="inlineStr">
        <is>
          <t>14921873</t>
        </is>
      </c>
      <c r="B857" t="inlineStr">
        <is>
          <t>aaf57db6-d84e-452c-bbc2-bda198d73d7b</t>
        </is>
      </c>
      <c r="D857" t="inlineStr">
        <is>
          <t>111111124</t>
        </is>
      </c>
      <c r="E857" t="inlineStr">
        <is>
          <t>Vodacom Life 20260617</t>
        </is>
      </c>
      <c r="G857" t="inlineStr">
        <is>
          <t>SIHLE</t>
        </is>
      </c>
      <c r="H857" t="inlineStr">
        <is>
          <t>MADONDO</t>
        </is>
      </c>
      <c r="J857" t="inlineStr">
        <is>
          <t>AE</t>
        </is>
      </c>
      <c r="K857" t="inlineStr">
        <is>
          <t>Auto Engaged</t>
        </is>
      </c>
      <c r="L857" t="n">
        <v>5</v>
      </c>
      <c r="M857" t="inlineStr">
        <is>
          <t>2026-06-29 12:27:45</t>
        </is>
      </c>
      <c r="N857" t="inlineStr">
        <is>
          <t>system</t>
        </is>
      </c>
      <c r="O857" t="inlineStr">
        <is>
          <t>2026-06-17 14:10:06</t>
        </is>
      </c>
      <c r="P857" t="inlineStr">
        <is>
          <t>2026-06-17 14:10:06</t>
        </is>
      </c>
      <c r="Y857" t="inlineStr">
        <is>
          <t>27825496652</t>
        </is>
      </c>
    </row>
    <row r="858">
      <c r="A858" t="inlineStr">
        <is>
          <t>14920605</t>
        </is>
      </c>
      <c r="B858" t="inlineStr">
        <is>
          <t>fcb8dd48-97ec-474a-8586-f03f56ad5c5b</t>
        </is>
      </c>
      <c r="D858" t="inlineStr">
        <is>
          <t>111111124</t>
        </is>
      </c>
      <c r="E858" t="inlineStr">
        <is>
          <t>Vodacom Life 20260617</t>
        </is>
      </c>
      <c r="G858" t="inlineStr">
        <is>
          <t>MOHAMED</t>
        </is>
      </c>
      <c r="H858" t="inlineStr">
        <is>
          <t>SULIMAN</t>
        </is>
      </c>
      <c r="J858" t="inlineStr">
        <is>
          <t>AE</t>
        </is>
      </c>
      <c r="K858" t="inlineStr">
        <is>
          <t>Auto Engaged</t>
        </is>
      </c>
      <c r="L858" t="n">
        <v>5</v>
      </c>
      <c r="M858" t="inlineStr">
        <is>
          <t>2026-06-29 12:27:20</t>
        </is>
      </c>
      <c r="N858" t="inlineStr">
        <is>
          <t>system</t>
        </is>
      </c>
      <c r="O858" t="inlineStr">
        <is>
          <t>2026-06-17 14:10:06</t>
        </is>
      </c>
      <c r="P858" t="inlineStr">
        <is>
          <t>2026-06-17 14:10:06</t>
        </is>
      </c>
      <c r="Y858" t="inlineStr">
        <is>
          <t>27844097308</t>
        </is>
      </c>
    </row>
    <row r="859">
      <c r="A859" t="inlineStr">
        <is>
          <t>14921425</t>
        </is>
      </c>
      <c r="B859" t="inlineStr">
        <is>
          <t>12e7fa6e-e36b-4cdc-9cf8-1b4cd8d3c498</t>
        </is>
      </c>
      <c r="D859" t="inlineStr">
        <is>
          <t>111111124</t>
        </is>
      </c>
      <c r="E859" t="inlineStr">
        <is>
          <t>Vodacom Life 20260617</t>
        </is>
      </c>
      <c r="G859" t="inlineStr">
        <is>
          <t>SINDISO</t>
        </is>
      </c>
      <c r="H859" t="inlineStr">
        <is>
          <t>SIBEKO</t>
        </is>
      </c>
      <c r="J859" t="inlineStr">
        <is>
          <t>CCB</t>
        </is>
      </c>
      <c r="K859" t="inlineStr">
        <is>
          <t>Call Dropped</t>
        </is>
      </c>
      <c r="L859" t="n">
        <v>5</v>
      </c>
      <c r="M859" t="inlineStr">
        <is>
          <t>2026-06-29 12:27:12</t>
        </is>
      </c>
      <c r="N859" t="inlineStr">
        <is>
          <t>Khensane Mabasa</t>
        </is>
      </c>
      <c r="O859" t="inlineStr">
        <is>
          <t>2026-06-17 14:10:06</t>
        </is>
      </c>
      <c r="P859" t="inlineStr">
        <is>
          <t>2026-06-17 14:10:06</t>
        </is>
      </c>
      <c r="Y859" t="inlineStr">
        <is>
          <t>27716892249</t>
        </is>
      </c>
    </row>
    <row r="860">
      <c r="A860" t="inlineStr">
        <is>
          <t>14921721</t>
        </is>
      </c>
      <c r="B860" t="inlineStr">
        <is>
          <t>87921b12-668e-4fab-b127-ad8e8abc1846</t>
        </is>
      </c>
      <c r="D860" t="inlineStr">
        <is>
          <t>111111124</t>
        </is>
      </c>
      <c r="E860" t="inlineStr">
        <is>
          <t>Vodacom Life 20260617</t>
        </is>
      </c>
      <c r="G860" t="inlineStr">
        <is>
          <t>PIKOLOMZI</t>
        </is>
      </c>
      <c r="H860" t="inlineStr">
        <is>
          <t>PONCO</t>
        </is>
      </c>
      <c r="J860" t="inlineStr">
        <is>
          <t>N</t>
        </is>
      </c>
      <c r="K860" t="inlineStr">
        <is>
          <t>No Answer</t>
        </is>
      </c>
      <c r="L860" t="n">
        <v>5</v>
      </c>
      <c r="M860" t="inlineStr">
        <is>
          <t>2026-06-29 12:26:58</t>
        </is>
      </c>
      <c r="N860" t="inlineStr">
        <is>
          <t>Musiiwa Mary Mabirimisa</t>
        </is>
      </c>
      <c r="O860" t="inlineStr">
        <is>
          <t>2026-06-17 14:10:06</t>
        </is>
      </c>
      <c r="P860" t="inlineStr">
        <is>
          <t>2026-06-17 14:10:06</t>
        </is>
      </c>
      <c r="Y860" t="inlineStr">
        <is>
          <t>27726504619</t>
        </is>
      </c>
    </row>
    <row r="861">
      <c r="A861" t="inlineStr">
        <is>
          <t>14920604</t>
        </is>
      </c>
      <c r="B861" t="inlineStr">
        <is>
          <t>47d1899c-f367-409c-9283-7ac1f8adf023</t>
        </is>
      </c>
      <c r="D861" t="inlineStr">
        <is>
          <t>111111124</t>
        </is>
      </c>
      <c r="E861" t="inlineStr">
        <is>
          <t>Vodacom Life 20260617</t>
        </is>
      </c>
      <c r="G861" t="inlineStr">
        <is>
          <t>DAUNE-LEIGH</t>
        </is>
      </c>
      <c r="H861" t="inlineStr">
        <is>
          <t>BURGESS</t>
        </is>
      </c>
      <c r="J861" t="inlineStr">
        <is>
          <t>DROP</t>
        </is>
      </c>
      <c r="K861" t="inlineStr">
        <is>
          <t>Dropped</t>
        </is>
      </c>
      <c r="L861" t="n">
        <v>5</v>
      </c>
      <c r="M861" t="inlineStr">
        <is>
          <t>2026-06-29 12:26:56</t>
        </is>
      </c>
      <c r="N861" t="inlineStr">
        <is>
          <t>system</t>
        </is>
      </c>
      <c r="O861" t="inlineStr">
        <is>
          <t>2026-06-17 14:10:06</t>
        </is>
      </c>
      <c r="P861" t="inlineStr">
        <is>
          <t>2026-06-17 14:10:06</t>
        </is>
      </c>
      <c r="Y861" t="inlineStr">
        <is>
          <t>27646577169</t>
        </is>
      </c>
    </row>
    <row r="862">
      <c r="A862" t="inlineStr">
        <is>
          <t>14920638</t>
        </is>
      </c>
      <c r="B862" t="inlineStr">
        <is>
          <t>0441f957-b3bb-4c01-ba86-a5e500ea98db</t>
        </is>
      </c>
      <c r="D862" t="inlineStr">
        <is>
          <t>111111124</t>
        </is>
      </c>
      <c r="E862" t="inlineStr">
        <is>
          <t>Vodacom Life 20260617</t>
        </is>
      </c>
      <c r="G862" t="inlineStr">
        <is>
          <t>ROBERT</t>
        </is>
      </c>
      <c r="H862" t="inlineStr">
        <is>
          <t>GREYLING</t>
        </is>
      </c>
      <c r="J862" t="inlineStr">
        <is>
          <t>NA</t>
        </is>
      </c>
      <c r="K862" t="inlineStr">
        <is>
          <t>No Answer Autodial</t>
        </is>
      </c>
      <c r="L862" t="n">
        <v>5</v>
      </c>
      <c r="M862" t="inlineStr">
        <is>
          <t>2026-06-29 12:26:55</t>
        </is>
      </c>
      <c r="N862" t="inlineStr">
        <is>
          <t>system</t>
        </is>
      </c>
      <c r="O862" t="inlineStr">
        <is>
          <t>2026-06-17 14:10:06</t>
        </is>
      </c>
      <c r="P862" t="inlineStr">
        <is>
          <t>2026-06-17 14:10:06</t>
        </is>
      </c>
      <c r="Y862" t="inlineStr">
        <is>
          <t>27822234879</t>
        </is>
      </c>
    </row>
    <row r="863">
      <c r="A863" t="inlineStr">
        <is>
          <t>14920602</t>
        </is>
      </c>
      <c r="B863" t="inlineStr">
        <is>
          <t>be49a5ab-d03b-47f8-996e-8bf17446595f</t>
        </is>
      </c>
      <c r="D863" t="inlineStr">
        <is>
          <t>111111124</t>
        </is>
      </c>
      <c r="E863" t="inlineStr">
        <is>
          <t>Vodacom Life 20260617</t>
        </is>
      </c>
      <c r="G863" t="inlineStr">
        <is>
          <t>TWOBOY</t>
        </is>
      </c>
      <c r="H863" t="inlineStr">
        <is>
          <t>MOKOENA</t>
        </is>
      </c>
      <c r="J863" t="inlineStr">
        <is>
          <t>DROP</t>
        </is>
      </c>
      <c r="K863" t="inlineStr">
        <is>
          <t>Dropped</t>
        </is>
      </c>
      <c r="L863" t="n">
        <v>5</v>
      </c>
      <c r="M863" t="inlineStr">
        <is>
          <t>2026-06-29 12:26:54</t>
        </is>
      </c>
      <c r="N863" t="inlineStr">
        <is>
          <t>system</t>
        </is>
      </c>
      <c r="O863" t="inlineStr">
        <is>
          <t>2026-06-17 14:10:06</t>
        </is>
      </c>
      <c r="P863" t="inlineStr">
        <is>
          <t>2026-06-17 14:10:06</t>
        </is>
      </c>
      <c r="Y863" t="inlineStr">
        <is>
          <t>27796377758</t>
        </is>
      </c>
    </row>
    <row r="864">
      <c r="A864" t="inlineStr">
        <is>
          <t>14920603</t>
        </is>
      </c>
      <c r="B864" t="inlineStr">
        <is>
          <t>56f8ab91-f6c0-45a8-82a4-52358e12419f</t>
        </is>
      </c>
      <c r="D864" t="inlineStr">
        <is>
          <t>111111124</t>
        </is>
      </c>
      <c r="E864" t="inlineStr">
        <is>
          <t>Vodacom Life 20260617</t>
        </is>
      </c>
      <c r="G864" t="inlineStr">
        <is>
          <t>NOSIHLE</t>
        </is>
      </c>
      <c r="H864" t="inlineStr">
        <is>
          <t>NGCOBO</t>
        </is>
      </c>
      <c r="J864" t="inlineStr">
        <is>
          <t>DROP</t>
        </is>
      </c>
      <c r="K864" t="inlineStr">
        <is>
          <t>Dropped</t>
        </is>
      </c>
      <c r="L864" t="n">
        <v>5</v>
      </c>
      <c r="M864" t="inlineStr">
        <is>
          <t>2026-06-29 12:26:54</t>
        </is>
      </c>
      <c r="N864" t="inlineStr">
        <is>
          <t>system</t>
        </is>
      </c>
      <c r="O864" t="inlineStr">
        <is>
          <t>2026-06-17 14:10:06</t>
        </is>
      </c>
      <c r="P864" t="inlineStr">
        <is>
          <t>2026-06-17 14:10:06</t>
        </is>
      </c>
      <c r="Y864" t="inlineStr">
        <is>
          <t>27790616562</t>
        </is>
      </c>
    </row>
    <row r="865">
      <c r="A865" t="inlineStr">
        <is>
          <t>14921796</t>
        </is>
      </c>
      <c r="B865" t="inlineStr">
        <is>
          <t>333ca1c2-01bf-4897-8278-cdbd83c1c408</t>
        </is>
      </c>
      <c r="D865" t="inlineStr">
        <is>
          <t>111111124</t>
        </is>
      </c>
      <c r="E865" t="inlineStr">
        <is>
          <t>Vodacom Life 20260617</t>
        </is>
      </c>
      <c r="G865" t="inlineStr">
        <is>
          <t>ANNE-MARIE</t>
        </is>
      </c>
      <c r="H865" t="inlineStr">
        <is>
          <t>GELDENHUYS</t>
        </is>
      </c>
      <c r="J865" t="inlineStr">
        <is>
          <t>CCB</t>
        </is>
      </c>
      <c r="K865" t="inlineStr">
        <is>
          <t>Call Dropped</t>
        </is>
      </c>
      <c r="L865" t="n">
        <v>5</v>
      </c>
      <c r="M865" t="inlineStr">
        <is>
          <t>2026-06-29 12:26:54</t>
        </is>
      </c>
      <c r="N865" t="inlineStr">
        <is>
          <t>Khensane Mabasa</t>
        </is>
      </c>
      <c r="O865" t="inlineStr">
        <is>
          <t>2026-06-17 14:10:06</t>
        </is>
      </c>
      <c r="P865" t="inlineStr">
        <is>
          <t>2026-06-17 14:10:06</t>
        </is>
      </c>
      <c r="Y865" t="inlineStr">
        <is>
          <t>27798762149</t>
        </is>
      </c>
    </row>
    <row r="866">
      <c r="A866" t="inlineStr">
        <is>
          <t>14921913</t>
        </is>
      </c>
      <c r="B866" t="inlineStr">
        <is>
          <t>badec3b8-a559-4193-b801-c057dd70b77d</t>
        </is>
      </c>
      <c r="D866" t="inlineStr">
        <is>
          <t>111111124</t>
        </is>
      </c>
      <c r="E866" t="inlineStr">
        <is>
          <t>Vodacom Life 20260617</t>
        </is>
      </c>
      <c r="G866" t="inlineStr">
        <is>
          <t>DEBBIE</t>
        </is>
      </c>
      <c r="H866" t="inlineStr">
        <is>
          <t>MAUDLIN</t>
        </is>
      </c>
      <c r="J866" t="inlineStr">
        <is>
          <t>AE</t>
        </is>
      </c>
      <c r="K866" t="inlineStr">
        <is>
          <t>Auto Engaged</t>
        </is>
      </c>
      <c r="L866" t="n">
        <v>5</v>
      </c>
      <c r="M866" t="inlineStr">
        <is>
          <t>2026-06-29 12:26:54</t>
        </is>
      </c>
      <c r="N866" t="inlineStr">
        <is>
          <t>system</t>
        </is>
      </c>
      <c r="O866" t="inlineStr">
        <is>
          <t>2026-06-17 14:10:06</t>
        </is>
      </c>
      <c r="P866" t="inlineStr">
        <is>
          <t>2026-06-17 14:10:06</t>
        </is>
      </c>
      <c r="Y866" t="inlineStr">
        <is>
          <t>27794274389</t>
        </is>
      </c>
    </row>
    <row r="867">
      <c r="A867" t="inlineStr">
        <is>
          <t>14921768</t>
        </is>
      </c>
      <c r="B867" t="inlineStr">
        <is>
          <t>9ce55375-5cd8-40de-be5b-8fbf70e78f46</t>
        </is>
      </c>
      <c r="D867" t="inlineStr">
        <is>
          <t>111111124</t>
        </is>
      </c>
      <c r="E867" t="inlineStr">
        <is>
          <t>Vodacom Life 20260617</t>
        </is>
      </c>
      <c r="G867" t="inlineStr">
        <is>
          <t>HENDRIK</t>
        </is>
      </c>
      <c r="H867" t="inlineStr">
        <is>
          <t>ANDREWS</t>
        </is>
      </c>
      <c r="J867" t="inlineStr">
        <is>
          <t>AE</t>
        </is>
      </c>
      <c r="K867" t="inlineStr">
        <is>
          <t>Auto Engaged</t>
        </is>
      </c>
      <c r="L867" t="n">
        <v>5</v>
      </c>
      <c r="M867" t="inlineStr">
        <is>
          <t>2026-06-29 12:26:50</t>
        </is>
      </c>
      <c r="N867" t="inlineStr">
        <is>
          <t>system</t>
        </is>
      </c>
      <c r="O867" t="inlineStr">
        <is>
          <t>2026-06-17 14:10:06</t>
        </is>
      </c>
      <c r="P867" t="inlineStr">
        <is>
          <t>2026-06-17 14:10:06</t>
        </is>
      </c>
      <c r="Y867" t="inlineStr">
        <is>
          <t>27767752213</t>
        </is>
      </c>
    </row>
    <row r="868">
      <c r="A868" t="inlineStr">
        <is>
          <t>14921637</t>
        </is>
      </c>
      <c r="B868" t="inlineStr">
        <is>
          <t>8e0f16db-e455-4a1c-a833-0adeac9356cc</t>
        </is>
      </c>
      <c r="D868" t="inlineStr">
        <is>
          <t>111111124</t>
        </is>
      </c>
      <c r="E868" t="inlineStr">
        <is>
          <t>Vodacom Life 20260617</t>
        </is>
      </c>
      <c r="G868" t="inlineStr">
        <is>
          <t>SAMANTHA</t>
        </is>
      </c>
      <c r="H868" t="inlineStr">
        <is>
          <t>TAIT</t>
        </is>
      </c>
      <c r="J868" t="inlineStr">
        <is>
          <t>AA</t>
        </is>
      </c>
      <c r="K868" t="inlineStr">
        <is>
          <t>Answering Machine Autodial</t>
        </is>
      </c>
      <c r="L868" t="n">
        <v>5</v>
      </c>
      <c r="M868" t="inlineStr">
        <is>
          <t>2026-06-29 12:26:49</t>
        </is>
      </c>
      <c r="N868" t="inlineStr">
        <is>
          <t>system</t>
        </is>
      </c>
      <c r="O868" t="inlineStr">
        <is>
          <t>2026-06-17 14:10:06</t>
        </is>
      </c>
      <c r="P868" t="inlineStr">
        <is>
          <t>2026-06-17 14:10:06</t>
        </is>
      </c>
      <c r="Y868" t="inlineStr">
        <is>
          <t>27764917606</t>
        </is>
      </c>
    </row>
    <row r="869">
      <c r="A869" t="inlineStr">
        <is>
          <t>14921177</t>
        </is>
      </c>
      <c r="B869" t="inlineStr">
        <is>
          <t>19080f08-aa01-49ae-90a8-89b39e8b0576</t>
        </is>
      </c>
      <c r="D869" t="inlineStr">
        <is>
          <t>111111124</t>
        </is>
      </c>
      <c r="E869" t="inlineStr">
        <is>
          <t>Vodacom Life 20260617</t>
        </is>
      </c>
      <c r="G869" t="inlineStr">
        <is>
          <t>MARELISE</t>
        </is>
      </c>
      <c r="H869" t="inlineStr">
        <is>
          <t>OBERHOLZER</t>
        </is>
      </c>
      <c r="J869" t="inlineStr">
        <is>
          <t>AA</t>
        </is>
      </c>
      <c r="K869" t="inlineStr">
        <is>
          <t>Answering Machine Autodial</t>
        </is>
      </c>
      <c r="L869" t="n">
        <v>5</v>
      </c>
      <c r="M869" t="inlineStr">
        <is>
          <t>2026-06-29 12:26:41</t>
        </is>
      </c>
      <c r="N869" t="inlineStr">
        <is>
          <t>system</t>
        </is>
      </c>
      <c r="O869" t="inlineStr">
        <is>
          <t>2026-06-17 14:10:06</t>
        </is>
      </c>
      <c r="P869" t="inlineStr">
        <is>
          <t>2026-06-17 14:10:06</t>
        </is>
      </c>
      <c r="Y869" t="inlineStr">
        <is>
          <t>27662512448</t>
        </is>
      </c>
    </row>
    <row r="870">
      <c r="A870" t="inlineStr">
        <is>
          <t>14920956</t>
        </is>
      </c>
      <c r="B870" t="inlineStr">
        <is>
          <t>b888b631-0304-4e18-8198-3c1ad8524308</t>
        </is>
      </c>
      <c r="D870" t="inlineStr">
        <is>
          <t>111111124</t>
        </is>
      </c>
      <c r="E870" t="inlineStr">
        <is>
          <t>Vodacom Life 20260617</t>
        </is>
      </c>
      <c r="G870" t="inlineStr">
        <is>
          <t>RAMASELA</t>
        </is>
      </c>
      <c r="H870" t="inlineStr">
        <is>
          <t>LETOALA</t>
        </is>
      </c>
      <c r="J870" t="inlineStr">
        <is>
          <t>NA</t>
        </is>
      </c>
      <c r="K870" t="inlineStr">
        <is>
          <t>No Answer Autodial</t>
        </is>
      </c>
      <c r="L870" t="n">
        <v>5</v>
      </c>
      <c r="M870" t="inlineStr">
        <is>
          <t>2026-06-29 12:26:26</t>
        </is>
      </c>
      <c r="N870" t="inlineStr">
        <is>
          <t>system</t>
        </is>
      </c>
      <c r="O870" t="inlineStr">
        <is>
          <t>2026-06-17 14:10:06</t>
        </is>
      </c>
      <c r="P870" t="inlineStr">
        <is>
          <t>2026-06-17 14:10:06</t>
        </is>
      </c>
      <c r="Y870" t="inlineStr">
        <is>
          <t>27828794911</t>
        </is>
      </c>
    </row>
    <row r="871">
      <c r="A871" t="inlineStr">
        <is>
          <t>14920904</t>
        </is>
      </c>
      <c r="B871" t="inlineStr">
        <is>
          <t>9dada57b-69f5-41b0-81d2-4eb6bb62d136</t>
        </is>
      </c>
      <c r="D871" t="inlineStr">
        <is>
          <t>111111124</t>
        </is>
      </c>
      <c r="E871" t="inlineStr">
        <is>
          <t>Vodacom Life 20260617</t>
        </is>
      </c>
      <c r="G871" t="inlineStr">
        <is>
          <t>AL</t>
        </is>
      </c>
      <c r="H871" t="inlineStr">
        <is>
          <t>DU TOIT</t>
        </is>
      </c>
      <c r="J871" t="inlineStr">
        <is>
          <t>AA</t>
        </is>
      </c>
      <c r="K871" t="inlineStr">
        <is>
          <t>Answering Machine Autodial</t>
        </is>
      </c>
      <c r="L871" t="n">
        <v>5</v>
      </c>
      <c r="M871" t="inlineStr">
        <is>
          <t>2026-06-29 12:26:25</t>
        </is>
      </c>
      <c r="N871" t="inlineStr">
        <is>
          <t>system</t>
        </is>
      </c>
      <c r="O871" t="inlineStr">
        <is>
          <t>2026-06-17 14:10:06</t>
        </is>
      </c>
      <c r="P871" t="inlineStr">
        <is>
          <t>2026-06-17 14:10:06</t>
        </is>
      </c>
      <c r="Y871" t="inlineStr">
        <is>
          <t>27824436844</t>
        </is>
      </c>
    </row>
    <row r="872">
      <c r="A872" t="inlineStr">
        <is>
          <t>14920791</t>
        </is>
      </c>
      <c r="B872" t="inlineStr">
        <is>
          <t>de7d5f18-01d9-435f-9243-3db50950b144</t>
        </is>
      </c>
      <c r="D872" t="inlineStr">
        <is>
          <t>111111124</t>
        </is>
      </c>
      <c r="E872" t="inlineStr">
        <is>
          <t>Vodacom Life 20260617</t>
        </is>
      </c>
      <c r="G872" t="inlineStr">
        <is>
          <t>GABRIAL</t>
        </is>
      </c>
      <c r="H872" t="inlineStr">
        <is>
          <t>ENGELBRECHT</t>
        </is>
      </c>
      <c r="J872" t="inlineStr">
        <is>
          <t>NA</t>
        </is>
      </c>
      <c r="K872" t="inlineStr">
        <is>
          <t>No Answer Autodial</t>
        </is>
      </c>
      <c r="L872" t="n">
        <v>5</v>
      </c>
      <c r="M872" t="inlineStr">
        <is>
          <t>2026-06-29 12:26:21</t>
        </is>
      </c>
      <c r="N872" t="inlineStr">
        <is>
          <t>system</t>
        </is>
      </c>
      <c r="O872" t="inlineStr">
        <is>
          <t>2026-06-17 14:10:06</t>
        </is>
      </c>
      <c r="P872" t="inlineStr">
        <is>
          <t>2026-06-17 14:10:06</t>
        </is>
      </c>
      <c r="Y872" t="inlineStr">
        <is>
          <t>27636967856</t>
        </is>
      </c>
    </row>
    <row r="873">
      <c r="A873" t="inlineStr">
        <is>
          <t>14921958</t>
        </is>
      </c>
      <c r="B873" t="inlineStr">
        <is>
          <t>dc0616fb-f72b-4b6a-b8f9-e09d03f614a2</t>
        </is>
      </c>
      <c r="D873" t="inlineStr">
        <is>
          <t>111111124</t>
        </is>
      </c>
      <c r="E873" t="inlineStr">
        <is>
          <t>Vodacom Life 20260617</t>
        </is>
      </c>
      <c r="G873" t="inlineStr">
        <is>
          <t>ANELE</t>
        </is>
      </c>
      <c r="H873" t="inlineStr">
        <is>
          <t>NDABA</t>
        </is>
      </c>
      <c r="J873" t="inlineStr">
        <is>
          <t>CCB</t>
        </is>
      </c>
      <c r="K873" t="inlineStr">
        <is>
          <t>Call Dropped</t>
        </is>
      </c>
      <c r="L873" t="n">
        <v>5</v>
      </c>
      <c r="M873" t="inlineStr">
        <is>
          <t>2026-06-29 12:26:20</t>
        </is>
      </c>
      <c r="N873" t="inlineStr">
        <is>
          <t>Khensane Mabasa</t>
        </is>
      </c>
      <c r="O873" t="inlineStr">
        <is>
          <t>2026-06-17 14:10:06</t>
        </is>
      </c>
      <c r="P873" t="inlineStr">
        <is>
          <t>2026-06-17 14:10:06</t>
        </is>
      </c>
      <c r="Y873" t="inlineStr">
        <is>
          <t>27766520200</t>
        </is>
      </c>
    </row>
    <row r="874">
      <c r="A874" t="inlineStr">
        <is>
          <t>14900000</t>
        </is>
      </c>
      <c r="B874" t="inlineStr">
        <is>
          <t>5e74420a-91dc-458b-917a-e8bc9fede645</t>
        </is>
      </c>
      <c r="D874" t="inlineStr">
        <is>
          <t>111111124</t>
        </is>
      </c>
      <c r="E874" t="inlineStr">
        <is>
          <t>Vodacom Life 20260617</t>
        </is>
      </c>
      <c r="G874" t="inlineStr">
        <is>
          <t>ERIKA</t>
        </is>
      </c>
      <c r="H874" t="inlineStr">
        <is>
          <t>DU TOIT</t>
        </is>
      </c>
      <c r="J874" t="inlineStr">
        <is>
          <t>AA</t>
        </is>
      </c>
      <c r="K874" t="inlineStr">
        <is>
          <t>Answering Machine Autodial</t>
        </is>
      </c>
      <c r="L874" t="n">
        <v>5</v>
      </c>
      <c r="M874" t="inlineStr">
        <is>
          <t>2026-06-29 12:26:20</t>
        </is>
      </c>
      <c r="N874" t="inlineStr">
        <is>
          <t>system</t>
        </is>
      </c>
      <c r="O874" t="inlineStr">
        <is>
          <t>2026-06-17 14:10:06</t>
        </is>
      </c>
      <c r="P874" t="inlineStr">
        <is>
          <t>2026-06-17 14:10:06</t>
        </is>
      </c>
      <c r="Y874" t="inlineStr">
        <is>
          <t>27662940395</t>
        </is>
      </c>
    </row>
    <row r="875">
      <c r="A875" t="inlineStr">
        <is>
          <t>14921956</t>
        </is>
      </c>
      <c r="B875" t="inlineStr">
        <is>
          <t>da0609fb-c66e-4eeb-aa31-66803d43075f</t>
        </is>
      </c>
      <c r="D875" t="inlineStr">
        <is>
          <t>111111124</t>
        </is>
      </c>
      <c r="E875" t="inlineStr">
        <is>
          <t>Vodacom Life 20260617</t>
        </is>
      </c>
      <c r="G875" t="inlineStr">
        <is>
          <t>DORAH</t>
        </is>
      </c>
      <c r="H875" t="inlineStr">
        <is>
          <t>DALANA</t>
        </is>
      </c>
      <c r="J875" t="inlineStr">
        <is>
          <t>AE</t>
        </is>
      </c>
      <c r="K875" t="inlineStr">
        <is>
          <t>Auto Engaged</t>
        </is>
      </c>
      <c r="L875" t="n">
        <v>5</v>
      </c>
      <c r="M875" t="inlineStr">
        <is>
          <t>2026-06-29 12:26:19</t>
        </is>
      </c>
      <c r="N875" t="inlineStr">
        <is>
          <t>system</t>
        </is>
      </c>
      <c r="O875" t="inlineStr">
        <is>
          <t>2026-06-17 14:10:06</t>
        </is>
      </c>
      <c r="P875" t="inlineStr">
        <is>
          <t>2026-06-17 14:10:06</t>
        </is>
      </c>
      <c r="Y875" t="inlineStr">
        <is>
          <t>27794546330</t>
        </is>
      </c>
    </row>
    <row r="876">
      <c r="A876" t="inlineStr">
        <is>
          <t>14921957</t>
        </is>
      </c>
      <c r="B876" t="inlineStr">
        <is>
          <t>bdd60934-26d9-44f0-bc69-9f137bc060f7</t>
        </is>
      </c>
      <c r="D876" t="inlineStr">
        <is>
          <t>111111124</t>
        </is>
      </c>
      <c r="E876" t="inlineStr">
        <is>
          <t>Vodacom Life 20260617</t>
        </is>
      </c>
      <c r="G876" t="inlineStr">
        <is>
          <t>LONDIWE</t>
        </is>
      </c>
      <c r="H876" t="inlineStr">
        <is>
          <t>MALINGA</t>
        </is>
      </c>
      <c r="J876" t="inlineStr">
        <is>
          <t>AA</t>
        </is>
      </c>
      <c r="K876" t="inlineStr">
        <is>
          <t>Answering Machine Autodial</t>
        </is>
      </c>
      <c r="L876" t="n">
        <v>5</v>
      </c>
      <c r="M876" t="inlineStr">
        <is>
          <t>2026-06-29 12:26:19</t>
        </is>
      </c>
      <c r="N876" t="inlineStr">
        <is>
          <t>system</t>
        </is>
      </c>
      <c r="O876" t="inlineStr">
        <is>
          <t>2026-06-17 14:10:06</t>
        </is>
      </c>
      <c r="P876" t="inlineStr">
        <is>
          <t>2026-06-17 14:10:06</t>
        </is>
      </c>
      <c r="Y876" t="inlineStr">
        <is>
          <t>27662852633</t>
        </is>
      </c>
    </row>
    <row r="877">
      <c r="A877" t="inlineStr">
        <is>
          <t>14921954</t>
        </is>
      </c>
      <c r="B877" t="inlineStr">
        <is>
          <t>7b845848-fd88-487e-b0b5-0af10b1af07c</t>
        </is>
      </c>
      <c r="D877" t="inlineStr">
        <is>
          <t>111111124</t>
        </is>
      </c>
      <c r="E877" t="inlineStr">
        <is>
          <t>Vodacom Life 20260617</t>
        </is>
      </c>
      <c r="G877" t="inlineStr">
        <is>
          <t>COLLEEN</t>
        </is>
      </c>
      <c r="H877" t="inlineStr">
        <is>
          <t>LOURENS</t>
        </is>
      </c>
      <c r="J877" t="inlineStr">
        <is>
          <t>CCB</t>
        </is>
      </c>
      <c r="K877" t="inlineStr">
        <is>
          <t>Call Dropped</t>
        </is>
      </c>
      <c r="L877" t="n">
        <v>5</v>
      </c>
      <c r="M877" t="inlineStr">
        <is>
          <t>2026-06-29 12:26:16</t>
        </is>
      </c>
      <c r="N877" t="inlineStr">
        <is>
          <t>Musiiwa Mary Mabirimisa</t>
        </is>
      </c>
      <c r="O877" t="inlineStr">
        <is>
          <t>2026-06-17 14:10:06</t>
        </is>
      </c>
      <c r="P877" t="inlineStr">
        <is>
          <t>2026-06-17 14:10:06</t>
        </is>
      </c>
      <c r="Y877" t="inlineStr">
        <is>
          <t>27609740640</t>
        </is>
      </c>
    </row>
    <row r="878">
      <c r="A878" t="inlineStr">
        <is>
          <t>14921948</t>
        </is>
      </c>
      <c r="B878" t="inlineStr">
        <is>
          <t>0540df74-dcf4-4061-ab55-892da80df621</t>
        </is>
      </c>
      <c r="D878" t="inlineStr">
        <is>
          <t>111111124</t>
        </is>
      </c>
      <c r="E878" t="inlineStr">
        <is>
          <t>Vodacom Life 20260617</t>
        </is>
      </c>
      <c r="G878" t="inlineStr">
        <is>
          <t>THULISILE</t>
        </is>
      </c>
      <c r="H878" t="inlineStr">
        <is>
          <t>HLONGWANE</t>
        </is>
      </c>
      <c r="J878" t="inlineStr">
        <is>
          <t>AA</t>
        </is>
      </c>
      <c r="K878" t="inlineStr">
        <is>
          <t>Answering Machine Autodial</t>
        </is>
      </c>
      <c r="L878" t="n">
        <v>5</v>
      </c>
      <c r="M878" t="inlineStr">
        <is>
          <t>2026-06-29 12:26:13</t>
        </is>
      </c>
      <c r="N878" t="inlineStr">
        <is>
          <t>system</t>
        </is>
      </c>
      <c r="O878" t="inlineStr">
        <is>
          <t>2026-06-17 14:10:06</t>
        </is>
      </c>
      <c r="P878" t="inlineStr">
        <is>
          <t>2026-06-17 14:10:06</t>
        </is>
      </c>
      <c r="Y878" t="inlineStr">
        <is>
          <t>27795419977</t>
        </is>
      </c>
    </row>
    <row r="879">
      <c r="A879" t="inlineStr">
        <is>
          <t>14921942</t>
        </is>
      </c>
      <c r="B879" t="inlineStr">
        <is>
          <t>f9ec4e99-ed34-468f-a830-4e79e4699db3</t>
        </is>
      </c>
      <c r="D879" t="inlineStr">
        <is>
          <t>111111124</t>
        </is>
      </c>
      <c r="E879" t="inlineStr">
        <is>
          <t>Vodacom Life 20260617</t>
        </is>
      </c>
      <c r="G879" t="inlineStr">
        <is>
          <t>MILLICENT</t>
        </is>
      </c>
      <c r="H879" t="inlineStr">
        <is>
          <t>TSHABALALA</t>
        </is>
      </c>
      <c r="J879" t="inlineStr">
        <is>
          <t>AE</t>
        </is>
      </c>
      <c r="K879" t="inlineStr">
        <is>
          <t>Auto Engaged</t>
        </is>
      </c>
      <c r="L879" t="n">
        <v>5</v>
      </c>
      <c r="M879" t="inlineStr">
        <is>
          <t>2026-06-29 12:26:11</t>
        </is>
      </c>
      <c r="N879" t="inlineStr">
        <is>
          <t>system</t>
        </is>
      </c>
      <c r="O879" t="inlineStr">
        <is>
          <t>2026-06-17 14:10:06</t>
        </is>
      </c>
      <c r="P879" t="inlineStr">
        <is>
          <t>2026-06-17 14:10:06</t>
        </is>
      </c>
      <c r="Y879" t="inlineStr">
        <is>
          <t>27767109748</t>
        </is>
      </c>
    </row>
    <row r="880">
      <c r="A880" t="inlineStr">
        <is>
          <t>14921936</t>
        </is>
      </c>
      <c r="B880" t="inlineStr">
        <is>
          <t>9c357450-0794-45a2-8e31-a18219c5e0ac</t>
        </is>
      </c>
      <c r="D880" t="inlineStr">
        <is>
          <t>111111124</t>
        </is>
      </c>
      <c r="E880" t="inlineStr">
        <is>
          <t>Vodacom Life 20260617</t>
        </is>
      </c>
      <c r="G880" t="inlineStr">
        <is>
          <t>MOKGADI</t>
        </is>
      </c>
      <c r="H880" t="inlineStr">
        <is>
          <t>MAGOELE</t>
        </is>
      </c>
      <c r="J880" t="inlineStr">
        <is>
          <t>AE</t>
        </is>
      </c>
      <c r="K880" t="inlineStr">
        <is>
          <t>Auto Engaged</t>
        </is>
      </c>
      <c r="L880" t="n">
        <v>5</v>
      </c>
      <c r="M880" t="inlineStr">
        <is>
          <t>2026-06-29 12:26:09</t>
        </is>
      </c>
      <c r="N880" t="inlineStr">
        <is>
          <t>system</t>
        </is>
      </c>
      <c r="O880" t="inlineStr">
        <is>
          <t>2026-06-17 14:10:06</t>
        </is>
      </c>
      <c r="P880" t="inlineStr">
        <is>
          <t>2026-06-17 14:10:06</t>
        </is>
      </c>
      <c r="Y880" t="inlineStr">
        <is>
          <t>27820719376</t>
        </is>
      </c>
    </row>
    <row r="881">
      <c r="A881" t="inlineStr">
        <is>
          <t>14921937</t>
        </is>
      </c>
      <c r="B881" t="inlineStr">
        <is>
          <t>e175a314-0632-4ac8-a6af-41f3cf61cb28</t>
        </is>
      </c>
      <c r="D881" t="inlineStr">
        <is>
          <t>111111124</t>
        </is>
      </c>
      <c r="E881" t="inlineStr">
        <is>
          <t>Vodacom Life 20260617</t>
        </is>
      </c>
      <c r="G881" t="inlineStr">
        <is>
          <t>MICHAEL</t>
        </is>
      </c>
      <c r="H881" t="inlineStr">
        <is>
          <t>BARNETT</t>
        </is>
      </c>
      <c r="J881" t="inlineStr">
        <is>
          <t>AA</t>
        </is>
      </c>
      <c r="K881" t="inlineStr">
        <is>
          <t>Answering Machine Autodial</t>
        </is>
      </c>
      <c r="L881" t="n">
        <v>5</v>
      </c>
      <c r="M881" t="inlineStr">
        <is>
          <t>2026-06-29 12:26:09</t>
        </is>
      </c>
      <c r="N881" t="inlineStr">
        <is>
          <t>system</t>
        </is>
      </c>
      <c r="O881" t="inlineStr">
        <is>
          <t>2026-06-17 14:10:06</t>
        </is>
      </c>
      <c r="P881" t="inlineStr">
        <is>
          <t>2026-06-17 14:10:06</t>
        </is>
      </c>
      <c r="Y881" t="inlineStr">
        <is>
          <t>27826746266</t>
        </is>
      </c>
    </row>
    <row r="882">
      <c r="A882" t="inlineStr">
        <is>
          <t>14921938</t>
        </is>
      </c>
      <c r="B882" t="inlineStr">
        <is>
          <t>d46bcf13-7168-4f90-988e-92fb08ba218c</t>
        </is>
      </c>
      <c r="D882" t="inlineStr">
        <is>
          <t>111111124</t>
        </is>
      </c>
      <c r="E882" t="inlineStr">
        <is>
          <t>Vodacom Life 20260617</t>
        </is>
      </c>
      <c r="G882" t="inlineStr">
        <is>
          <t>NKQUBELA</t>
        </is>
      </c>
      <c r="H882" t="inlineStr">
        <is>
          <t>MADIKANE</t>
        </is>
      </c>
      <c r="J882" t="inlineStr">
        <is>
          <t>AE</t>
        </is>
      </c>
      <c r="K882" t="inlineStr">
        <is>
          <t>Auto Engaged</t>
        </is>
      </c>
      <c r="L882" t="n">
        <v>5</v>
      </c>
      <c r="M882" t="inlineStr">
        <is>
          <t>2026-06-29 12:26:09</t>
        </is>
      </c>
      <c r="N882" t="inlineStr">
        <is>
          <t>system</t>
        </is>
      </c>
      <c r="O882" t="inlineStr">
        <is>
          <t>2026-06-17 14:10:06</t>
        </is>
      </c>
      <c r="P882" t="inlineStr">
        <is>
          <t>2026-06-17 14:10:06</t>
        </is>
      </c>
      <c r="Y882" t="inlineStr">
        <is>
          <t>27649474464</t>
        </is>
      </c>
    </row>
    <row r="883">
      <c r="A883" t="inlineStr">
        <is>
          <t>14921940</t>
        </is>
      </c>
      <c r="B883" t="inlineStr">
        <is>
          <t>782d3bae-5e3a-4e56-be9f-21b36631c802</t>
        </is>
      </c>
      <c r="D883" t="inlineStr">
        <is>
          <t>111111124</t>
        </is>
      </c>
      <c r="E883" t="inlineStr">
        <is>
          <t>Vodacom Life 20260617</t>
        </is>
      </c>
      <c r="G883" t="inlineStr">
        <is>
          <t>PHUMZILE</t>
        </is>
      </c>
      <c r="H883" t="inlineStr">
        <is>
          <t>THOBELA</t>
        </is>
      </c>
      <c r="J883" t="inlineStr">
        <is>
          <t>AA</t>
        </is>
      </c>
      <c r="K883" t="inlineStr">
        <is>
          <t>Answering Machine Autodial</t>
        </is>
      </c>
      <c r="L883" t="n">
        <v>5</v>
      </c>
      <c r="M883" t="inlineStr">
        <is>
          <t>2026-06-29 12:26:09</t>
        </is>
      </c>
      <c r="N883" t="inlineStr">
        <is>
          <t>system</t>
        </is>
      </c>
      <c r="O883" t="inlineStr">
        <is>
          <t>2026-06-17 14:10:06</t>
        </is>
      </c>
      <c r="P883" t="inlineStr">
        <is>
          <t>2026-06-17 14:10:06</t>
        </is>
      </c>
      <c r="Y883" t="inlineStr">
        <is>
          <t>27726063311</t>
        </is>
      </c>
    </row>
    <row r="884">
      <c r="A884" t="inlineStr">
        <is>
          <t>14921941</t>
        </is>
      </c>
      <c r="B884" t="inlineStr">
        <is>
          <t>19eb44e4-245b-4c40-86db-e67119485bf2</t>
        </is>
      </c>
      <c r="D884" t="inlineStr">
        <is>
          <t>111111124</t>
        </is>
      </c>
      <c r="E884" t="inlineStr">
        <is>
          <t>Vodacom Life 20260617</t>
        </is>
      </c>
      <c r="G884" t="inlineStr">
        <is>
          <t>SAMUEL</t>
        </is>
      </c>
      <c r="H884" t="inlineStr">
        <is>
          <t>SESHIBE</t>
        </is>
      </c>
      <c r="J884" t="inlineStr">
        <is>
          <t>CCB</t>
        </is>
      </c>
      <c r="K884" t="inlineStr">
        <is>
          <t>Call Dropped</t>
        </is>
      </c>
      <c r="L884" t="n">
        <v>5</v>
      </c>
      <c r="M884" t="inlineStr">
        <is>
          <t>2026-06-29 12:26:09</t>
        </is>
      </c>
      <c r="N884" t="inlineStr">
        <is>
          <t>Musiiwa Mary Mabirimisa</t>
        </is>
      </c>
      <c r="O884" t="inlineStr">
        <is>
          <t>2026-06-17 14:10:06</t>
        </is>
      </c>
      <c r="P884" t="inlineStr">
        <is>
          <t>2026-06-17 14:10:06</t>
        </is>
      </c>
      <c r="Y884" t="inlineStr">
        <is>
          <t>27845043567</t>
        </is>
      </c>
    </row>
    <row r="885">
      <c r="A885" t="inlineStr">
        <is>
          <t>14921935</t>
        </is>
      </c>
      <c r="B885" t="inlineStr">
        <is>
          <t>7d543727-1991-444a-b36f-5ef5885e5202</t>
        </is>
      </c>
      <c r="D885" t="inlineStr">
        <is>
          <t>111111124</t>
        </is>
      </c>
      <c r="E885" t="inlineStr">
        <is>
          <t>Vodacom Life 20260617</t>
        </is>
      </c>
      <c r="G885" t="inlineStr">
        <is>
          <t>PAPAMA</t>
        </is>
      </c>
      <c r="H885" t="inlineStr">
        <is>
          <t>NOCAKANA</t>
        </is>
      </c>
      <c r="J885" t="inlineStr">
        <is>
          <t>AE</t>
        </is>
      </c>
      <c r="K885" t="inlineStr">
        <is>
          <t>Auto Engaged</t>
        </is>
      </c>
      <c r="L885" t="n">
        <v>5</v>
      </c>
      <c r="M885" t="inlineStr">
        <is>
          <t>2026-06-29 12:25:45</t>
        </is>
      </c>
      <c r="N885" t="inlineStr">
        <is>
          <t>system</t>
        </is>
      </c>
      <c r="O885" t="inlineStr">
        <is>
          <t>2026-06-17 14:10:06</t>
        </is>
      </c>
      <c r="P885" t="inlineStr">
        <is>
          <t>2026-06-17 14:10:06</t>
        </is>
      </c>
      <c r="Y885" t="inlineStr">
        <is>
          <t>27818200311</t>
        </is>
      </c>
    </row>
    <row r="886">
      <c r="A886" t="inlineStr">
        <is>
          <t>14921932</t>
        </is>
      </c>
      <c r="B886" t="inlineStr">
        <is>
          <t>3cef8a6c-ee0d-4f2e-b075-6cd000037667</t>
        </is>
      </c>
      <c r="D886" t="inlineStr">
        <is>
          <t>111111124</t>
        </is>
      </c>
      <c r="E886" t="inlineStr">
        <is>
          <t>Vodacom Life 20260617</t>
        </is>
      </c>
      <c r="G886" t="inlineStr">
        <is>
          <t>TSIGERDA</t>
        </is>
      </c>
      <c r="H886" t="inlineStr">
        <is>
          <t>GEBREHIWAT</t>
        </is>
      </c>
      <c r="J886" t="inlineStr">
        <is>
          <t>CBACK</t>
        </is>
      </c>
      <c r="K886" t="inlineStr">
        <is>
          <t>Callback</t>
        </is>
      </c>
      <c r="L886" t="n">
        <v>5</v>
      </c>
      <c r="M886" t="inlineStr">
        <is>
          <t>2026-06-29 12:25:41</t>
        </is>
      </c>
      <c r="N886" t="inlineStr">
        <is>
          <t>Vanessa Kekana</t>
        </is>
      </c>
      <c r="O886" t="inlineStr">
        <is>
          <t>2026-06-17 14:10:06</t>
        </is>
      </c>
      <c r="P886" t="inlineStr">
        <is>
          <t>2026-06-17 14:10:06</t>
        </is>
      </c>
      <c r="Y886" t="inlineStr">
        <is>
          <t>27792315752</t>
        </is>
      </c>
    </row>
    <row r="887">
      <c r="A887" t="inlineStr">
        <is>
          <t>14921414</t>
        </is>
      </c>
      <c r="B887" t="inlineStr">
        <is>
          <t>e6b15f46-a81b-4fc6-bb94-43b655906301</t>
        </is>
      </c>
      <c r="D887" t="inlineStr">
        <is>
          <t>111111124</t>
        </is>
      </c>
      <c r="E887" t="inlineStr">
        <is>
          <t>Vodacom Life 20260617</t>
        </is>
      </c>
      <c r="G887" t="inlineStr">
        <is>
          <t>BOHAN</t>
        </is>
      </c>
      <c r="H887" t="inlineStr">
        <is>
          <t>HLONGWANE</t>
        </is>
      </c>
      <c r="J887" t="inlineStr">
        <is>
          <t>U</t>
        </is>
      </c>
      <c r="K887" t="inlineStr">
        <is>
          <t>Unemployed</t>
        </is>
      </c>
      <c r="L887" t="n">
        <v>5</v>
      </c>
      <c r="M887" t="inlineStr">
        <is>
          <t>2026-06-29 12:24:37</t>
        </is>
      </c>
      <c r="N887" t="inlineStr">
        <is>
          <t>Khensane Mabasa</t>
        </is>
      </c>
      <c r="O887" t="inlineStr">
        <is>
          <t>2026-06-17 14:10:06</t>
        </is>
      </c>
      <c r="P887" t="inlineStr">
        <is>
          <t>2026-06-17 14:10:06</t>
        </is>
      </c>
      <c r="Y887" t="inlineStr">
        <is>
          <t>27764127504</t>
        </is>
      </c>
    </row>
    <row r="888">
      <c r="A888" t="inlineStr">
        <is>
          <t>14921415</t>
        </is>
      </c>
      <c r="B888" t="inlineStr">
        <is>
          <t>44c3ff96-0ad5-45f5-b1ac-45e9f5c7b9dd</t>
        </is>
      </c>
      <c r="D888" t="inlineStr">
        <is>
          <t>111111124</t>
        </is>
      </c>
      <c r="E888" t="inlineStr">
        <is>
          <t>Vodacom Life 20260617</t>
        </is>
      </c>
      <c r="G888" t="inlineStr">
        <is>
          <t>SIYAMBUKA</t>
        </is>
      </c>
      <c r="H888" t="inlineStr">
        <is>
          <t>ELIAS</t>
        </is>
      </c>
      <c r="J888" t="inlineStr">
        <is>
          <t>AA</t>
        </is>
      </c>
      <c r="K888" t="inlineStr">
        <is>
          <t>Answering Machine Autodial</t>
        </is>
      </c>
      <c r="L888" t="n">
        <v>5</v>
      </c>
      <c r="M888" t="inlineStr">
        <is>
          <t>2026-06-29 12:24:30</t>
        </is>
      </c>
      <c r="N888" t="inlineStr">
        <is>
          <t>system</t>
        </is>
      </c>
      <c r="O888" t="inlineStr">
        <is>
          <t>2026-06-17 14:10:06</t>
        </is>
      </c>
      <c r="P888" t="inlineStr">
        <is>
          <t>2026-06-17 14:10:06</t>
        </is>
      </c>
      <c r="Y888" t="inlineStr">
        <is>
          <t>27823701963</t>
        </is>
      </c>
    </row>
    <row r="889">
      <c r="A889" t="inlineStr">
        <is>
          <t>14921418</t>
        </is>
      </c>
      <c r="B889" t="inlineStr">
        <is>
          <t>ed18c49f-3fd3-4d7f-92bb-3ed427358cb2</t>
        </is>
      </c>
      <c r="D889" t="inlineStr">
        <is>
          <t>111111124</t>
        </is>
      </c>
      <c r="E889" t="inlineStr">
        <is>
          <t>Vodacom Life 20260617</t>
        </is>
      </c>
      <c r="G889" t="inlineStr">
        <is>
          <t>MTHUNZI</t>
        </is>
      </c>
      <c r="H889" t="inlineStr">
        <is>
          <t>NZIWENI</t>
        </is>
      </c>
      <c r="J889" t="inlineStr">
        <is>
          <t>AA</t>
        </is>
      </c>
      <c r="K889" t="inlineStr">
        <is>
          <t>Answering Machine Autodial</t>
        </is>
      </c>
      <c r="L889" t="n">
        <v>5</v>
      </c>
      <c r="M889" t="inlineStr">
        <is>
          <t>2026-06-29 12:24:28</t>
        </is>
      </c>
      <c r="N889" t="inlineStr">
        <is>
          <t>system</t>
        </is>
      </c>
      <c r="O889" t="inlineStr">
        <is>
          <t>2026-06-17 14:10:06</t>
        </is>
      </c>
      <c r="P889" t="inlineStr">
        <is>
          <t>2026-06-17 14:10:06</t>
        </is>
      </c>
      <c r="Y889" t="inlineStr">
        <is>
          <t>27662352729</t>
        </is>
      </c>
    </row>
    <row r="890">
      <c r="A890" t="inlineStr">
        <is>
          <t>14921419</t>
        </is>
      </c>
      <c r="B890" t="inlineStr">
        <is>
          <t>dbbff001-3b71-4493-ad5e-4509534fb088</t>
        </is>
      </c>
      <c r="D890" t="inlineStr">
        <is>
          <t>111111124</t>
        </is>
      </c>
      <c r="E890" t="inlineStr">
        <is>
          <t>Vodacom Life 20260617</t>
        </is>
      </c>
      <c r="G890" t="inlineStr">
        <is>
          <t>NOMBUSO</t>
        </is>
      </c>
      <c r="H890" t="inlineStr">
        <is>
          <t>SIBANYONI</t>
        </is>
      </c>
      <c r="J890" t="inlineStr">
        <is>
          <t>AA</t>
        </is>
      </c>
      <c r="K890" t="inlineStr">
        <is>
          <t>Answering Machine Autodial</t>
        </is>
      </c>
      <c r="L890" t="n">
        <v>5</v>
      </c>
      <c r="M890" t="inlineStr">
        <is>
          <t>2026-06-29 12:24:28</t>
        </is>
      </c>
      <c r="N890" t="inlineStr">
        <is>
          <t>system</t>
        </is>
      </c>
      <c r="O890" t="inlineStr">
        <is>
          <t>2026-06-17 14:10:06</t>
        </is>
      </c>
      <c r="P890" t="inlineStr">
        <is>
          <t>2026-06-17 14:10:06</t>
        </is>
      </c>
      <c r="Y890" t="inlineStr">
        <is>
          <t>27728561858</t>
        </is>
      </c>
    </row>
    <row r="891">
      <c r="A891" t="inlineStr">
        <is>
          <t>14921944</t>
        </is>
      </c>
      <c r="B891" t="inlineStr">
        <is>
          <t>283a6883-7b1f-4034-9dc8-b1db1481da55</t>
        </is>
      </c>
      <c r="D891" t="inlineStr">
        <is>
          <t>111111124</t>
        </is>
      </c>
      <c r="E891" t="inlineStr">
        <is>
          <t>Vodacom Life 20260617</t>
        </is>
      </c>
      <c r="G891" t="inlineStr">
        <is>
          <t>ABRAHAM</t>
        </is>
      </c>
      <c r="H891" t="inlineStr">
        <is>
          <t>VAN DEN BERG</t>
        </is>
      </c>
      <c r="J891" t="inlineStr">
        <is>
          <t>NA</t>
        </is>
      </c>
      <c r="K891" t="inlineStr">
        <is>
          <t>No Answer Autodial</t>
        </is>
      </c>
      <c r="L891" t="n">
        <v>5</v>
      </c>
      <c r="M891" t="inlineStr">
        <is>
          <t>2026-06-29 12:24:28</t>
        </is>
      </c>
      <c r="N891" t="inlineStr">
        <is>
          <t>system</t>
        </is>
      </c>
      <c r="O891" t="inlineStr">
        <is>
          <t>2026-06-17 14:10:06</t>
        </is>
      </c>
      <c r="P891" t="inlineStr">
        <is>
          <t>2026-06-17 14:10:06</t>
        </is>
      </c>
      <c r="Y891" t="inlineStr">
        <is>
          <t>27674069206</t>
        </is>
      </c>
    </row>
    <row r="892">
      <c r="A892" t="inlineStr">
        <is>
          <t>14921416</t>
        </is>
      </c>
      <c r="B892" t="inlineStr">
        <is>
          <t>2de1e3ef-5c7d-4c98-82c4-8eb941e3d068</t>
        </is>
      </c>
      <c r="D892" t="inlineStr">
        <is>
          <t>111111124</t>
        </is>
      </c>
      <c r="E892" t="inlineStr">
        <is>
          <t>Vodacom Life 20260617</t>
        </is>
      </c>
      <c r="G892" t="inlineStr">
        <is>
          <t>ZOLISWA</t>
        </is>
      </c>
      <c r="H892" t="inlineStr">
        <is>
          <t>NDAYI</t>
        </is>
      </c>
      <c r="J892" t="inlineStr">
        <is>
          <t>NA</t>
        </is>
      </c>
      <c r="K892" t="inlineStr">
        <is>
          <t>No Answer Autodial</t>
        </is>
      </c>
      <c r="L892" t="n">
        <v>5</v>
      </c>
      <c r="M892" t="inlineStr">
        <is>
          <t>2026-06-29 12:24:27</t>
        </is>
      </c>
      <c r="N892" t="inlineStr">
        <is>
          <t>system</t>
        </is>
      </c>
      <c r="O892" t="inlineStr">
        <is>
          <t>2026-06-17 14:10:06</t>
        </is>
      </c>
      <c r="P892" t="inlineStr">
        <is>
          <t>2026-06-17 14:10:06</t>
        </is>
      </c>
      <c r="Y892" t="inlineStr">
        <is>
          <t>27827183136</t>
        </is>
      </c>
    </row>
    <row r="893">
      <c r="A893" t="inlineStr">
        <is>
          <t>14921420</t>
        </is>
      </c>
      <c r="B893" t="inlineStr">
        <is>
          <t>906deaee-8e23-4280-bd8c-322d66aa7890</t>
        </is>
      </c>
      <c r="D893" t="inlineStr">
        <is>
          <t>111111124</t>
        </is>
      </c>
      <c r="E893" t="inlineStr">
        <is>
          <t>Vodacom Life 20260617</t>
        </is>
      </c>
      <c r="G893" t="inlineStr">
        <is>
          <t>MICHAEL</t>
        </is>
      </c>
      <c r="H893" t="inlineStr">
        <is>
          <t>SMEDA</t>
        </is>
      </c>
      <c r="J893" t="inlineStr">
        <is>
          <t>NA</t>
        </is>
      </c>
      <c r="K893" t="inlineStr">
        <is>
          <t>No Answer Autodial</t>
        </is>
      </c>
      <c r="L893" t="n">
        <v>5</v>
      </c>
      <c r="M893" t="inlineStr">
        <is>
          <t>2026-06-29 12:24:27</t>
        </is>
      </c>
      <c r="N893" t="inlineStr">
        <is>
          <t>system</t>
        </is>
      </c>
      <c r="O893" t="inlineStr">
        <is>
          <t>2026-06-17 14:10:06</t>
        </is>
      </c>
      <c r="P893" t="inlineStr">
        <is>
          <t>2026-06-17 14:10:06</t>
        </is>
      </c>
      <c r="Y893" t="inlineStr">
        <is>
          <t>27713801088</t>
        </is>
      </c>
    </row>
    <row r="894">
      <c r="A894" t="inlineStr">
        <is>
          <t>14921422</t>
        </is>
      </c>
      <c r="B894" t="inlineStr">
        <is>
          <t>3fb1cf22-be9d-4279-b80b-57d0b518428d</t>
        </is>
      </c>
      <c r="D894" t="inlineStr">
        <is>
          <t>111111124</t>
        </is>
      </c>
      <c r="E894" t="inlineStr">
        <is>
          <t>Vodacom Life 20260617</t>
        </is>
      </c>
      <c r="G894" t="inlineStr">
        <is>
          <t>RUAN</t>
        </is>
      </c>
      <c r="H894" t="inlineStr">
        <is>
          <t>DE LANGE</t>
        </is>
      </c>
      <c r="J894" t="inlineStr">
        <is>
          <t>NIUP</t>
        </is>
      </c>
      <c r="K894" t="inlineStr">
        <is>
          <t>Not Interested Upfront</t>
        </is>
      </c>
      <c r="L894" t="n">
        <v>5</v>
      </c>
      <c r="M894" t="inlineStr">
        <is>
          <t>2026-06-29 12:24:27</t>
        </is>
      </c>
      <c r="N894" t="inlineStr">
        <is>
          <t>Vanessa Kekana</t>
        </is>
      </c>
      <c r="O894" t="inlineStr">
        <is>
          <t>2026-06-17 14:10:06</t>
        </is>
      </c>
      <c r="P894" t="inlineStr">
        <is>
          <t>2026-06-17 14:10:06</t>
        </is>
      </c>
      <c r="Y894" t="inlineStr">
        <is>
          <t>27717972881</t>
        </is>
      </c>
    </row>
    <row r="895">
      <c r="A895" t="inlineStr">
        <is>
          <t>14921424</t>
        </is>
      </c>
      <c r="B895" t="inlineStr">
        <is>
          <t>57190602-b676-4429-b612-2f12ec0a5167</t>
        </is>
      </c>
      <c r="D895" t="inlineStr">
        <is>
          <t>111111124</t>
        </is>
      </c>
      <c r="E895" t="inlineStr">
        <is>
          <t>Vodacom Life 20260617</t>
        </is>
      </c>
      <c r="G895" t="inlineStr">
        <is>
          <t>KHAKHU</t>
        </is>
      </c>
      <c r="H895" t="inlineStr">
        <is>
          <t>SETJIE</t>
        </is>
      </c>
      <c r="J895" t="inlineStr">
        <is>
          <t>AE</t>
        </is>
      </c>
      <c r="K895" t="inlineStr">
        <is>
          <t>Auto Engaged</t>
        </is>
      </c>
      <c r="L895" t="n">
        <v>5</v>
      </c>
      <c r="M895" t="inlineStr">
        <is>
          <t>2026-06-29 12:24:25</t>
        </is>
      </c>
      <c r="N895" t="inlineStr">
        <is>
          <t>system</t>
        </is>
      </c>
      <c r="O895" t="inlineStr">
        <is>
          <t>2026-06-17 14:10:06</t>
        </is>
      </c>
      <c r="P895" t="inlineStr">
        <is>
          <t>2026-06-17 14:10:06</t>
        </is>
      </c>
      <c r="Y895" t="inlineStr">
        <is>
          <t>27774253131</t>
        </is>
      </c>
    </row>
    <row r="896">
      <c r="A896" t="inlineStr">
        <is>
          <t>14921426</t>
        </is>
      </c>
      <c r="B896" t="inlineStr">
        <is>
          <t>a7951c6e-a979-4989-9186-6add096c4049</t>
        </is>
      </c>
      <c r="D896" t="inlineStr">
        <is>
          <t>111111124</t>
        </is>
      </c>
      <c r="E896" t="inlineStr">
        <is>
          <t>Vodacom Life 20260617</t>
        </is>
      </c>
      <c r="G896" t="inlineStr">
        <is>
          <t>LYNDI</t>
        </is>
      </c>
      <c r="H896" t="inlineStr">
        <is>
          <t>SWANEPOEL</t>
        </is>
      </c>
      <c r="J896" t="inlineStr">
        <is>
          <t>AA</t>
        </is>
      </c>
      <c r="K896" t="inlineStr">
        <is>
          <t>Answering Machine Autodial</t>
        </is>
      </c>
      <c r="L896" t="n">
        <v>5</v>
      </c>
      <c r="M896" t="inlineStr">
        <is>
          <t>2026-06-29 12:24:02</t>
        </is>
      </c>
      <c r="N896" t="inlineStr">
        <is>
          <t>system</t>
        </is>
      </c>
      <c r="O896" t="inlineStr">
        <is>
          <t>2026-06-17 14:10:06</t>
        </is>
      </c>
      <c r="P896" t="inlineStr">
        <is>
          <t>2026-06-17 14:10:06</t>
        </is>
      </c>
      <c r="Y896" t="inlineStr">
        <is>
          <t>27722832334</t>
        </is>
      </c>
    </row>
    <row r="897">
      <c r="A897" t="inlineStr">
        <is>
          <t>14921427</t>
        </is>
      </c>
      <c r="B897" t="inlineStr">
        <is>
          <t>455dd202-5d51-4aed-b8dc-e53ca7b67bb9</t>
        </is>
      </c>
      <c r="D897" t="inlineStr">
        <is>
          <t>111111124</t>
        </is>
      </c>
      <c r="E897" t="inlineStr">
        <is>
          <t>Vodacom Life 20260617</t>
        </is>
      </c>
      <c r="G897" t="inlineStr">
        <is>
          <t>NTOMBOZUKO</t>
        </is>
      </c>
      <c r="H897" t="inlineStr">
        <is>
          <t>TSHANGELA</t>
        </is>
      </c>
      <c r="J897" t="inlineStr">
        <is>
          <t>AA</t>
        </is>
      </c>
      <c r="K897" t="inlineStr">
        <is>
          <t>Answering Machine Autodial</t>
        </is>
      </c>
      <c r="L897" t="n">
        <v>5</v>
      </c>
      <c r="M897" t="inlineStr">
        <is>
          <t>2026-06-29 12:23:57</t>
        </is>
      </c>
      <c r="N897" t="inlineStr">
        <is>
          <t>system</t>
        </is>
      </c>
      <c r="O897" t="inlineStr">
        <is>
          <t>2026-06-17 14:10:06</t>
        </is>
      </c>
      <c r="P897" t="inlineStr">
        <is>
          <t>2026-06-17 14:10:06</t>
        </is>
      </c>
      <c r="Y897" t="inlineStr">
        <is>
          <t>27725538444</t>
        </is>
      </c>
    </row>
    <row r="898">
      <c r="A898" t="inlineStr">
        <is>
          <t>14921946</t>
        </is>
      </c>
      <c r="B898" t="inlineStr">
        <is>
          <t>75665206-0c03-4dea-9aae-3dfeb83f5573</t>
        </is>
      </c>
      <c r="D898" t="inlineStr">
        <is>
          <t>111111124</t>
        </is>
      </c>
      <c r="E898" t="inlineStr">
        <is>
          <t>Vodacom Life 20260617</t>
        </is>
      </c>
      <c r="G898" t="inlineStr">
        <is>
          <t>NONHLANHLA</t>
        </is>
      </c>
      <c r="H898" t="inlineStr">
        <is>
          <t>MASEKO</t>
        </is>
      </c>
      <c r="J898" t="inlineStr">
        <is>
          <t>AA</t>
        </is>
      </c>
      <c r="K898" t="inlineStr">
        <is>
          <t>Answering Machine Autodial</t>
        </is>
      </c>
      <c r="L898" t="n">
        <v>5</v>
      </c>
      <c r="M898" t="inlineStr">
        <is>
          <t>2026-06-29 12:23:53</t>
        </is>
      </c>
      <c r="N898" t="inlineStr">
        <is>
          <t>system</t>
        </is>
      </c>
      <c r="O898" t="inlineStr">
        <is>
          <t>2026-06-17 14:10:06</t>
        </is>
      </c>
      <c r="P898" t="inlineStr">
        <is>
          <t>2026-06-17 14:10:06</t>
        </is>
      </c>
      <c r="Y898" t="inlineStr">
        <is>
          <t>27728466857</t>
        </is>
      </c>
    </row>
    <row r="899">
      <c r="A899" t="inlineStr">
        <is>
          <t>14921446</t>
        </is>
      </c>
      <c r="B899" t="inlineStr">
        <is>
          <t>403bb7c7-dff7-4811-8073-995054c281cb</t>
        </is>
      </c>
      <c r="D899" t="inlineStr">
        <is>
          <t>111111124</t>
        </is>
      </c>
      <c r="E899" t="inlineStr">
        <is>
          <t>Vodacom Life 20260617</t>
        </is>
      </c>
      <c r="G899" t="inlineStr">
        <is>
          <t>GERTRUIDA</t>
        </is>
      </c>
      <c r="H899" t="inlineStr">
        <is>
          <t>THEUNISSEN</t>
        </is>
      </c>
      <c r="J899" t="inlineStr">
        <is>
          <t>AE</t>
        </is>
      </c>
      <c r="K899" t="inlineStr">
        <is>
          <t>Auto Engaged</t>
        </is>
      </c>
      <c r="L899" t="n">
        <v>5</v>
      </c>
      <c r="M899" t="inlineStr">
        <is>
          <t>2026-06-29 12:23:50</t>
        </is>
      </c>
      <c r="N899" t="inlineStr">
        <is>
          <t>system</t>
        </is>
      </c>
      <c r="O899" t="inlineStr">
        <is>
          <t>2026-06-17 14:10:06</t>
        </is>
      </c>
      <c r="P899" t="inlineStr">
        <is>
          <t>2026-06-17 14:10:06</t>
        </is>
      </c>
      <c r="Y899" t="inlineStr">
        <is>
          <t>27823350017</t>
        </is>
      </c>
    </row>
    <row r="900">
      <c r="A900" t="inlineStr">
        <is>
          <t>14921447</t>
        </is>
      </c>
      <c r="B900" t="inlineStr">
        <is>
          <t>7fc30737-0827-4081-b2e1-8869acc48d64</t>
        </is>
      </c>
      <c r="D900" t="inlineStr">
        <is>
          <t>111111124</t>
        </is>
      </c>
      <c r="E900" t="inlineStr">
        <is>
          <t>Vodacom Life 20260617</t>
        </is>
      </c>
      <c r="G900" t="inlineStr">
        <is>
          <t>MAGDALENA</t>
        </is>
      </c>
      <c r="H900" t="inlineStr">
        <is>
          <t>LINTVELD</t>
        </is>
      </c>
      <c r="J900" t="inlineStr">
        <is>
          <t>AE</t>
        </is>
      </c>
      <c r="K900" t="inlineStr">
        <is>
          <t>Auto Engaged</t>
        </is>
      </c>
      <c r="L900" t="n">
        <v>5</v>
      </c>
      <c r="M900" t="inlineStr">
        <is>
          <t>2026-06-29 12:23:50</t>
        </is>
      </c>
      <c r="N900" t="inlineStr">
        <is>
          <t>system</t>
        </is>
      </c>
      <c r="O900" t="inlineStr">
        <is>
          <t>2026-06-17 14:10:06</t>
        </is>
      </c>
      <c r="P900" t="inlineStr">
        <is>
          <t>2026-06-17 14:10:06</t>
        </is>
      </c>
      <c r="Y900" t="inlineStr">
        <is>
          <t>27729092193</t>
        </is>
      </c>
    </row>
    <row r="901">
      <c r="A901" t="inlineStr">
        <is>
          <t>14921449</t>
        </is>
      </c>
      <c r="B901" t="inlineStr">
        <is>
          <t>bc7da1f0-aa6d-4fa7-8bde-a08d4af2b22a</t>
        </is>
      </c>
      <c r="D901" t="inlineStr">
        <is>
          <t>111111124</t>
        </is>
      </c>
      <c r="E901" t="inlineStr">
        <is>
          <t>Vodacom Life 20260617</t>
        </is>
      </c>
      <c r="G901" t="inlineStr">
        <is>
          <t>KHULEKANI</t>
        </is>
      </c>
      <c r="H901" t="inlineStr">
        <is>
          <t>DUMAKUDE</t>
        </is>
      </c>
      <c r="J901" t="inlineStr">
        <is>
          <t>AA</t>
        </is>
      </c>
      <c r="K901" t="inlineStr">
        <is>
          <t>Answering Machine Autodial</t>
        </is>
      </c>
      <c r="L901" t="n">
        <v>5</v>
      </c>
      <c r="M901" t="inlineStr">
        <is>
          <t>2026-06-29 12:23:48</t>
        </is>
      </c>
      <c r="N901" t="inlineStr">
        <is>
          <t>system</t>
        </is>
      </c>
      <c r="O901" t="inlineStr">
        <is>
          <t>2026-06-17 14:10:06</t>
        </is>
      </c>
      <c r="P901" t="inlineStr">
        <is>
          <t>2026-06-17 14:10:06</t>
        </is>
      </c>
      <c r="Y901" t="inlineStr">
        <is>
          <t>27715622227</t>
        </is>
      </c>
    </row>
    <row r="902">
      <c r="A902" t="inlineStr">
        <is>
          <t>14921450</t>
        </is>
      </c>
      <c r="B902" t="inlineStr">
        <is>
          <t>3633bab8-4bca-4e7f-b75a-1e0fb6bbe5c3</t>
        </is>
      </c>
      <c r="D902" t="inlineStr">
        <is>
          <t>111111124</t>
        </is>
      </c>
      <c r="E902" t="inlineStr">
        <is>
          <t>Vodacom Life 20260617</t>
        </is>
      </c>
      <c r="G902" t="inlineStr">
        <is>
          <t>NOMONDE</t>
        </is>
      </c>
      <c r="H902" t="inlineStr">
        <is>
          <t>GQOMORO</t>
        </is>
      </c>
      <c r="J902" t="inlineStr">
        <is>
          <t>AE</t>
        </is>
      </c>
      <c r="K902" t="inlineStr">
        <is>
          <t>Auto Engaged</t>
        </is>
      </c>
      <c r="L902" t="n">
        <v>5</v>
      </c>
      <c r="M902" t="inlineStr">
        <is>
          <t>2026-06-29 12:23:47</t>
        </is>
      </c>
      <c r="N902" t="inlineStr">
        <is>
          <t>system</t>
        </is>
      </c>
      <c r="O902" t="inlineStr">
        <is>
          <t>2026-06-17 14:10:06</t>
        </is>
      </c>
      <c r="P902" t="inlineStr">
        <is>
          <t>2026-06-17 14:10:06</t>
        </is>
      </c>
      <c r="Y902" t="inlineStr">
        <is>
          <t>27824766193</t>
        </is>
      </c>
    </row>
    <row r="903">
      <c r="A903" t="inlineStr">
        <is>
          <t>14921451</t>
        </is>
      </c>
      <c r="B903" t="inlineStr">
        <is>
          <t>47849ee8-2633-4d8b-98ad-4f8dec1c44f9</t>
        </is>
      </c>
      <c r="D903" t="inlineStr">
        <is>
          <t>111111124</t>
        </is>
      </c>
      <c r="E903" t="inlineStr">
        <is>
          <t>Vodacom Life 20260617</t>
        </is>
      </c>
      <c r="G903" t="inlineStr">
        <is>
          <t>WHITNEY</t>
        </is>
      </c>
      <c r="H903" t="inlineStr">
        <is>
          <t>NYL</t>
        </is>
      </c>
      <c r="J903" t="inlineStr">
        <is>
          <t>AE</t>
        </is>
      </c>
      <c r="K903" t="inlineStr">
        <is>
          <t>Auto Engaged</t>
        </is>
      </c>
      <c r="L903" t="n">
        <v>5</v>
      </c>
      <c r="M903" t="inlineStr">
        <is>
          <t>2026-06-29 12:23:42</t>
        </is>
      </c>
      <c r="N903" t="inlineStr">
        <is>
          <t>system</t>
        </is>
      </c>
      <c r="O903" t="inlineStr">
        <is>
          <t>2026-06-17 14:10:06</t>
        </is>
      </c>
      <c r="P903" t="inlineStr">
        <is>
          <t>2026-06-17 14:10:06</t>
        </is>
      </c>
      <c r="Y903" t="inlineStr">
        <is>
          <t>27726169963</t>
        </is>
      </c>
    </row>
    <row r="904">
      <c r="A904" t="inlineStr">
        <is>
          <t>14921453</t>
        </is>
      </c>
      <c r="B904" t="inlineStr">
        <is>
          <t>7cde715d-19a0-49db-816a-f50ffe268923</t>
        </is>
      </c>
      <c r="D904" t="inlineStr">
        <is>
          <t>111111124</t>
        </is>
      </c>
      <c r="E904" t="inlineStr">
        <is>
          <t>Vodacom Life 20260617</t>
        </is>
      </c>
      <c r="G904" t="inlineStr">
        <is>
          <t>NATASHA</t>
        </is>
      </c>
      <c r="H904" t="inlineStr">
        <is>
          <t>PEACH</t>
        </is>
      </c>
      <c r="J904" t="inlineStr">
        <is>
          <t>AE</t>
        </is>
      </c>
      <c r="K904" t="inlineStr">
        <is>
          <t>Auto Engaged</t>
        </is>
      </c>
      <c r="L904" t="n">
        <v>5</v>
      </c>
      <c r="M904" t="inlineStr">
        <is>
          <t>2026-06-29 12:23:39</t>
        </is>
      </c>
      <c r="N904" t="inlineStr">
        <is>
          <t>system</t>
        </is>
      </c>
      <c r="O904" t="inlineStr">
        <is>
          <t>2026-06-17 14:10:06</t>
        </is>
      </c>
      <c r="P904" t="inlineStr">
        <is>
          <t>2026-06-17 14:10:06</t>
        </is>
      </c>
      <c r="Y904" t="inlineStr">
        <is>
          <t>27790127821</t>
        </is>
      </c>
    </row>
    <row r="905">
      <c r="A905" t="inlineStr">
        <is>
          <t>14921454</t>
        </is>
      </c>
      <c r="B905" t="inlineStr">
        <is>
          <t>8eab7533-196c-4a52-a77c-b3f1497298a6</t>
        </is>
      </c>
      <c r="D905" t="inlineStr">
        <is>
          <t>111111124</t>
        </is>
      </c>
      <c r="E905" t="inlineStr">
        <is>
          <t>Vodacom Life 20260617</t>
        </is>
      </c>
      <c r="G905" t="inlineStr">
        <is>
          <t>KAMOGELO</t>
        </is>
      </c>
      <c r="H905" t="inlineStr">
        <is>
          <t>XABA</t>
        </is>
      </c>
      <c r="J905" t="inlineStr">
        <is>
          <t>AA</t>
        </is>
      </c>
      <c r="K905" t="inlineStr">
        <is>
          <t>Answering Machine Autodial</t>
        </is>
      </c>
      <c r="L905" t="n">
        <v>5</v>
      </c>
      <c r="M905" t="inlineStr">
        <is>
          <t>2026-06-29 12:23:31</t>
        </is>
      </c>
      <c r="N905" t="inlineStr">
        <is>
          <t>system</t>
        </is>
      </c>
      <c r="O905" t="inlineStr">
        <is>
          <t>2026-06-17 14:10:06</t>
        </is>
      </c>
      <c r="P905" t="inlineStr">
        <is>
          <t>2026-06-17 14:10:06</t>
        </is>
      </c>
      <c r="Y905" t="inlineStr">
        <is>
          <t>27824458081</t>
        </is>
      </c>
    </row>
    <row r="906">
      <c r="A906" t="inlineStr">
        <is>
          <t>14921455</t>
        </is>
      </c>
      <c r="B906" t="inlineStr">
        <is>
          <t>0d2ab766-dd24-4e9b-af2e-27674c69c37f</t>
        </is>
      </c>
      <c r="D906" t="inlineStr">
        <is>
          <t>111111124</t>
        </is>
      </c>
      <c r="E906" t="inlineStr">
        <is>
          <t>Vodacom Life 20260617</t>
        </is>
      </c>
      <c r="G906" t="inlineStr">
        <is>
          <t>JUAN</t>
        </is>
      </c>
      <c r="H906" t="inlineStr">
        <is>
          <t>JOUBERT</t>
        </is>
      </c>
      <c r="J906" t="inlineStr">
        <is>
          <t>AA</t>
        </is>
      </c>
      <c r="K906" t="inlineStr">
        <is>
          <t>Answering Machine Autodial</t>
        </is>
      </c>
      <c r="L906" t="n">
        <v>5</v>
      </c>
      <c r="M906" t="inlineStr">
        <is>
          <t>2026-06-29 12:23:30</t>
        </is>
      </c>
      <c r="N906" t="inlineStr">
        <is>
          <t>system</t>
        </is>
      </c>
      <c r="O906" t="inlineStr">
        <is>
          <t>2026-06-17 14:10:06</t>
        </is>
      </c>
      <c r="P906" t="inlineStr">
        <is>
          <t>2026-06-17 14:10:06</t>
        </is>
      </c>
      <c r="Y906" t="inlineStr">
        <is>
          <t>27662926348</t>
        </is>
      </c>
    </row>
    <row r="907">
      <c r="A907" t="inlineStr">
        <is>
          <t>14921473</t>
        </is>
      </c>
      <c r="B907" t="inlineStr">
        <is>
          <t>a26a0e01-9e11-4d67-853c-7eb1f0b32cda</t>
        </is>
      </c>
      <c r="D907" t="inlineStr">
        <is>
          <t>111111124</t>
        </is>
      </c>
      <c r="E907" t="inlineStr">
        <is>
          <t>Vodacom Life 20260617</t>
        </is>
      </c>
      <c r="G907" t="inlineStr">
        <is>
          <t>CHERTH</t>
        </is>
      </c>
      <c r="H907" t="inlineStr">
        <is>
          <t>MENTON</t>
        </is>
      </c>
      <c r="J907" t="inlineStr">
        <is>
          <t>AE</t>
        </is>
      </c>
      <c r="K907" t="inlineStr">
        <is>
          <t>Auto Engaged</t>
        </is>
      </c>
      <c r="L907" t="n">
        <v>5</v>
      </c>
      <c r="M907" t="inlineStr">
        <is>
          <t>2026-06-29 12:23:30</t>
        </is>
      </c>
      <c r="N907" t="inlineStr">
        <is>
          <t>system</t>
        </is>
      </c>
      <c r="O907" t="inlineStr">
        <is>
          <t>2026-06-17 14:10:06</t>
        </is>
      </c>
      <c r="P907" t="inlineStr">
        <is>
          <t>2026-06-17 14:10:06</t>
        </is>
      </c>
      <c r="Y907" t="inlineStr">
        <is>
          <t>27762641864</t>
        </is>
      </c>
    </row>
    <row r="908">
      <c r="A908" t="inlineStr">
        <is>
          <t>14921492</t>
        </is>
      </c>
      <c r="B908" t="inlineStr">
        <is>
          <t>042065cc-189c-48b7-af2e-2276ce091248</t>
        </is>
      </c>
      <c r="D908" t="inlineStr">
        <is>
          <t>111111124</t>
        </is>
      </c>
      <c r="E908" t="inlineStr">
        <is>
          <t>Vodacom Life 20260617</t>
        </is>
      </c>
      <c r="G908" t="inlineStr">
        <is>
          <t>CHARNE</t>
        </is>
      </c>
      <c r="H908" t="inlineStr">
        <is>
          <t>MARAIS</t>
        </is>
      </c>
      <c r="J908" t="inlineStr">
        <is>
          <t>CU</t>
        </is>
      </c>
      <c r="K908" t="inlineStr">
        <is>
          <t>Client Hung Up</t>
        </is>
      </c>
      <c r="L908" t="n">
        <v>5</v>
      </c>
      <c r="M908" t="inlineStr">
        <is>
          <t>2026-06-29 12:23:30</t>
        </is>
      </c>
      <c r="N908" t="inlineStr">
        <is>
          <t>Musiiwa Mary Mabirimisa</t>
        </is>
      </c>
      <c r="O908" t="inlineStr">
        <is>
          <t>2026-06-17 14:10:06</t>
        </is>
      </c>
      <c r="P908" t="inlineStr">
        <is>
          <t>2026-06-17 14:10:06</t>
        </is>
      </c>
      <c r="Y908" t="inlineStr">
        <is>
          <t>27714613209</t>
        </is>
      </c>
    </row>
    <row r="909">
      <c r="A909" t="inlineStr">
        <is>
          <t>14921947</t>
        </is>
      </c>
      <c r="B909" t="inlineStr">
        <is>
          <t>779c1043-9067-4276-8c5b-308ce1e71184</t>
        </is>
      </c>
      <c r="D909" t="inlineStr">
        <is>
          <t>111111124</t>
        </is>
      </c>
      <c r="E909" t="inlineStr">
        <is>
          <t>Vodacom Life 20260617</t>
        </is>
      </c>
      <c r="G909" t="inlineStr">
        <is>
          <t>VUMAZONKE</t>
        </is>
      </c>
      <c r="H909" t="inlineStr">
        <is>
          <t>MDLETSHE</t>
        </is>
      </c>
      <c r="J909" t="inlineStr">
        <is>
          <t>NA</t>
        </is>
      </c>
      <c r="K909" t="inlineStr">
        <is>
          <t>No Answer Autodial</t>
        </is>
      </c>
      <c r="L909" t="n">
        <v>5</v>
      </c>
      <c r="M909" t="inlineStr">
        <is>
          <t>2026-06-29 12:23:30</t>
        </is>
      </c>
      <c r="N909" t="inlineStr">
        <is>
          <t>system</t>
        </is>
      </c>
      <c r="O909" t="inlineStr">
        <is>
          <t>2026-06-17 14:10:06</t>
        </is>
      </c>
      <c r="P909" t="inlineStr">
        <is>
          <t>2026-06-17 14:10:06</t>
        </is>
      </c>
      <c r="Y909" t="inlineStr">
        <is>
          <t>27720474168</t>
        </is>
      </c>
    </row>
    <row r="910">
      <c r="A910" t="inlineStr">
        <is>
          <t>14921457</t>
        </is>
      </c>
      <c r="B910" t="inlineStr">
        <is>
          <t>49cac297-cc71-4b34-9ea8-6d4b891e3eff</t>
        </is>
      </c>
      <c r="D910" t="inlineStr">
        <is>
          <t>111111124</t>
        </is>
      </c>
      <c r="E910" t="inlineStr">
        <is>
          <t>Vodacom Life 20260617</t>
        </is>
      </c>
      <c r="G910" t="inlineStr">
        <is>
          <t>GAKANTSWANE</t>
        </is>
      </c>
      <c r="H910" t="inlineStr">
        <is>
          <t>MABELA</t>
        </is>
      </c>
      <c r="J910" t="inlineStr">
        <is>
          <t>IABDN</t>
        </is>
      </c>
      <c r="K910" t="inlineStr">
        <is>
          <t>Inbound Abandon</t>
        </is>
      </c>
      <c r="L910" t="n">
        <v>5</v>
      </c>
      <c r="M910" t="inlineStr">
        <is>
          <t>2026-06-29 12:20:55</t>
        </is>
      </c>
      <c r="N910" t="inlineStr">
        <is>
          <t>system</t>
        </is>
      </c>
      <c r="O910" t="inlineStr">
        <is>
          <t>2026-06-17 14:10:06</t>
        </is>
      </c>
      <c r="P910" t="inlineStr">
        <is>
          <t>2026-06-17 14:10:06</t>
        </is>
      </c>
      <c r="Y910" t="inlineStr">
        <is>
          <t>27636201814</t>
        </is>
      </c>
    </row>
    <row r="911">
      <c r="A911" t="inlineStr">
        <is>
          <t>14921466</t>
        </is>
      </c>
      <c r="B911" t="inlineStr">
        <is>
          <t>d8501a72-9f1d-4a7a-92fe-317cddf3c266</t>
        </is>
      </c>
      <c r="D911" t="inlineStr">
        <is>
          <t>111111124</t>
        </is>
      </c>
      <c r="E911" t="inlineStr">
        <is>
          <t>Vodacom Life 20260617</t>
        </is>
      </c>
      <c r="G911" t="inlineStr">
        <is>
          <t>GILLIAN</t>
        </is>
      </c>
      <c r="H911" t="inlineStr">
        <is>
          <t>COULTER</t>
        </is>
      </c>
      <c r="J911" t="inlineStr">
        <is>
          <t>DROP</t>
        </is>
      </c>
      <c r="K911" t="inlineStr">
        <is>
          <t>Dropped</t>
        </is>
      </c>
      <c r="L911" t="n">
        <v>5</v>
      </c>
      <c r="M911" t="inlineStr">
        <is>
          <t>2026-06-29 12:20:29</t>
        </is>
      </c>
      <c r="N911" t="inlineStr">
        <is>
          <t>system</t>
        </is>
      </c>
      <c r="O911" t="inlineStr">
        <is>
          <t>2026-06-17 14:10:06</t>
        </is>
      </c>
      <c r="P911" t="inlineStr">
        <is>
          <t>2026-06-17 14:10:06</t>
        </is>
      </c>
      <c r="Y911" t="inlineStr">
        <is>
          <t>27793525103</t>
        </is>
      </c>
    </row>
    <row r="912">
      <c r="A912" t="inlineStr">
        <is>
          <t>14921468</t>
        </is>
      </c>
      <c r="B912" t="inlineStr">
        <is>
          <t>67e54ee2-7b80-4e9e-bce5-15eb3168a9a6</t>
        </is>
      </c>
      <c r="D912" t="inlineStr">
        <is>
          <t>111111124</t>
        </is>
      </c>
      <c r="E912" t="inlineStr">
        <is>
          <t>Vodacom Life 20260617</t>
        </is>
      </c>
      <c r="G912" t="inlineStr">
        <is>
          <t>MAPUDI</t>
        </is>
      </c>
      <c r="H912" t="inlineStr">
        <is>
          <t>MPHAHLELE</t>
        </is>
      </c>
      <c r="J912" t="inlineStr">
        <is>
          <t>DROP</t>
        </is>
      </c>
      <c r="K912" t="inlineStr">
        <is>
          <t>Dropped</t>
        </is>
      </c>
      <c r="L912" t="n">
        <v>5</v>
      </c>
      <c r="M912" t="inlineStr">
        <is>
          <t>2026-06-29 12:20:27</t>
        </is>
      </c>
      <c r="N912" t="inlineStr">
        <is>
          <t>system</t>
        </is>
      </c>
      <c r="O912" t="inlineStr">
        <is>
          <t>2026-06-17 14:10:06</t>
        </is>
      </c>
      <c r="P912" t="inlineStr">
        <is>
          <t>2026-06-17 14:10:06</t>
        </is>
      </c>
      <c r="Y912" t="inlineStr">
        <is>
          <t>27663504310</t>
        </is>
      </c>
    </row>
    <row r="913">
      <c r="A913" t="inlineStr">
        <is>
          <t>14921950</t>
        </is>
      </c>
      <c r="B913" t="inlineStr">
        <is>
          <t>9f1a563f-5717-4e09-a8cc-b64c3cc934ca</t>
        </is>
      </c>
      <c r="D913" t="inlineStr">
        <is>
          <t>111111124</t>
        </is>
      </c>
      <c r="E913" t="inlineStr">
        <is>
          <t>Vodacom Life 20260617</t>
        </is>
      </c>
      <c r="G913" t="inlineStr">
        <is>
          <t>LWAZILWAKHE</t>
        </is>
      </c>
      <c r="H913" t="inlineStr">
        <is>
          <t>ZULU</t>
        </is>
      </c>
      <c r="J913" t="inlineStr">
        <is>
          <t>AA</t>
        </is>
      </c>
      <c r="K913" t="inlineStr">
        <is>
          <t>Answering Machine Autodial</t>
        </is>
      </c>
      <c r="L913" t="n">
        <v>5</v>
      </c>
      <c r="M913" t="inlineStr">
        <is>
          <t>2026-06-29 12:20:27</t>
        </is>
      </c>
      <c r="N913" t="inlineStr">
        <is>
          <t>system</t>
        </is>
      </c>
      <c r="O913" t="inlineStr">
        <is>
          <t>2026-06-17 14:10:06</t>
        </is>
      </c>
      <c r="P913" t="inlineStr">
        <is>
          <t>2026-06-17 14:10:06</t>
        </is>
      </c>
      <c r="Y913" t="inlineStr">
        <is>
          <t>27728802266</t>
        </is>
      </c>
    </row>
    <row r="914">
      <c r="A914" t="inlineStr">
        <is>
          <t>14921469</t>
        </is>
      </c>
      <c r="B914" t="inlineStr">
        <is>
          <t>cdae4c4f-bc00-4283-ad9e-be41cea1539b</t>
        </is>
      </c>
      <c r="D914" t="inlineStr">
        <is>
          <t>111111124</t>
        </is>
      </c>
      <c r="E914" t="inlineStr">
        <is>
          <t>Vodacom Life 20260617</t>
        </is>
      </c>
      <c r="G914" t="inlineStr">
        <is>
          <t>NONTANDA</t>
        </is>
      </c>
      <c r="H914" t="inlineStr">
        <is>
          <t>MBANGENI</t>
        </is>
      </c>
      <c r="J914" t="inlineStr">
        <is>
          <t>AA</t>
        </is>
      </c>
      <c r="K914" t="inlineStr">
        <is>
          <t>Answering Machine Autodial</t>
        </is>
      </c>
      <c r="L914" t="n">
        <v>5</v>
      </c>
      <c r="M914" t="inlineStr">
        <is>
          <t>2026-06-29 12:20:26</t>
        </is>
      </c>
      <c r="N914" t="inlineStr">
        <is>
          <t>system</t>
        </is>
      </c>
      <c r="O914" t="inlineStr">
        <is>
          <t>2026-06-17 14:10:06</t>
        </is>
      </c>
      <c r="P914" t="inlineStr">
        <is>
          <t>2026-06-17 14:10:06</t>
        </is>
      </c>
      <c r="Y914" t="inlineStr">
        <is>
          <t>27760345027</t>
        </is>
      </c>
    </row>
    <row r="915">
      <c r="A915" t="inlineStr">
        <is>
          <t>14921470</t>
        </is>
      </c>
      <c r="B915" t="inlineStr">
        <is>
          <t>4df621ae-5a30-493c-ad34-241619a11869</t>
        </is>
      </c>
      <c r="D915" t="inlineStr">
        <is>
          <t>111111124</t>
        </is>
      </c>
      <c r="E915" t="inlineStr">
        <is>
          <t>Vodacom Life 20260617</t>
        </is>
      </c>
      <c r="G915" t="inlineStr">
        <is>
          <t>XIKOMBISO</t>
        </is>
      </c>
      <c r="H915" t="inlineStr">
        <is>
          <t>KHOSA</t>
        </is>
      </c>
      <c r="J915" t="inlineStr">
        <is>
          <t>AE</t>
        </is>
      </c>
      <c r="K915" t="inlineStr">
        <is>
          <t>Auto Engaged</t>
        </is>
      </c>
      <c r="L915" t="n">
        <v>5</v>
      </c>
      <c r="M915" t="inlineStr">
        <is>
          <t>2026-06-29 12:20:26</t>
        </is>
      </c>
      <c r="N915" t="inlineStr">
        <is>
          <t>system</t>
        </is>
      </c>
      <c r="O915" t="inlineStr">
        <is>
          <t>2026-06-17 14:10:06</t>
        </is>
      </c>
      <c r="P915" t="inlineStr">
        <is>
          <t>2026-06-17 14:10:06</t>
        </is>
      </c>
      <c r="Y915" t="inlineStr">
        <is>
          <t>27793097498</t>
        </is>
      </c>
    </row>
    <row r="916">
      <c r="A916" t="inlineStr">
        <is>
          <t>14921953</t>
        </is>
      </c>
      <c r="B916" t="inlineStr">
        <is>
          <t>47139ffd-e9cd-4b23-8ded-572187c2ac18</t>
        </is>
      </c>
      <c r="D916" t="inlineStr">
        <is>
          <t>111111124</t>
        </is>
      </c>
      <c r="E916" t="inlineStr">
        <is>
          <t>Vodacom Life 20260617</t>
        </is>
      </c>
      <c r="G916" t="inlineStr">
        <is>
          <t>SPHEPHELO</t>
        </is>
      </c>
      <c r="H916" t="inlineStr">
        <is>
          <t>CELE</t>
        </is>
      </c>
      <c r="J916" t="inlineStr">
        <is>
          <t>IABDN</t>
        </is>
      </c>
      <c r="K916" t="inlineStr">
        <is>
          <t>Inbound Abandon</t>
        </is>
      </c>
      <c r="L916" t="n">
        <v>5</v>
      </c>
      <c r="M916" t="inlineStr">
        <is>
          <t>2026-06-29 12:19:48</t>
        </is>
      </c>
      <c r="N916" t="inlineStr">
        <is>
          <t>system</t>
        </is>
      </c>
      <c r="O916" t="inlineStr">
        <is>
          <t>2026-06-17 14:10:06</t>
        </is>
      </c>
      <c r="P916" t="inlineStr">
        <is>
          <t>2026-06-17 14:10:06</t>
        </is>
      </c>
      <c r="Y916" t="inlineStr">
        <is>
          <t>27662729917</t>
        </is>
      </c>
    </row>
    <row r="917">
      <c r="A917" t="inlineStr">
        <is>
          <t>14921471</t>
        </is>
      </c>
      <c r="B917" t="inlineStr">
        <is>
          <t>7b0d44f7-f395-41a1-b6b2-7e7ac300cc33</t>
        </is>
      </c>
      <c r="D917" t="inlineStr">
        <is>
          <t>111111124</t>
        </is>
      </c>
      <c r="E917" t="inlineStr">
        <is>
          <t>Vodacom Life 20260617</t>
        </is>
      </c>
      <c r="G917" t="inlineStr">
        <is>
          <t>SISEKO</t>
        </is>
      </c>
      <c r="H917" t="inlineStr">
        <is>
          <t>DLOKOLO</t>
        </is>
      </c>
      <c r="J917" t="inlineStr">
        <is>
          <t>AA</t>
        </is>
      </c>
      <c r="K917" t="inlineStr">
        <is>
          <t>Answering Machine Autodial</t>
        </is>
      </c>
      <c r="L917" t="n">
        <v>5</v>
      </c>
      <c r="M917" t="inlineStr">
        <is>
          <t>2026-06-29 12:19:33</t>
        </is>
      </c>
      <c r="N917" t="inlineStr">
        <is>
          <t>system</t>
        </is>
      </c>
      <c r="O917" t="inlineStr">
        <is>
          <t>2026-06-17 14:10:06</t>
        </is>
      </c>
      <c r="P917" t="inlineStr">
        <is>
          <t>2026-06-17 14:10:06</t>
        </is>
      </c>
      <c r="Y917" t="inlineStr">
        <is>
          <t>27764408401</t>
        </is>
      </c>
    </row>
    <row r="918">
      <c r="A918" t="inlineStr">
        <is>
          <t>14921428</t>
        </is>
      </c>
      <c r="B918" t="inlineStr">
        <is>
          <t>97d6f2bb-aa8a-4d79-8f71-46618b9f46b5</t>
        </is>
      </c>
      <c r="D918" t="inlineStr">
        <is>
          <t>111111124</t>
        </is>
      </c>
      <c r="E918" t="inlineStr">
        <is>
          <t>Vodacom Life 20260617</t>
        </is>
      </c>
      <c r="G918" t="inlineStr">
        <is>
          <t>SALA</t>
        </is>
      </c>
      <c r="H918" t="inlineStr">
        <is>
          <t>KIBASOMBA</t>
        </is>
      </c>
      <c r="J918" t="inlineStr">
        <is>
          <t>AA</t>
        </is>
      </c>
      <c r="K918" t="inlineStr">
        <is>
          <t>Answering Machine Autodial</t>
        </is>
      </c>
      <c r="L918" t="n">
        <v>5</v>
      </c>
      <c r="M918" t="inlineStr">
        <is>
          <t>2026-06-29 12:19:23</t>
        </is>
      </c>
      <c r="N918" t="inlineStr">
        <is>
          <t>system</t>
        </is>
      </c>
      <c r="O918" t="inlineStr">
        <is>
          <t>2026-06-17 14:10:06</t>
        </is>
      </c>
      <c r="P918" t="inlineStr">
        <is>
          <t>2026-06-17 14:10:06</t>
        </is>
      </c>
      <c r="Y918" t="inlineStr">
        <is>
          <t>27824410810</t>
        </is>
      </c>
    </row>
    <row r="919">
      <c r="A919" t="inlineStr">
        <is>
          <t>14921429</t>
        </is>
      </c>
      <c r="B919" t="inlineStr">
        <is>
          <t>3372ae5c-2d27-47b5-b6c8-7bec5767e193</t>
        </is>
      </c>
      <c r="D919" t="inlineStr">
        <is>
          <t>111111124</t>
        </is>
      </c>
      <c r="E919" t="inlineStr">
        <is>
          <t>Vodacom Life 20260617</t>
        </is>
      </c>
      <c r="G919" t="inlineStr">
        <is>
          <t>KHOLOFELO</t>
        </is>
      </c>
      <c r="H919" t="inlineStr">
        <is>
          <t>MAKUA</t>
        </is>
      </c>
      <c r="J919" t="inlineStr">
        <is>
          <t>NA</t>
        </is>
      </c>
      <c r="K919" t="inlineStr">
        <is>
          <t>No Answer Autodial</t>
        </is>
      </c>
      <c r="L919" t="n">
        <v>5</v>
      </c>
      <c r="M919" t="inlineStr">
        <is>
          <t>2026-06-29 12:19:22</t>
        </is>
      </c>
      <c r="N919" t="inlineStr">
        <is>
          <t>system</t>
        </is>
      </c>
      <c r="O919" t="inlineStr">
        <is>
          <t>2026-06-17 14:10:06</t>
        </is>
      </c>
      <c r="P919" t="inlineStr">
        <is>
          <t>2026-06-17 14:10:06</t>
        </is>
      </c>
      <c r="Y919" t="inlineStr">
        <is>
          <t>27607883095</t>
        </is>
      </c>
    </row>
    <row r="920">
      <c r="A920" t="inlineStr">
        <is>
          <t>14921430</t>
        </is>
      </c>
      <c r="B920" t="inlineStr">
        <is>
          <t>2d6bf5f7-b67d-4cdb-8c99-9b0ec4933bd2</t>
        </is>
      </c>
      <c r="D920" t="inlineStr">
        <is>
          <t>111111124</t>
        </is>
      </c>
      <c r="E920" t="inlineStr">
        <is>
          <t>Vodacom Life 20260617</t>
        </is>
      </c>
      <c r="G920" t="inlineStr">
        <is>
          <t>MARINDA</t>
        </is>
      </c>
      <c r="H920" t="inlineStr">
        <is>
          <t>SAAYMAN</t>
        </is>
      </c>
      <c r="J920" t="inlineStr">
        <is>
          <t>CU</t>
        </is>
      </c>
      <c r="K920" t="inlineStr">
        <is>
          <t>Client Hung Up</t>
        </is>
      </c>
      <c r="L920" t="n">
        <v>5</v>
      </c>
      <c r="M920" t="inlineStr">
        <is>
          <t>2026-06-29 12:19:22</t>
        </is>
      </c>
      <c r="N920" t="inlineStr">
        <is>
          <t>Musiiwa Mary Mabirimisa</t>
        </is>
      </c>
      <c r="O920" t="inlineStr">
        <is>
          <t>2026-06-17 14:10:06</t>
        </is>
      </c>
      <c r="P920" t="inlineStr">
        <is>
          <t>2026-06-17 14:10:06</t>
        </is>
      </c>
      <c r="Y920" t="inlineStr">
        <is>
          <t>27825955382</t>
        </is>
      </c>
    </row>
    <row r="921">
      <c r="A921" t="inlineStr">
        <is>
          <t>14921431</t>
        </is>
      </c>
      <c r="B921" t="inlineStr">
        <is>
          <t>36d3611a-b302-460f-9e66-09d680366914</t>
        </is>
      </c>
      <c r="D921" t="inlineStr">
        <is>
          <t>111111124</t>
        </is>
      </c>
      <c r="E921" t="inlineStr">
        <is>
          <t>Vodacom Life 20260617</t>
        </is>
      </c>
      <c r="G921" t="inlineStr">
        <is>
          <t>P</t>
        </is>
      </c>
      <c r="H921" t="inlineStr">
        <is>
          <t>MITCHEL</t>
        </is>
      </c>
      <c r="J921" t="inlineStr">
        <is>
          <t>AA</t>
        </is>
      </c>
      <c r="K921" t="inlineStr">
        <is>
          <t>Answering Machine Autodial</t>
        </is>
      </c>
      <c r="L921" t="n">
        <v>5</v>
      </c>
      <c r="M921" t="inlineStr">
        <is>
          <t>2026-06-29 12:18:36</t>
        </is>
      </c>
      <c r="N921" t="inlineStr">
        <is>
          <t>system</t>
        </is>
      </c>
      <c r="O921" t="inlineStr">
        <is>
          <t>2026-06-17 14:10:06</t>
        </is>
      </c>
      <c r="P921" t="inlineStr">
        <is>
          <t>2026-06-17 14:10:06</t>
        </is>
      </c>
      <c r="Y921" t="inlineStr">
        <is>
          <t>27826572931</t>
        </is>
      </c>
    </row>
    <row r="922">
      <c r="A922" t="inlineStr">
        <is>
          <t>14921432</t>
        </is>
      </c>
      <c r="B922" t="inlineStr">
        <is>
          <t>5f5b58fb-4f25-4d8e-862c-2b499fcf1088</t>
        </is>
      </c>
      <c r="D922" t="inlineStr">
        <is>
          <t>111111124</t>
        </is>
      </c>
      <c r="E922" t="inlineStr">
        <is>
          <t>Vodacom Life 20260617</t>
        </is>
      </c>
      <c r="G922" t="inlineStr">
        <is>
          <t>ANITHAR</t>
        </is>
      </c>
      <c r="H922" t="inlineStr">
        <is>
          <t>KUNI</t>
        </is>
      </c>
      <c r="J922" t="inlineStr">
        <is>
          <t>DROP</t>
        </is>
      </c>
      <c r="K922" t="inlineStr">
        <is>
          <t>Dropped</t>
        </is>
      </c>
      <c r="L922" t="n">
        <v>5</v>
      </c>
      <c r="M922" t="inlineStr">
        <is>
          <t>2026-06-29 12:18:35</t>
        </is>
      </c>
      <c r="N922" t="inlineStr">
        <is>
          <t>system</t>
        </is>
      </c>
      <c r="O922" t="inlineStr">
        <is>
          <t>2026-06-17 14:10:06</t>
        </is>
      </c>
      <c r="P922" t="inlineStr">
        <is>
          <t>2026-06-17 14:10:06</t>
        </is>
      </c>
      <c r="Y922" t="inlineStr">
        <is>
          <t>27727309038</t>
        </is>
      </c>
    </row>
    <row r="923">
      <c r="A923" t="inlineStr">
        <is>
          <t>14921442</t>
        </is>
      </c>
      <c r="B923" t="inlineStr">
        <is>
          <t>ac2965ce-9c32-4f81-baed-01ee658f4f14</t>
        </is>
      </c>
      <c r="D923" t="inlineStr">
        <is>
          <t>111111124</t>
        </is>
      </c>
      <c r="E923" t="inlineStr">
        <is>
          <t>Vodacom Life 20260617</t>
        </is>
      </c>
      <c r="G923" t="inlineStr">
        <is>
          <t>MODISE</t>
        </is>
      </c>
      <c r="H923" t="inlineStr">
        <is>
          <t>MEDUPE</t>
        </is>
      </c>
      <c r="J923" t="inlineStr">
        <is>
          <t>NA</t>
        </is>
      </c>
      <c r="K923" t="inlineStr">
        <is>
          <t>No Answer Autodial</t>
        </is>
      </c>
      <c r="L923" t="n">
        <v>5</v>
      </c>
      <c r="M923" t="inlineStr">
        <is>
          <t>2026-06-29 12:18:03</t>
        </is>
      </c>
      <c r="N923" t="inlineStr">
        <is>
          <t>system</t>
        </is>
      </c>
      <c r="O923" t="inlineStr">
        <is>
          <t>2026-06-17 14:10:06</t>
        </is>
      </c>
      <c r="P923" t="inlineStr">
        <is>
          <t>2026-06-17 14:10:06</t>
        </is>
      </c>
      <c r="Y923" t="inlineStr">
        <is>
          <t>27726182897</t>
        </is>
      </c>
    </row>
    <row r="924">
      <c r="A924" t="inlineStr">
        <is>
          <t>14921444</t>
        </is>
      </c>
      <c r="B924" t="inlineStr">
        <is>
          <t>c6337347-6fcb-497b-bc9c-b3a883db2600</t>
        </is>
      </c>
      <c r="D924" t="inlineStr">
        <is>
          <t>111111124</t>
        </is>
      </c>
      <c r="E924" t="inlineStr">
        <is>
          <t>Vodacom Life 20260617</t>
        </is>
      </c>
      <c r="G924" t="inlineStr">
        <is>
          <t>MARIA</t>
        </is>
      </c>
      <c r="H924" t="inlineStr">
        <is>
          <t>SEPTEMBER</t>
        </is>
      </c>
      <c r="J924" t="inlineStr">
        <is>
          <t>CBACK</t>
        </is>
      </c>
      <c r="K924" t="inlineStr">
        <is>
          <t>Callback</t>
        </is>
      </c>
      <c r="L924" t="n">
        <v>5</v>
      </c>
      <c r="M924" t="inlineStr">
        <is>
          <t>2026-06-29 12:18:00</t>
        </is>
      </c>
      <c r="N924" t="inlineStr">
        <is>
          <t>Vanessa Kekana</t>
        </is>
      </c>
      <c r="O924" t="inlineStr">
        <is>
          <t>2026-06-17 14:10:06</t>
        </is>
      </c>
      <c r="P924" t="inlineStr">
        <is>
          <t>2026-06-17 14:10:06</t>
        </is>
      </c>
      <c r="Y924" t="inlineStr">
        <is>
          <t>27662166648</t>
        </is>
      </c>
    </row>
    <row r="925">
      <c r="A925" t="inlineStr">
        <is>
          <t>14921445</t>
        </is>
      </c>
      <c r="B925" t="inlineStr">
        <is>
          <t>7cf043a7-6587-4814-bbe3-46f9ad26aa9c</t>
        </is>
      </c>
      <c r="D925" t="inlineStr">
        <is>
          <t>111111124</t>
        </is>
      </c>
      <c r="E925" t="inlineStr">
        <is>
          <t>Vodacom Life 20260617</t>
        </is>
      </c>
      <c r="G925" t="inlineStr">
        <is>
          <t>GERT</t>
        </is>
      </c>
      <c r="H925" t="inlineStr">
        <is>
          <t>HORN</t>
        </is>
      </c>
      <c r="J925" t="inlineStr">
        <is>
          <t>NA</t>
        </is>
      </c>
      <c r="K925" t="inlineStr">
        <is>
          <t>No Answer Autodial</t>
        </is>
      </c>
      <c r="L925" t="n">
        <v>5</v>
      </c>
      <c r="M925" t="inlineStr">
        <is>
          <t>2026-06-29 12:18:00</t>
        </is>
      </c>
      <c r="N925" t="inlineStr">
        <is>
          <t>system</t>
        </is>
      </c>
      <c r="O925" t="inlineStr">
        <is>
          <t>2026-06-17 14:10:06</t>
        </is>
      </c>
      <c r="P925" t="inlineStr">
        <is>
          <t>2026-06-17 14:10:06</t>
        </is>
      </c>
      <c r="Y925" t="inlineStr">
        <is>
          <t>27825954462</t>
        </is>
      </c>
    </row>
    <row r="926">
      <c r="A926" t="inlineStr">
        <is>
          <t>14921951</t>
        </is>
      </c>
      <c r="B926" t="inlineStr">
        <is>
          <t>a79292f0-ae30-4a21-a8ba-ff4bdb943b0b</t>
        </is>
      </c>
      <c r="D926" t="inlineStr">
        <is>
          <t>111111124</t>
        </is>
      </c>
      <c r="E926" t="inlineStr">
        <is>
          <t>Vodacom Life 20260617</t>
        </is>
      </c>
      <c r="G926" t="inlineStr">
        <is>
          <t>XOLANI</t>
        </is>
      </c>
      <c r="H926" t="inlineStr">
        <is>
          <t>SIKHUNYANA</t>
        </is>
      </c>
      <c r="J926" t="inlineStr">
        <is>
          <t>AA</t>
        </is>
      </c>
      <c r="K926" t="inlineStr">
        <is>
          <t>Answering Machine Autodial</t>
        </is>
      </c>
      <c r="L926" t="n">
        <v>5</v>
      </c>
      <c r="M926" t="inlineStr">
        <is>
          <t>2026-06-29 12:18:00</t>
        </is>
      </c>
      <c r="N926" t="inlineStr">
        <is>
          <t>system</t>
        </is>
      </c>
      <c r="O926" t="inlineStr">
        <is>
          <t>2026-06-17 14:10:06</t>
        </is>
      </c>
      <c r="P926" t="inlineStr">
        <is>
          <t>2026-06-17 14:10:06</t>
        </is>
      </c>
      <c r="Y926" t="inlineStr">
        <is>
          <t>27712762481</t>
        </is>
      </c>
    </row>
    <row r="927">
      <c r="A927" t="inlineStr">
        <is>
          <t>14921952</t>
        </is>
      </c>
      <c r="B927" t="inlineStr">
        <is>
          <t>5a203502-d5d2-4110-b9fd-dd5170981495</t>
        </is>
      </c>
      <c r="D927" t="inlineStr">
        <is>
          <t>111111124</t>
        </is>
      </c>
      <c r="E927" t="inlineStr">
        <is>
          <t>Vodacom Life 20260617</t>
        </is>
      </c>
      <c r="G927" t="inlineStr">
        <is>
          <t>GODFREY</t>
        </is>
      </c>
      <c r="H927" t="inlineStr">
        <is>
          <t>MAFAHLE</t>
        </is>
      </c>
      <c r="J927" t="inlineStr">
        <is>
          <t>U</t>
        </is>
      </c>
      <c r="K927" t="inlineStr">
        <is>
          <t>Unemployed</t>
        </is>
      </c>
      <c r="L927" t="n">
        <v>5</v>
      </c>
      <c r="M927" t="inlineStr">
        <is>
          <t>2026-06-29 12:18:00</t>
        </is>
      </c>
      <c r="N927" t="inlineStr">
        <is>
          <t>Musiiwa Mary Mabirimisa</t>
        </is>
      </c>
      <c r="O927" t="inlineStr">
        <is>
          <t>2026-06-17 14:10:06</t>
        </is>
      </c>
      <c r="P927" t="inlineStr">
        <is>
          <t>2026-06-17 14:10:06</t>
        </is>
      </c>
      <c r="Y927" t="inlineStr">
        <is>
          <t>27829589764</t>
        </is>
      </c>
    </row>
    <row r="928">
      <c r="A928" t="inlineStr">
        <is>
          <t>14921383</t>
        </is>
      </c>
      <c r="B928" t="inlineStr">
        <is>
          <t>0f613ead-64e3-456f-8642-b78a744f0a3f</t>
        </is>
      </c>
      <c r="D928" t="inlineStr">
        <is>
          <t>111111124</t>
        </is>
      </c>
      <c r="E928" t="inlineStr">
        <is>
          <t>Vodacom Life 20260617</t>
        </is>
      </c>
      <c r="G928" t="inlineStr">
        <is>
          <t>MATSAMBO</t>
        </is>
      </c>
      <c r="H928" t="inlineStr">
        <is>
          <t>MAKONDO</t>
        </is>
      </c>
      <c r="J928" t="inlineStr">
        <is>
          <t>AA</t>
        </is>
      </c>
      <c r="K928" t="inlineStr">
        <is>
          <t>Answering Machine Autodial</t>
        </is>
      </c>
      <c r="L928" t="n">
        <v>5</v>
      </c>
      <c r="M928" t="inlineStr">
        <is>
          <t>2026-06-29 12:16:31</t>
        </is>
      </c>
      <c r="N928" t="inlineStr">
        <is>
          <t>system</t>
        </is>
      </c>
      <c r="O928" t="inlineStr">
        <is>
          <t>2026-06-17 14:10:06</t>
        </is>
      </c>
      <c r="P928" t="inlineStr">
        <is>
          <t>2026-06-17 14:10:06</t>
        </is>
      </c>
      <c r="Y928" t="inlineStr">
        <is>
          <t>27823100304</t>
        </is>
      </c>
    </row>
    <row r="929">
      <c r="A929" t="inlineStr">
        <is>
          <t>14921384</t>
        </is>
      </c>
      <c r="B929" t="inlineStr">
        <is>
          <t>5d018dd6-f5e4-45d3-b7e6-a00c41459f87</t>
        </is>
      </c>
      <c r="D929" t="inlineStr">
        <is>
          <t>111111124</t>
        </is>
      </c>
      <c r="E929" t="inlineStr">
        <is>
          <t>Vodacom Life 20260617</t>
        </is>
      </c>
      <c r="G929" t="inlineStr">
        <is>
          <t>MAJIEDAH</t>
        </is>
      </c>
      <c r="H929" t="inlineStr">
        <is>
          <t>DAMON</t>
        </is>
      </c>
      <c r="J929" t="inlineStr">
        <is>
          <t>DROP</t>
        </is>
      </c>
      <c r="K929" t="inlineStr">
        <is>
          <t>Dropped</t>
        </is>
      </c>
      <c r="L929" t="n">
        <v>5</v>
      </c>
      <c r="M929" t="inlineStr">
        <is>
          <t>2026-06-29 12:16:31</t>
        </is>
      </c>
      <c r="N929" t="inlineStr">
        <is>
          <t>system</t>
        </is>
      </c>
      <c r="O929" t="inlineStr">
        <is>
          <t>2026-06-17 14:10:06</t>
        </is>
      </c>
      <c r="P929" t="inlineStr">
        <is>
          <t>2026-06-17 14:10:06</t>
        </is>
      </c>
      <c r="Y929" t="inlineStr">
        <is>
          <t>27822128902</t>
        </is>
      </c>
    </row>
    <row r="930">
      <c r="A930" t="inlineStr">
        <is>
          <t>14921385</t>
        </is>
      </c>
      <c r="B930" t="inlineStr">
        <is>
          <t>1821bd84-c534-4ca7-b113-8c40016c7c9d</t>
        </is>
      </c>
      <c r="D930" t="inlineStr">
        <is>
          <t>111111124</t>
        </is>
      </c>
      <c r="E930" t="inlineStr">
        <is>
          <t>Vodacom Life 20260617</t>
        </is>
      </c>
      <c r="G930" t="inlineStr">
        <is>
          <t>SYLVIA</t>
        </is>
      </c>
      <c r="H930" t="inlineStr">
        <is>
          <t>PERUSSET</t>
        </is>
      </c>
      <c r="J930" t="inlineStr">
        <is>
          <t>AE</t>
        </is>
      </c>
      <c r="K930" t="inlineStr">
        <is>
          <t>Auto Engaged</t>
        </is>
      </c>
      <c r="L930" t="n">
        <v>5</v>
      </c>
      <c r="M930" t="inlineStr">
        <is>
          <t>2026-06-29 12:16:27</t>
        </is>
      </c>
      <c r="N930" t="inlineStr">
        <is>
          <t>system</t>
        </is>
      </c>
      <c r="O930" t="inlineStr">
        <is>
          <t>2026-06-17 14:10:06</t>
        </is>
      </c>
      <c r="P930" t="inlineStr">
        <is>
          <t>2026-06-17 14:10:06</t>
        </is>
      </c>
      <c r="Y930" t="inlineStr">
        <is>
          <t>27649074111</t>
        </is>
      </c>
    </row>
    <row r="931">
      <c r="A931" t="inlineStr">
        <is>
          <t>14921387</t>
        </is>
      </c>
      <c r="B931" t="inlineStr">
        <is>
          <t>9dfca4cb-c4dc-4816-aafb-b50002853f5d</t>
        </is>
      </c>
      <c r="D931" t="inlineStr">
        <is>
          <t>111111124</t>
        </is>
      </c>
      <c r="E931" t="inlineStr">
        <is>
          <t>Vodacom Life 20260617</t>
        </is>
      </c>
      <c r="G931" t="inlineStr">
        <is>
          <t>THULISILE</t>
        </is>
      </c>
      <c r="H931" t="inlineStr">
        <is>
          <t>MAPHANGA</t>
        </is>
      </c>
      <c r="J931" t="inlineStr">
        <is>
          <t>CU</t>
        </is>
      </c>
      <c r="K931" t="inlineStr">
        <is>
          <t>Client Hung Up</t>
        </is>
      </c>
      <c r="L931" t="n">
        <v>5</v>
      </c>
      <c r="M931" t="inlineStr">
        <is>
          <t>2026-06-29 12:16:27</t>
        </is>
      </c>
      <c r="N931" t="inlineStr">
        <is>
          <t>Vanessa Kekana</t>
        </is>
      </c>
      <c r="O931" t="inlineStr">
        <is>
          <t>2026-06-17 14:10:06</t>
        </is>
      </c>
      <c r="P931" t="inlineStr">
        <is>
          <t>2026-06-17 14:10:06</t>
        </is>
      </c>
      <c r="Y931" t="inlineStr">
        <is>
          <t>27823579302</t>
        </is>
      </c>
    </row>
    <row r="932">
      <c r="A932" t="inlineStr">
        <is>
          <t>14921949</t>
        </is>
      </c>
      <c r="B932" t="inlineStr">
        <is>
          <t>4d5c2e7d-e3e6-45d6-a12e-c1b6d1248f22</t>
        </is>
      </c>
      <c r="D932" t="inlineStr">
        <is>
          <t>111111124</t>
        </is>
      </c>
      <c r="E932" t="inlineStr">
        <is>
          <t>Vodacom Life 20260617</t>
        </is>
      </c>
      <c r="G932" t="inlineStr">
        <is>
          <t>GUSTAV</t>
        </is>
      </c>
      <c r="H932" t="inlineStr">
        <is>
          <t>SCHULT</t>
        </is>
      </c>
      <c r="J932" t="inlineStr">
        <is>
          <t>AE</t>
        </is>
      </c>
      <c r="K932" t="inlineStr">
        <is>
          <t>Auto Engaged</t>
        </is>
      </c>
      <c r="L932" t="n">
        <v>5</v>
      </c>
      <c r="M932" t="inlineStr">
        <is>
          <t>2026-06-29 12:16:27</t>
        </is>
      </c>
      <c r="N932" t="inlineStr">
        <is>
          <t>system</t>
        </is>
      </c>
      <c r="O932" t="inlineStr">
        <is>
          <t>2026-06-17 14:10:06</t>
        </is>
      </c>
      <c r="P932" t="inlineStr">
        <is>
          <t>2026-06-17 14:10:06</t>
        </is>
      </c>
      <c r="Y932" t="inlineStr">
        <is>
          <t>27765752756</t>
        </is>
      </c>
    </row>
    <row r="933">
      <c r="A933" t="inlineStr">
        <is>
          <t>14921388</t>
        </is>
      </c>
      <c r="B933" t="inlineStr">
        <is>
          <t>68a603c5-f47b-4552-979e-b526b1b1216e</t>
        </is>
      </c>
      <c r="D933" t="inlineStr">
        <is>
          <t>111111124</t>
        </is>
      </c>
      <c r="E933" t="inlineStr">
        <is>
          <t>Vodacom Life 20260617</t>
        </is>
      </c>
      <c r="G933" t="inlineStr">
        <is>
          <t>CAROLINA</t>
        </is>
      </c>
      <c r="H933" t="inlineStr">
        <is>
          <t>VAN STADEN</t>
        </is>
      </c>
      <c r="J933" t="inlineStr">
        <is>
          <t>AF</t>
        </is>
      </c>
      <c r="K933" t="inlineStr">
        <is>
          <t>Cannot Afford</t>
        </is>
      </c>
      <c r="L933" t="n">
        <v>5</v>
      </c>
      <c r="M933" t="inlineStr">
        <is>
          <t>2026-06-29 12:15:41</t>
        </is>
      </c>
      <c r="N933" t="inlineStr">
        <is>
          <t>Khensane Mabasa</t>
        </is>
      </c>
      <c r="O933" t="inlineStr">
        <is>
          <t>2026-06-17 14:10:06</t>
        </is>
      </c>
      <c r="P933" t="inlineStr">
        <is>
          <t>2026-06-17 14:10:06</t>
        </is>
      </c>
      <c r="Y933" t="inlineStr">
        <is>
          <t>27799112172</t>
        </is>
      </c>
    </row>
    <row r="934">
      <c r="A934" t="inlineStr">
        <is>
          <t>14921227</t>
        </is>
      </c>
      <c r="B934" t="inlineStr">
        <is>
          <t>8ddf27bd-c8b7-40f1-8c23-9c0068c01efb</t>
        </is>
      </c>
      <c r="D934" t="inlineStr">
        <is>
          <t>111111124</t>
        </is>
      </c>
      <c r="E934" t="inlineStr">
        <is>
          <t>Vodacom Life 20260617</t>
        </is>
      </c>
      <c r="G934" t="inlineStr">
        <is>
          <t>S</t>
        </is>
      </c>
      <c r="H934" t="inlineStr">
        <is>
          <t>NDLOVU</t>
        </is>
      </c>
      <c r="J934" t="inlineStr">
        <is>
          <t>NI</t>
        </is>
      </c>
      <c r="K934" t="inlineStr">
        <is>
          <t>Not Interested</t>
        </is>
      </c>
      <c r="L934" t="n">
        <v>6</v>
      </c>
      <c r="M934" t="inlineStr">
        <is>
          <t>2026-06-29 12:15:35</t>
        </is>
      </c>
      <c r="N934" t="inlineStr">
        <is>
          <t>Musiiwa Mary Mabirimisa</t>
        </is>
      </c>
      <c r="O934" t="inlineStr">
        <is>
          <t>2026-06-17 14:10:06</t>
        </is>
      </c>
      <c r="P934" t="inlineStr">
        <is>
          <t>2026-06-17 14:10:06</t>
        </is>
      </c>
      <c r="Y934" t="inlineStr">
        <is>
          <t>27636952660</t>
        </is>
      </c>
    </row>
    <row r="935">
      <c r="A935" t="inlineStr">
        <is>
          <t>14921391</t>
        </is>
      </c>
      <c r="B935" t="inlineStr">
        <is>
          <t>20b182ad-59e2-48f2-bcc2-fdca8f8bf90f</t>
        </is>
      </c>
      <c r="D935" t="inlineStr">
        <is>
          <t>111111124</t>
        </is>
      </c>
      <c r="E935" t="inlineStr">
        <is>
          <t>Vodacom Life 20260617</t>
        </is>
      </c>
      <c r="G935" t="inlineStr">
        <is>
          <t>MARTHINUS</t>
        </is>
      </c>
      <c r="H935" t="inlineStr">
        <is>
          <t>BEZUIDENHOUT</t>
        </is>
      </c>
      <c r="J935" t="inlineStr">
        <is>
          <t>AE</t>
        </is>
      </c>
      <c r="K935" t="inlineStr">
        <is>
          <t>Auto Engaged</t>
        </is>
      </c>
      <c r="L935" t="n">
        <v>5</v>
      </c>
      <c r="M935" t="inlineStr">
        <is>
          <t>2026-06-29 12:15:31</t>
        </is>
      </c>
      <c r="N935" t="inlineStr">
        <is>
          <t>system</t>
        </is>
      </c>
      <c r="O935" t="inlineStr">
        <is>
          <t>2026-06-17 14:10:06</t>
        </is>
      </c>
      <c r="P935" t="inlineStr">
        <is>
          <t>2026-06-17 14:10:06</t>
        </is>
      </c>
      <c r="Y935" t="inlineStr">
        <is>
          <t>27798834781</t>
        </is>
      </c>
    </row>
    <row r="936">
      <c r="A936" t="inlineStr">
        <is>
          <t>14921392</t>
        </is>
      </c>
      <c r="B936" t="inlineStr">
        <is>
          <t>e9c1f7e4-714f-4b45-82df-ba3b44edf50a</t>
        </is>
      </c>
      <c r="D936" t="inlineStr">
        <is>
          <t>111111124</t>
        </is>
      </c>
      <c r="E936" t="inlineStr">
        <is>
          <t>Vodacom Life 20260617</t>
        </is>
      </c>
      <c r="G936" t="inlineStr">
        <is>
          <t>EMMANUEL</t>
        </is>
      </c>
      <c r="H936" t="inlineStr">
        <is>
          <t>NGCOBO</t>
        </is>
      </c>
      <c r="J936" t="inlineStr">
        <is>
          <t>AE</t>
        </is>
      </c>
      <c r="K936" t="inlineStr">
        <is>
          <t>Auto Engaged</t>
        </is>
      </c>
      <c r="L936" t="n">
        <v>5</v>
      </c>
      <c r="M936" t="inlineStr">
        <is>
          <t>2026-06-29 12:15:29</t>
        </is>
      </c>
      <c r="N936" t="inlineStr">
        <is>
          <t>system</t>
        </is>
      </c>
      <c r="O936" t="inlineStr">
        <is>
          <t>2026-06-17 14:10:06</t>
        </is>
      </c>
      <c r="P936" t="inlineStr">
        <is>
          <t>2026-06-17 14:10:06</t>
        </is>
      </c>
      <c r="Y936" t="inlineStr">
        <is>
          <t>27784688988</t>
        </is>
      </c>
    </row>
    <row r="937">
      <c r="A937" t="inlineStr">
        <is>
          <t>14921395</t>
        </is>
      </c>
      <c r="B937" t="inlineStr">
        <is>
          <t>f454e791-7c5b-41c3-bf35-b3c3ddd4f48a</t>
        </is>
      </c>
      <c r="D937" t="inlineStr">
        <is>
          <t>111111124</t>
        </is>
      </c>
      <c r="E937" t="inlineStr">
        <is>
          <t>Vodacom Life 20260617</t>
        </is>
      </c>
      <c r="G937" t="inlineStr">
        <is>
          <t>SELWYN</t>
        </is>
      </c>
      <c r="H937" t="inlineStr">
        <is>
          <t>GREVER</t>
        </is>
      </c>
      <c r="J937" t="inlineStr">
        <is>
          <t>DROP</t>
        </is>
      </c>
      <c r="K937" t="inlineStr">
        <is>
          <t>Dropped</t>
        </is>
      </c>
      <c r="L937" t="n">
        <v>5</v>
      </c>
      <c r="M937" t="inlineStr">
        <is>
          <t>2026-06-29 12:15:29</t>
        </is>
      </c>
      <c r="N937" t="inlineStr">
        <is>
          <t>system</t>
        </is>
      </c>
      <c r="O937" t="inlineStr">
        <is>
          <t>2026-06-17 14:10:06</t>
        </is>
      </c>
      <c r="P937" t="inlineStr">
        <is>
          <t>2026-06-17 14:10:06</t>
        </is>
      </c>
      <c r="Y937" t="inlineStr">
        <is>
          <t>27820438071</t>
        </is>
      </c>
    </row>
    <row r="938">
      <c r="A938" t="inlineStr">
        <is>
          <t>14921393</t>
        </is>
      </c>
      <c r="B938" t="inlineStr">
        <is>
          <t>dbc20c73-bfd4-46ce-9e54-6f1587d4cad4</t>
        </is>
      </c>
      <c r="D938" t="inlineStr">
        <is>
          <t>111111124</t>
        </is>
      </c>
      <c r="E938" t="inlineStr">
        <is>
          <t>Vodacom Life 20260617</t>
        </is>
      </c>
      <c r="G938" t="inlineStr">
        <is>
          <t>MURENDY</t>
        </is>
      </c>
      <c r="H938" t="inlineStr">
        <is>
          <t>TSHIKUNDE</t>
        </is>
      </c>
      <c r="J938" t="inlineStr">
        <is>
          <t>DROP</t>
        </is>
      </c>
      <c r="K938" t="inlineStr">
        <is>
          <t>Dropped</t>
        </is>
      </c>
      <c r="L938" t="n">
        <v>5</v>
      </c>
      <c r="M938" t="inlineStr">
        <is>
          <t>2026-06-29 12:15:28</t>
        </is>
      </c>
      <c r="N938" t="inlineStr">
        <is>
          <t>system</t>
        </is>
      </c>
      <c r="O938" t="inlineStr">
        <is>
          <t>2026-06-17 14:10:06</t>
        </is>
      </c>
      <c r="P938" t="inlineStr">
        <is>
          <t>2026-06-17 14:10:06</t>
        </is>
      </c>
      <c r="Y938" t="inlineStr">
        <is>
          <t>27766676711</t>
        </is>
      </c>
    </row>
    <row r="939">
      <c r="A939" t="inlineStr">
        <is>
          <t>14921396</t>
        </is>
      </c>
      <c r="B939" t="inlineStr">
        <is>
          <t>a7bf4b6f-0ea2-43c4-818f-0a2594458216</t>
        </is>
      </c>
      <c r="D939" t="inlineStr">
        <is>
          <t>111111124</t>
        </is>
      </c>
      <c r="E939" t="inlineStr">
        <is>
          <t>Vodacom Life 20260617</t>
        </is>
      </c>
      <c r="G939" t="inlineStr">
        <is>
          <t>ADRIANA</t>
        </is>
      </c>
      <c r="H939" t="inlineStr">
        <is>
          <t>RANDALL</t>
        </is>
      </c>
      <c r="J939" t="inlineStr">
        <is>
          <t>AA</t>
        </is>
      </c>
      <c r="K939" t="inlineStr">
        <is>
          <t>Answering Machine Autodial</t>
        </is>
      </c>
      <c r="L939" t="n">
        <v>5</v>
      </c>
      <c r="M939" t="inlineStr">
        <is>
          <t>2026-06-29 12:15:28</t>
        </is>
      </c>
      <c r="N939" t="inlineStr">
        <is>
          <t>system</t>
        </is>
      </c>
      <c r="O939" t="inlineStr">
        <is>
          <t>2026-06-17 14:10:06</t>
        </is>
      </c>
      <c r="P939" t="inlineStr">
        <is>
          <t>2026-06-17 14:10:06</t>
        </is>
      </c>
      <c r="Y939" t="inlineStr">
        <is>
          <t>27832638667</t>
        </is>
      </c>
    </row>
    <row r="940">
      <c r="A940" t="inlineStr">
        <is>
          <t>14921400</t>
        </is>
      </c>
      <c r="B940" t="inlineStr">
        <is>
          <t>5fec8829-95f3-4c63-a524-d95500726be0</t>
        </is>
      </c>
      <c r="D940" t="inlineStr">
        <is>
          <t>111111124</t>
        </is>
      </c>
      <c r="E940" t="inlineStr">
        <is>
          <t>Vodacom Life 20260617</t>
        </is>
      </c>
      <c r="G940" t="inlineStr">
        <is>
          <t>LUNGISILE</t>
        </is>
      </c>
      <c r="H940" t="inlineStr">
        <is>
          <t>SAM</t>
        </is>
      </c>
      <c r="J940" t="inlineStr">
        <is>
          <t>NA</t>
        </is>
      </c>
      <c r="K940" t="inlineStr">
        <is>
          <t>No Answer Autodial</t>
        </is>
      </c>
      <c r="L940" t="n">
        <v>5</v>
      </c>
      <c r="M940" t="inlineStr">
        <is>
          <t>2026-06-29 12:15:28</t>
        </is>
      </c>
      <c r="N940" t="inlineStr">
        <is>
          <t>system</t>
        </is>
      </c>
      <c r="O940" t="inlineStr">
        <is>
          <t>2026-06-17 14:10:06</t>
        </is>
      </c>
      <c r="P940" t="inlineStr">
        <is>
          <t>2026-06-17 14:10:06</t>
        </is>
      </c>
      <c r="Y940" t="inlineStr">
        <is>
          <t>27797943632</t>
        </is>
      </c>
    </row>
    <row r="941">
      <c r="A941" t="inlineStr">
        <is>
          <t>14921319</t>
        </is>
      </c>
      <c r="B941" t="inlineStr">
        <is>
          <t>8ea5dc59-005e-49e8-8123-92fe97fcd98f</t>
        </is>
      </c>
      <c r="D941" t="inlineStr">
        <is>
          <t>111111124</t>
        </is>
      </c>
      <c r="E941" t="inlineStr">
        <is>
          <t>Vodacom Life 20260617</t>
        </is>
      </c>
      <c r="G941" t="inlineStr">
        <is>
          <t>NTOMBITHULA</t>
        </is>
      </c>
      <c r="H941" t="inlineStr">
        <is>
          <t>MNGUNI</t>
        </is>
      </c>
      <c r="J941" t="inlineStr">
        <is>
          <t>DROP</t>
        </is>
      </c>
      <c r="K941" t="inlineStr">
        <is>
          <t>Dropped</t>
        </is>
      </c>
      <c r="L941" t="n">
        <v>5</v>
      </c>
      <c r="M941" t="inlineStr">
        <is>
          <t>2026-06-29 12:14:40</t>
        </is>
      </c>
      <c r="N941" t="inlineStr">
        <is>
          <t>system</t>
        </is>
      </c>
      <c r="O941" t="inlineStr">
        <is>
          <t>2026-06-17 14:10:06</t>
        </is>
      </c>
      <c r="P941" t="inlineStr">
        <is>
          <t>2026-06-17 14:10:06</t>
        </is>
      </c>
      <c r="Y941" t="inlineStr">
        <is>
          <t>27822211512</t>
        </is>
      </c>
    </row>
    <row r="942">
      <c r="A942" t="inlineStr">
        <is>
          <t>14921320</t>
        </is>
      </c>
      <c r="B942" t="inlineStr">
        <is>
          <t>e88cd17c-a014-4c44-98b2-75e505eb51f8</t>
        </is>
      </c>
      <c r="D942" t="inlineStr">
        <is>
          <t>111111124</t>
        </is>
      </c>
      <c r="E942" t="inlineStr">
        <is>
          <t>Vodacom Life 20260617</t>
        </is>
      </c>
      <c r="G942" t="inlineStr">
        <is>
          <t>MARIA</t>
        </is>
      </c>
      <c r="H942" t="inlineStr">
        <is>
          <t>MLANGENI</t>
        </is>
      </c>
      <c r="J942" t="inlineStr">
        <is>
          <t>AA</t>
        </is>
      </c>
      <c r="K942" t="inlineStr">
        <is>
          <t>Answering Machine Autodial</t>
        </is>
      </c>
      <c r="L942" t="n">
        <v>5</v>
      </c>
      <c r="M942" t="inlineStr">
        <is>
          <t>2026-06-29 12:14:40</t>
        </is>
      </c>
      <c r="N942" t="inlineStr">
        <is>
          <t>system</t>
        </is>
      </c>
      <c r="O942" t="inlineStr">
        <is>
          <t>2026-06-17 14:10:06</t>
        </is>
      </c>
      <c r="P942" t="inlineStr">
        <is>
          <t>2026-06-17 14:10:06</t>
        </is>
      </c>
      <c r="Y942" t="inlineStr">
        <is>
          <t>27790820142</t>
        </is>
      </c>
    </row>
    <row r="943">
      <c r="A943" t="inlineStr">
        <is>
          <t>14921321</t>
        </is>
      </c>
      <c r="B943" t="inlineStr">
        <is>
          <t>3686cf41-563e-4234-88d3-9051fa1b95c0</t>
        </is>
      </c>
      <c r="D943" t="inlineStr">
        <is>
          <t>111111124</t>
        </is>
      </c>
      <c r="E943" t="inlineStr">
        <is>
          <t>Vodacom Life 20260617</t>
        </is>
      </c>
      <c r="G943" t="inlineStr">
        <is>
          <t>GAOLEBALWE</t>
        </is>
      </c>
      <c r="H943" t="inlineStr">
        <is>
          <t>TSHIKANE</t>
        </is>
      </c>
      <c r="J943" t="inlineStr">
        <is>
          <t>CU</t>
        </is>
      </c>
      <c r="K943" t="inlineStr">
        <is>
          <t>Client Hung Up</t>
        </is>
      </c>
      <c r="L943" t="n">
        <v>5</v>
      </c>
      <c r="M943" t="inlineStr">
        <is>
          <t>2026-06-29 12:14:39</t>
        </is>
      </c>
      <c r="N943" t="inlineStr">
        <is>
          <t>Vanessa Kekana</t>
        </is>
      </c>
      <c r="O943" t="inlineStr">
        <is>
          <t>2026-06-17 14:10:06</t>
        </is>
      </c>
      <c r="P943" t="inlineStr">
        <is>
          <t>2026-06-17 14:10:06</t>
        </is>
      </c>
      <c r="Y943" t="inlineStr">
        <is>
          <t>27762617458</t>
        </is>
      </c>
    </row>
    <row r="944">
      <c r="A944" t="inlineStr">
        <is>
          <t>14921323</t>
        </is>
      </c>
      <c r="B944" t="inlineStr">
        <is>
          <t>8ccf494c-b351-4edb-9e39-dda5c3763c30</t>
        </is>
      </c>
      <c r="D944" t="inlineStr">
        <is>
          <t>111111124</t>
        </is>
      </c>
      <c r="E944" t="inlineStr">
        <is>
          <t>Vodacom Life 20260617</t>
        </is>
      </c>
      <c r="G944" t="inlineStr">
        <is>
          <t>CLINT</t>
        </is>
      </c>
      <c r="H944" t="inlineStr">
        <is>
          <t>RALPH</t>
        </is>
      </c>
      <c r="J944" t="inlineStr">
        <is>
          <t>AA</t>
        </is>
      </c>
      <c r="K944" t="inlineStr">
        <is>
          <t>Answering Machine Autodial</t>
        </is>
      </c>
      <c r="L944" t="n">
        <v>5</v>
      </c>
      <c r="M944" t="inlineStr">
        <is>
          <t>2026-06-29 12:14:39</t>
        </is>
      </c>
      <c r="N944" t="inlineStr">
        <is>
          <t>system</t>
        </is>
      </c>
      <c r="O944" t="inlineStr">
        <is>
          <t>2026-06-17 14:10:06</t>
        </is>
      </c>
      <c r="P944" t="inlineStr">
        <is>
          <t>2026-06-17 14:10:06</t>
        </is>
      </c>
      <c r="Y944" t="inlineStr">
        <is>
          <t>27712015921</t>
        </is>
      </c>
    </row>
    <row r="945">
      <c r="A945" t="inlineStr">
        <is>
          <t>14921325</t>
        </is>
      </c>
      <c r="B945" t="inlineStr">
        <is>
          <t>29c3f326-76f0-4a5f-9e5f-cb2acce2e9ce</t>
        </is>
      </c>
      <c r="D945" t="inlineStr">
        <is>
          <t>111111124</t>
        </is>
      </c>
      <c r="E945" t="inlineStr">
        <is>
          <t>Vodacom Life 20260617</t>
        </is>
      </c>
      <c r="G945" t="inlineStr">
        <is>
          <t>FIKILE</t>
        </is>
      </c>
      <c r="H945" t="inlineStr">
        <is>
          <t>MASHIKA</t>
        </is>
      </c>
      <c r="J945" t="inlineStr">
        <is>
          <t>DROP</t>
        </is>
      </c>
      <c r="K945" t="inlineStr">
        <is>
          <t>Dropped</t>
        </is>
      </c>
      <c r="L945" t="n">
        <v>5</v>
      </c>
      <c r="M945" t="inlineStr">
        <is>
          <t>2026-06-29 12:14:39</t>
        </is>
      </c>
      <c r="N945" t="inlineStr">
        <is>
          <t>system</t>
        </is>
      </c>
      <c r="O945" t="inlineStr">
        <is>
          <t>2026-06-17 14:10:06</t>
        </is>
      </c>
      <c r="P945" t="inlineStr">
        <is>
          <t>2026-06-17 14:10:06</t>
        </is>
      </c>
      <c r="Y945" t="inlineStr">
        <is>
          <t>27716237168</t>
        </is>
      </c>
    </row>
    <row r="946">
      <c r="A946" t="inlineStr">
        <is>
          <t>14921326</t>
        </is>
      </c>
      <c r="B946" t="inlineStr">
        <is>
          <t>7f73ef93-267e-4916-abfc-a18c45493e47</t>
        </is>
      </c>
      <c r="D946" t="inlineStr">
        <is>
          <t>111111124</t>
        </is>
      </c>
      <c r="E946" t="inlineStr">
        <is>
          <t>Vodacom Life 20260617</t>
        </is>
      </c>
      <c r="G946" t="inlineStr">
        <is>
          <t>ERICH</t>
        </is>
      </c>
      <c r="H946" t="inlineStr">
        <is>
          <t>SCHURMANN</t>
        </is>
      </c>
      <c r="J946" t="inlineStr">
        <is>
          <t>ADC</t>
        </is>
      </c>
      <c r="K946" t="inlineStr">
        <is>
          <t>Auto Dial Disconnected</t>
        </is>
      </c>
      <c r="L946" t="n">
        <v>5</v>
      </c>
      <c r="M946" t="inlineStr">
        <is>
          <t>2026-06-29 12:14:36</t>
        </is>
      </c>
      <c r="N946" t="inlineStr">
        <is>
          <t>system</t>
        </is>
      </c>
      <c r="O946" t="inlineStr">
        <is>
          <t>2026-06-17 14:10:06</t>
        </is>
      </c>
      <c r="P946" t="inlineStr">
        <is>
          <t>2026-06-17 14:10:06</t>
        </is>
      </c>
      <c r="Y946" t="inlineStr">
        <is>
          <t>27661215259</t>
        </is>
      </c>
    </row>
    <row r="947">
      <c r="A947" t="inlineStr">
        <is>
          <t>14921335</t>
        </is>
      </c>
      <c r="B947" t="inlineStr">
        <is>
          <t>a7967dda-6385-4df6-9eb1-5fb9a4de82a2</t>
        </is>
      </c>
      <c r="D947" t="inlineStr">
        <is>
          <t>111111124</t>
        </is>
      </c>
      <c r="E947" t="inlineStr">
        <is>
          <t>Vodacom Life 20260617</t>
        </is>
      </c>
      <c r="G947" t="inlineStr">
        <is>
          <t>LORAINE</t>
        </is>
      </c>
      <c r="H947" t="inlineStr">
        <is>
          <t>NEL</t>
        </is>
      </c>
      <c r="J947" t="inlineStr">
        <is>
          <t>AE</t>
        </is>
      </c>
      <c r="K947" t="inlineStr">
        <is>
          <t>Auto Engaged</t>
        </is>
      </c>
      <c r="L947" t="n">
        <v>5</v>
      </c>
      <c r="M947" t="inlineStr">
        <is>
          <t>2026-06-29 12:14:33</t>
        </is>
      </c>
      <c r="N947" t="inlineStr">
        <is>
          <t>system</t>
        </is>
      </c>
      <c r="O947" t="inlineStr">
        <is>
          <t>2026-06-17 14:10:06</t>
        </is>
      </c>
      <c r="P947" t="inlineStr">
        <is>
          <t>2026-06-17 14:10:06</t>
        </is>
      </c>
      <c r="Y947" t="inlineStr">
        <is>
          <t>27662236034</t>
        </is>
      </c>
    </row>
    <row r="948">
      <c r="A948" t="inlineStr">
        <is>
          <t>14921336</t>
        </is>
      </c>
      <c r="B948" t="inlineStr">
        <is>
          <t>3c1bf8e2-8c6e-447d-b6fc-736f811eb392</t>
        </is>
      </c>
      <c r="D948" t="inlineStr">
        <is>
          <t>111111124</t>
        </is>
      </c>
      <c r="E948" t="inlineStr">
        <is>
          <t>Vodacom Life 20260617</t>
        </is>
      </c>
      <c r="G948" t="inlineStr">
        <is>
          <t>SELLO</t>
        </is>
      </c>
      <c r="H948" t="inlineStr">
        <is>
          <t>LEBOHO</t>
        </is>
      </c>
      <c r="J948" t="inlineStr">
        <is>
          <t>DROP</t>
        </is>
      </c>
      <c r="K948" t="inlineStr">
        <is>
          <t>Dropped</t>
        </is>
      </c>
      <c r="L948" t="n">
        <v>5</v>
      </c>
      <c r="M948" t="inlineStr">
        <is>
          <t>2026-06-29 12:14:29</t>
        </is>
      </c>
      <c r="N948" t="inlineStr">
        <is>
          <t>system</t>
        </is>
      </c>
      <c r="O948" t="inlineStr">
        <is>
          <t>2026-06-17 14:10:06</t>
        </is>
      </c>
      <c r="P948" t="inlineStr">
        <is>
          <t>2026-06-17 14:10:06</t>
        </is>
      </c>
      <c r="Y948" t="inlineStr">
        <is>
          <t>27663483060</t>
        </is>
      </c>
    </row>
    <row r="949">
      <c r="A949" t="inlineStr">
        <is>
          <t>14921339</t>
        </is>
      </c>
      <c r="B949" t="inlineStr">
        <is>
          <t>448ecfdc-f03b-4c12-a4f0-5e32717b051b</t>
        </is>
      </c>
      <c r="D949" t="inlineStr">
        <is>
          <t>111111124</t>
        </is>
      </c>
      <c r="E949" t="inlineStr">
        <is>
          <t>Vodacom Life 20260617</t>
        </is>
      </c>
      <c r="G949" t="inlineStr">
        <is>
          <t>ESTELL</t>
        </is>
      </c>
      <c r="H949" t="inlineStr">
        <is>
          <t>WARNER</t>
        </is>
      </c>
      <c r="J949" t="inlineStr">
        <is>
          <t>AA</t>
        </is>
      </c>
      <c r="K949" t="inlineStr">
        <is>
          <t>Answering Machine Autodial</t>
        </is>
      </c>
      <c r="L949" t="n">
        <v>5</v>
      </c>
      <c r="M949" t="inlineStr">
        <is>
          <t>2026-06-29 12:14:25</t>
        </is>
      </c>
      <c r="N949" t="inlineStr">
        <is>
          <t>system</t>
        </is>
      </c>
      <c r="O949" t="inlineStr">
        <is>
          <t>2026-06-17 14:10:06</t>
        </is>
      </c>
      <c r="P949" t="inlineStr">
        <is>
          <t>2026-06-17 14:10:06</t>
        </is>
      </c>
      <c r="Y949" t="inlineStr">
        <is>
          <t>27662171303</t>
        </is>
      </c>
    </row>
    <row r="950">
      <c r="A950" t="inlineStr">
        <is>
          <t>14921341</t>
        </is>
      </c>
      <c r="B950" t="inlineStr">
        <is>
          <t>70d72cb1-b240-4613-9f90-ed3f377dce52</t>
        </is>
      </c>
      <c r="D950" t="inlineStr">
        <is>
          <t>111111124</t>
        </is>
      </c>
      <c r="E950" t="inlineStr">
        <is>
          <t>Vodacom Life 20260617</t>
        </is>
      </c>
      <c r="G950" t="inlineStr">
        <is>
          <t>PIETER</t>
        </is>
      </c>
      <c r="H950" t="inlineStr">
        <is>
          <t>BOTHA</t>
        </is>
      </c>
      <c r="J950" t="inlineStr">
        <is>
          <t>AE</t>
        </is>
      </c>
      <c r="K950" t="inlineStr">
        <is>
          <t>Auto Engaged</t>
        </is>
      </c>
      <c r="L950" t="n">
        <v>5</v>
      </c>
      <c r="M950" t="inlineStr">
        <is>
          <t>2026-06-29 12:14:25</t>
        </is>
      </c>
      <c r="N950" t="inlineStr">
        <is>
          <t>system</t>
        </is>
      </c>
      <c r="O950" t="inlineStr">
        <is>
          <t>2026-06-17 14:10:06</t>
        </is>
      </c>
      <c r="P950" t="inlineStr">
        <is>
          <t>2026-06-17 14:10:06</t>
        </is>
      </c>
      <c r="Y950" t="inlineStr">
        <is>
          <t>27820801930</t>
        </is>
      </c>
    </row>
    <row r="951">
      <c r="A951" t="inlineStr">
        <is>
          <t>14921943</t>
        </is>
      </c>
      <c r="B951" t="inlineStr">
        <is>
          <t>742423f7-b26d-4e93-9784-fde70604825f</t>
        </is>
      </c>
      <c r="D951" t="inlineStr">
        <is>
          <t>111111124</t>
        </is>
      </c>
      <c r="E951" t="inlineStr">
        <is>
          <t>Vodacom Life 20260617</t>
        </is>
      </c>
      <c r="G951" t="inlineStr">
        <is>
          <t>THABISILE</t>
        </is>
      </c>
      <c r="H951" t="inlineStr">
        <is>
          <t>MHLABA</t>
        </is>
      </c>
      <c r="J951" t="inlineStr">
        <is>
          <t>AA</t>
        </is>
      </c>
      <c r="K951" t="inlineStr">
        <is>
          <t>Answering Machine Autodial</t>
        </is>
      </c>
      <c r="L951" t="n">
        <v>5</v>
      </c>
      <c r="M951" t="inlineStr">
        <is>
          <t>2026-06-29 12:14:25</t>
        </is>
      </c>
      <c r="N951" t="inlineStr">
        <is>
          <t>system</t>
        </is>
      </c>
      <c r="O951" t="inlineStr">
        <is>
          <t>2026-06-17 14:10:06</t>
        </is>
      </c>
      <c r="P951" t="inlineStr">
        <is>
          <t>2026-06-17 14:10:06</t>
        </is>
      </c>
      <c r="Y951" t="inlineStr">
        <is>
          <t>27820853972</t>
        </is>
      </c>
    </row>
    <row r="952">
      <c r="A952" t="inlineStr">
        <is>
          <t>14921343</t>
        </is>
      </c>
      <c r="B952" t="inlineStr">
        <is>
          <t>c3c14968-d871-4996-ac03-1e21fe4ac01b</t>
        </is>
      </c>
      <c r="D952" t="inlineStr">
        <is>
          <t>111111124</t>
        </is>
      </c>
      <c r="E952" t="inlineStr">
        <is>
          <t>Vodacom Life 20260617</t>
        </is>
      </c>
      <c r="G952" t="inlineStr">
        <is>
          <t>AFIKA</t>
        </is>
      </c>
      <c r="H952" t="inlineStr">
        <is>
          <t>MABUTYANA</t>
        </is>
      </c>
      <c r="J952" t="inlineStr">
        <is>
          <t>AA</t>
        </is>
      </c>
      <c r="K952" t="inlineStr">
        <is>
          <t>Answering Machine Autodial</t>
        </is>
      </c>
      <c r="L952" t="n">
        <v>5</v>
      </c>
      <c r="M952" t="inlineStr">
        <is>
          <t>2026-06-29 12:13:58</t>
        </is>
      </c>
      <c r="N952" t="inlineStr">
        <is>
          <t>system</t>
        </is>
      </c>
      <c r="O952" t="inlineStr">
        <is>
          <t>2026-06-17 14:10:06</t>
        </is>
      </c>
      <c r="P952" t="inlineStr">
        <is>
          <t>2026-06-17 14:10:06</t>
        </is>
      </c>
      <c r="Y952" t="inlineStr">
        <is>
          <t>27762334135</t>
        </is>
      </c>
    </row>
    <row r="953">
      <c r="A953" t="inlineStr">
        <is>
          <t>14921344</t>
        </is>
      </c>
      <c r="B953" t="inlineStr">
        <is>
          <t>dd505ba2-b62b-4e67-b047-30468c14f779</t>
        </is>
      </c>
      <c r="D953" t="inlineStr">
        <is>
          <t>111111124</t>
        </is>
      </c>
      <c r="E953" t="inlineStr">
        <is>
          <t>Vodacom Life 20260617</t>
        </is>
      </c>
      <c r="G953" t="inlineStr">
        <is>
          <t>MIRRIAM</t>
        </is>
      </c>
      <c r="H953" t="inlineStr">
        <is>
          <t>HENNECKS</t>
        </is>
      </c>
      <c r="J953" t="inlineStr">
        <is>
          <t>AA</t>
        </is>
      </c>
      <c r="K953" t="inlineStr">
        <is>
          <t>Answering Machine Autodial</t>
        </is>
      </c>
      <c r="L953" t="n">
        <v>5</v>
      </c>
      <c r="M953" t="inlineStr">
        <is>
          <t>2026-06-29 12:13:54</t>
        </is>
      </c>
      <c r="N953" t="inlineStr">
        <is>
          <t>system</t>
        </is>
      </c>
      <c r="O953" t="inlineStr">
        <is>
          <t>2026-06-17 14:10:06</t>
        </is>
      </c>
      <c r="P953" t="inlineStr">
        <is>
          <t>2026-06-17 14:10:06</t>
        </is>
      </c>
      <c r="Y953" t="inlineStr">
        <is>
          <t>27764664827</t>
        </is>
      </c>
    </row>
    <row r="954">
      <c r="A954" t="inlineStr">
        <is>
          <t>14921345</t>
        </is>
      </c>
      <c r="B954" t="inlineStr">
        <is>
          <t>3a5b5c00-b993-4588-b0ee-06dca7ab0272</t>
        </is>
      </c>
      <c r="D954" t="inlineStr">
        <is>
          <t>111111124</t>
        </is>
      </c>
      <c r="E954" t="inlineStr">
        <is>
          <t>Vodacom Life 20260617</t>
        </is>
      </c>
      <c r="G954" t="inlineStr">
        <is>
          <t>OLWETHU</t>
        </is>
      </c>
      <c r="H954" t="inlineStr">
        <is>
          <t>MBATHA</t>
        </is>
      </c>
      <c r="J954" t="inlineStr">
        <is>
          <t>ADC</t>
        </is>
      </c>
      <c r="K954" t="inlineStr">
        <is>
          <t>Auto Dial Disconnected</t>
        </is>
      </c>
      <c r="L954" t="n">
        <v>5</v>
      </c>
      <c r="M954" t="inlineStr">
        <is>
          <t>2026-06-29 12:13:53</t>
        </is>
      </c>
      <c r="N954" t="inlineStr">
        <is>
          <t>system</t>
        </is>
      </c>
      <c r="O954" t="inlineStr">
        <is>
          <t>2026-06-17 14:10:06</t>
        </is>
      </c>
      <c r="P954" t="inlineStr">
        <is>
          <t>2026-06-17 14:10:06</t>
        </is>
      </c>
      <c r="Y954" t="inlineStr">
        <is>
          <t>27664367929</t>
        </is>
      </c>
    </row>
    <row r="955">
      <c r="A955" t="inlineStr">
        <is>
          <t>14921346</t>
        </is>
      </c>
      <c r="B955" t="inlineStr">
        <is>
          <t>b1cfd356-436c-442b-a4ed-a6f48168f871</t>
        </is>
      </c>
      <c r="D955" t="inlineStr">
        <is>
          <t>111111124</t>
        </is>
      </c>
      <c r="E955" t="inlineStr">
        <is>
          <t>Vodacom Life 20260617</t>
        </is>
      </c>
      <c r="G955" t="inlineStr">
        <is>
          <t>PRECIOUS</t>
        </is>
      </c>
      <c r="H955" t="inlineStr">
        <is>
          <t>MANDA</t>
        </is>
      </c>
      <c r="J955" t="inlineStr">
        <is>
          <t>CU</t>
        </is>
      </c>
      <c r="K955" t="inlineStr">
        <is>
          <t>Client Hung Up</t>
        </is>
      </c>
      <c r="L955" t="n">
        <v>5</v>
      </c>
      <c r="M955" t="inlineStr">
        <is>
          <t>2026-06-29 12:13:53</t>
        </is>
      </c>
      <c r="N955" t="inlineStr">
        <is>
          <t>Vanessa Kekana</t>
        </is>
      </c>
      <c r="O955" t="inlineStr">
        <is>
          <t>2026-06-17 14:10:06</t>
        </is>
      </c>
      <c r="P955" t="inlineStr">
        <is>
          <t>2026-06-17 14:10:06</t>
        </is>
      </c>
      <c r="Y955" t="inlineStr">
        <is>
          <t>27662962638</t>
        </is>
      </c>
    </row>
    <row r="956">
      <c r="A956" t="inlineStr">
        <is>
          <t>14921348</t>
        </is>
      </c>
      <c r="B956" t="inlineStr">
        <is>
          <t>1135e77c-88c4-436e-bd42-525692985ba4</t>
        </is>
      </c>
      <c r="D956" t="inlineStr">
        <is>
          <t>111111124</t>
        </is>
      </c>
      <c r="E956" t="inlineStr">
        <is>
          <t>Vodacom Life 20260617</t>
        </is>
      </c>
      <c r="G956" t="inlineStr">
        <is>
          <t>ROSHANDRE</t>
        </is>
      </c>
      <c r="H956" t="inlineStr">
        <is>
          <t>JORDAAN</t>
        </is>
      </c>
      <c r="J956" t="inlineStr">
        <is>
          <t>NA</t>
        </is>
      </c>
      <c r="K956" t="inlineStr">
        <is>
          <t>No Answer Autodial</t>
        </is>
      </c>
      <c r="L956" t="n">
        <v>5</v>
      </c>
      <c r="M956" t="inlineStr">
        <is>
          <t>2026-06-29 12:13:53</t>
        </is>
      </c>
      <c r="N956" t="inlineStr">
        <is>
          <t>system</t>
        </is>
      </c>
      <c r="O956" t="inlineStr">
        <is>
          <t>2026-06-17 14:10:06</t>
        </is>
      </c>
      <c r="P956" t="inlineStr">
        <is>
          <t>2026-06-17 14:10:06</t>
        </is>
      </c>
      <c r="Y956" t="inlineStr">
        <is>
          <t>27832614576</t>
        </is>
      </c>
    </row>
    <row r="957">
      <c r="A957" t="inlineStr">
        <is>
          <t>14921350</t>
        </is>
      </c>
      <c r="B957" t="inlineStr">
        <is>
          <t>6c588c8f-175d-4b67-abc7-f71106d65ae7</t>
        </is>
      </c>
      <c r="D957" t="inlineStr">
        <is>
          <t>111111124</t>
        </is>
      </c>
      <c r="E957" t="inlineStr">
        <is>
          <t>Vodacom Life 20260617</t>
        </is>
      </c>
      <c r="G957" t="inlineStr">
        <is>
          <t>DEBBIE</t>
        </is>
      </c>
      <c r="H957" t="inlineStr">
        <is>
          <t>MATEUS</t>
        </is>
      </c>
      <c r="J957" t="inlineStr">
        <is>
          <t>CBACK</t>
        </is>
      </c>
      <c r="K957" t="inlineStr">
        <is>
          <t>Callback</t>
        </is>
      </c>
      <c r="L957" t="n">
        <v>5</v>
      </c>
      <c r="M957" t="inlineStr">
        <is>
          <t>2026-06-29 12:13:52</t>
        </is>
      </c>
      <c r="N957" t="inlineStr">
        <is>
          <t>Khensane Mabasa</t>
        </is>
      </c>
      <c r="O957" t="inlineStr">
        <is>
          <t>2026-06-17 14:10:06</t>
        </is>
      </c>
      <c r="P957" t="inlineStr">
        <is>
          <t>2026-06-17 14:10:06</t>
        </is>
      </c>
      <c r="Y957" t="inlineStr">
        <is>
          <t>27725149558</t>
        </is>
      </c>
    </row>
    <row r="958">
      <c r="A958" t="inlineStr">
        <is>
          <t>14921210</t>
        </is>
      </c>
      <c r="B958" t="inlineStr">
        <is>
          <t>47d34578-9d22-4b9c-aa3c-3ab857a981f9</t>
        </is>
      </c>
      <c r="D958" t="inlineStr">
        <is>
          <t>111111124</t>
        </is>
      </c>
      <c r="E958" t="inlineStr">
        <is>
          <t>Vodacom Life 20260617</t>
        </is>
      </c>
      <c r="G958" t="inlineStr">
        <is>
          <t>HELEN</t>
        </is>
      </c>
      <c r="H958" t="inlineStr">
        <is>
          <t>DERKSEN</t>
        </is>
      </c>
      <c r="J958" t="inlineStr">
        <is>
          <t>AE</t>
        </is>
      </c>
      <c r="K958" t="inlineStr">
        <is>
          <t>Auto Engaged</t>
        </is>
      </c>
      <c r="L958" t="n">
        <v>5</v>
      </c>
      <c r="M958" t="inlineStr">
        <is>
          <t>2026-06-29 12:12:41</t>
        </is>
      </c>
      <c r="N958" t="inlineStr">
        <is>
          <t>system</t>
        </is>
      </c>
      <c r="O958" t="inlineStr">
        <is>
          <t>2026-06-17 14:10:06</t>
        </is>
      </c>
      <c r="P958" t="inlineStr">
        <is>
          <t>2026-06-17 14:10:06</t>
        </is>
      </c>
      <c r="Y958" t="inlineStr">
        <is>
          <t>27843399266</t>
        </is>
      </c>
    </row>
    <row r="959">
      <c r="A959" t="inlineStr">
        <is>
          <t>14921211</t>
        </is>
      </c>
      <c r="B959" t="inlineStr">
        <is>
          <t>f79fbbfa-3322-4df3-a7bf-43e79281f924</t>
        </is>
      </c>
      <c r="D959" t="inlineStr">
        <is>
          <t>111111124</t>
        </is>
      </c>
      <c r="E959" t="inlineStr">
        <is>
          <t>Vodacom Life 20260617</t>
        </is>
      </c>
      <c r="G959" t="inlineStr">
        <is>
          <t>ZAINAP</t>
        </is>
      </c>
      <c r="H959" t="inlineStr">
        <is>
          <t>JESMINE</t>
        </is>
      </c>
      <c r="J959" t="inlineStr">
        <is>
          <t>AA</t>
        </is>
      </c>
      <c r="K959" t="inlineStr">
        <is>
          <t>Answering Machine Autodial</t>
        </is>
      </c>
      <c r="L959" t="n">
        <v>5</v>
      </c>
      <c r="M959" t="inlineStr">
        <is>
          <t>2026-06-29 12:12:40</t>
        </is>
      </c>
      <c r="N959" t="inlineStr">
        <is>
          <t>system</t>
        </is>
      </c>
      <c r="O959" t="inlineStr">
        <is>
          <t>2026-06-17 14:10:06</t>
        </is>
      </c>
      <c r="P959" t="inlineStr">
        <is>
          <t>2026-06-17 14:10:06</t>
        </is>
      </c>
      <c r="Y959" t="inlineStr">
        <is>
          <t>27720327148</t>
        </is>
      </c>
    </row>
    <row r="960">
      <c r="A960" t="inlineStr">
        <is>
          <t>14921212</t>
        </is>
      </c>
      <c r="B960" t="inlineStr">
        <is>
          <t>579c0c6e-4216-4a90-ada4-5e60eb1611f7</t>
        </is>
      </c>
      <c r="D960" t="inlineStr">
        <is>
          <t>111111124</t>
        </is>
      </c>
      <c r="E960" t="inlineStr">
        <is>
          <t>Vodacom Life 20260617</t>
        </is>
      </c>
      <c r="G960" t="inlineStr">
        <is>
          <t>TRACY</t>
        </is>
      </c>
      <c r="H960" t="inlineStr">
        <is>
          <t>ARENDSE</t>
        </is>
      </c>
      <c r="J960" t="inlineStr">
        <is>
          <t>AA</t>
        </is>
      </c>
      <c r="K960" t="inlineStr">
        <is>
          <t>Answering Machine Autodial</t>
        </is>
      </c>
      <c r="L960" t="n">
        <v>5</v>
      </c>
      <c r="M960" t="inlineStr">
        <is>
          <t>2026-06-29 12:12:40</t>
        </is>
      </c>
      <c r="N960" t="inlineStr">
        <is>
          <t>system</t>
        </is>
      </c>
      <c r="O960" t="inlineStr">
        <is>
          <t>2026-06-17 14:10:06</t>
        </is>
      </c>
      <c r="P960" t="inlineStr">
        <is>
          <t>2026-06-17 14:10:06</t>
        </is>
      </c>
      <c r="Y960" t="inlineStr">
        <is>
          <t>27662546209</t>
        </is>
      </c>
    </row>
    <row r="961">
      <c r="A961" t="inlineStr">
        <is>
          <t>14921213</t>
        </is>
      </c>
      <c r="B961" t="inlineStr">
        <is>
          <t>d7dfecfd-5f1f-4cea-84f4-efdf67d216fd</t>
        </is>
      </c>
      <c r="D961" t="inlineStr">
        <is>
          <t>111111124</t>
        </is>
      </c>
      <c r="E961" t="inlineStr">
        <is>
          <t>Vodacom Life 20260617</t>
        </is>
      </c>
      <c r="G961" t="inlineStr">
        <is>
          <t>DUMSILE</t>
        </is>
      </c>
      <c r="H961" t="inlineStr">
        <is>
          <t>MNTSHALI</t>
        </is>
      </c>
      <c r="J961" t="inlineStr">
        <is>
          <t>AA</t>
        </is>
      </c>
      <c r="K961" t="inlineStr">
        <is>
          <t>Answering Machine Autodial</t>
        </is>
      </c>
      <c r="L961" t="n">
        <v>5</v>
      </c>
      <c r="M961" t="inlineStr">
        <is>
          <t>2026-06-29 12:12:33</t>
        </is>
      </c>
      <c r="N961" t="inlineStr">
        <is>
          <t>system</t>
        </is>
      </c>
      <c r="O961" t="inlineStr">
        <is>
          <t>2026-06-17 14:10:06</t>
        </is>
      </c>
      <c r="P961" t="inlineStr">
        <is>
          <t>2026-06-17 14:10:06</t>
        </is>
      </c>
      <c r="Y961" t="inlineStr">
        <is>
          <t>27768477426</t>
        </is>
      </c>
    </row>
    <row r="962">
      <c r="A962" t="inlineStr">
        <is>
          <t>14921214</t>
        </is>
      </c>
      <c r="B962" t="inlineStr">
        <is>
          <t>00859fd1-627d-4732-a13e-5169b00f2caa</t>
        </is>
      </c>
      <c r="D962" t="inlineStr">
        <is>
          <t>111111124</t>
        </is>
      </c>
      <c r="E962" t="inlineStr">
        <is>
          <t>Vodacom Life 20260617</t>
        </is>
      </c>
      <c r="G962" t="inlineStr">
        <is>
          <t>BONGIWE</t>
        </is>
      </c>
      <c r="H962" t="inlineStr">
        <is>
          <t>NENE</t>
        </is>
      </c>
      <c r="J962" t="inlineStr">
        <is>
          <t>CBACK</t>
        </is>
      </c>
      <c r="K962" t="inlineStr">
        <is>
          <t>Callback</t>
        </is>
      </c>
      <c r="L962" t="n">
        <v>5</v>
      </c>
      <c r="M962" t="inlineStr">
        <is>
          <t>2026-06-29 12:12:32</t>
        </is>
      </c>
      <c r="N962" t="inlineStr">
        <is>
          <t>Khensane Mabasa</t>
        </is>
      </c>
      <c r="O962" t="inlineStr">
        <is>
          <t>2026-06-17 14:10:06</t>
        </is>
      </c>
      <c r="P962" t="inlineStr">
        <is>
          <t>2026-06-17 14:10:06</t>
        </is>
      </c>
      <c r="Y962" t="inlineStr">
        <is>
          <t>27761243052</t>
        </is>
      </c>
    </row>
    <row r="963">
      <c r="A963" t="inlineStr">
        <is>
          <t>14921215</t>
        </is>
      </c>
      <c r="B963" t="inlineStr">
        <is>
          <t>5c473ee6-bf19-4a56-98e6-04016ec07ec5</t>
        </is>
      </c>
      <c r="D963" t="inlineStr">
        <is>
          <t>111111124</t>
        </is>
      </c>
      <c r="E963" t="inlineStr">
        <is>
          <t>Vodacom Life 20260617</t>
        </is>
      </c>
      <c r="G963" t="inlineStr">
        <is>
          <t>SBONELO</t>
        </is>
      </c>
      <c r="H963" t="inlineStr">
        <is>
          <t>MASHININI</t>
        </is>
      </c>
      <c r="J963" t="inlineStr">
        <is>
          <t>DROP</t>
        </is>
      </c>
      <c r="K963" t="inlineStr">
        <is>
          <t>Dropped</t>
        </is>
      </c>
      <c r="L963" t="n">
        <v>5</v>
      </c>
      <c r="M963" t="inlineStr">
        <is>
          <t>2026-06-29 12:12:32</t>
        </is>
      </c>
      <c r="N963" t="inlineStr">
        <is>
          <t>system</t>
        </is>
      </c>
      <c r="O963" t="inlineStr">
        <is>
          <t>2026-06-17 14:10:06</t>
        </is>
      </c>
      <c r="P963" t="inlineStr">
        <is>
          <t>2026-06-17 14:10:06</t>
        </is>
      </c>
      <c r="Y963" t="inlineStr">
        <is>
          <t>27823476088</t>
        </is>
      </c>
    </row>
    <row r="964">
      <c r="A964" t="inlineStr">
        <is>
          <t>14921216</t>
        </is>
      </c>
      <c r="B964" t="inlineStr">
        <is>
          <t>ba49531a-2ad4-4c1b-9365-101e73c6982b</t>
        </is>
      </c>
      <c r="D964" t="inlineStr">
        <is>
          <t>111111124</t>
        </is>
      </c>
      <c r="E964" t="inlineStr">
        <is>
          <t>Vodacom Life 20260617</t>
        </is>
      </c>
      <c r="G964" t="inlineStr">
        <is>
          <t>LAETALIEN</t>
        </is>
      </c>
      <c r="H964" t="inlineStr">
        <is>
          <t>PETERSEN</t>
        </is>
      </c>
      <c r="J964" t="inlineStr">
        <is>
          <t>AE</t>
        </is>
      </c>
      <c r="K964" t="inlineStr">
        <is>
          <t>Auto Engaged</t>
        </is>
      </c>
      <c r="L964" t="n">
        <v>5</v>
      </c>
      <c r="M964" t="inlineStr">
        <is>
          <t>2026-06-29 12:12:32</t>
        </is>
      </c>
      <c r="N964" t="inlineStr">
        <is>
          <t>system</t>
        </is>
      </c>
      <c r="O964" t="inlineStr">
        <is>
          <t>2026-06-17 14:10:06</t>
        </is>
      </c>
      <c r="P964" t="inlineStr">
        <is>
          <t>2026-06-17 14:10:06</t>
        </is>
      </c>
      <c r="Y964" t="inlineStr">
        <is>
          <t>27662715134</t>
        </is>
      </c>
    </row>
    <row r="965">
      <c r="A965" t="inlineStr">
        <is>
          <t>14921217</t>
        </is>
      </c>
      <c r="B965" t="inlineStr">
        <is>
          <t>8b37f2cf-1315-423d-bbef-6f26f0ff4035</t>
        </is>
      </c>
      <c r="D965" t="inlineStr">
        <is>
          <t>111111124</t>
        </is>
      </c>
      <c r="E965" t="inlineStr">
        <is>
          <t>Vodacom Life 20260617</t>
        </is>
      </c>
      <c r="G965" t="inlineStr">
        <is>
          <t>JAMES</t>
        </is>
      </c>
      <c r="H965" t="inlineStr">
        <is>
          <t>MALULEKE</t>
        </is>
      </c>
      <c r="J965" t="inlineStr">
        <is>
          <t>AE</t>
        </is>
      </c>
      <c r="K965" t="inlineStr">
        <is>
          <t>Auto Engaged</t>
        </is>
      </c>
      <c r="L965" t="n">
        <v>5</v>
      </c>
      <c r="M965" t="inlineStr">
        <is>
          <t>2026-06-29 12:12:32</t>
        </is>
      </c>
      <c r="N965" t="inlineStr">
        <is>
          <t>system</t>
        </is>
      </c>
      <c r="O965" t="inlineStr">
        <is>
          <t>2026-06-17 14:10:06</t>
        </is>
      </c>
      <c r="P965" t="inlineStr">
        <is>
          <t>2026-06-17 14:10:06</t>
        </is>
      </c>
      <c r="Y965" t="inlineStr">
        <is>
          <t>27715924241</t>
        </is>
      </c>
    </row>
    <row r="966">
      <c r="A966" t="inlineStr">
        <is>
          <t>14921218</t>
        </is>
      </c>
      <c r="B966" t="inlineStr">
        <is>
          <t>790a8d74-e816-4b65-bf26-c22450e3f982</t>
        </is>
      </c>
      <c r="D966" t="inlineStr">
        <is>
          <t>111111124</t>
        </is>
      </c>
      <c r="E966" t="inlineStr">
        <is>
          <t>Vodacom Life 20260617</t>
        </is>
      </c>
      <c r="G966" t="inlineStr">
        <is>
          <t>NICOLETTE</t>
        </is>
      </c>
      <c r="H966" t="inlineStr">
        <is>
          <t>SNYMAN</t>
        </is>
      </c>
      <c r="J966" t="inlineStr">
        <is>
          <t>DROP</t>
        </is>
      </c>
      <c r="K966" t="inlineStr">
        <is>
          <t>Dropped</t>
        </is>
      </c>
      <c r="L966" t="n">
        <v>5</v>
      </c>
      <c r="M966" t="inlineStr">
        <is>
          <t>2026-06-29 12:12:32</t>
        </is>
      </c>
      <c r="N966" t="inlineStr">
        <is>
          <t>system</t>
        </is>
      </c>
      <c r="O966" t="inlineStr">
        <is>
          <t>2026-06-17 14:10:06</t>
        </is>
      </c>
      <c r="P966" t="inlineStr">
        <is>
          <t>2026-06-17 14:10:06</t>
        </is>
      </c>
      <c r="Y966" t="inlineStr">
        <is>
          <t>27761850670</t>
        </is>
      </c>
    </row>
    <row r="967">
      <c r="A967" t="inlineStr">
        <is>
          <t>14921219</t>
        </is>
      </c>
      <c r="B967" t="inlineStr">
        <is>
          <t>f481fedd-134d-4cc4-bc3f-522ce097d1cb</t>
        </is>
      </c>
      <c r="D967" t="inlineStr">
        <is>
          <t>111111124</t>
        </is>
      </c>
      <c r="E967" t="inlineStr">
        <is>
          <t>Vodacom Life 20260617</t>
        </is>
      </c>
      <c r="G967" t="inlineStr">
        <is>
          <t>STHEMBILE</t>
        </is>
      </c>
      <c r="H967" t="inlineStr">
        <is>
          <t>MTHETHWA</t>
        </is>
      </c>
      <c r="J967" t="inlineStr">
        <is>
          <t>CU</t>
        </is>
      </c>
      <c r="K967" t="inlineStr">
        <is>
          <t>Client Hung Up</t>
        </is>
      </c>
      <c r="L967" t="n">
        <v>5</v>
      </c>
      <c r="M967" t="inlineStr">
        <is>
          <t>2026-06-29 12:12:30</t>
        </is>
      </c>
      <c r="N967" t="inlineStr">
        <is>
          <t>Musiiwa Mary Mabirimisa</t>
        </is>
      </c>
      <c r="O967" t="inlineStr">
        <is>
          <t>2026-06-17 14:10:06</t>
        </is>
      </c>
      <c r="P967" t="inlineStr">
        <is>
          <t>2026-06-17 14:10:06</t>
        </is>
      </c>
      <c r="Y967" t="inlineStr">
        <is>
          <t>27714754241</t>
        </is>
      </c>
    </row>
    <row r="968">
      <c r="A968" t="inlineStr">
        <is>
          <t>14921220</t>
        </is>
      </c>
      <c r="B968" t="inlineStr">
        <is>
          <t>43086ec0-439e-4d54-a5f9-6e85d10d21b9</t>
        </is>
      </c>
      <c r="D968" t="inlineStr">
        <is>
          <t>111111124</t>
        </is>
      </c>
      <c r="E968" t="inlineStr">
        <is>
          <t>Vodacom Life 20260617</t>
        </is>
      </c>
      <c r="G968" t="inlineStr">
        <is>
          <t>SIMON</t>
        </is>
      </c>
      <c r="H968" t="inlineStr">
        <is>
          <t>MBHALATI</t>
        </is>
      </c>
      <c r="J968" t="inlineStr">
        <is>
          <t>DROP</t>
        </is>
      </c>
      <c r="K968" t="inlineStr">
        <is>
          <t>Dropped</t>
        </is>
      </c>
      <c r="L968" t="n">
        <v>5</v>
      </c>
      <c r="M968" t="inlineStr">
        <is>
          <t>2026-06-29 12:12:29</t>
        </is>
      </c>
      <c r="N968" t="inlineStr">
        <is>
          <t>system</t>
        </is>
      </c>
      <c r="O968" t="inlineStr">
        <is>
          <t>2026-06-17 14:10:06</t>
        </is>
      </c>
      <c r="P968" t="inlineStr">
        <is>
          <t>2026-06-17 14:10:06</t>
        </is>
      </c>
      <c r="Y968" t="inlineStr">
        <is>
          <t>27662362780</t>
        </is>
      </c>
    </row>
    <row r="969">
      <c r="A969" t="inlineStr">
        <is>
          <t>14921223</t>
        </is>
      </c>
      <c r="B969" t="inlineStr">
        <is>
          <t>f04751d4-6abe-4e6d-b110-2a9cd19315e7</t>
        </is>
      </c>
      <c r="D969" t="inlineStr">
        <is>
          <t>111111124</t>
        </is>
      </c>
      <c r="E969" t="inlineStr">
        <is>
          <t>Vodacom Life 20260617</t>
        </is>
      </c>
      <c r="G969" t="inlineStr">
        <is>
          <t>EUGENE</t>
        </is>
      </c>
      <c r="H969" t="inlineStr">
        <is>
          <t>BUTHELEZI</t>
        </is>
      </c>
      <c r="J969" t="inlineStr">
        <is>
          <t>AE</t>
        </is>
      </c>
      <c r="K969" t="inlineStr">
        <is>
          <t>Auto Engaged</t>
        </is>
      </c>
      <c r="L969" t="n">
        <v>5</v>
      </c>
      <c r="M969" t="inlineStr">
        <is>
          <t>2026-06-29 12:12:29</t>
        </is>
      </c>
      <c r="N969" t="inlineStr">
        <is>
          <t>system</t>
        </is>
      </c>
      <c r="O969" t="inlineStr">
        <is>
          <t>2026-06-17 14:10:06</t>
        </is>
      </c>
      <c r="P969" t="inlineStr">
        <is>
          <t>2026-06-17 14:10:06</t>
        </is>
      </c>
      <c r="Y969" t="inlineStr">
        <is>
          <t>27711012164</t>
        </is>
      </c>
    </row>
    <row r="970">
      <c r="A970" t="inlineStr">
        <is>
          <t>14921225</t>
        </is>
      </c>
      <c r="B970" t="inlineStr">
        <is>
          <t>bade64a0-cefc-4760-bb60-1d2e01319482</t>
        </is>
      </c>
      <c r="D970" t="inlineStr">
        <is>
          <t>111111124</t>
        </is>
      </c>
      <c r="E970" t="inlineStr">
        <is>
          <t>Vodacom Life 20260617</t>
        </is>
      </c>
      <c r="G970" t="inlineStr">
        <is>
          <t>GERT</t>
        </is>
      </c>
      <c r="H970" t="inlineStr">
        <is>
          <t>LOOTS</t>
        </is>
      </c>
      <c r="J970" t="inlineStr">
        <is>
          <t>AA</t>
        </is>
      </c>
      <c r="K970" t="inlineStr">
        <is>
          <t>Answering Machine Autodial</t>
        </is>
      </c>
      <c r="L970" t="n">
        <v>5</v>
      </c>
      <c r="M970" t="inlineStr">
        <is>
          <t>2026-06-29 12:12:29</t>
        </is>
      </c>
      <c r="N970" t="inlineStr">
        <is>
          <t>system</t>
        </is>
      </c>
      <c r="O970" t="inlineStr">
        <is>
          <t>2026-06-17 14:10:06</t>
        </is>
      </c>
      <c r="P970" t="inlineStr">
        <is>
          <t>2026-06-17 14:10:06</t>
        </is>
      </c>
      <c r="Y970" t="inlineStr">
        <is>
          <t>27828292530</t>
        </is>
      </c>
    </row>
    <row r="971">
      <c r="A971" t="inlineStr">
        <is>
          <t>14921228</t>
        </is>
      </c>
      <c r="B971" t="inlineStr">
        <is>
          <t>771f886c-8d78-4059-9bbd-43fa45f1e500</t>
        </is>
      </c>
      <c r="D971" t="inlineStr">
        <is>
          <t>111111124</t>
        </is>
      </c>
      <c r="E971" t="inlineStr">
        <is>
          <t>Vodacom Life 20260617</t>
        </is>
      </c>
      <c r="G971" t="inlineStr">
        <is>
          <t>JULIO</t>
        </is>
      </c>
      <c r="H971" t="inlineStr">
        <is>
          <t>MANHADU</t>
        </is>
      </c>
      <c r="J971" t="inlineStr">
        <is>
          <t>ADC</t>
        </is>
      </c>
      <c r="K971" t="inlineStr">
        <is>
          <t>Auto Dial Disconnected</t>
        </is>
      </c>
      <c r="L971" t="n">
        <v>5</v>
      </c>
      <c r="M971" t="inlineStr">
        <is>
          <t>2026-06-29 12:12:28</t>
        </is>
      </c>
      <c r="N971" t="inlineStr">
        <is>
          <t>system</t>
        </is>
      </c>
      <c r="O971" t="inlineStr">
        <is>
          <t>2026-06-17 14:10:06</t>
        </is>
      </c>
      <c r="P971" t="inlineStr">
        <is>
          <t>2026-06-17 14:10:06</t>
        </is>
      </c>
      <c r="Y971" t="inlineStr">
        <is>
          <t>27822570381</t>
        </is>
      </c>
    </row>
    <row r="972">
      <c r="A972" t="inlineStr">
        <is>
          <t>14921229</t>
        </is>
      </c>
      <c r="B972" t="inlineStr">
        <is>
          <t>a79c0a27-f6c9-4e99-9f33-a44141cad18f</t>
        </is>
      </c>
      <c r="D972" t="inlineStr">
        <is>
          <t>111111124</t>
        </is>
      </c>
      <c r="E972" t="inlineStr">
        <is>
          <t>Vodacom Life 20260617</t>
        </is>
      </c>
      <c r="G972" t="inlineStr">
        <is>
          <t>ROXLEY</t>
        </is>
      </c>
      <c r="H972" t="inlineStr">
        <is>
          <t>PHASWANYA</t>
        </is>
      </c>
      <c r="J972" t="inlineStr">
        <is>
          <t>NA</t>
        </is>
      </c>
      <c r="K972" t="inlineStr">
        <is>
          <t>No Answer Autodial</t>
        </is>
      </c>
      <c r="L972" t="n">
        <v>5</v>
      </c>
      <c r="M972" t="inlineStr">
        <is>
          <t>2026-06-29 12:12:27</t>
        </is>
      </c>
      <c r="N972" t="inlineStr">
        <is>
          <t>system</t>
        </is>
      </c>
      <c r="O972" t="inlineStr">
        <is>
          <t>2026-06-17 14:10:06</t>
        </is>
      </c>
      <c r="P972" t="inlineStr">
        <is>
          <t>2026-06-17 14:10:06</t>
        </is>
      </c>
      <c r="Y972" t="inlineStr">
        <is>
          <t>27725165593</t>
        </is>
      </c>
    </row>
    <row r="973">
      <c r="A973" t="inlineStr">
        <is>
          <t>14921230</t>
        </is>
      </c>
      <c r="B973" t="inlineStr">
        <is>
          <t>2a4ac535-84b8-4c81-8ce8-c36e040e75f9</t>
        </is>
      </c>
      <c r="D973" t="inlineStr">
        <is>
          <t>111111124</t>
        </is>
      </c>
      <c r="E973" t="inlineStr">
        <is>
          <t>Vodacom Life 20260617</t>
        </is>
      </c>
      <c r="G973" t="inlineStr">
        <is>
          <t>DAWID</t>
        </is>
      </c>
      <c r="H973" t="inlineStr">
        <is>
          <t>DE BRUIN</t>
        </is>
      </c>
      <c r="J973" t="inlineStr">
        <is>
          <t>AA</t>
        </is>
      </c>
      <c r="K973" t="inlineStr">
        <is>
          <t>Answering Machine Autodial</t>
        </is>
      </c>
      <c r="L973" t="n">
        <v>5</v>
      </c>
      <c r="M973" t="inlineStr">
        <is>
          <t>2026-06-29 12:12:24</t>
        </is>
      </c>
      <c r="N973" t="inlineStr">
        <is>
          <t>system</t>
        </is>
      </c>
      <c r="O973" t="inlineStr">
        <is>
          <t>2026-06-17 14:10:06</t>
        </is>
      </c>
      <c r="P973" t="inlineStr">
        <is>
          <t>2026-06-17 14:10:06</t>
        </is>
      </c>
      <c r="Y973" t="inlineStr">
        <is>
          <t>27799749288</t>
        </is>
      </c>
    </row>
    <row r="974">
      <c r="A974" t="inlineStr">
        <is>
          <t>14921231</t>
        </is>
      </c>
      <c r="B974" t="inlineStr">
        <is>
          <t>873dcc4a-7c21-414a-b00e-1fdedeaf8832</t>
        </is>
      </c>
      <c r="D974" t="inlineStr">
        <is>
          <t>111111124</t>
        </is>
      </c>
      <c r="E974" t="inlineStr">
        <is>
          <t>Vodacom Life 20260617</t>
        </is>
      </c>
      <c r="G974" t="inlineStr">
        <is>
          <t>MANUEL</t>
        </is>
      </c>
      <c r="H974" t="inlineStr">
        <is>
          <t>DIAS</t>
        </is>
      </c>
      <c r="J974" t="inlineStr">
        <is>
          <t>AA</t>
        </is>
      </c>
      <c r="K974" t="inlineStr">
        <is>
          <t>Answering Machine Autodial</t>
        </is>
      </c>
      <c r="L974" t="n">
        <v>5</v>
      </c>
      <c r="M974" t="inlineStr">
        <is>
          <t>2026-06-29 12:12:19</t>
        </is>
      </c>
      <c r="N974" t="inlineStr">
        <is>
          <t>system</t>
        </is>
      </c>
      <c r="O974" t="inlineStr">
        <is>
          <t>2026-06-17 14:10:06</t>
        </is>
      </c>
      <c r="P974" t="inlineStr">
        <is>
          <t>2026-06-17 14:10:06</t>
        </is>
      </c>
      <c r="Y974" t="inlineStr">
        <is>
          <t>27825697600</t>
        </is>
      </c>
    </row>
    <row r="975">
      <c r="A975" t="inlineStr">
        <is>
          <t>14921232</t>
        </is>
      </c>
      <c r="B975" t="inlineStr">
        <is>
          <t>b72ac05f-ba97-475a-a9dd-1f4cd72726ac</t>
        </is>
      </c>
      <c r="D975" t="inlineStr">
        <is>
          <t>111111124</t>
        </is>
      </c>
      <c r="E975" t="inlineStr">
        <is>
          <t>Vodacom Life 20260617</t>
        </is>
      </c>
      <c r="G975" t="inlineStr">
        <is>
          <t>SINDISWA</t>
        </is>
      </c>
      <c r="H975" t="inlineStr">
        <is>
          <t>ULANA</t>
        </is>
      </c>
      <c r="J975" t="inlineStr">
        <is>
          <t>AA</t>
        </is>
      </c>
      <c r="K975" t="inlineStr">
        <is>
          <t>Answering Machine Autodial</t>
        </is>
      </c>
      <c r="L975" t="n">
        <v>5</v>
      </c>
      <c r="M975" t="inlineStr">
        <is>
          <t>2026-06-29 12:12:19</t>
        </is>
      </c>
      <c r="N975" t="inlineStr">
        <is>
          <t>system</t>
        </is>
      </c>
      <c r="O975" t="inlineStr">
        <is>
          <t>2026-06-17 14:10:06</t>
        </is>
      </c>
      <c r="P975" t="inlineStr">
        <is>
          <t>2026-06-17 14:10:06</t>
        </is>
      </c>
      <c r="Y975" t="inlineStr">
        <is>
          <t>27826190278</t>
        </is>
      </c>
    </row>
    <row r="976">
      <c r="A976" t="inlineStr">
        <is>
          <t>14921234</t>
        </is>
      </c>
      <c r="B976" t="inlineStr">
        <is>
          <t>a1a517b0-4f48-4788-8342-129b251ab825</t>
        </is>
      </c>
      <c r="D976" t="inlineStr">
        <is>
          <t>111111124</t>
        </is>
      </c>
      <c r="E976" t="inlineStr">
        <is>
          <t>Vodacom Life 20260617</t>
        </is>
      </c>
      <c r="G976" t="inlineStr">
        <is>
          <t>JAN</t>
        </is>
      </c>
      <c r="H976" t="inlineStr">
        <is>
          <t>DU PLESSIS</t>
        </is>
      </c>
      <c r="J976" t="inlineStr">
        <is>
          <t>AA</t>
        </is>
      </c>
      <c r="K976" t="inlineStr">
        <is>
          <t>Answering Machine Autodial</t>
        </is>
      </c>
      <c r="L976" t="n">
        <v>5</v>
      </c>
      <c r="M976" t="inlineStr">
        <is>
          <t>2026-06-29 12:12:19</t>
        </is>
      </c>
      <c r="N976" t="inlineStr">
        <is>
          <t>system</t>
        </is>
      </c>
      <c r="O976" t="inlineStr">
        <is>
          <t>2026-06-17 14:10:06</t>
        </is>
      </c>
      <c r="P976" t="inlineStr">
        <is>
          <t>2026-06-17 14:10:06</t>
        </is>
      </c>
      <c r="Y976" t="inlineStr">
        <is>
          <t>27662089000</t>
        </is>
      </c>
    </row>
    <row r="977">
      <c r="A977" t="inlineStr">
        <is>
          <t>14921236</t>
        </is>
      </c>
      <c r="B977" t="inlineStr">
        <is>
          <t>91487478-6518-4ad5-a3f5-25d95245557e</t>
        </is>
      </c>
      <c r="D977" t="inlineStr">
        <is>
          <t>111111124</t>
        </is>
      </c>
      <c r="E977" t="inlineStr">
        <is>
          <t>Vodacom Life 20260617</t>
        </is>
      </c>
      <c r="G977" t="inlineStr">
        <is>
          <t>MICHAEL</t>
        </is>
      </c>
      <c r="H977" t="inlineStr">
        <is>
          <t>MALALE</t>
        </is>
      </c>
      <c r="J977" t="inlineStr">
        <is>
          <t>NI</t>
        </is>
      </c>
      <c r="K977" t="inlineStr">
        <is>
          <t>Not Interested</t>
        </is>
      </c>
      <c r="L977" t="n">
        <v>5</v>
      </c>
      <c r="M977" t="inlineStr">
        <is>
          <t>2026-06-29 12:12:19</t>
        </is>
      </c>
      <c r="N977" t="inlineStr">
        <is>
          <t>Maureen Ntsoko</t>
        </is>
      </c>
      <c r="O977" t="inlineStr">
        <is>
          <t>2026-06-17 14:10:06</t>
        </is>
      </c>
      <c r="P977" t="inlineStr">
        <is>
          <t>2026-06-17 14:10:06</t>
        </is>
      </c>
      <c r="Y977" t="inlineStr">
        <is>
          <t>27662587522</t>
        </is>
      </c>
    </row>
    <row r="978">
      <c r="A978" t="inlineStr">
        <is>
          <t>14921939</t>
        </is>
      </c>
      <c r="B978" t="inlineStr">
        <is>
          <t>7d625c64-0af8-4998-b83c-5105fb0b31d9</t>
        </is>
      </c>
      <c r="D978" t="inlineStr">
        <is>
          <t>111111124</t>
        </is>
      </c>
      <c r="E978" t="inlineStr">
        <is>
          <t>Vodacom Life 20260617</t>
        </is>
      </c>
      <c r="G978" t="inlineStr">
        <is>
          <t>NOMSA</t>
        </is>
      </c>
      <c r="H978" t="inlineStr">
        <is>
          <t>MOTHIBA</t>
        </is>
      </c>
      <c r="J978" t="inlineStr">
        <is>
          <t>DROP</t>
        </is>
      </c>
      <c r="K978" t="inlineStr">
        <is>
          <t>Dropped</t>
        </is>
      </c>
      <c r="L978" t="n">
        <v>5</v>
      </c>
      <c r="M978" t="inlineStr">
        <is>
          <t>2026-06-29 12:11:42</t>
        </is>
      </c>
      <c r="N978" t="inlineStr">
        <is>
          <t>system</t>
        </is>
      </c>
      <c r="O978" t="inlineStr">
        <is>
          <t>2026-06-17 14:10:06</t>
        </is>
      </c>
      <c r="P978" t="inlineStr">
        <is>
          <t>2026-06-17 14:10:06</t>
        </is>
      </c>
      <c r="Y978" t="inlineStr">
        <is>
          <t>27768200701</t>
        </is>
      </c>
    </row>
    <row r="979">
      <c r="A979" t="inlineStr">
        <is>
          <t>14921237</t>
        </is>
      </c>
      <c r="B979" t="inlineStr">
        <is>
          <t>1b8aa2fe-f657-46c8-a29b-97fa7c4826b1</t>
        </is>
      </c>
      <c r="D979" t="inlineStr">
        <is>
          <t>111111124</t>
        </is>
      </c>
      <c r="E979" t="inlineStr">
        <is>
          <t>Vodacom Life 20260617</t>
        </is>
      </c>
      <c r="G979" t="inlineStr">
        <is>
          <t>DAVID</t>
        </is>
      </c>
      <c r="H979" t="inlineStr">
        <is>
          <t>MAAS</t>
        </is>
      </c>
      <c r="J979" t="inlineStr">
        <is>
          <t>AE</t>
        </is>
      </c>
      <c r="K979" t="inlineStr">
        <is>
          <t>Auto Engaged</t>
        </is>
      </c>
      <c r="L979" t="n">
        <v>5</v>
      </c>
      <c r="M979" t="inlineStr">
        <is>
          <t>2026-06-29 12:11:40</t>
        </is>
      </c>
      <c r="N979" t="inlineStr">
        <is>
          <t>system</t>
        </is>
      </c>
      <c r="O979" t="inlineStr">
        <is>
          <t>2026-06-17 14:10:06</t>
        </is>
      </c>
      <c r="P979" t="inlineStr">
        <is>
          <t>2026-06-17 14:10:06</t>
        </is>
      </c>
      <c r="Y979" t="inlineStr">
        <is>
          <t>27828385590</t>
        </is>
      </c>
    </row>
    <row r="980">
      <c r="A980" t="inlineStr">
        <is>
          <t>14921238</t>
        </is>
      </c>
      <c r="B980" t="inlineStr">
        <is>
          <t>6c571cc1-96dc-4c9b-92d3-015134942422</t>
        </is>
      </c>
      <c r="D980" t="inlineStr">
        <is>
          <t>111111124</t>
        </is>
      </c>
      <c r="E980" t="inlineStr">
        <is>
          <t>Vodacom Life 20260617</t>
        </is>
      </c>
      <c r="G980" t="inlineStr">
        <is>
          <t>SIMON</t>
        </is>
      </c>
      <c r="H980" t="inlineStr">
        <is>
          <t>MAHLANGU</t>
        </is>
      </c>
      <c r="J980" t="inlineStr">
        <is>
          <t>CU</t>
        </is>
      </c>
      <c r="K980" t="inlineStr">
        <is>
          <t>Client Hung Up</t>
        </is>
      </c>
      <c r="L980" t="n">
        <v>5</v>
      </c>
      <c r="M980" t="inlineStr">
        <is>
          <t>2026-06-29 12:11:32</t>
        </is>
      </c>
      <c r="N980" t="inlineStr">
        <is>
          <t>Maureen Ntsoko</t>
        </is>
      </c>
      <c r="O980" t="inlineStr">
        <is>
          <t>2026-06-17 14:10:06</t>
        </is>
      </c>
      <c r="P980" t="inlineStr">
        <is>
          <t>2026-06-17 14:10:06</t>
        </is>
      </c>
      <c r="Y980" t="inlineStr">
        <is>
          <t>27827164091</t>
        </is>
      </c>
    </row>
    <row r="981">
      <c r="A981" t="inlineStr">
        <is>
          <t>14921239</t>
        </is>
      </c>
      <c r="B981" t="inlineStr">
        <is>
          <t>ba148c46-8c14-4b57-8a25-deb09960380f</t>
        </is>
      </c>
      <c r="D981" t="inlineStr">
        <is>
          <t>111111124</t>
        </is>
      </c>
      <c r="E981" t="inlineStr">
        <is>
          <t>Vodacom Life 20260617</t>
        </is>
      </c>
      <c r="G981" t="inlineStr">
        <is>
          <t>MAGDA</t>
        </is>
      </c>
      <c r="H981" t="inlineStr">
        <is>
          <t>GROVE</t>
        </is>
      </c>
      <c r="J981" t="inlineStr">
        <is>
          <t>DROP</t>
        </is>
      </c>
      <c r="K981" t="inlineStr">
        <is>
          <t>Dropped</t>
        </is>
      </c>
      <c r="L981" t="n">
        <v>5</v>
      </c>
      <c r="M981" t="inlineStr">
        <is>
          <t>2026-06-29 12:11:30</t>
        </is>
      </c>
      <c r="N981" t="inlineStr">
        <is>
          <t>system</t>
        </is>
      </c>
      <c r="O981" t="inlineStr">
        <is>
          <t>2026-06-17 14:10:06</t>
        </is>
      </c>
      <c r="P981" t="inlineStr">
        <is>
          <t>2026-06-17 14:10:06</t>
        </is>
      </c>
      <c r="Y981" t="inlineStr">
        <is>
          <t>27760524787</t>
        </is>
      </c>
    </row>
    <row r="982">
      <c r="A982" t="inlineStr">
        <is>
          <t>14921240</t>
        </is>
      </c>
      <c r="B982" t="inlineStr">
        <is>
          <t>ff204d02-5f18-4aff-a33b-ae6fe30bff07</t>
        </is>
      </c>
      <c r="D982" t="inlineStr">
        <is>
          <t>111111124</t>
        </is>
      </c>
      <c r="E982" t="inlineStr">
        <is>
          <t>Vodacom Life 20260617</t>
        </is>
      </c>
      <c r="G982" t="inlineStr">
        <is>
          <t>DZUNISANI</t>
        </is>
      </c>
      <c r="H982" t="inlineStr">
        <is>
          <t>CHABALALA</t>
        </is>
      </c>
      <c r="J982" t="inlineStr">
        <is>
          <t>AE</t>
        </is>
      </c>
      <c r="K982" t="inlineStr">
        <is>
          <t>Auto Engaged</t>
        </is>
      </c>
      <c r="L982" t="n">
        <v>5</v>
      </c>
      <c r="M982" t="inlineStr">
        <is>
          <t>2026-06-29 12:11:27</t>
        </is>
      </c>
      <c r="N982" t="inlineStr">
        <is>
          <t>system</t>
        </is>
      </c>
      <c r="O982" t="inlineStr">
        <is>
          <t>2026-06-17 14:10:06</t>
        </is>
      </c>
      <c r="P982" t="inlineStr">
        <is>
          <t>2026-06-17 14:10:06</t>
        </is>
      </c>
      <c r="Y982" t="inlineStr">
        <is>
          <t>27660016071</t>
        </is>
      </c>
    </row>
    <row r="983">
      <c r="A983" t="inlineStr">
        <is>
          <t>14921241</t>
        </is>
      </c>
      <c r="B983" t="inlineStr">
        <is>
          <t>18f8cb66-de9c-48e5-b860-22cba4c4d338</t>
        </is>
      </c>
      <c r="D983" t="inlineStr">
        <is>
          <t>111111124</t>
        </is>
      </c>
      <c r="E983" t="inlineStr">
        <is>
          <t>Vodacom Life 20260617</t>
        </is>
      </c>
      <c r="G983" t="inlineStr">
        <is>
          <t>RADHIKA</t>
        </is>
      </c>
      <c r="H983" t="inlineStr">
        <is>
          <t>MURUVAN</t>
        </is>
      </c>
      <c r="J983" t="inlineStr">
        <is>
          <t>AE</t>
        </is>
      </c>
      <c r="K983" t="inlineStr">
        <is>
          <t>Auto Engaged</t>
        </is>
      </c>
      <c r="L983" t="n">
        <v>5</v>
      </c>
      <c r="M983" t="inlineStr">
        <is>
          <t>2026-06-29 12:11:23</t>
        </is>
      </c>
      <c r="N983" t="inlineStr">
        <is>
          <t>system</t>
        </is>
      </c>
      <c r="O983" t="inlineStr">
        <is>
          <t>2026-06-17 14:10:06</t>
        </is>
      </c>
      <c r="P983" t="inlineStr">
        <is>
          <t>2026-06-17 14:10:06</t>
        </is>
      </c>
      <c r="Y983" t="inlineStr">
        <is>
          <t>27768185710</t>
        </is>
      </c>
    </row>
    <row r="984">
      <c r="A984" t="inlineStr">
        <is>
          <t>14921243</t>
        </is>
      </c>
      <c r="B984" t="inlineStr">
        <is>
          <t>fd5a6b4b-85c8-493e-92be-7c4e623c97f2</t>
        </is>
      </c>
      <c r="D984" t="inlineStr">
        <is>
          <t>111111124</t>
        </is>
      </c>
      <c r="E984" t="inlineStr">
        <is>
          <t>Vodacom Life 20260617</t>
        </is>
      </c>
      <c r="G984" t="inlineStr">
        <is>
          <t>HEDLEY</t>
        </is>
      </c>
      <c r="H984" t="inlineStr">
        <is>
          <t>JACOBS</t>
        </is>
      </c>
      <c r="J984" t="inlineStr">
        <is>
          <t>AA</t>
        </is>
      </c>
      <c r="K984" t="inlineStr">
        <is>
          <t>Answering Machine Autodial</t>
        </is>
      </c>
      <c r="L984" t="n">
        <v>5</v>
      </c>
      <c r="M984" t="inlineStr">
        <is>
          <t>2026-06-29 12:11:23</t>
        </is>
      </c>
      <c r="N984" t="inlineStr">
        <is>
          <t>system</t>
        </is>
      </c>
      <c r="O984" t="inlineStr">
        <is>
          <t>2026-06-17 14:10:06</t>
        </is>
      </c>
      <c r="P984" t="inlineStr">
        <is>
          <t>2026-06-17 14:10:06</t>
        </is>
      </c>
      <c r="Y984" t="inlineStr">
        <is>
          <t>27827821125</t>
        </is>
      </c>
    </row>
    <row r="985">
      <c r="A985" t="inlineStr">
        <is>
          <t>14921870</t>
        </is>
      </c>
      <c r="B985" t="inlineStr">
        <is>
          <t>7fc6708a-49e6-4cf0-8012-efb1bb9c4053</t>
        </is>
      </c>
      <c r="D985" t="inlineStr">
        <is>
          <t>111111124</t>
        </is>
      </c>
      <c r="E985" t="inlineStr">
        <is>
          <t>Vodacom Life 20260617</t>
        </is>
      </c>
      <c r="G985" t="inlineStr">
        <is>
          <t>DIKELEDI</t>
        </is>
      </c>
      <c r="H985" t="inlineStr">
        <is>
          <t>RAKHETSI</t>
        </is>
      </c>
      <c r="J985" t="inlineStr">
        <is>
          <t>NA</t>
        </is>
      </c>
      <c r="K985" t="inlineStr">
        <is>
          <t>No Answer Autodial</t>
        </is>
      </c>
      <c r="L985" t="n">
        <v>5</v>
      </c>
      <c r="M985" t="inlineStr">
        <is>
          <t>2026-06-29 12:11:09</t>
        </is>
      </c>
      <c r="N985" t="inlineStr">
        <is>
          <t>system</t>
        </is>
      </c>
      <c r="O985" t="inlineStr">
        <is>
          <t>2026-06-17 14:10:06</t>
        </is>
      </c>
      <c r="P985" t="inlineStr">
        <is>
          <t>2026-06-17 14:10:06</t>
        </is>
      </c>
      <c r="Y985" t="inlineStr">
        <is>
          <t>27792461668</t>
        </is>
      </c>
    </row>
    <row r="986">
      <c r="A986" t="inlineStr">
        <is>
          <t>14921864</t>
        </is>
      </c>
      <c r="B986" t="inlineStr">
        <is>
          <t>1274b389-c8c4-4808-ac6c-5fafc941956a</t>
        </is>
      </c>
      <c r="D986" t="inlineStr">
        <is>
          <t>111111124</t>
        </is>
      </c>
      <c r="E986" t="inlineStr">
        <is>
          <t>Vodacom Life 20260617</t>
        </is>
      </c>
      <c r="G986" t="inlineStr">
        <is>
          <t>THOKO</t>
        </is>
      </c>
      <c r="H986" t="inlineStr">
        <is>
          <t>KOBEDI</t>
        </is>
      </c>
      <c r="J986" t="inlineStr">
        <is>
          <t>AA</t>
        </is>
      </c>
      <c r="K986" t="inlineStr">
        <is>
          <t>Answering Machine Autodial</t>
        </is>
      </c>
      <c r="L986" t="n">
        <v>5</v>
      </c>
      <c r="M986" t="inlineStr">
        <is>
          <t>2026-06-29 12:11:06</t>
        </is>
      </c>
      <c r="N986" t="inlineStr">
        <is>
          <t>system</t>
        </is>
      </c>
      <c r="O986" t="inlineStr">
        <is>
          <t>2026-06-17 14:10:06</t>
        </is>
      </c>
      <c r="P986" t="inlineStr">
        <is>
          <t>2026-06-17 14:10:06</t>
        </is>
      </c>
      <c r="Y986" t="inlineStr">
        <is>
          <t>27792978399</t>
        </is>
      </c>
    </row>
    <row r="987">
      <c r="A987" t="inlineStr">
        <is>
          <t>14921866</t>
        </is>
      </c>
      <c r="B987" t="inlineStr">
        <is>
          <t>dd5ce32d-0e32-4fd0-97c7-db2141f20044</t>
        </is>
      </c>
      <c r="D987" t="inlineStr">
        <is>
          <t>111111124</t>
        </is>
      </c>
      <c r="E987" t="inlineStr">
        <is>
          <t>Vodacom Life 20260617</t>
        </is>
      </c>
      <c r="G987" t="inlineStr">
        <is>
          <t>MAMANAKA</t>
        </is>
      </c>
      <c r="H987" t="inlineStr">
        <is>
          <t>NTSOLE</t>
        </is>
      </c>
      <c r="J987" t="inlineStr">
        <is>
          <t>AE</t>
        </is>
      </c>
      <c r="K987" t="inlineStr">
        <is>
          <t>Auto Engaged</t>
        </is>
      </c>
      <c r="L987" t="n">
        <v>5</v>
      </c>
      <c r="M987" t="inlineStr">
        <is>
          <t>2026-06-29 12:11:06</t>
        </is>
      </c>
      <c r="N987" t="inlineStr">
        <is>
          <t>system</t>
        </is>
      </c>
      <c r="O987" t="inlineStr">
        <is>
          <t>2026-06-17 14:10:06</t>
        </is>
      </c>
      <c r="P987" t="inlineStr">
        <is>
          <t>2026-06-17 14:10:06</t>
        </is>
      </c>
      <c r="Y987" t="inlineStr">
        <is>
          <t>27714353283</t>
        </is>
      </c>
    </row>
    <row r="988">
      <c r="A988" t="inlineStr">
        <is>
          <t>14921868</t>
        </is>
      </c>
      <c r="B988" t="inlineStr">
        <is>
          <t>66e72e6a-5ab4-4616-89f2-44b35ba0db6b</t>
        </is>
      </c>
      <c r="D988" t="inlineStr">
        <is>
          <t>111111124</t>
        </is>
      </c>
      <c r="E988" t="inlineStr">
        <is>
          <t>Vodacom Life 20260617</t>
        </is>
      </c>
      <c r="G988" t="inlineStr">
        <is>
          <t>MARIA-LANE</t>
        </is>
      </c>
      <c r="H988" t="inlineStr">
        <is>
          <t>VERMEULEN</t>
        </is>
      </c>
      <c r="J988" t="inlineStr">
        <is>
          <t>RP</t>
        </is>
      </c>
      <c r="K988" t="inlineStr">
        <is>
          <t>Right Party Not Available</t>
        </is>
      </c>
      <c r="L988" t="n">
        <v>5</v>
      </c>
      <c r="M988" t="inlineStr">
        <is>
          <t>2026-06-29 12:11:06</t>
        </is>
      </c>
      <c r="N988" t="inlineStr">
        <is>
          <t>Musiiwa Mary Mabirimisa</t>
        </is>
      </c>
      <c r="O988" t="inlineStr">
        <is>
          <t>2026-06-17 14:10:06</t>
        </is>
      </c>
      <c r="P988" t="inlineStr">
        <is>
          <t>2026-06-17 14:10:06</t>
        </is>
      </c>
      <c r="Y988" t="inlineStr">
        <is>
          <t>27714105952</t>
        </is>
      </c>
    </row>
    <row r="989">
      <c r="A989" t="inlineStr">
        <is>
          <t>14921869</t>
        </is>
      </c>
      <c r="B989" t="inlineStr">
        <is>
          <t>09c8773b-1612-4726-b1b1-f1abf3c1375e</t>
        </is>
      </c>
      <c r="D989" t="inlineStr">
        <is>
          <t>111111124</t>
        </is>
      </c>
      <c r="E989" t="inlineStr">
        <is>
          <t>Vodacom Life 20260617</t>
        </is>
      </c>
      <c r="G989" t="inlineStr">
        <is>
          <t>MZUBANZI</t>
        </is>
      </c>
      <c r="H989" t="inlineStr">
        <is>
          <t>NAZO</t>
        </is>
      </c>
      <c r="J989" t="inlineStr">
        <is>
          <t>DROP</t>
        </is>
      </c>
      <c r="K989" t="inlineStr">
        <is>
          <t>Dropped</t>
        </is>
      </c>
      <c r="L989" t="n">
        <v>5</v>
      </c>
      <c r="M989" t="inlineStr">
        <is>
          <t>2026-06-29 12:11:06</t>
        </is>
      </c>
      <c r="N989" t="inlineStr">
        <is>
          <t>system</t>
        </is>
      </c>
      <c r="O989" t="inlineStr">
        <is>
          <t>2026-06-17 14:10:06</t>
        </is>
      </c>
      <c r="P989" t="inlineStr">
        <is>
          <t>2026-06-17 14:10:06</t>
        </is>
      </c>
      <c r="Y989" t="inlineStr">
        <is>
          <t>27826190095</t>
        </is>
      </c>
    </row>
    <row r="990">
      <c r="A990" t="inlineStr">
        <is>
          <t>14921862</t>
        </is>
      </c>
      <c r="B990" t="inlineStr">
        <is>
          <t>3d6e84d7-9b2a-4efa-a777-27c0e79b2fb2</t>
        </is>
      </c>
      <c r="D990" t="inlineStr">
        <is>
          <t>111111124</t>
        </is>
      </c>
      <c r="E990" t="inlineStr">
        <is>
          <t>Vodacom Life 20260617</t>
        </is>
      </c>
      <c r="G990" t="inlineStr">
        <is>
          <t>FREDERICK</t>
        </is>
      </c>
      <c r="H990" t="inlineStr">
        <is>
          <t>PERKINS</t>
        </is>
      </c>
      <c r="J990" t="inlineStr">
        <is>
          <t>ADC</t>
        </is>
      </c>
      <c r="K990" t="inlineStr">
        <is>
          <t>Auto Dial Disconnected</t>
        </is>
      </c>
      <c r="L990" t="n">
        <v>5</v>
      </c>
      <c r="M990" t="inlineStr">
        <is>
          <t>2026-06-29 12:10:13</t>
        </is>
      </c>
      <c r="N990" t="inlineStr">
        <is>
          <t>system</t>
        </is>
      </c>
      <c r="O990" t="inlineStr">
        <is>
          <t>2026-06-17 14:10:06</t>
        </is>
      </c>
      <c r="P990" t="inlineStr">
        <is>
          <t>2026-06-17 14:10:06</t>
        </is>
      </c>
      <c r="Y990" t="inlineStr">
        <is>
          <t>27799788481</t>
        </is>
      </c>
    </row>
    <row r="991">
      <c r="A991" t="inlineStr">
        <is>
          <t>14921859</t>
        </is>
      </c>
      <c r="B991" t="inlineStr">
        <is>
          <t>874126b6-6e60-4d1b-8665-9117d2cc6743</t>
        </is>
      </c>
      <c r="D991" t="inlineStr">
        <is>
          <t>111111124</t>
        </is>
      </c>
      <c r="E991" t="inlineStr">
        <is>
          <t>Vodacom Life 20260617</t>
        </is>
      </c>
      <c r="G991" t="inlineStr">
        <is>
          <t>CHRISTOPHER</t>
        </is>
      </c>
      <c r="H991" t="inlineStr">
        <is>
          <t>ALEXANDER</t>
        </is>
      </c>
      <c r="J991" t="inlineStr">
        <is>
          <t>NA</t>
        </is>
      </c>
      <c r="K991" t="inlineStr">
        <is>
          <t>No Answer Autodial</t>
        </is>
      </c>
      <c r="L991" t="n">
        <v>5</v>
      </c>
      <c r="M991" t="inlineStr">
        <is>
          <t>2026-06-29 12:10:11</t>
        </is>
      </c>
      <c r="N991" t="inlineStr">
        <is>
          <t>system</t>
        </is>
      </c>
      <c r="O991" t="inlineStr">
        <is>
          <t>2026-06-17 14:10:06</t>
        </is>
      </c>
      <c r="P991" t="inlineStr">
        <is>
          <t>2026-06-17 14:10:06</t>
        </is>
      </c>
      <c r="Y991" t="inlineStr">
        <is>
          <t>27722863359</t>
        </is>
      </c>
    </row>
    <row r="992">
      <c r="A992" t="inlineStr">
        <is>
          <t>14921860</t>
        </is>
      </c>
      <c r="B992" t="inlineStr">
        <is>
          <t>1a36a1a9-c085-40d8-b583-1fb2da68ff73</t>
        </is>
      </c>
      <c r="D992" t="inlineStr">
        <is>
          <t>111111124</t>
        </is>
      </c>
      <c r="E992" t="inlineStr">
        <is>
          <t>Vodacom Life 20260617</t>
        </is>
      </c>
      <c r="G992" t="inlineStr">
        <is>
          <t>CORNEL</t>
        </is>
      </c>
      <c r="H992" t="inlineStr">
        <is>
          <t>BAKKER</t>
        </is>
      </c>
      <c r="J992" t="inlineStr">
        <is>
          <t>AA</t>
        </is>
      </c>
      <c r="K992" t="inlineStr">
        <is>
          <t>Answering Machine Autodial</t>
        </is>
      </c>
      <c r="L992" t="n">
        <v>5</v>
      </c>
      <c r="M992" t="inlineStr">
        <is>
          <t>2026-06-29 12:10:11</t>
        </is>
      </c>
      <c r="N992" t="inlineStr">
        <is>
          <t>system</t>
        </is>
      </c>
      <c r="O992" t="inlineStr">
        <is>
          <t>2026-06-17 14:10:06</t>
        </is>
      </c>
      <c r="P992" t="inlineStr">
        <is>
          <t>2026-06-17 14:10:06</t>
        </is>
      </c>
      <c r="Y992" t="inlineStr">
        <is>
          <t>27662710941</t>
        </is>
      </c>
    </row>
    <row r="993">
      <c r="A993" t="inlineStr">
        <is>
          <t>14921861</t>
        </is>
      </c>
      <c r="B993" t="inlineStr">
        <is>
          <t>65090822-9d55-4bfd-9b72-1e7a62480487</t>
        </is>
      </c>
      <c r="D993" t="inlineStr">
        <is>
          <t>111111124</t>
        </is>
      </c>
      <c r="E993" t="inlineStr">
        <is>
          <t>Vodacom Life 20260617</t>
        </is>
      </c>
      <c r="G993" t="inlineStr">
        <is>
          <t>MHLOLISELWA</t>
        </is>
      </c>
      <c r="H993" t="inlineStr">
        <is>
          <t>GUMBI</t>
        </is>
      </c>
      <c r="J993" t="inlineStr">
        <is>
          <t>DROP</t>
        </is>
      </c>
      <c r="K993" t="inlineStr">
        <is>
          <t>Dropped</t>
        </is>
      </c>
      <c r="L993" t="n">
        <v>5</v>
      </c>
      <c r="M993" t="inlineStr">
        <is>
          <t>2026-06-29 12:10:11</t>
        </is>
      </c>
      <c r="N993" t="inlineStr">
        <is>
          <t>system</t>
        </is>
      </c>
      <c r="O993" t="inlineStr">
        <is>
          <t>2026-06-17 14:10:06</t>
        </is>
      </c>
      <c r="P993" t="inlineStr">
        <is>
          <t>2026-06-17 14:10:06</t>
        </is>
      </c>
      <c r="Y993" t="inlineStr">
        <is>
          <t>27826130862</t>
        </is>
      </c>
    </row>
    <row r="994">
      <c r="A994" t="inlineStr">
        <is>
          <t>14921858</t>
        </is>
      </c>
      <c r="B994" t="inlineStr">
        <is>
          <t>a8b4317c-b321-4205-af6c-b8328bbb27d4</t>
        </is>
      </c>
      <c r="D994" t="inlineStr">
        <is>
          <t>111111124</t>
        </is>
      </c>
      <c r="E994" t="inlineStr">
        <is>
          <t>Vodacom Life 20260617</t>
        </is>
      </c>
      <c r="G994" t="inlineStr">
        <is>
          <t>DIMPHO</t>
        </is>
      </c>
      <c r="H994" t="inlineStr">
        <is>
          <t>MANTHATHA</t>
        </is>
      </c>
      <c r="J994" t="inlineStr">
        <is>
          <t>NI</t>
        </is>
      </c>
      <c r="K994" t="inlineStr">
        <is>
          <t>Not Interested</t>
        </is>
      </c>
      <c r="L994" t="n">
        <v>5</v>
      </c>
      <c r="M994" t="inlineStr">
        <is>
          <t>2026-06-29 12:10:03</t>
        </is>
      </c>
      <c r="N994" t="inlineStr">
        <is>
          <t>Khensane Mabasa</t>
        </is>
      </c>
      <c r="O994" t="inlineStr">
        <is>
          <t>2026-06-17 14:10:06</t>
        </is>
      </c>
      <c r="P994" t="inlineStr">
        <is>
          <t>2026-06-17 14:10:06</t>
        </is>
      </c>
      <c r="Y994" t="inlineStr">
        <is>
          <t>27724290655</t>
        </is>
      </c>
    </row>
    <row r="995">
      <c r="A995" t="inlineStr">
        <is>
          <t>14921854</t>
        </is>
      </c>
      <c r="B995" t="inlineStr">
        <is>
          <t>19084ce3-491e-42ce-840b-323a2cffee41</t>
        </is>
      </c>
      <c r="D995" t="inlineStr">
        <is>
          <t>111111124</t>
        </is>
      </c>
      <c r="E995" t="inlineStr">
        <is>
          <t>Vodacom Life 20260617</t>
        </is>
      </c>
      <c r="G995" t="inlineStr">
        <is>
          <t>MOTRAI</t>
        </is>
      </c>
      <c r="H995" t="inlineStr">
        <is>
          <t>MAPHORI</t>
        </is>
      </c>
      <c r="J995" t="inlineStr">
        <is>
          <t>AA</t>
        </is>
      </c>
      <c r="K995" t="inlineStr">
        <is>
          <t>Answering Machine Autodial</t>
        </is>
      </c>
      <c r="L995" t="n">
        <v>5</v>
      </c>
      <c r="M995" t="inlineStr">
        <is>
          <t>2026-06-29 12:09:57</t>
        </is>
      </c>
      <c r="N995" t="inlineStr">
        <is>
          <t>system</t>
        </is>
      </c>
      <c r="O995" t="inlineStr">
        <is>
          <t>2026-06-17 14:10:06</t>
        </is>
      </c>
      <c r="P995" t="inlineStr">
        <is>
          <t>2026-06-17 14:10:06</t>
        </is>
      </c>
      <c r="Y995" t="inlineStr">
        <is>
          <t>27720768100</t>
        </is>
      </c>
    </row>
    <row r="996">
      <c r="A996" t="inlineStr">
        <is>
          <t>14900000</t>
        </is>
      </c>
      <c r="B996" t="inlineStr">
        <is>
          <t>e841feb4-28e7-453f-b5a7-5300fa6d1aa8</t>
        </is>
      </c>
      <c r="D996" t="inlineStr">
        <is>
          <t>111111124</t>
        </is>
      </c>
      <c r="E996" t="inlineStr">
        <is>
          <t>Vodacom Life 20260617</t>
        </is>
      </c>
      <c r="G996" t="inlineStr">
        <is>
          <t>THEUNIS</t>
        </is>
      </c>
      <c r="H996" t="inlineStr">
        <is>
          <t>SMIT</t>
        </is>
      </c>
      <c r="J996" t="inlineStr">
        <is>
          <t>AE</t>
        </is>
      </c>
      <c r="K996" t="inlineStr">
        <is>
          <t>Auto Engaged</t>
        </is>
      </c>
      <c r="L996" t="n">
        <v>5</v>
      </c>
      <c r="M996" t="inlineStr">
        <is>
          <t>2026-06-29 12:09:57</t>
        </is>
      </c>
      <c r="N996" t="inlineStr">
        <is>
          <t>system</t>
        </is>
      </c>
      <c r="O996" t="inlineStr">
        <is>
          <t>2026-06-17 14:10:06</t>
        </is>
      </c>
      <c r="P996" t="inlineStr">
        <is>
          <t>2026-06-17 14:10:06</t>
        </is>
      </c>
      <c r="Y996" t="inlineStr">
        <is>
          <t>27828579567</t>
        </is>
      </c>
    </row>
    <row r="997">
      <c r="A997" t="inlineStr">
        <is>
          <t>14921856</t>
        </is>
      </c>
      <c r="B997" t="inlineStr">
        <is>
          <t>a9f74395-d2ed-4874-96cd-6e13929b62b6</t>
        </is>
      </c>
      <c r="D997" t="inlineStr">
        <is>
          <t>111111124</t>
        </is>
      </c>
      <c r="E997" t="inlineStr">
        <is>
          <t>Vodacom Life 20260617</t>
        </is>
      </c>
      <c r="G997" t="inlineStr">
        <is>
          <t>STEPHEN</t>
        </is>
      </c>
      <c r="H997" t="inlineStr">
        <is>
          <t>CUPIDO</t>
        </is>
      </c>
      <c r="J997" t="inlineStr">
        <is>
          <t>AA</t>
        </is>
      </c>
      <c r="K997" t="inlineStr">
        <is>
          <t>Answering Machine Autodial</t>
        </is>
      </c>
      <c r="L997" t="n">
        <v>5</v>
      </c>
      <c r="M997" t="inlineStr">
        <is>
          <t>2026-06-29 12:09:57</t>
        </is>
      </c>
      <c r="N997" t="inlineStr">
        <is>
          <t>system</t>
        </is>
      </c>
      <c r="O997" t="inlineStr">
        <is>
          <t>2026-06-17 14:10:06</t>
        </is>
      </c>
      <c r="P997" t="inlineStr">
        <is>
          <t>2026-06-17 14:10:06</t>
        </is>
      </c>
      <c r="Y997" t="inlineStr">
        <is>
          <t>27725535000</t>
        </is>
      </c>
    </row>
    <row r="998">
      <c r="A998" t="inlineStr">
        <is>
          <t>14921927</t>
        </is>
      </c>
      <c r="B998" t="inlineStr">
        <is>
          <t>7ae41b7f-2e25-439d-93ac-0d1e84c2a255</t>
        </is>
      </c>
      <c r="D998" t="inlineStr">
        <is>
          <t>111111124</t>
        </is>
      </c>
      <c r="E998" t="inlineStr">
        <is>
          <t>Vodacom Life 20260617</t>
        </is>
      </c>
      <c r="G998" t="inlineStr">
        <is>
          <t>HENDRINA</t>
        </is>
      </c>
      <c r="H998" t="inlineStr">
        <is>
          <t>FABER</t>
        </is>
      </c>
      <c r="J998" t="inlineStr">
        <is>
          <t>AA</t>
        </is>
      </c>
      <c r="K998" t="inlineStr">
        <is>
          <t>Answering Machine Autodial</t>
        </is>
      </c>
      <c r="L998" t="n">
        <v>5</v>
      </c>
      <c r="M998" t="inlineStr">
        <is>
          <t>2026-06-29 12:09:57</t>
        </is>
      </c>
      <c r="N998" t="inlineStr">
        <is>
          <t>system</t>
        </is>
      </c>
      <c r="O998" t="inlineStr">
        <is>
          <t>2026-06-17 14:10:06</t>
        </is>
      </c>
      <c r="P998" t="inlineStr">
        <is>
          <t>2026-06-17 14:10:06</t>
        </is>
      </c>
      <c r="Y998" t="inlineStr">
        <is>
          <t>27647524294</t>
        </is>
      </c>
    </row>
    <row r="999">
      <c r="A999" t="inlineStr">
        <is>
          <t>14921851</t>
        </is>
      </c>
      <c r="B999" t="inlineStr">
        <is>
          <t>8e73ba1e-4684-49a3-b71b-e2e206dd97a8</t>
        </is>
      </c>
      <c r="D999" t="inlineStr">
        <is>
          <t>111111124</t>
        </is>
      </c>
      <c r="E999" t="inlineStr">
        <is>
          <t>Vodacom Life 20260617</t>
        </is>
      </c>
      <c r="G999" t="inlineStr">
        <is>
          <t>THABANG</t>
        </is>
      </c>
      <c r="H999" t="inlineStr">
        <is>
          <t>SELEMELA</t>
        </is>
      </c>
      <c r="J999" t="inlineStr">
        <is>
          <t>CU</t>
        </is>
      </c>
      <c r="K999" t="inlineStr">
        <is>
          <t>Client Hung Up</t>
        </is>
      </c>
      <c r="L999" t="n">
        <v>5</v>
      </c>
      <c r="M999" t="inlineStr">
        <is>
          <t>2026-06-29 12:09:28</t>
        </is>
      </c>
      <c r="N999" t="inlineStr">
        <is>
          <t>Maureen Ntsoko</t>
        </is>
      </c>
      <c r="O999" t="inlineStr">
        <is>
          <t>2026-06-17 14:10:06</t>
        </is>
      </c>
      <c r="P999" t="inlineStr">
        <is>
          <t>2026-06-17 14:10:06</t>
        </is>
      </c>
      <c r="Y999" t="inlineStr">
        <is>
          <t>27728286172</t>
        </is>
      </c>
    </row>
    <row r="1000">
      <c r="A1000" t="inlineStr">
        <is>
          <t>14921853</t>
        </is>
      </c>
      <c r="B1000" t="inlineStr">
        <is>
          <t>672f0698-4908-45d0-9dbf-61a0079a11e7</t>
        </is>
      </c>
      <c r="D1000" t="inlineStr">
        <is>
          <t>111111124</t>
        </is>
      </c>
      <c r="E1000" t="inlineStr">
        <is>
          <t>Vodacom Life 20260617</t>
        </is>
      </c>
      <c r="G1000" t="inlineStr">
        <is>
          <t>JAMES</t>
        </is>
      </c>
      <c r="H1000" t="inlineStr">
        <is>
          <t>MAMBA</t>
        </is>
      </c>
      <c r="J1000" t="inlineStr">
        <is>
          <t>DROP</t>
        </is>
      </c>
      <c r="K1000" t="inlineStr">
        <is>
          <t>Dropped</t>
        </is>
      </c>
      <c r="L1000" t="n">
        <v>5</v>
      </c>
      <c r="M1000" t="inlineStr">
        <is>
          <t>2026-06-29 12:09:28</t>
        </is>
      </c>
      <c r="N1000" t="inlineStr">
        <is>
          <t>system</t>
        </is>
      </c>
      <c r="O1000" t="inlineStr">
        <is>
          <t>2026-06-17 14:10:06</t>
        </is>
      </c>
      <c r="P1000" t="inlineStr">
        <is>
          <t>2026-06-17 14:10:06</t>
        </is>
      </c>
      <c r="Y1000" t="inlineStr">
        <is>
          <t>27826057911</t>
        </is>
      </c>
    </row>
    <row r="1001">
      <c r="A1001" t="inlineStr">
        <is>
          <t>14920601</t>
        </is>
      </c>
      <c r="B1001" t="inlineStr">
        <is>
          <t>9d048d28-700f-410b-b565-672bb70ca82e</t>
        </is>
      </c>
      <c r="D1001" t="inlineStr">
        <is>
          <t>111111124</t>
        </is>
      </c>
      <c r="E1001" t="inlineStr">
        <is>
          <t>Vodacom Life 20260617</t>
        </is>
      </c>
      <c r="G1001" t="inlineStr">
        <is>
          <t>DICKSY</t>
        </is>
      </c>
      <c r="H1001" t="inlineStr">
        <is>
          <t>MABOYA</t>
        </is>
      </c>
      <c r="J1001" t="inlineStr">
        <is>
          <t>AA</t>
        </is>
      </c>
      <c r="K1001" t="inlineStr">
        <is>
          <t>Answering Machine Autodial</t>
        </is>
      </c>
      <c r="L1001" t="n">
        <v>5</v>
      </c>
      <c r="M1001" t="inlineStr">
        <is>
          <t>2026-06-29 12:09:24</t>
        </is>
      </c>
      <c r="N1001" t="inlineStr">
        <is>
          <t>system</t>
        </is>
      </c>
      <c r="O1001" t="inlineStr">
        <is>
          <t>2026-06-17 14:10:06</t>
        </is>
      </c>
      <c r="P1001" t="inlineStr">
        <is>
          <t>2026-06-17 14:10:06</t>
        </is>
      </c>
      <c r="Y1001" t="inlineStr">
        <is>
          <t>27662683909</t>
        </is>
      </c>
    </row>
    <row r="1002">
      <c r="A1002" t="inlineStr">
        <is>
          <t>14920599</t>
        </is>
      </c>
      <c r="B1002" t="inlineStr">
        <is>
          <t>7dabc188-6eb1-4c1a-9cae-1829e1b98560</t>
        </is>
      </c>
      <c r="D1002" t="inlineStr">
        <is>
          <t>111111124</t>
        </is>
      </c>
      <c r="E1002" t="inlineStr">
        <is>
          <t>Vodacom Life 20260617</t>
        </is>
      </c>
      <c r="G1002" t="inlineStr">
        <is>
          <t>DIMPHO</t>
        </is>
      </c>
      <c r="H1002" t="inlineStr">
        <is>
          <t>SHAKU</t>
        </is>
      </c>
      <c r="J1002" t="inlineStr">
        <is>
          <t>AA</t>
        </is>
      </c>
      <c r="K1002" t="inlineStr">
        <is>
          <t>Answering Machine Autodial</t>
        </is>
      </c>
      <c r="L1002" t="n">
        <v>5</v>
      </c>
      <c r="M1002" t="inlineStr">
        <is>
          <t>2026-06-29 12:09:18</t>
        </is>
      </c>
      <c r="N1002" t="inlineStr">
        <is>
          <t>system</t>
        </is>
      </c>
      <c r="O1002" t="inlineStr">
        <is>
          <t>2026-06-17 14:10:06</t>
        </is>
      </c>
      <c r="P1002" t="inlineStr">
        <is>
          <t>2026-06-17 14:10:06</t>
        </is>
      </c>
      <c r="Y1002" t="inlineStr">
        <is>
          <t>27822022933</t>
        </is>
      </c>
    </row>
    <row r="1003">
      <c r="A1003" t="inlineStr">
        <is>
          <t>14920598</t>
        </is>
      </c>
      <c r="B1003" t="inlineStr">
        <is>
          <t>f0ebec93-81e9-4070-a4c4-43108f8af736</t>
        </is>
      </c>
      <c r="D1003" t="inlineStr">
        <is>
          <t>111111124</t>
        </is>
      </c>
      <c r="E1003" t="inlineStr">
        <is>
          <t>Vodacom Life 20260617</t>
        </is>
      </c>
      <c r="G1003" t="inlineStr">
        <is>
          <t>PHILLIP</t>
        </is>
      </c>
      <c r="H1003" t="inlineStr">
        <is>
          <t>BRITS</t>
        </is>
      </c>
      <c r="J1003" t="inlineStr">
        <is>
          <t>AA</t>
        </is>
      </c>
      <c r="K1003" t="inlineStr">
        <is>
          <t>Answering Machine Autodial</t>
        </is>
      </c>
      <c r="L1003" t="n">
        <v>5</v>
      </c>
      <c r="M1003" t="inlineStr">
        <is>
          <t>2026-06-29 12:09:06</t>
        </is>
      </c>
      <c r="N1003" t="inlineStr">
        <is>
          <t>system</t>
        </is>
      </c>
      <c r="O1003" t="inlineStr">
        <is>
          <t>2026-06-17 14:10:06</t>
        </is>
      </c>
      <c r="P1003" t="inlineStr">
        <is>
          <t>2026-06-17 14:10:06</t>
        </is>
      </c>
      <c r="Y1003" t="inlineStr">
        <is>
          <t>27823135714</t>
        </is>
      </c>
    </row>
    <row r="1004">
      <c r="A1004" t="inlineStr">
        <is>
          <t>14920597</t>
        </is>
      </c>
      <c r="B1004" t="inlineStr">
        <is>
          <t>ff201d04-a949-4414-bd90-3beb8108f7ef</t>
        </is>
      </c>
      <c r="D1004" t="inlineStr">
        <is>
          <t>111111124</t>
        </is>
      </c>
      <c r="E1004" t="inlineStr">
        <is>
          <t>Vodacom Life 20260617</t>
        </is>
      </c>
      <c r="G1004" t="inlineStr">
        <is>
          <t>ELIZABETH</t>
        </is>
      </c>
      <c r="H1004" t="inlineStr">
        <is>
          <t>MSIBI</t>
        </is>
      </c>
      <c r="J1004" t="inlineStr">
        <is>
          <t>AA</t>
        </is>
      </c>
      <c r="K1004" t="inlineStr">
        <is>
          <t>Answering Machine Autodial</t>
        </is>
      </c>
      <c r="L1004" t="n">
        <v>5</v>
      </c>
      <c r="M1004" t="inlineStr">
        <is>
          <t>2026-06-29 12:08:51</t>
        </is>
      </c>
      <c r="N1004" t="inlineStr">
        <is>
          <t>system</t>
        </is>
      </c>
      <c r="O1004" t="inlineStr">
        <is>
          <t>2026-06-17 14:10:06</t>
        </is>
      </c>
      <c r="P1004" t="inlineStr">
        <is>
          <t>2026-06-17 14:10:06</t>
        </is>
      </c>
      <c r="Y1004" t="inlineStr">
        <is>
          <t>27795025086</t>
        </is>
      </c>
    </row>
    <row r="1005">
      <c r="A1005" t="inlineStr">
        <is>
          <t>14920591</t>
        </is>
      </c>
      <c r="B1005" t="inlineStr">
        <is>
          <t>ee35fa5f-ff2b-4b70-8fbf-e3734c79180b</t>
        </is>
      </c>
      <c r="D1005" t="inlineStr">
        <is>
          <t>111111124</t>
        </is>
      </c>
      <c r="E1005" t="inlineStr">
        <is>
          <t>Vodacom Life 20260617</t>
        </is>
      </c>
      <c r="G1005" t="inlineStr">
        <is>
          <t>NOSIPHO</t>
        </is>
      </c>
      <c r="H1005" t="inlineStr">
        <is>
          <t>SITHOLE</t>
        </is>
      </c>
      <c r="J1005" t="inlineStr">
        <is>
          <t>AA</t>
        </is>
      </c>
      <c r="K1005" t="inlineStr">
        <is>
          <t>Answering Machine Autodial</t>
        </is>
      </c>
      <c r="L1005" t="n">
        <v>5</v>
      </c>
      <c r="M1005" t="inlineStr">
        <is>
          <t>2026-06-29 12:08:50</t>
        </is>
      </c>
      <c r="N1005" t="inlineStr">
        <is>
          <t>system</t>
        </is>
      </c>
      <c r="O1005" t="inlineStr">
        <is>
          <t>2026-06-17 14:10:06</t>
        </is>
      </c>
      <c r="P1005" t="inlineStr">
        <is>
          <t>2026-06-17 14:10:06</t>
        </is>
      </c>
      <c r="Y1005" t="inlineStr">
        <is>
          <t>27826540526</t>
        </is>
      </c>
    </row>
    <row r="1006">
      <c r="A1006" t="inlineStr">
        <is>
          <t>14920592</t>
        </is>
      </c>
      <c r="B1006" t="inlineStr">
        <is>
          <t>2f08870d-8f7f-4298-b3e8-2d4c6b9f6fa4</t>
        </is>
      </c>
      <c r="D1006" t="inlineStr">
        <is>
          <t>111111124</t>
        </is>
      </c>
      <c r="E1006" t="inlineStr">
        <is>
          <t>Vodacom Life 20260617</t>
        </is>
      </c>
      <c r="G1006" t="inlineStr">
        <is>
          <t>CHUCHEKANI</t>
        </is>
      </c>
      <c r="H1006" t="inlineStr">
        <is>
          <t>MATHEVULA</t>
        </is>
      </c>
      <c r="J1006" t="inlineStr">
        <is>
          <t>CBACK</t>
        </is>
      </c>
      <c r="K1006" t="inlineStr">
        <is>
          <t>Callback</t>
        </is>
      </c>
      <c r="L1006" t="n">
        <v>5</v>
      </c>
      <c r="M1006" t="inlineStr">
        <is>
          <t>2026-06-29 12:08:50</t>
        </is>
      </c>
      <c r="N1006" t="inlineStr">
        <is>
          <t>Khensane Mabasa</t>
        </is>
      </c>
      <c r="O1006" t="inlineStr">
        <is>
          <t>2026-06-17 14:10:06</t>
        </is>
      </c>
      <c r="P1006" t="inlineStr">
        <is>
          <t>2026-06-17 14:10:06</t>
        </is>
      </c>
      <c r="Y1006" t="inlineStr">
        <is>
          <t>27797115363</t>
        </is>
      </c>
    </row>
    <row r="1007">
      <c r="A1007" t="inlineStr">
        <is>
          <t>14920595</t>
        </is>
      </c>
      <c r="B1007" t="inlineStr">
        <is>
          <t>31b174df-6b0d-48e8-b23e-01b8411ae12a</t>
        </is>
      </c>
      <c r="D1007" t="inlineStr">
        <is>
          <t>111111124</t>
        </is>
      </c>
      <c r="E1007" t="inlineStr">
        <is>
          <t>Vodacom Life 20260617</t>
        </is>
      </c>
      <c r="G1007" t="inlineStr">
        <is>
          <t>KEDIBONE</t>
        </is>
      </c>
      <c r="H1007" t="inlineStr">
        <is>
          <t>MASHIANE</t>
        </is>
      </c>
      <c r="J1007" t="inlineStr">
        <is>
          <t>NA</t>
        </is>
      </c>
      <c r="K1007" t="inlineStr">
        <is>
          <t>No Answer Autodial</t>
        </is>
      </c>
      <c r="L1007" t="n">
        <v>5</v>
      </c>
      <c r="M1007" t="inlineStr">
        <is>
          <t>2026-06-29 12:08:50</t>
        </is>
      </c>
      <c r="N1007" t="inlineStr">
        <is>
          <t>system</t>
        </is>
      </c>
      <c r="O1007" t="inlineStr">
        <is>
          <t>2026-06-17 14:10:06</t>
        </is>
      </c>
      <c r="P1007" t="inlineStr">
        <is>
          <t>2026-06-17 14:10:06</t>
        </is>
      </c>
      <c r="Y1007" t="inlineStr">
        <is>
          <t>27637402226</t>
        </is>
      </c>
    </row>
    <row r="1008">
      <c r="A1008" t="inlineStr">
        <is>
          <t>14920589</t>
        </is>
      </c>
      <c r="B1008" t="inlineStr">
        <is>
          <t>f240bd4d-f230-40cf-ac27-9a6bbcbbcce9</t>
        </is>
      </c>
      <c r="D1008" t="inlineStr">
        <is>
          <t>111111124</t>
        </is>
      </c>
      <c r="E1008" t="inlineStr">
        <is>
          <t>Vodacom Life 20260617</t>
        </is>
      </c>
      <c r="G1008" t="inlineStr">
        <is>
          <t>NOMAXABISO</t>
        </is>
      </c>
      <c r="H1008" t="inlineStr">
        <is>
          <t>MUKURUNGE</t>
        </is>
      </c>
      <c r="J1008" t="inlineStr">
        <is>
          <t>AA</t>
        </is>
      </c>
      <c r="K1008" t="inlineStr">
        <is>
          <t>Answering Machine Autodial</t>
        </is>
      </c>
      <c r="L1008" t="n">
        <v>5</v>
      </c>
      <c r="M1008" t="inlineStr">
        <is>
          <t>2026-06-29 12:08:49</t>
        </is>
      </c>
      <c r="N1008" t="inlineStr">
        <is>
          <t>system</t>
        </is>
      </c>
      <c r="O1008" t="inlineStr">
        <is>
          <t>2026-06-17 14:10:06</t>
        </is>
      </c>
      <c r="P1008" t="inlineStr">
        <is>
          <t>2026-06-17 14:10:06</t>
        </is>
      </c>
      <c r="Y1008" t="inlineStr">
        <is>
          <t>27829757643</t>
        </is>
      </c>
    </row>
    <row r="1009">
      <c r="A1009" t="inlineStr">
        <is>
          <t>14920590</t>
        </is>
      </c>
      <c r="B1009" t="inlineStr">
        <is>
          <t>25cf989c-4b5d-4c86-994a-dc613f4d7516</t>
        </is>
      </c>
      <c r="D1009" t="inlineStr">
        <is>
          <t>111111124</t>
        </is>
      </c>
      <c r="E1009" t="inlineStr">
        <is>
          <t>Vodacom Life 20260617</t>
        </is>
      </c>
      <c r="G1009" t="inlineStr">
        <is>
          <t>MOHAMMED</t>
        </is>
      </c>
      <c r="H1009" t="inlineStr">
        <is>
          <t>HALLIDAY</t>
        </is>
      </c>
      <c r="J1009" t="inlineStr">
        <is>
          <t>ADC</t>
        </is>
      </c>
      <c r="K1009" t="inlineStr">
        <is>
          <t>Auto Dial Disconnected</t>
        </is>
      </c>
      <c r="L1009" t="n">
        <v>5</v>
      </c>
      <c r="M1009" t="inlineStr">
        <is>
          <t>2026-06-29 12:08:49</t>
        </is>
      </c>
      <c r="N1009" t="inlineStr">
        <is>
          <t>system</t>
        </is>
      </c>
      <c r="O1009" t="inlineStr">
        <is>
          <t>2026-06-17 14:10:06</t>
        </is>
      </c>
      <c r="P1009" t="inlineStr">
        <is>
          <t>2026-06-17 14:10:06</t>
        </is>
      </c>
      <c r="Y1009" t="inlineStr">
        <is>
          <t>27829342734</t>
        </is>
      </c>
    </row>
    <row r="1010">
      <c r="A1010" t="inlineStr">
        <is>
          <t>14920587</t>
        </is>
      </c>
      <c r="B1010" t="inlineStr">
        <is>
          <t>03d65486-a9c8-44a6-862e-b14f1be50cfc</t>
        </is>
      </c>
      <c r="D1010" t="inlineStr">
        <is>
          <t>111111124</t>
        </is>
      </c>
      <c r="E1010" t="inlineStr">
        <is>
          <t>Vodacom Life 20260617</t>
        </is>
      </c>
      <c r="G1010" t="inlineStr">
        <is>
          <t>INDIANA</t>
        </is>
      </c>
      <c r="H1010" t="inlineStr">
        <is>
          <t>MAGUDULELA</t>
        </is>
      </c>
      <c r="J1010" t="inlineStr">
        <is>
          <t>AA</t>
        </is>
      </c>
      <c r="K1010" t="inlineStr">
        <is>
          <t>Answering Machine Autodial</t>
        </is>
      </c>
      <c r="L1010" t="n">
        <v>5</v>
      </c>
      <c r="M1010" t="inlineStr">
        <is>
          <t>2026-06-29 12:08:44</t>
        </is>
      </c>
      <c r="N1010" t="inlineStr">
        <is>
          <t>system</t>
        </is>
      </c>
      <c r="O1010" t="inlineStr">
        <is>
          <t>2026-06-17 14:10:06</t>
        </is>
      </c>
      <c r="P1010" t="inlineStr">
        <is>
          <t>2026-06-17 14:10:06</t>
        </is>
      </c>
      <c r="Y1010" t="inlineStr">
        <is>
          <t>27724725512</t>
        </is>
      </c>
    </row>
    <row r="1011">
      <c r="A1011" t="inlineStr">
        <is>
          <t>14920588</t>
        </is>
      </c>
      <c r="B1011" t="inlineStr">
        <is>
          <t>00dde73e-3045-470c-a7f5-1d1d011b17d9</t>
        </is>
      </c>
      <c r="D1011" t="inlineStr">
        <is>
          <t>111111124</t>
        </is>
      </c>
      <c r="E1011" t="inlineStr">
        <is>
          <t>Vodacom Life 20260617</t>
        </is>
      </c>
      <c r="G1011" t="inlineStr">
        <is>
          <t>ESTHER</t>
        </is>
      </c>
      <c r="H1011" t="inlineStr">
        <is>
          <t>MAZEBADLELE</t>
        </is>
      </c>
      <c r="J1011" t="inlineStr">
        <is>
          <t>AA</t>
        </is>
      </c>
      <c r="K1011" t="inlineStr">
        <is>
          <t>Answering Machine Autodial</t>
        </is>
      </c>
      <c r="L1011" t="n">
        <v>5</v>
      </c>
      <c r="M1011" t="inlineStr">
        <is>
          <t>2026-06-29 12:08:44</t>
        </is>
      </c>
      <c r="N1011" t="inlineStr">
        <is>
          <t>system</t>
        </is>
      </c>
      <c r="O1011" t="inlineStr">
        <is>
          <t>2026-06-17 14:10:06</t>
        </is>
      </c>
      <c r="P1011" t="inlineStr">
        <is>
          <t>2026-06-17 14:10:06</t>
        </is>
      </c>
      <c r="Y1011" t="inlineStr">
        <is>
          <t>27796639326</t>
        </is>
      </c>
    </row>
    <row r="1012">
      <c r="A1012" t="inlineStr">
        <is>
          <t>14920586</t>
        </is>
      </c>
      <c r="B1012" t="inlineStr">
        <is>
          <t>ddc33d56-b255-4a52-ba92-72c8617687a6</t>
        </is>
      </c>
      <c r="D1012" t="inlineStr">
        <is>
          <t>111111124</t>
        </is>
      </c>
      <c r="E1012" t="inlineStr">
        <is>
          <t>Vodacom Life 20260617</t>
        </is>
      </c>
      <c r="G1012" t="inlineStr">
        <is>
          <t>PHINDULO</t>
        </is>
      </c>
      <c r="H1012" t="inlineStr">
        <is>
          <t>MULAUDZI</t>
        </is>
      </c>
      <c r="J1012" t="inlineStr">
        <is>
          <t>ADC</t>
        </is>
      </c>
      <c r="K1012" t="inlineStr">
        <is>
          <t>Auto Dial Disconnected</t>
        </is>
      </c>
      <c r="L1012" t="n">
        <v>5</v>
      </c>
      <c r="M1012" t="inlineStr">
        <is>
          <t>2026-06-29 12:08:43</t>
        </is>
      </c>
      <c r="N1012" t="inlineStr">
        <is>
          <t>system</t>
        </is>
      </c>
      <c r="O1012" t="inlineStr">
        <is>
          <t>2026-06-17 14:10:06</t>
        </is>
      </c>
      <c r="P1012" t="inlineStr">
        <is>
          <t>2026-06-17 14:10:06</t>
        </is>
      </c>
      <c r="Y1012" t="inlineStr">
        <is>
          <t>27728880336</t>
        </is>
      </c>
    </row>
    <row r="1013">
      <c r="A1013" t="inlineStr">
        <is>
          <t>14920584</t>
        </is>
      </c>
      <c r="B1013" t="inlineStr">
        <is>
          <t>d96eda78-f6f1-4e2e-b16b-95563021a8df</t>
        </is>
      </c>
      <c r="D1013" t="inlineStr">
        <is>
          <t>111111124</t>
        </is>
      </c>
      <c r="E1013" t="inlineStr">
        <is>
          <t>Vodacom Life 20260617</t>
        </is>
      </c>
      <c r="G1013" t="inlineStr">
        <is>
          <t>MIHLALI</t>
        </is>
      </c>
      <c r="H1013" t="inlineStr">
        <is>
          <t>NOMNQA</t>
        </is>
      </c>
      <c r="J1013" t="inlineStr">
        <is>
          <t>AE</t>
        </is>
      </c>
      <c r="K1013" t="inlineStr">
        <is>
          <t>Auto Engaged</t>
        </is>
      </c>
      <c r="L1013" t="n">
        <v>5</v>
      </c>
      <c r="M1013" t="inlineStr">
        <is>
          <t>2026-06-29 12:08:17</t>
        </is>
      </c>
      <c r="N1013" t="inlineStr">
        <is>
          <t>system</t>
        </is>
      </c>
      <c r="O1013" t="inlineStr">
        <is>
          <t>2026-06-17 14:10:06</t>
        </is>
      </c>
      <c r="P1013" t="inlineStr">
        <is>
          <t>2026-06-17 14:10:06</t>
        </is>
      </c>
      <c r="Y1013" t="inlineStr">
        <is>
          <t>27662453554</t>
        </is>
      </c>
    </row>
    <row r="1014">
      <c r="A1014" t="inlineStr">
        <is>
          <t>14920585</t>
        </is>
      </c>
      <c r="B1014" t="inlineStr">
        <is>
          <t>411525ae-450f-4d5e-bdd1-171b4cc2d408</t>
        </is>
      </c>
      <c r="D1014" t="inlineStr">
        <is>
          <t>111111124</t>
        </is>
      </c>
      <c r="E1014" t="inlineStr">
        <is>
          <t>Vodacom Life 20260617</t>
        </is>
      </c>
      <c r="G1014" t="inlineStr">
        <is>
          <t>SINTSHELI</t>
        </is>
      </c>
      <c r="H1014" t="inlineStr">
        <is>
          <t>MOLOTYWA</t>
        </is>
      </c>
      <c r="J1014" t="inlineStr">
        <is>
          <t>AA</t>
        </is>
      </c>
      <c r="K1014" t="inlineStr">
        <is>
          <t>Answering Machine Autodial</t>
        </is>
      </c>
      <c r="L1014" t="n">
        <v>5</v>
      </c>
      <c r="M1014" t="inlineStr">
        <is>
          <t>2026-06-29 12:08:17</t>
        </is>
      </c>
      <c r="N1014" t="inlineStr">
        <is>
          <t>system</t>
        </is>
      </c>
      <c r="O1014" t="inlineStr">
        <is>
          <t>2026-06-17 14:10:06</t>
        </is>
      </c>
      <c r="P1014" t="inlineStr">
        <is>
          <t>2026-06-17 14:10:06</t>
        </is>
      </c>
      <c r="Y1014" t="inlineStr">
        <is>
          <t>27818097913</t>
        </is>
      </c>
    </row>
    <row r="1015">
      <c r="A1015" t="inlineStr">
        <is>
          <t>14920583</t>
        </is>
      </c>
      <c r="B1015" t="inlineStr">
        <is>
          <t>8d0018c5-bbcd-41ec-bd81-bc41c044ba77</t>
        </is>
      </c>
      <c r="D1015" t="inlineStr">
        <is>
          <t>111111124</t>
        </is>
      </c>
      <c r="E1015" t="inlineStr">
        <is>
          <t>Vodacom Life 20260617</t>
        </is>
      </c>
      <c r="G1015" t="inlineStr">
        <is>
          <t>THOKOZANI</t>
        </is>
      </c>
      <c r="H1015" t="inlineStr">
        <is>
          <t>KUBHEKA</t>
        </is>
      </c>
      <c r="J1015" t="inlineStr">
        <is>
          <t>CU</t>
        </is>
      </c>
      <c r="K1015" t="inlineStr">
        <is>
          <t>Client Hung Up</t>
        </is>
      </c>
      <c r="L1015" t="n">
        <v>5</v>
      </c>
      <c r="M1015" t="inlineStr">
        <is>
          <t>2026-06-29 12:08:08</t>
        </is>
      </c>
      <c r="N1015" t="inlineStr">
        <is>
          <t>Khensane Mabasa</t>
        </is>
      </c>
      <c r="O1015" t="inlineStr">
        <is>
          <t>2026-06-17 14:10:06</t>
        </is>
      </c>
      <c r="P1015" t="inlineStr">
        <is>
          <t>2026-06-17 14:10:06</t>
        </is>
      </c>
      <c r="Y1015" t="inlineStr">
        <is>
          <t>27663405340</t>
        </is>
      </c>
    </row>
    <row r="1016">
      <c r="A1016" t="inlineStr">
        <is>
          <t>14920582</t>
        </is>
      </c>
      <c r="B1016" t="inlineStr">
        <is>
          <t>5cb9a6d9-d884-406e-98f4-c5bd5633e0cb</t>
        </is>
      </c>
      <c r="D1016" t="inlineStr">
        <is>
          <t>111111124</t>
        </is>
      </c>
      <c r="E1016" t="inlineStr">
        <is>
          <t>Vodacom Life 20260617</t>
        </is>
      </c>
      <c r="G1016" t="inlineStr">
        <is>
          <t>MPHIWA</t>
        </is>
      </c>
      <c r="H1016" t="inlineStr">
        <is>
          <t>MAHAPA</t>
        </is>
      </c>
      <c r="J1016" t="inlineStr">
        <is>
          <t>ADC</t>
        </is>
      </c>
      <c r="K1016" t="inlineStr">
        <is>
          <t>Auto Dial Disconnected</t>
        </is>
      </c>
      <c r="L1016" t="n">
        <v>5</v>
      </c>
      <c r="M1016" t="inlineStr">
        <is>
          <t>2026-06-29 12:08:06</t>
        </is>
      </c>
      <c r="N1016" t="inlineStr">
        <is>
          <t>system</t>
        </is>
      </c>
      <c r="O1016" t="inlineStr">
        <is>
          <t>2026-06-17 14:10:06</t>
        </is>
      </c>
      <c r="P1016" t="inlineStr">
        <is>
          <t>2026-06-17 14:10:06</t>
        </is>
      </c>
      <c r="Y1016" t="inlineStr">
        <is>
          <t>27828328598</t>
        </is>
      </c>
    </row>
    <row r="1017">
      <c r="A1017" t="inlineStr">
        <is>
          <t>14920581</t>
        </is>
      </c>
      <c r="B1017" t="inlineStr">
        <is>
          <t>2a01653f-6379-42da-8672-bea3df56726a</t>
        </is>
      </c>
      <c r="D1017" t="inlineStr">
        <is>
          <t>111111124</t>
        </is>
      </c>
      <c r="E1017" t="inlineStr">
        <is>
          <t>Vodacom Life 20260617</t>
        </is>
      </c>
      <c r="G1017" t="inlineStr">
        <is>
          <t>NKHANGWELENI</t>
        </is>
      </c>
      <c r="H1017" t="inlineStr">
        <is>
          <t>MULOVHEDZI</t>
        </is>
      </c>
      <c r="J1017" t="inlineStr">
        <is>
          <t>AE</t>
        </is>
      </c>
      <c r="K1017" t="inlineStr">
        <is>
          <t>Auto Engaged</t>
        </is>
      </c>
      <c r="L1017" t="n">
        <v>5</v>
      </c>
      <c r="M1017" t="inlineStr">
        <is>
          <t>2026-06-29 12:08:01</t>
        </is>
      </c>
      <c r="N1017" t="inlineStr">
        <is>
          <t>system</t>
        </is>
      </c>
      <c r="O1017" t="inlineStr">
        <is>
          <t>2026-06-17 14:10:06</t>
        </is>
      </c>
      <c r="P1017" t="inlineStr">
        <is>
          <t>2026-06-17 14:10:06</t>
        </is>
      </c>
      <c r="Y1017" t="inlineStr">
        <is>
          <t>27827579764</t>
        </is>
      </c>
    </row>
    <row r="1018">
      <c r="A1018" t="inlineStr">
        <is>
          <t>14920579</t>
        </is>
      </c>
      <c r="B1018" t="inlineStr">
        <is>
          <t>71f5937d-b34e-4851-82fa-0f63f4ae39f7</t>
        </is>
      </c>
      <c r="D1018" t="inlineStr">
        <is>
          <t>111111124</t>
        </is>
      </c>
      <c r="E1018" t="inlineStr">
        <is>
          <t>Vodacom Life 20260617</t>
        </is>
      </c>
      <c r="G1018" t="inlineStr">
        <is>
          <t>ANDE</t>
        </is>
      </c>
      <c r="H1018" t="inlineStr">
        <is>
          <t>MALI</t>
        </is>
      </c>
      <c r="J1018" t="inlineStr">
        <is>
          <t>NA</t>
        </is>
      </c>
      <c r="K1018" t="inlineStr">
        <is>
          <t>No Answer Autodial</t>
        </is>
      </c>
      <c r="L1018" t="n">
        <v>5</v>
      </c>
      <c r="M1018" t="inlineStr">
        <is>
          <t>2026-06-29 12:07:59</t>
        </is>
      </c>
      <c r="N1018" t="inlineStr">
        <is>
          <t>system</t>
        </is>
      </c>
      <c r="O1018" t="inlineStr">
        <is>
          <t>2026-06-17 14:10:06</t>
        </is>
      </c>
      <c r="P1018" t="inlineStr">
        <is>
          <t>2026-06-17 14:10:06</t>
        </is>
      </c>
      <c r="Y1018" t="inlineStr">
        <is>
          <t>27636041820</t>
        </is>
      </c>
    </row>
    <row r="1019">
      <c r="A1019" t="inlineStr">
        <is>
          <t>14920580</t>
        </is>
      </c>
      <c r="B1019" t="inlineStr">
        <is>
          <t>aba296ae-84d4-4f04-a13f-bfd6be44dfb3</t>
        </is>
      </c>
      <c r="D1019" t="inlineStr">
        <is>
          <t>111111124</t>
        </is>
      </c>
      <c r="E1019" t="inlineStr">
        <is>
          <t>Vodacom Life 20260617</t>
        </is>
      </c>
      <c r="G1019" t="inlineStr">
        <is>
          <t>PETRUS</t>
        </is>
      </c>
      <c r="H1019" t="inlineStr">
        <is>
          <t>ERASMUS</t>
        </is>
      </c>
      <c r="J1019" t="inlineStr">
        <is>
          <t>AE</t>
        </is>
      </c>
      <c r="K1019" t="inlineStr">
        <is>
          <t>Auto Engaged</t>
        </is>
      </c>
      <c r="L1019" t="n">
        <v>5</v>
      </c>
      <c r="M1019" t="inlineStr">
        <is>
          <t>2026-06-29 12:07:59</t>
        </is>
      </c>
      <c r="N1019" t="inlineStr">
        <is>
          <t>system</t>
        </is>
      </c>
      <c r="O1019" t="inlineStr">
        <is>
          <t>2026-06-17 14:10:06</t>
        </is>
      </c>
      <c r="P1019" t="inlineStr">
        <is>
          <t>2026-06-17 14:10:06</t>
        </is>
      </c>
      <c r="Y1019" t="inlineStr">
        <is>
          <t>27796548258</t>
        </is>
      </c>
    </row>
    <row r="1020">
      <c r="A1020" t="inlineStr">
        <is>
          <t>14920576</t>
        </is>
      </c>
      <c r="B1020" t="inlineStr">
        <is>
          <t>a76de004-4b81-47e2-84f9-b2376791a0da</t>
        </is>
      </c>
      <c r="D1020" t="inlineStr">
        <is>
          <t>111111124</t>
        </is>
      </c>
      <c r="E1020" t="inlineStr">
        <is>
          <t>Vodacom Life 20260617</t>
        </is>
      </c>
      <c r="G1020" t="inlineStr">
        <is>
          <t>LUCKY</t>
        </is>
      </c>
      <c r="H1020" t="inlineStr">
        <is>
          <t>SOKO</t>
        </is>
      </c>
      <c r="J1020" t="inlineStr">
        <is>
          <t>DROP</t>
        </is>
      </c>
      <c r="K1020" t="inlineStr">
        <is>
          <t>Dropped</t>
        </is>
      </c>
      <c r="L1020" t="n">
        <v>5</v>
      </c>
      <c r="M1020" t="inlineStr">
        <is>
          <t>2026-06-29 12:07:28</t>
        </is>
      </c>
      <c r="N1020" t="inlineStr">
        <is>
          <t>system</t>
        </is>
      </c>
      <c r="O1020" t="inlineStr">
        <is>
          <t>2026-06-17 14:10:06</t>
        </is>
      </c>
      <c r="P1020" t="inlineStr">
        <is>
          <t>2026-06-17 14:10:06</t>
        </is>
      </c>
      <c r="Y1020" t="inlineStr">
        <is>
          <t>27820546387</t>
        </is>
      </c>
    </row>
    <row r="1021">
      <c r="A1021" t="inlineStr">
        <is>
          <t>14920578</t>
        </is>
      </c>
      <c r="B1021" t="inlineStr">
        <is>
          <t>d641af8d-e802-457c-97e0-8b1315eccda1</t>
        </is>
      </c>
      <c r="D1021" t="inlineStr">
        <is>
          <t>111111124</t>
        </is>
      </c>
      <c r="E1021" t="inlineStr">
        <is>
          <t>Vodacom Life 20260617</t>
        </is>
      </c>
      <c r="G1021" t="inlineStr">
        <is>
          <t>LEON</t>
        </is>
      </c>
      <c r="H1021" t="inlineStr">
        <is>
          <t>MASSYN</t>
        </is>
      </c>
      <c r="J1021" t="inlineStr">
        <is>
          <t>AE</t>
        </is>
      </c>
      <c r="K1021" t="inlineStr">
        <is>
          <t>Auto Engaged</t>
        </is>
      </c>
      <c r="L1021" t="n">
        <v>5</v>
      </c>
      <c r="M1021" t="inlineStr">
        <is>
          <t>2026-06-29 12:07:28</t>
        </is>
      </c>
      <c r="N1021" t="inlineStr">
        <is>
          <t>system</t>
        </is>
      </c>
      <c r="O1021" t="inlineStr">
        <is>
          <t>2026-06-17 14:10:06</t>
        </is>
      </c>
      <c r="P1021" t="inlineStr">
        <is>
          <t>2026-06-17 14:10:06</t>
        </is>
      </c>
      <c r="Y1021" t="inlineStr">
        <is>
          <t>27734384624</t>
        </is>
      </c>
    </row>
    <row r="1022">
      <c r="A1022" t="inlineStr">
        <is>
          <t>14920577</t>
        </is>
      </c>
      <c r="B1022" t="inlineStr">
        <is>
          <t>d203bfff-c1dd-401f-80f2-51c2598dafca</t>
        </is>
      </c>
      <c r="D1022" t="inlineStr">
        <is>
          <t>111111124</t>
        </is>
      </c>
      <c r="E1022" t="inlineStr">
        <is>
          <t>Vodacom Life 20260617</t>
        </is>
      </c>
      <c r="G1022" t="inlineStr">
        <is>
          <t>KEKETSO</t>
        </is>
      </c>
      <c r="H1022" t="inlineStr">
        <is>
          <t>MKUMBENI</t>
        </is>
      </c>
      <c r="J1022" t="inlineStr">
        <is>
          <t>DROP</t>
        </is>
      </c>
      <c r="K1022" t="inlineStr">
        <is>
          <t>Dropped</t>
        </is>
      </c>
      <c r="L1022" t="n">
        <v>5</v>
      </c>
      <c r="M1022" t="inlineStr">
        <is>
          <t>2026-06-29 12:07:27</t>
        </is>
      </c>
      <c r="N1022" t="inlineStr">
        <is>
          <t>system</t>
        </is>
      </c>
      <c r="O1022" t="inlineStr">
        <is>
          <t>2026-06-17 14:10:06</t>
        </is>
      </c>
      <c r="P1022" t="inlineStr">
        <is>
          <t>2026-06-17 14:10:06</t>
        </is>
      </c>
      <c r="Y1022" t="inlineStr">
        <is>
          <t>27824682398</t>
        </is>
      </c>
    </row>
    <row r="1023">
      <c r="A1023" t="inlineStr">
        <is>
          <t>14920574</t>
        </is>
      </c>
      <c r="B1023" t="inlineStr">
        <is>
          <t>49101407-6595-4287-a18b-09e05b3a061b</t>
        </is>
      </c>
      <c r="D1023" t="inlineStr">
        <is>
          <t>111111124</t>
        </is>
      </c>
      <c r="E1023" t="inlineStr">
        <is>
          <t>Vodacom Life 20260617</t>
        </is>
      </c>
      <c r="G1023" t="inlineStr">
        <is>
          <t>ORATILE</t>
        </is>
      </c>
      <c r="H1023" t="inlineStr">
        <is>
          <t>MMUSI</t>
        </is>
      </c>
      <c r="J1023" t="inlineStr">
        <is>
          <t>AE</t>
        </is>
      </c>
      <c r="K1023" t="inlineStr">
        <is>
          <t>Auto Engaged</t>
        </is>
      </c>
      <c r="L1023" t="n">
        <v>5</v>
      </c>
      <c r="M1023" t="inlineStr">
        <is>
          <t>2026-06-29 12:07:22</t>
        </is>
      </c>
      <c r="N1023" t="inlineStr">
        <is>
          <t>system</t>
        </is>
      </c>
      <c r="O1023" t="inlineStr">
        <is>
          <t>2026-06-17 14:10:06</t>
        </is>
      </c>
      <c r="P1023" t="inlineStr">
        <is>
          <t>2026-06-17 14:10:06</t>
        </is>
      </c>
      <c r="Y1023" t="inlineStr">
        <is>
          <t>27796925203</t>
        </is>
      </c>
    </row>
    <row r="1024">
      <c r="A1024" t="inlineStr">
        <is>
          <t>14920575</t>
        </is>
      </c>
      <c r="B1024" t="inlineStr">
        <is>
          <t>60d05aae-72a8-4dbc-9541-1ce4296333c8</t>
        </is>
      </c>
      <c r="D1024" t="inlineStr">
        <is>
          <t>111111124</t>
        </is>
      </c>
      <c r="E1024" t="inlineStr">
        <is>
          <t>Vodacom Life 20260617</t>
        </is>
      </c>
      <c r="G1024" t="inlineStr">
        <is>
          <t>COMFORT</t>
        </is>
      </c>
      <c r="H1024" t="inlineStr">
        <is>
          <t>SEHLOLA</t>
        </is>
      </c>
      <c r="J1024" t="inlineStr">
        <is>
          <t>DROP</t>
        </is>
      </c>
      <c r="K1024" t="inlineStr">
        <is>
          <t>Dropped</t>
        </is>
      </c>
      <c r="L1024" t="n">
        <v>5</v>
      </c>
      <c r="M1024" t="inlineStr">
        <is>
          <t>2026-06-29 12:07:22</t>
        </is>
      </c>
      <c r="N1024" t="inlineStr">
        <is>
          <t>system</t>
        </is>
      </c>
      <c r="O1024" t="inlineStr">
        <is>
          <t>2026-06-17 14:10:06</t>
        </is>
      </c>
      <c r="P1024" t="inlineStr">
        <is>
          <t>2026-06-17 14:10:06</t>
        </is>
      </c>
      <c r="Y1024" t="inlineStr">
        <is>
          <t>27711474282</t>
        </is>
      </c>
    </row>
    <row r="1025">
      <c r="A1025" t="inlineStr">
        <is>
          <t>14921123</t>
        </is>
      </c>
      <c r="B1025" t="inlineStr">
        <is>
          <t>548d288b-6b26-454f-b787-b28a9365bd9e</t>
        </is>
      </c>
      <c r="D1025" t="inlineStr">
        <is>
          <t>111111124</t>
        </is>
      </c>
      <c r="E1025" t="inlineStr">
        <is>
          <t>Vodacom Life 20260617</t>
        </is>
      </c>
      <c r="G1025" t="inlineStr">
        <is>
          <t>NONKULULEKO</t>
        </is>
      </c>
      <c r="H1025" t="inlineStr">
        <is>
          <t>KHUMALO</t>
        </is>
      </c>
      <c r="J1025" t="inlineStr">
        <is>
          <t>AA</t>
        </is>
      </c>
      <c r="K1025" t="inlineStr">
        <is>
          <t>Answering Machine Autodial</t>
        </is>
      </c>
      <c r="L1025" t="n">
        <v>5</v>
      </c>
      <c r="M1025" t="inlineStr">
        <is>
          <t>2026-06-29 12:07:22</t>
        </is>
      </c>
      <c r="N1025" t="inlineStr">
        <is>
          <t>system</t>
        </is>
      </c>
      <c r="O1025" t="inlineStr">
        <is>
          <t>2026-06-17 14:10:06</t>
        </is>
      </c>
      <c r="P1025" t="inlineStr">
        <is>
          <t>2026-06-17 14:10:06</t>
        </is>
      </c>
      <c r="Y1025" t="inlineStr">
        <is>
          <t>27823217424</t>
        </is>
      </c>
    </row>
    <row r="1026">
      <c r="A1026" t="inlineStr">
        <is>
          <t>14921125</t>
        </is>
      </c>
      <c r="B1026" t="inlineStr">
        <is>
          <t>64ac4c80-8e09-4e3f-bbab-3d7b2e68f3c6</t>
        </is>
      </c>
      <c r="D1026" t="inlineStr">
        <is>
          <t>111111124</t>
        </is>
      </c>
      <c r="E1026" t="inlineStr">
        <is>
          <t>Vodacom Life 20260617</t>
        </is>
      </c>
      <c r="G1026" t="inlineStr">
        <is>
          <t>KEMJIKA</t>
        </is>
      </c>
      <c r="H1026" t="inlineStr">
        <is>
          <t>SHILUBANA</t>
        </is>
      </c>
      <c r="J1026" t="inlineStr">
        <is>
          <t>CU</t>
        </is>
      </c>
      <c r="K1026" t="inlineStr">
        <is>
          <t>Client Hung Up</t>
        </is>
      </c>
      <c r="L1026" t="n">
        <v>5</v>
      </c>
      <c r="M1026" t="inlineStr">
        <is>
          <t>2026-06-29 12:07:22</t>
        </is>
      </c>
      <c r="N1026" t="inlineStr">
        <is>
          <t>bongiwe lushaba</t>
        </is>
      </c>
      <c r="O1026" t="inlineStr">
        <is>
          <t>2026-06-17 14:10:06</t>
        </is>
      </c>
      <c r="P1026" t="inlineStr">
        <is>
          <t>2026-06-17 14:10:06</t>
        </is>
      </c>
      <c r="Y1026" t="inlineStr">
        <is>
          <t>27765920925</t>
        </is>
      </c>
    </row>
    <row r="1027">
      <c r="A1027" t="inlineStr">
        <is>
          <t>14921124</t>
        </is>
      </c>
      <c r="B1027" t="inlineStr">
        <is>
          <t>93c65590-0bd2-48f1-80b7-f44ad5736562</t>
        </is>
      </c>
      <c r="D1027" t="inlineStr">
        <is>
          <t>111111124</t>
        </is>
      </c>
      <c r="E1027" t="inlineStr">
        <is>
          <t>Vodacom Life 20260617</t>
        </is>
      </c>
      <c r="G1027" t="inlineStr">
        <is>
          <t>MICHAEL</t>
        </is>
      </c>
      <c r="H1027" t="inlineStr">
        <is>
          <t>TALJAARD</t>
        </is>
      </c>
      <c r="J1027" t="inlineStr">
        <is>
          <t>AE</t>
        </is>
      </c>
      <c r="K1027" t="inlineStr">
        <is>
          <t>Auto Engaged</t>
        </is>
      </c>
      <c r="L1027" t="n">
        <v>5</v>
      </c>
      <c r="M1027" t="inlineStr">
        <is>
          <t>2026-06-29 12:07:20</t>
        </is>
      </c>
      <c r="N1027" t="inlineStr">
        <is>
          <t>system</t>
        </is>
      </c>
      <c r="O1027" t="inlineStr">
        <is>
          <t>2026-06-17 14:10:06</t>
        </is>
      </c>
      <c r="P1027" t="inlineStr">
        <is>
          <t>2026-06-17 14:10:06</t>
        </is>
      </c>
      <c r="Y1027" t="inlineStr">
        <is>
          <t>27725056829</t>
        </is>
      </c>
    </row>
    <row r="1028">
      <c r="A1028" t="inlineStr">
        <is>
          <t>14920573</t>
        </is>
      </c>
      <c r="B1028" t="inlineStr">
        <is>
          <t>a4795bcd-d044-4236-a47b-110c0bb13b4c</t>
        </is>
      </c>
      <c r="D1028" t="inlineStr">
        <is>
          <t>111111124</t>
        </is>
      </c>
      <c r="E1028" t="inlineStr">
        <is>
          <t>Vodacom Life 20260617</t>
        </is>
      </c>
      <c r="G1028" t="inlineStr">
        <is>
          <t>RANTI</t>
        </is>
      </c>
      <c r="H1028" t="inlineStr">
        <is>
          <t>NTSOAHAE</t>
        </is>
      </c>
      <c r="J1028" t="inlineStr">
        <is>
          <t>CCB</t>
        </is>
      </c>
      <c r="K1028" t="inlineStr">
        <is>
          <t>Call Dropped</t>
        </is>
      </c>
      <c r="L1028" t="n">
        <v>5</v>
      </c>
      <c r="M1028" t="inlineStr">
        <is>
          <t>2026-06-29 12:07:19</t>
        </is>
      </c>
      <c r="N1028" t="inlineStr">
        <is>
          <t>Musiiwa Mary Mabirimisa</t>
        </is>
      </c>
      <c r="O1028" t="inlineStr">
        <is>
          <t>2026-06-17 14:10:06</t>
        </is>
      </c>
      <c r="P1028" t="inlineStr">
        <is>
          <t>2026-06-17 14:10:06</t>
        </is>
      </c>
      <c r="Y1028" t="inlineStr">
        <is>
          <t>27823215055</t>
        </is>
      </c>
    </row>
    <row r="1029">
      <c r="A1029" t="inlineStr">
        <is>
          <t>14920571</t>
        </is>
      </c>
      <c r="B1029" t="inlineStr">
        <is>
          <t>f00cef6d-403a-457d-8a86-c4334790ed25</t>
        </is>
      </c>
      <c r="D1029" t="inlineStr">
        <is>
          <t>111111124</t>
        </is>
      </c>
      <c r="E1029" t="inlineStr">
        <is>
          <t>Vodacom Life 20260617</t>
        </is>
      </c>
      <c r="G1029" t="inlineStr">
        <is>
          <t>MARTHA</t>
        </is>
      </c>
      <c r="H1029" t="inlineStr">
        <is>
          <t>VAN DYK</t>
        </is>
      </c>
      <c r="J1029" t="inlineStr">
        <is>
          <t>NA</t>
        </is>
      </c>
      <c r="K1029" t="inlineStr">
        <is>
          <t>No Answer Autodial</t>
        </is>
      </c>
      <c r="L1029" t="n">
        <v>5</v>
      </c>
      <c r="M1029" t="inlineStr">
        <is>
          <t>2026-06-29 12:07:07</t>
        </is>
      </c>
      <c r="N1029" t="inlineStr">
        <is>
          <t>system</t>
        </is>
      </c>
      <c r="O1029" t="inlineStr">
        <is>
          <t>2026-06-17 14:10:06</t>
        </is>
      </c>
      <c r="P1029" t="inlineStr">
        <is>
          <t>2026-06-17 14:10:06</t>
        </is>
      </c>
      <c r="Y1029" t="inlineStr">
        <is>
          <t>27823560986</t>
        </is>
      </c>
    </row>
    <row r="1030">
      <c r="A1030" t="inlineStr">
        <is>
          <t>14920569</t>
        </is>
      </c>
      <c r="B1030" t="inlineStr">
        <is>
          <t>76245666-c2f7-4167-96f5-105da2d97e97</t>
        </is>
      </c>
      <c r="D1030" t="inlineStr">
        <is>
          <t>111111124</t>
        </is>
      </c>
      <c r="E1030" t="inlineStr">
        <is>
          <t>Vodacom Life 20260617</t>
        </is>
      </c>
      <c r="G1030" t="inlineStr">
        <is>
          <t>MARIA</t>
        </is>
      </c>
      <c r="H1030" t="inlineStr">
        <is>
          <t>DE OLIVEIRA</t>
        </is>
      </c>
      <c r="J1030" t="inlineStr">
        <is>
          <t>AA</t>
        </is>
      </c>
      <c r="K1030" t="inlineStr">
        <is>
          <t>Answering Machine Autodial</t>
        </is>
      </c>
      <c r="L1030" t="n">
        <v>5</v>
      </c>
      <c r="M1030" t="inlineStr">
        <is>
          <t>2026-06-29 12:07:03</t>
        </is>
      </c>
      <c r="N1030" t="inlineStr">
        <is>
          <t>system</t>
        </is>
      </c>
      <c r="O1030" t="inlineStr">
        <is>
          <t>2026-06-17 14:10:06</t>
        </is>
      </c>
      <c r="P1030" t="inlineStr">
        <is>
          <t>2026-06-17 14:10:06</t>
        </is>
      </c>
      <c r="Y1030" t="inlineStr">
        <is>
          <t>27725396322</t>
        </is>
      </c>
    </row>
    <row r="1031">
      <c r="A1031" t="inlineStr">
        <is>
          <t>14920568</t>
        </is>
      </c>
      <c r="B1031" t="inlineStr">
        <is>
          <t>9f221efa-8704-42e9-b4ea-0e7802dbcdd8</t>
        </is>
      </c>
      <c r="D1031" t="inlineStr">
        <is>
          <t>111111124</t>
        </is>
      </c>
      <c r="E1031" t="inlineStr">
        <is>
          <t>Vodacom Life 20260617</t>
        </is>
      </c>
      <c r="G1031" t="inlineStr">
        <is>
          <t>NONTUTHUKO</t>
        </is>
      </c>
      <c r="H1031" t="inlineStr">
        <is>
          <t>NZIMANDE</t>
        </is>
      </c>
      <c r="J1031" t="inlineStr">
        <is>
          <t>AA</t>
        </is>
      </c>
      <c r="K1031" t="inlineStr">
        <is>
          <t>Answering Machine Autodial</t>
        </is>
      </c>
      <c r="L1031" t="n">
        <v>5</v>
      </c>
      <c r="M1031" t="inlineStr">
        <is>
          <t>2026-06-29 12:06:54</t>
        </is>
      </c>
      <c r="N1031" t="inlineStr">
        <is>
          <t>system</t>
        </is>
      </c>
      <c r="O1031" t="inlineStr">
        <is>
          <t>2026-06-17 14:10:06</t>
        </is>
      </c>
      <c r="P1031" t="inlineStr">
        <is>
          <t>2026-06-17 14:10:06</t>
        </is>
      </c>
      <c r="Y1031" t="inlineStr">
        <is>
          <t>27607330943</t>
        </is>
      </c>
    </row>
    <row r="1032">
      <c r="A1032" t="inlineStr">
        <is>
          <t>14920566</t>
        </is>
      </c>
      <c r="B1032" t="inlineStr">
        <is>
          <t>b0a21105-5247-4a02-8aff-ea94087e83a5</t>
        </is>
      </c>
      <c r="D1032" t="inlineStr">
        <is>
          <t>111111124</t>
        </is>
      </c>
      <c r="E1032" t="inlineStr">
        <is>
          <t>Vodacom Life 20260617</t>
        </is>
      </c>
      <c r="G1032" t="inlineStr">
        <is>
          <t>PEGINAH</t>
        </is>
      </c>
      <c r="H1032" t="inlineStr">
        <is>
          <t>MALEBATHE</t>
        </is>
      </c>
      <c r="J1032" t="inlineStr">
        <is>
          <t>AA</t>
        </is>
      </c>
      <c r="K1032" t="inlineStr">
        <is>
          <t>Answering Machine Autodial</t>
        </is>
      </c>
      <c r="L1032" t="n">
        <v>5</v>
      </c>
      <c r="M1032" t="inlineStr">
        <is>
          <t>2026-06-29 12:06:48</t>
        </is>
      </c>
      <c r="N1032" t="inlineStr">
        <is>
          <t>system</t>
        </is>
      </c>
      <c r="O1032" t="inlineStr">
        <is>
          <t>2026-06-17 14:10:06</t>
        </is>
      </c>
      <c r="P1032" t="inlineStr">
        <is>
          <t>2026-06-17 14:10:06</t>
        </is>
      </c>
      <c r="Y1032" t="inlineStr">
        <is>
          <t>27662196897</t>
        </is>
      </c>
    </row>
    <row r="1033">
      <c r="A1033" t="inlineStr">
        <is>
          <t>14920567</t>
        </is>
      </c>
      <c r="B1033" t="inlineStr">
        <is>
          <t>9c955b1c-7c1e-4078-a261-dcd55544715a</t>
        </is>
      </c>
      <c r="D1033" t="inlineStr">
        <is>
          <t>111111124</t>
        </is>
      </c>
      <c r="E1033" t="inlineStr">
        <is>
          <t>Vodacom Life 20260617</t>
        </is>
      </c>
      <c r="G1033" t="inlineStr">
        <is>
          <t>BAYANDA</t>
        </is>
      </c>
      <c r="H1033" t="inlineStr">
        <is>
          <t>MKHWANAZI</t>
        </is>
      </c>
      <c r="J1033" t="inlineStr">
        <is>
          <t>WN</t>
        </is>
      </c>
      <c r="K1033" t="inlineStr">
        <is>
          <t>Wrong Number</t>
        </is>
      </c>
      <c r="L1033" t="n">
        <v>5</v>
      </c>
      <c r="M1033" t="inlineStr">
        <is>
          <t>2026-06-29 12:06:48</t>
        </is>
      </c>
      <c r="N1033" t="inlineStr">
        <is>
          <t>Maureen Ntsoko</t>
        </is>
      </c>
      <c r="O1033" t="inlineStr">
        <is>
          <t>2026-06-17 14:10:06</t>
        </is>
      </c>
      <c r="P1033" t="inlineStr">
        <is>
          <t>2026-06-17 14:10:06</t>
        </is>
      </c>
      <c r="Y1033" t="inlineStr">
        <is>
          <t>27797679551</t>
        </is>
      </c>
    </row>
    <row r="1034">
      <c r="A1034" t="inlineStr">
        <is>
          <t>14921100</t>
        </is>
      </c>
      <c r="B1034" t="inlineStr">
        <is>
          <t>8d89a167-0304-4b8d-b6e0-0aa40361f19d</t>
        </is>
      </c>
      <c r="D1034" t="inlineStr">
        <is>
          <t>111111124</t>
        </is>
      </c>
      <c r="E1034" t="inlineStr">
        <is>
          <t>Vodacom Life 20260617</t>
        </is>
      </c>
      <c r="G1034" t="inlineStr">
        <is>
          <t>BANATHI</t>
        </is>
      </c>
      <c r="H1034" t="inlineStr">
        <is>
          <t>TALI</t>
        </is>
      </c>
      <c r="J1034" t="inlineStr">
        <is>
          <t>AA</t>
        </is>
      </c>
      <c r="K1034" t="inlineStr">
        <is>
          <t>Answering Machine Autodial</t>
        </is>
      </c>
      <c r="L1034" t="n">
        <v>5</v>
      </c>
      <c r="M1034" t="inlineStr">
        <is>
          <t>2026-06-29 12:06:48</t>
        </is>
      </c>
      <c r="N1034" t="inlineStr">
        <is>
          <t>system</t>
        </is>
      </c>
      <c r="O1034" t="inlineStr">
        <is>
          <t>2026-06-17 14:10:06</t>
        </is>
      </c>
      <c r="P1034" t="inlineStr">
        <is>
          <t>2026-06-17 14:10:06</t>
        </is>
      </c>
      <c r="Y1034" t="inlineStr">
        <is>
          <t>27828732947</t>
        </is>
      </c>
    </row>
    <row r="1035">
      <c r="A1035" t="inlineStr">
        <is>
          <t>14921095</t>
        </is>
      </c>
      <c r="B1035" t="inlineStr">
        <is>
          <t>b57d961c-5883-4bdf-8666-2b5cf14e20c6</t>
        </is>
      </c>
      <c r="D1035" t="inlineStr">
        <is>
          <t>111111124</t>
        </is>
      </c>
      <c r="E1035" t="inlineStr">
        <is>
          <t>Vodacom Life 20260617</t>
        </is>
      </c>
      <c r="G1035" t="inlineStr">
        <is>
          <t>NIKITA</t>
        </is>
      </c>
      <c r="H1035" t="inlineStr">
        <is>
          <t>MORGAN</t>
        </is>
      </c>
      <c r="J1035" t="inlineStr">
        <is>
          <t>NA</t>
        </is>
      </c>
      <c r="K1035" t="inlineStr">
        <is>
          <t>No Answer Autodial</t>
        </is>
      </c>
      <c r="L1035" t="n">
        <v>5</v>
      </c>
      <c r="M1035" t="inlineStr">
        <is>
          <t>2026-06-29 12:06:48</t>
        </is>
      </c>
      <c r="N1035" t="inlineStr">
        <is>
          <t>system</t>
        </is>
      </c>
      <c r="O1035" t="inlineStr">
        <is>
          <t>2026-06-17 14:10:06</t>
        </is>
      </c>
      <c r="P1035" t="inlineStr">
        <is>
          <t>2026-06-17 14:10:06</t>
        </is>
      </c>
      <c r="Y1035" t="inlineStr">
        <is>
          <t>27712198677</t>
        </is>
      </c>
    </row>
    <row r="1036">
      <c r="A1036" t="inlineStr">
        <is>
          <t>14921099</t>
        </is>
      </c>
      <c r="B1036" t="inlineStr">
        <is>
          <t>b1bb199a-3896-4392-9574-494b78513181</t>
        </is>
      </c>
      <c r="D1036" t="inlineStr">
        <is>
          <t>111111124</t>
        </is>
      </c>
      <c r="E1036" t="inlineStr">
        <is>
          <t>Vodacom Life 20260617</t>
        </is>
      </c>
      <c r="G1036" t="inlineStr">
        <is>
          <t>CECILE</t>
        </is>
      </c>
      <c r="H1036" t="inlineStr">
        <is>
          <t>HARMSE</t>
        </is>
      </c>
      <c r="J1036" t="inlineStr">
        <is>
          <t>NA</t>
        </is>
      </c>
      <c r="K1036" t="inlineStr">
        <is>
          <t>No Answer Autodial</t>
        </is>
      </c>
      <c r="L1036" t="n">
        <v>5</v>
      </c>
      <c r="M1036" t="inlineStr">
        <is>
          <t>2026-06-29 12:06:48</t>
        </is>
      </c>
      <c r="N1036" t="inlineStr">
        <is>
          <t>system</t>
        </is>
      </c>
      <c r="O1036" t="inlineStr">
        <is>
          <t>2026-06-17 14:10:06</t>
        </is>
      </c>
      <c r="P1036" t="inlineStr">
        <is>
          <t>2026-06-17 14:10:06</t>
        </is>
      </c>
      <c r="Y1036" t="inlineStr">
        <is>
          <t>27798747974</t>
        </is>
      </c>
    </row>
    <row r="1037">
      <c r="A1037" t="inlineStr">
        <is>
          <t>14920565</t>
        </is>
      </c>
      <c r="B1037" t="inlineStr">
        <is>
          <t>a4300c29-cce7-4d7a-b308-099a892a5162</t>
        </is>
      </c>
      <c r="D1037" t="inlineStr">
        <is>
          <t>111111124</t>
        </is>
      </c>
      <c r="E1037" t="inlineStr">
        <is>
          <t>Vodacom Life 20260617</t>
        </is>
      </c>
      <c r="G1037" t="inlineStr">
        <is>
          <t>LUNGILE</t>
        </is>
      </c>
      <c r="H1037" t="inlineStr">
        <is>
          <t>DUKWANA</t>
        </is>
      </c>
      <c r="J1037" t="inlineStr">
        <is>
          <t>NA</t>
        </is>
      </c>
      <c r="K1037" t="inlineStr">
        <is>
          <t>No Answer Autodial</t>
        </is>
      </c>
      <c r="L1037" t="n">
        <v>5</v>
      </c>
      <c r="M1037" t="inlineStr">
        <is>
          <t>2026-06-29 12:05:00</t>
        </is>
      </c>
      <c r="N1037" t="inlineStr">
        <is>
          <t>system</t>
        </is>
      </c>
      <c r="O1037" t="inlineStr">
        <is>
          <t>2026-06-17 14:10:06</t>
        </is>
      </c>
      <c r="P1037" t="inlineStr">
        <is>
          <t>2026-06-17 14:10:06</t>
        </is>
      </c>
      <c r="Y1037" t="inlineStr">
        <is>
          <t>27711384265</t>
        </is>
      </c>
    </row>
    <row r="1038">
      <c r="A1038" t="inlineStr">
        <is>
          <t>14920564</t>
        </is>
      </c>
      <c r="B1038" t="inlineStr">
        <is>
          <t>37d52aed-db76-49a8-a2cc-9bdc3f5c4e96</t>
        </is>
      </c>
      <c r="D1038" t="inlineStr">
        <is>
          <t>111111124</t>
        </is>
      </c>
      <c r="E1038" t="inlineStr">
        <is>
          <t>Vodacom Life 20260617</t>
        </is>
      </c>
      <c r="G1038" t="inlineStr">
        <is>
          <t>MARTHA</t>
        </is>
      </c>
      <c r="H1038" t="inlineStr">
        <is>
          <t>DE KOKER</t>
        </is>
      </c>
      <c r="J1038" t="inlineStr">
        <is>
          <t>NI</t>
        </is>
      </c>
      <c r="K1038" t="inlineStr">
        <is>
          <t>Not Interested</t>
        </is>
      </c>
      <c r="L1038" t="n">
        <v>5</v>
      </c>
      <c r="M1038" t="inlineStr">
        <is>
          <t>2026-06-29 12:04:48</t>
        </is>
      </c>
      <c r="N1038" t="inlineStr">
        <is>
          <t>Maureen Ntsoko</t>
        </is>
      </c>
      <c r="O1038" t="inlineStr">
        <is>
          <t>2026-06-17 14:10:06</t>
        </is>
      </c>
      <c r="P1038" t="inlineStr">
        <is>
          <t>2026-06-17 14:10:06</t>
        </is>
      </c>
      <c r="Y1038" t="inlineStr">
        <is>
          <t>27828008840</t>
        </is>
      </c>
    </row>
    <row r="1039">
      <c r="A1039" t="inlineStr">
        <is>
          <t>14921096</t>
        </is>
      </c>
      <c r="B1039" t="inlineStr">
        <is>
          <t>a9c3b48d-5162-4482-aeae-2e9ab8bec328</t>
        </is>
      </c>
      <c r="D1039" t="inlineStr">
        <is>
          <t>111111124</t>
        </is>
      </c>
      <c r="E1039" t="inlineStr">
        <is>
          <t>Vodacom Life 20260617</t>
        </is>
      </c>
      <c r="G1039" t="inlineStr">
        <is>
          <t>MALIBONGWE</t>
        </is>
      </c>
      <c r="H1039" t="inlineStr">
        <is>
          <t>MTHETHO</t>
        </is>
      </c>
      <c r="J1039" t="inlineStr">
        <is>
          <t>NA</t>
        </is>
      </c>
      <c r="K1039" t="inlineStr">
        <is>
          <t>No Answer Autodial</t>
        </is>
      </c>
      <c r="L1039" t="n">
        <v>5</v>
      </c>
      <c r="M1039" t="inlineStr">
        <is>
          <t>2026-06-29 12:04:33</t>
        </is>
      </c>
      <c r="N1039" t="inlineStr">
        <is>
          <t>system</t>
        </is>
      </c>
      <c r="O1039" t="inlineStr">
        <is>
          <t>2026-06-17 14:10:06</t>
        </is>
      </c>
      <c r="P1039" t="inlineStr">
        <is>
          <t>2026-06-17 14:10:06</t>
        </is>
      </c>
      <c r="Y1039" t="inlineStr">
        <is>
          <t>27636979986</t>
        </is>
      </c>
    </row>
    <row r="1040">
      <c r="A1040" t="inlineStr">
        <is>
          <t>14921076</t>
        </is>
      </c>
      <c r="B1040" t="inlineStr">
        <is>
          <t>3104b3d8-8fa6-4b01-be6a-86e22d7f1164</t>
        </is>
      </c>
      <c r="D1040" t="inlineStr">
        <is>
          <t>111111124</t>
        </is>
      </c>
      <c r="E1040" t="inlineStr">
        <is>
          <t>Vodacom Life 20260617</t>
        </is>
      </c>
      <c r="G1040" t="inlineStr">
        <is>
          <t>MAMAKGOTLA</t>
        </is>
      </c>
      <c r="H1040" t="inlineStr">
        <is>
          <t>PHOFA</t>
        </is>
      </c>
      <c r="J1040" t="inlineStr">
        <is>
          <t>NA</t>
        </is>
      </c>
      <c r="K1040" t="inlineStr">
        <is>
          <t>No Answer Autodial</t>
        </is>
      </c>
      <c r="L1040" t="n">
        <v>5</v>
      </c>
      <c r="M1040" t="inlineStr">
        <is>
          <t>2026-06-29 12:04:31</t>
        </is>
      </c>
      <c r="N1040" t="inlineStr">
        <is>
          <t>system</t>
        </is>
      </c>
      <c r="O1040" t="inlineStr">
        <is>
          <t>2026-06-17 14:10:06</t>
        </is>
      </c>
      <c r="P1040" t="inlineStr">
        <is>
          <t>2026-06-17 14:10:06</t>
        </is>
      </c>
      <c r="Y1040" t="inlineStr">
        <is>
          <t>27714493915</t>
        </is>
      </c>
    </row>
    <row r="1041">
      <c r="A1041" t="inlineStr">
        <is>
          <t>14921077</t>
        </is>
      </c>
      <c r="B1041" t="inlineStr">
        <is>
          <t>fc9d5b4d-2409-4e4a-8ef9-17f29110784e</t>
        </is>
      </c>
      <c r="D1041" t="inlineStr">
        <is>
          <t>111111124</t>
        </is>
      </c>
      <c r="E1041" t="inlineStr">
        <is>
          <t>Vodacom Life 20260617</t>
        </is>
      </c>
      <c r="G1041" t="inlineStr">
        <is>
          <t>NOBHOTSHANE</t>
        </is>
      </c>
      <c r="H1041" t="inlineStr">
        <is>
          <t>VILAKAZI</t>
        </is>
      </c>
      <c r="J1041" t="inlineStr">
        <is>
          <t>AE</t>
        </is>
      </c>
      <c r="K1041" t="inlineStr">
        <is>
          <t>Auto Engaged</t>
        </is>
      </c>
      <c r="L1041" t="n">
        <v>5</v>
      </c>
      <c r="M1041" t="inlineStr">
        <is>
          <t>2026-06-29 12:04:31</t>
        </is>
      </c>
      <c r="N1041" t="inlineStr">
        <is>
          <t>system</t>
        </is>
      </c>
      <c r="O1041" t="inlineStr">
        <is>
          <t>2026-06-17 14:10:06</t>
        </is>
      </c>
      <c r="P1041" t="inlineStr">
        <is>
          <t>2026-06-17 14:10:06</t>
        </is>
      </c>
      <c r="Y1041" t="inlineStr">
        <is>
          <t>27715633811</t>
        </is>
      </c>
    </row>
    <row r="1042">
      <c r="A1042" t="inlineStr">
        <is>
          <t>14921078</t>
        </is>
      </c>
      <c r="B1042" t="inlineStr">
        <is>
          <t>f4f96a30-2b8a-4ccb-823f-9e6aba4989d0</t>
        </is>
      </c>
      <c r="D1042" t="inlineStr">
        <is>
          <t>111111124</t>
        </is>
      </c>
      <c r="E1042" t="inlineStr">
        <is>
          <t>Vodacom Life 20260617</t>
        </is>
      </c>
      <c r="G1042" t="inlineStr">
        <is>
          <t>WYNAND</t>
        </is>
      </c>
      <c r="H1042" t="inlineStr">
        <is>
          <t>JANSEN VAN VUUREN</t>
        </is>
      </c>
      <c r="J1042" t="inlineStr">
        <is>
          <t>NA</t>
        </is>
      </c>
      <c r="K1042" t="inlineStr">
        <is>
          <t>No Answer Autodial</t>
        </is>
      </c>
      <c r="L1042" t="n">
        <v>5</v>
      </c>
      <c r="M1042" t="inlineStr">
        <is>
          <t>2026-06-29 12:04:31</t>
        </is>
      </c>
      <c r="N1042" t="inlineStr">
        <is>
          <t>system</t>
        </is>
      </c>
      <c r="O1042" t="inlineStr">
        <is>
          <t>2026-06-17 14:10:06</t>
        </is>
      </c>
      <c r="P1042" t="inlineStr">
        <is>
          <t>2026-06-17 14:10:06</t>
        </is>
      </c>
      <c r="Y1042" t="inlineStr">
        <is>
          <t>27722444777</t>
        </is>
      </c>
    </row>
    <row r="1043">
      <c r="A1043" t="inlineStr">
        <is>
          <t>14921097</t>
        </is>
      </c>
      <c r="B1043" t="inlineStr">
        <is>
          <t>90cd5b4e-547f-44d5-bae5-439c6e788bee</t>
        </is>
      </c>
      <c r="D1043" t="inlineStr">
        <is>
          <t>111111124</t>
        </is>
      </c>
      <c r="E1043" t="inlineStr">
        <is>
          <t>Vodacom Life 20260617</t>
        </is>
      </c>
      <c r="G1043" t="inlineStr">
        <is>
          <t>NAMHLA</t>
        </is>
      </c>
      <c r="H1043" t="inlineStr">
        <is>
          <t>MHLAKAZA</t>
        </is>
      </c>
      <c r="J1043" t="inlineStr">
        <is>
          <t>AA</t>
        </is>
      </c>
      <c r="K1043" t="inlineStr">
        <is>
          <t>Answering Machine Autodial</t>
        </is>
      </c>
      <c r="L1043" t="n">
        <v>5</v>
      </c>
      <c r="M1043" t="inlineStr">
        <is>
          <t>2026-06-29 12:04:31</t>
        </is>
      </c>
      <c r="N1043" t="inlineStr">
        <is>
          <t>system</t>
        </is>
      </c>
      <c r="O1043" t="inlineStr">
        <is>
          <t>2026-06-17 14:10:06</t>
        </is>
      </c>
      <c r="P1043" t="inlineStr">
        <is>
          <t>2026-06-17 14:10:06</t>
        </is>
      </c>
      <c r="Y1043" t="inlineStr">
        <is>
          <t>27713587311</t>
        </is>
      </c>
    </row>
    <row r="1044">
      <c r="A1044" t="inlineStr">
        <is>
          <t>14921098</t>
        </is>
      </c>
      <c r="B1044" t="inlineStr">
        <is>
          <t>98984829-316e-4a9c-971e-c48dfa284604</t>
        </is>
      </c>
      <c r="D1044" t="inlineStr">
        <is>
          <t>111111124</t>
        </is>
      </c>
      <c r="E1044" t="inlineStr">
        <is>
          <t>Vodacom Life 20260617</t>
        </is>
      </c>
      <c r="G1044" t="inlineStr">
        <is>
          <t>CHARLES</t>
        </is>
      </c>
      <c r="H1044" t="inlineStr">
        <is>
          <t>THUPANA</t>
        </is>
      </c>
      <c r="J1044" t="inlineStr">
        <is>
          <t>AE</t>
        </is>
      </c>
      <c r="K1044" t="inlineStr">
        <is>
          <t>Auto Engaged</t>
        </is>
      </c>
      <c r="L1044" t="n">
        <v>5</v>
      </c>
      <c r="M1044" t="inlineStr">
        <is>
          <t>2026-06-29 12:04:31</t>
        </is>
      </c>
      <c r="N1044" t="inlineStr">
        <is>
          <t>system</t>
        </is>
      </c>
      <c r="O1044" t="inlineStr">
        <is>
          <t>2026-06-17 14:10:06</t>
        </is>
      </c>
      <c r="P1044" t="inlineStr">
        <is>
          <t>2026-06-17 14:10:06</t>
        </is>
      </c>
      <c r="Y1044" t="inlineStr">
        <is>
          <t>27795227879</t>
        </is>
      </c>
    </row>
    <row r="1045">
      <c r="A1045" t="inlineStr">
        <is>
          <t>14920562</t>
        </is>
      </c>
      <c r="B1045" t="inlineStr">
        <is>
          <t>b6bdcba0-b2ec-4a97-b758-aa42941cba1e</t>
        </is>
      </c>
      <c r="D1045" t="inlineStr">
        <is>
          <t>111111124</t>
        </is>
      </c>
      <c r="E1045" t="inlineStr">
        <is>
          <t>Vodacom Life 20260617</t>
        </is>
      </c>
      <c r="G1045" t="inlineStr">
        <is>
          <t>DORIAN</t>
        </is>
      </c>
      <c r="H1045" t="inlineStr">
        <is>
          <t>KUHN</t>
        </is>
      </c>
      <c r="J1045" t="inlineStr">
        <is>
          <t>AA</t>
        </is>
      </c>
      <c r="K1045" t="inlineStr">
        <is>
          <t>Answering Machine Autodial</t>
        </is>
      </c>
      <c r="L1045" t="n">
        <v>5</v>
      </c>
      <c r="M1045" t="inlineStr">
        <is>
          <t>2026-06-29 12:00:14</t>
        </is>
      </c>
      <c r="N1045" t="inlineStr">
        <is>
          <t>system</t>
        </is>
      </c>
      <c r="O1045" t="inlineStr">
        <is>
          <t>2026-06-17 14:10:06</t>
        </is>
      </c>
      <c r="P1045" t="inlineStr">
        <is>
          <t>2026-06-17 14:10:06</t>
        </is>
      </c>
      <c r="Y1045" t="inlineStr">
        <is>
          <t>27662689852</t>
        </is>
      </c>
    </row>
    <row r="1046">
      <c r="A1046" t="inlineStr">
        <is>
          <t>14920558</t>
        </is>
      </c>
      <c r="B1046" t="inlineStr">
        <is>
          <t>03911dac-6fa0-49b2-85c0-9f3cc02e2602</t>
        </is>
      </c>
      <c r="D1046" t="inlineStr">
        <is>
          <t>111111124</t>
        </is>
      </c>
      <c r="E1046" t="inlineStr">
        <is>
          <t>Vodacom Life 20260617</t>
        </is>
      </c>
      <c r="G1046" t="inlineStr">
        <is>
          <t>ELIZABETH</t>
        </is>
      </c>
      <c r="H1046" t="inlineStr">
        <is>
          <t>IISA</t>
        </is>
      </c>
      <c r="J1046" t="inlineStr">
        <is>
          <t>ADC</t>
        </is>
      </c>
      <c r="K1046" t="inlineStr">
        <is>
          <t>Auto Dial Disconnected</t>
        </is>
      </c>
      <c r="L1046" t="n">
        <v>5</v>
      </c>
      <c r="M1046" t="inlineStr">
        <is>
          <t>2026-06-29 12:00:13</t>
        </is>
      </c>
      <c r="N1046" t="inlineStr">
        <is>
          <t>system</t>
        </is>
      </c>
      <c r="O1046" t="inlineStr">
        <is>
          <t>2026-06-17 14:10:06</t>
        </is>
      </c>
      <c r="P1046" t="inlineStr">
        <is>
          <t>2026-06-17 14:10:06</t>
        </is>
      </c>
      <c r="Y1046" t="inlineStr">
        <is>
          <t>27720400353</t>
        </is>
      </c>
    </row>
    <row r="1047">
      <c r="A1047" t="inlineStr">
        <is>
          <t>14920563</t>
        </is>
      </c>
      <c r="B1047" t="inlineStr">
        <is>
          <t>b43891e4-3978-49da-99c7-fd31e6e5889a</t>
        </is>
      </c>
      <c r="D1047" t="inlineStr">
        <is>
          <t>111111124</t>
        </is>
      </c>
      <c r="E1047" t="inlineStr">
        <is>
          <t>Vodacom Life 20260617</t>
        </is>
      </c>
      <c r="G1047" t="inlineStr">
        <is>
          <t>MANKOSANA</t>
        </is>
      </c>
      <c r="H1047" t="inlineStr">
        <is>
          <t>LIETA</t>
        </is>
      </c>
      <c r="J1047" t="inlineStr">
        <is>
          <t>CU</t>
        </is>
      </c>
      <c r="K1047" t="inlineStr">
        <is>
          <t>Client Hung Up</t>
        </is>
      </c>
      <c r="L1047" t="n">
        <v>5</v>
      </c>
      <c r="M1047" t="inlineStr">
        <is>
          <t>2026-06-29 12:00:13</t>
        </is>
      </c>
      <c r="N1047" t="inlineStr">
        <is>
          <t>Musiiwa Mary Mabirimisa</t>
        </is>
      </c>
      <c r="O1047" t="inlineStr">
        <is>
          <t>2026-06-17 14:10:06</t>
        </is>
      </c>
      <c r="P1047" t="inlineStr">
        <is>
          <t>2026-06-17 14:10:06</t>
        </is>
      </c>
      <c r="Y1047" t="inlineStr">
        <is>
          <t>27824016668</t>
        </is>
      </c>
    </row>
    <row r="1048">
      <c r="A1048" t="inlineStr">
        <is>
          <t>14920556</t>
        </is>
      </c>
      <c r="B1048" t="inlineStr">
        <is>
          <t>7a47b223-fb0b-4fce-8b92-c9241c999a16</t>
        </is>
      </c>
      <c r="D1048" t="inlineStr">
        <is>
          <t>111111124</t>
        </is>
      </c>
      <c r="E1048" t="inlineStr">
        <is>
          <t>Vodacom Life 20260617</t>
        </is>
      </c>
      <c r="G1048" t="inlineStr">
        <is>
          <t>THANDEKILE</t>
        </is>
      </c>
      <c r="H1048" t="inlineStr">
        <is>
          <t>PHAKATHI</t>
        </is>
      </c>
      <c r="J1048" t="inlineStr">
        <is>
          <t>AA</t>
        </is>
      </c>
      <c r="K1048" t="inlineStr">
        <is>
          <t>Answering Machine Autodial</t>
        </is>
      </c>
      <c r="L1048" t="n">
        <v>5</v>
      </c>
      <c r="M1048" t="inlineStr">
        <is>
          <t>2026-06-29 12:00:12</t>
        </is>
      </c>
      <c r="N1048" t="inlineStr">
        <is>
          <t>system</t>
        </is>
      </c>
      <c r="O1048" t="inlineStr">
        <is>
          <t>2026-06-17 14:10:06</t>
        </is>
      </c>
      <c r="P1048" t="inlineStr">
        <is>
          <t>2026-06-17 14:10:06</t>
        </is>
      </c>
      <c r="Y1048" t="inlineStr">
        <is>
          <t>27762780991</t>
        </is>
      </c>
    </row>
    <row r="1049">
      <c r="A1049" t="inlineStr">
        <is>
          <t>14920557</t>
        </is>
      </c>
      <c r="B1049" t="inlineStr">
        <is>
          <t>6ee1f4c2-6e78-4ca7-8bd4-f64748da6b59</t>
        </is>
      </c>
      <c r="D1049" t="inlineStr">
        <is>
          <t>111111124</t>
        </is>
      </c>
      <c r="E1049" t="inlineStr">
        <is>
          <t>Vodacom Life 20260617</t>
        </is>
      </c>
      <c r="G1049" t="inlineStr">
        <is>
          <t>PORTIA</t>
        </is>
      </c>
      <c r="H1049" t="inlineStr">
        <is>
          <t>SETWABA</t>
        </is>
      </c>
      <c r="J1049" t="inlineStr">
        <is>
          <t>DROP</t>
        </is>
      </c>
      <c r="K1049" t="inlineStr">
        <is>
          <t>Dropped</t>
        </is>
      </c>
      <c r="L1049" t="n">
        <v>5</v>
      </c>
      <c r="M1049" t="inlineStr">
        <is>
          <t>2026-06-29 12:00:12</t>
        </is>
      </c>
      <c r="N1049" t="inlineStr">
        <is>
          <t>system</t>
        </is>
      </c>
      <c r="O1049" t="inlineStr">
        <is>
          <t>2026-06-17 14:10:06</t>
        </is>
      </c>
      <c r="P1049" t="inlineStr">
        <is>
          <t>2026-06-17 14:10:06</t>
        </is>
      </c>
      <c r="Y1049" t="inlineStr">
        <is>
          <t>27725222540</t>
        </is>
      </c>
    </row>
    <row r="1050">
      <c r="A1050" t="inlineStr">
        <is>
          <t>14920996</t>
        </is>
      </c>
      <c r="B1050" t="inlineStr">
        <is>
          <t>f7277ed4-51d3-488e-9878-c027fb2c096e</t>
        </is>
      </c>
      <c r="D1050" t="inlineStr">
        <is>
          <t>111111124</t>
        </is>
      </c>
      <c r="E1050" t="inlineStr">
        <is>
          <t>Vodacom Life 20260617</t>
        </is>
      </c>
      <c r="G1050" t="inlineStr">
        <is>
          <t>VICTOR</t>
        </is>
      </c>
      <c r="H1050" t="inlineStr">
        <is>
          <t>SKINNER</t>
        </is>
      </c>
      <c r="J1050" t="inlineStr">
        <is>
          <t>WN</t>
        </is>
      </c>
      <c r="K1050" t="inlineStr">
        <is>
          <t>Wrong Number</t>
        </is>
      </c>
      <c r="L1050" t="n">
        <v>5</v>
      </c>
      <c r="M1050" t="inlineStr">
        <is>
          <t>2026-06-29 11:58:41</t>
        </is>
      </c>
      <c r="N1050" t="inlineStr">
        <is>
          <t>Musiiwa Mary Mabirimisa</t>
        </is>
      </c>
      <c r="O1050" t="inlineStr">
        <is>
          <t>2026-06-17 14:10:06</t>
        </is>
      </c>
      <c r="P1050" t="inlineStr">
        <is>
          <t>2026-06-17 14:10:06</t>
        </is>
      </c>
      <c r="Y1050" t="inlineStr">
        <is>
          <t>27715405062</t>
        </is>
      </c>
    </row>
    <row r="1051">
      <c r="A1051" t="inlineStr">
        <is>
          <t>14920554</t>
        </is>
      </c>
      <c r="B1051" t="inlineStr">
        <is>
          <t>81cea4a8-9554-4b73-961b-50b6dfdfcf86</t>
        </is>
      </c>
      <c r="D1051" t="inlineStr">
        <is>
          <t>111111124</t>
        </is>
      </c>
      <c r="E1051" t="inlineStr">
        <is>
          <t>Vodacom Life 20260617</t>
        </is>
      </c>
      <c r="G1051" t="inlineStr">
        <is>
          <t>MMAKOLOI</t>
        </is>
      </c>
      <c r="H1051" t="inlineStr">
        <is>
          <t>LANGA</t>
        </is>
      </c>
      <c r="J1051" t="inlineStr">
        <is>
          <t>AA</t>
        </is>
      </c>
      <c r="K1051" t="inlineStr">
        <is>
          <t>Answering Machine Autodial</t>
        </is>
      </c>
      <c r="L1051" t="n">
        <v>5</v>
      </c>
      <c r="M1051" t="inlineStr">
        <is>
          <t>2026-06-29 11:58:37</t>
        </is>
      </c>
      <c r="N1051" t="inlineStr">
        <is>
          <t>system</t>
        </is>
      </c>
      <c r="O1051" t="inlineStr">
        <is>
          <t>2026-06-17 14:10:06</t>
        </is>
      </c>
      <c r="P1051" t="inlineStr">
        <is>
          <t>2026-06-17 14:10:06</t>
        </is>
      </c>
      <c r="Y1051" t="inlineStr">
        <is>
          <t>27792699002</t>
        </is>
      </c>
    </row>
    <row r="1052">
      <c r="A1052" t="inlineStr">
        <is>
          <t>14920555</t>
        </is>
      </c>
      <c r="B1052" t="inlineStr">
        <is>
          <t>d45ce658-b5c1-46cd-a660-577bb3e0705f</t>
        </is>
      </c>
      <c r="D1052" t="inlineStr">
        <is>
          <t>111111124</t>
        </is>
      </c>
      <c r="E1052" t="inlineStr">
        <is>
          <t>Vodacom Life 20260617</t>
        </is>
      </c>
      <c r="G1052" t="inlineStr">
        <is>
          <t>NOBUBELE</t>
        </is>
      </c>
      <c r="H1052" t="inlineStr">
        <is>
          <t>ZONDO</t>
        </is>
      </c>
      <c r="J1052" t="inlineStr">
        <is>
          <t>AA</t>
        </is>
      </c>
      <c r="K1052" t="inlineStr">
        <is>
          <t>Answering Machine Autodial</t>
        </is>
      </c>
      <c r="L1052" t="n">
        <v>5</v>
      </c>
      <c r="M1052" t="inlineStr">
        <is>
          <t>2026-06-29 11:58:37</t>
        </is>
      </c>
      <c r="N1052" t="inlineStr">
        <is>
          <t>system</t>
        </is>
      </c>
      <c r="O1052" t="inlineStr">
        <is>
          <t>2026-06-17 14:10:06</t>
        </is>
      </c>
      <c r="P1052" t="inlineStr">
        <is>
          <t>2026-06-17 14:10:06</t>
        </is>
      </c>
      <c r="Y1052" t="inlineStr">
        <is>
          <t>27828937597</t>
        </is>
      </c>
    </row>
    <row r="1053">
      <c r="A1053" t="inlineStr">
        <is>
          <t>14921106</t>
        </is>
      </c>
      <c r="B1053" t="inlineStr">
        <is>
          <t>2caca60b-899d-45a3-b2fd-bafb389b7184</t>
        </is>
      </c>
      <c r="D1053" t="inlineStr">
        <is>
          <t>111111124</t>
        </is>
      </c>
      <c r="E1053" t="inlineStr">
        <is>
          <t>Vodacom Life 20260617</t>
        </is>
      </c>
      <c r="G1053" t="inlineStr">
        <is>
          <t>NOMFUNDO</t>
        </is>
      </c>
      <c r="H1053" t="inlineStr">
        <is>
          <t>GASA</t>
        </is>
      </c>
      <c r="J1053" t="inlineStr">
        <is>
          <t>AA</t>
        </is>
      </c>
      <c r="K1053" t="inlineStr">
        <is>
          <t>Answering Machine Autodial</t>
        </is>
      </c>
      <c r="L1053" t="n">
        <v>5</v>
      </c>
      <c r="M1053" t="inlineStr">
        <is>
          <t>2026-06-29 11:58:37</t>
        </is>
      </c>
      <c r="N1053" t="inlineStr">
        <is>
          <t>system</t>
        </is>
      </c>
      <c r="O1053" t="inlineStr">
        <is>
          <t>2026-06-17 14:10:06</t>
        </is>
      </c>
      <c r="P1053" t="inlineStr">
        <is>
          <t>2026-06-17 14:10:06</t>
        </is>
      </c>
      <c r="Y1053" t="inlineStr">
        <is>
          <t>27826574927</t>
        </is>
      </c>
    </row>
    <row r="1054">
      <c r="A1054" t="inlineStr">
        <is>
          <t>14921107</t>
        </is>
      </c>
      <c r="B1054" t="inlineStr">
        <is>
          <t>3b4916e9-5da8-45b4-b83f-47b65fa42997</t>
        </is>
      </c>
      <c r="D1054" t="inlineStr">
        <is>
          <t>111111124</t>
        </is>
      </c>
      <c r="E1054" t="inlineStr">
        <is>
          <t>Vodacom Life 20260617</t>
        </is>
      </c>
      <c r="G1054" t="inlineStr">
        <is>
          <t>LIZZY</t>
        </is>
      </c>
      <c r="H1054" t="inlineStr">
        <is>
          <t>MASOMBUKA</t>
        </is>
      </c>
      <c r="J1054" t="inlineStr">
        <is>
          <t>AA</t>
        </is>
      </c>
      <c r="K1054" t="inlineStr">
        <is>
          <t>Answering Machine Autodial</t>
        </is>
      </c>
      <c r="L1054" t="n">
        <v>5</v>
      </c>
      <c r="M1054" t="inlineStr">
        <is>
          <t>2026-06-29 11:58:37</t>
        </is>
      </c>
      <c r="N1054" t="inlineStr">
        <is>
          <t>system</t>
        </is>
      </c>
      <c r="O1054" t="inlineStr">
        <is>
          <t>2026-06-17 14:10:06</t>
        </is>
      </c>
      <c r="P1054" t="inlineStr">
        <is>
          <t>2026-06-17 14:10:06</t>
        </is>
      </c>
      <c r="Y1054" t="inlineStr">
        <is>
          <t>27766467126</t>
        </is>
      </c>
    </row>
    <row r="1055">
      <c r="A1055" t="inlineStr">
        <is>
          <t>14921108</t>
        </is>
      </c>
      <c r="B1055" t="inlineStr">
        <is>
          <t>1d684ac5-b64e-4048-a9a8-da7e93666228</t>
        </is>
      </c>
      <c r="D1055" t="inlineStr">
        <is>
          <t>111111124</t>
        </is>
      </c>
      <c r="E1055" t="inlineStr">
        <is>
          <t>Vodacom Life 20260617</t>
        </is>
      </c>
      <c r="G1055" t="inlineStr">
        <is>
          <t>XOLI</t>
        </is>
      </c>
      <c r="H1055" t="inlineStr">
        <is>
          <t>MAZIBUKO</t>
        </is>
      </c>
      <c r="J1055" t="inlineStr">
        <is>
          <t>NA</t>
        </is>
      </c>
      <c r="K1055" t="inlineStr">
        <is>
          <t>No Answer Autodial</t>
        </is>
      </c>
      <c r="L1055" t="n">
        <v>5</v>
      </c>
      <c r="M1055" t="inlineStr">
        <is>
          <t>2026-06-29 11:58:37</t>
        </is>
      </c>
      <c r="N1055" t="inlineStr">
        <is>
          <t>system</t>
        </is>
      </c>
      <c r="O1055" t="inlineStr">
        <is>
          <t>2026-06-17 14:10:06</t>
        </is>
      </c>
      <c r="P1055" t="inlineStr">
        <is>
          <t>2026-06-17 14:10:06</t>
        </is>
      </c>
      <c r="Y1055" t="inlineStr">
        <is>
          <t>27712260836</t>
        </is>
      </c>
    </row>
    <row r="1056">
      <c r="A1056" t="inlineStr">
        <is>
          <t>14920551</t>
        </is>
      </c>
      <c r="B1056" t="inlineStr">
        <is>
          <t>e3a45b0d-5306-464f-8b9a-7b11b25ce12c</t>
        </is>
      </c>
      <c r="D1056" t="inlineStr">
        <is>
          <t>111111124</t>
        </is>
      </c>
      <c r="E1056" t="inlineStr">
        <is>
          <t>Vodacom Life 20260617</t>
        </is>
      </c>
      <c r="G1056" t="inlineStr">
        <is>
          <t>TIEHO</t>
        </is>
      </c>
      <c r="H1056" t="inlineStr">
        <is>
          <t>KHEMISI</t>
        </is>
      </c>
      <c r="J1056" t="inlineStr">
        <is>
          <t>AA</t>
        </is>
      </c>
      <c r="K1056" t="inlineStr">
        <is>
          <t>Answering Machine Autodial</t>
        </is>
      </c>
      <c r="L1056" t="n">
        <v>5</v>
      </c>
      <c r="M1056" t="inlineStr">
        <is>
          <t>2026-06-29 11:57:26</t>
        </is>
      </c>
      <c r="N1056" t="inlineStr">
        <is>
          <t>system</t>
        </is>
      </c>
      <c r="O1056" t="inlineStr">
        <is>
          <t>2026-06-17 14:10:06</t>
        </is>
      </c>
      <c r="P1056" t="inlineStr">
        <is>
          <t>2026-06-17 14:10:06</t>
        </is>
      </c>
      <c r="Y1056" t="inlineStr">
        <is>
          <t>27824464384</t>
        </is>
      </c>
    </row>
    <row r="1057">
      <c r="A1057" t="inlineStr">
        <is>
          <t>14920553</t>
        </is>
      </c>
      <c r="B1057" t="inlineStr">
        <is>
          <t>33277826-9095-4ce2-b0f7-e648fde07479</t>
        </is>
      </c>
      <c r="D1057" t="inlineStr">
        <is>
          <t>111111124</t>
        </is>
      </c>
      <c r="E1057" t="inlineStr">
        <is>
          <t>Vodacom Life 20260617</t>
        </is>
      </c>
      <c r="G1057" t="inlineStr">
        <is>
          <t>JENNISHA</t>
        </is>
      </c>
      <c r="H1057" t="inlineStr">
        <is>
          <t>SOOKOHOO</t>
        </is>
      </c>
      <c r="J1057" t="inlineStr">
        <is>
          <t>AE</t>
        </is>
      </c>
      <c r="K1057" t="inlineStr">
        <is>
          <t>Auto Engaged</t>
        </is>
      </c>
      <c r="L1057" t="n">
        <v>5</v>
      </c>
      <c r="M1057" t="inlineStr">
        <is>
          <t>2026-06-29 11:57:26</t>
        </is>
      </c>
      <c r="N1057" t="inlineStr">
        <is>
          <t>system</t>
        </is>
      </c>
      <c r="O1057" t="inlineStr">
        <is>
          <t>2026-06-17 14:10:06</t>
        </is>
      </c>
      <c r="P1057" t="inlineStr">
        <is>
          <t>2026-06-17 14:10:06</t>
        </is>
      </c>
      <c r="Y1057" t="inlineStr">
        <is>
          <t>27765058709</t>
        </is>
      </c>
    </row>
    <row r="1058">
      <c r="A1058" t="inlineStr">
        <is>
          <t>14920549</t>
        </is>
      </c>
      <c r="B1058" t="inlineStr">
        <is>
          <t>9c9bb50a-8178-4edb-b20b-c43692aa9777</t>
        </is>
      </c>
      <c r="D1058" t="inlineStr">
        <is>
          <t>111111124</t>
        </is>
      </c>
      <c r="E1058" t="inlineStr">
        <is>
          <t>Vodacom Life 20260617</t>
        </is>
      </c>
      <c r="G1058" t="inlineStr">
        <is>
          <t>JAMES</t>
        </is>
      </c>
      <c r="H1058" t="inlineStr">
        <is>
          <t>EATWELL</t>
        </is>
      </c>
      <c r="J1058" t="inlineStr">
        <is>
          <t>DROP</t>
        </is>
      </c>
      <c r="K1058" t="inlineStr">
        <is>
          <t>Dropped</t>
        </is>
      </c>
      <c r="L1058" t="n">
        <v>5</v>
      </c>
      <c r="M1058" t="inlineStr">
        <is>
          <t>2026-06-29 11:57:26</t>
        </is>
      </c>
      <c r="N1058" t="inlineStr">
        <is>
          <t>system</t>
        </is>
      </c>
      <c r="O1058" t="inlineStr">
        <is>
          <t>2026-06-17 14:10:06</t>
        </is>
      </c>
      <c r="P1058" t="inlineStr">
        <is>
          <t>2026-06-17 14:10:06</t>
        </is>
      </c>
      <c r="Y1058" t="inlineStr">
        <is>
          <t>27722719383</t>
        </is>
      </c>
    </row>
    <row r="1059">
      <c r="A1059" t="inlineStr">
        <is>
          <t>14920550</t>
        </is>
      </c>
      <c r="B1059" t="inlineStr">
        <is>
          <t>36a33106-4a06-4d4b-a5cf-c0ccc6a6c70e</t>
        </is>
      </c>
      <c r="D1059" t="inlineStr">
        <is>
          <t>111111124</t>
        </is>
      </c>
      <c r="E1059" t="inlineStr">
        <is>
          <t>Vodacom Life 20260617</t>
        </is>
      </c>
      <c r="G1059" t="inlineStr">
        <is>
          <t>G</t>
        </is>
      </c>
      <c r="H1059" t="inlineStr">
        <is>
          <t>SINNETT</t>
        </is>
      </c>
      <c r="J1059" t="inlineStr">
        <is>
          <t>AA</t>
        </is>
      </c>
      <c r="K1059" t="inlineStr">
        <is>
          <t>Answering Machine Autodial</t>
        </is>
      </c>
      <c r="L1059" t="n">
        <v>5</v>
      </c>
      <c r="M1059" t="inlineStr">
        <is>
          <t>2026-06-29 11:57:26</t>
        </is>
      </c>
      <c r="N1059" t="inlineStr">
        <is>
          <t>system</t>
        </is>
      </c>
      <c r="O1059" t="inlineStr">
        <is>
          <t>2026-06-17 14:10:06</t>
        </is>
      </c>
      <c r="P1059" t="inlineStr">
        <is>
          <t>2026-06-17 14:10:06</t>
        </is>
      </c>
      <c r="Y1059" t="inlineStr">
        <is>
          <t>27828252982</t>
        </is>
      </c>
    </row>
    <row r="1060">
      <c r="A1060" t="inlineStr">
        <is>
          <t>14920528</t>
        </is>
      </c>
      <c r="B1060" t="inlineStr">
        <is>
          <t>14f8a266-026c-4581-b050-9517caf35307</t>
        </is>
      </c>
      <c r="D1060" t="inlineStr">
        <is>
          <t>111111124</t>
        </is>
      </c>
      <c r="E1060" t="inlineStr">
        <is>
          <t>Vodacom Life 20260617</t>
        </is>
      </c>
      <c r="G1060" t="inlineStr">
        <is>
          <t>LEAANTHIA</t>
        </is>
      </c>
      <c r="H1060" t="inlineStr">
        <is>
          <t>DU PLESSIS</t>
        </is>
      </c>
      <c r="J1060" t="inlineStr">
        <is>
          <t>AA</t>
        </is>
      </c>
      <c r="K1060" t="inlineStr">
        <is>
          <t>Answering Machine Autodial</t>
        </is>
      </c>
      <c r="L1060" t="n">
        <v>5</v>
      </c>
      <c r="M1060" t="inlineStr">
        <is>
          <t>2026-06-29 11:57:24</t>
        </is>
      </c>
      <c r="N1060" t="inlineStr">
        <is>
          <t>system</t>
        </is>
      </c>
      <c r="O1060" t="inlineStr">
        <is>
          <t>2026-06-17 14:10:06</t>
        </is>
      </c>
      <c r="P1060" t="inlineStr">
        <is>
          <t>2026-06-17 14:10:06</t>
        </is>
      </c>
      <c r="Y1060" t="inlineStr">
        <is>
          <t>27796927923</t>
        </is>
      </c>
    </row>
    <row r="1061">
      <c r="A1061" t="inlineStr">
        <is>
          <t>14920521</t>
        </is>
      </c>
      <c r="B1061" t="inlineStr">
        <is>
          <t>3d18cf4b-1108-4281-a8ec-03ed10bf103a</t>
        </is>
      </c>
      <c r="D1061" t="inlineStr">
        <is>
          <t>111111124</t>
        </is>
      </c>
      <c r="E1061" t="inlineStr">
        <is>
          <t>Vodacom Life 20260617</t>
        </is>
      </c>
      <c r="G1061" t="inlineStr">
        <is>
          <t>REDPATH</t>
        </is>
      </c>
      <c r="H1061" t="inlineStr">
        <is>
          <t>THOMAS</t>
        </is>
      </c>
      <c r="J1061" t="inlineStr">
        <is>
          <t>NI</t>
        </is>
      </c>
      <c r="K1061" t="inlineStr">
        <is>
          <t>Not Interested</t>
        </is>
      </c>
      <c r="L1061" t="n">
        <v>5</v>
      </c>
      <c r="M1061" t="inlineStr">
        <is>
          <t>2026-06-29 11:57:20</t>
        </is>
      </c>
      <c r="N1061" t="inlineStr">
        <is>
          <t>Maureen Ntsoko</t>
        </is>
      </c>
      <c r="O1061" t="inlineStr">
        <is>
          <t>2026-06-17 14:10:06</t>
        </is>
      </c>
      <c r="P1061" t="inlineStr">
        <is>
          <t>2026-06-17 14:10:06</t>
        </is>
      </c>
      <c r="Y1061" t="inlineStr">
        <is>
          <t>27711883499</t>
        </is>
      </c>
    </row>
    <row r="1062">
      <c r="A1062" t="inlineStr">
        <is>
          <t>14920522</t>
        </is>
      </c>
      <c r="B1062" t="inlineStr">
        <is>
          <t>f142c72a-b982-4992-a159-c0bfc371f679</t>
        </is>
      </c>
      <c r="D1062" t="inlineStr">
        <is>
          <t>111111124</t>
        </is>
      </c>
      <c r="E1062" t="inlineStr">
        <is>
          <t>Vodacom Life 20260617</t>
        </is>
      </c>
      <c r="G1062" t="inlineStr">
        <is>
          <t>VERONICA</t>
        </is>
      </c>
      <c r="H1062" t="inlineStr">
        <is>
          <t>MBATHA</t>
        </is>
      </c>
      <c r="J1062" t="inlineStr">
        <is>
          <t>AA</t>
        </is>
      </c>
      <c r="K1062" t="inlineStr">
        <is>
          <t>Answering Machine Autodial</t>
        </is>
      </c>
      <c r="L1062" t="n">
        <v>5</v>
      </c>
      <c r="M1062" t="inlineStr">
        <is>
          <t>2026-06-29 11:57:20</t>
        </is>
      </c>
      <c r="N1062" t="inlineStr">
        <is>
          <t>system</t>
        </is>
      </c>
      <c r="O1062" t="inlineStr">
        <is>
          <t>2026-06-17 14:10:06</t>
        </is>
      </c>
      <c r="P1062" t="inlineStr">
        <is>
          <t>2026-06-17 14:10:06</t>
        </is>
      </c>
      <c r="Y1062" t="inlineStr">
        <is>
          <t>27722531889</t>
        </is>
      </c>
    </row>
    <row r="1063">
      <c r="A1063" t="inlineStr">
        <is>
          <t>14920527</t>
        </is>
      </c>
      <c r="B1063" t="inlineStr">
        <is>
          <t>db6ede4a-d07c-4a66-93a7-5e208f5d0845</t>
        </is>
      </c>
      <c r="D1063" t="inlineStr">
        <is>
          <t>111111124</t>
        </is>
      </c>
      <c r="E1063" t="inlineStr">
        <is>
          <t>Vodacom Life 20260617</t>
        </is>
      </c>
      <c r="G1063" t="inlineStr">
        <is>
          <t>EMANUEL</t>
        </is>
      </c>
      <c r="H1063" t="inlineStr">
        <is>
          <t>KHUMALO</t>
        </is>
      </c>
      <c r="J1063" t="inlineStr">
        <is>
          <t>AE</t>
        </is>
      </c>
      <c r="K1063" t="inlineStr">
        <is>
          <t>Auto Engaged</t>
        </is>
      </c>
      <c r="L1063" t="n">
        <v>5</v>
      </c>
      <c r="M1063" t="inlineStr">
        <is>
          <t>2026-06-29 11:57:20</t>
        </is>
      </c>
      <c r="N1063" t="inlineStr">
        <is>
          <t>system</t>
        </is>
      </c>
      <c r="O1063" t="inlineStr">
        <is>
          <t>2026-06-17 14:10:06</t>
        </is>
      </c>
      <c r="P1063" t="inlineStr">
        <is>
          <t>2026-06-17 14:10:06</t>
        </is>
      </c>
      <c r="Y1063" t="inlineStr">
        <is>
          <t>27711411045</t>
        </is>
      </c>
    </row>
    <row r="1064">
      <c r="A1064" t="inlineStr">
        <is>
          <t>14920516</t>
        </is>
      </c>
      <c r="B1064" t="inlineStr">
        <is>
          <t>f573e6f2-b3ac-4d61-9cbf-03bdad1d0e04</t>
        </is>
      </c>
      <c r="D1064" t="inlineStr">
        <is>
          <t>111111124</t>
        </is>
      </c>
      <c r="E1064" t="inlineStr">
        <is>
          <t>Vodacom Life 20260617</t>
        </is>
      </c>
      <c r="G1064" t="inlineStr">
        <is>
          <t>VUYISILE</t>
        </is>
      </c>
      <c r="H1064" t="inlineStr">
        <is>
          <t>NGQAMBI</t>
        </is>
      </c>
      <c r="J1064" t="inlineStr">
        <is>
          <t>AE</t>
        </is>
      </c>
      <c r="K1064" t="inlineStr">
        <is>
          <t>Auto Engaged</t>
        </is>
      </c>
      <c r="L1064" t="n">
        <v>5</v>
      </c>
      <c r="M1064" t="inlineStr">
        <is>
          <t>2026-06-29 11:56:41</t>
        </is>
      </c>
      <c r="N1064" t="inlineStr">
        <is>
          <t>system</t>
        </is>
      </c>
      <c r="O1064" t="inlineStr">
        <is>
          <t>2026-06-17 14:10:06</t>
        </is>
      </c>
      <c r="P1064" t="inlineStr">
        <is>
          <t>2026-06-17 14:10:06</t>
        </is>
      </c>
      <c r="Y1064" t="inlineStr">
        <is>
          <t>27793007499</t>
        </is>
      </c>
    </row>
    <row r="1065">
      <c r="A1065" t="inlineStr">
        <is>
          <t>14920517</t>
        </is>
      </c>
      <c r="B1065" t="inlineStr">
        <is>
          <t>3b5abe27-ae2d-4dee-a8ac-0cd7032e745f</t>
        </is>
      </c>
      <c r="D1065" t="inlineStr">
        <is>
          <t>111111124</t>
        </is>
      </c>
      <c r="E1065" t="inlineStr">
        <is>
          <t>Vodacom Life 20260617</t>
        </is>
      </c>
      <c r="G1065" t="inlineStr">
        <is>
          <t>MPHO</t>
        </is>
      </c>
      <c r="H1065" t="inlineStr">
        <is>
          <t>RANAKE</t>
        </is>
      </c>
      <c r="J1065" t="inlineStr">
        <is>
          <t>DROP</t>
        </is>
      </c>
      <c r="K1065" t="inlineStr">
        <is>
          <t>Dropped</t>
        </is>
      </c>
      <c r="L1065" t="n">
        <v>5</v>
      </c>
      <c r="M1065" t="inlineStr">
        <is>
          <t>2026-06-29 11:56:41</t>
        </is>
      </c>
      <c r="N1065" t="inlineStr">
        <is>
          <t>system</t>
        </is>
      </c>
      <c r="O1065" t="inlineStr">
        <is>
          <t>2026-06-17 14:10:06</t>
        </is>
      </c>
      <c r="P1065" t="inlineStr">
        <is>
          <t>2026-06-17 14:10:06</t>
        </is>
      </c>
      <c r="Y1065" t="inlineStr">
        <is>
          <t>27738384939</t>
        </is>
      </c>
    </row>
    <row r="1066">
      <c r="A1066" t="inlineStr">
        <is>
          <t>14920519</t>
        </is>
      </c>
      <c r="B1066" t="inlineStr">
        <is>
          <t>235bbc47-c6c1-440f-8ec5-40af94da48c7</t>
        </is>
      </c>
      <c r="D1066" t="inlineStr">
        <is>
          <t>111111124</t>
        </is>
      </c>
      <c r="E1066" t="inlineStr">
        <is>
          <t>Vodacom Life 20260617</t>
        </is>
      </c>
      <c r="G1066" t="inlineStr">
        <is>
          <t>GERTRUIDA</t>
        </is>
      </c>
      <c r="H1066" t="inlineStr">
        <is>
          <t>GROBLER</t>
        </is>
      </c>
      <c r="J1066" t="inlineStr">
        <is>
          <t>DROP</t>
        </is>
      </c>
      <c r="K1066" t="inlineStr">
        <is>
          <t>Dropped</t>
        </is>
      </c>
      <c r="L1066" t="n">
        <v>5</v>
      </c>
      <c r="M1066" t="inlineStr">
        <is>
          <t>2026-06-29 11:56:41</t>
        </is>
      </c>
      <c r="N1066" t="inlineStr">
        <is>
          <t>system</t>
        </is>
      </c>
      <c r="O1066" t="inlineStr">
        <is>
          <t>2026-06-17 14:10:06</t>
        </is>
      </c>
      <c r="P1066" t="inlineStr">
        <is>
          <t>2026-06-17 14:10:06</t>
        </is>
      </c>
      <c r="Y1066" t="inlineStr">
        <is>
          <t>27662311734</t>
        </is>
      </c>
    </row>
    <row r="1067">
      <c r="A1067" t="inlineStr">
        <is>
          <t>14920513</t>
        </is>
      </c>
      <c r="B1067" t="inlineStr">
        <is>
          <t>d0f61337-ab23-4db6-b58c-899c7e671681</t>
        </is>
      </c>
      <c r="D1067" t="inlineStr">
        <is>
          <t>111111124</t>
        </is>
      </c>
      <c r="E1067" t="inlineStr">
        <is>
          <t>Vodacom Life 20260617</t>
        </is>
      </c>
      <c r="G1067" t="inlineStr">
        <is>
          <t>NGAKANTSI</t>
        </is>
      </c>
      <c r="H1067" t="inlineStr">
        <is>
          <t>MOLOI</t>
        </is>
      </c>
      <c r="J1067" t="inlineStr">
        <is>
          <t>DROP</t>
        </is>
      </c>
      <c r="K1067" t="inlineStr">
        <is>
          <t>Dropped</t>
        </is>
      </c>
      <c r="L1067" t="n">
        <v>5</v>
      </c>
      <c r="M1067" t="inlineStr">
        <is>
          <t>2026-06-29 11:56:28</t>
        </is>
      </c>
      <c r="N1067" t="inlineStr">
        <is>
          <t>system</t>
        </is>
      </c>
      <c r="O1067" t="inlineStr">
        <is>
          <t>2026-06-17 14:10:06</t>
        </is>
      </c>
      <c r="P1067" t="inlineStr">
        <is>
          <t>2026-06-17 14:10:06</t>
        </is>
      </c>
      <c r="Y1067" t="inlineStr">
        <is>
          <t>27674065812</t>
        </is>
      </c>
    </row>
    <row r="1068">
      <c r="A1068" t="inlineStr">
        <is>
          <t>14920514</t>
        </is>
      </c>
      <c r="B1068" t="inlineStr">
        <is>
          <t>609b599f-784d-4a3f-a2cc-76338f4f0314</t>
        </is>
      </c>
      <c r="D1068" t="inlineStr">
        <is>
          <t>111111124</t>
        </is>
      </c>
      <c r="E1068" t="inlineStr">
        <is>
          <t>Vodacom Life 20260617</t>
        </is>
      </c>
      <c r="G1068" t="inlineStr">
        <is>
          <t>CYNTHIA</t>
        </is>
      </c>
      <c r="H1068" t="inlineStr">
        <is>
          <t>MOKANYANE</t>
        </is>
      </c>
      <c r="J1068" t="inlineStr">
        <is>
          <t>NI</t>
        </is>
      </c>
      <c r="K1068" t="inlineStr">
        <is>
          <t>Not Interested</t>
        </is>
      </c>
      <c r="L1068" t="n">
        <v>5</v>
      </c>
      <c r="M1068" t="inlineStr">
        <is>
          <t>2026-06-29 11:56:28</t>
        </is>
      </c>
      <c r="N1068" t="inlineStr">
        <is>
          <t>Khensane Mabasa</t>
        </is>
      </c>
      <c r="O1068" t="inlineStr">
        <is>
          <t>2026-06-17 14:10:06</t>
        </is>
      </c>
      <c r="P1068" t="inlineStr">
        <is>
          <t>2026-06-17 14:10:06</t>
        </is>
      </c>
      <c r="Y1068" t="inlineStr">
        <is>
          <t>27827996375</t>
        </is>
      </c>
    </row>
    <row r="1069">
      <c r="A1069" t="inlineStr">
        <is>
          <t>14920515</t>
        </is>
      </c>
      <c r="B1069" t="inlineStr">
        <is>
          <t>f7e51845-6ba1-47d9-a219-994e5bba80b3</t>
        </is>
      </c>
      <c r="D1069" t="inlineStr">
        <is>
          <t>111111124</t>
        </is>
      </c>
      <c r="E1069" t="inlineStr">
        <is>
          <t>Vodacom Life 20260617</t>
        </is>
      </c>
      <c r="G1069" t="inlineStr">
        <is>
          <t>CANDICE</t>
        </is>
      </c>
      <c r="H1069" t="inlineStr">
        <is>
          <t>LUTCHMAN</t>
        </is>
      </c>
      <c r="J1069" t="inlineStr">
        <is>
          <t>NA</t>
        </is>
      </c>
      <c r="K1069" t="inlineStr">
        <is>
          <t>No Answer Autodial</t>
        </is>
      </c>
      <c r="L1069" t="n">
        <v>5</v>
      </c>
      <c r="M1069" t="inlineStr">
        <is>
          <t>2026-06-29 11:56:28</t>
        </is>
      </c>
      <c r="N1069" t="inlineStr">
        <is>
          <t>system</t>
        </is>
      </c>
      <c r="O1069" t="inlineStr">
        <is>
          <t>2026-06-17 14:10:06</t>
        </is>
      </c>
      <c r="P1069" t="inlineStr">
        <is>
          <t>2026-06-17 14:10:06</t>
        </is>
      </c>
      <c r="Y1069" t="inlineStr">
        <is>
          <t>27767402888</t>
        </is>
      </c>
    </row>
    <row r="1070">
      <c r="A1070" t="inlineStr">
        <is>
          <t>14920512</t>
        </is>
      </c>
      <c r="B1070" t="inlineStr">
        <is>
          <t>643ee7f8-6c95-4ecf-9d83-280b47dee2f1</t>
        </is>
      </c>
      <c r="D1070" t="inlineStr">
        <is>
          <t>111111124</t>
        </is>
      </c>
      <c r="E1070" t="inlineStr">
        <is>
          <t>Vodacom Life 20260617</t>
        </is>
      </c>
      <c r="G1070" t="inlineStr">
        <is>
          <t>NEZISWA</t>
        </is>
      </c>
      <c r="H1070" t="inlineStr">
        <is>
          <t>MFAZWE</t>
        </is>
      </c>
      <c r="J1070" t="inlineStr">
        <is>
          <t>DROP</t>
        </is>
      </c>
      <c r="K1070" t="inlineStr">
        <is>
          <t>Dropped</t>
        </is>
      </c>
      <c r="L1070" t="n">
        <v>5</v>
      </c>
      <c r="M1070" t="inlineStr">
        <is>
          <t>2026-06-29 11:56:12</t>
        </is>
      </c>
      <c r="N1070" t="inlineStr">
        <is>
          <t>system</t>
        </is>
      </c>
      <c r="O1070" t="inlineStr">
        <is>
          <t>2026-06-17 14:10:06</t>
        </is>
      </c>
      <c r="P1070" t="inlineStr">
        <is>
          <t>2026-06-17 14:10:06</t>
        </is>
      </c>
      <c r="Y1070" t="inlineStr">
        <is>
          <t>27828010658</t>
        </is>
      </c>
    </row>
    <row r="1071">
      <c r="A1071" t="inlineStr">
        <is>
          <t>14920511</t>
        </is>
      </c>
      <c r="B1071" t="inlineStr">
        <is>
          <t>79956521-f77f-4ae0-ae86-10d903cedcf0</t>
        </is>
      </c>
      <c r="D1071" t="inlineStr">
        <is>
          <t>111111124</t>
        </is>
      </c>
      <c r="E1071" t="inlineStr">
        <is>
          <t>Vodacom Life 20260617</t>
        </is>
      </c>
      <c r="G1071" t="inlineStr">
        <is>
          <t>MORGLIN</t>
        </is>
      </c>
      <c r="H1071" t="inlineStr">
        <is>
          <t>OLIVIER</t>
        </is>
      </c>
      <c r="J1071" t="inlineStr">
        <is>
          <t>ADC</t>
        </is>
      </c>
      <c r="K1071" t="inlineStr">
        <is>
          <t>Auto Dial Disconnected</t>
        </is>
      </c>
      <c r="L1071" t="n">
        <v>5</v>
      </c>
      <c r="M1071" t="inlineStr">
        <is>
          <t>2026-06-29 11:56:07</t>
        </is>
      </c>
      <c r="N1071" t="inlineStr">
        <is>
          <t>system</t>
        </is>
      </c>
      <c r="O1071" t="inlineStr">
        <is>
          <t>2026-06-17 14:10:06</t>
        </is>
      </c>
      <c r="P1071" t="inlineStr">
        <is>
          <t>2026-06-17 14:10:06</t>
        </is>
      </c>
      <c r="Y1071" t="inlineStr">
        <is>
          <t>27681877547</t>
        </is>
      </c>
    </row>
    <row r="1072">
      <c r="A1072" t="inlineStr">
        <is>
          <t>14920509</t>
        </is>
      </c>
      <c r="B1072" t="inlineStr">
        <is>
          <t>1beeb14e-b7cd-4d63-b6f8-c74520eb5e01</t>
        </is>
      </c>
      <c r="D1072" t="inlineStr">
        <is>
          <t>111111124</t>
        </is>
      </c>
      <c r="E1072" t="inlineStr">
        <is>
          <t>Vodacom Life 20260617</t>
        </is>
      </c>
      <c r="G1072" t="inlineStr">
        <is>
          <t>NOEL</t>
        </is>
      </c>
      <c r="H1072" t="inlineStr">
        <is>
          <t>MC LEOD WEIR</t>
        </is>
      </c>
      <c r="J1072" t="inlineStr">
        <is>
          <t>A</t>
        </is>
      </c>
      <c r="K1072" t="inlineStr">
        <is>
          <t>Answering Machine</t>
        </is>
      </c>
      <c r="L1072" t="n">
        <v>5</v>
      </c>
      <c r="M1072" t="inlineStr">
        <is>
          <t>2026-06-29 11:56:00</t>
        </is>
      </c>
      <c r="N1072" t="inlineStr">
        <is>
          <t>Khensane Mabasa</t>
        </is>
      </c>
      <c r="O1072" t="inlineStr">
        <is>
          <t>2026-06-17 14:10:06</t>
        </is>
      </c>
      <c r="P1072" t="inlineStr">
        <is>
          <t>2026-06-17 14:10:06</t>
        </is>
      </c>
      <c r="Y1072" t="inlineStr">
        <is>
          <t>27609888659</t>
        </is>
      </c>
    </row>
    <row r="1073">
      <c r="A1073" t="inlineStr">
        <is>
          <t>14920510</t>
        </is>
      </c>
      <c r="B1073" t="inlineStr">
        <is>
          <t>d3da50ca-b81c-4e84-81ee-4abc71cd8b41</t>
        </is>
      </c>
      <c r="D1073" t="inlineStr">
        <is>
          <t>111111124</t>
        </is>
      </c>
      <c r="E1073" t="inlineStr">
        <is>
          <t>Vodacom Life 20260617</t>
        </is>
      </c>
      <c r="G1073" t="inlineStr">
        <is>
          <t>LUSINDA</t>
        </is>
      </c>
      <c r="H1073" t="inlineStr">
        <is>
          <t>YAWA</t>
        </is>
      </c>
      <c r="J1073" t="inlineStr">
        <is>
          <t>CU</t>
        </is>
      </c>
      <c r="K1073" t="inlineStr">
        <is>
          <t>Client Hung Up</t>
        </is>
      </c>
      <c r="L1073" t="n">
        <v>5</v>
      </c>
      <c r="M1073" t="inlineStr">
        <is>
          <t>2026-06-29 11:56:00</t>
        </is>
      </c>
      <c r="N1073" t="inlineStr">
        <is>
          <t>Khensane Mabasa</t>
        </is>
      </c>
      <c r="O1073" t="inlineStr">
        <is>
          <t>2026-06-17 14:10:06</t>
        </is>
      </c>
      <c r="P1073" t="inlineStr">
        <is>
          <t>2026-06-17 14:10:06</t>
        </is>
      </c>
      <c r="Y1073" t="inlineStr">
        <is>
          <t>27828774427</t>
        </is>
      </c>
    </row>
    <row r="1074">
      <c r="A1074" t="inlineStr">
        <is>
          <t>14921055</t>
        </is>
      </c>
      <c r="B1074" t="inlineStr">
        <is>
          <t>4974dcd1-d09f-4755-8a15-f25d5ac2f376</t>
        </is>
      </c>
      <c r="D1074" t="inlineStr">
        <is>
          <t>111111124</t>
        </is>
      </c>
      <c r="E1074" t="inlineStr">
        <is>
          <t>Vodacom Life 20260617</t>
        </is>
      </c>
      <c r="G1074" t="inlineStr">
        <is>
          <t>IAN</t>
        </is>
      </c>
      <c r="H1074" t="inlineStr">
        <is>
          <t>JONES</t>
        </is>
      </c>
      <c r="J1074" t="inlineStr">
        <is>
          <t>AA</t>
        </is>
      </c>
      <c r="K1074" t="inlineStr">
        <is>
          <t>Answering Machine Autodial</t>
        </is>
      </c>
      <c r="L1074" t="n">
        <v>5</v>
      </c>
      <c r="M1074" t="inlineStr">
        <is>
          <t>2026-06-29 11:56:00</t>
        </is>
      </c>
      <c r="N1074" t="inlineStr">
        <is>
          <t>system</t>
        </is>
      </c>
      <c r="O1074" t="inlineStr">
        <is>
          <t>2026-06-17 14:10:06</t>
        </is>
      </c>
      <c r="P1074" t="inlineStr">
        <is>
          <t>2026-06-17 14:10:06</t>
        </is>
      </c>
      <c r="Y1074" t="inlineStr">
        <is>
          <t>27727821643</t>
        </is>
      </c>
    </row>
    <row r="1075">
      <c r="A1075" t="inlineStr">
        <is>
          <t>14921062</t>
        </is>
      </c>
      <c r="B1075" t="inlineStr">
        <is>
          <t>176a1444-530e-4207-bb03-1afdab591c27</t>
        </is>
      </c>
      <c r="D1075" t="inlineStr">
        <is>
          <t>111111124</t>
        </is>
      </c>
      <c r="E1075" t="inlineStr">
        <is>
          <t>Vodacom Life 20260617</t>
        </is>
      </c>
      <c r="G1075" t="inlineStr">
        <is>
          <t>BIIBA</t>
        </is>
      </c>
      <c r="H1075" t="inlineStr">
        <is>
          <t>SONGABAU</t>
        </is>
      </c>
      <c r="J1075" t="inlineStr">
        <is>
          <t>DROP</t>
        </is>
      </c>
      <c r="K1075" t="inlineStr">
        <is>
          <t>Dropped</t>
        </is>
      </c>
      <c r="L1075" t="n">
        <v>5</v>
      </c>
      <c r="M1075" t="inlineStr">
        <is>
          <t>2026-06-29 11:56:00</t>
        </is>
      </c>
      <c r="N1075" t="inlineStr">
        <is>
          <t>system</t>
        </is>
      </c>
      <c r="O1075" t="inlineStr">
        <is>
          <t>2026-06-17 14:10:06</t>
        </is>
      </c>
      <c r="P1075" t="inlineStr">
        <is>
          <t>2026-06-17 14:10:06</t>
        </is>
      </c>
      <c r="Y1075" t="inlineStr">
        <is>
          <t>27726244772</t>
        </is>
      </c>
    </row>
    <row r="1076">
      <c r="A1076" t="inlineStr">
        <is>
          <t>14921060</t>
        </is>
      </c>
      <c r="B1076" t="inlineStr">
        <is>
          <t>5a1ce2e3-f472-4453-81dc-02f32cbaf717</t>
        </is>
      </c>
      <c r="D1076" t="inlineStr">
        <is>
          <t>111111124</t>
        </is>
      </c>
      <c r="E1076" t="inlineStr">
        <is>
          <t>Vodacom Life 20260617</t>
        </is>
      </c>
      <c r="G1076" t="inlineStr">
        <is>
          <t>MBONGISENI</t>
        </is>
      </c>
      <c r="H1076" t="inlineStr">
        <is>
          <t>MONYAI</t>
        </is>
      </c>
      <c r="J1076" t="inlineStr">
        <is>
          <t>AE</t>
        </is>
      </c>
      <c r="K1076" t="inlineStr">
        <is>
          <t>Auto Engaged</t>
        </is>
      </c>
      <c r="L1076" t="n">
        <v>5</v>
      </c>
      <c r="M1076" t="inlineStr">
        <is>
          <t>2026-06-29 11:55:59</t>
        </is>
      </c>
      <c r="N1076" t="inlineStr">
        <is>
          <t>system</t>
        </is>
      </c>
      <c r="O1076" t="inlineStr">
        <is>
          <t>2026-06-17 14:10:06</t>
        </is>
      </c>
      <c r="P1076" t="inlineStr">
        <is>
          <t>2026-06-17 14:10:06</t>
        </is>
      </c>
      <c r="Y1076" t="inlineStr">
        <is>
          <t>27713530024</t>
        </is>
      </c>
    </row>
    <row r="1077">
      <c r="A1077" t="inlineStr">
        <is>
          <t>14920506</t>
        </is>
      </c>
      <c r="B1077" t="inlineStr">
        <is>
          <t>f75d10aa-dbf0-4606-8d3c-e4ae33f1f01f</t>
        </is>
      </c>
      <c r="D1077" t="inlineStr">
        <is>
          <t>111111124</t>
        </is>
      </c>
      <c r="E1077" t="inlineStr">
        <is>
          <t>Vodacom Life 20260617</t>
        </is>
      </c>
      <c r="G1077" t="inlineStr">
        <is>
          <t>SAREL</t>
        </is>
      </c>
      <c r="H1077" t="inlineStr">
        <is>
          <t>KOK</t>
        </is>
      </c>
      <c r="J1077" t="inlineStr">
        <is>
          <t>DROP</t>
        </is>
      </c>
      <c r="K1077" t="inlineStr">
        <is>
          <t>Dropped</t>
        </is>
      </c>
      <c r="L1077" t="n">
        <v>5</v>
      </c>
      <c r="M1077" t="inlineStr">
        <is>
          <t>2026-06-29 11:53:39</t>
        </is>
      </c>
      <c r="N1077" t="inlineStr">
        <is>
          <t>system</t>
        </is>
      </c>
      <c r="O1077" t="inlineStr">
        <is>
          <t>2026-06-17 14:10:06</t>
        </is>
      </c>
      <c r="P1077" t="inlineStr">
        <is>
          <t>2026-06-17 14:10:06</t>
        </is>
      </c>
      <c r="Y1077" t="inlineStr">
        <is>
          <t>27796932839</t>
        </is>
      </c>
    </row>
    <row r="1078">
      <c r="A1078" t="inlineStr">
        <is>
          <t>14920507</t>
        </is>
      </c>
      <c r="B1078" t="inlineStr">
        <is>
          <t>874f7847-8141-45a1-a24f-ca4f2e4c1fa4</t>
        </is>
      </c>
      <c r="D1078" t="inlineStr">
        <is>
          <t>111111124</t>
        </is>
      </c>
      <c r="E1078" t="inlineStr">
        <is>
          <t>Vodacom Life 20260617</t>
        </is>
      </c>
      <c r="G1078" t="inlineStr">
        <is>
          <t>PRAISEWORTH</t>
        </is>
      </c>
      <c r="H1078" t="inlineStr">
        <is>
          <t>KHUMALO</t>
        </is>
      </c>
      <c r="J1078" t="inlineStr">
        <is>
          <t>CU</t>
        </is>
      </c>
      <c r="K1078" t="inlineStr">
        <is>
          <t>Client Hung Up</t>
        </is>
      </c>
      <c r="L1078" t="n">
        <v>5</v>
      </c>
      <c r="M1078" t="inlineStr">
        <is>
          <t>2026-06-29 11:53:39</t>
        </is>
      </c>
      <c r="N1078" t="inlineStr">
        <is>
          <t>Musiiwa Mary Mabirimisa</t>
        </is>
      </c>
      <c r="O1078" t="inlineStr">
        <is>
          <t>2026-06-17 14:10:06</t>
        </is>
      </c>
      <c r="P1078" t="inlineStr">
        <is>
          <t>2026-06-17 14:10:06</t>
        </is>
      </c>
      <c r="Y1078" t="inlineStr">
        <is>
          <t>27721442430</t>
        </is>
      </c>
    </row>
    <row r="1079">
      <c r="A1079" t="inlineStr">
        <is>
          <t>14920508</t>
        </is>
      </c>
      <c r="B1079" t="inlineStr">
        <is>
          <t>bb09a984-1307-489a-91f3-930f8fac49c8</t>
        </is>
      </c>
      <c r="D1079" t="inlineStr">
        <is>
          <t>111111124</t>
        </is>
      </c>
      <c r="E1079" t="inlineStr">
        <is>
          <t>Vodacom Life 20260617</t>
        </is>
      </c>
      <c r="G1079" t="inlineStr">
        <is>
          <t>EDGAR</t>
        </is>
      </c>
      <c r="H1079" t="inlineStr">
        <is>
          <t>MATHABATHA</t>
        </is>
      </c>
      <c r="J1079" t="inlineStr">
        <is>
          <t>AE</t>
        </is>
      </c>
      <c r="K1079" t="inlineStr">
        <is>
          <t>Auto Engaged</t>
        </is>
      </c>
      <c r="L1079" t="n">
        <v>5</v>
      </c>
      <c r="M1079" t="inlineStr">
        <is>
          <t>2026-06-29 11:53:39</t>
        </is>
      </c>
      <c r="N1079" t="inlineStr">
        <is>
          <t>system</t>
        </is>
      </c>
      <c r="O1079" t="inlineStr">
        <is>
          <t>2026-06-17 14:10:06</t>
        </is>
      </c>
      <c r="P1079" t="inlineStr">
        <is>
          <t>2026-06-17 14:10:06</t>
        </is>
      </c>
      <c r="Y1079" t="inlineStr">
        <is>
          <t>27723546242</t>
        </is>
      </c>
    </row>
    <row r="1080">
      <c r="A1080" t="inlineStr">
        <is>
          <t>14900000</t>
        </is>
      </c>
      <c r="B1080" t="inlineStr">
        <is>
          <t>5e422b27-15f7-44ea-a48b-c19e7b5d26a3</t>
        </is>
      </c>
      <c r="D1080" t="inlineStr">
        <is>
          <t>111111124</t>
        </is>
      </c>
      <c r="E1080" t="inlineStr">
        <is>
          <t>Vodacom Life 20260617</t>
        </is>
      </c>
      <c r="G1080" t="inlineStr">
        <is>
          <t>SAMKELO</t>
        </is>
      </c>
      <c r="H1080" t="inlineStr">
        <is>
          <t>SOKHULU</t>
        </is>
      </c>
      <c r="J1080" t="inlineStr">
        <is>
          <t>AA</t>
        </is>
      </c>
      <c r="K1080" t="inlineStr">
        <is>
          <t>Answering Machine Autodial</t>
        </is>
      </c>
      <c r="L1080" t="n">
        <v>5</v>
      </c>
      <c r="M1080" t="inlineStr">
        <is>
          <t>2026-06-29 11:53:34</t>
        </is>
      </c>
      <c r="N1080" t="inlineStr">
        <is>
          <t>system</t>
        </is>
      </c>
      <c r="O1080" t="inlineStr">
        <is>
          <t>2026-06-17 14:10:06</t>
        </is>
      </c>
      <c r="P1080" t="inlineStr">
        <is>
          <t>2026-06-17 14:10:06</t>
        </is>
      </c>
      <c r="Y1080" t="inlineStr">
        <is>
          <t>27764961328</t>
        </is>
      </c>
    </row>
    <row r="1081">
      <c r="A1081" t="inlineStr">
        <is>
          <t>14920504</t>
        </is>
      </c>
      <c r="B1081" t="inlineStr">
        <is>
          <t>996c0750-3733-4d4a-be28-9c3bd73211c6</t>
        </is>
      </c>
      <c r="D1081" t="inlineStr">
        <is>
          <t>111111124</t>
        </is>
      </c>
      <c r="E1081" t="inlineStr">
        <is>
          <t>Vodacom Life 20260617</t>
        </is>
      </c>
      <c r="G1081" t="inlineStr">
        <is>
          <t>TAMERYN</t>
        </is>
      </c>
      <c r="H1081" t="inlineStr">
        <is>
          <t>CARNEY</t>
        </is>
      </c>
      <c r="J1081" t="inlineStr">
        <is>
          <t>AA</t>
        </is>
      </c>
      <c r="K1081" t="inlineStr">
        <is>
          <t>Answering Machine Autodial</t>
        </is>
      </c>
      <c r="L1081" t="n">
        <v>5</v>
      </c>
      <c r="M1081" t="inlineStr">
        <is>
          <t>2026-06-29 11:53:34</t>
        </is>
      </c>
      <c r="N1081" t="inlineStr">
        <is>
          <t>system</t>
        </is>
      </c>
      <c r="O1081" t="inlineStr">
        <is>
          <t>2026-06-17 14:10:06</t>
        </is>
      </c>
      <c r="P1081" t="inlineStr">
        <is>
          <t>2026-06-17 14:10:06</t>
        </is>
      </c>
      <c r="Y1081" t="inlineStr">
        <is>
          <t>27790460868</t>
        </is>
      </c>
    </row>
    <row r="1082">
      <c r="A1082" t="inlineStr">
        <is>
          <t>14920505</t>
        </is>
      </c>
      <c r="B1082" t="inlineStr">
        <is>
          <t>ba083156-968f-469d-bf26-78ccd9717cf9</t>
        </is>
      </c>
      <c r="D1082" t="inlineStr">
        <is>
          <t>111111124</t>
        </is>
      </c>
      <c r="E1082" t="inlineStr">
        <is>
          <t>Vodacom Life 20260617</t>
        </is>
      </c>
      <c r="G1082" t="inlineStr">
        <is>
          <t>MARTIN</t>
        </is>
      </c>
      <c r="H1082" t="inlineStr">
        <is>
          <t>PRINSLOO</t>
        </is>
      </c>
      <c r="J1082" t="inlineStr">
        <is>
          <t>DROP</t>
        </is>
      </c>
      <c r="K1082" t="inlineStr">
        <is>
          <t>Dropped</t>
        </is>
      </c>
      <c r="L1082" t="n">
        <v>5</v>
      </c>
      <c r="M1082" t="inlineStr">
        <is>
          <t>2026-06-29 11:53:34</t>
        </is>
      </c>
      <c r="N1082" t="inlineStr">
        <is>
          <t>system</t>
        </is>
      </c>
      <c r="O1082" t="inlineStr">
        <is>
          <t>2026-06-17 14:10:06</t>
        </is>
      </c>
      <c r="P1082" t="inlineStr">
        <is>
          <t>2026-06-17 14:10:06</t>
        </is>
      </c>
      <c r="Y1082" t="inlineStr">
        <is>
          <t>27768106491</t>
        </is>
      </c>
    </row>
    <row r="1083">
      <c r="A1083" t="inlineStr">
        <is>
          <t>14921057</t>
        </is>
      </c>
      <c r="B1083" t="inlineStr">
        <is>
          <t>d42ece1d-da6c-4dfc-92f1-5d94e145c85f</t>
        </is>
      </c>
      <c r="D1083" t="inlineStr">
        <is>
          <t>111111124</t>
        </is>
      </c>
      <c r="E1083" t="inlineStr">
        <is>
          <t>Vodacom Life 20260617</t>
        </is>
      </c>
      <c r="G1083" t="inlineStr">
        <is>
          <t>JOHANNES</t>
        </is>
      </c>
      <c r="H1083" t="inlineStr">
        <is>
          <t>ACKERMAN</t>
        </is>
      </c>
      <c r="J1083" t="inlineStr">
        <is>
          <t>AE</t>
        </is>
      </c>
      <c r="K1083" t="inlineStr">
        <is>
          <t>Auto Engaged</t>
        </is>
      </c>
      <c r="L1083" t="n">
        <v>5</v>
      </c>
      <c r="M1083" t="inlineStr">
        <is>
          <t>2026-06-29 11:53:34</t>
        </is>
      </c>
      <c r="N1083" t="inlineStr">
        <is>
          <t>system</t>
        </is>
      </c>
      <c r="O1083" t="inlineStr">
        <is>
          <t>2026-06-17 14:10:06</t>
        </is>
      </c>
      <c r="P1083" t="inlineStr">
        <is>
          <t>2026-06-17 14:10:06</t>
        </is>
      </c>
      <c r="Y1083" t="inlineStr">
        <is>
          <t>27826171475</t>
        </is>
      </c>
    </row>
    <row r="1084">
      <c r="A1084" t="inlineStr">
        <is>
          <t>14921058</t>
        </is>
      </c>
      <c r="B1084" t="inlineStr">
        <is>
          <t>208f13bb-60e4-4ad7-b719-01cb49a16485</t>
        </is>
      </c>
      <c r="D1084" t="inlineStr">
        <is>
          <t>111111124</t>
        </is>
      </c>
      <c r="E1084" t="inlineStr">
        <is>
          <t>Vodacom Life 20260617</t>
        </is>
      </c>
      <c r="G1084" t="inlineStr">
        <is>
          <t>CLAIRE</t>
        </is>
      </c>
      <c r="H1084" t="inlineStr">
        <is>
          <t>MCKELVEY</t>
        </is>
      </c>
      <c r="J1084" t="inlineStr">
        <is>
          <t>AE</t>
        </is>
      </c>
      <c r="K1084" t="inlineStr">
        <is>
          <t>Auto Engaged</t>
        </is>
      </c>
      <c r="L1084" t="n">
        <v>5</v>
      </c>
      <c r="M1084" t="inlineStr">
        <is>
          <t>2026-06-29 11:53:31</t>
        </is>
      </c>
      <c r="N1084" t="inlineStr">
        <is>
          <t>system</t>
        </is>
      </c>
      <c r="O1084" t="inlineStr">
        <is>
          <t>2026-06-17 14:10:06</t>
        </is>
      </c>
      <c r="P1084" t="inlineStr">
        <is>
          <t>2026-06-17 14:10:06</t>
        </is>
      </c>
      <c r="Y1084" t="inlineStr">
        <is>
          <t>27828271544</t>
        </is>
      </c>
    </row>
    <row r="1085">
      <c r="A1085" t="inlineStr">
        <is>
          <t>14921059</t>
        </is>
      </c>
      <c r="B1085" t="inlineStr">
        <is>
          <t>af0cb760-d5b9-4374-a3a0-b33da33d8e23</t>
        </is>
      </c>
      <c r="D1085" t="inlineStr">
        <is>
          <t>111111124</t>
        </is>
      </c>
      <c r="E1085" t="inlineStr">
        <is>
          <t>Vodacom Life 20260617</t>
        </is>
      </c>
      <c r="G1085" t="inlineStr">
        <is>
          <t>MNIKELI</t>
        </is>
      </c>
      <c r="H1085" t="inlineStr">
        <is>
          <t>NDABAMBI</t>
        </is>
      </c>
      <c r="J1085" t="inlineStr">
        <is>
          <t>DROP</t>
        </is>
      </c>
      <c r="K1085" t="inlineStr">
        <is>
          <t>Dropped</t>
        </is>
      </c>
      <c r="L1085" t="n">
        <v>5</v>
      </c>
      <c r="M1085" t="inlineStr">
        <is>
          <t>2026-06-29 11:53:31</t>
        </is>
      </c>
      <c r="N1085" t="inlineStr">
        <is>
          <t>system</t>
        </is>
      </c>
      <c r="O1085" t="inlineStr">
        <is>
          <t>2026-06-17 14:10:06</t>
        </is>
      </c>
      <c r="P1085" t="inlineStr">
        <is>
          <t>2026-06-17 14:10:06</t>
        </is>
      </c>
      <c r="Y1085" t="inlineStr">
        <is>
          <t>27842791154</t>
        </is>
      </c>
    </row>
    <row r="1086">
      <c r="A1086" t="inlineStr">
        <is>
          <t>14920995</t>
        </is>
      </c>
      <c r="B1086" t="inlineStr">
        <is>
          <t>5b53003a-bc36-4081-b998-25caf7973043</t>
        </is>
      </c>
      <c r="D1086" t="inlineStr">
        <is>
          <t>111111124</t>
        </is>
      </c>
      <c r="E1086" t="inlineStr">
        <is>
          <t>Vodacom Life 20260617</t>
        </is>
      </c>
      <c r="G1086" t="inlineStr">
        <is>
          <t>ABEL</t>
        </is>
      </c>
      <c r="H1086" t="inlineStr">
        <is>
          <t>MAHLABA</t>
        </is>
      </c>
      <c r="J1086" t="inlineStr">
        <is>
          <t>CBACK</t>
        </is>
      </c>
      <c r="K1086" t="inlineStr">
        <is>
          <t>Callback</t>
        </is>
      </c>
      <c r="L1086" t="n">
        <v>5</v>
      </c>
      <c r="M1086" t="inlineStr">
        <is>
          <t>2026-06-29 11:53:10</t>
        </is>
      </c>
      <c r="N1086" t="inlineStr">
        <is>
          <t>Khensane Mabasa</t>
        </is>
      </c>
      <c r="O1086" t="inlineStr">
        <is>
          <t>2026-06-17 14:10:06</t>
        </is>
      </c>
      <c r="P1086" t="inlineStr">
        <is>
          <t>2026-06-17 14:10:06</t>
        </is>
      </c>
      <c r="Y1086" t="inlineStr">
        <is>
          <t>27764747974</t>
        </is>
      </c>
    </row>
    <row r="1087">
      <c r="A1087" t="inlineStr">
        <is>
          <t>14920998</t>
        </is>
      </c>
      <c r="B1087" t="inlineStr">
        <is>
          <t>f2b5d115-97c1-40ed-a662-18b83fa91158</t>
        </is>
      </c>
      <c r="D1087" t="inlineStr">
        <is>
          <t>111111124</t>
        </is>
      </c>
      <c r="E1087" t="inlineStr">
        <is>
          <t>Vodacom Life 20260617</t>
        </is>
      </c>
      <c r="G1087" t="inlineStr">
        <is>
          <t>GEORGE</t>
        </is>
      </c>
      <c r="H1087" t="inlineStr">
        <is>
          <t>DE RIDDER</t>
        </is>
      </c>
      <c r="J1087" t="inlineStr">
        <is>
          <t>CCB</t>
        </is>
      </c>
      <c r="K1087" t="inlineStr">
        <is>
          <t>Call Dropped</t>
        </is>
      </c>
      <c r="L1087" t="n">
        <v>5</v>
      </c>
      <c r="M1087" t="inlineStr">
        <is>
          <t>2026-06-29 11:53:04</t>
        </is>
      </c>
      <c r="N1087" t="inlineStr">
        <is>
          <t>Khensane Mabasa</t>
        </is>
      </c>
      <c r="O1087" t="inlineStr">
        <is>
          <t>2026-06-17 14:10:06</t>
        </is>
      </c>
      <c r="P1087" t="inlineStr">
        <is>
          <t>2026-06-17 14:10:06</t>
        </is>
      </c>
      <c r="Y1087" t="inlineStr">
        <is>
          <t>27609835810</t>
        </is>
      </c>
    </row>
    <row r="1088">
      <c r="A1088" t="inlineStr">
        <is>
          <t>14920999</t>
        </is>
      </c>
      <c r="B1088" t="inlineStr">
        <is>
          <t>bfa798a6-98af-48eb-8ee9-01e505d89129</t>
        </is>
      </c>
      <c r="D1088" t="inlineStr">
        <is>
          <t>111111124</t>
        </is>
      </c>
      <c r="E1088" t="inlineStr">
        <is>
          <t>Vodacom Life 20260617</t>
        </is>
      </c>
      <c r="G1088" t="inlineStr">
        <is>
          <t>MXOLISI</t>
        </is>
      </c>
      <c r="H1088" t="inlineStr">
        <is>
          <t>GQOMFA</t>
        </is>
      </c>
      <c r="J1088" t="inlineStr">
        <is>
          <t>AA</t>
        </is>
      </c>
      <c r="K1088" t="inlineStr">
        <is>
          <t>Answering Machine Autodial</t>
        </is>
      </c>
      <c r="L1088" t="n">
        <v>5</v>
      </c>
      <c r="M1088" t="inlineStr">
        <is>
          <t>2026-06-29 11:53:03</t>
        </is>
      </c>
      <c r="N1088" t="inlineStr">
        <is>
          <t>system</t>
        </is>
      </c>
      <c r="O1088" t="inlineStr">
        <is>
          <t>2026-06-17 14:10:06</t>
        </is>
      </c>
      <c r="P1088" t="inlineStr">
        <is>
          <t>2026-06-17 14:10:06</t>
        </is>
      </c>
      <c r="Y1088" t="inlineStr">
        <is>
          <t>27822948195</t>
        </is>
      </c>
    </row>
    <row r="1089">
      <c r="A1089" t="inlineStr">
        <is>
          <t>14921014</t>
        </is>
      </c>
      <c r="B1089" t="inlineStr">
        <is>
          <t>d5258d96-9e3f-4c8a-9ead-72e069dd41d1</t>
        </is>
      </c>
      <c r="D1089" t="inlineStr">
        <is>
          <t>111111124</t>
        </is>
      </c>
      <c r="E1089" t="inlineStr">
        <is>
          <t>Vodacom Life 20260617</t>
        </is>
      </c>
      <c r="G1089" t="inlineStr">
        <is>
          <t>ANDRE</t>
        </is>
      </c>
      <c r="H1089" t="inlineStr">
        <is>
          <t>DU PLESSIS</t>
        </is>
      </c>
      <c r="J1089" t="inlineStr">
        <is>
          <t>AA</t>
        </is>
      </c>
      <c r="K1089" t="inlineStr">
        <is>
          <t>Answering Machine Autodial</t>
        </is>
      </c>
      <c r="L1089" t="n">
        <v>5</v>
      </c>
      <c r="M1089" t="inlineStr">
        <is>
          <t>2026-06-29 11:52:52</t>
        </is>
      </c>
      <c r="N1089" t="inlineStr">
        <is>
          <t>system</t>
        </is>
      </c>
      <c r="O1089" t="inlineStr">
        <is>
          <t>2026-06-17 14:10:06</t>
        </is>
      </c>
      <c r="P1089" t="inlineStr">
        <is>
          <t>2026-06-17 14:10:06</t>
        </is>
      </c>
      <c r="Y1089" t="inlineStr">
        <is>
          <t>27713614031</t>
        </is>
      </c>
    </row>
    <row r="1090">
      <c r="A1090" t="inlineStr">
        <is>
          <t>14921017</t>
        </is>
      </c>
      <c r="B1090" t="inlineStr">
        <is>
          <t>a4e2806a-96b6-4fda-a06a-67e43ba58df9</t>
        </is>
      </c>
      <c r="D1090" t="inlineStr">
        <is>
          <t>111111124</t>
        </is>
      </c>
      <c r="E1090" t="inlineStr">
        <is>
          <t>Vodacom Life 20260617</t>
        </is>
      </c>
      <c r="G1090" t="inlineStr">
        <is>
          <t>PETUNIA</t>
        </is>
      </c>
      <c r="H1090" t="inlineStr">
        <is>
          <t>SEKGONE</t>
        </is>
      </c>
      <c r="J1090" t="inlineStr">
        <is>
          <t>AA</t>
        </is>
      </c>
      <c r="K1090" t="inlineStr">
        <is>
          <t>Answering Machine Autodial</t>
        </is>
      </c>
      <c r="L1090" t="n">
        <v>5</v>
      </c>
      <c r="M1090" t="inlineStr">
        <is>
          <t>2026-06-29 11:52:52</t>
        </is>
      </c>
      <c r="N1090" t="inlineStr">
        <is>
          <t>system</t>
        </is>
      </c>
      <c r="O1090" t="inlineStr">
        <is>
          <t>2026-06-17 14:10:06</t>
        </is>
      </c>
      <c r="P1090" t="inlineStr">
        <is>
          <t>2026-06-17 14:10:06</t>
        </is>
      </c>
      <c r="Y1090" t="inlineStr">
        <is>
          <t>27767425496</t>
        </is>
      </c>
    </row>
    <row r="1091">
      <c r="A1091" t="inlineStr">
        <is>
          <t>14921019</t>
        </is>
      </c>
      <c r="B1091" t="inlineStr">
        <is>
          <t>6ea61576-03bf-4653-be8f-c9723d55ba52</t>
        </is>
      </c>
      <c r="D1091" t="inlineStr">
        <is>
          <t>111111124</t>
        </is>
      </c>
      <c r="E1091" t="inlineStr">
        <is>
          <t>Vodacom Life 20260617</t>
        </is>
      </c>
      <c r="G1091" t="inlineStr">
        <is>
          <t>NOMZAMO</t>
        </is>
      </c>
      <c r="H1091" t="inlineStr">
        <is>
          <t>JELE</t>
        </is>
      </c>
      <c r="J1091" t="inlineStr">
        <is>
          <t>AA</t>
        </is>
      </c>
      <c r="K1091" t="inlineStr">
        <is>
          <t>Answering Machine Autodial</t>
        </is>
      </c>
      <c r="L1091" t="n">
        <v>5</v>
      </c>
      <c r="M1091" t="inlineStr">
        <is>
          <t>2026-06-29 11:52:36</t>
        </is>
      </c>
      <c r="N1091" t="inlineStr">
        <is>
          <t>system</t>
        </is>
      </c>
      <c r="O1091" t="inlineStr">
        <is>
          <t>2026-06-17 14:10:06</t>
        </is>
      </c>
      <c r="P1091" t="inlineStr">
        <is>
          <t>2026-06-17 14:10:06</t>
        </is>
      </c>
      <c r="Y1091" t="inlineStr">
        <is>
          <t>27713643397</t>
        </is>
      </c>
    </row>
    <row r="1092">
      <c r="A1092" t="inlineStr">
        <is>
          <t>14921022</t>
        </is>
      </c>
      <c r="B1092" t="inlineStr">
        <is>
          <t>a28682e4-65e1-48d9-9d1b-7775d39338e8</t>
        </is>
      </c>
      <c r="D1092" t="inlineStr">
        <is>
          <t>111111124</t>
        </is>
      </c>
      <c r="E1092" t="inlineStr">
        <is>
          <t>Vodacom Life 20260617</t>
        </is>
      </c>
      <c r="G1092" t="inlineStr">
        <is>
          <t>JEAN-CLAUDIUS</t>
        </is>
      </c>
      <c r="H1092" t="inlineStr">
        <is>
          <t>DIRKER</t>
        </is>
      </c>
      <c r="J1092" t="inlineStr">
        <is>
          <t>NA</t>
        </is>
      </c>
      <c r="K1092" t="inlineStr">
        <is>
          <t>No Answer Autodial</t>
        </is>
      </c>
      <c r="L1092" t="n">
        <v>5</v>
      </c>
      <c r="M1092" t="inlineStr">
        <is>
          <t>2026-06-29 11:52:33</t>
        </is>
      </c>
      <c r="N1092" t="inlineStr">
        <is>
          <t>system</t>
        </is>
      </c>
      <c r="O1092" t="inlineStr">
        <is>
          <t>2026-06-17 14:10:06</t>
        </is>
      </c>
      <c r="P1092" t="inlineStr">
        <is>
          <t>2026-06-17 14:10:06</t>
        </is>
      </c>
      <c r="Y1092" t="inlineStr">
        <is>
          <t>27826041066</t>
        </is>
      </c>
    </row>
    <row r="1093">
      <c r="A1093" t="inlineStr">
        <is>
          <t>14921023</t>
        </is>
      </c>
      <c r="B1093" t="inlineStr">
        <is>
          <t>c9a8268c-9df3-4329-bf98-3d5a1aa2d3e5</t>
        </is>
      </c>
      <c r="D1093" t="inlineStr">
        <is>
          <t>111111124</t>
        </is>
      </c>
      <c r="E1093" t="inlineStr">
        <is>
          <t>Vodacom Life 20260617</t>
        </is>
      </c>
      <c r="G1093" t="inlineStr">
        <is>
          <t>ANIVUYINA</t>
        </is>
      </c>
      <c r="H1093" t="inlineStr">
        <is>
          <t>ZONDANI</t>
        </is>
      </c>
      <c r="J1093" t="inlineStr">
        <is>
          <t>AA</t>
        </is>
      </c>
      <c r="K1093" t="inlineStr">
        <is>
          <t>Answering Machine Autodial</t>
        </is>
      </c>
      <c r="L1093" t="n">
        <v>5</v>
      </c>
      <c r="M1093" t="inlineStr">
        <is>
          <t>2026-06-29 11:52:28</t>
        </is>
      </c>
      <c r="N1093" t="inlineStr">
        <is>
          <t>system</t>
        </is>
      </c>
      <c r="O1093" t="inlineStr">
        <is>
          <t>2026-06-17 14:10:06</t>
        </is>
      </c>
      <c r="P1093" t="inlineStr">
        <is>
          <t>2026-06-17 14:10:06</t>
        </is>
      </c>
      <c r="Y1093" t="inlineStr">
        <is>
          <t>27658242927</t>
        </is>
      </c>
    </row>
    <row r="1094">
      <c r="A1094" t="inlineStr">
        <is>
          <t>14921024</t>
        </is>
      </c>
      <c r="B1094" t="inlineStr">
        <is>
          <t>0f0576f8-a4e5-4ded-8432-2d1d3b52f803</t>
        </is>
      </c>
      <c r="D1094" t="inlineStr">
        <is>
          <t>111111124</t>
        </is>
      </c>
      <c r="E1094" t="inlineStr">
        <is>
          <t>Vodacom Life 20260617</t>
        </is>
      </c>
      <c r="G1094" t="inlineStr">
        <is>
          <t>ANDRIES</t>
        </is>
      </c>
      <c r="H1094" t="inlineStr">
        <is>
          <t>ELS</t>
        </is>
      </c>
      <c r="J1094" t="inlineStr">
        <is>
          <t>CU</t>
        </is>
      </c>
      <c r="K1094" t="inlineStr">
        <is>
          <t>Client Hung Up</t>
        </is>
      </c>
      <c r="L1094" t="n">
        <v>5</v>
      </c>
      <c r="M1094" t="inlineStr">
        <is>
          <t>2026-06-29 11:52:23</t>
        </is>
      </c>
      <c r="N1094" t="inlineStr">
        <is>
          <t>Khensane Mabasa</t>
        </is>
      </c>
      <c r="O1094" t="inlineStr">
        <is>
          <t>2026-06-17 14:10:06</t>
        </is>
      </c>
      <c r="P1094" t="inlineStr">
        <is>
          <t>2026-06-17 14:10:06</t>
        </is>
      </c>
      <c r="Y1094" t="inlineStr">
        <is>
          <t>27646535669</t>
        </is>
      </c>
    </row>
    <row r="1095">
      <c r="A1095" t="inlineStr">
        <is>
          <t>14921025</t>
        </is>
      </c>
      <c r="B1095" t="inlineStr">
        <is>
          <t>2201e59d-fded-488d-b06e-c13db6c08681</t>
        </is>
      </c>
      <c r="D1095" t="inlineStr">
        <is>
          <t>111111124</t>
        </is>
      </c>
      <c r="E1095" t="inlineStr">
        <is>
          <t>Vodacom Life 20260617</t>
        </is>
      </c>
      <c r="G1095" t="inlineStr">
        <is>
          <t>WAYNE</t>
        </is>
      </c>
      <c r="H1095" t="inlineStr">
        <is>
          <t>FLINT</t>
        </is>
      </c>
      <c r="J1095" t="inlineStr">
        <is>
          <t>DROP</t>
        </is>
      </c>
      <c r="K1095" t="inlineStr">
        <is>
          <t>Dropped</t>
        </is>
      </c>
      <c r="L1095" t="n">
        <v>5</v>
      </c>
      <c r="M1095" t="inlineStr">
        <is>
          <t>2026-06-29 11:52:23</t>
        </is>
      </c>
      <c r="N1095" t="inlineStr">
        <is>
          <t>system</t>
        </is>
      </c>
      <c r="O1095" t="inlineStr">
        <is>
          <t>2026-06-17 14:10:06</t>
        </is>
      </c>
      <c r="P1095" t="inlineStr">
        <is>
          <t>2026-06-17 14:10:06</t>
        </is>
      </c>
      <c r="Y1095" t="inlineStr">
        <is>
          <t>27720660846</t>
        </is>
      </c>
    </row>
    <row r="1096">
      <c r="A1096" t="inlineStr">
        <is>
          <t>14921026</t>
        </is>
      </c>
      <c r="B1096" t="inlineStr">
        <is>
          <t>7d5be8e0-bfca-48c5-850b-2eac436da894</t>
        </is>
      </c>
      <c r="D1096" t="inlineStr">
        <is>
          <t>111111124</t>
        </is>
      </c>
      <c r="E1096" t="inlineStr">
        <is>
          <t>Vodacom Life 20260617</t>
        </is>
      </c>
      <c r="G1096" t="inlineStr">
        <is>
          <t>LIONEL</t>
        </is>
      </c>
      <c r="H1096" t="inlineStr">
        <is>
          <t>GULE</t>
        </is>
      </c>
      <c r="J1096" t="inlineStr">
        <is>
          <t>AE</t>
        </is>
      </c>
      <c r="K1096" t="inlineStr">
        <is>
          <t>Auto Engaged</t>
        </is>
      </c>
      <c r="L1096" t="n">
        <v>5</v>
      </c>
      <c r="M1096" t="inlineStr">
        <is>
          <t>2026-06-29 11:52:23</t>
        </is>
      </c>
      <c r="N1096" t="inlineStr">
        <is>
          <t>system</t>
        </is>
      </c>
      <c r="O1096" t="inlineStr">
        <is>
          <t>2026-06-17 14:10:06</t>
        </is>
      </c>
      <c r="P1096" t="inlineStr">
        <is>
          <t>2026-06-17 14:10:06</t>
        </is>
      </c>
      <c r="Y1096" t="inlineStr">
        <is>
          <t>27828055201</t>
        </is>
      </c>
    </row>
    <row r="1097">
      <c r="A1097" t="inlineStr">
        <is>
          <t>14920478</t>
        </is>
      </c>
      <c r="B1097" t="inlineStr">
        <is>
          <t>059fcb2c-4f27-444b-b647-53f175446b4f</t>
        </is>
      </c>
      <c r="D1097" t="inlineStr">
        <is>
          <t>111111124</t>
        </is>
      </c>
      <c r="E1097" t="inlineStr">
        <is>
          <t>Vodacom Life 20260617</t>
        </is>
      </c>
      <c r="G1097" t="inlineStr">
        <is>
          <t>SMALLY</t>
        </is>
      </c>
      <c r="H1097" t="inlineStr">
        <is>
          <t>SEFOKA</t>
        </is>
      </c>
      <c r="J1097" t="inlineStr">
        <is>
          <t>IABDN</t>
        </is>
      </c>
      <c r="K1097" t="inlineStr">
        <is>
          <t>Inbound Abandon</t>
        </is>
      </c>
      <c r="L1097" t="n">
        <v>5</v>
      </c>
      <c r="M1097" t="inlineStr">
        <is>
          <t>2026-06-29 11:51:44</t>
        </is>
      </c>
      <c r="N1097" t="inlineStr">
        <is>
          <t>system</t>
        </is>
      </c>
      <c r="O1097" t="inlineStr">
        <is>
          <t>2026-06-17 14:10:06</t>
        </is>
      </c>
      <c r="P1097" t="inlineStr">
        <is>
          <t>2026-06-17 14:10:06</t>
        </is>
      </c>
      <c r="Y1097" t="inlineStr">
        <is>
          <t>27796286133</t>
        </is>
      </c>
    </row>
    <row r="1098">
      <c r="A1098" t="inlineStr">
        <is>
          <t>14921027</t>
        </is>
      </c>
      <c r="B1098" t="inlineStr">
        <is>
          <t>c55c45c2-72a7-439d-908f-da23a2519a1e</t>
        </is>
      </c>
      <c r="D1098" t="inlineStr">
        <is>
          <t>111111124</t>
        </is>
      </c>
      <c r="E1098" t="inlineStr">
        <is>
          <t>Vodacom Life 20260617</t>
        </is>
      </c>
      <c r="G1098" t="inlineStr">
        <is>
          <t>ANNETE</t>
        </is>
      </c>
      <c r="H1098" t="inlineStr">
        <is>
          <t>NAUDE</t>
        </is>
      </c>
      <c r="J1098" t="inlineStr">
        <is>
          <t>AA</t>
        </is>
      </c>
      <c r="K1098" t="inlineStr">
        <is>
          <t>Answering Machine Autodial</t>
        </is>
      </c>
      <c r="L1098" t="n">
        <v>5</v>
      </c>
      <c r="M1098" t="inlineStr">
        <is>
          <t>2026-06-29 11:51:35</t>
        </is>
      </c>
      <c r="N1098" t="inlineStr">
        <is>
          <t>system</t>
        </is>
      </c>
      <c r="O1098" t="inlineStr">
        <is>
          <t>2026-06-17 14:10:06</t>
        </is>
      </c>
      <c r="P1098" t="inlineStr">
        <is>
          <t>2026-06-17 14:10:06</t>
        </is>
      </c>
      <c r="Y1098" t="inlineStr">
        <is>
          <t>27823711610</t>
        </is>
      </c>
    </row>
    <row r="1099">
      <c r="A1099" t="inlineStr">
        <is>
          <t>14921028</t>
        </is>
      </c>
      <c r="B1099" t="inlineStr">
        <is>
          <t>42c40e79-3746-45ba-9a16-653aaabfb246</t>
        </is>
      </c>
      <c r="D1099" t="inlineStr">
        <is>
          <t>111111124</t>
        </is>
      </c>
      <c r="E1099" t="inlineStr">
        <is>
          <t>Vodacom Life 20260617</t>
        </is>
      </c>
      <c r="G1099" t="inlineStr">
        <is>
          <t>MAANO</t>
        </is>
      </c>
      <c r="H1099" t="inlineStr">
        <is>
          <t>RAMADWA</t>
        </is>
      </c>
      <c r="J1099" t="inlineStr">
        <is>
          <t>ADC</t>
        </is>
      </c>
      <c r="K1099" t="inlineStr">
        <is>
          <t>Auto Dial Disconnected</t>
        </is>
      </c>
      <c r="L1099" t="n">
        <v>5</v>
      </c>
      <c r="M1099" t="inlineStr">
        <is>
          <t>2026-06-29 11:51:35</t>
        </is>
      </c>
      <c r="N1099" t="inlineStr">
        <is>
          <t>system</t>
        </is>
      </c>
      <c r="O1099" t="inlineStr">
        <is>
          <t>2026-06-17 14:10:06</t>
        </is>
      </c>
      <c r="P1099" t="inlineStr">
        <is>
          <t>2026-06-17 14:10:06</t>
        </is>
      </c>
      <c r="Y1099" t="inlineStr">
        <is>
          <t>27606619570</t>
        </is>
      </c>
    </row>
    <row r="1100">
      <c r="A1100" t="inlineStr">
        <is>
          <t>14921030</t>
        </is>
      </c>
      <c r="B1100" t="inlineStr">
        <is>
          <t>407682c6-8e61-48db-9e6c-029c384ad99f</t>
        </is>
      </c>
      <c r="D1100" t="inlineStr">
        <is>
          <t>111111124</t>
        </is>
      </c>
      <c r="E1100" t="inlineStr">
        <is>
          <t>Vodacom Life 20260617</t>
        </is>
      </c>
      <c r="G1100" t="inlineStr">
        <is>
          <t>NICHOLAS</t>
        </is>
      </c>
      <c r="H1100" t="inlineStr">
        <is>
          <t>JAY</t>
        </is>
      </c>
      <c r="J1100" t="inlineStr">
        <is>
          <t>NA</t>
        </is>
      </c>
      <c r="K1100" t="inlineStr">
        <is>
          <t>No Answer Autodial</t>
        </is>
      </c>
      <c r="L1100" t="n">
        <v>5</v>
      </c>
      <c r="M1100" t="inlineStr">
        <is>
          <t>2026-06-29 11:51:35</t>
        </is>
      </c>
      <c r="N1100" t="inlineStr">
        <is>
          <t>system</t>
        </is>
      </c>
      <c r="O1100" t="inlineStr">
        <is>
          <t>2026-06-17 14:10:06</t>
        </is>
      </c>
      <c r="P1100" t="inlineStr">
        <is>
          <t>2026-06-17 14:10:06</t>
        </is>
      </c>
      <c r="Y1100" t="inlineStr">
        <is>
          <t>27828845523</t>
        </is>
      </c>
    </row>
    <row r="1101">
      <c r="A1101" t="inlineStr">
        <is>
          <t>14920480</t>
        </is>
      </c>
      <c r="B1101" t="inlineStr">
        <is>
          <t>19e223e6-135f-4321-9e62-a45d8cac6078</t>
        </is>
      </c>
      <c r="D1101" t="inlineStr">
        <is>
          <t>111111124</t>
        </is>
      </c>
      <c r="E1101" t="inlineStr">
        <is>
          <t>Vodacom Life 20260617</t>
        </is>
      </c>
      <c r="G1101" t="inlineStr">
        <is>
          <t>GERT</t>
        </is>
      </c>
      <c r="H1101" t="inlineStr">
        <is>
          <t>BISSCHOFF</t>
        </is>
      </c>
      <c r="J1101" t="inlineStr">
        <is>
          <t>DROP</t>
        </is>
      </c>
      <c r="K1101" t="inlineStr">
        <is>
          <t>Dropped</t>
        </is>
      </c>
      <c r="L1101" t="n">
        <v>5</v>
      </c>
      <c r="M1101" t="inlineStr">
        <is>
          <t>2026-06-29 11:51:11</t>
        </is>
      </c>
      <c r="N1101" t="inlineStr">
        <is>
          <t>system</t>
        </is>
      </c>
      <c r="O1101" t="inlineStr">
        <is>
          <t>2026-06-17 14:10:06</t>
        </is>
      </c>
      <c r="P1101" t="inlineStr">
        <is>
          <t>2026-06-17 14:10:06</t>
        </is>
      </c>
      <c r="Y1101" t="inlineStr">
        <is>
          <t>27825617734</t>
        </is>
      </c>
    </row>
    <row r="1102">
      <c r="A1102" t="inlineStr">
        <is>
          <t>14920489</t>
        </is>
      </c>
      <c r="B1102" t="inlineStr">
        <is>
          <t>2ad05ae9-b658-4ef0-b560-414a4cdb90e2</t>
        </is>
      </c>
      <c r="D1102" t="inlineStr">
        <is>
          <t>111111124</t>
        </is>
      </c>
      <c r="E1102" t="inlineStr">
        <is>
          <t>Vodacom Life 20260617</t>
        </is>
      </c>
      <c r="G1102" t="inlineStr">
        <is>
          <t>MARIA</t>
        </is>
      </c>
      <c r="H1102" t="inlineStr">
        <is>
          <t>PIENAAR</t>
        </is>
      </c>
      <c r="J1102" t="inlineStr">
        <is>
          <t>DROP</t>
        </is>
      </c>
      <c r="K1102" t="inlineStr">
        <is>
          <t>Dropped</t>
        </is>
      </c>
      <c r="L1102" t="n">
        <v>5</v>
      </c>
      <c r="M1102" t="inlineStr">
        <is>
          <t>2026-06-29 11:51:11</t>
        </is>
      </c>
      <c r="N1102" t="inlineStr">
        <is>
          <t>system</t>
        </is>
      </c>
      <c r="O1102" t="inlineStr">
        <is>
          <t>2026-06-17 14:10:06</t>
        </is>
      </c>
      <c r="P1102" t="inlineStr">
        <is>
          <t>2026-06-17 14:10:06</t>
        </is>
      </c>
      <c r="Y1102" t="inlineStr">
        <is>
          <t>27715572309</t>
        </is>
      </c>
    </row>
    <row r="1103">
      <c r="A1103" t="inlineStr">
        <is>
          <t>14921000</t>
        </is>
      </c>
      <c r="B1103" t="inlineStr">
        <is>
          <t>9b47991f-ff54-4be7-9da0-a5aee579d171</t>
        </is>
      </c>
      <c r="D1103" t="inlineStr">
        <is>
          <t>111111124</t>
        </is>
      </c>
      <c r="E1103" t="inlineStr">
        <is>
          <t>Vodacom Life 20260617</t>
        </is>
      </c>
      <c r="G1103" t="inlineStr">
        <is>
          <t>BRANDON</t>
        </is>
      </c>
      <c r="H1103" t="inlineStr">
        <is>
          <t>OKKERS</t>
        </is>
      </c>
      <c r="J1103" t="inlineStr">
        <is>
          <t>DROP</t>
        </is>
      </c>
      <c r="K1103" t="inlineStr">
        <is>
          <t>Dropped</t>
        </is>
      </c>
      <c r="L1103" t="n">
        <v>5</v>
      </c>
      <c r="M1103" t="inlineStr">
        <is>
          <t>2026-06-29 11:51:11</t>
        </is>
      </c>
      <c r="N1103" t="inlineStr">
        <is>
          <t>system</t>
        </is>
      </c>
      <c r="O1103" t="inlineStr">
        <is>
          <t>2026-06-17 14:10:06</t>
        </is>
      </c>
      <c r="P1103" t="inlineStr">
        <is>
          <t>2026-06-17 14:10:06</t>
        </is>
      </c>
      <c r="Y1103" t="inlineStr">
        <is>
          <t>27661711923</t>
        </is>
      </c>
    </row>
    <row r="1104">
      <c r="A1104" t="inlineStr">
        <is>
          <t>14921001</t>
        </is>
      </c>
      <c r="B1104" t="inlineStr">
        <is>
          <t>39239160-8a46-4171-983d-9662cec2f5d2</t>
        </is>
      </c>
      <c r="D1104" t="inlineStr">
        <is>
          <t>111111124</t>
        </is>
      </c>
      <c r="E1104" t="inlineStr">
        <is>
          <t>Vodacom Life 20260617</t>
        </is>
      </c>
      <c r="G1104" t="inlineStr">
        <is>
          <t>DANIEL</t>
        </is>
      </c>
      <c r="H1104" t="inlineStr">
        <is>
          <t>PODILE</t>
        </is>
      </c>
      <c r="J1104" t="inlineStr">
        <is>
          <t>AA</t>
        </is>
      </c>
      <c r="K1104" t="inlineStr">
        <is>
          <t>Answering Machine Autodial</t>
        </is>
      </c>
      <c r="L1104" t="n">
        <v>5</v>
      </c>
      <c r="M1104" t="inlineStr">
        <is>
          <t>2026-06-29 11:51:11</t>
        </is>
      </c>
      <c r="N1104" t="inlineStr">
        <is>
          <t>system</t>
        </is>
      </c>
      <c r="O1104" t="inlineStr">
        <is>
          <t>2026-06-17 14:10:06</t>
        </is>
      </c>
      <c r="P1104" t="inlineStr">
        <is>
          <t>2026-06-17 14:10:06</t>
        </is>
      </c>
      <c r="Y1104" t="inlineStr">
        <is>
          <t>27715567733</t>
        </is>
      </c>
    </row>
    <row r="1105">
      <c r="A1105" t="inlineStr">
        <is>
          <t>14900000</t>
        </is>
      </c>
      <c r="B1105" t="inlineStr">
        <is>
          <t>e91931aa-1ae6-467b-97e8-5e58f49dc666</t>
        </is>
      </c>
      <c r="D1105" t="inlineStr">
        <is>
          <t>111111124</t>
        </is>
      </c>
      <c r="E1105" t="inlineStr">
        <is>
          <t>Vodacom Life 20260617</t>
        </is>
      </c>
      <c r="G1105" t="inlineStr">
        <is>
          <t>MUHAMMED</t>
        </is>
      </c>
      <c r="H1105" t="inlineStr">
        <is>
          <t>HUSAIN</t>
        </is>
      </c>
      <c r="J1105" t="inlineStr">
        <is>
          <t>AA</t>
        </is>
      </c>
      <c r="K1105" t="inlineStr">
        <is>
          <t>Answering Machine Autodial</t>
        </is>
      </c>
      <c r="L1105" t="n">
        <v>5</v>
      </c>
      <c r="M1105" t="inlineStr">
        <is>
          <t>2026-06-29 11:51:11</t>
        </is>
      </c>
      <c r="N1105" t="inlineStr">
        <is>
          <t>system</t>
        </is>
      </c>
      <c r="O1105" t="inlineStr">
        <is>
          <t>2026-06-17 14:10:06</t>
        </is>
      </c>
      <c r="P1105" t="inlineStr">
        <is>
          <t>2026-06-17 14:10:06</t>
        </is>
      </c>
      <c r="Y1105" t="inlineStr">
        <is>
          <t>27835783509</t>
        </is>
      </c>
    </row>
    <row r="1106">
      <c r="A1106" t="inlineStr">
        <is>
          <t>14921008</t>
        </is>
      </c>
      <c r="B1106" t="inlineStr">
        <is>
          <t>6bdaf658-4f5b-4126-becb-0fcdfac73640</t>
        </is>
      </c>
      <c r="D1106" t="inlineStr">
        <is>
          <t>111111124</t>
        </is>
      </c>
      <c r="E1106" t="inlineStr">
        <is>
          <t>Vodacom Life 20260617</t>
        </is>
      </c>
      <c r="G1106" t="inlineStr">
        <is>
          <t>HENDRICK</t>
        </is>
      </c>
      <c r="H1106" t="inlineStr">
        <is>
          <t>ROLLER</t>
        </is>
      </c>
      <c r="J1106" t="inlineStr">
        <is>
          <t>ADC</t>
        </is>
      </c>
      <c r="K1106" t="inlineStr">
        <is>
          <t>Auto Dial Disconnected</t>
        </is>
      </c>
      <c r="L1106" t="n">
        <v>5</v>
      </c>
      <c r="M1106" t="inlineStr">
        <is>
          <t>2026-06-29 11:51:10</t>
        </is>
      </c>
      <c r="N1106" t="inlineStr">
        <is>
          <t>system</t>
        </is>
      </c>
      <c r="O1106" t="inlineStr">
        <is>
          <t>2026-06-17 14:10:06</t>
        </is>
      </c>
      <c r="P1106" t="inlineStr">
        <is>
          <t>2026-06-17 14:10:06</t>
        </is>
      </c>
      <c r="Y1106" t="inlineStr">
        <is>
          <t>27833219999</t>
        </is>
      </c>
    </row>
    <row r="1107">
      <c r="A1107" t="inlineStr">
        <is>
          <t>14920477</t>
        </is>
      </c>
      <c r="B1107" t="inlineStr">
        <is>
          <t>73ad73d5-a053-42c5-a22c-9bfd76248fe8</t>
        </is>
      </c>
      <c r="D1107" t="inlineStr">
        <is>
          <t>111111124</t>
        </is>
      </c>
      <c r="E1107" t="inlineStr">
        <is>
          <t>Vodacom Life 20260617</t>
        </is>
      </c>
      <c r="G1107" t="inlineStr">
        <is>
          <t>NOMPUMELELO</t>
        </is>
      </c>
      <c r="H1107" t="inlineStr">
        <is>
          <t>BONGWE</t>
        </is>
      </c>
      <c r="J1107" t="inlineStr">
        <is>
          <t>NA</t>
        </is>
      </c>
      <c r="K1107" t="inlineStr">
        <is>
          <t>No Answer Autodial</t>
        </is>
      </c>
      <c r="L1107" t="n">
        <v>5</v>
      </c>
      <c r="M1107" t="inlineStr">
        <is>
          <t>2026-06-29 11:51:04</t>
        </is>
      </c>
      <c r="N1107" t="inlineStr">
        <is>
          <t>system</t>
        </is>
      </c>
      <c r="O1107" t="inlineStr">
        <is>
          <t>2026-06-17 14:10:06</t>
        </is>
      </c>
      <c r="P1107" t="inlineStr">
        <is>
          <t>2026-06-17 14:10:06</t>
        </is>
      </c>
      <c r="Y1107" t="inlineStr">
        <is>
          <t>27725622360</t>
        </is>
      </c>
    </row>
    <row r="1108">
      <c r="A1108" t="inlineStr">
        <is>
          <t>14920479</t>
        </is>
      </c>
      <c r="B1108" t="inlineStr">
        <is>
          <t>b0ffaaba-d452-4e05-8624-a846607525cc</t>
        </is>
      </c>
      <c r="D1108" t="inlineStr">
        <is>
          <t>111111124</t>
        </is>
      </c>
      <c r="E1108" t="inlineStr">
        <is>
          <t>Vodacom Life 20260617</t>
        </is>
      </c>
      <c r="G1108" t="inlineStr">
        <is>
          <t>SIZI</t>
        </is>
      </c>
      <c r="H1108" t="inlineStr">
        <is>
          <t>MUBI</t>
        </is>
      </c>
      <c r="J1108" t="inlineStr">
        <is>
          <t>CU</t>
        </is>
      </c>
      <c r="K1108" t="inlineStr">
        <is>
          <t>Client Hung Up</t>
        </is>
      </c>
      <c r="L1108" t="n">
        <v>5</v>
      </c>
      <c r="M1108" t="inlineStr">
        <is>
          <t>2026-06-29 11:51:04</t>
        </is>
      </c>
      <c r="N1108" t="inlineStr">
        <is>
          <t>Khensane Mabasa</t>
        </is>
      </c>
      <c r="O1108" t="inlineStr">
        <is>
          <t>2026-06-17 14:10:06</t>
        </is>
      </c>
      <c r="P1108" t="inlineStr">
        <is>
          <t>2026-06-17 14:10:06</t>
        </is>
      </c>
      <c r="Y1108" t="inlineStr">
        <is>
          <t>27798622543</t>
        </is>
      </c>
    </row>
    <row r="1109">
      <c r="A1109" t="inlineStr">
        <is>
          <t>14921009</t>
        </is>
      </c>
      <c r="B1109" t="inlineStr">
        <is>
          <t>c684f873-d63a-4c06-bba6-751d0772c0c2</t>
        </is>
      </c>
      <c r="D1109" t="inlineStr">
        <is>
          <t>111111124</t>
        </is>
      </c>
      <c r="E1109" t="inlineStr">
        <is>
          <t>Vodacom Life 20260617</t>
        </is>
      </c>
      <c r="G1109" t="inlineStr">
        <is>
          <t>JACQUES</t>
        </is>
      </c>
      <c r="H1109" t="inlineStr">
        <is>
          <t>MITCHLEY</t>
        </is>
      </c>
      <c r="J1109" t="inlineStr">
        <is>
          <t>DROP</t>
        </is>
      </c>
      <c r="K1109" t="inlineStr">
        <is>
          <t>Dropped</t>
        </is>
      </c>
      <c r="L1109" t="n">
        <v>5</v>
      </c>
      <c r="M1109" t="inlineStr">
        <is>
          <t>2026-06-29 11:51:04</t>
        </is>
      </c>
      <c r="N1109" t="inlineStr">
        <is>
          <t>system</t>
        </is>
      </c>
      <c r="O1109" t="inlineStr">
        <is>
          <t>2026-06-17 14:10:06</t>
        </is>
      </c>
      <c r="P1109" t="inlineStr">
        <is>
          <t>2026-06-17 14:10:06</t>
        </is>
      </c>
      <c r="Y1109" t="inlineStr">
        <is>
          <t>27763865854</t>
        </is>
      </c>
    </row>
    <row r="1110">
      <c r="A1110" t="inlineStr">
        <is>
          <t>14921010</t>
        </is>
      </c>
      <c r="B1110" t="inlineStr">
        <is>
          <t>7691a5bc-e9e1-408e-9788-18a491975fe6</t>
        </is>
      </c>
      <c r="D1110" t="inlineStr">
        <is>
          <t>111111124</t>
        </is>
      </c>
      <c r="E1110" t="inlineStr">
        <is>
          <t>Vodacom Life 20260617</t>
        </is>
      </c>
      <c r="G1110" t="inlineStr">
        <is>
          <t>ABEL</t>
        </is>
      </c>
      <c r="H1110" t="inlineStr">
        <is>
          <t>MATHE</t>
        </is>
      </c>
      <c r="J1110" t="inlineStr">
        <is>
          <t>AE</t>
        </is>
      </c>
      <c r="K1110" t="inlineStr">
        <is>
          <t>Auto Engaged</t>
        </is>
      </c>
      <c r="L1110" t="n">
        <v>5</v>
      </c>
      <c r="M1110" t="inlineStr">
        <is>
          <t>2026-06-29 11:51:04</t>
        </is>
      </c>
      <c r="N1110" t="inlineStr">
        <is>
          <t>system</t>
        </is>
      </c>
      <c r="O1110" t="inlineStr">
        <is>
          <t>2026-06-17 14:10:06</t>
        </is>
      </c>
      <c r="P1110" t="inlineStr">
        <is>
          <t>2026-06-17 14:10:06</t>
        </is>
      </c>
      <c r="Y1110" t="inlineStr">
        <is>
          <t>27714617061</t>
        </is>
      </c>
    </row>
    <row r="1111">
      <c r="A1111" t="inlineStr">
        <is>
          <t>14920472</t>
        </is>
      </c>
      <c r="B1111" t="inlineStr">
        <is>
          <t>941d12ae-da4d-416b-b099-54c388bde411</t>
        </is>
      </c>
      <c r="D1111" t="inlineStr">
        <is>
          <t>111111124</t>
        </is>
      </c>
      <c r="E1111" t="inlineStr">
        <is>
          <t>Vodacom Life 20260617</t>
        </is>
      </c>
      <c r="G1111" t="inlineStr">
        <is>
          <t>MARELIZE</t>
        </is>
      </c>
      <c r="H1111" t="inlineStr">
        <is>
          <t>MULLER</t>
        </is>
      </c>
      <c r="J1111" t="inlineStr">
        <is>
          <t>AE</t>
        </is>
      </c>
      <c r="K1111" t="inlineStr">
        <is>
          <t>Auto Engaged</t>
        </is>
      </c>
      <c r="L1111" t="n">
        <v>5</v>
      </c>
      <c r="M1111" t="inlineStr">
        <is>
          <t>2026-06-29 11:51:02</t>
        </is>
      </c>
      <c r="N1111" t="inlineStr">
        <is>
          <t>system</t>
        </is>
      </c>
      <c r="O1111" t="inlineStr">
        <is>
          <t>2026-06-17 14:10:06</t>
        </is>
      </c>
      <c r="P1111" t="inlineStr">
        <is>
          <t>2026-06-17 14:10:06</t>
        </is>
      </c>
      <c r="Y1111" t="inlineStr">
        <is>
          <t>27798728902</t>
        </is>
      </c>
    </row>
    <row r="1112">
      <c r="A1112" t="inlineStr">
        <is>
          <t>14920473</t>
        </is>
      </c>
      <c r="B1112" t="inlineStr">
        <is>
          <t>48f1166a-5101-494e-8829-02c711f51923</t>
        </is>
      </c>
      <c r="D1112" t="inlineStr">
        <is>
          <t>111111124</t>
        </is>
      </c>
      <c r="E1112" t="inlineStr">
        <is>
          <t>Vodacom Life 20260617</t>
        </is>
      </c>
      <c r="G1112" t="inlineStr">
        <is>
          <t>LESEGO</t>
        </is>
      </c>
      <c r="H1112" t="inlineStr">
        <is>
          <t>SETSIBA</t>
        </is>
      </c>
      <c r="J1112" t="inlineStr">
        <is>
          <t>DROP</t>
        </is>
      </c>
      <c r="K1112" t="inlineStr">
        <is>
          <t>Dropped</t>
        </is>
      </c>
      <c r="L1112" t="n">
        <v>5</v>
      </c>
      <c r="M1112" t="inlineStr">
        <is>
          <t>2026-06-29 11:51:02</t>
        </is>
      </c>
      <c r="N1112" t="inlineStr">
        <is>
          <t>system</t>
        </is>
      </c>
      <c r="O1112" t="inlineStr">
        <is>
          <t>2026-06-17 14:10:06</t>
        </is>
      </c>
      <c r="P1112" t="inlineStr">
        <is>
          <t>2026-06-17 14:10:06</t>
        </is>
      </c>
      <c r="Y1112" t="inlineStr">
        <is>
          <t>27765706642</t>
        </is>
      </c>
    </row>
    <row r="1113">
      <c r="A1113" t="inlineStr">
        <is>
          <t>14920964</t>
        </is>
      </c>
      <c r="B1113" t="inlineStr">
        <is>
          <t>39ab6e56-2236-4e2a-9b35-bfd1cd139b08</t>
        </is>
      </c>
      <c r="D1113" t="inlineStr">
        <is>
          <t>111111124</t>
        </is>
      </c>
      <c r="E1113" t="inlineStr">
        <is>
          <t>Vodacom Life 20260617</t>
        </is>
      </c>
      <c r="G1113" t="inlineStr">
        <is>
          <t>LOUHAN</t>
        </is>
      </c>
      <c r="H1113" t="inlineStr">
        <is>
          <t>VORSTER</t>
        </is>
      </c>
      <c r="J1113" t="inlineStr">
        <is>
          <t>AE</t>
        </is>
      </c>
      <c r="K1113" t="inlineStr">
        <is>
          <t>Auto Engaged</t>
        </is>
      </c>
      <c r="L1113" t="n">
        <v>5</v>
      </c>
      <c r="M1113" t="inlineStr">
        <is>
          <t>2026-06-29 11:50:59</t>
        </is>
      </c>
      <c r="N1113" t="inlineStr">
        <is>
          <t>system</t>
        </is>
      </c>
      <c r="O1113" t="inlineStr">
        <is>
          <t>2026-06-17 14:10:06</t>
        </is>
      </c>
      <c r="P1113" t="inlineStr">
        <is>
          <t>2026-06-17 14:10:06</t>
        </is>
      </c>
      <c r="Y1113" t="inlineStr">
        <is>
          <t>27647212506</t>
        </is>
      </c>
    </row>
    <row r="1114">
      <c r="A1114" t="inlineStr">
        <is>
          <t>14921011</t>
        </is>
      </c>
      <c r="B1114" t="inlineStr">
        <is>
          <t>099af76e-6b71-4b79-9dbe-62ed09d9c213</t>
        </is>
      </c>
      <c r="D1114" t="inlineStr">
        <is>
          <t>111111124</t>
        </is>
      </c>
      <c r="E1114" t="inlineStr">
        <is>
          <t>Vodacom Life 20260617</t>
        </is>
      </c>
      <c r="G1114" t="inlineStr">
        <is>
          <t>KARABO</t>
        </is>
      </c>
      <c r="H1114" t="inlineStr">
        <is>
          <t>CHILOANE</t>
        </is>
      </c>
      <c r="J1114" t="inlineStr">
        <is>
          <t>AE</t>
        </is>
      </c>
      <c r="K1114" t="inlineStr">
        <is>
          <t>Auto Engaged</t>
        </is>
      </c>
      <c r="L1114" t="n">
        <v>5</v>
      </c>
      <c r="M1114" t="inlineStr">
        <is>
          <t>2026-06-29 11:50:58</t>
        </is>
      </c>
      <c r="N1114" t="inlineStr">
        <is>
          <t>system</t>
        </is>
      </c>
      <c r="O1114" t="inlineStr">
        <is>
          <t>2026-06-17 14:10:06</t>
        </is>
      </c>
      <c r="P1114" t="inlineStr">
        <is>
          <t>2026-06-17 14:10:06</t>
        </is>
      </c>
      <c r="Y1114" t="inlineStr">
        <is>
          <t>27762932991</t>
        </is>
      </c>
    </row>
    <row r="1115">
      <c r="A1115" t="inlineStr">
        <is>
          <t>14920954</t>
        </is>
      </c>
      <c r="B1115" t="inlineStr">
        <is>
          <t>ae6246b1-c9af-4343-8604-3eecd60bd64e</t>
        </is>
      </c>
      <c r="D1115" t="inlineStr">
        <is>
          <t>111111124</t>
        </is>
      </c>
      <c r="E1115" t="inlineStr">
        <is>
          <t>Vodacom Life 20260617</t>
        </is>
      </c>
      <c r="G1115" t="inlineStr">
        <is>
          <t>EMOZEEN</t>
        </is>
      </c>
      <c r="H1115" t="inlineStr">
        <is>
          <t>BOOYSEN</t>
        </is>
      </c>
      <c r="J1115" t="inlineStr">
        <is>
          <t>DROP</t>
        </is>
      </c>
      <c r="K1115" t="inlineStr">
        <is>
          <t>Dropped</t>
        </is>
      </c>
      <c r="L1115" t="n">
        <v>5</v>
      </c>
      <c r="M1115" t="inlineStr">
        <is>
          <t>2026-06-29 11:50:55</t>
        </is>
      </c>
      <c r="N1115" t="inlineStr">
        <is>
          <t>system</t>
        </is>
      </c>
      <c r="O1115" t="inlineStr">
        <is>
          <t>2026-06-17 14:10:06</t>
        </is>
      </c>
      <c r="P1115" t="inlineStr">
        <is>
          <t>2026-06-17 14:10:06</t>
        </is>
      </c>
      <c r="Y1115" t="inlineStr">
        <is>
          <t>27828879264</t>
        </is>
      </c>
    </row>
    <row r="1116">
      <c r="A1116" t="inlineStr">
        <is>
          <t>14920975</t>
        </is>
      </c>
      <c r="B1116" t="inlineStr">
        <is>
          <t>12ae93ed-112e-4c67-84c7-bc79e332d7cf</t>
        </is>
      </c>
      <c r="D1116" t="inlineStr">
        <is>
          <t>111111124</t>
        </is>
      </c>
      <c r="E1116" t="inlineStr">
        <is>
          <t>Vodacom Life 20260617</t>
        </is>
      </c>
      <c r="G1116" t="inlineStr">
        <is>
          <t>MARIANKE</t>
        </is>
      </c>
      <c r="H1116" t="inlineStr">
        <is>
          <t>MAY</t>
        </is>
      </c>
      <c r="J1116" t="inlineStr">
        <is>
          <t>AE</t>
        </is>
      </c>
      <c r="K1116" t="inlineStr">
        <is>
          <t>Auto Engaged</t>
        </is>
      </c>
      <c r="L1116" t="n">
        <v>5</v>
      </c>
      <c r="M1116" t="inlineStr">
        <is>
          <t>2026-06-29 11:50:55</t>
        </is>
      </c>
      <c r="N1116" t="inlineStr">
        <is>
          <t>system</t>
        </is>
      </c>
      <c r="O1116" t="inlineStr">
        <is>
          <t>2026-06-17 14:10:06</t>
        </is>
      </c>
      <c r="P1116" t="inlineStr">
        <is>
          <t>2026-06-17 14:10:06</t>
        </is>
      </c>
      <c r="Y1116" t="inlineStr">
        <is>
          <t>27713718150</t>
        </is>
      </c>
    </row>
    <row r="1117">
      <c r="A1117" t="inlineStr">
        <is>
          <t>14920955</t>
        </is>
      </c>
      <c r="B1117" t="inlineStr">
        <is>
          <t>7a4ecdd6-44bd-4eb9-892d-cd1d88bdb51d</t>
        </is>
      </c>
      <c r="D1117" t="inlineStr">
        <is>
          <t>111111124</t>
        </is>
      </c>
      <c r="E1117" t="inlineStr">
        <is>
          <t>Vodacom Life 20260617</t>
        </is>
      </c>
      <c r="G1117" t="inlineStr">
        <is>
          <t>CECILEE</t>
        </is>
      </c>
      <c r="H1117" t="inlineStr">
        <is>
          <t>PHADUTI</t>
        </is>
      </c>
      <c r="J1117" t="inlineStr">
        <is>
          <t>AE</t>
        </is>
      </c>
      <c r="K1117" t="inlineStr">
        <is>
          <t>Auto Engaged</t>
        </is>
      </c>
      <c r="L1117" t="n">
        <v>5</v>
      </c>
      <c r="M1117" t="inlineStr">
        <is>
          <t>2026-06-29 11:50:54</t>
        </is>
      </c>
      <c r="N1117" t="inlineStr">
        <is>
          <t>system</t>
        </is>
      </c>
      <c r="O1117" t="inlineStr">
        <is>
          <t>2026-06-17 14:10:06</t>
        </is>
      </c>
      <c r="P1117" t="inlineStr">
        <is>
          <t>2026-06-17 14:10:06</t>
        </is>
      </c>
      <c r="Y1117" t="inlineStr">
        <is>
          <t>27662660597</t>
        </is>
      </c>
    </row>
    <row r="1118">
      <c r="A1118" t="inlineStr">
        <is>
          <t>14920957</t>
        </is>
      </c>
      <c r="B1118" t="inlineStr">
        <is>
          <t>52176225-64c7-4b6f-9b93-839e0cbb3e5f</t>
        </is>
      </c>
      <c r="D1118" t="inlineStr">
        <is>
          <t>111111124</t>
        </is>
      </c>
      <c r="E1118" t="inlineStr">
        <is>
          <t>Vodacom Life 20260617</t>
        </is>
      </c>
      <c r="G1118" t="inlineStr">
        <is>
          <t>MOSIMA</t>
        </is>
      </c>
      <c r="H1118" t="inlineStr">
        <is>
          <t>DASHE</t>
        </is>
      </c>
      <c r="J1118" t="inlineStr">
        <is>
          <t>AA</t>
        </is>
      </c>
      <c r="K1118" t="inlineStr">
        <is>
          <t>Answering Machine Autodial</t>
        </is>
      </c>
      <c r="L1118" t="n">
        <v>5</v>
      </c>
      <c r="M1118" t="inlineStr">
        <is>
          <t>2026-06-29 11:50:54</t>
        </is>
      </c>
      <c r="N1118" t="inlineStr">
        <is>
          <t>system</t>
        </is>
      </c>
      <c r="O1118" t="inlineStr">
        <is>
          <t>2026-06-17 14:10:06</t>
        </is>
      </c>
      <c r="P1118" t="inlineStr">
        <is>
          <t>2026-06-17 14:10:06</t>
        </is>
      </c>
      <c r="Y1118" t="inlineStr">
        <is>
          <t>27837579823</t>
        </is>
      </c>
    </row>
    <row r="1119">
      <c r="A1119" t="inlineStr">
        <is>
          <t>14900000</t>
        </is>
      </c>
      <c r="B1119" t="inlineStr">
        <is>
          <t>e6583ef1-3a44-4e82-8c20-c0ef46cde398</t>
        </is>
      </c>
      <c r="D1119" t="inlineStr">
        <is>
          <t>111111124</t>
        </is>
      </c>
      <c r="E1119" t="inlineStr">
        <is>
          <t>Vodacom Life 20260617</t>
        </is>
      </c>
      <c r="G1119" t="inlineStr">
        <is>
          <t>GODFREY</t>
        </is>
      </c>
      <c r="H1119" t="inlineStr">
        <is>
          <t>SITOE</t>
        </is>
      </c>
      <c r="J1119" t="inlineStr">
        <is>
          <t>AE</t>
        </is>
      </c>
      <c r="K1119" t="inlineStr">
        <is>
          <t>Auto Engaged</t>
        </is>
      </c>
      <c r="L1119" t="n">
        <v>5</v>
      </c>
      <c r="M1119" t="inlineStr">
        <is>
          <t>2026-06-29 11:50:54</t>
        </is>
      </c>
      <c r="N1119" t="inlineStr">
        <is>
          <t>system</t>
        </is>
      </c>
      <c r="O1119" t="inlineStr">
        <is>
          <t>2026-06-17 14:10:06</t>
        </is>
      </c>
      <c r="P1119" t="inlineStr">
        <is>
          <t>2026-06-17 14:10:06</t>
        </is>
      </c>
      <c r="Y1119" t="inlineStr">
        <is>
          <t>27715950020</t>
        </is>
      </c>
    </row>
    <row r="1120">
      <c r="A1120" t="inlineStr">
        <is>
          <t>14920944</t>
        </is>
      </c>
      <c r="B1120" t="inlineStr">
        <is>
          <t>f3c809e4-5c2f-4afd-90c0-b2439dde79cb</t>
        </is>
      </c>
      <c r="D1120" t="inlineStr">
        <is>
          <t>111111124</t>
        </is>
      </c>
      <c r="E1120" t="inlineStr">
        <is>
          <t>Vodacom Life 20260617</t>
        </is>
      </c>
      <c r="G1120" t="inlineStr">
        <is>
          <t>JOSEPH</t>
        </is>
      </c>
      <c r="H1120" t="inlineStr">
        <is>
          <t>XERINDZA</t>
        </is>
      </c>
      <c r="J1120" t="inlineStr">
        <is>
          <t>DROP</t>
        </is>
      </c>
      <c r="K1120" t="inlineStr">
        <is>
          <t>Dropped</t>
        </is>
      </c>
      <c r="L1120" t="n">
        <v>5</v>
      </c>
      <c r="M1120" t="inlineStr">
        <is>
          <t>2026-06-29 11:50:14</t>
        </is>
      </c>
      <c r="N1120" t="inlineStr">
        <is>
          <t>system</t>
        </is>
      </c>
      <c r="O1120" t="inlineStr">
        <is>
          <t>2026-06-17 14:10:06</t>
        </is>
      </c>
      <c r="P1120" t="inlineStr">
        <is>
          <t>2026-06-17 14:10:06</t>
        </is>
      </c>
      <c r="Y1120" t="inlineStr">
        <is>
          <t>27719011833</t>
        </is>
      </c>
    </row>
    <row r="1121">
      <c r="A1121" t="inlineStr">
        <is>
          <t>14920950</t>
        </is>
      </c>
      <c r="B1121" t="inlineStr">
        <is>
          <t>e17c747a-e0d8-4d45-bcdf-2b98234e2c4d</t>
        </is>
      </c>
      <c r="D1121" t="inlineStr">
        <is>
          <t>111111124</t>
        </is>
      </c>
      <c r="E1121" t="inlineStr">
        <is>
          <t>Vodacom Life 20260617</t>
        </is>
      </c>
      <c r="G1121" t="inlineStr">
        <is>
          <t>MORAKONG</t>
        </is>
      </c>
      <c r="H1121" t="inlineStr">
        <is>
          <t>MASHABELA</t>
        </is>
      </c>
      <c r="J1121" t="inlineStr">
        <is>
          <t>DROP</t>
        </is>
      </c>
      <c r="K1121" t="inlineStr">
        <is>
          <t>Dropped</t>
        </is>
      </c>
      <c r="L1121" t="n">
        <v>5</v>
      </c>
      <c r="M1121" t="inlineStr">
        <is>
          <t>2026-06-29 11:50:14</t>
        </is>
      </c>
      <c r="N1121" t="inlineStr">
        <is>
          <t>system</t>
        </is>
      </c>
      <c r="O1121" t="inlineStr">
        <is>
          <t>2026-06-17 14:10:06</t>
        </is>
      </c>
      <c r="P1121" t="inlineStr">
        <is>
          <t>2026-06-17 14:10:06</t>
        </is>
      </c>
      <c r="Y1121" t="inlineStr">
        <is>
          <t>27788557572</t>
        </is>
      </c>
    </row>
    <row r="1122">
      <c r="A1122" t="inlineStr">
        <is>
          <t>14920966</t>
        </is>
      </c>
      <c r="B1122" t="inlineStr">
        <is>
          <t>c4afd8b9-60d3-4c58-8261-65490a485e25</t>
        </is>
      </c>
      <c r="D1122" t="inlineStr">
        <is>
          <t>111111124</t>
        </is>
      </c>
      <c r="E1122" t="inlineStr">
        <is>
          <t>Vodacom Life 20260617</t>
        </is>
      </c>
      <c r="G1122" t="inlineStr">
        <is>
          <t>SIXOLILE</t>
        </is>
      </c>
      <c r="H1122" t="inlineStr">
        <is>
          <t>THANJEKWAYO</t>
        </is>
      </c>
      <c r="J1122" t="inlineStr">
        <is>
          <t>AA</t>
        </is>
      </c>
      <c r="K1122" t="inlineStr">
        <is>
          <t>Answering Machine Autodial</t>
        </is>
      </c>
      <c r="L1122" t="n">
        <v>5</v>
      </c>
      <c r="M1122" t="inlineStr">
        <is>
          <t>2026-06-29 11:50:14</t>
        </is>
      </c>
      <c r="N1122" t="inlineStr">
        <is>
          <t>system</t>
        </is>
      </c>
      <c r="O1122" t="inlineStr">
        <is>
          <t>2026-06-17 14:10:06</t>
        </is>
      </c>
      <c r="P1122" t="inlineStr">
        <is>
          <t>2026-06-17 14:10:06</t>
        </is>
      </c>
      <c r="Y1122" t="inlineStr">
        <is>
          <t>27648984422</t>
        </is>
      </c>
    </row>
    <row r="1123">
      <c r="A1123" t="inlineStr">
        <is>
          <t>14920973</t>
        </is>
      </c>
      <c r="B1123" t="inlineStr">
        <is>
          <t>2002b4cf-b9e0-4bf1-a738-025cbe53bc52</t>
        </is>
      </c>
      <c r="D1123" t="inlineStr">
        <is>
          <t>111111124</t>
        </is>
      </c>
      <c r="E1123" t="inlineStr">
        <is>
          <t>Vodacom Life 20260617</t>
        </is>
      </c>
      <c r="G1123" t="inlineStr">
        <is>
          <t>BUSISIWE</t>
        </is>
      </c>
      <c r="H1123" t="inlineStr">
        <is>
          <t>MHLONGO</t>
        </is>
      </c>
      <c r="J1123" t="inlineStr">
        <is>
          <t>CCB</t>
        </is>
      </c>
      <c r="K1123" t="inlineStr">
        <is>
          <t>Call Dropped</t>
        </is>
      </c>
      <c r="L1123" t="n">
        <v>14</v>
      </c>
      <c r="M1123" t="inlineStr">
        <is>
          <t>2026-06-29 11:49:54</t>
        </is>
      </c>
      <c r="N1123" t="inlineStr">
        <is>
          <t>Khensane Mabasa</t>
        </is>
      </c>
      <c r="O1123" t="inlineStr">
        <is>
          <t>2026-06-17 14:10:06</t>
        </is>
      </c>
      <c r="P1123" t="inlineStr">
        <is>
          <t>2026-06-17 14:10:06</t>
        </is>
      </c>
      <c r="Y1123" t="inlineStr">
        <is>
          <t>27790264212</t>
        </is>
      </c>
    </row>
    <row r="1124">
      <c r="A1124" t="inlineStr">
        <is>
          <t>14920992</t>
        </is>
      </c>
      <c r="B1124" t="inlineStr">
        <is>
          <t>b51cea54-af80-4a42-8b57-3f0b15696246</t>
        </is>
      </c>
      <c r="D1124" t="inlineStr">
        <is>
          <t>111111124</t>
        </is>
      </c>
      <c r="E1124" t="inlineStr">
        <is>
          <t>Vodacom Life 20260617</t>
        </is>
      </c>
      <c r="G1124" t="inlineStr">
        <is>
          <t>ZANDILE</t>
        </is>
      </c>
      <c r="H1124" t="inlineStr">
        <is>
          <t>JELE</t>
        </is>
      </c>
      <c r="J1124" t="inlineStr">
        <is>
          <t>AA</t>
        </is>
      </c>
      <c r="K1124" t="inlineStr">
        <is>
          <t>Answering Machine Autodial</t>
        </is>
      </c>
      <c r="L1124" t="n">
        <v>5</v>
      </c>
      <c r="M1124" t="inlineStr">
        <is>
          <t>2026-06-29 11:49:53</t>
        </is>
      </c>
      <c r="N1124" t="inlineStr">
        <is>
          <t>system</t>
        </is>
      </c>
      <c r="O1124" t="inlineStr">
        <is>
          <t>2026-06-17 14:10:06</t>
        </is>
      </c>
      <c r="P1124" t="inlineStr">
        <is>
          <t>2026-06-17 14:10:06</t>
        </is>
      </c>
      <c r="Y1124" t="inlineStr">
        <is>
          <t>27767881091</t>
        </is>
      </c>
    </row>
    <row r="1125">
      <c r="A1125" t="inlineStr">
        <is>
          <t>14920940</t>
        </is>
      </c>
      <c r="B1125" t="inlineStr">
        <is>
          <t>ea05c67f-046d-41dc-abb6-36eb9415f82e</t>
        </is>
      </c>
      <c r="D1125" t="inlineStr">
        <is>
          <t>111111124</t>
        </is>
      </c>
      <c r="E1125" t="inlineStr">
        <is>
          <t>Vodacom Life 20260617</t>
        </is>
      </c>
      <c r="G1125" t="inlineStr">
        <is>
          <t>JAN</t>
        </is>
      </c>
      <c r="H1125" t="inlineStr">
        <is>
          <t>DAVEL</t>
        </is>
      </c>
      <c r="J1125" t="inlineStr">
        <is>
          <t>A</t>
        </is>
      </c>
      <c r="K1125" t="inlineStr">
        <is>
          <t>Answering Machine</t>
        </is>
      </c>
      <c r="L1125" t="n">
        <v>5</v>
      </c>
      <c r="M1125" t="inlineStr">
        <is>
          <t>2026-06-29 11:49:47</t>
        </is>
      </c>
      <c r="N1125" t="inlineStr">
        <is>
          <t>Musiiwa Mary Mabirimisa</t>
        </is>
      </c>
      <c r="O1125" t="inlineStr">
        <is>
          <t>2026-06-17 14:10:06</t>
        </is>
      </c>
      <c r="P1125" t="inlineStr">
        <is>
          <t>2026-06-17 14:10:06</t>
        </is>
      </c>
      <c r="Y1125" t="inlineStr">
        <is>
          <t>27728618396</t>
        </is>
      </c>
    </row>
    <row r="1126">
      <c r="A1126" t="inlineStr">
        <is>
          <t>14921012</t>
        </is>
      </c>
      <c r="B1126" t="inlineStr">
        <is>
          <t>7c66a3e0-c78d-4eda-9507-c69b5e31ecd3</t>
        </is>
      </c>
      <c r="D1126" t="inlineStr">
        <is>
          <t>111111124</t>
        </is>
      </c>
      <c r="E1126" t="inlineStr">
        <is>
          <t>Vodacom Life 20260617</t>
        </is>
      </c>
      <c r="G1126" t="inlineStr">
        <is>
          <t>DAKALO</t>
        </is>
      </c>
      <c r="H1126" t="inlineStr">
        <is>
          <t>PHATHELA</t>
        </is>
      </c>
      <c r="J1126" t="inlineStr">
        <is>
          <t>AA</t>
        </is>
      </c>
      <c r="K1126" t="inlineStr">
        <is>
          <t>Answering Machine Autodial</t>
        </is>
      </c>
      <c r="L1126" t="n">
        <v>5</v>
      </c>
      <c r="M1126" t="inlineStr">
        <is>
          <t>2026-06-29 11:49:47</t>
        </is>
      </c>
      <c r="N1126" t="inlineStr">
        <is>
          <t>system</t>
        </is>
      </c>
      <c r="O1126" t="inlineStr">
        <is>
          <t>2026-06-17 14:10:06</t>
        </is>
      </c>
      <c r="P1126" t="inlineStr">
        <is>
          <t>2026-06-17 14:10:06</t>
        </is>
      </c>
      <c r="Y1126" t="inlineStr">
        <is>
          <t>27739237745</t>
        </is>
      </c>
    </row>
    <row r="1127">
      <c r="A1127" t="inlineStr">
        <is>
          <t>14920937</t>
        </is>
      </c>
      <c r="B1127" t="inlineStr">
        <is>
          <t>f1976d55-f9e2-4827-85dd-d31576740e05</t>
        </is>
      </c>
      <c r="D1127" t="inlineStr">
        <is>
          <t>111111124</t>
        </is>
      </c>
      <c r="E1127" t="inlineStr">
        <is>
          <t>Vodacom Life 20260617</t>
        </is>
      </c>
      <c r="G1127" t="inlineStr">
        <is>
          <t>LISEBO</t>
        </is>
      </c>
      <c r="H1127" t="inlineStr">
        <is>
          <t>MAREDI</t>
        </is>
      </c>
      <c r="J1127" t="inlineStr">
        <is>
          <t>AA</t>
        </is>
      </c>
      <c r="K1127" t="inlineStr">
        <is>
          <t>Answering Machine Autodial</t>
        </is>
      </c>
      <c r="L1127" t="n">
        <v>5</v>
      </c>
      <c r="M1127" t="inlineStr">
        <is>
          <t>2026-06-29 11:49:46</t>
        </is>
      </c>
      <c r="N1127" t="inlineStr">
        <is>
          <t>system</t>
        </is>
      </c>
      <c r="O1127" t="inlineStr">
        <is>
          <t>2026-06-17 14:10:06</t>
        </is>
      </c>
      <c r="P1127" t="inlineStr">
        <is>
          <t>2026-06-17 14:10:06</t>
        </is>
      </c>
      <c r="Y1127" t="inlineStr">
        <is>
          <t>27720106114</t>
        </is>
      </c>
    </row>
    <row r="1128">
      <c r="A1128" t="inlineStr">
        <is>
          <t>14920946</t>
        </is>
      </c>
      <c r="B1128" t="inlineStr">
        <is>
          <t>8a604286-1ed3-4829-80ec-261fdde575ac</t>
        </is>
      </c>
      <c r="D1128" t="inlineStr">
        <is>
          <t>111111124</t>
        </is>
      </c>
      <c r="E1128" t="inlineStr">
        <is>
          <t>Vodacom Life 20260617</t>
        </is>
      </c>
      <c r="G1128" t="inlineStr">
        <is>
          <t>RAMOKONE</t>
        </is>
      </c>
      <c r="H1128" t="inlineStr">
        <is>
          <t>KEKANA</t>
        </is>
      </c>
      <c r="J1128" t="inlineStr">
        <is>
          <t>DROP</t>
        </is>
      </c>
      <c r="K1128" t="inlineStr">
        <is>
          <t>Dropped</t>
        </is>
      </c>
      <c r="L1128" t="n">
        <v>5</v>
      </c>
      <c r="M1128" t="inlineStr">
        <is>
          <t>2026-06-29 11:49:46</t>
        </is>
      </c>
      <c r="N1128" t="inlineStr">
        <is>
          <t>system</t>
        </is>
      </c>
      <c r="O1128" t="inlineStr">
        <is>
          <t>2026-06-17 14:10:06</t>
        </is>
      </c>
      <c r="P1128" t="inlineStr">
        <is>
          <t>2026-06-17 14:10:06</t>
        </is>
      </c>
      <c r="Y1128" t="inlineStr">
        <is>
          <t>27636912076</t>
        </is>
      </c>
    </row>
    <row r="1129">
      <c r="A1129" t="inlineStr">
        <is>
          <t>14920947</t>
        </is>
      </c>
      <c r="B1129" t="inlineStr">
        <is>
          <t>89dda805-678d-49fd-b755-f7bba298e9dc</t>
        </is>
      </c>
      <c r="D1129" t="inlineStr">
        <is>
          <t>111111124</t>
        </is>
      </c>
      <c r="E1129" t="inlineStr">
        <is>
          <t>Vodacom Life 20260617</t>
        </is>
      </c>
      <c r="G1129" t="inlineStr">
        <is>
          <t>JOSEPH</t>
        </is>
      </c>
      <c r="H1129" t="inlineStr">
        <is>
          <t>MNISI</t>
        </is>
      </c>
      <c r="J1129" t="inlineStr">
        <is>
          <t>AA</t>
        </is>
      </c>
      <c r="K1129" t="inlineStr">
        <is>
          <t>Answering Machine Autodial</t>
        </is>
      </c>
      <c r="L1129" t="n">
        <v>5</v>
      </c>
      <c r="M1129" t="inlineStr">
        <is>
          <t>2026-06-29 11:49:46</t>
        </is>
      </c>
      <c r="N1129" t="inlineStr">
        <is>
          <t>system</t>
        </is>
      </c>
      <c r="O1129" t="inlineStr">
        <is>
          <t>2026-06-17 14:10:06</t>
        </is>
      </c>
      <c r="P1129" t="inlineStr">
        <is>
          <t>2026-06-17 14:10:06</t>
        </is>
      </c>
      <c r="Y1129" t="inlineStr">
        <is>
          <t>27647900800</t>
        </is>
      </c>
    </row>
    <row r="1130">
      <c r="A1130" t="inlineStr">
        <is>
          <t>14920939</t>
        </is>
      </c>
      <c r="B1130" t="inlineStr">
        <is>
          <t>5262dd1a-caaf-4894-b5fa-2632c0eb7067</t>
        </is>
      </c>
      <c r="D1130" t="inlineStr">
        <is>
          <t>111111124</t>
        </is>
      </c>
      <c r="E1130" t="inlineStr">
        <is>
          <t>Vodacom Life 20260617</t>
        </is>
      </c>
      <c r="G1130" t="inlineStr">
        <is>
          <t>RUDI</t>
        </is>
      </c>
      <c r="H1130" t="inlineStr">
        <is>
          <t>DEYSEL</t>
        </is>
      </c>
      <c r="J1130" t="inlineStr">
        <is>
          <t>N</t>
        </is>
      </c>
      <c r="K1130" t="inlineStr">
        <is>
          <t>No Answer</t>
        </is>
      </c>
      <c r="L1130" t="n">
        <v>5</v>
      </c>
      <c r="M1130" t="inlineStr">
        <is>
          <t>2026-06-29 11:47:34</t>
        </is>
      </c>
      <c r="N1130" t="inlineStr">
        <is>
          <t>Khensane Mabasa</t>
        </is>
      </c>
      <c r="O1130" t="inlineStr">
        <is>
          <t>2026-06-17 14:10:06</t>
        </is>
      </c>
      <c r="P1130" t="inlineStr">
        <is>
          <t>2026-06-17 14:10:06</t>
        </is>
      </c>
      <c r="Y1130" t="inlineStr">
        <is>
          <t>27792839913</t>
        </is>
      </c>
    </row>
    <row r="1131">
      <c r="A1131" t="inlineStr">
        <is>
          <t>14920943</t>
        </is>
      </c>
      <c r="B1131" t="inlineStr">
        <is>
          <t>839ee57d-df28-4dfc-ae8b-a82123fc0031</t>
        </is>
      </c>
      <c r="D1131" t="inlineStr">
        <is>
          <t>111111124</t>
        </is>
      </c>
      <c r="E1131" t="inlineStr">
        <is>
          <t>Vodacom Life 20260617</t>
        </is>
      </c>
      <c r="G1131" t="inlineStr">
        <is>
          <t>DUDU</t>
        </is>
      </c>
      <c r="H1131" t="inlineStr">
        <is>
          <t>NGWENYA</t>
        </is>
      </c>
      <c r="J1131" t="inlineStr">
        <is>
          <t>AA</t>
        </is>
      </c>
      <c r="K1131" t="inlineStr">
        <is>
          <t>Answering Machine Autodial</t>
        </is>
      </c>
      <c r="L1131" t="n">
        <v>5</v>
      </c>
      <c r="M1131" t="inlineStr">
        <is>
          <t>2026-06-29 11:47:34</t>
        </is>
      </c>
      <c r="N1131" t="inlineStr">
        <is>
          <t>system</t>
        </is>
      </c>
      <c r="O1131" t="inlineStr">
        <is>
          <t>2026-06-17 14:10:06</t>
        </is>
      </c>
      <c r="P1131" t="inlineStr">
        <is>
          <t>2026-06-17 14:10:06</t>
        </is>
      </c>
      <c r="Y1131" t="inlineStr">
        <is>
          <t>27826445604</t>
        </is>
      </c>
    </row>
    <row r="1132">
      <c r="A1132" t="inlineStr">
        <is>
          <t>14920965</t>
        </is>
      </c>
      <c r="B1132" t="inlineStr">
        <is>
          <t>ac6b7fdf-9c2f-4e82-b9eb-14212ba50182</t>
        </is>
      </c>
      <c r="D1132" t="inlineStr">
        <is>
          <t>111111124</t>
        </is>
      </c>
      <c r="E1132" t="inlineStr">
        <is>
          <t>Vodacom Life 20260617</t>
        </is>
      </c>
      <c r="G1132" t="inlineStr">
        <is>
          <t>JAN</t>
        </is>
      </c>
      <c r="H1132" t="inlineStr">
        <is>
          <t>KLAASEN</t>
        </is>
      </c>
      <c r="J1132" t="inlineStr">
        <is>
          <t>AA</t>
        </is>
      </c>
      <c r="K1132" t="inlineStr">
        <is>
          <t>Answering Machine Autodial</t>
        </is>
      </c>
      <c r="L1132" t="n">
        <v>5</v>
      </c>
      <c r="M1132" t="inlineStr">
        <is>
          <t>2026-06-29 11:47:34</t>
        </is>
      </c>
      <c r="N1132" t="inlineStr">
        <is>
          <t>system</t>
        </is>
      </c>
      <c r="O1132" t="inlineStr">
        <is>
          <t>2026-06-17 14:10:06</t>
        </is>
      </c>
      <c r="P1132" t="inlineStr">
        <is>
          <t>2026-06-17 14:10:06</t>
        </is>
      </c>
      <c r="Y1132" t="inlineStr">
        <is>
          <t>27649051001</t>
        </is>
      </c>
    </row>
    <row r="1133">
      <c r="A1133" t="inlineStr">
        <is>
          <t>14920979</t>
        </is>
      </c>
      <c r="B1133" t="inlineStr">
        <is>
          <t>178b9f88-a0f6-4f2e-a63f-279c26ff2dec</t>
        </is>
      </c>
      <c r="D1133" t="inlineStr">
        <is>
          <t>111111124</t>
        </is>
      </c>
      <c r="E1133" t="inlineStr">
        <is>
          <t>Vodacom Life 20260617</t>
        </is>
      </c>
      <c r="G1133" t="inlineStr">
        <is>
          <t>MARYKE</t>
        </is>
      </c>
      <c r="H1133" t="inlineStr">
        <is>
          <t>BOTHA</t>
        </is>
      </c>
      <c r="J1133" t="inlineStr">
        <is>
          <t>AA</t>
        </is>
      </c>
      <c r="K1133" t="inlineStr">
        <is>
          <t>Answering Machine Autodial</t>
        </is>
      </c>
      <c r="L1133" t="n">
        <v>5</v>
      </c>
      <c r="M1133" t="inlineStr">
        <is>
          <t>2026-06-29 11:47:34</t>
        </is>
      </c>
      <c r="N1133" t="inlineStr">
        <is>
          <t>system</t>
        </is>
      </c>
      <c r="O1133" t="inlineStr">
        <is>
          <t>2026-06-17 14:10:06</t>
        </is>
      </c>
      <c r="P1133" t="inlineStr">
        <is>
          <t>2026-06-17 14:10:06</t>
        </is>
      </c>
      <c r="Y1133" t="inlineStr">
        <is>
          <t>27646524433</t>
        </is>
      </c>
    </row>
    <row r="1134">
      <c r="A1134" t="inlineStr">
        <is>
          <t>14920938</t>
        </is>
      </c>
      <c r="B1134" t="inlineStr">
        <is>
          <t>7e220d30-bff2-4cd0-8a26-cee0c9533b6e</t>
        </is>
      </c>
      <c r="D1134" t="inlineStr">
        <is>
          <t>111111124</t>
        </is>
      </c>
      <c r="E1134" t="inlineStr">
        <is>
          <t>Vodacom Life 20260617</t>
        </is>
      </c>
      <c r="G1134" t="inlineStr">
        <is>
          <t>EVA</t>
        </is>
      </c>
      <c r="H1134" t="inlineStr">
        <is>
          <t>SUJEE</t>
        </is>
      </c>
      <c r="J1134" t="inlineStr">
        <is>
          <t>AA</t>
        </is>
      </c>
      <c r="K1134" t="inlineStr">
        <is>
          <t>Answering Machine Autodial</t>
        </is>
      </c>
      <c r="L1134" t="n">
        <v>5</v>
      </c>
      <c r="M1134" t="inlineStr">
        <is>
          <t>2026-06-29 11:47:31</t>
        </is>
      </c>
      <c r="N1134" t="inlineStr">
        <is>
          <t>system</t>
        </is>
      </c>
      <c r="O1134" t="inlineStr">
        <is>
          <t>2026-06-17 14:10:06</t>
        </is>
      </c>
      <c r="P1134" t="inlineStr">
        <is>
          <t>2026-06-17 14:10:06</t>
        </is>
      </c>
      <c r="Y1134" t="inlineStr">
        <is>
          <t>27637770738</t>
        </is>
      </c>
    </row>
    <row r="1135">
      <c r="A1135" t="inlineStr">
        <is>
          <t>14920949</t>
        </is>
      </c>
      <c r="B1135" t="inlineStr">
        <is>
          <t>7b46c888-9df2-433d-8505-0beaad87eaff</t>
        </is>
      </c>
      <c r="D1135" t="inlineStr">
        <is>
          <t>111111124</t>
        </is>
      </c>
      <c r="E1135" t="inlineStr">
        <is>
          <t>Vodacom Life 20260617</t>
        </is>
      </c>
      <c r="G1135" t="inlineStr">
        <is>
          <t>LIEZEL</t>
        </is>
      </c>
      <c r="H1135" t="inlineStr">
        <is>
          <t>WILLEMSE</t>
        </is>
      </c>
      <c r="J1135" t="inlineStr">
        <is>
          <t>CU</t>
        </is>
      </c>
      <c r="K1135" t="inlineStr">
        <is>
          <t>Client Hung Up</t>
        </is>
      </c>
      <c r="L1135" t="n">
        <v>5</v>
      </c>
      <c r="M1135" t="inlineStr">
        <is>
          <t>2026-06-29 11:47:09</t>
        </is>
      </c>
      <c r="N1135" t="inlineStr">
        <is>
          <t>Musiiwa Mary Mabirimisa</t>
        </is>
      </c>
      <c r="O1135" t="inlineStr">
        <is>
          <t>2026-06-17 14:10:06</t>
        </is>
      </c>
      <c r="P1135" t="inlineStr">
        <is>
          <t>2026-06-17 14:10:06</t>
        </is>
      </c>
      <c r="Y1135" t="inlineStr">
        <is>
          <t>27823403420</t>
        </is>
      </c>
    </row>
    <row r="1136">
      <c r="A1136" t="inlineStr">
        <is>
          <t>14921013</t>
        </is>
      </c>
      <c r="B1136" t="inlineStr">
        <is>
          <t>8e1d30a1-3e0b-4a78-b435-4b26369bd1dc</t>
        </is>
      </c>
      <c r="D1136" t="inlineStr">
        <is>
          <t>111111124</t>
        </is>
      </c>
      <c r="E1136" t="inlineStr">
        <is>
          <t>Vodacom Life 20260617</t>
        </is>
      </c>
      <c r="G1136" t="inlineStr">
        <is>
          <t>JETHRO</t>
        </is>
      </c>
      <c r="H1136" t="inlineStr">
        <is>
          <t>CAMPBELL</t>
        </is>
      </c>
      <c r="J1136" t="inlineStr">
        <is>
          <t>NA</t>
        </is>
      </c>
      <c r="K1136" t="inlineStr">
        <is>
          <t>No Answer Autodial</t>
        </is>
      </c>
      <c r="L1136" t="n">
        <v>5</v>
      </c>
      <c r="M1136" t="inlineStr">
        <is>
          <t>2026-06-29 11:47:07</t>
        </is>
      </c>
      <c r="N1136" t="inlineStr">
        <is>
          <t>system</t>
        </is>
      </c>
      <c r="O1136" t="inlineStr">
        <is>
          <t>2026-06-17 14:10:06</t>
        </is>
      </c>
      <c r="P1136" t="inlineStr">
        <is>
          <t>2026-06-17 14:10:06</t>
        </is>
      </c>
      <c r="Y1136" t="inlineStr">
        <is>
          <t>27827647961</t>
        </is>
      </c>
    </row>
    <row r="1137">
      <c r="A1137" t="inlineStr">
        <is>
          <t>14920934</t>
        </is>
      </c>
      <c r="B1137" t="inlineStr">
        <is>
          <t>22ca08ca-d4b5-4d88-a141-9c622ba6f5f0</t>
        </is>
      </c>
      <c r="D1137" t="inlineStr">
        <is>
          <t>111111124</t>
        </is>
      </c>
      <c r="E1137" t="inlineStr">
        <is>
          <t>Vodacom Life 20260617</t>
        </is>
      </c>
      <c r="G1137" t="inlineStr">
        <is>
          <t>MOSES</t>
        </is>
      </c>
      <c r="H1137" t="inlineStr">
        <is>
          <t>MORERSELE</t>
        </is>
      </c>
      <c r="J1137" t="inlineStr">
        <is>
          <t>AE</t>
        </is>
      </c>
      <c r="K1137" t="inlineStr">
        <is>
          <t>Auto Engaged</t>
        </is>
      </c>
      <c r="L1137" t="n">
        <v>5</v>
      </c>
      <c r="M1137" t="inlineStr">
        <is>
          <t>2026-06-29 11:47:04</t>
        </is>
      </c>
      <c r="N1137" t="inlineStr">
        <is>
          <t>system</t>
        </is>
      </c>
      <c r="O1137" t="inlineStr">
        <is>
          <t>2026-06-17 14:10:06</t>
        </is>
      </c>
      <c r="P1137" t="inlineStr">
        <is>
          <t>2026-06-17 14:10:06</t>
        </is>
      </c>
      <c r="Y1137" t="inlineStr">
        <is>
          <t>27722821519</t>
        </is>
      </c>
    </row>
    <row r="1138">
      <c r="A1138" t="inlineStr">
        <is>
          <t>14920994</t>
        </is>
      </c>
      <c r="B1138" t="inlineStr">
        <is>
          <t>44818ace-e9ef-4617-af56-902735128497</t>
        </is>
      </c>
      <c r="D1138" t="inlineStr">
        <is>
          <t>111111124</t>
        </is>
      </c>
      <c r="E1138" t="inlineStr">
        <is>
          <t>Vodacom Life 20260617</t>
        </is>
      </c>
      <c r="G1138" t="inlineStr">
        <is>
          <t>ANDRE</t>
        </is>
      </c>
      <c r="H1138" t="inlineStr">
        <is>
          <t>LOURENS</t>
        </is>
      </c>
      <c r="J1138" t="inlineStr">
        <is>
          <t>AE</t>
        </is>
      </c>
      <c r="K1138" t="inlineStr">
        <is>
          <t>Auto Engaged</t>
        </is>
      </c>
      <c r="L1138" t="n">
        <v>5</v>
      </c>
      <c r="M1138" t="inlineStr">
        <is>
          <t>2026-06-29 11:47:04</t>
        </is>
      </c>
      <c r="N1138" t="inlineStr">
        <is>
          <t>system</t>
        </is>
      </c>
      <c r="O1138" t="inlineStr">
        <is>
          <t>2026-06-17 14:10:06</t>
        </is>
      </c>
      <c r="P1138" t="inlineStr">
        <is>
          <t>2026-06-17 14:10:06</t>
        </is>
      </c>
      <c r="Y1138" t="inlineStr">
        <is>
          <t>27828948093</t>
        </is>
      </c>
    </row>
    <row r="1139">
      <c r="A1139" t="inlineStr">
        <is>
          <t>14921015</t>
        </is>
      </c>
      <c r="B1139" t="inlineStr">
        <is>
          <t>987968e5-1b93-4773-9523-cf8b56833eb0</t>
        </is>
      </c>
      <c r="D1139" t="inlineStr">
        <is>
          <t>111111124</t>
        </is>
      </c>
      <c r="E1139" t="inlineStr">
        <is>
          <t>Vodacom Life 20260617</t>
        </is>
      </c>
      <c r="G1139" t="inlineStr">
        <is>
          <t>JOHANNA</t>
        </is>
      </c>
      <c r="H1139" t="inlineStr">
        <is>
          <t>VOSTER</t>
        </is>
      </c>
      <c r="J1139" t="inlineStr">
        <is>
          <t>AA</t>
        </is>
      </c>
      <c r="K1139" t="inlineStr">
        <is>
          <t>Answering Machine Autodial</t>
        </is>
      </c>
      <c r="L1139" t="n">
        <v>5</v>
      </c>
      <c r="M1139" t="inlineStr">
        <is>
          <t>2026-06-29 11:47:03</t>
        </is>
      </c>
      <c r="N1139" t="inlineStr">
        <is>
          <t>system</t>
        </is>
      </c>
      <c r="O1139" t="inlineStr">
        <is>
          <t>2026-06-17 14:10:06</t>
        </is>
      </c>
      <c r="P1139" t="inlineStr">
        <is>
          <t>2026-06-17 14:10:06</t>
        </is>
      </c>
      <c r="Y1139" t="inlineStr">
        <is>
          <t>27716068506</t>
        </is>
      </c>
    </row>
    <row r="1140">
      <c r="A1140" t="inlineStr">
        <is>
          <t>14900000</t>
        </is>
      </c>
      <c r="B1140" t="inlineStr">
        <is>
          <t>e18340cf-c5f6-4546-83f2-3b99c8e7d1f7</t>
        </is>
      </c>
      <c r="D1140" t="inlineStr">
        <is>
          <t>111111124</t>
        </is>
      </c>
      <c r="E1140" t="inlineStr">
        <is>
          <t>Vodacom Life 20260617</t>
        </is>
      </c>
      <c r="G1140" t="inlineStr">
        <is>
          <t>JACOB</t>
        </is>
      </c>
      <c r="H1140" t="inlineStr">
        <is>
          <t>MAKHATHINI</t>
        </is>
      </c>
      <c r="J1140" t="inlineStr">
        <is>
          <t>NA</t>
        </is>
      </c>
      <c r="K1140" t="inlineStr">
        <is>
          <t>No Answer Autodial</t>
        </is>
      </c>
      <c r="L1140" t="n">
        <v>5</v>
      </c>
      <c r="M1140" t="inlineStr">
        <is>
          <t>2026-06-29 11:47:03</t>
        </is>
      </c>
      <c r="N1140" t="inlineStr">
        <is>
          <t>system</t>
        </is>
      </c>
      <c r="O1140" t="inlineStr">
        <is>
          <t>2026-06-17 14:10:06</t>
        </is>
      </c>
      <c r="P1140" t="inlineStr">
        <is>
          <t>2026-06-17 14:10:06</t>
        </is>
      </c>
      <c r="Y1140" t="inlineStr">
        <is>
          <t>27608848017</t>
        </is>
      </c>
    </row>
    <row r="1141">
      <c r="A1141" t="inlineStr">
        <is>
          <t>14921651</t>
        </is>
      </c>
      <c r="B1141" t="inlineStr">
        <is>
          <t>65487304-d625-4dea-980a-623b391c9b6f</t>
        </is>
      </c>
      <c r="D1141" t="inlineStr">
        <is>
          <t>111111124</t>
        </is>
      </c>
      <c r="E1141" t="inlineStr">
        <is>
          <t>Vodacom Life 20260617</t>
        </is>
      </c>
      <c r="G1141" t="inlineStr">
        <is>
          <t>JEANRE</t>
        </is>
      </c>
      <c r="H1141" t="inlineStr">
        <is>
          <t>MULLER</t>
        </is>
      </c>
      <c r="J1141" t="inlineStr">
        <is>
          <t>GTTB</t>
        </is>
      </c>
      <c r="K1141" t="inlineStr">
        <is>
          <t>Go To The Branch</t>
        </is>
      </c>
      <c r="L1141" t="n">
        <v>6</v>
      </c>
      <c r="M1141" t="inlineStr">
        <is>
          <t>2026-06-29 11:39:56</t>
        </is>
      </c>
      <c r="N1141" t="inlineStr">
        <is>
          <t>Vanessa Kekana</t>
        </is>
      </c>
      <c r="O1141" t="inlineStr">
        <is>
          <t>2026-06-17 14:10:06</t>
        </is>
      </c>
      <c r="P1141" t="inlineStr">
        <is>
          <t>2026-06-17 14:10:06</t>
        </is>
      </c>
      <c r="Y1141" t="inlineStr">
        <is>
          <t>27726538441</t>
        </is>
      </c>
    </row>
    <row r="1142">
      <c r="A1142" t="inlineStr">
        <is>
          <t>14921668</t>
        </is>
      </c>
      <c r="B1142" t="inlineStr">
        <is>
          <t>6623db95-fa23-4360-bb6b-a2c6c1a29b38</t>
        </is>
      </c>
      <c r="D1142" t="inlineStr">
        <is>
          <t>111111124</t>
        </is>
      </c>
      <c r="E1142" t="inlineStr">
        <is>
          <t>Vodacom Life 20260617</t>
        </is>
      </c>
      <c r="G1142" t="inlineStr">
        <is>
          <t>DILLON</t>
        </is>
      </c>
      <c r="H1142" t="inlineStr">
        <is>
          <t>OOSTHUIZEN</t>
        </is>
      </c>
      <c r="J1142" t="inlineStr">
        <is>
          <t>DROP</t>
        </is>
      </c>
      <c r="K1142" t="inlineStr">
        <is>
          <t>Dropped</t>
        </is>
      </c>
      <c r="L1142" t="n">
        <v>5</v>
      </c>
      <c r="M1142" t="inlineStr">
        <is>
          <t>2026-06-29 11:39:53</t>
        </is>
      </c>
      <c r="N1142" t="inlineStr">
        <is>
          <t>system</t>
        </is>
      </c>
      <c r="O1142" t="inlineStr">
        <is>
          <t>2026-06-17 14:10:06</t>
        </is>
      </c>
      <c r="P1142" t="inlineStr">
        <is>
          <t>2026-06-17 14:10:06</t>
        </is>
      </c>
      <c r="Y1142" t="inlineStr">
        <is>
          <t>27826161776</t>
        </is>
      </c>
    </row>
    <row r="1143">
      <c r="A1143" t="inlineStr">
        <is>
          <t>14921669</t>
        </is>
      </c>
      <c r="B1143" t="inlineStr">
        <is>
          <t>8cf145b9-eca3-4cf9-b9ce-f38ba007f4d7</t>
        </is>
      </c>
      <c r="D1143" t="inlineStr">
        <is>
          <t>111111124</t>
        </is>
      </c>
      <c r="E1143" t="inlineStr">
        <is>
          <t>Vodacom Life 20260617</t>
        </is>
      </c>
      <c r="G1143" t="inlineStr">
        <is>
          <t>OLWETHU</t>
        </is>
      </c>
      <c r="H1143" t="inlineStr">
        <is>
          <t>NTSHANGASE</t>
        </is>
      </c>
      <c r="J1143" t="inlineStr">
        <is>
          <t>DROP</t>
        </is>
      </c>
      <c r="K1143" t="inlineStr">
        <is>
          <t>Dropped</t>
        </is>
      </c>
      <c r="L1143" t="n">
        <v>5</v>
      </c>
      <c r="M1143" t="inlineStr">
        <is>
          <t>2026-06-29 11:39:53</t>
        </is>
      </c>
      <c r="N1143" t="inlineStr">
        <is>
          <t>system</t>
        </is>
      </c>
      <c r="O1143" t="inlineStr">
        <is>
          <t>2026-06-17 14:10:06</t>
        </is>
      </c>
      <c r="P1143" t="inlineStr">
        <is>
          <t>2026-06-17 14:10:06</t>
        </is>
      </c>
      <c r="Y1143" t="inlineStr">
        <is>
          <t>27609736711</t>
        </is>
      </c>
    </row>
    <row r="1144">
      <c r="A1144" t="inlineStr">
        <is>
          <t>14921670</t>
        </is>
      </c>
      <c r="B1144" t="inlineStr">
        <is>
          <t>d20bcf31-632b-4341-9992-b574d334ee76</t>
        </is>
      </c>
      <c r="D1144" t="inlineStr">
        <is>
          <t>111111124</t>
        </is>
      </c>
      <c r="E1144" t="inlineStr">
        <is>
          <t>Vodacom Life 20260617</t>
        </is>
      </c>
      <c r="G1144" t="inlineStr">
        <is>
          <t>ELSABIE</t>
        </is>
      </c>
      <c r="H1144" t="inlineStr">
        <is>
          <t>MATTHEUS</t>
        </is>
      </c>
      <c r="J1144" t="inlineStr">
        <is>
          <t>AE</t>
        </is>
      </c>
      <c r="K1144" t="inlineStr">
        <is>
          <t>Auto Engaged</t>
        </is>
      </c>
      <c r="L1144" t="n">
        <v>5</v>
      </c>
      <c r="M1144" t="inlineStr">
        <is>
          <t>2026-06-29 11:39:53</t>
        </is>
      </c>
      <c r="N1144" t="inlineStr">
        <is>
          <t>system</t>
        </is>
      </c>
      <c r="O1144" t="inlineStr">
        <is>
          <t>2026-06-17 14:10:06</t>
        </is>
      </c>
      <c r="P1144" t="inlineStr">
        <is>
          <t>2026-06-17 14:10:06</t>
        </is>
      </c>
      <c r="Y1144" t="inlineStr">
        <is>
          <t>27846034468</t>
        </is>
      </c>
    </row>
    <row r="1145">
      <c r="A1145" t="inlineStr">
        <is>
          <t>14921671</t>
        </is>
      </c>
      <c r="B1145" t="inlineStr">
        <is>
          <t>51f14e9e-8bad-499e-bce6-93b42c729dfc</t>
        </is>
      </c>
      <c r="D1145" t="inlineStr">
        <is>
          <t>111111124</t>
        </is>
      </c>
      <c r="E1145" t="inlineStr">
        <is>
          <t>Vodacom Life 20260617</t>
        </is>
      </c>
      <c r="G1145" t="inlineStr">
        <is>
          <t>KIRCHLIN</t>
        </is>
      </c>
      <c r="H1145" t="inlineStr">
        <is>
          <t>SIMHADRI</t>
        </is>
      </c>
      <c r="J1145" t="inlineStr">
        <is>
          <t>AA</t>
        </is>
      </c>
      <c r="K1145" t="inlineStr">
        <is>
          <t>Answering Machine Autodial</t>
        </is>
      </c>
      <c r="L1145" t="n">
        <v>5</v>
      </c>
      <c r="M1145" t="inlineStr">
        <is>
          <t>2026-06-29 11:39:53</t>
        </is>
      </c>
      <c r="N1145" t="inlineStr">
        <is>
          <t>system</t>
        </is>
      </c>
      <c r="O1145" t="inlineStr">
        <is>
          <t>2026-06-17 14:10:06</t>
        </is>
      </c>
      <c r="P1145" t="inlineStr">
        <is>
          <t>2026-06-17 14:10:06</t>
        </is>
      </c>
      <c r="Y1145" t="inlineStr">
        <is>
          <t>27711205488</t>
        </is>
      </c>
    </row>
    <row r="1146">
      <c r="A1146" t="inlineStr">
        <is>
          <t>14921673</t>
        </is>
      </c>
      <c r="B1146" t="inlineStr">
        <is>
          <t>dc2acc70-46dd-4d34-b7c7-be9bdf218f9d</t>
        </is>
      </c>
      <c r="D1146" t="inlineStr">
        <is>
          <t>111111124</t>
        </is>
      </c>
      <c r="E1146" t="inlineStr">
        <is>
          <t>Vodacom Life 20260617</t>
        </is>
      </c>
      <c r="G1146" t="inlineStr">
        <is>
          <t>MARIA</t>
        </is>
      </c>
      <c r="H1146" t="inlineStr">
        <is>
          <t>MABOTJA</t>
        </is>
      </c>
      <c r="J1146" t="inlineStr">
        <is>
          <t>AA</t>
        </is>
      </c>
      <c r="K1146" t="inlineStr">
        <is>
          <t>Answering Machine Autodial</t>
        </is>
      </c>
      <c r="L1146" t="n">
        <v>5</v>
      </c>
      <c r="M1146" t="inlineStr">
        <is>
          <t>2026-06-29 11:39:53</t>
        </is>
      </c>
      <c r="N1146" t="inlineStr">
        <is>
          <t>system</t>
        </is>
      </c>
      <c r="O1146" t="inlineStr">
        <is>
          <t>2026-06-17 14:10:06</t>
        </is>
      </c>
      <c r="P1146" t="inlineStr">
        <is>
          <t>2026-06-17 14:10:06</t>
        </is>
      </c>
      <c r="Y1146" t="inlineStr">
        <is>
          <t>27827888649</t>
        </is>
      </c>
    </row>
    <row r="1147">
      <c r="A1147" t="inlineStr">
        <is>
          <t>14921646</t>
        </is>
      </c>
      <c r="B1147" t="inlineStr">
        <is>
          <t>fc700177-110d-4bd4-8579-1cf6b838cfd7</t>
        </is>
      </c>
      <c r="D1147" t="inlineStr">
        <is>
          <t>111111124</t>
        </is>
      </c>
      <c r="E1147" t="inlineStr">
        <is>
          <t>Vodacom Life 20260617</t>
        </is>
      </c>
      <c r="G1147" t="inlineStr">
        <is>
          <t>ZINHLE</t>
        </is>
      </c>
      <c r="H1147" t="inlineStr">
        <is>
          <t>PHAKATHI</t>
        </is>
      </c>
      <c r="J1147" t="inlineStr">
        <is>
          <t>NA</t>
        </is>
      </c>
      <c r="K1147" t="inlineStr">
        <is>
          <t>No Answer Autodial</t>
        </is>
      </c>
      <c r="L1147" t="n">
        <v>5</v>
      </c>
      <c r="M1147" t="inlineStr">
        <is>
          <t>2026-06-29 11:33:55</t>
        </is>
      </c>
      <c r="N1147" t="inlineStr">
        <is>
          <t>system</t>
        </is>
      </c>
      <c r="O1147" t="inlineStr">
        <is>
          <t>2026-06-17 14:10:06</t>
        </is>
      </c>
      <c r="P1147" t="inlineStr">
        <is>
          <t>2026-06-17 14:10:06</t>
        </is>
      </c>
      <c r="Y1147" t="inlineStr">
        <is>
          <t>27798901537</t>
        </is>
      </c>
    </row>
    <row r="1148">
      <c r="A1148" t="inlineStr">
        <is>
          <t>14900000</t>
        </is>
      </c>
      <c r="B1148" t="inlineStr">
        <is>
          <t>e098148a-9a4f-46fb-8244-eb8fe66a2f01</t>
        </is>
      </c>
      <c r="D1148" t="inlineStr">
        <is>
          <t>111111124</t>
        </is>
      </c>
      <c r="E1148" t="inlineStr">
        <is>
          <t>Vodacom Life 20260617</t>
        </is>
      </c>
      <c r="G1148" t="inlineStr">
        <is>
          <t>TASNEEM</t>
        </is>
      </c>
      <c r="H1148" t="inlineStr">
        <is>
          <t>MOHAMMED</t>
        </is>
      </c>
      <c r="J1148" t="inlineStr">
        <is>
          <t>NA</t>
        </is>
      </c>
      <c r="K1148" t="inlineStr">
        <is>
          <t>No Answer Autodial</t>
        </is>
      </c>
      <c r="L1148" t="n">
        <v>5</v>
      </c>
      <c r="M1148" t="inlineStr">
        <is>
          <t>2026-06-29 11:33:48</t>
        </is>
      </c>
      <c r="N1148" t="inlineStr">
        <is>
          <t>system</t>
        </is>
      </c>
      <c r="O1148" t="inlineStr">
        <is>
          <t>2026-06-17 14:10:06</t>
        </is>
      </c>
      <c r="P1148" t="inlineStr">
        <is>
          <t>2026-06-17 14:10:06</t>
        </is>
      </c>
      <c r="Y1148" t="inlineStr">
        <is>
          <t>27714039485</t>
        </is>
      </c>
    </row>
    <row r="1149">
      <c r="A1149" t="inlineStr">
        <is>
          <t>14921648</t>
        </is>
      </c>
      <c r="B1149" t="inlineStr">
        <is>
          <t>b98255ec-661b-4700-8a22-af344ff4a38e</t>
        </is>
      </c>
      <c r="D1149" t="inlineStr">
        <is>
          <t>111111124</t>
        </is>
      </c>
      <c r="E1149" t="inlineStr">
        <is>
          <t>Vodacom Life 20260617</t>
        </is>
      </c>
      <c r="G1149" t="inlineStr">
        <is>
          <t>VALAN</t>
        </is>
      </c>
      <c r="H1149" t="inlineStr">
        <is>
          <t>GOVENDER</t>
        </is>
      </c>
      <c r="J1149" t="inlineStr">
        <is>
          <t>AA</t>
        </is>
      </c>
      <c r="K1149" t="inlineStr">
        <is>
          <t>Answering Machine Autodial</t>
        </is>
      </c>
      <c r="L1149" t="n">
        <v>5</v>
      </c>
      <c r="M1149" t="inlineStr">
        <is>
          <t>2026-06-29 11:33:47</t>
        </is>
      </c>
      <c r="N1149" t="inlineStr">
        <is>
          <t>system</t>
        </is>
      </c>
      <c r="O1149" t="inlineStr">
        <is>
          <t>2026-06-17 14:10:06</t>
        </is>
      </c>
      <c r="P1149" t="inlineStr">
        <is>
          <t>2026-06-17 14:10:06</t>
        </is>
      </c>
      <c r="Y1149" t="inlineStr">
        <is>
          <t>27827783759</t>
        </is>
      </c>
    </row>
    <row r="1150">
      <c r="A1150" t="inlineStr">
        <is>
          <t>14921649</t>
        </is>
      </c>
      <c r="B1150" t="inlineStr">
        <is>
          <t>ff731f63-7be4-47a8-8772-5a0083bca61a</t>
        </is>
      </c>
      <c r="D1150" t="inlineStr">
        <is>
          <t>111111124</t>
        </is>
      </c>
      <c r="E1150" t="inlineStr">
        <is>
          <t>Vodacom Life 20260617</t>
        </is>
      </c>
      <c r="G1150" t="inlineStr">
        <is>
          <t>MODISE</t>
        </is>
      </c>
      <c r="H1150" t="inlineStr">
        <is>
          <t>MAKGALEMELE</t>
        </is>
      </c>
      <c r="J1150" t="inlineStr">
        <is>
          <t>AE</t>
        </is>
      </c>
      <c r="K1150" t="inlineStr">
        <is>
          <t>Auto Engaged</t>
        </is>
      </c>
      <c r="L1150" t="n">
        <v>5</v>
      </c>
      <c r="M1150" t="inlineStr">
        <is>
          <t>2026-06-29 11:33:45</t>
        </is>
      </c>
      <c r="N1150" t="inlineStr">
        <is>
          <t>system</t>
        </is>
      </c>
      <c r="O1150" t="inlineStr">
        <is>
          <t>2026-06-17 14:10:06</t>
        </is>
      </c>
      <c r="P1150" t="inlineStr">
        <is>
          <t>2026-06-17 14:10:06</t>
        </is>
      </c>
      <c r="Y1150" t="inlineStr">
        <is>
          <t>27609640231</t>
        </is>
      </c>
    </row>
    <row r="1151">
      <c r="A1151" t="inlineStr">
        <is>
          <t>14921650</t>
        </is>
      </c>
      <c r="B1151" t="inlineStr">
        <is>
          <t>b81d8e67-d1ef-48f8-a1a3-8dece2a673f3</t>
        </is>
      </c>
      <c r="D1151" t="inlineStr">
        <is>
          <t>111111124</t>
        </is>
      </c>
      <c r="E1151" t="inlineStr">
        <is>
          <t>Vodacom Life 20260617</t>
        </is>
      </c>
      <c r="G1151" t="inlineStr">
        <is>
          <t>JANA</t>
        </is>
      </c>
      <c r="H1151" t="inlineStr">
        <is>
          <t>KRIGE</t>
        </is>
      </c>
      <c r="J1151" t="inlineStr">
        <is>
          <t>DROP</t>
        </is>
      </c>
      <c r="K1151" t="inlineStr">
        <is>
          <t>Dropped</t>
        </is>
      </c>
      <c r="L1151" t="n">
        <v>5</v>
      </c>
      <c r="M1151" t="inlineStr">
        <is>
          <t>2026-06-29 11:33:44</t>
        </is>
      </c>
      <c r="N1151" t="inlineStr">
        <is>
          <t>system</t>
        </is>
      </c>
      <c r="O1151" t="inlineStr">
        <is>
          <t>2026-06-17 14:10:06</t>
        </is>
      </c>
      <c r="P1151" t="inlineStr">
        <is>
          <t>2026-06-17 14:10:06</t>
        </is>
      </c>
      <c r="Y1151" t="inlineStr">
        <is>
          <t>27820658542</t>
        </is>
      </c>
    </row>
    <row r="1152">
      <c r="A1152" t="inlineStr">
        <is>
          <t>14921652</t>
        </is>
      </c>
      <c r="B1152" t="inlineStr">
        <is>
          <t>657ab389-17e7-4f90-9766-f5ff4e3346bf</t>
        </is>
      </c>
      <c r="D1152" t="inlineStr">
        <is>
          <t>111111124</t>
        </is>
      </c>
      <c r="E1152" t="inlineStr">
        <is>
          <t>Vodacom Life 20260617</t>
        </is>
      </c>
      <c r="G1152" t="inlineStr">
        <is>
          <t>SHARON</t>
        </is>
      </c>
      <c r="H1152" t="inlineStr">
        <is>
          <t>HOTTIE</t>
        </is>
      </c>
      <c r="J1152" t="inlineStr">
        <is>
          <t>AA</t>
        </is>
      </c>
      <c r="K1152" t="inlineStr">
        <is>
          <t>Answering Machine Autodial</t>
        </is>
      </c>
      <c r="L1152" t="n">
        <v>5</v>
      </c>
      <c r="M1152" t="inlineStr">
        <is>
          <t>2026-06-29 11:33:43</t>
        </is>
      </c>
      <c r="N1152" t="inlineStr">
        <is>
          <t>system</t>
        </is>
      </c>
      <c r="O1152" t="inlineStr">
        <is>
          <t>2026-06-17 14:10:06</t>
        </is>
      </c>
      <c r="P1152" t="inlineStr">
        <is>
          <t>2026-06-17 14:10:06</t>
        </is>
      </c>
      <c r="Y1152" t="inlineStr">
        <is>
          <t>27793159481</t>
        </is>
      </c>
    </row>
    <row r="1153">
      <c r="A1153" t="inlineStr">
        <is>
          <t>14921653</t>
        </is>
      </c>
      <c r="B1153" t="inlineStr">
        <is>
          <t>0de5d2a4-0720-4dca-8d23-358f4703f861</t>
        </is>
      </c>
      <c r="D1153" t="inlineStr">
        <is>
          <t>111111124</t>
        </is>
      </c>
      <c r="E1153" t="inlineStr">
        <is>
          <t>Vodacom Life 20260617</t>
        </is>
      </c>
      <c r="G1153" t="inlineStr">
        <is>
          <t>AYESHA</t>
        </is>
      </c>
      <c r="H1153" t="inlineStr">
        <is>
          <t>ABRAHAMS</t>
        </is>
      </c>
      <c r="J1153" t="inlineStr">
        <is>
          <t>AE</t>
        </is>
      </c>
      <c r="K1153" t="inlineStr">
        <is>
          <t>Auto Engaged</t>
        </is>
      </c>
      <c r="L1153" t="n">
        <v>5</v>
      </c>
      <c r="M1153" t="inlineStr">
        <is>
          <t>2026-06-29 11:33:43</t>
        </is>
      </c>
      <c r="N1153" t="inlineStr">
        <is>
          <t>system</t>
        </is>
      </c>
      <c r="O1153" t="inlineStr">
        <is>
          <t>2026-06-17 14:10:06</t>
        </is>
      </c>
      <c r="P1153" t="inlineStr">
        <is>
          <t>2026-06-17 14:10:06</t>
        </is>
      </c>
      <c r="Y1153" t="inlineStr">
        <is>
          <t>27817655848</t>
        </is>
      </c>
    </row>
    <row r="1154">
      <c r="A1154" t="inlineStr">
        <is>
          <t>14921655</t>
        </is>
      </c>
      <c r="B1154" t="inlineStr">
        <is>
          <t>83f986a6-e948-469c-8b74-7dbc16d1b9f7</t>
        </is>
      </c>
      <c r="D1154" t="inlineStr">
        <is>
          <t>111111124</t>
        </is>
      </c>
      <c r="E1154" t="inlineStr">
        <is>
          <t>Vodacom Life 20260617</t>
        </is>
      </c>
      <c r="G1154" t="inlineStr">
        <is>
          <t>MOTLALEPULE</t>
        </is>
      </c>
      <c r="H1154" t="inlineStr">
        <is>
          <t>MOKWADI</t>
        </is>
      </c>
      <c r="J1154" t="inlineStr">
        <is>
          <t>ADC</t>
        </is>
      </c>
      <c r="K1154" t="inlineStr">
        <is>
          <t>Auto Dial Disconnected</t>
        </is>
      </c>
      <c r="L1154" t="n">
        <v>5</v>
      </c>
      <c r="M1154" t="inlineStr">
        <is>
          <t>2026-06-29 11:33:43</t>
        </is>
      </c>
      <c r="N1154" t="inlineStr">
        <is>
          <t>system</t>
        </is>
      </c>
      <c r="O1154" t="inlineStr">
        <is>
          <t>2026-06-17 14:10:06</t>
        </is>
      </c>
      <c r="P1154" t="inlineStr">
        <is>
          <t>2026-06-17 14:10:06</t>
        </is>
      </c>
      <c r="Y1154" t="inlineStr">
        <is>
          <t>27761783026</t>
        </is>
      </c>
    </row>
    <row r="1155">
      <c r="A1155" t="inlineStr">
        <is>
          <t>14920471</t>
        </is>
      </c>
      <c r="B1155" t="inlineStr">
        <is>
          <t>bc77a10c-46e0-4b5d-bb58-867d041d12d5</t>
        </is>
      </c>
      <c r="D1155" t="inlineStr">
        <is>
          <t>111111124</t>
        </is>
      </c>
      <c r="E1155" t="inlineStr">
        <is>
          <t>Vodacom Life 20260617</t>
        </is>
      </c>
      <c r="G1155" t="inlineStr">
        <is>
          <t>RALPH</t>
        </is>
      </c>
      <c r="H1155" t="inlineStr">
        <is>
          <t>VAN HEERDEN</t>
        </is>
      </c>
      <c r="J1155" t="inlineStr">
        <is>
          <t>DROP</t>
        </is>
      </c>
      <c r="K1155" t="inlineStr">
        <is>
          <t>Dropped</t>
        </is>
      </c>
      <c r="L1155" t="n">
        <v>5</v>
      </c>
      <c r="M1155" t="inlineStr">
        <is>
          <t>2026-06-29 11:32:03</t>
        </is>
      </c>
      <c r="N1155" t="inlineStr">
        <is>
          <t>system</t>
        </is>
      </c>
      <c r="O1155" t="inlineStr">
        <is>
          <t>2026-06-17 14:10:06</t>
        </is>
      </c>
      <c r="P1155" t="inlineStr">
        <is>
          <t>2026-06-17 14:10:06</t>
        </is>
      </c>
      <c r="Y1155" t="inlineStr">
        <is>
          <t>27760715561</t>
        </is>
      </c>
    </row>
    <row r="1156">
      <c r="A1156" t="inlineStr">
        <is>
          <t>14920469</t>
        </is>
      </c>
      <c r="B1156" t="inlineStr">
        <is>
          <t>dcbdc001-fba3-4fb4-a688-3a8abe265843</t>
        </is>
      </c>
      <c r="D1156" t="inlineStr">
        <is>
          <t>111111124</t>
        </is>
      </c>
      <c r="E1156" t="inlineStr">
        <is>
          <t>Vodacom Life 20260617</t>
        </is>
      </c>
      <c r="G1156" t="inlineStr">
        <is>
          <t>WELCOME</t>
        </is>
      </c>
      <c r="H1156" t="inlineStr">
        <is>
          <t>NGCINGWANE</t>
        </is>
      </c>
      <c r="J1156" t="inlineStr">
        <is>
          <t>DROP</t>
        </is>
      </c>
      <c r="K1156" t="inlineStr">
        <is>
          <t>Dropped</t>
        </is>
      </c>
      <c r="L1156" t="n">
        <v>5</v>
      </c>
      <c r="M1156" t="inlineStr">
        <is>
          <t>2026-06-29 11:32:02</t>
        </is>
      </c>
      <c r="N1156" t="inlineStr">
        <is>
          <t>system</t>
        </is>
      </c>
      <c r="O1156" t="inlineStr">
        <is>
          <t>2026-06-17 14:10:06</t>
        </is>
      </c>
      <c r="P1156" t="inlineStr">
        <is>
          <t>2026-06-17 14:10:06</t>
        </is>
      </c>
      <c r="Y1156" t="inlineStr">
        <is>
          <t>27786226242</t>
        </is>
      </c>
    </row>
    <row r="1157">
      <c r="A1157" t="inlineStr">
        <is>
          <t>14920470</t>
        </is>
      </c>
      <c r="B1157" t="inlineStr">
        <is>
          <t>22ab34ee-32c6-4cb8-9fab-f16b184e5998</t>
        </is>
      </c>
      <c r="D1157" t="inlineStr">
        <is>
          <t>111111124</t>
        </is>
      </c>
      <c r="E1157" t="inlineStr">
        <is>
          <t>Vodacom Life 20260617</t>
        </is>
      </c>
      <c r="G1157" t="inlineStr">
        <is>
          <t>CLOE-RYSSA</t>
        </is>
      </c>
      <c r="H1157" t="inlineStr">
        <is>
          <t>MURUCAN</t>
        </is>
      </c>
      <c r="J1157" t="inlineStr">
        <is>
          <t>AA</t>
        </is>
      </c>
      <c r="K1157" t="inlineStr">
        <is>
          <t>Answering Machine Autodial</t>
        </is>
      </c>
      <c r="L1157" t="n">
        <v>5</v>
      </c>
      <c r="M1157" t="inlineStr">
        <is>
          <t>2026-06-29 11:32:02</t>
        </is>
      </c>
      <c r="N1157" t="inlineStr">
        <is>
          <t>system</t>
        </is>
      </c>
      <c r="O1157" t="inlineStr">
        <is>
          <t>2026-06-17 14:10:06</t>
        </is>
      </c>
      <c r="P1157" t="inlineStr">
        <is>
          <t>2026-06-17 14:10:06</t>
        </is>
      </c>
      <c r="Y1157" t="inlineStr">
        <is>
          <t>27824987322</t>
        </is>
      </c>
    </row>
    <row r="1158">
      <c r="A1158" t="inlineStr">
        <is>
          <t>14920466</t>
        </is>
      </c>
      <c r="B1158" t="inlineStr">
        <is>
          <t>bb454ca6-0e7e-45c6-a6fd-0f0d33671166</t>
        </is>
      </c>
      <c r="D1158" t="inlineStr">
        <is>
          <t>111111124</t>
        </is>
      </c>
      <c r="E1158" t="inlineStr">
        <is>
          <t>Vodacom Life 20260617</t>
        </is>
      </c>
      <c r="G1158" t="inlineStr">
        <is>
          <t>LEYVA</t>
        </is>
      </c>
      <c r="H1158" t="inlineStr">
        <is>
          <t>HERRERA</t>
        </is>
      </c>
      <c r="J1158" t="inlineStr">
        <is>
          <t>AE</t>
        </is>
      </c>
      <c r="K1158" t="inlineStr">
        <is>
          <t>Auto Engaged</t>
        </is>
      </c>
      <c r="L1158" t="n">
        <v>5</v>
      </c>
      <c r="M1158" t="inlineStr">
        <is>
          <t>2026-06-29 11:32:00</t>
        </is>
      </c>
      <c r="N1158" t="inlineStr">
        <is>
          <t>system</t>
        </is>
      </c>
      <c r="O1158" t="inlineStr">
        <is>
          <t>2026-06-17 14:10:06</t>
        </is>
      </c>
      <c r="P1158" t="inlineStr">
        <is>
          <t>2026-06-17 14:10:06</t>
        </is>
      </c>
      <c r="Y1158" t="inlineStr">
        <is>
          <t>27728692971</t>
        </is>
      </c>
    </row>
    <row r="1159">
      <c r="A1159" t="inlineStr">
        <is>
          <t>14920467</t>
        </is>
      </c>
      <c r="B1159" t="inlineStr">
        <is>
          <t>581f91a0-cc95-4dcc-885a-7aa2c24995db</t>
        </is>
      </c>
      <c r="D1159" t="inlineStr">
        <is>
          <t>111111124</t>
        </is>
      </c>
      <c r="E1159" t="inlineStr">
        <is>
          <t>Vodacom Life 20260617</t>
        </is>
      </c>
      <c r="G1159" t="inlineStr">
        <is>
          <t>LUKE</t>
        </is>
      </c>
      <c r="H1159" t="inlineStr">
        <is>
          <t>PIETERSE</t>
        </is>
      </c>
      <c r="J1159" t="inlineStr">
        <is>
          <t>AE</t>
        </is>
      </c>
      <c r="K1159" t="inlineStr">
        <is>
          <t>Auto Engaged</t>
        </is>
      </c>
      <c r="L1159" t="n">
        <v>5</v>
      </c>
      <c r="M1159" t="inlineStr">
        <is>
          <t>2026-06-29 11:32:00</t>
        </is>
      </c>
      <c r="N1159" t="inlineStr">
        <is>
          <t>system</t>
        </is>
      </c>
      <c r="O1159" t="inlineStr">
        <is>
          <t>2026-06-17 14:10:06</t>
        </is>
      </c>
      <c r="P1159" t="inlineStr">
        <is>
          <t>2026-06-17 14:10:06</t>
        </is>
      </c>
      <c r="Y1159" t="inlineStr">
        <is>
          <t>27836540637</t>
        </is>
      </c>
    </row>
    <row r="1160">
      <c r="A1160" t="inlineStr">
        <is>
          <t>14920468</t>
        </is>
      </c>
      <c r="B1160" t="inlineStr">
        <is>
          <t>12ed932e-490e-441a-a78c-d2c77fb51bc4</t>
        </is>
      </c>
      <c r="D1160" t="inlineStr">
        <is>
          <t>111111124</t>
        </is>
      </c>
      <c r="E1160" t="inlineStr">
        <is>
          <t>Vodacom Life 20260617</t>
        </is>
      </c>
      <c r="G1160" t="inlineStr">
        <is>
          <t>SCELO</t>
        </is>
      </c>
      <c r="H1160" t="inlineStr">
        <is>
          <t>KHUMALO</t>
        </is>
      </c>
      <c r="J1160" t="inlineStr">
        <is>
          <t>AA</t>
        </is>
      </c>
      <c r="K1160" t="inlineStr">
        <is>
          <t>Answering Machine Autodial</t>
        </is>
      </c>
      <c r="L1160" t="n">
        <v>5</v>
      </c>
      <c r="M1160" t="inlineStr">
        <is>
          <t>2026-06-29 11:32:00</t>
        </is>
      </c>
      <c r="N1160" t="inlineStr">
        <is>
          <t>system</t>
        </is>
      </c>
      <c r="O1160" t="inlineStr">
        <is>
          <t>2026-06-17 14:10:06</t>
        </is>
      </c>
      <c r="P1160" t="inlineStr">
        <is>
          <t>2026-06-17 14:10:06</t>
        </is>
      </c>
      <c r="Y1160" t="inlineStr">
        <is>
          <t>27765186373</t>
        </is>
      </c>
    </row>
    <row r="1161">
      <c r="A1161" t="inlineStr">
        <is>
          <t>14920465</t>
        </is>
      </c>
      <c r="B1161" t="inlineStr">
        <is>
          <t>cd9ec7cd-fc81-4210-b06b-13fa86b61087</t>
        </is>
      </c>
      <c r="D1161" t="inlineStr">
        <is>
          <t>111111124</t>
        </is>
      </c>
      <c r="E1161" t="inlineStr">
        <is>
          <t>Vodacom Life 20260617</t>
        </is>
      </c>
      <c r="G1161" t="inlineStr">
        <is>
          <t>MAFRANS</t>
        </is>
      </c>
      <c r="H1161" t="inlineStr">
        <is>
          <t>MAJALLE</t>
        </is>
      </c>
      <c r="J1161" t="inlineStr">
        <is>
          <t>AA</t>
        </is>
      </c>
      <c r="K1161" t="inlineStr">
        <is>
          <t>Answering Machine Autodial</t>
        </is>
      </c>
      <c r="L1161" t="n">
        <v>5</v>
      </c>
      <c r="M1161" t="inlineStr">
        <is>
          <t>2026-06-29 11:31:42</t>
        </is>
      </c>
      <c r="N1161" t="inlineStr">
        <is>
          <t>system</t>
        </is>
      </c>
      <c r="O1161" t="inlineStr">
        <is>
          <t>2026-06-17 14:10:06</t>
        </is>
      </c>
      <c r="P1161" t="inlineStr">
        <is>
          <t>2026-06-17 14:10:06</t>
        </is>
      </c>
      <c r="Y1161" t="inlineStr">
        <is>
          <t>27825695107</t>
        </is>
      </c>
    </row>
    <row r="1162">
      <c r="A1162" t="inlineStr">
        <is>
          <t>14920464</t>
        </is>
      </c>
      <c r="B1162" t="inlineStr">
        <is>
          <t>401b347b-a655-4ee7-8d18-5a3ce000f7bd</t>
        </is>
      </c>
      <c r="D1162" t="inlineStr">
        <is>
          <t>111111124</t>
        </is>
      </c>
      <c r="E1162" t="inlineStr">
        <is>
          <t>Vodacom Life 20260617</t>
        </is>
      </c>
      <c r="G1162" t="inlineStr">
        <is>
          <t>NKHANGWELENI</t>
        </is>
      </c>
      <c r="H1162" t="inlineStr">
        <is>
          <t>RAMAVHONA</t>
        </is>
      </c>
      <c r="J1162" t="inlineStr">
        <is>
          <t>AA</t>
        </is>
      </c>
      <c r="K1162" t="inlineStr">
        <is>
          <t>Answering Machine Autodial</t>
        </is>
      </c>
      <c r="L1162" t="n">
        <v>5</v>
      </c>
      <c r="M1162" t="inlineStr">
        <is>
          <t>2026-06-29 11:31:38</t>
        </is>
      </c>
      <c r="N1162" t="inlineStr">
        <is>
          <t>system</t>
        </is>
      </c>
      <c r="O1162" t="inlineStr">
        <is>
          <t>2026-06-17 14:10:06</t>
        </is>
      </c>
      <c r="P1162" t="inlineStr">
        <is>
          <t>2026-06-17 14:10:06</t>
        </is>
      </c>
      <c r="Y1162" t="inlineStr">
        <is>
          <t>27793892154</t>
        </is>
      </c>
    </row>
    <row r="1163">
      <c r="A1163" t="inlineStr">
        <is>
          <t>14920460</t>
        </is>
      </c>
      <c r="B1163" t="inlineStr">
        <is>
          <t>a8678439-0f3b-4d36-aab9-16cd54185020</t>
        </is>
      </c>
      <c r="D1163" t="inlineStr">
        <is>
          <t>111111124</t>
        </is>
      </c>
      <c r="E1163" t="inlineStr">
        <is>
          <t>Vodacom Life 20260617</t>
        </is>
      </c>
      <c r="G1163" t="inlineStr">
        <is>
          <t>LE</t>
        </is>
      </c>
      <c r="H1163" t="inlineStr">
        <is>
          <t>ROUX VAN SCHALKWYK</t>
        </is>
      </c>
      <c r="J1163" t="inlineStr">
        <is>
          <t>AA</t>
        </is>
      </c>
      <c r="K1163" t="inlineStr">
        <is>
          <t>Answering Machine Autodial</t>
        </is>
      </c>
      <c r="L1163" t="n">
        <v>5</v>
      </c>
      <c r="M1163" t="inlineStr">
        <is>
          <t>2026-06-29 11:31:37</t>
        </is>
      </c>
      <c r="N1163" t="inlineStr">
        <is>
          <t>system</t>
        </is>
      </c>
      <c r="O1163" t="inlineStr">
        <is>
          <t>2026-06-17 14:10:06</t>
        </is>
      </c>
      <c r="P1163" t="inlineStr">
        <is>
          <t>2026-06-17 14:10:06</t>
        </is>
      </c>
      <c r="Y1163" t="inlineStr">
        <is>
          <t>27662563484</t>
        </is>
      </c>
    </row>
    <row r="1164">
      <c r="A1164" t="inlineStr">
        <is>
          <t>14920461</t>
        </is>
      </c>
      <c r="B1164" t="inlineStr">
        <is>
          <t>ed033597-003e-454b-a8f1-65073c1a00ef</t>
        </is>
      </c>
      <c r="D1164" t="inlineStr">
        <is>
          <t>111111124</t>
        </is>
      </c>
      <c r="E1164" t="inlineStr">
        <is>
          <t>Vodacom Life 20260617</t>
        </is>
      </c>
      <c r="G1164" t="inlineStr">
        <is>
          <t>FUNZANANI</t>
        </is>
      </c>
      <c r="H1164" t="inlineStr">
        <is>
          <t>MUNYAI</t>
        </is>
      </c>
      <c r="J1164" t="inlineStr">
        <is>
          <t>NA</t>
        </is>
      </c>
      <c r="K1164" t="inlineStr">
        <is>
          <t>No Answer Autodial</t>
        </is>
      </c>
      <c r="L1164" t="n">
        <v>5</v>
      </c>
      <c r="M1164" t="inlineStr">
        <is>
          <t>2026-06-29 11:31:37</t>
        </is>
      </c>
      <c r="N1164" t="inlineStr">
        <is>
          <t>system</t>
        </is>
      </c>
      <c r="O1164" t="inlineStr">
        <is>
          <t>2026-06-17 14:10:06</t>
        </is>
      </c>
      <c r="P1164" t="inlineStr">
        <is>
          <t>2026-06-17 14:10:06</t>
        </is>
      </c>
      <c r="Y1164" t="inlineStr">
        <is>
          <t>27728067918</t>
        </is>
      </c>
    </row>
    <row r="1165">
      <c r="A1165" t="inlineStr">
        <is>
          <t>14920462</t>
        </is>
      </c>
      <c r="B1165" t="inlineStr">
        <is>
          <t>f76fd427-756b-48e7-88d6-45fd9be58cee</t>
        </is>
      </c>
      <c r="D1165" t="inlineStr">
        <is>
          <t>111111124</t>
        </is>
      </c>
      <c r="E1165" t="inlineStr">
        <is>
          <t>Vodacom Life 20260617</t>
        </is>
      </c>
      <c r="G1165" t="inlineStr">
        <is>
          <t>MMAMPAI</t>
        </is>
      </c>
      <c r="H1165" t="inlineStr">
        <is>
          <t>TSEKI</t>
        </is>
      </c>
      <c r="J1165" t="inlineStr">
        <is>
          <t>DROP</t>
        </is>
      </c>
      <c r="K1165" t="inlineStr">
        <is>
          <t>Dropped</t>
        </is>
      </c>
      <c r="L1165" t="n">
        <v>5</v>
      </c>
      <c r="M1165" t="inlineStr">
        <is>
          <t>2026-06-29 11:31:37</t>
        </is>
      </c>
      <c r="N1165" t="inlineStr">
        <is>
          <t>system</t>
        </is>
      </c>
      <c r="O1165" t="inlineStr">
        <is>
          <t>2026-06-17 14:10:06</t>
        </is>
      </c>
      <c r="P1165" t="inlineStr">
        <is>
          <t>2026-06-17 14:10:06</t>
        </is>
      </c>
      <c r="Y1165" t="inlineStr">
        <is>
          <t>27825207291</t>
        </is>
      </c>
    </row>
    <row r="1166">
      <c r="A1166" t="inlineStr">
        <is>
          <t>14920463</t>
        </is>
      </c>
      <c r="B1166" t="inlineStr">
        <is>
          <t>7eee022f-8dad-4c0e-b0e3-6d10977cdd32</t>
        </is>
      </c>
      <c r="D1166" t="inlineStr">
        <is>
          <t>111111124</t>
        </is>
      </c>
      <c r="E1166" t="inlineStr">
        <is>
          <t>Vodacom Life 20260617</t>
        </is>
      </c>
      <c r="G1166" t="inlineStr">
        <is>
          <t>KGABO</t>
        </is>
      </c>
      <c r="H1166" t="inlineStr">
        <is>
          <t>MOHLAKA</t>
        </is>
      </c>
      <c r="J1166" t="inlineStr">
        <is>
          <t>AA</t>
        </is>
      </c>
      <c r="K1166" t="inlineStr">
        <is>
          <t>Answering Machine Autodial</t>
        </is>
      </c>
      <c r="L1166" t="n">
        <v>5</v>
      </c>
      <c r="M1166" t="inlineStr">
        <is>
          <t>2026-06-29 11:31:37</t>
        </is>
      </c>
      <c r="N1166" t="inlineStr">
        <is>
          <t>system</t>
        </is>
      </c>
      <c r="O1166" t="inlineStr">
        <is>
          <t>2026-06-17 14:10:06</t>
        </is>
      </c>
      <c r="P1166" t="inlineStr">
        <is>
          <t>2026-06-17 14:10:06</t>
        </is>
      </c>
      <c r="Y1166" t="inlineStr">
        <is>
          <t>27662077887</t>
        </is>
      </c>
    </row>
    <row r="1167">
      <c r="A1167" t="inlineStr">
        <is>
          <t>14920459</t>
        </is>
      </c>
      <c r="B1167" t="inlineStr">
        <is>
          <t>d5e9073c-f83b-4d28-bdd5-a49153174c31</t>
        </is>
      </c>
      <c r="D1167" t="inlineStr">
        <is>
          <t>111111124</t>
        </is>
      </c>
      <c r="E1167" t="inlineStr">
        <is>
          <t>Vodacom Life 20260617</t>
        </is>
      </c>
      <c r="G1167" t="inlineStr">
        <is>
          <t>ANGELIQUE</t>
        </is>
      </c>
      <c r="H1167" t="inlineStr">
        <is>
          <t>CILLIERS</t>
        </is>
      </c>
      <c r="J1167" t="inlineStr">
        <is>
          <t>DROP</t>
        </is>
      </c>
      <c r="K1167" t="inlineStr">
        <is>
          <t>Dropped</t>
        </is>
      </c>
      <c r="L1167" t="n">
        <v>5</v>
      </c>
      <c r="M1167" t="inlineStr">
        <is>
          <t>2026-06-29 11:30:34</t>
        </is>
      </c>
      <c r="N1167" t="inlineStr">
        <is>
          <t>system</t>
        </is>
      </c>
      <c r="O1167" t="inlineStr">
        <is>
          <t>2026-06-17 14:10:06</t>
        </is>
      </c>
      <c r="P1167" t="inlineStr">
        <is>
          <t>2026-06-17 14:10:06</t>
        </is>
      </c>
      <c r="Y1167" t="inlineStr">
        <is>
          <t>27818754561</t>
        </is>
      </c>
    </row>
    <row r="1168">
      <c r="A1168" t="inlineStr">
        <is>
          <t>14920458</t>
        </is>
      </c>
      <c r="B1168" t="inlineStr">
        <is>
          <t>c7877e1c-6433-4ecd-bdc7-28726138f1c6</t>
        </is>
      </c>
      <c r="D1168" t="inlineStr">
        <is>
          <t>111111124</t>
        </is>
      </c>
      <c r="E1168" t="inlineStr">
        <is>
          <t>Vodacom Life 20260617</t>
        </is>
      </c>
      <c r="G1168" t="inlineStr">
        <is>
          <t>CARL</t>
        </is>
      </c>
      <c r="H1168" t="inlineStr">
        <is>
          <t>OPPELT</t>
        </is>
      </c>
      <c r="J1168" t="inlineStr">
        <is>
          <t>AA</t>
        </is>
      </c>
      <c r="K1168" t="inlineStr">
        <is>
          <t>Answering Machine Autodial</t>
        </is>
      </c>
      <c r="L1168" t="n">
        <v>5</v>
      </c>
      <c r="M1168" t="inlineStr">
        <is>
          <t>2026-06-29 11:30:27</t>
        </is>
      </c>
      <c r="N1168" t="inlineStr">
        <is>
          <t>system</t>
        </is>
      </c>
      <c r="O1168" t="inlineStr">
        <is>
          <t>2026-06-17 14:10:06</t>
        </is>
      </c>
      <c r="P1168" t="inlineStr">
        <is>
          <t>2026-06-17 14:10:06</t>
        </is>
      </c>
      <c r="Y1168" t="inlineStr">
        <is>
          <t>27734219914</t>
        </is>
      </c>
    </row>
    <row r="1169">
      <c r="A1169" t="inlineStr">
        <is>
          <t>14921005</t>
        </is>
      </c>
      <c r="B1169" t="inlineStr">
        <is>
          <t>cd88b1d0-2dd4-46d0-adbd-bd1837976248</t>
        </is>
      </c>
      <c r="D1169" t="inlineStr">
        <is>
          <t>111111124</t>
        </is>
      </c>
      <c r="E1169" t="inlineStr">
        <is>
          <t>Vodacom Life 20260617</t>
        </is>
      </c>
      <c r="G1169" t="inlineStr">
        <is>
          <t>MATTHYS</t>
        </is>
      </c>
      <c r="H1169" t="inlineStr">
        <is>
          <t>DEKKER</t>
        </is>
      </c>
      <c r="J1169" t="inlineStr">
        <is>
          <t>NIUP</t>
        </is>
      </c>
      <c r="K1169" t="inlineStr">
        <is>
          <t>Not Interested Upfront</t>
        </is>
      </c>
      <c r="L1169" t="n">
        <v>5</v>
      </c>
      <c r="M1169" t="inlineStr">
        <is>
          <t>2026-06-29 11:30:27</t>
        </is>
      </c>
      <c r="N1169" t="inlineStr">
        <is>
          <t>Vanessa Kekana</t>
        </is>
      </c>
      <c r="O1169" t="inlineStr">
        <is>
          <t>2026-06-17 14:10:06</t>
        </is>
      </c>
      <c r="P1169" t="inlineStr">
        <is>
          <t>2026-06-17 14:10:06</t>
        </is>
      </c>
      <c r="Y1169" t="inlineStr">
        <is>
          <t>27674083904</t>
        </is>
      </c>
    </row>
    <row r="1170">
      <c r="A1170" t="inlineStr">
        <is>
          <t>14921006</t>
        </is>
      </c>
      <c r="B1170" t="inlineStr">
        <is>
          <t>8112c43e-837f-4459-a92c-56645e9c58b5</t>
        </is>
      </c>
      <c r="D1170" t="inlineStr">
        <is>
          <t>111111124</t>
        </is>
      </c>
      <c r="E1170" t="inlineStr">
        <is>
          <t>Vodacom Life 20260617</t>
        </is>
      </c>
      <c r="G1170" t="inlineStr">
        <is>
          <t>SHALIN</t>
        </is>
      </c>
      <c r="H1170" t="inlineStr">
        <is>
          <t>GOVINDER</t>
        </is>
      </c>
      <c r="J1170" t="inlineStr">
        <is>
          <t>AE</t>
        </is>
      </c>
      <c r="K1170" t="inlineStr">
        <is>
          <t>Auto Engaged</t>
        </is>
      </c>
      <c r="L1170" t="n">
        <v>5</v>
      </c>
      <c r="M1170" t="inlineStr">
        <is>
          <t>2026-06-29 11:30:27</t>
        </is>
      </c>
      <c r="N1170" t="inlineStr">
        <is>
          <t>system</t>
        </is>
      </c>
      <c r="O1170" t="inlineStr">
        <is>
          <t>2026-06-17 14:10:06</t>
        </is>
      </c>
      <c r="P1170" t="inlineStr">
        <is>
          <t>2026-06-17 14:10:06</t>
        </is>
      </c>
      <c r="Y1170" t="inlineStr">
        <is>
          <t>27790732605</t>
        </is>
      </c>
    </row>
    <row r="1171">
      <c r="A1171" t="inlineStr">
        <is>
          <t>14921007</t>
        </is>
      </c>
      <c r="B1171" t="inlineStr">
        <is>
          <t>af28b69e-56d5-4b9b-b9b6-19b82812773b</t>
        </is>
      </c>
      <c r="D1171" t="inlineStr">
        <is>
          <t>111111124</t>
        </is>
      </c>
      <c r="E1171" t="inlineStr">
        <is>
          <t>Vodacom Life 20260617</t>
        </is>
      </c>
      <c r="G1171" t="inlineStr">
        <is>
          <t>CLAULISSA</t>
        </is>
      </c>
      <c r="H1171" t="inlineStr">
        <is>
          <t>DU PLESSIS</t>
        </is>
      </c>
      <c r="J1171" t="inlineStr">
        <is>
          <t>AA</t>
        </is>
      </c>
      <c r="K1171" t="inlineStr">
        <is>
          <t>Answering Machine Autodial</t>
        </is>
      </c>
      <c r="L1171" t="n">
        <v>5</v>
      </c>
      <c r="M1171" t="inlineStr">
        <is>
          <t>2026-06-29 11:30:27</t>
        </is>
      </c>
      <c r="N1171" t="inlineStr">
        <is>
          <t>system</t>
        </is>
      </c>
      <c r="O1171" t="inlineStr">
        <is>
          <t>2026-06-17 14:10:06</t>
        </is>
      </c>
      <c r="P1171" t="inlineStr">
        <is>
          <t>2026-06-17 14:10:06</t>
        </is>
      </c>
      <c r="Y1171" t="inlineStr">
        <is>
          <t>27711114843</t>
        </is>
      </c>
    </row>
    <row r="1172">
      <c r="A1172" t="inlineStr">
        <is>
          <t>14920529</t>
        </is>
      </c>
      <c r="B1172" t="inlineStr">
        <is>
          <t>b693df30-72a1-4771-8997-173ccc92bbc1</t>
        </is>
      </c>
      <c r="D1172" t="inlineStr">
        <is>
          <t>111111124</t>
        </is>
      </c>
      <c r="E1172" t="inlineStr">
        <is>
          <t>Vodacom Life 20260617</t>
        </is>
      </c>
      <c r="G1172" t="inlineStr">
        <is>
          <t>MANDLA</t>
        </is>
      </c>
      <c r="H1172" t="inlineStr">
        <is>
          <t>DUBE</t>
        </is>
      </c>
      <c r="J1172" t="inlineStr">
        <is>
          <t>AA</t>
        </is>
      </c>
      <c r="K1172" t="inlineStr">
        <is>
          <t>Answering Machine Autodial</t>
        </is>
      </c>
      <c r="L1172" t="n">
        <v>5</v>
      </c>
      <c r="M1172" t="inlineStr">
        <is>
          <t>2026-06-29 11:29:55</t>
        </is>
      </c>
      <c r="N1172" t="inlineStr">
        <is>
          <t>system</t>
        </is>
      </c>
      <c r="O1172" t="inlineStr">
        <is>
          <t>2026-06-17 14:10:06</t>
        </is>
      </c>
      <c r="P1172" t="inlineStr">
        <is>
          <t>2026-06-17 14:10:06</t>
        </is>
      </c>
      <c r="Y1172" t="inlineStr">
        <is>
          <t>27827787172</t>
        </is>
      </c>
    </row>
    <row r="1173">
      <c r="A1173" t="inlineStr">
        <is>
          <t>14920538</t>
        </is>
      </c>
      <c r="B1173" t="inlineStr">
        <is>
          <t>f1197ab0-baa5-4ebf-afdb-d2ad064dd1c9</t>
        </is>
      </c>
      <c r="D1173" t="inlineStr">
        <is>
          <t>111111124</t>
        </is>
      </c>
      <c r="E1173" t="inlineStr">
        <is>
          <t>Vodacom Life 20260617</t>
        </is>
      </c>
      <c r="G1173" t="inlineStr">
        <is>
          <t>HENDRIKA</t>
        </is>
      </c>
      <c r="H1173" t="inlineStr">
        <is>
          <t>HOLTZHAUSEN</t>
        </is>
      </c>
      <c r="J1173" t="inlineStr">
        <is>
          <t>DROP</t>
        </is>
      </c>
      <c r="K1173" t="inlineStr">
        <is>
          <t>Dropped</t>
        </is>
      </c>
      <c r="L1173" t="n">
        <v>5</v>
      </c>
      <c r="M1173" t="inlineStr">
        <is>
          <t>2026-06-29 11:29:50</t>
        </is>
      </c>
      <c r="N1173" t="inlineStr">
        <is>
          <t>system</t>
        </is>
      </c>
      <c r="O1173" t="inlineStr">
        <is>
          <t>2026-06-17 14:10:06</t>
        </is>
      </c>
      <c r="P1173" t="inlineStr">
        <is>
          <t>2026-06-17 14:10:06</t>
        </is>
      </c>
      <c r="Y1173" t="inlineStr">
        <is>
          <t>27825202077</t>
        </is>
      </c>
    </row>
    <row r="1174">
      <c r="A1174" t="inlineStr">
        <is>
          <t>14920539</t>
        </is>
      </c>
      <c r="B1174" t="inlineStr">
        <is>
          <t>c0134449-776c-4044-87f5-324bf819ac75</t>
        </is>
      </c>
      <c r="D1174" t="inlineStr">
        <is>
          <t>111111124</t>
        </is>
      </c>
      <c r="E1174" t="inlineStr">
        <is>
          <t>Vodacom Life 20260617</t>
        </is>
      </c>
      <c r="G1174" t="inlineStr">
        <is>
          <t>MPHO</t>
        </is>
      </c>
      <c r="H1174" t="inlineStr">
        <is>
          <t>SEBOKA</t>
        </is>
      </c>
      <c r="J1174" t="inlineStr">
        <is>
          <t>AE</t>
        </is>
      </c>
      <c r="K1174" t="inlineStr">
        <is>
          <t>Auto Engaged</t>
        </is>
      </c>
      <c r="L1174" t="n">
        <v>5</v>
      </c>
      <c r="M1174" t="inlineStr">
        <is>
          <t>2026-06-29 11:29:49</t>
        </is>
      </c>
      <c r="N1174" t="inlineStr">
        <is>
          <t>system</t>
        </is>
      </c>
      <c r="O1174" t="inlineStr">
        <is>
          <t>2026-06-17 14:10:06</t>
        </is>
      </c>
      <c r="P1174" t="inlineStr">
        <is>
          <t>2026-06-17 14:10:06</t>
        </is>
      </c>
      <c r="Y1174" t="inlineStr">
        <is>
          <t>27606667182</t>
        </is>
      </c>
    </row>
    <row r="1175">
      <c r="A1175" t="inlineStr">
        <is>
          <t>14920540</t>
        </is>
      </c>
      <c r="B1175" t="inlineStr">
        <is>
          <t>93966668-0f38-41d3-b178-caa1d1d7f2ae</t>
        </is>
      </c>
      <c r="D1175" t="inlineStr">
        <is>
          <t>111111124</t>
        </is>
      </c>
      <c r="E1175" t="inlineStr">
        <is>
          <t>Vodacom Life 20260617</t>
        </is>
      </c>
      <c r="G1175" t="inlineStr">
        <is>
          <t>JOLENE</t>
        </is>
      </c>
      <c r="H1175" t="inlineStr">
        <is>
          <t>WILLIAMS</t>
        </is>
      </c>
      <c r="J1175" t="inlineStr">
        <is>
          <t>AA</t>
        </is>
      </c>
      <c r="K1175" t="inlineStr">
        <is>
          <t>Answering Machine Autodial</t>
        </is>
      </c>
      <c r="L1175" t="n">
        <v>5</v>
      </c>
      <c r="M1175" t="inlineStr">
        <is>
          <t>2026-06-29 11:29:49</t>
        </is>
      </c>
      <c r="N1175" t="inlineStr">
        <is>
          <t>system</t>
        </is>
      </c>
      <c r="O1175" t="inlineStr">
        <is>
          <t>2026-06-17 14:10:06</t>
        </is>
      </c>
      <c r="P1175" t="inlineStr">
        <is>
          <t>2026-06-17 14:10:06</t>
        </is>
      </c>
      <c r="Y1175" t="inlineStr">
        <is>
          <t>27662544750</t>
        </is>
      </c>
    </row>
    <row r="1176">
      <c r="A1176" t="inlineStr">
        <is>
          <t>14920541</t>
        </is>
      </c>
      <c r="B1176" t="inlineStr">
        <is>
          <t>52699561-bb9f-492d-a5ac-4f481b536174</t>
        </is>
      </c>
      <c r="D1176" t="inlineStr">
        <is>
          <t>111111124</t>
        </is>
      </c>
      <c r="E1176" t="inlineStr">
        <is>
          <t>Vodacom Life 20260617</t>
        </is>
      </c>
      <c r="G1176" t="inlineStr">
        <is>
          <t>ANDRE</t>
        </is>
      </c>
      <c r="H1176" t="inlineStr">
        <is>
          <t>KRITZINGER</t>
        </is>
      </c>
      <c r="J1176" t="inlineStr">
        <is>
          <t>A</t>
        </is>
      </c>
      <c r="K1176" t="inlineStr">
        <is>
          <t>Answering Machine</t>
        </is>
      </c>
      <c r="L1176" t="n">
        <v>5</v>
      </c>
      <c r="M1176" t="inlineStr">
        <is>
          <t>2026-06-29 11:29:32</t>
        </is>
      </c>
      <c r="N1176" t="inlineStr">
        <is>
          <t>Vanessa Kekana</t>
        </is>
      </c>
      <c r="O1176" t="inlineStr">
        <is>
          <t>2026-06-17 14:10:06</t>
        </is>
      </c>
      <c r="P1176" t="inlineStr">
        <is>
          <t>2026-06-17 14:10:06</t>
        </is>
      </c>
      <c r="Y1176" t="inlineStr">
        <is>
          <t>27798789787</t>
        </is>
      </c>
    </row>
    <row r="1177">
      <c r="A1177" t="inlineStr">
        <is>
          <t>14920542</t>
        </is>
      </c>
      <c r="B1177" t="inlineStr">
        <is>
          <t>907dc7cc-754d-4fd2-890d-2c983f5ac274</t>
        </is>
      </c>
      <c r="D1177" t="inlineStr">
        <is>
          <t>111111124</t>
        </is>
      </c>
      <c r="E1177" t="inlineStr">
        <is>
          <t>Vodacom Life 20260617</t>
        </is>
      </c>
      <c r="G1177" t="inlineStr">
        <is>
          <t>WAYNE</t>
        </is>
      </c>
      <c r="H1177" t="inlineStr">
        <is>
          <t>BOTHA</t>
        </is>
      </c>
      <c r="J1177" t="inlineStr">
        <is>
          <t>AE</t>
        </is>
      </c>
      <c r="K1177" t="inlineStr">
        <is>
          <t>Auto Engaged</t>
        </is>
      </c>
      <c r="L1177" t="n">
        <v>5</v>
      </c>
      <c r="M1177" t="inlineStr">
        <is>
          <t>2026-06-29 11:29:30</t>
        </is>
      </c>
      <c r="N1177" t="inlineStr">
        <is>
          <t>system</t>
        </is>
      </c>
      <c r="O1177" t="inlineStr">
        <is>
          <t>2026-06-17 14:10:06</t>
        </is>
      </c>
      <c r="P1177" t="inlineStr">
        <is>
          <t>2026-06-17 14:10:06</t>
        </is>
      </c>
      <c r="Y1177" t="inlineStr">
        <is>
          <t>27828585009</t>
        </is>
      </c>
    </row>
    <row r="1178">
      <c r="A1178" t="inlineStr">
        <is>
          <t>14920543</t>
        </is>
      </c>
      <c r="B1178" t="inlineStr">
        <is>
          <t>4bd6cd9a-2547-4fd2-af2a-4e9d35d46e1f</t>
        </is>
      </c>
      <c r="D1178" t="inlineStr">
        <is>
          <t>111111124</t>
        </is>
      </c>
      <c r="E1178" t="inlineStr">
        <is>
          <t>Vodacom Life 20260617</t>
        </is>
      </c>
      <c r="G1178" t="inlineStr">
        <is>
          <t>NICHOLAS</t>
        </is>
      </c>
      <c r="H1178" t="inlineStr">
        <is>
          <t>BECK</t>
        </is>
      </c>
      <c r="J1178" t="inlineStr">
        <is>
          <t>AE</t>
        </is>
      </c>
      <c r="K1178" t="inlineStr">
        <is>
          <t>Auto Engaged</t>
        </is>
      </c>
      <c r="L1178" t="n">
        <v>5</v>
      </c>
      <c r="M1178" t="inlineStr">
        <is>
          <t>2026-06-29 11:29:27</t>
        </is>
      </c>
      <c r="N1178" t="inlineStr">
        <is>
          <t>system</t>
        </is>
      </c>
      <c r="O1178" t="inlineStr">
        <is>
          <t>2026-06-17 14:10:06</t>
        </is>
      </c>
      <c r="P1178" t="inlineStr">
        <is>
          <t>2026-06-17 14:10:06</t>
        </is>
      </c>
      <c r="Y1178" t="inlineStr">
        <is>
          <t>27674002433</t>
        </is>
      </c>
    </row>
    <row r="1179">
      <c r="A1179" t="inlineStr">
        <is>
          <t>14920544</t>
        </is>
      </c>
      <c r="B1179" t="inlineStr">
        <is>
          <t>d60855ba-e356-400c-992b-3516dc82bfc2</t>
        </is>
      </c>
      <c r="D1179" t="inlineStr">
        <is>
          <t>111111124</t>
        </is>
      </c>
      <c r="E1179" t="inlineStr">
        <is>
          <t>Vodacom Life 20260617</t>
        </is>
      </c>
      <c r="G1179" t="inlineStr">
        <is>
          <t>KHOLOFELO</t>
        </is>
      </c>
      <c r="H1179" t="inlineStr">
        <is>
          <t>RAMUSH</t>
        </is>
      </c>
      <c r="J1179" t="inlineStr">
        <is>
          <t>DROP</t>
        </is>
      </c>
      <c r="K1179" t="inlineStr">
        <is>
          <t>Dropped</t>
        </is>
      </c>
      <c r="L1179" t="n">
        <v>5</v>
      </c>
      <c r="M1179" t="inlineStr">
        <is>
          <t>2026-06-29 11:29:27</t>
        </is>
      </c>
      <c r="N1179" t="inlineStr">
        <is>
          <t>system</t>
        </is>
      </c>
      <c r="O1179" t="inlineStr">
        <is>
          <t>2026-06-17 14:10:06</t>
        </is>
      </c>
      <c r="P1179" t="inlineStr">
        <is>
          <t>2026-06-17 14:10:06</t>
        </is>
      </c>
      <c r="Y1179" t="inlineStr">
        <is>
          <t>27713858877</t>
        </is>
      </c>
    </row>
    <row r="1180">
      <c r="A1180" t="inlineStr">
        <is>
          <t>14920545</t>
        </is>
      </c>
      <c r="B1180" t="inlineStr">
        <is>
          <t>5341e007-60b0-4533-8aaa-0392bb0e17b8</t>
        </is>
      </c>
      <c r="D1180" t="inlineStr">
        <is>
          <t>111111124</t>
        </is>
      </c>
      <c r="E1180" t="inlineStr">
        <is>
          <t>Vodacom Life 20260617</t>
        </is>
      </c>
      <c r="G1180" t="inlineStr">
        <is>
          <t>MAGDELENE</t>
        </is>
      </c>
      <c r="H1180" t="inlineStr">
        <is>
          <t>VAN HEERDEN</t>
        </is>
      </c>
      <c r="J1180" t="inlineStr">
        <is>
          <t>CU</t>
        </is>
      </c>
      <c r="K1180" t="inlineStr">
        <is>
          <t>Client Hung Up</t>
        </is>
      </c>
      <c r="L1180" t="n">
        <v>5</v>
      </c>
      <c r="M1180" t="inlineStr">
        <is>
          <t>2026-06-29 11:29:27</t>
        </is>
      </c>
      <c r="N1180" t="inlineStr">
        <is>
          <t>Vanessa Kekana</t>
        </is>
      </c>
      <c r="O1180" t="inlineStr">
        <is>
          <t>2026-06-17 14:10:06</t>
        </is>
      </c>
      <c r="P1180" t="inlineStr">
        <is>
          <t>2026-06-17 14:10:06</t>
        </is>
      </c>
      <c r="Y1180" t="inlineStr">
        <is>
          <t>27828636466</t>
        </is>
      </c>
    </row>
    <row r="1181">
      <c r="A1181" t="inlineStr">
        <is>
          <t>14920547</t>
        </is>
      </c>
      <c r="B1181" t="inlineStr">
        <is>
          <t>6a0f0665-f69d-409e-9e72-fb147b89c7bb</t>
        </is>
      </c>
      <c r="D1181" t="inlineStr">
        <is>
          <t>111111124</t>
        </is>
      </c>
      <c r="E1181" t="inlineStr">
        <is>
          <t>Vodacom Life 20260617</t>
        </is>
      </c>
      <c r="G1181" t="inlineStr">
        <is>
          <t>BATHABILE</t>
        </is>
      </c>
      <c r="H1181" t="inlineStr">
        <is>
          <t>JIYANA</t>
        </is>
      </c>
      <c r="J1181" t="inlineStr">
        <is>
          <t>AA</t>
        </is>
      </c>
      <c r="K1181" t="inlineStr">
        <is>
          <t>Answering Machine Autodial</t>
        </is>
      </c>
      <c r="L1181" t="n">
        <v>5</v>
      </c>
      <c r="M1181" t="inlineStr">
        <is>
          <t>2026-06-29 11:29:27</t>
        </is>
      </c>
      <c r="N1181" t="inlineStr">
        <is>
          <t>system</t>
        </is>
      </c>
      <c r="O1181" t="inlineStr">
        <is>
          <t>2026-06-17 14:10:06</t>
        </is>
      </c>
      <c r="P1181" t="inlineStr">
        <is>
          <t>2026-06-17 14:10:06</t>
        </is>
      </c>
      <c r="Y1181" t="inlineStr">
        <is>
          <t>27716819623</t>
        </is>
      </c>
    </row>
    <row r="1182">
      <c r="A1182" t="inlineStr">
        <is>
          <t>14920548</t>
        </is>
      </c>
      <c r="B1182" t="inlineStr">
        <is>
          <t>c52468fd-1412-43aa-8246-93b57a92cdba</t>
        </is>
      </c>
      <c r="D1182" t="inlineStr">
        <is>
          <t>111111124</t>
        </is>
      </c>
      <c r="E1182" t="inlineStr">
        <is>
          <t>Vodacom Life 20260617</t>
        </is>
      </c>
      <c r="G1182" t="inlineStr">
        <is>
          <t>BONGUMUSA</t>
        </is>
      </c>
      <c r="H1182" t="inlineStr">
        <is>
          <t>MAJOZI</t>
        </is>
      </c>
      <c r="J1182" t="inlineStr">
        <is>
          <t>NA</t>
        </is>
      </c>
      <c r="K1182" t="inlineStr">
        <is>
          <t>No Answer Autodial</t>
        </is>
      </c>
      <c r="L1182" t="n">
        <v>5</v>
      </c>
      <c r="M1182" t="inlineStr">
        <is>
          <t>2026-06-29 11:29:27</t>
        </is>
      </c>
      <c r="N1182" t="inlineStr">
        <is>
          <t>system</t>
        </is>
      </c>
      <c r="O1182" t="inlineStr">
        <is>
          <t>2026-06-17 14:10:06</t>
        </is>
      </c>
      <c r="P1182" t="inlineStr">
        <is>
          <t>2026-06-17 14:10:06</t>
        </is>
      </c>
      <c r="Y1182" t="inlineStr">
        <is>
          <t>27715340354</t>
        </is>
      </c>
    </row>
    <row r="1183">
      <c r="A1183" t="inlineStr">
        <is>
          <t>14920530</t>
        </is>
      </c>
      <c r="B1183" t="inlineStr">
        <is>
          <t>73c0b974-2675-482d-a69c-17881ca21d48</t>
        </is>
      </c>
      <c r="D1183" t="inlineStr">
        <is>
          <t>111111124</t>
        </is>
      </c>
      <c r="E1183" t="inlineStr">
        <is>
          <t>Vodacom Life 20260617</t>
        </is>
      </c>
      <c r="G1183" t="inlineStr">
        <is>
          <t>NKOSINGIPHILE</t>
        </is>
      </c>
      <c r="H1183" t="inlineStr">
        <is>
          <t>NKOSI</t>
        </is>
      </c>
      <c r="J1183" t="inlineStr">
        <is>
          <t>CBACK</t>
        </is>
      </c>
      <c r="K1183" t="inlineStr">
        <is>
          <t>Callback</t>
        </is>
      </c>
      <c r="L1183" t="n">
        <v>5</v>
      </c>
      <c r="M1183" t="inlineStr">
        <is>
          <t>2026-06-29 11:26:21</t>
        </is>
      </c>
      <c r="N1183" t="inlineStr">
        <is>
          <t>Vanessa Kekana</t>
        </is>
      </c>
      <c r="O1183" t="inlineStr">
        <is>
          <t>2026-06-17 14:10:06</t>
        </is>
      </c>
      <c r="P1183" t="inlineStr">
        <is>
          <t>2026-06-17 14:10:06</t>
        </is>
      </c>
      <c r="Y1183" t="inlineStr">
        <is>
          <t>27716407398</t>
        </is>
      </c>
    </row>
    <row r="1184">
      <c r="A1184" t="inlineStr">
        <is>
          <t>14920534</t>
        </is>
      </c>
      <c r="B1184" t="inlineStr">
        <is>
          <t>502b7190-b97d-4579-b6da-75bdf690652e</t>
        </is>
      </c>
      <c r="D1184" t="inlineStr">
        <is>
          <t>111111124</t>
        </is>
      </c>
      <c r="E1184" t="inlineStr">
        <is>
          <t>Vodacom Life 20260617</t>
        </is>
      </c>
      <c r="G1184" t="inlineStr">
        <is>
          <t>LEON</t>
        </is>
      </c>
      <c r="H1184" t="inlineStr">
        <is>
          <t>VAN DYK</t>
        </is>
      </c>
      <c r="J1184" t="inlineStr">
        <is>
          <t>AA</t>
        </is>
      </c>
      <c r="K1184" t="inlineStr">
        <is>
          <t>Answering Machine Autodial</t>
        </is>
      </c>
      <c r="L1184" t="n">
        <v>5</v>
      </c>
      <c r="M1184" t="inlineStr">
        <is>
          <t>2026-06-29 11:26:21</t>
        </is>
      </c>
      <c r="N1184" t="inlineStr">
        <is>
          <t>system</t>
        </is>
      </c>
      <c r="O1184" t="inlineStr">
        <is>
          <t>2026-06-17 14:10:06</t>
        </is>
      </c>
      <c r="P1184" t="inlineStr">
        <is>
          <t>2026-06-17 14:10:06</t>
        </is>
      </c>
      <c r="Y1184" t="inlineStr">
        <is>
          <t>27724304760</t>
        </is>
      </c>
    </row>
    <row r="1185">
      <c r="A1185" t="inlineStr">
        <is>
          <t>14920535</t>
        </is>
      </c>
      <c r="B1185" t="inlineStr">
        <is>
          <t>98985b8e-1b79-42a0-9be5-390dd03f84cb</t>
        </is>
      </c>
      <c r="D1185" t="inlineStr">
        <is>
          <t>111111124</t>
        </is>
      </c>
      <c r="E1185" t="inlineStr">
        <is>
          <t>Vodacom Life 20260617</t>
        </is>
      </c>
      <c r="G1185" t="inlineStr">
        <is>
          <t>ELISE</t>
        </is>
      </c>
      <c r="H1185" t="inlineStr">
        <is>
          <t>VILJOEN</t>
        </is>
      </c>
      <c r="J1185" t="inlineStr">
        <is>
          <t>ADC</t>
        </is>
      </c>
      <c r="K1185" t="inlineStr">
        <is>
          <t>Auto Dial Disconnected</t>
        </is>
      </c>
      <c r="L1185" t="n">
        <v>5</v>
      </c>
      <c r="M1185" t="inlineStr">
        <is>
          <t>2026-06-29 11:26:20</t>
        </is>
      </c>
      <c r="N1185" t="inlineStr">
        <is>
          <t>system</t>
        </is>
      </c>
      <c r="O1185" t="inlineStr">
        <is>
          <t>2026-06-17 14:10:06</t>
        </is>
      </c>
      <c r="P1185" t="inlineStr">
        <is>
          <t>2026-06-17 14:10:06</t>
        </is>
      </c>
      <c r="Y1185" t="inlineStr">
        <is>
          <t>27637769952</t>
        </is>
      </c>
    </row>
    <row r="1186">
      <c r="A1186" t="inlineStr">
        <is>
          <t>14920536</t>
        </is>
      </c>
      <c r="B1186" t="inlineStr">
        <is>
          <t>c42522e0-8bc2-40f7-bab7-090d804f1a4f</t>
        </is>
      </c>
      <c r="D1186" t="inlineStr">
        <is>
          <t>111111124</t>
        </is>
      </c>
      <c r="E1186" t="inlineStr">
        <is>
          <t>Vodacom Life 20260617</t>
        </is>
      </c>
      <c r="G1186" t="inlineStr">
        <is>
          <t>BRIDGETTE</t>
        </is>
      </c>
      <c r="H1186" t="inlineStr">
        <is>
          <t>RADEBE</t>
        </is>
      </c>
      <c r="J1186" t="inlineStr">
        <is>
          <t>AA</t>
        </is>
      </c>
      <c r="K1186" t="inlineStr">
        <is>
          <t>Answering Machine Autodial</t>
        </is>
      </c>
      <c r="L1186" t="n">
        <v>5</v>
      </c>
      <c r="M1186" t="inlineStr">
        <is>
          <t>2026-06-29 11:26:20</t>
        </is>
      </c>
      <c r="N1186" t="inlineStr">
        <is>
          <t>system</t>
        </is>
      </c>
      <c r="O1186" t="inlineStr">
        <is>
          <t>2026-06-17 14:10:06</t>
        </is>
      </c>
      <c r="P1186" t="inlineStr">
        <is>
          <t>2026-06-17 14:10:06</t>
        </is>
      </c>
      <c r="Y1186" t="inlineStr">
        <is>
          <t>27828382123</t>
        </is>
      </c>
    </row>
    <row r="1187">
      <c r="A1187" t="inlineStr">
        <is>
          <t>14920537</t>
        </is>
      </c>
      <c r="B1187" t="inlineStr">
        <is>
          <t>de85edb6-3428-4d32-b965-57321dfaf49d</t>
        </is>
      </c>
      <c r="D1187" t="inlineStr">
        <is>
          <t>111111124</t>
        </is>
      </c>
      <c r="E1187" t="inlineStr">
        <is>
          <t>Vodacom Life 20260617</t>
        </is>
      </c>
      <c r="G1187" t="inlineStr">
        <is>
          <t>BONGINKOSI</t>
        </is>
      </c>
      <c r="H1187" t="inlineStr">
        <is>
          <t>BUTHELEZI</t>
        </is>
      </c>
      <c r="J1187" t="inlineStr">
        <is>
          <t>NA</t>
        </is>
      </c>
      <c r="K1187" t="inlineStr">
        <is>
          <t>No Answer Autodial</t>
        </is>
      </c>
      <c r="L1187" t="n">
        <v>5</v>
      </c>
      <c r="M1187" t="inlineStr">
        <is>
          <t>2026-06-29 11:26:20</t>
        </is>
      </c>
      <c r="N1187" t="inlineStr">
        <is>
          <t>system</t>
        </is>
      </c>
      <c r="O1187" t="inlineStr">
        <is>
          <t>2026-06-17 14:10:06</t>
        </is>
      </c>
      <c r="P1187" t="inlineStr">
        <is>
          <t>2026-06-17 14:10:06</t>
        </is>
      </c>
      <c r="Y1187" t="inlineStr">
        <is>
          <t>27765578824</t>
        </is>
      </c>
    </row>
    <row r="1188">
      <c r="A1188" t="inlineStr">
        <is>
          <t>14920531</t>
        </is>
      </c>
      <c r="B1188" t="inlineStr">
        <is>
          <t>5d86d37e-bc05-4c5a-a95c-182b29e13a78</t>
        </is>
      </c>
      <c r="D1188" t="inlineStr">
        <is>
          <t>111111124</t>
        </is>
      </c>
      <c r="E1188" t="inlineStr">
        <is>
          <t>Vodacom Life 20260617</t>
        </is>
      </c>
      <c r="G1188" t="inlineStr">
        <is>
          <t>LAURETTE</t>
        </is>
      </c>
      <c r="H1188" t="inlineStr">
        <is>
          <t>SOUTER</t>
        </is>
      </c>
      <c r="J1188" t="inlineStr">
        <is>
          <t>DROP</t>
        </is>
      </c>
      <c r="K1188" t="inlineStr">
        <is>
          <t>Dropped</t>
        </is>
      </c>
      <c r="L1188" t="n">
        <v>5</v>
      </c>
      <c r="M1188" t="inlineStr">
        <is>
          <t>2026-06-29 11:23:21</t>
        </is>
      </c>
      <c r="N1188" t="inlineStr">
        <is>
          <t>system</t>
        </is>
      </c>
      <c r="O1188" t="inlineStr">
        <is>
          <t>2026-06-17 14:10:06</t>
        </is>
      </c>
      <c r="P1188" t="inlineStr">
        <is>
          <t>2026-06-17 14:10:06</t>
        </is>
      </c>
      <c r="Y1188" t="inlineStr">
        <is>
          <t>27741415778</t>
        </is>
      </c>
    </row>
    <row r="1189">
      <c r="A1189" t="inlineStr">
        <is>
          <t>14920532</t>
        </is>
      </c>
      <c r="B1189" t="inlineStr">
        <is>
          <t>7398b6a1-954f-419d-af27-df3be2fbf9a3</t>
        </is>
      </c>
      <c r="D1189" t="inlineStr">
        <is>
          <t>111111124</t>
        </is>
      </c>
      <c r="E1189" t="inlineStr">
        <is>
          <t>Vodacom Life 20260617</t>
        </is>
      </c>
      <c r="G1189" t="inlineStr">
        <is>
          <t>WILLEM</t>
        </is>
      </c>
      <c r="H1189" t="inlineStr">
        <is>
          <t>MARAIS</t>
        </is>
      </c>
      <c r="J1189" t="inlineStr">
        <is>
          <t>DROP</t>
        </is>
      </c>
      <c r="K1189" t="inlineStr">
        <is>
          <t>Dropped</t>
        </is>
      </c>
      <c r="L1189" t="n">
        <v>5</v>
      </c>
      <c r="M1189" t="inlineStr">
        <is>
          <t>2026-06-29 11:23:18</t>
        </is>
      </c>
      <c r="N1189" t="inlineStr">
        <is>
          <t>system</t>
        </is>
      </c>
      <c r="O1189" t="inlineStr">
        <is>
          <t>2026-06-17 14:10:06</t>
        </is>
      </c>
      <c r="P1189" t="inlineStr">
        <is>
          <t>2026-06-17 14:10:06</t>
        </is>
      </c>
      <c r="Y1189" t="inlineStr">
        <is>
          <t>27662539428</t>
        </is>
      </c>
    </row>
    <row r="1190">
      <c r="A1190" t="inlineStr">
        <is>
          <t>14920524</t>
        </is>
      </c>
      <c r="B1190" t="inlineStr">
        <is>
          <t>0d4691ad-239d-45f6-9459-2fb2b823f58f</t>
        </is>
      </c>
      <c r="D1190" t="inlineStr">
        <is>
          <t>111111124</t>
        </is>
      </c>
      <c r="E1190" t="inlineStr">
        <is>
          <t>Vodacom Life 20260617</t>
        </is>
      </c>
      <c r="G1190" t="inlineStr">
        <is>
          <t>MLUNGISI</t>
        </is>
      </c>
      <c r="H1190" t="inlineStr">
        <is>
          <t>DZANIBE</t>
        </is>
      </c>
      <c r="J1190" t="inlineStr">
        <is>
          <t>NA</t>
        </is>
      </c>
      <c r="K1190" t="inlineStr">
        <is>
          <t>No Answer Autodial</t>
        </is>
      </c>
      <c r="L1190" t="n">
        <v>5</v>
      </c>
      <c r="M1190" t="inlineStr">
        <is>
          <t>2026-06-29 11:22:39</t>
        </is>
      </c>
      <c r="N1190" t="inlineStr">
        <is>
          <t>system</t>
        </is>
      </c>
      <c r="O1190" t="inlineStr">
        <is>
          <t>2026-06-17 14:10:06</t>
        </is>
      </c>
      <c r="P1190" t="inlineStr">
        <is>
          <t>2026-06-17 14:10:06</t>
        </is>
      </c>
      <c r="Y1190" t="inlineStr">
        <is>
          <t>27829015814</t>
        </is>
      </c>
    </row>
    <row r="1191">
      <c r="A1191" t="inlineStr">
        <is>
          <t>14920525</t>
        </is>
      </c>
      <c r="B1191" t="inlineStr">
        <is>
          <t>9c2a74e9-cb07-494c-8898-a2e8399fc815</t>
        </is>
      </c>
      <c r="D1191" t="inlineStr">
        <is>
          <t>111111124</t>
        </is>
      </c>
      <c r="E1191" t="inlineStr">
        <is>
          <t>Vodacom Life 20260617</t>
        </is>
      </c>
      <c r="G1191" t="inlineStr">
        <is>
          <t>JAKOBUS</t>
        </is>
      </c>
      <c r="H1191" t="inlineStr">
        <is>
          <t>MYBURGH</t>
        </is>
      </c>
      <c r="J1191" t="inlineStr">
        <is>
          <t>ADC</t>
        </is>
      </c>
      <c r="K1191" t="inlineStr">
        <is>
          <t>Auto Dial Disconnected</t>
        </is>
      </c>
      <c r="L1191" t="n">
        <v>5</v>
      </c>
      <c r="M1191" t="inlineStr">
        <is>
          <t>2026-06-29 11:22:37</t>
        </is>
      </c>
      <c r="N1191" t="inlineStr">
        <is>
          <t>system</t>
        </is>
      </c>
      <c r="O1191" t="inlineStr">
        <is>
          <t>2026-06-17 14:10:06</t>
        </is>
      </c>
      <c r="P1191" t="inlineStr">
        <is>
          <t>2026-06-17 14:10:06</t>
        </is>
      </c>
      <c r="Y1191" t="inlineStr">
        <is>
          <t>27797739957</t>
        </is>
      </c>
    </row>
    <row r="1192">
      <c r="A1192" t="inlineStr">
        <is>
          <t>14920526</t>
        </is>
      </c>
      <c r="B1192" t="inlineStr">
        <is>
          <t>aa085fb8-147e-4e81-b9ed-dd7c93618ffc</t>
        </is>
      </c>
      <c r="D1192" t="inlineStr">
        <is>
          <t>111111124</t>
        </is>
      </c>
      <c r="E1192" t="inlineStr">
        <is>
          <t>Vodacom Life 20260617</t>
        </is>
      </c>
      <c r="G1192" t="inlineStr">
        <is>
          <t>LILLY</t>
        </is>
      </c>
      <c r="H1192" t="inlineStr">
        <is>
          <t>JULIE</t>
        </is>
      </c>
      <c r="J1192" t="inlineStr">
        <is>
          <t>AE</t>
        </is>
      </c>
      <c r="K1192" t="inlineStr">
        <is>
          <t>Auto Engaged</t>
        </is>
      </c>
      <c r="L1192" t="n">
        <v>5</v>
      </c>
      <c r="M1192" t="inlineStr">
        <is>
          <t>2026-06-29 11:22:34</t>
        </is>
      </c>
      <c r="N1192" t="inlineStr">
        <is>
          <t>system</t>
        </is>
      </c>
      <c r="O1192" t="inlineStr">
        <is>
          <t>2026-06-17 14:10:06</t>
        </is>
      </c>
      <c r="P1192" t="inlineStr">
        <is>
          <t>2026-06-17 14:10:06</t>
        </is>
      </c>
      <c r="Y1192" t="inlineStr">
        <is>
          <t>27793614710</t>
        </is>
      </c>
    </row>
    <row r="1193">
      <c r="A1193" t="inlineStr">
        <is>
          <t>14920490</t>
        </is>
      </c>
      <c r="B1193" t="inlineStr">
        <is>
          <t>63e9fe33-c4cf-4524-ad51-3bcdf2e6d416</t>
        </is>
      </c>
      <c r="D1193" t="inlineStr">
        <is>
          <t>111111124</t>
        </is>
      </c>
      <c r="E1193" t="inlineStr">
        <is>
          <t>Vodacom Life 20260617</t>
        </is>
      </c>
      <c r="G1193" t="inlineStr">
        <is>
          <t>GERHARD</t>
        </is>
      </c>
      <c r="H1193" t="inlineStr">
        <is>
          <t>POTGIETER</t>
        </is>
      </c>
      <c r="J1193" t="inlineStr">
        <is>
          <t>DROP</t>
        </is>
      </c>
      <c r="K1193" t="inlineStr">
        <is>
          <t>Dropped</t>
        </is>
      </c>
      <c r="L1193" t="n">
        <v>5</v>
      </c>
      <c r="M1193" t="inlineStr">
        <is>
          <t>2026-06-29 11:21:57</t>
        </is>
      </c>
      <c r="N1193" t="inlineStr">
        <is>
          <t>system</t>
        </is>
      </c>
      <c r="O1193" t="inlineStr">
        <is>
          <t>2026-06-17 14:10:06</t>
        </is>
      </c>
      <c r="P1193" t="inlineStr">
        <is>
          <t>2026-06-17 14:10:06</t>
        </is>
      </c>
      <c r="Y1193" t="inlineStr">
        <is>
          <t>27723905893</t>
        </is>
      </c>
    </row>
    <row r="1194">
      <c r="A1194" t="inlineStr">
        <is>
          <t>14920491</t>
        </is>
      </c>
      <c r="B1194" t="inlineStr">
        <is>
          <t>aaa019f5-2bd8-4079-926e-359436706222</t>
        </is>
      </c>
      <c r="D1194" t="inlineStr">
        <is>
          <t>111111124</t>
        </is>
      </c>
      <c r="E1194" t="inlineStr">
        <is>
          <t>Vodacom Life 20260617</t>
        </is>
      </c>
      <c r="G1194" t="inlineStr">
        <is>
          <t>LEONI</t>
        </is>
      </c>
      <c r="H1194" t="inlineStr">
        <is>
          <t>SONNEBERG</t>
        </is>
      </c>
      <c r="J1194" t="inlineStr">
        <is>
          <t>NA</t>
        </is>
      </c>
      <c r="K1194" t="inlineStr">
        <is>
          <t>No Answer Autodial</t>
        </is>
      </c>
      <c r="L1194" t="n">
        <v>5</v>
      </c>
      <c r="M1194" t="inlineStr">
        <is>
          <t>2026-06-29 11:21:55</t>
        </is>
      </c>
      <c r="N1194" t="inlineStr">
        <is>
          <t>system</t>
        </is>
      </c>
      <c r="O1194" t="inlineStr">
        <is>
          <t>2026-06-17 14:10:06</t>
        </is>
      </c>
      <c r="P1194" t="inlineStr">
        <is>
          <t>2026-06-17 14:10:06</t>
        </is>
      </c>
      <c r="Y1194" t="inlineStr">
        <is>
          <t>27798287868</t>
        </is>
      </c>
    </row>
    <row r="1195">
      <c r="A1195" t="inlineStr">
        <is>
          <t>14920492</t>
        </is>
      </c>
      <c r="B1195" t="inlineStr">
        <is>
          <t>6665ab61-0b5f-4a76-9281-f5722875e5d9</t>
        </is>
      </c>
      <c r="D1195" t="inlineStr">
        <is>
          <t>111111124</t>
        </is>
      </c>
      <c r="E1195" t="inlineStr">
        <is>
          <t>Vodacom Life 20260617</t>
        </is>
      </c>
      <c r="G1195" t="inlineStr">
        <is>
          <t>LEONE</t>
        </is>
      </c>
      <c r="H1195" t="inlineStr">
        <is>
          <t>BREETZKE</t>
        </is>
      </c>
      <c r="J1195" t="inlineStr">
        <is>
          <t>NA</t>
        </is>
      </c>
      <c r="K1195" t="inlineStr">
        <is>
          <t>No Answer Autodial</t>
        </is>
      </c>
      <c r="L1195" t="n">
        <v>5</v>
      </c>
      <c r="M1195" t="inlineStr">
        <is>
          <t>2026-06-29 11:21:55</t>
        </is>
      </c>
      <c r="N1195" t="inlineStr">
        <is>
          <t>system</t>
        </is>
      </c>
      <c r="O1195" t="inlineStr">
        <is>
          <t>2026-06-17 14:10:06</t>
        </is>
      </c>
      <c r="P1195" t="inlineStr">
        <is>
          <t>2026-06-17 14:10:06</t>
        </is>
      </c>
      <c r="Y1195" t="inlineStr">
        <is>
          <t>27796646899</t>
        </is>
      </c>
    </row>
    <row r="1196">
      <c r="A1196" t="inlineStr">
        <is>
          <t>14920493</t>
        </is>
      </c>
      <c r="B1196" t="inlineStr">
        <is>
          <t>3c2cfcb0-6666-4955-a06a-baca50c11afb</t>
        </is>
      </c>
      <c r="D1196" t="inlineStr">
        <is>
          <t>111111124</t>
        </is>
      </c>
      <c r="E1196" t="inlineStr">
        <is>
          <t>Vodacom Life 20260617</t>
        </is>
      </c>
      <c r="G1196" t="inlineStr">
        <is>
          <t>THOMAS</t>
        </is>
      </c>
      <c r="H1196" t="inlineStr">
        <is>
          <t>JACOBS</t>
        </is>
      </c>
      <c r="J1196" t="inlineStr">
        <is>
          <t>AE</t>
        </is>
      </c>
      <c r="K1196" t="inlineStr">
        <is>
          <t>Auto Engaged</t>
        </is>
      </c>
      <c r="L1196" t="n">
        <v>5</v>
      </c>
      <c r="M1196" t="inlineStr">
        <is>
          <t>2026-06-29 11:21:55</t>
        </is>
      </c>
      <c r="N1196" t="inlineStr">
        <is>
          <t>system</t>
        </is>
      </c>
      <c r="O1196" t="inlineStr">
        <is>
          <t>2026-06-17 14:10:06</t>
        </is>
      </c>
      <c r="P1196" t="inlineStr">
        <is>
          <t>2026-06-17 14:10:06</t>
        </is>
      </c>
      <c r="Y1196" t="inlineStr">
        <is>
          <t>27795035419</t>
        </is>
      </c>
    </row>
    <row r="1197">
      <c r="A1197" t="inlineStr">
        <is>
          <t>14920494</t>
        </is>
      </c>
      <c r="B1197" t="inlineStr">
        <is>
          <t>d28e5de0-b4f9-49c2-91cc-9d75cdae5673</t>
        </is>
      </c>
      <c r="D1197" t="inlineStr">
        <is>
          <t>111111124</t>
        </is>
      </c>
      <c r="E1197" t="inlineStr">
        <is>
          <t>Vodacom Life 20260617</t>
        </is>
      </c>
      <c r="G1197" t="inlineStr">
        <is>
          <t>DEAN</t>
        </is>
      </c>
      <c r="H1197" t="inlineStr">
        <is>
          <t>SWANEPOEL</t>
        </is>
      </c>
      <c r="J1197" t="inlineStr">
        <is>
          <t>AA</t>
        </is>
      </c>
      <c r="K1197" t="inlineStr">
        <is>
          <t>Answering Machine Autodial</t>
        </is>
      </c>
      <c r="L1197" t="n">
        <v>5</v>
      </c>
      <c r="M1197" t="inlineStr">
        <is>
          <t>2026-06-29 11:21:55</t>
        </is>
      </c>
      <c r="N1197" t="inlineStr">
        <is>
          <t>system</t>
        </is>
      </c>
      <c r="O1197" t="inlineStr">
        <is>
          <t>2026-06-17 14:10:06</t>
        </is>
      </c>
      <c r="P1197" t="inlineStr">
        <is>
          <t>2026-06-17 14:10:06</t>
        </is>
      </c>
      <c r="Y1197" t="inlineStr">
        <is>
          <t>27825517072</t>
        </is>
      </c>
    </row>
    <row r="1198">
      <c r="A1198" t="inlineStr">
        <is>
          <t>14900000</t>
        </is>
      </c>
      <c r="B1198" t="inlineStr">
        <is>
          <t>e3439bcc-1163-4f94-89ea-1419522bca15</t>
        </is>
      </c>
      <c r="D1198" t="inlineStr">
        <is>
          <t>111111124</t>
        </is>
      </c>
      <c r="E1198" t="inlineStr">
        <is>
          <t>Vodacom Life 20260617</t>
        </is>
      </c>
      <c r="G1198" t="inlineStr">
        <is>
          <t>DOBENDREN</t>
        </is>
      </c>
      <c r="H1198" t="inlineStr">
        <is>
          <t>GOVENDER</t>
        </is>
      </c>
      <c r="J1198" t="inlineStr">
        <is>
          <t>NA</t>
        </is>
      </c>
      <c r="K1198" t="inlineStr">
        <is>
          <t>No Answer Autodial</t>
        </is>
      </c>
      <c r="L1198" t="n">
        <v>5</v>
      </c>
      <c r="M1198" t="inlineStr">
        <is>
          <t>2026-06-29 11:21:52</t>
        </is>
      </c>
      <c r="N1198" t="inlineStr">
        <is>
          <t>system</t>
        </is>
      </c>
      <c r="O1198" t="inlineStr">
        <is>
          <t>2026-06-17 14:10:06</t>
        </is>
      </c>
      <c r="P1198" t="inlineStr">
        <is>
          <t>2026-06-17 14:10:06</t>
        </is>
      </c>
      <c r="Y1198" t="inlineStr">
        <is>
          <t>27790188087</t>
        </is>
      </c>
    </row>
    <row r="1199">
      <c r="A1199" t="inlineStr">
        <is>
          <t>14920496</t>
        </is>
      </c>
      <c r="B1199" t="inlineStr">
        <is>
          <t>2e072a94-d898-456b-a975-ce139a5a3c0a</t>
        </is>
      </c>
      <c r="D1199" t="inlineStr">
        <is>
          <t>111111124</t>
        </is>
      </c>
      <c r="E1199" t="inlineStr">
        <is>
          <t>Vodacom Life 20260617</t>
        </is>
      </c>
      <c r="G1199" t="inlineStr">
        <is>
          <t>NOMAPASIKA</t>
        </is>
      </c>
      <c r="H1199" t="inlineStr">
        <is>
          <t>VATSHA</t>
        </is>
      </c>
      <c r="J1199" t="inlineStr">
        <is>
          <t>DROP</t>
        </is>
      </c>
      <c r="K1199" t="inlineStr">
        <is>
          <t>Dropped</t>
        </is>
      </c>
      <c r="L1199" t="n">
        <v>5</v>
      </c>
      <c r="M1199" t="inlineStr">
        <is>
          <t>2026-06-29 11:21:50</t>
        </is>
      </c>
      <c r="N1199" t="inlineStr">
        <is>
          <t>system</t>
        </is>
      </c>
      <c r="O1199" t="inlineStr">
        <is>
          <t>2026-06-17 14:10:06</t>
        </is>
      </c>
      <c r="P1199" t="inlineStr">
        <is>
          <t>2026-06-17 14:10:06</t>
        </is>
      </c>
      <c r="Y1199" t="inlineStr">
        <is>
          <t>27664693591</t>
        </is>
      </c>
    </row>
    <row r="1200">
      <c r="A1200" t="inlineStr">
        <is>
          <t>14920498</t>
        </is>
      </c>
      <c r="B1200" t="inlineStr">
        <is>
          <t>a7ef7a8e-6329-4d63-9cf4-9a27ee454065</t>
        </is>
      </c>
      <c r="D1200" t="inlineStr">
        <is>
          <t>111111124</t>
        </is>
      </c>
      <c r="E1200" t="inlineStr">
        <is>
          <t>Vodacom Life 20260617</t>
        </is>
      </c>
      <c r="G1200" t="inlineStr">
        <is>
          <t>MANDLA</t>
        </is>
      </c>
      <c r="H1200" t="inlineStr">
        <is>
          <t>SKHOSANA</t>
        </is>
      </c>
      <c r="J1200" t="inlineStr">
        <is>
          <t>NA</t>
        </is>
      </c>
      <c r="K1200" t="inlineStr">
        <is>
          <t>No Answer Autodial</t>
        </is>
      </c>
      <c r="L1200" t="n">
        <v>5</v>
      </c>
      <c r="M1200" t="inlineStr">
        <is>
          <t>2026-06-29 11:21:47</t>
        </is>
      </c>
      <c r="N1200" t="inlineStr">
        <is>
          <t>system</t>
        </is>
      </c>
      <c r="O1200" t="inlineStr">
        <is>
          <t>2026-06-17 14:10:06</t>
        </is>
      </c>
      <c r="P1200" t="inlineStr">
        <is>
          <t>2026-06-17 14:10:06</t>
        </is>
      </c>
      <c r="Y1200" t="inlineStr">
        <is>
          <t>27747319460</t>
        </is>
      </c>
    </row>
    <row r="1201">
      <c r="A1201" t="inlineStr">
        <is>
          <t>14920499</t>
        </is>
      </c>
      <c r="B1201" t="inlineStr">
        <is>
          <t>0f82c6e2-3afc-4213-94db-283d7927fdbf</t>
        </is>
      </c>
      <c r="D1201" t="inlineStr">
        <is>
          <t>111111124</t>
        </is>
      </c>
      <c r="E1201" t="inlineStr">
        <is>
          <t>Vodacom Life 20260617</t>
        </is>
      </c>
      <c r="G1201" t="inlineStr">
        <is>
          <t>THENJIWE</t>
        </is>
      </c>
      <c r="H1201" t="inlineStr">
        <is>
          <t>JAMA</t>
        </is>
      </c>
      <c r="J1201" t="inlineStr">
        <is>
          <t>CU</t>
        </is>
      </c>
      <c r="K1201" t="inlineStr">
        <is>
          <t>Client Hung Up</t>
        </is>
      </c>
      <c r="L1201" t="n">
        <v>5</v>
      </c>
      <c r="M1201" t="inlineStr">
        <is>
          <t>2026-06-29 11:21:47</t>
        </is>
      </c>
      <c r="N1201" t="inlineStr">
        <is>
          <t>Vanessa Kekana</t>
        </is>
      </c>
      <c r="O1201" t="inlineStr">
        <is>
          <t>2026-06-17 14:10:06</t>
        </is>
      </c>
      <c r="P1201" t="inlineStr">
        <is>
          <t>2026-06-17 14:10:06</t>
        </is>
      </c>
      <c r="Y1201" t="inlineStr">
        <is>
          <t>27713809878</t>
        </is>
      </c>
    </row>
    <row r="1202">
      <c r="A1202" t="inlineStr">
        <is>
          <t>14920501</t>
        </is>
      </c>
      <c r="B1202" t="inlineStr">
        <is>
          <t>f29a16f7-cdc7-414f-9bcb-5faac903f22c</t>
        </is>
      </c>
      <c r="D1202" t="inlineStr">
        <is>
          <t>111111124</t>
        </is>
      </c>
      <c r="E1202" t="inlineStr">
        <is>
          <t>Vodacom Life 20260617</t>
        </is>
      </c>
      <c r="G1202" t="inlineStr">
        <is>
          <t>BURGERT</t>
        </is>
      </c>
      <c r="H1202" t="inlineStr">
        <is>
          <t>ETSEBETH</t>
        </is>
      </c>
      <c r="J1202" t="inlineStr">
        <is>
          <t>AE</t>
        </is>
      </c>
      <c r="K1202" t="inlineStr">
        <is>
          <t>Auto Engaged</t>
        </is>
      </c>
      <c r="L1202" t="n">
        <v>5</v>
      </c>
      <c r="M1202" t="inlineStr">
        <is>
          <t>2026-06-29 11:21:47</t>
        </is>
      </c>
      <c r="N1202" t="inlineStr">
        <is>
          <t>system</t>
        </is>
      </c>
      <c r="O1202" t="inlineStr">
        <is>
          <t>2026-06-17 14:10:06</t>
        </is>
      </c>
      <c r="P1202" t="inlineStr">
        <is>
          <t>2026-06-17 14:10:06</t>
        </is>
      </c>
      <c r="Y1202" t="inlineStr">
        <is>
          <t>27792573088</t>
        </is>
      </c>
    </row>
    <row r="1203">
      <c r="A1203" t="inlineStr">
        <is>
          <t>14920502</t>
        </is>
      </c>
      <c r="B1203" t="inlineStr">
        <is>
          <t>27570bd7-90b0-4909-860b-e3d54270bdeb</t>
        </is>
      </c>
      <c r="D1203" t="inlineStr">
        <is>
          <t>111111124</t>
        </is>
      </c>
      <c r="E1203" t="inlineStr">
        <is>
          <t>Vodacom Life 20260617</t>
        </is>
      </c>
      <c r="G1203" t="inlineStr">
        <is>
          <t>MANDLENKOSI</t>
        </is>
      </c>
      <c r="H1203" t="inlineStr">
        <is>
          <t>NDUKULA</t>
        </is>
      </c>
      <c r="J1203" t="inlineStr">
        <is>
          <t>AE</t>
        </is>
      </c>
      <c r="K1203" t="inlineStr">
        <is>
          <t>Auto Engaged</t>
        </is>
      </c>
      <c r="L1203" t="n">
        <v>5</v>
      </c>
      <c r="M1203" t="inlineStr">
        <is>
          <t>2026-06-29 11:21:47</t>
        </is>
      </c>
      <c r="N1203" t="inlineStr">
        <is>
          <t>system</t>
        </is>
      </c>
      <c r="O1203" t="inlineStr">
        <is>
          <t>2026-06-17 14:10:06</t>
        </is>
      </c>
      <c r="P1203" t="inlineStr">
        <is>
          <t>2026-06-17 14:10:06</t>
        </is>
      </c>
      <c r="Y1203" t="inlineStr">
        <is>
          <t>27716409722</t>
        </is>
      </c>
    </row>
    <row r="1204">
      <c r="A1204" t="inlineStr">
        <is>
          <t>14920481</t>
        </is>
      </c>
      <c r="B1204" t="inlineStr">
        <is>
          <t>c27a9eb7-40b1-4cf7-9ad2-5ed56440043d</t>
        </is>
      </c>
      <c r="D1204" t="inlineStr">
        <is>
          <t>111111124</t>
        </is>
      </c>
      <c r="E1204" t="inlineStr">
        <is>
          <t>Vodacom Life 20260617</t>
        </is>
      </c>
      <c r="G1204" t="inlineStr">
        <is>
          <t>DAVID</t>
        </is>
      </c>
      <c r="H1204" t="inlineStr">
        <is>
          <t>SHARPE</t>
        </is>
      </c>
      <c r="J1204" t="inlineStr">
        <is>
          <t>AE</t>
        </is>
      </c>
      <c r="K1204" t="inlineStr">
        <is>
          <t>Auto Engaged</t>
        </is>
      </c>
      <c r="L1204" t="n">
        <v>5</v>
      </c>
      <c r="M1204" t="inlineStr">
        <is>
          <t>2026-06-29 11:21:09</t>
        </is>
      </c>
      <c r="N1204" t="inlineStr">
        <is>
          <t>system</t>
        </is>
      </c>
      <c r="O1204" t="inlineStr">
        <is>
          <t>2026-06-17 14:10:06</t>
        </is>
      </c>
      <c r="P1204" t="inlineStr">
        <is>
          <t>2026-06-17 14:10:06</t>
        </is>
      </c>
      <c r="Y1204" t="inlineStr">
        <is>
          <t>27794928981</t>
        </is>
      </c>
    </row>
    <row r="1205">
      <c r="A1205" t="inlineStr">
        <is>
          <t>14920482</t>
        </is>
      </c>
      <c r="B1205" t="inlineStr">
        <is>
          <t>4bb79943-c612-49f2-9f95-9d338df3772c</t>
        </is>
      </c>
      <c r="D1205" t="inlineStr">
        <is>
          <t>111111124</t>
        </is>
      </c>
      <c r="E1205" t="inlineStr">
        <is>
          <t>Vodacom Life 20260617</t>
        </is>
      </c>
      <c r="G1205" t="inlineStr">
        <is>
          <t>PRUDENCE</t>
        </is>
      </c>
      <c r="H1205" t="inlineStr">
        <is>
          <t>MABITSELA</t>
        </is>
      </c>
      <c r="J1205" t="inlineStr">
        <is>
          <t>AA</t>
        </is>
      </c>
      <c r="K1205" t="inlineStr">
        <is>
          <t>Answering Machine Autodial</t>
        </is>
      </c>
      <c r="L1205" t="n">
        <v>5</v>
      </c>
      <c r="M1205" t="inlineStr">
        <is>
          <t>2026-06-29 11:21:07</t>
        </is>
      </c>
      <c r="N1205" t="inlineStr">
        <is>
          <t>system</t>
        </is>
      </c>
      <c r="O1205" t="inlineStr">
        <is>
          <t>2026-06-17 14:10:06</t>
        </is>
      </c>
      <c r="P1205" t="inlineStr">
        <is>
          <t>2026-06-17 14:10:06</t>
        </is>
      </c>
      <c r="Y1205" t="inlineStr">
        <is>
          <t>27720751453</t>
        </is>
      </c>
    </row>
    <row r="1206">
      <c r="A1206" t="inlineStr">
        <is>
          <t>14920483</t>
        </is>
      </c>
      <c r="B1206" t="inlineStr">
        <is>
          <t>e45f1a5a-27c6-466b-b38a-28a6d0ff1201</t>
        </is>
      </c>
      <c r="D1206" t="inlineStr">
        <is>
          <t>111111124</t>
        </is>
      </c>
      <c r="E1206" t="inlineStr">
        <is>
          <t>Vodacom Life 20260617</t>
        </is>
      </c>
      <c r="G1206" t="inlineStr">
        <is>
          <t>DEVIN</t>
        </is>
      </c>
      <c r="H1206" t="inlineStr">
        <is>
          <t>BRUCE</t>
        </is>
      </c>
      <c r="J1206" t="inlineStr">
        <is>
          <t>AE</t>
        </is>
      </c>
      <c r="K1206" t="inlineStr">
        <is>
          <t>Auto Engaged</t>
        </is>
      </c>
      <c r="L1206" t="n">
        <v>5</v>
      </c>
      <c r="M1206" t="inlineStr">
        <is>
          <t>2026-06-29 11:21:05</t>
        </is>
      </c>
      <c r="N1206" t="inlineStr">
        <is>
          <t>system</t>
        </is>
      </c>
      <c r="O1206" t="inlineStr">
        <is>
          <t>2026-06-17 14:10:06</t>
        </is>
      </c>
      <c r="P1206" t="inlineStr">
        <is>
          <t>2026-06-17 14:10:06</t>
        </is>
      </c>
      <c r="Y1206" t="inlineStr">
        <is>
          <t>27662446539</t>
        </is>
      </c>
    </row>
    <row r="1207">
      <c r="A1207" t="inlineStr">
        <is>
          <t>14920484</t>
        </is>
      </c>
      <c r="B1207" t="inlineStr">
        <is>
          <t>dadfec34-ab50-4f72-9544-947972ca468f</t>
        </is>
      </c>
      <c r="D1207" t="inlineStr">
        <is>
          <t>111111124</t>
        </is>
      </c>
      <c r="E1207" t="inlineStr">
        <is>
          <t>Vodacom Life 20260617</t>
        </is>
      </c>
      <c r="G1207" t="inlineStr">
        <is>
          <t>VOICE</t>
        </is>
      </c>
      <c r="H1207" t="inlineStr">
        <is>
          <t>KGOPANE</t>
        </is>
      </c>
      <c r="J1207" t="inlineStr">
        <is>
          <t>DROP</t>
        </is>
      </c>
      <c r="K1207" t="inlineStr">
        <is>
          <t>Dropped</t>
        </is>
      </c>
      <c r="L1207" t="n">
        <v>5</v>
      </c>
      <c r="M1207" t="inlineStr">
        <is>
          <t>2026-06-29 11:21:05</t>
        </is>
      </c>
      <c r="N1207" t="inlineStr">
        <is>
          <t>system</t>
        </is>
      </c>
      <c r="O1207" t="inlineStr">
        <is>
          <t>2026-06-17 14:10:06</t>
        </is>
      </c>
      <c r="P1207" t="inlineStr">
        <is>
          <t>2026-06-17 14:10:06</t>
        </is>
      </c>
      <c r="Y1207" t="inlineStr">
        <is>
          <t>27794751450</t>
        </is>
      </c>
    </row>
    <row r="1208">
      <c r="A1208" t="inlineStr">
        <is>
          <t>14920485</t>
        </is>
      </c>
      <c r="B1208" t="inlineStr">
        <is>
          <t>4d58f6f5-4aa0-42a6-9e9e-630708482877</t>
        </is>
      </c>
      <c r="D1208" t="inlineStr">
        <is>
          <t>111111124</t>
        </is>
      </c>
      <c r="E1208" t="inlineStr">
        <is>
          <t>Vodacom Life 20260617</t>
        </is>
      </c>
      <c r="G1208" t="inlineStr">
        <is>
          <t>THULANI</t>
        </is>
      </c>
      <c r="H1208" t="inlineStr">
        <is>
          <t>NYAWO</t>
        </is>
      </c>
      <c r="J1208" t="inlineStr">
        <is>
          <t>NA</t>
        </is>
      </c>
      <c r="K1208" t="inlineStr">
        <is>
          <t>No Answer Autodial</t>
        </is>
      </c>
      <c r="L1208" t="n">
        <v>5</v>
      </c>
      <c r="M1208" t="inlineStr">
        <is>
          <t>2026-06-29 11:21:05</t>
        </is>
      </c>
      <c r="N1208" t="inlineStr">
        <is>
          <t>system</t>
        </is>
      </c>
      <c r="O1208" t="inlineStr">
        <is>
          <t>2026-06-17 14:10:06</t>
        </is>
      </c>
      <c r="P1208" t="inlineStr">
        <is>
          <t>2026-06-17 14:10:06</t>
        </is>
      </c>
      <c r="Y1208" t="inlineStr">
        <is>
          <t>27607644018</t>
        </is>
      </c>
    </row>
    <row r="1209">
      <c r="A1209" t="inlineStr">
        <is>
          <t>14920488</t>
        </is>
      </c>
      <c r="B1209" t="inlineStr">
        <is>
          <t>f6064c19-a54f-4362-be44-5d42e8966c94</t>
        </is>
      </c>
      <c r="D1209" t="inlineStr">
        <is>
          <t>111111124</t>
        </is>
      </c>
      <c r="E1209" t="inlineStr">
        <is>
          <t>Vodacom Life 20260617</t>
        </is>
      </c>
      <c r="G1209" t="inlineStr">
        <is>
          <t>NOLUVUYO</t>
        </is>
      </c>
      <c r="H1209" t="inlineStr">
        <is>
          <t>NTSANGANI</t>
        </is>
      </c>
      <c r="J1209" t="inlineStr">
        <is>
          <t>AA</t>
        </is>
      </c>
      <c r="K1209" t="inlineStr">
        <is>
          <t>Answering Machine Autodial</t>
        </is>
      </c>
      <c r="L1209" t="n">
        <v>5</v>
      </c>
      <c r="M1209" t="inlineStr">
        <is>
          <t>2026-06-29 11:21:05</t>
        </is>
      </c>
      <c r="N1209" t="inlineStr">
        <is>
          <t>system</t>
        </is>
      </c>
      <c r="O1209" t="inlineStr">
        <is>
          <t>2026-06-17 14:10:06</t>
        </is>
      </c>
      <c r="P1209" t="inlineStr">
        <is>
          <t>2026-06-17 14:10:06</t>
        </is>
      </c>
      <c r="Y1209" t="inlineStr">
        <is>
          <t>27724396555</t>
        </is>
      </c>
    </row>
    <row r="1210">
      <c r="A1210" t="inlineStr">
        <is>
          <t>14921479</t>
        </is>
      </c>
      <c r="B1210" t="inlineStr">
        <is>
          <t>7655ecd3-d8df-4260-92ed-2722a0b273a6</t>
        </is>
      </c>
      <c r="D1210" t="inlineStr">
        <is>
          <t>111111124</t>
        </is>
      </c>
      <c r="E1210" t="inlineStr">
        <is>
          <t>Vodacom Life 20260617</t>
        </is>
      </c>
      <c r="G1210" t="inlineStr">
        <is>
          <t>WILLEM</t>
        </is>
      </c>
      <c r="H1210" t="inlineStr">
        <is>
          <t>ROSSOUW</t>
        </is>
      </c>
      <c r="J1210" t="inlineStr">
        <is>
          <t>AA</t>
        </is>
      </c>
      <c r="K1210" t="inlineStr">
        <is>
          <t>Answering Machine Autodial</t>
        </is>
      </c>
      <c r="L1210" t="n">
        <v>5</v>
      </c>
      <c r="M1210" t="inlineStr">
        <is>
          <t>2026-06-29 11:19:47</t>
        </is>
      </c>
      <c r="N1210" t="inlineStr">
        <is>
          <t>system</t>
        </is>
      </c>
      <c r="O1210" t="inlineStr">
        <is>
          <t>2026-06-17 14:10:06</t>
        </is>
      </c>
      <c r="P1210" t="inlineStr">
        <is>
          <t>2026-06-17 14:10:06</t>
        </is>
      </c>
      <c r="Y1210" t="inlineStr">
        <is>
          <t>27836791627</t>
        </is>
      </c>
    </row>
    <row r="1211">
      <c r="A1211" t="inlineStr">
        <is>
          <t>14921481</t>
        </is>
      </c>
      <c r="B1211" t="inlineStr">
        <is>
          <t>9f6673f0-54b8-40f5-b83f-6d891f42d767</t>
        </is>
      </c>
      <c r="D1211" t="inlineStr">
        <is>
          <t>111111124</t>
        </is>
      </c>
      <c r="E1211" t="inlineStr">
        <is>
          <t>Vodacom Life 20260617</t>
        </is>
      </c>
      <c r="G1211" t="inlineStr">
        <is>
          <t>ZWELIBANZI</t>
        </is>
      </c>
      <c r="H1211" t="inlineStr">
        <is>
          <t>NTULI</t>
        </is>
      </c>
      <c r="J1211" t="inlineStr">
        <is>
          <t>AE</t>
        </is>
      </c>
      <c r="K1211" t="inlineStr">
        <is>
          <t>Auto Engaged</t>
        </is>
      </c>
      <c r="L1211" t="n">
        <v>5</v>
      </c>
      <c r="M1211" t="inlineStr">
        <is>
          <t>2026-06-29 11:19:45</t>
        </is>
      </c>
      <c r="N1211" t="inlineStr">
        <is>
          <t>system</t>
        </is>
      </c>
      <c r="O1211" t="inlineStr">
        <is>
          <t>2026-06-17 14:10:06</t>
        </is>
      </c>
      <c r="P1211" t="inlineStr">
        <is>
          <t>2026-06-17 14:10:06</t>
        </is>
      </c>
      <c r="Y1211" t="inlineStr">
        <is>
          <t>27763188069</t>
        </is>
      </c>
    </row>
    <row r="1212">
      <c r="A1212" t="inlineStr">
        <is>
          <t>14921482</t>
        </is>
      </c>
      <c r="B1212" t="inlineStr">
        <is>
          <t>7743e9d2-5ba7-40e6-98b9-e12fcfa3a09e</t>
        </is>
      </c>
      <c r="D1212" t="inlineStr">
        <is>
          <t>111111124</t>
        </is>
      </c>
      <c r="E1212" t="inlineStr">
        <is>
          <t>Vodacom Life 20260617</t>
        </is>
      </c>
      <c r="G1212" t="inlineStr">
        <is>
          <t>SIYANGA</t>
        </is>
      </c>
      <c r="H1212" t="inlineStr">
        <is>
          <t>MALUMO</t>
        </is>
      </c>
      <c r="J1212" t="inlineStr">
        <is>
          <t>AA</t>
        </is>
      </c>
      <c r="K1212" t="inlineStr">
        <is>
          <t>Answering Machine Autodial</t>
        </is>
      </c>
      <c r="L1212" t="n">
        <v>5</v>
      </c>
      <c r="M1212" t="inlineStr">
        <is>
          <t>2026-06-29 11:19:40</t>
        </is>
      </c>
      <c r="N1212" t="inlineStr">
        <is>
          <t>system</t>
        </is>
      </c>
      <c r="O1212" t="inlineStr">
        <is>
          <t>2026-06-17 14:10:06</t>
        </is>
      </c>
      <c r="P1212" t="inlineStr">
        <is>
          <t>2026-06-17 14:10:06</t>
        </is>
      </c>
      <c r="Y1212" t="inlineStr">
        <is>
          <t>27823431889</t>
        </is>
      </c>
    </row>
    <row r="1213">
      <c r="A1213" t="inlineStr">
        <is>
          <t>14921483</t>
        </is>
      </c>
      <c r="B1213" t="inlineStr">
        <is>
          <t>78784854-db0a-46e7-a177-572b2613c452</t>
        </is>
      </c>
      <c r="D1213" t="inlineStr">
        <is>
          <t>111111124</t>
        </is>
      </c>
      <c r="E1213" t="inlineStr">
        <is>
          <t>Vodacom Life 20260617</t>
        </is>
      </c>
      <c r="G1213" t="inlineStr">
        <is>
          <t>NTAMBUDZENI</t>
        </is>
      </c>
      <c r="H1213" t="inlineStr">
        <is>
          <t>MALULEKE</t>
        </is>
      </c>
      <c r="J1213" t="inlineStr">
        <is>
          <t>DROP</t>
        </is>
      </c>
      <c r="K1213" t="inlineStr">
        <is>
          <t>Dropped</t>
        </is>
      </c>
      <c r="L1213" t="n">
        <v>5</v>
      </c>
      <c r="M1213" t="inlineStr">
        <is>
          <t>2026-06-29 11:19:39</t>
        </is>
      </c>
      <c r="N1213" t="inlineStr">
        <is>
          <t>system</t>
        </is>
      </c>
      <c r="O1213" t="inlineStr">
        <is>
          <t>2026-06-17 14:10:06</t>
        </is>
      </c>
      <c r="P1213" t="inlineStr">
        <is>
          <t>2026-06-17 14:10:06</t>
        </is>
      </c>
      <c r="Y1213" t="inlineStr">
        <is>
          <t>27713888228</t>
        </is>
      </c>
    </row>
    <row r="1214">
      <c r="A1214" t="inlineStr">
        <is>
          <t>14921484</t>
        </is>
      </c>
      <c r="B1214" t="inlineStr">
        <is>
          <t>9f4eb8d6-2019-46b1-9d2b-31b385d39d18</t>
        </is>
      </c>
      <c r="D1214" t="inlineStr">
        <is>
          <t>111111124</t>
        </is>
      </c>
      <c r="E1214" t="inlineStr">
        <is>
          <t>Vodacom Life 20260617</t>
        </is>
      </c>
      <c r="G1214" t="inlineStr">
        <is>
          <t>TEBOGO</t>
        </is>
      </c>
      <c r="H1214" t="inlineStr">
        <is>
          <t>GEORGE</t>
        </is>
      </c>
      <c r="J1214" t="inlineStr">
        <is>
          <t>NA</t>
        </is>
      </c>
      <c r="K1214" t="inlineStr">
        <is>
          <t>No Answer Autodial</t>
        </is>
      </c>
      <c r="L1214" t="n">
        <v>5</v>
      </c>
      <c r="M1214" t="inlineStr">
        <is>
          <t>2026-06-29 11:19:38</t>
        </is>
      </c>
      <c r="N1214" t="inlineStr">
        <is>
          <t>system</t>
        </is>
      </c>
      <c r="O1214" t="inlineStr">
        <is>
          <t>2026-06-17 14:10:06</t>
        </is>
      </c>
      <c r="P1214" t="inlineStr">
        <is>
          <t>2026-06-17 14:10:06</t>
        </is>
      </c>
      <c r="Y1214" t="inlineStr">
        <is>
          <t>27727006988</t>
        </is>
      </c>
    </row>
    <row r="1215">
      <c r="A1215" t="inlineStr">
        <is>
          <t>14921486</t>
        </is>
      </c>
      <c r="B1215" t="inlineStr">
        <is>
          <t>c64028c3-3c48-4cd5-965a-b6acf7a1d73d</t>
        </is>
      </c>
      <c r="D1215" t="inlineStr">
        <is>
          <t>111111124</t>
        </is>
      </c>
      <c r="E1215" t="inlineStr">
        <is>
          <t>Vodacom Life 20260617</t>
        </is>
      </c>
      <c r="G1215" t="inlineStr">
        <is>
          <t>THEMBA</t>
        </is>
      </c>
      <c r="H1215" t="inlineStr">
        <is>
          <t>THABEDE</t>
        </is>
      </c>
      <c r="J1215" t="inlineStr">
        <is>
          <t>NA</t>
        </is>
      </c>
      <c r="K1215" t="inlineStr">
        <is>
          <t>No Answer Autodial</t>
        </is>
      </c>
      <c r="L1215" t="n">
        <v>5</v>
      </c>
      <c r="M1215" t="inlineStr">
        <is>
          <t>2026-06-29 11:19:32</t>
        </is>
      </c>
      <c r="N1215" t="inlineStr">
        <is>
          <t>system</t>
        </is>
      </c>
      <c r="O1215" t="inlineStr">
        <is>
          <t>2026-06-17 14:10:06</t>
        </is>
      </c>
      <c r="P1215" t="inlineStr">
        <is>
          <t>2026-06-17 14:10:06</t>
        </is>
      </c>
      <c r="Y1215" t="inlineStr">
        <is>
          <t>27729569262</t>
        </is>
      </c>
    </row>
    <row r="1216">
      <c r="A1216" t="inlineStr">
        <is>
          <t>14921487</t>
        </is>
      </c>
      <c r="B1216" t="inlineStr">
        <is>
          <t>54efb8d1-a880-4046-ac67-6e3b5e150c51</t>
        </is>
      </c>
      <c r="D1216" t="inlineStr">
        <is>
          <t>111111124</t>
        </is>
      </c>
      <c r="E1216" t="inlineStr">
        <is>
          <t>Vodacom Life 20260617</t>
        </is>
      </c>
      <c r="G1216" t="inlineStr">
        <is>
          <t>NB</t>
        </is>
      </c>
      <c r="H1216" t="inlineStr">
        <is>
          <t>ERVINE</t>
        </is>
      </c>
      <c r="J1216" t="inlineStr">
        <is>
          <t>AA</t>
        </is>
      </c>
      <c r="K1216" t="inlineStr">
        <is>
          <t>Answering Machine Autodial</t>
        </is>
      </c>
      <c r="L1216" t="n">
        <v>5</v>
      </c>
      <c r="M1216" t="inlineStr">
        <is>
          <t>2026-06-29 11:19:32</t>
        </is>
      </c>
      <c r="N1216" t="inlineStr">
        <is>
          <t>system</t>
        </is>
      </c>
      <c r="O1216" t="inlineStr">
        <is>
          <t>2026-06-17 14:10:06</t>
        </is>
      </c>
      <c r="P1216" t="inlineStr">
        <is>
          <t>2026-06-17 14:10:06</t>
        </is>
      </c>
      <c r="Y1216" t="inlineStr">
        <is>
          <t>27662726009</t>
        </is>
      </c>
    </row>
    <row r="1217">
      <c r="A1217" t="inlineStr">
        <is>
          <t>14921488</t>
        </is>
      </c>
      <c r="B1217" t="inlineStr">
        <is>
          <t>577aca5d-42f2-405e-9eb8-6a1425750e35</t>
        </is>
      </c>
      <c r="D1217" t="inlineStr">
        <is>
          <t>111111124</t>
        </is>
      </c>
      <c r="E1217" t="inlineStr">
        <is>
          <t>Vodacom Life 20260617</t>
        </is>
      </c>
      <c r="G1217" t="inlineStr">
        <is>
          <t>MAKGADI</t>
        </is>
      </c>
      <c r="H1217" t="inlineStr">
        <is>
          <t>MOJAPELO</t>
        </is>
      </c>
      <c r="J1217" t="inlineStr">
        <is>
          <t>ADC</t>
        </is>
      </c>
      <c r="K1217" t="inlineStr">
        <is>
          <t>Auto Dial Disconnected</t>
        </is>
      </c>
      <c r="L1217" t="n">
        <v>5</v>
      </c>
      <c r="M1217" t="inlineStr">
        <is>
          <t>2026-06-29 11:19:30</t>
        </is>
      </c>
      <c r="N1217" t="inlineStr">
        <is>
          <t>system</t>
        </is>
      </c>
      <c r="O1217" t="inlineStr">
        <is>
          <t>2026-06-17 14:10:06</t>
        </is>
      </c>
      <c r="P1217" t="inlineStr">
        <is>
          <t>2026-06-17 14:10:06</t>
        </is>
      </c>
      <c r="Y1217" t="inlineStr">
        <is>
          <t>27791903021</t>
        </is>
      </c>
    </row>
    <row r="1218">
      <c r="A1218" t="inlineStr">
        <is>
          <t>14921489</t>
        </is>
      </c>
      <c r="B1218" t="inlineStr">
        <is>
          <t>10b82c72-54a9-4b99-81b1-6ea3fccdc778</t>
        </is>
      </c>
      <c r="D1218" t="inlineStr">
        <is>
          <t>111111124</t>
        </is>
      </c>
      <c r="E1218" t="inlineStr">
        <is>
          <t>Vodacom Life 20260617</t>
        </is>
      </c>
      <c r="G1218" t="inlineStr">
        <is>
          <t>EDWARD</t>
        </is>
      </c>
      <c r="H1218" t="inlineStr">
        <is>
          <t>MASELI</t>
        </is>
      </c>
      <c r="J1218" t="inlineStr">
        <is>
          <t>AA</t>
        </is>
      </c>
      <c r="K1218" t="inlineStr">
        <is>
          <t>Answering Machine Autodial</t>
        </is>
      </c>
      <c r="L1218" t="n">
        <v>5</v>
      </c>
      <c r="M1218" t="inlineStr">
        <is>
          <t>2026-06-29 11:19:30</t>
        </is>
      </c>
      <c r="N1218" t="inlineStr">
        <is>
          <t>system</t>
        </is>
      </c>
      <c r="O1218" t="inlineStr">
        <is>
          <t>2026-06-17 14:10:06</t>
        </is>
      </c>
      <c r="P1218" t="inlineStr">
        <is>
          <t>2026-06-17 14:10:06</t>
        </is>
      </c>
      <c r="Y1218" t="inlineStr">
        <is>
          <t>27716827436</t>
        </is>
      </c>
    </row>
    <row r="1219">
      <c r="A1219" t="inlineStr">
        <is>
          <t>14921490</t>
        </is>
      </c>
      <c r="B1219" t="inlineStr">
        <is>
          <t>fbf3882f-9258-46ff-9e8f-7adb83afcec3</t>
        </is>
      </c>
      <c r="D1219" t="inlineStr">
        <is>
          <t>111111124</t>
        </is>
      </c>
      <c r="E1219" t="inlineStr">
        <is>
          <t>Vodacom Life 20260617</t>
        </is>
      </c>
      <c r="G1219" t="inlineStr">
        <is>
          <t>ALEX</t>
        </is>
      </c>
      <c r="H1219" t="inlineStr">
        <is>
          <t>VAN ZYL</t>
        </is>
      </c>
      <c r="J1219" t="inlineStr">
        <is>
          <t>AE</t>
        </is>
      </c>
      <c r="K1219" t="inlineStr">
        <is>
          <t>Auto Engaged</t>
        </is>
      </c>
      <c r="L1219" t="n">
        <v>5</v>
      </c>
      <c r="M1219" t="inlineStr">
        <is>
          <t>2026-06-29 11:19:30</t>
        </is>
      </c>
      <c r="N1219" t="inlineStr">
        <is>
          <t>system</t>
        </is>
      </c>
      <c r="O1219" t="inlineStr">
        <is>
          <t>2026-06-17 14:10:06</t>
        </is>
      </c>
      <c r="P1219" t="inlineStr">
        <is>
          <t>2026-06-17 14:10:06</t>
        </is>
      </c>
      <c r="Y1219" t="inlineStr">
        <is>
          <t>27662074799</t>
        </is>
      </c>
    </row>
    <row r="1220">
      <c r="A1220" t="inlineStr">
        <is>
          <t>14921491</t>
        </is>
      </c>
      <c r="B1220" t="inlineStr">
        <is>
          <t>8bdae9ec-5beb-4b52-b2ed-250b8532c35a</t>
        </is>
      </c>
      <c r="D1220" t="inlineStr">
        <is>
          <t>111111124</t>
        </is>
      </c>
      <c r="E1220" t="inlineStr">
        <is>
          <t>Vodacom Life 20260617</t>
        </is>
      </c>
      <c r="G1220" t="inlineStr">
        <is>
          <t>BEAULAH</t>
        </is>
      </c>
      <c r="H1220" t="inlineStr">
        <is>
          <t>FERREIRA</t>
        </is>
      </c>
      <c r="J1220" t="inlineStr">
        <is>
          <t>AE</t>
        </is>
      </c>
      <c r="K1220" t="inlineStr">
        <is>
          <t>Auto Engaged</t>
        </is>
      </c>
      <c r="L1220" t="n">
        <v>5</v>
      </c>
      <c r="M1220" t="inlineStr">
        <is>
          <t>2026-06-29 11:19:30</t>
        </is>
      </c>
      <c r="N1220" t="inlineStr">
        <is>
          <t>system</t>
        </is>
      </c>
      <c r="O1220" t="inlineStr">
        <is>
          <t>2026-06-17 14:10:06</t>
        </is>
      </c>
      <c r="P1220" t="inlineStr">
        <is>
          <t>2026-06-17 14:10:06</t>
        </is>
      </c>
      <c r="Y1220" t="inlineStr">
        <is>
          <t>27792872194</t>
        </is>
      </c>
    </row>
    <row r="1221">
      <c r="A1221" t="inlineStr">
        <is>
          <t>14921493</t>
        </is>
      </c>
      <c r="B1221" t="inlineStr">
        <is>
          <t>2dd44349-87be-48df-881c-1d72f7411cff</t>
        </is>
      </c>
      <c r="D1221" t="inlineStr">
        <is>
          <t>111111124</t>
        </is>
      </c>
      <c r="E1221" t="inlineStr">
        <is>
          <t>Vodacom Life 20260617</t>
        </is>
      </c>
      <c r="G1221" t="inlineStr">
        <is>
          <t>JAUNDRE</t>
        </is>
      </c>
      <c r="H1221" t="inlineStr">
        <is>
          <t>DU PREEZ</t>
        </is>
      </c>
      <c r="J1221" t="inlineStr">
        <is>
          <t>AE</t>
        </is>
      </c>
      <c r="K1221" t="inlineStr">
        <is>
          <t>Auto Engaged</t>
        </is>
      </c>
      <c r="L1221" t="n">
        <v>5</v>
      </c>
      <c r="M1221" t="inlineStr">
        <is>
          <t>2026-06-29 11:19:30</t>
        </is>
      </c>
      <c r="N1221" t="inlineStr">
        <is>
          <t>system</t>
        </is>
      </c>
      <c r="O1221" t="inlineStr">
        <is>
          <t>2026-06-17 14:10:06</t>
        </is>
      </c>
      <c r="P1221" t="inlineStr">
        <is>
          <t>2026-06-17 14:10:06</t>
        </is>
      </c>
      <c r="Y1221" t="inlineStr">
        <is>
          <t>27711185881</t>
        </is>
      </c>
    </row>
    <row r="1222">
      <c r="A1222" t="inlineStr">
        <is>
          <t>14921474</t>
        </is>
      </c>
      <c r="B1222" t="inlineStr">
        <is>
          <t>4a508531-bc28-4a73-bba2-83872a78d664</t>
        </is>
      </c>
      <c r="D1222" t="inlineStr">
        <is>
          <t>111111124</t>
        </is>
      </c>
      <c r="E1222" t="inlineStr">
        <is>
          <t>Vodacom Life 20260617</t>
        </is>
      </c>
      <c r="G1222" t="inlineStr">
        <is>
          <t>MAVIS</t>
        </is>
      </c>
      <c r="H1222" t="inlineStr">
        <is>
          <t>MAGALE</t>
        </is>
      </c>
      <c r="J1222" t="inlineStr">
        <is>
          <t>DROP</t>
        </is>
      </c>
      <c r="K1222" t="inlineStr">
        <is>
          <t>Dropped</t>
        </is>
      </c>
      <c r="L1222" t="n">
        <v>5</v>
      </c>
      <c r="M1222" t="inlineStr">
        <is>
          <t>2026-06-29 11:18:51</t>
        </is>
      </c>
      <c r="N1222" t="inlineStr">
        <is>
          <t>system</t>
        </is>
      </c>
      <c r="O1222" t="inlineStr">
        <is>
          <t>2026-06-17 14:10:06</t>
        </is>
      </c>
      <c r="P1222" t="inlineStr">
        <is>
          <t>2026-06-17 14:10:06</t>
        </is>
      </c>
      <c r="Y1222" t="inlineStr">
        <is>
          <t>27648022143</t>
        </is>
      </c>
    </row>
    <row r="1223">
      <c r="A1223" t="inlineStr">
        <is>
          <t>14921475</t>
        </is>
      </c>
      <c r="B1223" t="inlineStr">
        <is>
          <t>02c48211-853b-4971-8b49-fd740b1e6dab</t>
        </is>
      </c>
      <c r="D1223" t="inlineStr">
        <is>
          <t>111111124</t>
        </is>
      </c>
      <c r="E1223" t="inlineStr">
        <is>
          <t>Vodacom Life 20260617</t>
        </is>
      </c>
      <c r="G1223" t="inlineStr">
        <is>
          <t>NONHLANHLA</t>
        </is>
      </c>
      <c r="H1223" t="inlineStr">
        <is>
          <t>MSIBI</t>
        </is>
      </c>
      <c r="J1223" t="inlineStr">
        <is>
          <t>AA</t>
        </is>
      </c>
      <c r="K1223" t="inlineStr">
        <is>
          <t>Answering Machine Autodial</t>
        </is>
      </c>
      <c r="L1223" t="n">
        <v>5</v>
      </c>
      <c r="M1223" t="inlineStr">
        <is>
          <t>2026-06-29 11:18:48</t>
        </is>
      </c>
      <c r="N1223" t="inlineStr">
        <is>
          <t>system</t>
        </is>
      </c>
      <c r="O1223" t="inlineStr">
        <is>
          <t>2026-06-17 14:10:06</t>
        </is>
      </c>
      <c r="P1223" t="inlineStr">
        <is>
          <t>2026-06-17 14:10:06</t>
        </is>
      </c>
      <c r="Y1223" t="inlineStr">
        <is>
          <t>27793849737</t>
        </is>
      </c>
    </row>
    <row r="1224">
      <c r="A1224" t="inlineStr">
        <is>
          <t>14921476</t>
        </is>
      </c>
      <c r="B1224" t="inlineStr">
        <is>
          <t>515708a6-4f44-45ca-80ae-80e61a660d6a</t>
        </is>
      </c>
      <c r="D1224" t="inlineStr">
        <is>
          <t>111111124</t>
        </is>
      </c>
      <c r="E1224" t="inlineStr">
        <is>
          <t>Vodacom Life 20260617</t>
        </is>
      </c>
      <c r="G1224" t="inlineStr">
        <is>
          <t>MATHIAS</t>
        </is>
      </c>
      <c r="H1224" t="inlineStr">
        <is>
          <t>GOOSEN</t>
        </is>
      </c>
      <c r="J1224" t="inlineStr">
        <is>
          <t>AE</t>
        </is>
      </c>
      <c r="K1224" t="inlineStr">
        <is>
          <t>Auto Engaged</t>
        </is>
      </c>
      <c r="L1224" t="n">
        <v>5</v>
      </c>
      <c r="M1224" t="inlineStr">
        <is>
          <t>2026-06-29 11:18:48</t>
        </is>
      </c>
      <c r="N1224" t="inlineStr">
        <is>
          <t>system</t>
        </is>
      </c>
      <c r="O1224" t="inlineStr">
        <is>
          <t>2026-06-17 14:10:06</t>
        </is>
      </c>
      <c r="P1224" t="inlineStr">
        <is>
          <t>2026-06-17 14:10:06</t>
        </is>
      </c>
      <c r="Y1224" t="inlineStr">
        <is>
          <t>27826628371</t>
        </is>
      </c>
    </row>
    <row r="1225">
      <c r="A1225" t="inlineStr">
        <is>
          <t>14921477</t>
        </is>
      </c>
      <c r="B1225" t="inlineStr">
        <is>
          <t>6e9a0263-e723-473c-9419-b716df372135</t>
        </is>
      </c>
      <c r="D1225" t="inlineStr">
        <is>
          <t>111111124</t>
        </is>
      </c>
      <c r="E1225" t="inlineStr">
        <is>
          <t>Vodacom Life 20260617</t>
        </is>
      </c>
      <c r="G1225" t="inlineStr">
        <is>
          <t>MICHELLE</t>
        </is>
      </c>
      <c r="H1225" t="inlineStr">
        <is>
          <t>CAMPHER</t>
        </is>
      </c>
      <c r="J1225" t="inlineStr">
        <is>
          <t>DROP</t>
        </is>
      </c>
      <c r="K1225" t="inlineStr">
        <is>
          <t>Dropped</t>
        </is>
      </c>
      <c r="L1225" t="n">
        <v>5</v>
      </c>
      <c r="M1225" t="inlineStr">
        <is>
          <t>2026-06-29 11:18:48</t>
        </is>
      </c>
      <c r="N1225" t="inlineStr">
        <is>
          <t>system</t>
        </is>
      </c>
      <c r="O1225" t="inlineStr">
        <is>
          <t>2026-06-17 14:10:06</t>
        </is>
      </c>
      <c r="P1225" t="inlineStr">
        <is>
          <t>2026-06-17 14:10:06</t>
        </is>
      </c>
      <c r="Y1225" t="inlineStr">
        <is>
          <t>27716026833</t>
        </is>
      </c>
    </row>
    <row r="1226">
      <c r="A1226" t="inlineStr">
        <is>
          <t>14921478</t>
        </is>
      </c>
      <c r="B1226" t="inlineStr">
        <is>
          <t>9d8e2d12-7751-4eac-b6b2-d76e37e7017a</t>
        </is>
      </c>
      <c r="D1226" t="inlineStr">
        <is>
          <t>111111124</t>
        </is>
      </c>
      <c r="E1226" t="inlineStr">
        <is>
          <t>Vodacom Life 20260617</t>
        </is>
      </c>
      <c r="G1226" t="inlineStr">
        <is>
          <t>MADODA</t>
        </is>
      </c>
      <c r="H1226" t="inlineStr">
        <is>
          <t>BALENI</t>
        </is>
      </c>
      <c r="J1226" t="inlineStr">
        <is>
          <t>AA</t>
        </is>
      </c>
      <c r="K1226" t="inlineStr">
        <is>
          <t>Answering Machine Autodial</t>
        </is>
      </c>
      <c r="L1226" t="n">
        <v>5</v>
      </c>
      <c r="M1226" t="inlineStr">
        <is>
          <t>2026-06-29 11:18:48</t>
        </is>
      </c>
      <c r="N1226" t="inlineStr">
        <is>
          <t>system</t>
        </is>
      </c>
      <c r="O1226" t="inlineStr">
        <is>
          <t>2026-06-17 14:10:06</t>
        </is>
      </c>
      <c r="P1226" t="inlineStr">
        <is>
          <t>2026-06-17 14:10:06</t>
        </is>
      </c>
      <c r="Y1226" t="inlineStr">
        <is>
          <t>27818888354</t>
        </is>
      </c>
    </row>
    <row r="1227">
      <c r="A1227" t="inlineStr">
        <is>
          <t>14921480</t>
        </is>
      </c>
      <c r="B1227" t="inlineStr">
        <is>
          <t>1a271563-f04d-4183-8b47-fae821878c7b</t>
        </is>
      </c>
      <c r="D1227" t="inlineStr">
        <is>
          <t>111111124</t>
        </is>
      </c>
      <c r="E1227" t="inlineStr">
        <is>
          <t>Vodacom Life 20260617</t>
        </is>
      </c>
      <c r="G1227" t="inlineStr">
        <is>
          <t>AKSHAY</t>
        </is>
      </c>
      <c r="H1227" t="inlineStr">
        <is>
          <t>MAHARAJ</t>
        </is>
      </c>
      <c r="J1227" t="inlineStr">
        <is>
          <t>CU</t>
        </is>
      </c>
      <c r="K1227" t="inlineStr">
        <is>
          <t>Client Hung Up</t>
        </is>
      </c>
      <c r="L1227" t="n">
        <v>5</v>
      </c>
      <c r="M1227" t="inlineStr">
        <is>
          <t>2026-06-29 11:18:48</t>
        </is>
      </c>
      <c r="N1227" t="inlineStr">
        <is>
          <t>Vanessa Kekana</t>
        </is>
      </c>
      <c r="O1227" t="inlineStr">
        <is>
          <t>2026-06-17 14:10:06</t>
        </is>
      </c>
      <c r="P1227" t="inlineStr">
        <is>
          <t>2026-06-17 14:10:06</t>
        </is>
      </c>
      <c r="Y1227" t="inlineStr">
        <is>
          <t>27714914206</t>
        </is>
      </c>
    </row>
    <row r="1228">
      <c r="A1228" t="inlineStr">
        <is>
          <t>14921460</t>
        </is>
      </c>
      <c r="B1228" t="inlineStr">
        <is>
          <t>b6c478ce-ed69-453e-8362-c4396eb50659</t>
        </is>
      </c>
      <c r="D1228" t="inlineStr">
        <is>
          <t>111111124</t>
        </is>
      </c>
      <c r="E1228" t="inlineStr">
        <is>
          <t>Vodacom Life 20260617</t>
        </is>
      </c>
      <c r="G1228" t="inlineStr">
        <is>
          <t>MOGOROSI</t>
        </is>
      </c>
      <c r="H1228" t="inlineStr">
        <is>
          <t>MOYO</t>
        </is>
      </c>
      <c r="J1228" t="inlineStr">
        <is>
          <t>AA</t>
        </is>
      </c>
      <c r="K1228" t="inlineStr">
        <is>
          <t>Answering Machine Autodial</t>
        </is>
      </c>
      <c r="L1228" t="n">
        <v>5</v>
      </c>
      <c r="M1228" t="inlineStr">
        <is>
          <t>2026-06-29 11:17:46</t>
        </is>
      </c>
      <c r="N1228" t="inlineStr">
        <is>
          <t>system</t>
        </is>
      </c>
      <c r="O1228" t="inlineStr">
        <is>
          <t>2026-06-17 14:10:06</t>
        </is>
      </c>
      <c r="P1228" t="inlineStr">
        <is>
          <t>2026-06-17 14:10:06</t>
        </is>
      </c>
      <c r="Y1228" t="inlineStr">
        <is>
          <t>27646823165</t>
        </is>
      </c>
    </row>
    <row r="1229">
      <c r="A1229" t="inlineStr">
        <is>
          <t>14921462</t>
        </is>
      </c>
      <c r="B1229" t="inlineStr">
        <is>
          <t>5191ee27-4f2c-493e-ae65-0a28e11e9a7e</t>
        </is>
      </c>
      <c r="D1229" t="inlineStr">
        <is>
          <t>111111124</t>
        </is>
      </c>
      <c r="E1229" t="inlineStr">
        <is>
          <t>Vodacom Life 20260617</t>
        </is>
      </c>
      <c r="G1229" t="inlineStr">
        <is>
          <t>NEVER</t>
        </is>
      </c>
      <c r="H1229" t="inlineStr">
        <is>
          <t>SIBANDA</t>
        </is>
      </c>
      <c r="J1229" t="inlineStr">
        <is>
          <t>AA</t>
        </is>
      </c>
      <c r="K1229" t="inlineStr">
        <is>
          <t>Answering Machine Autodial</t>
        </is>
      </c>
      <c r="L1229" t="n">
        <v>5</v>
      </c>
      <c r="M1229" t="inlineStr">
        <is>
          <t>2026-06-29 11:17:34</t>
        </is>
      </c>
      <c r="N1229" t="inlineStr">
        <is>
          <t>system</t>
        </is>
      </c>
      <c r="O1229" t="inlineStr">
        <is>
          <t>2026-06-17 14:10:06</t>
        </is>
      </c>
      <c r="P1229" t="inlineStr">
        <is>
          <t>2026-06-17 14:10:06</t>
        </is>
      </c>
      <c r="Y1229" t="inlineStr">
        <is>
          <t>27637761689</t>
        </is>
      </c>
    </row>
    <row r="1230">
      <c r="A1230" t="inlineStr">
        <is>
          <t>14900000</t>
        </is>
      </c>
      <c r="B1230" t="inlineStr">
        <is>
          <t>89e61046-b96e-41a9-8f59-8d715c705ed7</t>
        </is>
      </c>
      <c r="D1230" t="inlineStr">
        <is>
          <t>111111124</t>
        </is>
      </c>
      <c r="E1230" t="inlineStr">
        <is>
          <t>Vodacom Life 20260617</t>
        </is>
      </c>
      <c r="G1230" t="inlineStr">
        <is>
          <t>MOKGAUDI</t>
        </is>
      </c>
      <c r="H1230" t="inlineStr">
        <is>
          <t>MALEROTHO</t>
        </is>
      </c>
      <c r="J1230" t="inlineStr">
        <is>
          <t>AE</t>
        </is>
      </c>
      <c r="K1230" t="inlineStr">
        <is>
          <t>Auto Engaged</t>
        </is>
      </c>
      <c r="L1230" t="n">
        <v>5</v>
      </c>
      <c r="M1230" t="inlineStr">
        <is>
          <t>2026-06-29 11:17:33</t>
        </is>
      </c>
      <c r="N1230" t="inlineStr">
        <is>
          <t>system</t>
        </is>
      </c>
      <c r="O1230" t="inlineStr">
        <is>
          <t>2026-06-17 14:10:06</t>
        </is>
      </c>
      <c r="P1230" t="inlineStr">
        <is>
          <t>2026-06-17 14:10:06</t>
        </is>
      </c>
      <c r="Y1230" t="inlineStr">
        <is>
          <t>27646822997</t>
        </is>
      </c>
    </row>
    <row r="1231">
      <c r="A1231" t="inlineStr">
        <is>
          <t>14921464</t>
        </is>
      </c>
      <c r="B1231" t="inlineStr">
        <is>
          <t>b1251499-5fa4-4a1a-9e34-ee9aeea618a9</t>
        </is>
      </c>
      <c r="D1231" t="inlineStr">
        <is>
          <t>111111124</t>
        </is>
      </c>
      <c r="E1231" t="inlineStr">
        <is>
          <t>Vodacom Life 20260617</t>
        </is>
      </c>
      <c r="G1231" t="inlineStr">
        <is>
          <t>KEBONYE</t>
        </is>
      </c>
      <c r="H1231" t="inlineStr">
        <is>
          <t>SELEKE</t>
        </is>
      </c>
      <c r="J1231" t="inlineStr">
        <is>
          <t>DROP</t>
        </is>
      </c>
      <c r="K1231" t="inlineStr">
        <is>
          <t>Dropped</t>
        </is>
      </c>
      <c r="L1231" t="n">
        <v>5</v>
      </c>
      <c r="M1231" t="inlineStr">
        <is>
          <t>2026-06-29 11:17:33</t>
        </is>
      </c>
      <c r="N1231" t="inlineStr">
        <is>
          <t>system</t>
        </is>
      </c>
      <c r="O1231" t="inlineStr">
        <is>
          <t>2026-06-17 14:10:06</t>
        </is>
      </c>
      <c r="P1231" t="inlineStr">
        <is>
          <t>2026-06-17 14:10:06</t>
        </is>
      </c>
      <c r="Y1231" t="inlineStr">
        <is>
          <t>27649926558</t>
        </is>
      </c>
    </row>
    <row r="1232">
      <c r="A1232" t="inlineStr">
        <is>
          <t>14921465</t>
        </is>
      </c>
      <c r="B1232" t="inlineStr">
        <is>
          <t>c4e11ebf-b36f-475f-9f39-8d1203e8b5bf</t>
        </is>
      </c>
      <c r="D1232" t="inlineStr">
        <is>
          <t>111111124</t>
        </is>
      </c>
      <c r="E1232" t="inlineStr">
        <is>
          <t>Vodacom Life 20260617</t>
        </is>
      </c>
      <c r="G1232" t="inlineStr">
        <is>
          <t>RAISIBE</t>
        </is>
      </c>
      <c r="H1232" t="inlineStr">
        <is>
          <t>SEKHAULELO</t>
        </is>
      </c>
      <c r="J1232" t="inlineStr">
        <is>
          <t>DROP</t>
        </is>
      </c>
      <c r="K1232" t="inlineStr">
        <is>
          <t>Dropped</t>
        </is>
      </c>
      <c r="L1232" t="n">
        <v>5</v>
      </c>
      <c r="M1232" t="inlineStr">
        <is>
          <t>2026-06-29 11:17:33</t>
        </is>
      </c>
      <c r="N1232" t="inlineStr">
        <is>
          <t>system</t>
        </is>
      </c>
      <c r="O1232" t="inlineStr">
        <is>
          <t>2026-06-17 14:10:06</t>
        </is>
      </c>
      <c r="P1232" t="inlineStr">
        <is>
          <t>2026-06-17 14:10:06</t>
        </is>
      </c>
      <c r="Y1232" t="inlineStr">
        <is>
          <t>27646179669</t>
        </is>
      </c>
    </row>
    <row r="1233">
      <c r="A1233" t="inlineStr">
        <is>
          <t>14900000</t>
        </is>
      </c>
      <c r="B1233" t="inlineStr">
        <is>
          <t>e390cd35-6fe9-426e-83ae-709ac94fc1f8</t>
        </is>
      </c>
      <c r="D1233" t="inlineStr">
        <is>
          <t>111111124</t>
        </is>
      </c>
      <c r="E1233" t="inlineStr">
        <is>
          <t>Vodacom Life 20260617</t>
        </is>
      </c>
      <c r="G1233" t="inlineStr">
        <is>
          <t>NEO</t>
        </is>
      </c>
      <c r="H1233" t="inlineStr">
        <is>
          <t>MOSIA</t>
        </is>
      </c>
      <c r="J1233" t="inlineStr">
        <is>
          <t>CU</t>
        </is>
      </c>
      <c r="K1233" t="inlineStr">
        <is>
          <t>Client Hung Up</t>
        </is>
      </c>
      <c r="L1233" t="n">
        <v>5</v>
      </c>
      <c r="M1233" t="inlineStr">
        <is>
          <t>2026-06-29 11:17:33</t>
        </is>
      </c>
      <c r="N1233" t="inlineStr">
        <is>
          <t>Vanessa Kekana</t>
        </is>
      </c>
      <c r="O1233" t="inlineStr">
        <is>
          <t>2026-06-17 14:10:06</t>
        </is>
      </c>
      <c r="P1233" t="inlineStr">
        <is>
          <t>2026-06-17 14:10:06</t>
        </is>
      </c>
      <c r="Y1233" t="inlineStr">
        <is>
          <t>27795655810</t>
        </is>
      </c>
    </row>
    <row r="1234">
      <c r="A1234" t="inlineStr">
        <is>
          <t>14921434</t>
        </is>
      </c>
      <c r="B1234" t="inlineStr">
        <is>
          <t>66a2c73a-5180-457a-9185-0cae6f2b7c50</t>
        </is>
      </c>
      <c r="D1234" t="inlineStr">
        <is>
          <t>111111124</t>
        </is>
      </c>
      <c r="E1234" t="inlineStr">
        <is>
          <t>Vodacom Life 20260617</t>
        </is>
      </c>
      <c r="G1234" t="inlineStr">
        <is>
          <t>NATALIE</t>
        </is>
      </c>
      <c r="H1234" t="inlineStr">
        <is>
          <t>MCLEAN</t>
        </is>
      </c>
      <c r="J1234" t="inlineStr">
        <is>
          <t>AA</t>
        </is>
      </c>
      <c r="K1234" t="inlineStr">
        <is>
          <t>Answering Machine Autodial</t>
        </is>
      </c>
      <c r="L1234" t="n">
        <v>5</v>
      </c>
      <c r="M1234" t="inlineStr">
        <is>
          <t>2026-06-29 11:13:33</t>
        </is>
      </c>
      <c r="N1234" t="inlineStr">
        <is>
          <t>system</t>
        </is>
      </c>
      <c r="O1234" t="inlineStr">
        <is>
          <t>2026-06-17 14:10:06</t>
        </is>
      </c>
      <c r="P1234" t="inlineStr">
        <is>
          <t>2026-06-17 14:10:06</t>
        </is>
      </c>
      <c r="Y1234" t="inlineStr">
        <is>
          <t>27662253129</t>
        </is>
      </c>
    </row>
    <row r="1235">
      <c r="A1235" t="inlineStr">
        <is>
          <t>14921435</t>
        </is>
      </c>
      <c r="B1235" t="inlineStr">
        <is>
          <t>8ce3c805-ad91-4e4a-b013-601b1b822a16</t>
        </is>
      </c>
      <c r="D1235" t="inlineStr">
        <is>
          <t>111111124</t>
        </is>
      </c>
      <c r="E1235" t="inlineStr">
        <is>
          <t>Vodacom Life 20260617</t>
        </is>
      </c>
      <c r="G1235" t="inlineStr">
        <is>
          <t>MAKHEHLE</t>
        </is>
      </c>
      <c r="H1235" t="inlineStr">
        <is>
          <t>NDZWAYIBA</t>
        </is>
      </c>
      <c r="J1235" t="inlineStr">
        <is>
          <t>AE</t>
        </is>
      </c>
      <c r="K1235" t="inlineStr">
        <is>
          <t>Auto Engaged</t>
        </is>
      </c>
      <c r="L1235" t="n">
        <v>5</v>
      </c>
      <c r="M1235" t="inlineStr">
        <is>
          <t>2026-06-29 11:13:30</t>
        </is>
      </c>
      <c r="N1235" t="inlineStr">
        <is>
          <t>system</t>
        </is>
      </c>
      <c r="O1235" t="inlineStr">
        <is>
          <t>2026-06-17 14:10:06</t>
        </is>
      </c>
      <c r="P1235" t="inlineStr">
        <is>
          <t>2026-06-17 14:10:06</t>
        </is>
      </c>
      <c r="Y1235" t="inlineStr">
        <is>
          <t>27660140354</t>
        </is>
      </c>
    </row>
    <row r="1236">
      <c r="A1236" t="inlineStr">
        <is>
          <t>14921436</t>
        </is>
      </c>
      <c r="B1236" t="inlineStr">
        <is>
          <t>d5197a18-e718-40d7-8576-426a270932c2</t>
        </is>
      </c>
      <c r="D1236" t="inlineStr">
        <is>
          <t>111111124</t>
        </is>
      </c>
      <c r="E1236" t="inlineStr">
        <is>
          <t>Vodacom Life 20260617</t>
        </is>
      </c>
      <c r="G1236" t="inlineStr">
        <is>
          <t>PHILLIPA</t>
        </is>
      </c>
      <c r="H1236" t="inlineStr">
        <is>
          <t>ANDRIES</t>
        </is>
      </c>
      <c r="J1236" t="inlineStr">
        <is>
          <t>AE</t>
        </is>
      </c>
      <c r="K1236" t="inlineStr">
        <is>
          <t>Auto Engaged</t>
        </is>
      </c>
      <c r="L1236" t="n">
        <v>5</v>
      </c>
      <c r="M1236" t="inlineStr">
        <is>
          <t>2026-06-29 11:13:26</t>
        </is>
      </c>
      <c r="N1236" t="inlineStr">
        <is>
          <t>system</t>
        </is>
      </c>
      <c r="O1236" t="inlineStr">
        <is>
          <t>2026-06-17 14:10:06</t>
        </is>
      </c>
      <c r="P1236" t="inlineStr">
        <is>
          <t>2026-06-17 14:10:06</t>
        </is>
      </c>
      <c r="Y1236" t="inlineStr">
        <is>
          <t>27795066153</t>
        </is>
      </c>
    </row>
    <row r="1237">
      <c r="A1237" t="inlineStr">
        <is>
          <t>14921437</t>
        </is>
      </c>
      <c r="B1237" t="inlineStr">
        <is>
          <t>682b9e18-643d-480a-8126-b47da6957765</t>
        </is>
      </c>
      <c r="D1237" t="inlineStr">
        <is>
          <t>111111124</t>
        </is>
      </c>
      <c r="E1237" t="inlineStr">
        <is>
          <t>Vodacom Life 20260617</t>
        </is>
      </c>
      <c r="G1237" t="inlineStr">
        <is>
          <t>ANKIA</t>
        </is>
      </c>
      <c r="H1237" t="inlineStr">
        <is>
          <t>VORSTER</t>
        </is>
      </c>
      <c r="J1237" t="inlineStr">
        <is>
          <t>AA</t>
        </is>
      </c>
      <c r="K1237" t="inlineStr">
        <is>
          <t>Answering Machine Autodial</t>
        </is>
      </c>
      <c r="L1237" t="n">
        <v>5</v>
      </c>
      <c r="M1237" t="inlineStr">
        <is>
          <t>2026-06-29 11:13:25</t>
        </is>
      </c>
      <c r="N1237" t="inlineStr">
        <is>
          <t>system</t>
        </is>
      </c>
      <c r="O1237" t="inlineStr">
        <is>
          <t>2026-06-17 14:10:06</t>
        </is>
      </c>
      <c r="P1237" t="inlineStr">
        <is>
          <t>2026-06-17 14:10:06</t>
        </is>
      </c>
      <c r="Y1237" t="inlineStr">
        <is>
          <t>27662879154</t>
        </is>
      </c>
    </row>
    <row r="1238">
      <c r="A1238" t="inlineStr">
        <is>
          <t>14921438</t>
        </is>
      </c>
      <c r="B1238" t="inlineStr">
        <is>
          <t>9eda0459-368f-427f-855b-2a22e93ec79d</t>
        </is>
      </c>
      <c r="D1238" t="inlineStr">
        <is>
          <t>111111124</t>
        </is>
      </c>
      <c r="E1238" t="inlineStr">
        <is>
          <t>Vodacom Life 20260617</t>
        </is>
      </c>
      <c r="G1238" t="inlineStr">
        <is>
          <t>MADELEIN</t>
        </is>
      </c>
      <c r="H1238" t="inlineStr">
        <is>
          <t>VAN STADEN</t>
        </is>
      </c>
      <c r="J1238" t="inlineStr">
        <is>
          <t>AA</t>
        </is>
      </c>
      <c r="K1238" t="inlineStr">
        <is>
          <t>Answering Machine Autodial</t>
        </is>
      </c>
      <c r="L1238" t="n">
        <v>5</v>
      </c>
      <c r="M1238" t="inlineStr">
        <is>
          <t>2026-06-29 11:13:24</t>
        </is>
      </c>
      <c r="N1238" t="inlineStr">
        <is>
          <t>system</t>
        </is>
      </c>
      <c r="O1238" t="inlineStr">
        <is>
          <t>2026-06-17 14:10:06</t>
        </is>
      </c>
      <c r="P1238" t="inlineStr">
        <is>
          <t>2026-06-17 14:10:06</t>
        </is>
      </c>
      <c r="Y1238" t="inlineStr">
        <is>
          <t>27828532221</t>
        </is>
      </c>
    </row>
    <row r="1239">
      <c r="A1239" t="inlineStr">
        <is>
          <t>14921439</t>
        </is>
      </c>
      <c r="B1239" t="inlineStr">
        <is>
          <t>5cc8f24e-73c2-4cbc-9e8d-68238f840d4c</t>
        </is>
      </c>
      <c r="D1239" t="inlineStr">
        <is>
          <t>111111124</t>
        </is>
      </c>
      <c r="E1239" t="inlineStr">
        <is>
          <t>Vodacom Life 20260617</t>
        </is>
      </c>
      <c r="G1239" t="inlineStr">
        <is>
          <t>CHARLES</t>
        </is>
      </c>
      <c r="H1239" t="inlineStr">
        <is>
          <t>ROTHMAN</t>
        </is>
      </c>
      <c r="J1239" t="inlineStr">
        <is>
          <t>NI</t>
        </is>
      </c>
      <c r="K1239" t="inlineStr">
        <is>
          <t>Not Interested</t>
        </is>
      </c>
      <c r="L1239" t="n">
        <v>5</v>
      </c>
      <c r="M1239" t="inlineStr">
        <is>
          <t>2026-06-29 11:13:24</t>
        </is>
      </c>
      <c r="N1239" t="inlineStr">
        <is>
          <t>Vanessa Kekana</t>
        </is>
      </c>
      <c r="O1239" t="inlineStr">
        <is>
          <t>2026-06-17 14:10:06</t>
        </is>
      </c>
      <c r="P1239" t="inlineStr">
        <is>
          <t>2026-06-17 14:10:06</t>
        </is>
      </c>
      <c r="Y1239" t="inlineStr">
        <is>
          <t>27823824738</t>
        </is>
      </c>
    </row>
    <row r="1240">
      <c r="A1240" t="inlineStr">
        <is>
          <t>14921440</t>
        </is>
      </c>
      <c r="B1240" t="inlineStr">
        <is>
          <t>5a1a168d-cc15-4333-b824-9354c693211e</t>
        </is>
      </c>
      <c r="D1240" t="inlineStr">
        <is>
          <t>111111124</t>
        </is>
      </c>
      <c r="E1240" t="inlineStr">
        <is>
          <t>Vodacom Life 20260617</t>
        </is>
      </c>
      <c r="G1240" t="inlineStr">
        <is>
          <t>RENE</t>
        </is>
      </c>
      <c r="H1240" t="inlineStr">
        <is>
          <t>OSMAN</t>
        </is>
      </c>
      <c r="J1240" t="inlineStr">
        <is>
          <t>AE</t>
        </is>
      </c>
      <c r="K1240" t="inlineStr">
        <is>
          <t>Auto Engaged</t>
        </is>
      </c>
      <c r="L1240" t="n">
        <v>5</v>
      </c>
      <c r="M1240" t="inlineStr">
        <is>
          <t>2026-06-29 11:13:24</t>
        </is>
      </c>
      <c r="N1240" t="inlineStr">
        <is>
          <t>system</t>
        </is>
      </c>
      <c r="O1240" t="inlineStr">
        <is>
          <t>2026-06-17 14:10:06</t>
        </is>
      </c>
      <c r="P1240" t="inlineStr">
        <is>
          <t>2026-06-17 14:10:06</t>
        </is>
      </c>
      <c r="Y1240" t="inlineStr">
        <is>
          <t>27828922893</t>
        </is>
      </c>
    </row>
    <row r="1241">
      <c r="A1241" t="inlineStr">
        <is>
          <t>14921441</t>
        </is>
      </c>
      <c r="B1241" t="inlineStr">
        <is>
          <t>165dd566-7e6e-4698-9483-0465213911a3</t>
        </is>
      </c>
      <c r="D1241" t="inlineStr">
        <is>
          <t>111111124</t>
        </is>
      </c>
      <c r="E1241" t="inlineStr">
        <is>
          <t>Vodacom Life 20260617</t>
        </is>
      </c>
      <c r="G1241" t="inlineStr">
        <is>
          <t>ROSEMARY</t>
        </is>
      </c>
      <c r="H1241" t="inlineStr">
        <is>
          <t>MASHEGO</t>
        </is>
      </c>
      <c r="J1241" t="inlineStr">
        <is>
          <t>NA</t>
        </is>
      </c>
      <c r="K1241" t="inlineStr">
        <is>
          <t>No Answer Autodial</t>
        </is>
      </c>
      <c r="L1241" t="n">
        <v>5</v>
      </c>
      <c r="M1241" t="inlineStr">
        <is>
          <t>2026-06-29 11:13:23</t>
        </is>
      </c>
      <c r="N1241" t="inlineStr">
        <is>
          <t>system</t>
        </is>
      </c>
      <c r="O1241" t="inlineStr">
        <is>
          <t>2026-06-17 14:10:06</t>
        </is>
      </c>
      <c r="P1241" t="inlineStr">
        <is>
          <t>2026-06-17 14:10:06</t>
        </is>
      </c>
      <c r="Y1241" t="inlineStr">
        <is>
          <t>27662306267</t>
        </is>
      </c>
    </row>
    <row r="1242">
      <c r="A1242" t="inlineStr">
        <is>
          <t>14921443</t>
        </is>
      </c>
      <c r="B1242" t="inlineStr">
        <is>
          <t>79e1e971-01af-4a77-ad0b-496d759bc81b</t>
        </is>
      </c>
      <c r="D1242" t="inlineStr">
        <is>
          <t>111111124</t>
        </is>
      </c>
      <c r="E1242" t="inlineStr">
        <is>
          <t>Vodacom Life 20260617</t>
        </is>
      </c>
      <c r="G1242" t="inlineStr">
        <is>
          <t>DIMAKATSO</t>
        </is>
      </c>
      <c r="H1242" t="inlineStr">
        <is>
          <t>MAILANE</t>
        </is>
      </c>
      <c r="J1242" t="inlineStr">
        <is>
          <t>ADC</t>
        </is>
      </c>
      <c r="K1242" t="inlineStr">
        <is>
          <t>Auto Dial Disconnected</t>
        </is>
      </c>
      <c r="L1242" t="n">
        <v>5</v>
      </c>
      <c r="M1242" t="inlineStr">
        <is>
          <t>2026-06-29 11:13:23</t>
        </is>
      </c>
      <c r="N1242" t="inlineStr">
        <is>
          <t>system</t>
        </is>
      </c>
      <c r="O1242" t="inlineStr">
        <is>
          <t>2026-06-17 14:10:06</t>
        </is>
      </c>
      <c r="P1242" t="inlineStr">
        <is>
          <t>2026-06-17 14:10:06</t>
        </is>
      </c>
      <c r="Y1242" t="inlineStr">
        <is>
          <t>27827850116</t>
        </is>
      </c>
    </row>
    <row r="1243">
      <c r="A1243" t="inlineStr">
        <is>
          <t>14920915</t>
        </is>
      </c>
      <c r="B1243" t="inlineStr">
        <is>
          <t>2a7d02fe-35f7-4168-b353-4514e0cd9b53</t>
        </is>
      </c>
      <c r="D1243" t="inlineStr">
        <is>
          <t>111111124</t>
        </is>
      </c>
      <c r="E1243" t="inlineStr">
        <is>
          <t>Vodacom Life 20260617</t>
        </is>
      </c>
      <c r="G1243" t="inlineStr">
        <is>
          <t>CHERRYL</t>
        </is>
      </c>
      <c r="H1243" t="inlineStr">
        <is>
          <t>MKHATSHWA</t>
        </is>
      </c>
      <c r="J1243" t="inlineStr">
        <is>
          <t>AE</t>
        </is>
      </c>
      <c r="K1243" t="inlineStr">
        <is>
          <t>Auto Engaged</t>
        </is>
      </c>
      <c r="L1243" t="n">
        <v>5</v>
      </c>
      <c r="M1243" t="inlineStr">
        <is>
          <t>2026-06-29 11:12:16</t>
        </is>
      </c>
      <c r="N1243" t="inlineStr">
        <is>
          <t>system</t>
        </is>
      </c>
      <c r="O1243" t="inlineStr">
        <is>
          <t>2026-06-17 14:10:06</t>
        </is>
      </c>
      <c r="P1243" t="inlineStr">
        <is>
          <t>2026-06-17 14:10:06</t>
        </is>
      </c>
      <c r="Y1243" t="inlineStr">
        <is>
          <t>27825767097</t>
        </is>
      </c>
    </row>
    <row r="1244">
      <c r="A1244" t="inlineStr">
        <is>
          <t>14920695</t>
        </is>
      </c>
      <c r="B1244" t="inlineStr">
        <is>
          <t>94fc938d-17a4-48bc-b2e0-b9675a74ca70</t>
        </is>
      </c>
      <c r="D1244" t="inlineStr">
        <is>
          <t>111111124</t>
        </is>
      </c>
      <c r="E1244" t="inlineStr">
        <is>
          <t>Vodacom Life 20260617</t>
        </is>
      </c>
      <c r="G1244" t="inlineStr">
        <is>
          <t>JOHN</t>
        </is>
      </c>
      <c r="H1244" t="inlineStr">
        <is>
          <t>MAHLANGU</t>
        </is>
      </c>
      <c r="J1244" t="inlineStr">
        <is>
          <t>ADC</t>
        </is>
      </c>
      <c r="K1244" t="inlineStr">
        <is>
          <t>Auto Dial Disconnected</t>
        </is>
      </c>
      <c r="L1244" t="n">
        <v>5</v>
      </c>
      <c r="M1244" t="inlineStr">
        <is>
          <t>2026-06-29 11:12:07</t>
        </is>
      </c>
      <c r="N1244" t="inlineStr">
        <is>
          <t>system</t>
        </is>
      </c>
      <c r="O1244" t="inlineStr">
        <is>
          <t>2026-06-17 14:10:06</t>
        </is>
      </c>
      <c r="P1244" t="inlineStr">
        <is>
          <t>2026-06-17 14:10:06</t>
        </is>
      </c>
      <c r="Y1244" t="inlineStr">
        <is>
          <t>27826904047</t>
        </is>
      </c>
    </row>
    <row r="1245">
      <c r="A1245" t="inlineStr">
        <is>
          <t>14920696</t>
        </is>
      </c>
      <c r="B1245" t="inlineStr">
        <is>
          <t>91fa746d-0382-4ec9-8728-6d66245a4321</t>
        </is>
      </c>
      <c r="D1245" t="inlineStr">
        <is>
          <t>111111124</t>
        </is>
      </c>
      <c r="E1245" t="inlineStr">
        <is>
          <t>Vodacom Life 20260617</t>
        </is>
      </c>
      <c r="G1245" t="inlineStr">
        <is>
          <t>MALETSIRI</t>
        </is>
      </c>
      <c r="H1245" t="inlineStr">
        <is>
          <t>MASHUPYE</t>
        </is>
      </c>
      <c r="J1245" t="inlineStr">
        <is>
          <t>AA</t>
        </is>
      </c>
      <c r="K1245" t="inlineStr">
        <is>
          <t>Answering Machine Autodial</t>
        </is>
      </c>
      <c r="L1245" t="n">
        <v>5</v>
      </c>
      <c r="M1245" t="inlineStr">
        <is>
          <t>2026-06-29 11:11:54</t>
        </is>
      </c>
      <c r="N1245" t="inlineStr">
        <is>
          <t>system</t>
        </is>
      </c>
      <c r="O1245" t="inlineStr">
        <is>
          <t>2026-06-17 14:10:06</t>
        </is>
      </c>
      <c r="P1245" t="inlineStr">
        <is>
          <t>2026-06-17 14:10:06</t>
        </is>
      </c>
      <c r="Y1245" t="inlineStr">
        <is>
          <t>27714510889</t>
        </is>
      </c>
    </row>
    <row r="1246">
      <c r="A1246" t="inlineStr">
        <is>
          <t>14921328</t>
        </is>
      </c>
      <c r="B1246" t="inlineStr">
        <is>
          <t>7a5c9afd-c37c-4f1b-9e8d-a952961e6734</t>
        </is>
      </c>
      <c r="D1246" t="inlineStr">
        <is>
          <t>111111124</t>
        </is>
      </c>
      <c r="E1246" t="inlineStr">
        <is>
          <t>Vodacom Life 20260617</t>
        </is>
      </c>
      <c r="G1246" t="inlineStr">
        <is>
          <t>TESSA</t>
        </is>
      </c>
      <c r="H1246" t="inlineStr">
        <is>
          <t>HENNING</t>
        </is>
      </c>
      <c r="J1246" t="inlineStr">
        <is>
          <t>DROP</t>
        </is>
      </c>
      <c r="K1246" t="inlineStr">
        <is>
          <t>Dropped</t>
        </is>
      </c>
      <c r="L1246" t="n">
        <v>5</v>
      </c>
      <c r="M1246" t="inlineStr">
        <is>
          <t>2026-06-29 11:11:54</t>
        </is>
      </c>
      <c r="N1246" t="inlineStr">
        <is>
          <t>system</t>
        </is>
      </c>
      <c r="O1246" t="inlineStr">
        <is>
          <t>2026-06-17 14:10:06</t>
        </is>
      </c>
      <c r="P1246" t="inlineStr">
        <is>
          <t>2026-06-17 14:10:06</t>
        </is>
      </c>
      <c r="Y1246" t="inlineStr">
        <is>
          <t>27827162575</t>
        </is>
      </c>
    </row>
    <row r="1247">
      <c r="A1247" t="inlineStr">
        <is>
          <t>14921329</t>
        </is>
      </c>
      <c r="B1247" t="inlineStr">
        <is>
          <t>9a315e81-cb84-4649-92d0-d0ededaa7726</t>
        </is>
      </c>
      <c r="D1247" t="inlineStr">
        <is>
          <t>111111124</t>
        </is>
      </c>
      <c r="E1247" t="inlineStr">
        <is>
          <t>Vodacom Life 20260617</t>
        </is>
      </c>
      <c r="G1247" t="inlineStr">
        <is>
          <t>ZODWA</t>
        </is>
      </c>
      <c r="H1247" t="inlineStr">
        <is>
          <t>MLILO</t>
        </is>
      </c>
      <c r="J1247" t="inlineStr">
        <is>
          <t>DROP</t>
        </is>
      </c>
      <c r="K1247" t="inlineStr">
        <is>
          <t>Dropped</t>
        </is>
      </c>
      <c r="L1247" t="n">
        <v>5</v>
      </c>
      <c r="M1247" t="inlineStr">
        <is>
          <t>2026-06-29 11:11:54</t>
        </is>
      </c>
      <c r="N1247" t="inlineStr">
        <is>
          <t>system</t>
        </is>
      </c>
      <c r="O1247" t="inlineStr">
        <is>
          <t>2026-06-17 14:10:06</t>
        </is>
      </c>
      <c r="P1247" t="inlineStr">
        <is>
          <t>2026-06-17 14:10:06</t>
        </is>
      </c>
      <c r="Y1247" t="inlineStr">
        <is>
          <t>27722324981</t>
        </is>
      </c>
    </row>
    <row r="1248">
      <c r="A1248" t="inlineStr">
        <is>
          <t>14921330</t>
        </is>
      </c>
      <c r="B1248" t="inlineStr">
        <is>
          <t>bedb8556-06fb-40fb-9111-9f2a5bbc3d8d</t>
        </is>
      </c>
      <c r="D1248" t="inlineStr">
        <is>
          <t>111111124</t>
        </is>
      </c>
      <c r="E1248" t="inlineStr">
        <is>
          <t>Vodacom Life 20260617</t>
        </is>
      </c>
      <c r="G1248" t="inlineStr">
        <is>
          <t>SIMON</t>
        </is>
      </c>
      <c r="H1248" t="inlineStr">
        <is>
          <t>MEEDING</t>
        </is>
      </c>
      <c r="J1248" t="inlineStr">
        <is>
          <t>NA</t>
        </is>
      </c>
      <c r="K1248" t="inlineStr">
        <is>
          <t>No Answer Autodial</t>
        </is>
      </c>
      <c r="L1248" t="n">
        <v>5</v>
      </c>
      <c r="M1248" t="inlineStr">
        <is>
          <t>2026-06-29 11:11:54</t>
        </is>
      </c>
      <c r="N1248" t="inlineStr">
        <is>
          <t>system</t>
        </is>
      </c>
      <c r="O1248" t="inlineStr">
        <is>
          <t>2026-06-17 14:10:06</t>
        </is>
      </c>
      <c r="P1248" t="inlineStr">
        <is>
          <t>2026-06-17 14:10:06</t>
        </is>
      </c>
      <c r="Y1248" t="inlineStr">
        <is>
          <t>27792641980</t>
        </is>
      </c>
    </row>
    <row r="1249">
      <c r="A1249" t="inlineStr">
        <is>
          <t>14921331</t>
        </is>
      </c>
      <c r="B1249" t="inlineStr">
        <is>
          <t>24041def-0c2c-4385-b179-d4dd79340dad</t>
        </is>
      </c>
      <c r="D1249" t="inlineStr">
        <is>
          <t>111111124</t>
        </is>
      </c>
      <c r="E1249" t="inlineStr">
        <is>
          <t>Vodacom Life 20260617</t>
        </is>
      </c>
      <c r="G1249" t="inlineStr">
        <is>
          <t>NATHALIA</t>
        </is>
      </c>
      <c r="H1249" t="inlineStr">
        <is>
          <t>BORCHARD</t>
        </is>
      </c>
      <c r="J1249" t="inlineStr">
        <is>
          <t>AA</t>
        </is>
      </c>
      <c r="K1249" t="inlineStr">
        <is>
          <t>Answering Machine Autodial</t>
        </is>
      </c>
      <c r="L1249" t="n">
        <v>5</v>
      </c>
      <c r="M1249" t="inlineStr">
        <is>
          <t>2026-06-29 11:11:54</t>
        </is>
      </c>
      <c r="N1249" t="inlineStr">
        <is>
          <t>system</t>
        </is>
      </c>
      <c r="O1249" t="inlineStr">
        <is>
          <t>2026-06-17 14:10:06</t>
        </is>
      </c>
      <c r="P1249" t="inlineStr">
        <is>
          <t>2026-06-17 14:10:06</t>
        </is>
      </c>
      <c r="Y1249" t="inlineStr">
        <is>
          <t>27723221535</t>
        </is>
      </c>
    </row>
    <row r="1250">
      <c r="A1250" t="inlineStr">
        <is>
          <t>14920520</t>
        </is>
      </c>
      <c r="B1250" t="inlineStr">
        <is>
          <t>86c31a28-1199-4446-bb3d-c407a0e45fc5</t>
        </is>
      </c>
      <c r="D1250" t="inlineStr">
        <is>
          <t>111111124</t>
        </is>
      </c>
      <c r="E1250" t="inlineStr">
        <is>
          <t>Vodacom Life 20260617</t>
        </is>
      </c>
      <c r="G1250" t="inlineStr">
        <is>
          <t>MARISHANE</t>
        </is>
      </c>
      <c r="H1250" t="inlineStr">
        <is>
          <t>KGOETIANE</t>
        </is>
      </c>
      <c r="J1250" t="inlineStr">
        <is>
          <t>N</t>
        </is>
      </c>
      <c r="K1250" t="inlineStr">
        <is>
          <t>No Answer</t>
        </is>
      </c>
      <c r="L1250" t="n">
        <v>6</v>
      </c>
      <c r="M1250" t="inlineStr">
        <is>
          <t>2026-06-29 11:05:28</t>
        </is>
      </c>
      <c r="N1250" t="inlineStr">
        <is>
          <t>Maureen Ntsoko</t>
        </is>
      </c>
      <c r="O1250" t="inlineStr">
        <is>
          <t>2026-06-17 14:10:06</t>
        </is>
      </c>
      <c r="P1250" t="inlineStr">
        <is>
          <t>2026-06-17 14:10:06</t>
        </is>
      </c>
      <c r="Y1250" t="inlineStr">
        <is>
          <t>27662154865</t>
        </is>
      </c>
    </row>
    <row r="1251">
      <c r="A1251" t="inlineStr">
        <is>
          <t>14920752</t>
        </is>
      </c>
      <c r="B1251" t="inlineStr">
        <is>
          <t>9a32f554-639b-475e-a8ee-fa92a7506996</t>
        </is>
      </c>
      <c r="D1251" t="inlineStr">
        <is>
          <t>111111124</t>
        </is>
      </c>
      <c r="E1251" t="inlineStr">
        <is>
          <t>Vodacom Life 20260617</t>
        </is>
      </c>
      <c r="G1251" t="inlineStr">
        <is>
          <t>ANTONIO</t>
        </is>
      </c>
      <c r="H1251" t="inlineStr">
        <is>
          <t>SOOBRAMONEY</t>
        </is>
      </c>
      <c r="J1251" t="inlineStr">
        <is>
          <t>DQQD</t>
        </is>
      </c>
      <c r="K1251" t="inlineStr">
        <is>
          <t>DNQ Quote Declined</t>
        </is>
      </c>
      <c r="L1251" t="n">
        <v>6</v>
      </c>
      <c r="M1251" t="inlineStr">
        <is>
          <t>2026-06-29 10:29:19</t>
        </is>
      </c>
      <c r="N1251" t="inlineStr">
        <is>
          <t>Khensane Mabasa</t>
        </is>
      </c>
      <c r="O1251" t="inlineStr">
        <is>
          <t>2026-06-17 14:10:06</t>
        </is>
      </c>
      <c r="P1251" t="inlineStr">
        <is>
          <t>2026-06-17 14:10:06</t>
        </is>
      </c>
      <c r="Y1251" t="inlineStr">
        <is>
          <t>27609235133</t>
        </is>
      </c>
    </row>
    <row r="1252">
      <c r="A1252" t="inlineStr">
        <is>
          <t>14921635</t>
        </is>
      </c>
      <c r="B1252" t="inlineStr">
        <is>
          <t>dcaf65a5-e1ff-4f23-8c94-511fffbffa2d</t>
        </is>
      </c>
      <c r="D1252" t="inlineStr">
        <is>
          <t>111111124</t>
        </is>
      </c>
      <c r="E1252" t="inlineStr">
        <is>
          <t>Vodacom Life 20260617</t>
        </is>
      </c>
      <c r="G1252" t="inlineStr">
        <is>
          <t>BOITUMELO</t>
        </is>
      </c>
      <c r="H1252" t="inlineStr">
        <is>
          <t>MOKGOETSI</t>
        </is>
      </c>
      <c r="J1252" t="inlineStr">
        <is>
          <t>NA</t>
        </is>
      </c>
      <c r="K1252" t="inlineStr">
        <is>
          <t>No Answer Autodial</t>
        </is>
      </c>
      <c r="L1252" t="n">
        <v>5</v>
      </c>
      <c r="M1252" t="inlineStr">
        <is>
          <t>2026-06-29 09:22:24</t>
        </is>
      </c>
      <c r="N1252" t="inlineStr">
        <is>
          <t>system</t>
        </is>
      </c>
      <c r="O1252" t="inlineStr">
        <is>
          <t>2026-06-17 14:10:06</t>
        </is>
      </c>
      <c r="P1252" t="inlineStr">
        <is>
          <t>2026-06-17 14:10:06</t>
        </is>
      </c>
      <c r="Y1252" t="inlineStr">
        <is>
          <t>27793228576</t>
        </is>
      </c>
    </row>
    <row r="1253">
      <c r="A1253" t="inlineStr">
        <is>
          <t>14921074</t>
        </is>
      </c>
      <c r="B1253" t="inlineStr">
        <is>
          <t>f6b39a0f-01c4-477a-9700-ec162f437c43</t>
        </is>
      </c>
      <c r="D1253" t="inlineStr">
        <is>
          <t>111111124</t>
        </is>
      </c>
      <c r="E1253" t="inlineStr">
        <is>
          <t>Vodacom Life 20260617</t>
        </is>
      </c>
      <c r="G1253" t="inlineStr">
        <is>
          <t>NKOSI</t>
        </is>
      </c>
      <c r="H1253" t="inlineStr">
        <is>
          <t>DLAMINI</t>
        </is>
      </c>
      <c r="J1253" t="inlineStr">
        <is>
          <t>CCB</t>
        </is>
      </c>
      <c r="K1253" t="inlineStr">
        <is>
          <t>Call Dropped</t>
        </is>
      </c>
      <c r="L1253" t="n">
        <v>6</v>
      </c>
      <c r="M1253" t="inlineStr">
        <is>
          <t>2026-06-29 09:03:04</t>
        </is>
      </c>
      <c r="N1253" t="inlineStr">
        <is>
          <t>Khensane Mabasa</t>
        </is>
      </c>
      <c r="O1253" t="inlineStr">
        <is>
          <t>2026-06-17 14:10:06</t>
        </is>
      </c>
      <c r="P1253" t="inlineStr">
        <is>
          <t>2026-06-17 14:10:06</t>
        </is>
      </c>
      <c r="Y1253" t="inlineStr">
        <is>
          <t>27721968903</t>
        </is>
      </c>
    </row>
    <row r="1254">
      <c r="A1254" t="inlineStr">
        <is>
          <t>14921733</t>
        </is>
      </c>
      <c r="B1254" t="inlineStr">
        <is>
          <t>3c7ed8a3-0593-466d-a34b-8947d0b69c39</t>
        </is>
      </c>
      <c r="D1254" t="inlineStr">
        <is>
          <t>111111124</t>
        </is>
      </c>
      <c r="E1254" t="inlineStr">
        <is>
          <t>Vodacom Life 20260617</t>
        </is>
      </c>
      <c r="G1254" t="inlineStr">
        <is>
          <t>BHEKIZIZWE</t>
        </is>
      </c>
      <c r="H1254" t="inlineStr">
        <is>
          <t>NYEMBE</t>
        </is>
      </c>
      <c r="J1254" t="inlineStr">
        <is>
          <t>A</t>
        </is>
      </c>
      <c r="K1254" t="inlineStr">
        <is>
          <t>Answering Machine</t>
        </is>
      </c>
      <c r="L1254" t="n">
        <v>5</v>
      </c>
      <c r="M1254" t="inlineStr">
        <is>
          <t>2026-06-29 09:01:54</t>
        </is>
      </c>
      <c r="N1254" t="inlineStr">
        <is>
          <t>Khensane Mabasa</t>
        </is>
      </c>
      <c r="O1254" t="inlineStr">
        <is>
          <t>2026-06-17 14:10:06</t>
        </is>
      </c>
      <c r="P1254" t="inlineStr">
        <is>
          <t>2026-06-17 14:10:06</t>
        </is>
      </c>
      <c r="Y1254" t="inlineStr">
        <is>
          <t>27828040695</t>
        </is>
      </c>
    </row>
    <row r="1255">
      <c r="A1255" t="inlineStr">
        <is>
          <t>14921233</t>
        </is>
      </c>
      <c r="B1255" t="inlineStr">
        <is>
          <t>7b448ea5-8688-47ff-bb01-9888ebae6e04</t>
        </is>
      </c>
      <c r="D1255" t="inlineStr">
        <is>
          <t>111111124</t>
        </is>
      </c>
      <c r="E1255" t="inlineStr">
        <is>
          <t>Vodacom Life 20260617</t>
        </is>
      </c>
      <c r="G1255" t="inlineStr">
        <is>
          <t>ANGEL</t>
        </is>
      </c>
      <c r="H1255" t="inlineStr">
        <is>
          <t>NKONYANE</t>
        </is>
      </c>
      <c r="J1255" t="inlineStr">
        <is>
          <t>NI</t>
        </is>
      </c>
      <c r="K1255" t="inlineStr">
        <is>
          <t>Not Interested</t>
        </is>
      </c>
      <c r="L1255" t="n">
        <v>5</v>
      </c>
      <c r="M1255" t="inlineStr">
        <is>
          <t>2026-06-29 09:00:27</t>
        </is>
      </c>
      <c r="N1255" t="inlineStr">
        <is>
          <t>Khensane Mabasa</t>
        </is>
      </c>
      <c r="O1255" t="inlineStr">
        <is>
          <t>2026-06-17 14:10:06</t>
        </is>
      </c>
      <c r="P1255" t="inlineStr">
        <is>
          <t>2026-06-17 14:10:06</t>
        </is>
      </c>
      <c r="Y1255" t="inlineStr">
        <is>
          <t>27712557045</t>
        </is>
      </c>
    </row>
    <row r="1256">
      <c r="A1256" t="inlineStr">
        <is>
          <t>14921151</t>
        </is>
      </c>
      <c r="B1256" t="inlineStr">
        <is>
          <t>823f4129-5764-4cf1-8617-3cef9a0e5b34</t>
        </is>
      </c>
      <c r="D1256" t="inlineStr">
        <is>
          <t>111111124</t>
        </is>
      </c>
      <c r="E1256" t="inlineStr">
        <is>
          <t>Vodacom Life 20260617</t>
        </is>
      </c>
      <c r="G1256" t="inlineStr">
        <is>
          <t>SANAH</t>
        </is>
      </c>
      <c r="H1256" t="inlineStr">
        <is>
          <t>RAMOHLALE</t>
        </is>
      </c>
      <c r="J1256" t="inlineStr">
        <is>
          <t>N</t>
        </is>
      </c>
      <c r="K1256" t="inlineStr">
        <is>
          <t>No Answer</t>
        </is>
      </c>
      <c r="L1256" t="n">
        <v>5</v>
      </c>
      <c r="M1256" t="inlineStr">
        <is>
          <t>2026-06-29 08:23:49</t>
        </is>
      </c>
      <c r="N1256" t="inlineStr">
        <is>
          <t>Maureen Ntsoko</t>
        </is>
      </c>
      <c r="O1256" t="inlineStr">
        <is>
          <t>2026-06-17 14:10:06</t>
        </is>
      </c>
      <c r="P1256" t="inlineStr">
        <is>
          <t>2026-06-17 14:10:06</t>
        </is>
      </c>
      <c r="Y1256" t="inlineStr">
        <is>
          <t>27662041558</t>
        </is>
      </c>
    </row>
    <row r="1257">
      <c r="A1257" t="inlineStr">
        <is>
          <t>14921485</t>
        </is>
      </c>
      <c r="B1257" t="inlineStr">
        <is>
          <t>1b13c30d-cc38-4f00-955c-607b27d73a13</t>
        </is>
      </c>
      <c r="D1257" t="inlineStr">
        <is>
          <t>111111124</t>
        </is>
      </c>
      <c r="E1257" t="inlineStr">
        <is>
          <t>Vodacom Life 20260617</t>
        </is>
      </c>
      <c r="G1257" t="inlineStr">
        <is>
          <t>NONCEBA</t>
        </is>
      </c>
      <c r="H1257" t="inlineStr">
        <is>
          <t>QOLO</t>
        </is>
      </c>
      <c r="J1257" t="inlineStr">
        <is>
          <t>CU</t>
        </is>
      </c>
      <c r="K1257" t="inlineStr">
        <is>
          <t>Client Hung Up</t>
        </is>
      </c>
      <c r="L1257" t="n">
        <v>5</v>
      </c>
      <c r="M1257" t="inlineStr">
        <is>
          <t>2026-06-29 07:37:46</t>
        </is>
      </c>
      <c r="N1257" t="inlineStr">
        <is>
          <t>bongiwe lushaba</t>
        </is>
      </c>
      <c r="O1257" t="inlineStr">
        <is>
          <t>2026-06-17 14:10:06</t>
        </is>
      </c>
      <c r="P1257" t="inlineStr">
        <is>
          <t>2026-06-17 14:10:06</t>
        </is>
      </c>
      <c r="Y1257" t="inlineStr">
        <is>
          <t>27662672200</t>
        </is>
      </c>
    </row>
    <row r="1258">
      <c r="A1258" t="inlineStr">
        <is>
          <t>14920475</t>
        </is>
      </c>
      <c r="B1258" t="inlineStr">
        <is>
          <t>be9ef38f-29d2-4327-aec9-8178845a7aa4</t>
        </is>
      </c>
      <c r="D1258" t="inlineStr">
        <is>
          <t>111111124</t>
        </is>
      </c>
      <c r="E1258" t="inlineStr">
        <is>
          <t>Vodacom Life 20260617</t>
        </is>
      </c>
      <c r="G1258" t="inlineStr">
        <is>
          <t>ALOYIOUS</t>
        </is>
      </c>
      <c r="H1258" t="inlineStr">
        <is>
          <t>IHESIE</t>
        </is>
      </c>
      <c r="J1258" t="inlineStr">
        <is>
          <t>CB</t>
        </is>
      </c>
      <c r="K1258" t="inlineStr">
        <is>
          <t>Busy Tone</t>
        </is>
      </c>
      <c r="L1258" t="n">
        <v>5</v>
      </c>
      <c r="M1258" t="inlineStr">
        <is>
          <t>2026-06-26 11:39:58</t>
        </is>
      </c>
      <c r="N1258" t="inlineStr">
        <is>
          <t>Khensane Mabasa</t>
        </is>
      </c>
      <c r="O1258" t="inlineStr">
        <is>
          <t>2026-06-17 14:10:06</t>
        </is>
      </c>
      <c r="P1258" t="inlineStr">
        <is>
          <t>2026-06-17 14:10:06</t>
        </is>
      </c>
      <c r="Y1258" t="inlineStr">
        <is>
          <t>27839753191</t>
        </is>
      </c>
    </row>
    <row r="1259">
      <c r="A1259" t="inlineStr">
        <is>
          <t>14921433</t>
        </is>
      </c>
      <c r="B1259" t="inlineStr">
        <is>
          <t>05ab4abe-998e-4120-b815-01874ceb8af8</t>
        </is>
      </c>
      <c r="D1259" t="inlineStr">
        <is>
          <t>111111124</t>
        </is>
      </c>
      <c r="E1259" t="inlineStr">
        <is>
          <t>Vodacom Life 20260617</t>
        </is>
      </c>
      <c r="G1259" t="inlineStr">
        <is>
          <t>RONEL</t>
        </is>
      </c>
      <c r="H1259" t="inlineStr">
        <is>
          <t>ENTRES</t>
        </is>
      </c>
      <c r="J1259" t="inlineStr">
        <is>
          <t>NIUP</t>
        </is>
      </c>
      <c r="K1259" t="inlineStr">
        <is>
          <t>Not Interested Upfront</t>
        </is>
      </c>
      <c r="L1259" t="n">
        <v>4</v>
      </c>
      <c r="M1259" t="inlineStr">
        <is>
          <t>2026-06-26 10:12:18</t>
        </is>
      </c>
      <c r="N1259" t="inlineStr">
        <is>
          <t>Khensane Mabasa</t>
        </is>
      </c>
      <c r="O1259" t="inlineStr">
        <is>
          <t>2026-06-17 14:10:06</t>
        </is>
      </c>
      <c r="P1259" t="inlineStr">
        <is>
          <t>2026-06-17 14:10:06</t>
        </is>
      </c>
      <c r="Y1259" t="inlineStr">
        <is>
          <t>27609667000</t>
        </is>
      </c>
    </row>
    <row r="1260">
      <c r="A1260" t="inlineStr">
        <is>
          <t>14921902</t>
        </is>
      </c>
      <c r="B1260" t="inlineStr">
        <is>
          <t>bcef74f4-5320-41da-9c2f-3c1de00f0a44</t>
        </is>
      </c>
      <c r="D1260" t="inlineStr">
        <is>
          <t>111111124</t>
        </is>
      </c>
      <c r="E1260" t="inlineStr">
        <is>
          <t>Vodacom Life 20260617</t>
        </is>
      </c>
      <c r="G1260" t="inlineStr">
        <is>
          <t>SANDRA</t>
        </is>
      </c>
      <c r="H1260" t="inlineStr">
        <is>
          <t>MOGOERE</t>
        </is>
      </c>
      <c r="J1260" t="inlineStr">
        <is>
          <t>NI</t>
        </is>
      </c>
      <c r="K1260" t="inlineStr">
        <is>
          <t>Not Interested</t>
        </is>
      </c>
      <c r="L1260" t="n">
        <v>4</v>
      </c>
      <c r="M1260" t="inlineStr">
        <is>
          <t>2026-06-26 09:58:08</t>
        </is>
      </c>
      <c r="N1260" t="inlineStr">
        <is>
          <t>Khensane Mabasa</t>
        </is>
      </c>
      <c r="O1260" t="inlineStr">
        <is>
          <t>2026-06-17 14:10:06</t>
        </is>
      </c>
      <c r="P1260" t="inlineStr">
        <is>
          <t>2026-06-17 14:10:06</t>
        </is>
      </c>
      <c r="Y1260" t="inlineStr">
        <is>
          <t>27722041971</t>
        </is>
      </c>
    </row>
    <row r="1261">
      <c r="A1261" t="inlineStr">
        <is>
          <t>14921389</t>
        </is>
      </c>
      <c r="B1261" t="inlineStr">
        <is>
          <t>04544c20-aad8-4f34-8f41-1800b73ef69c</t>
        </is>
      </c>
      <c r="D1261" t="inlineStr">
        <is>
          <t>111111124</t>
        </is>
      </c>
      <c r="E1261" t="inlineStr">
        <is>
          <t>Vodacom Life 20260617</t>
        </is>
      </c>
      <c r="G1261" t="inlineStr">
        <is>
          <t>MAKHANANI</t>
        </is>
      </c>
      <c r="H1261" t="inlineStr">
        <is>
          <t>LANGA</t>
        </is>
      </c>
      <c r="J1261" t="inlineStr">
        <is>
          <t>WN</t>
        </is>
      </c>
      <c r="K1261" t="inlineStr">
        <is>
          <t>Wrong Number</t>
        </is>
      </c>
      <c r="L1261" t="n">
        <v>4</v>
      </c>
      <c r="M1261" t="inlineStr">
        <is>
          <t>2026-06-26 09:57:46</t>
        </is>
      </c>
      <c r="N1261" t="inlineStr">
        <is>
          <t>Musiiwa Mary Mabirimisa</t>
        </is>
      </c>
      <c r="O1261" t="inlineStr">
        <is>
          <t>2026-06-17 14:10:06</t>
        </is>
      </c>
      <c r="P1261" t="inlineStr">
        <is>
          <t>2026-06-17 14:10:06</t>
        </is>
      </c>
      <c r="Y1261" t="inlineStr">
        <is>
          <t>27798833652</t>
        </is>
      </c>
    </row>
    <row r="1262">
      <c r="A1262" t="inlineStr">
        <is>
          <t>14921534</t>
        </is>
      </c>
      <c r="B1262" t="inlineStr">
        <is>
          <t>3a6ff89c-06d0-4c75-a900-5ce673b66bb3</t>
        </is>
      </c>
      <c r="D1262" t="inlineStr">
        <is>
          <t>111111124</t>
        </is>
      </c>
      <c r="E1262" t="inlineStr">
        <is>
          <t>Vodacom Life 20260617</t>
        </is>
      </c>
      <c r="G1262" t="inlineStr">
        <is>
          <t>LEA</t>
        </is>
      </c>
      <c r="H1262" t="inlineStr">
        <is>
          <t>PITCO</t>
        </is>
      </c>
      <c r="J1262" t="inlineStr">
        <is>
          <t>NI</t>
        </is>
      </c>
      <c r="K1262" t="inlineStr">
        <is>
          <t>Not Interested</t>
        </is>
      </c>
      <c r="L1262" t="n">
        <v>4</v>
      </c>
      <c r="M1262" t="inlineStr">
        <is>
          <t>2026-06-26 09:54:50</t>
        </is>
      </c>
      <c r="N1262" t="inlineStr">
        <is>
          <t>Musiiwa Mary Mabirimisa</t>
        </is>
      </c>
      <c r="O1262" t="inlineStr">
        <is>
          <t>2026-06-17 14:10:06</t>
        </is>
      </c>
      <c r="P1262" t="inlineStr">
        <is>
          <t>2026-06-17 14:10:06</t>
        </is>
      </c>
      <c r="Y1262" t="inlineStr">
        <is>
          <t>27767563395</t>
        </is>
      </c>
    </row>
    <row r="1263">
      <c r="A1263" t="inlineStr">
        <is>
          <t>14921538</t>
        </is>
      </c>
      <c r="B1263" t="inlineStr">
        <is>
          <t>ae441776-33a1-4702-b89d-7eea5db72754</t>
        </is>
      </c>
      <c r="D1263" t="inlineStr">
        <is>
          <t>111111124</t>
        </is>
      </c>
      <c r="E1263" t="inlineStr">
        <is>
          <t>Vodacom Life 20260617</t>
        </is>
      </c>
      <c r="G1263" t="inlineStr">
        <is>
          <t>KEABETSWE</t>
        </is>
      </c>
      <c r="H1263" t="inlineStr">
        <is>
          <t>SEBONYANE</t>
        </is>
      </c>
      <c r="J1263" t="inlineStr">
        <is>
          <t>NI</t>
        </is>
      </c>
      <c r="K1263" t="inlineStr">
        <is>
          <t>Not Interested</t>
        </is>
      </c>
      <c r="L1263" t="n">
        <v>4</v>
      </c>
      <c r="M1263" t="inlineStr">
        <is>
          <t>2026-06-26 09:54:43</t>
        </is>
      </c>
      <c r="N1263" t="inlineStr">
        <is>
          <t>Khensane Mabasa</t>
        </is>
      </c>
      <c r="O1263" t="inlineStr">
        <is>
          <t>2026-06-17 14:10:06</t>
        </is>
      </c>
      <c r="P1263" t="inlineStr">
        <is>
          <t>2026-06-17 14:10:06</t>
        </is>
      </c>
      <c r="Y1263" t="inlineStr">
        <is>
          <t>27662201458</t>
        </is>
      </c>
    </row>
    <row r="1264">
      <c r="A1264" t="inlineStr">
        <is>
          <t>14921611</t>
        </is>
      </c>
      <c r="B1264" t="inlineStr">
        <is>
          <t>f172fae1-2df6-4446-9ef9-77ede3246d6f</t>
        </is>
      </c>
      <c r="D1264" t="inlineStr">
        <is>
          <t>111111124</t>
        </is>
      </c>
      <c r="E1264" t="inlineStr">
        <is>
          <t>Vodacom Life 20260617</t>
        </is>
      </c>
      <c r="G1264" t="inlineStr">
        <is>
          <t>MOUTON</t>
        </is>
      </c>
      <c r="H1264" t="inlineStr">
        <is>
          <t>JOUBERT</t>
        </is>
      </c>
      <c r="J1264" t="inlineStr">
        <is>
          <t>NI</t>
        </is>
      </c>
      <c r="K1264" t="inlineStr">
        <is>
          <t>Not Interested</t>
        </is>
      </c>
      <c r="L1264" t="n">
        <v>4</v>
      </c>
      <c r="M1264" t="inlineStr">
        <is>
          <t>2026-06-26 09:53:35</t>
        </is>
      </c>
      <c r="N1264" t="inlineStr">
        <is>
          <t>Khensane Mabasa</t>
        </is>
      </c>
      <c r="O1264" t="inlineStr">
        <is>
          <t>2026-06-17 14:10:06</t>
        </is>
      </c>
      <c r="P1264" t="inlineStr">
        <is>
          <t>2026-06-17 14:10:06</t>
        </is>
      </c>
      <c r="Y1264" t="inlineStr">
        <is>
          <t>27646191557</t>
        </is>
      </c>
    </row>
    <row r="1265">
      <c r="A1265" t="inlineStr">
        <is>
          <t>14921499</t>
        </is>
      </c>
      <c r="B1265" t="inlineStr">
        <is>
          <t>34214d23-2ad5-4e0b-9fbd-666c9a8d033a</t>
        </is>
      </c>
      <c r="D1265" t="inlineStr">
        <is>
          <t>111111124</t>
        </is>
      </c>
      <c r="E1265" t="inlineStr">
        <is>
          <t>Vodacom Life 20260617</t>
        </is>
      </c>
      <c r="G1265" t="inlineStr">
        <is>
          <t>MOGANETSI</t>
        </is>
      </c>
      <c r="H1265" t="inlineStr">
        <is>
          <t>DITSE</t>
        </is>
      </c>
      <c r="J1265" t="inlineStr">
        <is>
          <t>AC</t>
        </is>
      </c>
      <c r="K1265" t="inlineStr">
        <is>
          <t>Already Contacted</t>
        </is>
      </c>
      <c r="L1265" t="n">
        <v>6</v>
      </c>
      <c r="M1265" t="inlineStr">
        <is>
          <t>2026-06-26 09:43:53</t>
        </is>
      </c>
      <c r="N1265" t="inlineStr">
        <is>
          <t>Maureen Ntsoko</t>
        </is>
      </c>
      <c r="O1265" t="inlineStr">
        <is>
          <t>2026-06-17 14:10:06</t>
        </is>
      </c>
      <c r="P1265" t="inlineStr">
        <is>
          <t>2026-06-17 14:10:06</t>
        </is>
      </c>
      <c r="Y1265" t="inlineStr">
        <is>
          <t>27714654887</t>
        </is>
      </c>
    </row>
    <row r="1266">
      <c r="A1266" t="inlineStr">
        <is>
          <t>14921624</t>
        </is>
      </c>
      <c r="B1266" t="inlineStr">
        <is>
          <t>f534a469-c625-4565-afea-677b0d2e762e</t>
        </is>
      </c>
      <c r="D1266" t="inlineStr">
        <is>
          <t>111111124</t>
        </is>
      </c>
      <c r="E1266" t="inlineStr">
        <is>
          <t>Vodacom Life 20260617</t>
        </is>
      </c>
      <c r="G1266" t="inlineStr">
        <is>
          <t>MALEGODI</t>
        </is>
      </c>
      <c r="H1266" t="inlineStr">
        <is>
          <t>THOBEJANE</t>
        </is>
      </c>
      <c r="J1266" t="inlineStr">
        <is>
          <t>NI</t>
        </is>
      </c>
      <c r="K1266" t="inlineStr">
        <is>
          <t>Not Interested</t>
        </is>
      </c>
      <c r="L1266" t="n">
        <v>4</v>
      </c>
      <c r="M1266" t="inlineStr">
        <is>
          <t>2026-06-26 09:39:47</t>
        </is>
      </c>
      <c r="N1266" t="inlineStr">
        <is>
          <t>Musiiwa Mary Mabirimisa</t>
        </is>
      </c>
      <c r="O1266" t="inlineStr">
        <is>
          <t>2026-06-17 14:10:06</t>
        </is>
      </c>
      <c r="P1266" t="inlineStr">
        <is>
          <t>2026-06-17 14:10:06</t>
        </is>
      </c>
      <c r="Y1266" t="inlineStr">
        <is>
          <t>27722123145</t>
        </is>
      </c>
    </row>
    <row r="1267">
      <c r="A1267" t="inlineStr">
        <is>
          <t>14921423</t>
        </is>
      </c>
      <c r="B1267" t="inlineStr">
        <is>
          <t>410be462-a611-4ebc-b497-227cbc6c1720</t>
        </is>
      </c>
      <c r="D1267" t="inlineStr">
        <is>
          <t>111111124</t>
        </is>
      </c>
      <c r="E1267" t="inlineStr">
        <is>
          <t>Vodacom Life 20260617</t>
        </is>
      </c>
      <c r="G1267" t="inlineStr">
        <is>
          <t>THOBELA</t>
        </is>
      </c>
      <c r="H1267" t="inlineStr">
        <is>
          <t>MEKUTO</t>
        </is>
      </c>
      <c r="J1267" t="inlineStr">
        <is>
          <t>WN</t>
        </is>
      </c>
      <c r="K1267" t="inlineStr">
        <is>
          <t>Wrong Number</t>
        </is>
      </c>
      <c r="L1267" t="n">
        <v>4</v>
      </c>
      <c r="M1267" t="inlineStr">
        <is>
          <t>2026-06-26 09:37:49</t>
        </is>
      </c>
      <c r="N1267" t="inlineStr">
        <is>
          <t>Musiiwa Mary Mabirimisa</t>
        </is>
      </c>
      <c r="O1267" t="inlineStr">
        <is>
          <t>2026-06-17 14:10:06</t>
        </is>
      </c>
      <c r="P1267" t="inlineStr">
        <is>
          <t>2026-06-17 14:10:06</t>
        </is>
      </c>
      <c r="Y1267" t="inlineStr">
        <is>
          <t>27823309072</t>
        </is>
      </c>
    </row>
    <row r="1268">
      <c r="A1268" t="inlineStr">
        <is>
          <t>14920742</t>
        </is>
      </c>
      <c r="B1268" t="inlineStr">
        <is>
          <t>3386f10e-ca63-4118-a934-1465025b7a97</t>
        </is>
      </c>
      <c r="D1268" t="inlineStr">
        <is>
          <t>111111124</t>
        </is>
      </c>
      <c r="E1268" t="inlineStr">
        <is>
          <t>Vodacom Life 20260617</t>
        </is>
      </c>
      <c r="G1268" t="inlineStr">
        <is>
          <t>DANIEL</t>
        </is>
      </c>
      <c r="H1268" t="inlineStr">
        <is>
          <t>SHIKONGO</t>
        </is>
      </c>
      <c r="J1268" t="inlineStr">
        <is>
          <t>A</t>
        </is>
      </c>
      <c r="K1268" t="inlineStr">
        <is>
          <t>Answering Machine</t>
        </is>
      </c>
      <c r="L1268" t="n">
        <v>6</v>
      </c>
      <c r="M1268" t="inlineStr">
        <is>
          <t>2026-06-26 09:30:18</t>
        </is>
      </c>
      <c r="N1268" t="inlineStr">
        <is>
          <t>Musiiwa Mary Mabirimisa</t>
        </is>
      </c>
      <c r="O1268" t="inlineStr">
        <is>
          <t>2026-06-17 14:10:06</t>
        </is>
      </c>
      <c r="P1268" t="inlineStr">
        <is>
          <t>2026-06-17 14:10:06</t>
        </is>
      </c>
      <c r="Y1268" t="inlineStr">
        <is>
          <t>27674055071</t>
        </is>
      </c>
    </row>
    <row r="1269">
      <c r="A1269" t="inlineStr">
        <is>
          <t>14920980</t>
        </is>
      </c>
      <c r="B1269" t="inlineStr">
        <is>
          <t>d5180b2a-0463-45bc-8365-da541b4857ac</t>
        </is>
      </c>
      <c r="D1269" t="inlineStr">
        <is>
          <t>111111124</t>
        </is>
      </c>
      <c r="E1269" t="inlineStr">
        <is>
          <t>Vodacom Life 20260617</t>
        </is>
      </c>
      <c r="G1269" t="inlineStr">
        <is>
          <t>PUTHI</t>
        </is>
      </c>
      <c r="H1269" t="inlineStr">
        <is>
          <t>MMAMPA</t>
        </is>
      </c>
      <c r="J1269" t="inlineStr">
        <is>
          <t>U</t>
        </is>
      </c>
      <c r="K1269" t="inlineStr">
        <is>
          <t>Unemployed</t>
        </is>
      </c>
      <c r="L1269" t="n">
        <v>4</v>
      </c>
      <c r="M1269" t="inlineStr">
        <is>
          <t>2026-06-26 09:29:55</t>
        </is>
      </c>
      <c r="N1269" t="inlineStr">
        <is>
          <t>bongiwe lushaba</t>
        </is>
      </c>
      <c r="O1269" t="inlineStr">
        <is>
          <t>2026-06-17 14:10:06</t>
        </is>
      </c>
      <c r="P1269" t="inlineStr">
        <is>
          <t>2026-06-17 14:10:06</t>
        </is>
      </c>
      <c r="Y1269" t="inlineStr">
        <is>
          <t>27764611182</t>
        </is>
      </c>
    </row>
    <row r="1270">
      <c r="A1270" t="inlineStr">
        <is>
          <t>14921867</t>
        </is>
      </c>
      <c r="B1270" t="inlineStr">
        <is>
          <t>7835f319-fd95-401a-960c-00e71a89809b</t>
        </is>
      </c>
      <c r="D1270" t="inlineStr">
        <is>
          <t>111111124</t>
        </is>
      </c>
      <c r="E1270" t="inlineStr">
        <is>
          <t>Vodacom Life 20260617</t>
        </is>
      </c>
      <c r="G1270" t="inlineStr">
        <is>
          <t>THEO</t>
        </is>
      </c>
      <c r="H1270" t="inlineStr">
        <is>
          <t>MOSTERT</t>
        </is>
      </c>
      <c r="J1270" t="inlineStr">
        <is>
          <t>NIUP</t>
        </is>
      </c>
      <c r="K1270" t="inlineStr">
        <is>
          <t>Not Interested Upfront</t>
        </is>
      </c>
      <c r="L1270" t="n">
        <v>4</v>
      </c>
      <c r="M1270" t="inlineStr">
        <is>
          <t>2026-06-26 09:09:32</t>
        </is>
      </c>
      <c r="N1270" t="inlineStr">
        <is>
          <t>Maureen Ntsoko</t>
        </is>
      </c>
      <c r="O1270" t="inlineStr">
        <is>
          <t>2026-06-17 14:10:06</t>
        </is>
      </c>
      <c r="P1270" t="inlineStr">
        <is>
          <t>2026-06-17 14:10:06</t>
        </is>
      </c>
      <c r="Y1270" t="inlineStr">
        <is>
          <t>27828938402</t>
        </is>
      </c>
    </row>
    <row r="1271">
      <c r="A1271" t="inlineStr">
        <is>
          <t>14920708</t>
        </is>
      </c>
      <c r="B1271" t="inlineStr">
        <is>
          <t>9dfd38f8-7f44-4a8e-a3b2-9a5888a591b0</t>
        </is>
      </c>
      <c r="D1271" t="inlineStr">
        <is>
          <t>111111124</t>
        </is>
      </c>
      <c r="E1271" t="inlineStr">
        <is>
          <t>Vodacom Life 20260617</t>
        </is>
      </c>
      <c r="G1271" t="inlineStr">
        <is>
          <t>JOHANNES</t>
        </is>
      </c>
      <c r="H1271" t="inlineStr">
        <is>
          <t>BARNARD</t>
        </is>
      </c>
      <c r="J1271" t="inlineStr">
        <is>
          <t>NI</t>
        </is>
      </c>
      <c r="K1271" t="inlineStr">
        <is>
          <t>Not Interested</t>
        </is>
      </c>
      <c r="L1271" t="n">
        <v>4</v>
      </c>
      <c r="M1271" t="inlineStr">
        <is>
          <t>2026-06-26 09:01:10</t>
        </is>
      </c>
      <c r="N1271" t="inlineStr">
        <is>
          <t>Maureen Ntsoko</t>
        </is>
      </c>
      <c r="O1271" t="inlineStr">
        <is>
          <t>2026-06-17 14:10:06</t>
        </is>
      </c>
      <c r="P1271" t="inlineStr">
        <is>
          <t>2026-06-17 14:10:06</t>
        </is>
      </c>
      <c r="Y1271" t="inlineStr">
        <is>
          <t>27646541746</t>
        </is>
      </c>
    </row>
    <row r="1272">
      <c r="A1272" t="inlineStr">
        <is>
          <t>14920627</t>
        </is>
      </c>
      <c r="B1272" t="inlineStr">
        <is>
          <t>629007c7-61ad-4674-86b2-bddad9911860</t>
        </is>
      </c>
      <c r="D1272" t="inlineStr">
        <is>
          <t>111111124</t>
        </is>
      </c>
      <c r="E1272" t="inlineStr">
        <is>
          <t>Vodacom Life 20260617</t>
        </is>
      </c>
      <c r="G1272" t="inlineStr">
        <is>
          <t>NABO</t>
        </is>
      </c>
      <c r="H1272" t="inlineStr">
        <is>
          <t>MAVUSO</t>
        </is>
      </c>
      <c r="J1272" t="inlineStr">
        <is>
          <t>GTTB</t>
        </is>
      </c>
      <c r="K1272" t="inlineStr">
        <is>
          <t>Go To The Branch</t>
        </is>
      </c>
      <c r="L1272" t="n">
        <v>4</v>
      </c>
      <c r="M1272" t="inlineStr">
        <is>
          <t>2026-06-26 08:56:28</t>
        </is>
      </c>
      <c r="N1272" t="inlineStr">
        <is>
          <t>Maureen Ntsoko</t>
        </is>
      </c>
      <c r="O1272" t="inlineStr">
        <is>
          <t>2026-06-17 14:10:06</t>
        </is>
      </c>
      <c r="P1272" t="inlineStr">
        <is>
          <t>2026-06-17 14:10:06</t>
        </is>
      </c>
      <c r="Y1272" t="inlineStr">
        <is>
          <t>27608505446</t>
        </is>
      </c>
    </row>
    <row r="1273">
      <c r="A1273" t="inlineStr">
        <is>
          <t>14920930</t>
        </is>
      </c>
      <c r="B1273" t="inlineStr">
        <is>
          <t>edeb240d-f141-42c4-b31c-377fcaefc22d</t>
        </is>
      </c>
      <c r="D1273" t="inlineStr">
        <is>
          <t>111111124</t>
        </is>
      </c>
      <c r="E1273" t="inlineStr">
        <is>
          <t>Vodacom Life 20260617</t>
        </is>
      </c>
      <c r="G1273" t="inlineStr">
        <is>
          <t>JISREEL</t>
        </is>
      </c>
      <c r="H1273" t="inlineStr">
        <is>
          <t>ADAMS</t>
        </is>
      </c>
      <c r="J1273" t="inlineStr">
        <is>
          <t>AC</t>
        </is>
      </c>
      <c r="K1273" t="inlineStr">
        <is>
          <t>Already Contacted</t>
        </is>
      </c>
      <c r="L1273" t="n">
        <v>5</v>
      </c>
      <c r="M1273" t="inlineStr">
        <is>
          <t>2026-06-26 08:53:23</t>
        </is>
      </c>
      <c r="N1273" t="inlineStr">
        <is>
          <t>Maureen Ntsoko</t>
        </is>
      </c>
      <c r="O1273" t="inlineStr">
        <is>
          <t>2026-06-17 14:10:06</t>
        </is>
      </c>
      <c r="P1273" t="inlineStr">
        <is>
          <t>2026-06-17 14:10:06</t>
        </is>
      </c>
      <c r="Y1273" t="inlineStr">
        <is>
          <t>27796682721</t>
        </is>
      </c>
    </row>
    <row r="1274">
      <c r="A1274" t="inlineStr">
        <is>
          <t>14920828</t>
        </is>
      </c>
      <c r="B1274" t="inlineStr">
        <is>
          <t>3ec097ec-7afc-4a56-b01d-07359988d87b</t>
        </is>
      </c>
      <c r="D1274" t="inlineStr">
        <is>
          <t>111111124</t>
        </is>
      </c>
      <c r="E1274" t="inlineStr">
        <is>
          <t>Vodacom Life 20260617</t>
        </is>
      </c>
      <c r="G1274" t="inlineStr">
        <is>
          <t>KESEKANG</t>
        </is>
      </c>
      <c r="H1274" t="inlineStr">
        <is>
          <t>SEKAMOENG</t>
        </is>
      </c>
      <c r="J1274" t="inlineStr">
        <is>
          <t>CBACK</t>
        </is>
      </c>
      <c r="K1274" t="inlineStr">
        <is>
          <t>Callback</t>
        </is>
      </c>
      <c r="L1274" t="n">
        <v>4</v>
      </c>
      <c r="M1274" t="inlineStr">
        <is>
          <t>2026-06-26 08:46:03</t>
        </is>
      </c>
      <c r="N1274" t="inlineStr">
        <is>
          <t>Maureen Ntsoko</t>
        </is>
      </c>
      <c r="O1274" t="inlineStr">
        <is>
          <t>2026-06-17 14:10:06</t>
        </is>
      </c>
      <c r="P1274" t="inlineStr">
        <is>
          <t>2026-06-17 14:10:06</t>
        </is>
      </c>
      <c r="Y1274" t="inlineStr">
        <is>
          <t>27662452082</t>
        </is>
      </c>
    </row>
    <row r="1275">
      <c r="A1275" t="inlineStr">
        <is>
          <t>14920822</t>
        </is>
      </c>
      <c r="B1275" t="inlineStr">
        <is>
          <t>5d296503-730d-4edc-92d6-74621e5908ac</t>
        </is>
      </c>
      <c r="D1275" t="inlineStr">
        <is>
          <t>111111124</t>
        </is>
      </c>
      <c r="E1275" t="inlineStr">
        <is>
          <t>Vodacom Life 20260617</t>
        </is>
      </c>
      <c r="G1275" t="inlineStr">
        <is>
          <t>BRENTLY</t>
        </is>
      </c>
      <c r="H1275" t="inlineStr">
        <is>
          <t>MARAIS</t>
        </is>
      </c>
      <c r="J1275" t="inlineStr">
        <is>
          <t>NI</t>
        </is>
      </c>
      <c r="K1275" t="inlineStr">
        <is>
          <t>Not Interested</t>
        </is>
      </c>
      <c r="L1275" t="n">
        <v>4</v>
      </c>
      <c r="M1275" t="inlineStr">
        <is>
          <t>2026-06-26 08:44:11</t>
        </is>
      </c>
      <c r="N1275" t="inlineStr">
        <is>
          <t>Maureen Ntsoko</t>
        </is>
      </c>
      <c r="O1275" t="inlineStr">
        <is>
          <t>2026-06-17 14:10:06</t>
        </is>
      </c>
      <c r="P1275" t="inlineStr">
        <is>
          <t>2026-06-17 14:10:06</t>
        </is>
      </c>
      <c r="Y1275" t="inlineStr">
        <is>
          <t>27828996569</t>
        </is>
      </c>
    </row>
    <row r="1276">
      <c r="A1276" t="inlineStr">
        <is>
          <t>14920841</t>
        </is>
      </c>
      <c r="B1276" t="inlineStr">
        <is>
          <t>970c38e9-8722-4f4d-bf6a-522ef4ad8ab4</t>
        </is>
      </c>
      <c r="D1276" t="inlineStr">
        <is>
          <t>111111124</t>
        </is>
      </c>
      <c r="E1276" t="inlineStr">
        <is>
          <t>Vodacom Life 20260617</t>
        </is>
      </c>
      <c r="G1276" t="inlineStr">
        <is>
          <t>DERSSAN</t>
        </is>
      </c>
      <c r="H1276" t="inlineStr">
        <is>
          <t>NAIDOO</t>
        </is>
      </c>
      <c r="J1276" t="inlineStr">
        <is>
          <t>AC</t>
        </is>
      </c>
      <c r="K1276" t="inlineStr">
        <is>
          <t>Already Contacted</t>
        </is>
      </c>
      <c r="L1276" t="n">
        <v>4</v>
      </c>
      <c r="M1276" t="inlineStr">
        <is>
          <t>2026-06-26 08:42:17</t>
        </is>
      </c>
      <c r="N1276" t="inlineStr">
        <is>
          <t>Maureen Ntsoko</t>
        </is>
      </c>
      <c r="O1276" t="inlineStr">
        <is>
          <t>2026-06-17 14:10:06</t>
        </is>
      </c>
      <c r="P1276" t="inlineStr">
        <is>
          <t>2026-06-17 14:10:06</t>
        </is>
      </c>
      <c r="Y1276" t="inlineStr">
        <is>
          <t>27725467979</t>
        </is>
      </c>
    </row>
    <row r="1277">
      <c r="A1277" t="inlineStr">
        <is>
          <t>14920906</t>
        </is>
      </c>
      <c r="B1277" t="inlineStr">
        <is>
          <t>a274d99a-53bf-427e-895b-7037c290b9e5</t>
        </is>
      </c>
      <c r="D1277" t="inlineStr">
        <is>
          <t>111111124</t>
        </is>
      </c>
      <c r="E1277" t="inlineStr">
        <is>
          <t>Vodacom Life 20260617</t>
        </is>
      </c>
      <c r="G1277" t="inlineStr">
        <is>
          <t>BYRON</t>
        </is>
      </c>
      <c r="H1277" t="inlineStr">
        <is>
          <t>LLEWELLYN</t>
        </is>
      </c>
      <c r="J1277" t="inlineStr">
        <is>
          <t>CBACK</t>
        </is>
      </c>
      <c r="K1277" t="inlineStr">
        <is>
          <t>Callback</t>
        </is>
      </c>
      <c r="L1277" t="n">
        <v>4</v>
      </c>
      <c r="M1277" t="inlineStr">
        <is>
          <t>2026-06-26 08:41:38</t>
        </is>
      </c>
      <c r="N1277" t="inlineStr">
        <is>
          <t>Maureen Ntsoko</t>
        </is>
      </c>
      <c r="O1277" t="inlineStr">
        <is>
          <t>2026-06-17 14:10:06</t>
        </is>
      </c>
      <c r="P1277" t="inlineStr">
        <is>
          <t>2026-06-17 14:10:06</t>
        </is>
      </c>
      <c r="Y1277" t="inlineStr">
        <is>
          <t>27828223946</t>
        </is>
      </c>
    </row>
    <row r="1278">
      <c r="A1278" t="inlineStr">
        <is>
          <t>14921260</t>
        </is>
      </c>
      <c r="B1278" t="inlineStr">
        <is>
          <t>f1237299-3fb8-4af1-b40b-c0d9c39d65c4</t>
        </is>
      </c>
      <c r="D1278" t="inlineStr">
        <is>
          <t>111111124</t>
        </is>
      </c>
      <c r="E1278" t="inlineStr">
        <is>
          <t>Vodacom Life 20260617</t>
        </is>
      </c>
      <c r="G1278" t="inlineStr">
        <is>
          <t>HERMAN</t>
        </is>
      </c>
      <c r="H1278" t="inlineStr">
        <is>
          <t>SCHULTZ</t>
        </is>
      </c>
      <c r="J1278" t="inlineStr">
        <is>
          <t>NI</t>
        </is>
      </c>
      <c r="K1278" t="inlineStr">
        <is>
          <t>Not Interested</t>
        </is>
      </c>
      <c r="L1278" t="n">
        <v>4</v>
      </c>
      <c r="M1278" t="inlineStr">
        <is>
          <t>2026-06-26 08:23:24</t>
        </is>
      </c>
      <c r="N1278" t="inlineStr">
        <is>
          <t>Maureen Ntsoko</t>
        </is>
      </c>
      <c r="O1278" t="inlineStr">
        <is>
          <t>2026-06-17 14:10:06</t>
        </is>
      </c>
      <c r="P1278" t="inlineStr">
        <is>
          <t>2026-06-17 14:10:06</t>
        </is>
      </c>
      <c r="Y1278" t="inlineStr">
        <is>
          <t>27845069896</t>
        </is>
      </c>
    </row>
    <row r="1279">
      <c r="A1279" t="inlineStr">
        <is>
          <t>14921164</t>
        </is>
      </c>
      <c r="B1279" t="inlineStr">
        <is>
          <t>6a1e115a-b661-4307-ab6a-8765ced85695</t>
        </is>
      </c>
      <c r="D1279" t="inlineStr">
        <is>
          <t>111111124</t>
        </is>
      </c>
      <c r="E1279" t="inlineStr">
        <is>
          <t>Vodacom Life 20260617</t>
        </is>
      </c>
      <c r="G1279" t="inlineStr">
        <is>
          <t>SIYABONGA</t>
        </is>
      </c>
      <c r="H1279" t="inlineStr">
        <is>
          <t>MHLONGO</t>
        </is>
      </c>
      <c r="J1279" t="inlineStr">
        <is>
          <t>AC</t>
        </is>
      </c>
      <c r="K1279" t="inlineStr">
        <is>
          <t>Already Contacted</t>
        </is>
      </c>
      <c r="L1279" t="n">
        <v>4</v>
      </c>
      <c r="M1279" t="inlineStr">
        <is>
          <t>2026-06-26 08:02:25</t>
        </is>
      </c>
      <c r="N1279" t="inlineStr">
        <is>
          <t>Maureen Ntsoko</t>
        </is>
      </c>
      <c r="O1279" t="inlineStr">
        <is>
          <t>2026-06-17 14:10:06</t>
        </is>
      </c>
      <c r="P1279" t="inlineStr">
        <is>
          <t>2026-06-17 14:10:06</t>
        </is>
      </c>
      <c r="Y1279" t="inlineStr">
        <is>
          <t>27637827744</t>
        </is>
      </c>
    </row>
    <row r="1280">
      <c r="A1280" t="inlineStr">
        <is>
          <t>14900000</t>
        </is>
      </c>
      <c r="B1280" t="inlineStr">
        <is>
          <t>4417e737-b318-488d-89ce-60bfa2a65c75</t>
        </is>
      </c>
      <c r="D1280" t="inlineStr">
        <is>
          <t>111111124</t>
        </is>
      </c>
      <c r="E1280" t="inlineStr">
        <is>
          <t>Vodacom Life 20260617</t>
        </is>
      </c>
      <c r="G1280" t="inlineStr">
        <is>
          <t>NONHLANHLA</t>
        </is>
      </c>
      <c r="H1280" t="inlineStr">
        <is>
          <t>SHEZI</t>
        </is>
      </c>
      <c r="J1280" t="inlineStr">
        <is>
          <t>CBACK</t>
        </is>
      </c>
      <c r="K1280" t="inlineStr">
        <is>
          <t>Callback</t>
        </is>
      </c>
      <c r="L1280" t="n">
        <v>4</v>
      </c>
      <c r="M1280" t="inlineStr">
        <is>
          <t>2026-06-26 08:01:42</t>
        </is>
      </c>
      <c r="N1280" t="inlineStr">
        <is>
          <t>bongiwe lushaba</t>
        </is>
      </c>
      <c r="O1280" t="inlineStr">
        <is>
          <t>2026-06-17 14:10:06</t>
        </is>
      </c>
      <c r="P1280" t="inlineStr">
        <is>
          <t>2026-06-17 14:10:06</t>
        </is>
      </c>
      <c r="Y1280" t="inlineStr">
        <is>
          <t>27720326597</t>
        </is>
      </c>
    </row>
    <row r="1281">
      <c r="A1281" t="inlineStr">
        <is>
          <t>14921018</t>
        </is>
      </c>
      <c r="B1281" t="inlineStr">
        <is>
          <t>0fdbe1be-b136-4ce6-bbeb-e801f917d70c</t>
        </is>
      </c>
      <c r="D1281" t="inlineStr">
        <is>
          <t>111111124</t>
        </is>
      </c>
      <c r="E1281" t="inlineStr">
        <is>
          <t>Vodacom Life 20260617</t>
        </is>
      </c>
      <c r="G1281" t="inlineStr">
        <is>
          <t>WILLIAM</t>
        </is>
      </c>
      <c r="H1281" t="inlineStr">
        <is>
          <t>MOSHUPYE</t>
        </is>
      </c>
      <c r="J1281" t="inlineStr">
        <is>
          <t>CBACK</t>
        </is>
      </c>
      <c r="K1281" t="inlineStr">
        <is>
          <t>Callback</t>
        </is>
      </c>
      <c r="L1281" t="n">
        <v>4</v>
      </c>
      <c r="M1281" t="inlineStr">
        <is>
          <t>2026-06-26 08:01:41</t>
        </is>
      </c>
      <c r="N1281" t="inlineStr">
        <is>
          <t>Maureen Ntsoko</t>
        </is>
      </c>
      <c r="O1281" t="inlineStr">
        <is>
          <t>2026-06-17 14:10:06</t>
        </is>
      </c>
      <c r="P1281" t="inlineStr">
        <is>
          <t>2026-06-17 14:10:06</t>
        </is>
      </c>
      <c r="Y1281" t="inlineStr">
        <is>
          <t>27827255503</t>
        </is>
      </c>
    </row>
    <row r="1282">
      <c r="A1282" t="inlineStr">
        <is>
          <t>14920870</t>
        </is>
      </c>
      <c r="B1282" t="inlineStr">
        <is>
          <t>f9f16983-82a5-4e61-9e61-ace7a6898fe9</t>
        </is>
      </c>
      <c r="D1282" t="inlineStr">
        <is>
          <t>111111124</t>
        </is>
      </c>
      <c r="E1282" t="inlineStr">
        <is>
          <t>Vodacom Life 20260617</t>
        </is>
      </c>
      <c r="G1282" t="inlineStr">
        <is>
          <t>AARON</t>
        </is>
      </c>
      <c r="H1282" t="inlineStr">
        <is>
          <t>KANDAN</t>
        </is>
      </c>
      <c r="J1282" t="inlineStr">
        <is>
          <t>CBACK</t>
        </is>
      </c>
      <c r="K1282" t="inlineStr">
        <is>
          <t>Callback</t>
        </is>
      </c>
      <c r="L1282" t="n">
        <v>4</v>
      </c>
      <c r="M1282" t="inlineStr">
        <is>
          <t>2026-06-26 07:57:51</t>
        </is>
      </c>
      <c r="N1282" t="inlineStr">
        <is>
          <t>Maureen Ntsoko</t>
        </is>
      </c>
      <c r="O1282" t="inlineStr">
        <is>
          <t>2026-06-17 14:10:06</t>
        </is>
      </c>
      <c r="P1282" t="inlineStr">
        <is>
          <t>2026-06-17 14:10:06</t>
        </is>
      </c>
      <c r="Y1282" t="inlineStr">
        <is>
          <t>27823866232</t>
        </is>
      </c>
    </row>
    <row r="1283">
      <c r="A1283" t="inlineStr">
        <is>
          <t>14920878</t>
        </is>
      </c>
      <c r="B1283" t="inlineStr">
        <is>
          <t>da16da3c-bab3-47bf-9d8d-6caaa5197ff3</t>
        </is>
      </c>
      <c r="D1283" t="inlineStr">
        <is>
          <t>111111124</t>
        </is>
      </c>
      <c r="E1283" t="inlineStr">
        <is>
          <t>Vodacom Life 20260617</t>
        </is>
      </c>
      <c r="G1283" t="inlineStr">
        <is>
          <t>WISANI</t>
        </is>
      </c>
      <c r="H1283" t="inlineStr">
        <is>
          <t>KHOSA</t>
        </is>
      </c>
      <c r="J1283" t="inlineStr">
        <is>
          <t>NI</t>
        </is>
      </c>
      <c r="K1283" t="inlineStr">
        <is>
          <t>Not Interested</t>
        </is>
      </c>
      <c r="L1283" t="n">
        <v>4</v>
      </c>
      <c r="M1283" t="inlineStr">
        <is>
          <t>2026-06-26 07:57:42</t>
        </is>
      </c>
      <c r="N1283" t="inlineStr">
        <is>
          <t>Khensane Mabasa</t>
        </is>
      </c>
      <c r="O1283" t="inlineStr">
        <is>
          <t>2026-06-17 14:10:06</t>
        </is>
      </c>
      <c r="P1283" t="inlineStr">
        <is>
          <t>2026-06-17 14:10:06</t>
        </is>
      </c>
      <c r="Y1283" t="inlineStr">
        <is>
          <t>27826133272</t>
        </is>
      </c>
    </row>
    <row r="1284">
      <c r="A1284" t="inlineStr">
        <is>
          <t>14920880</t>
        </is>
      </c>
      <c r="B1284" t="inlineStr">
        <is>
          <t>62db9ba6-478a-4fbc-8ed3-9b13f4966cfd</t>
        </is>
      </c>
      <c r="D1284" t="inlineStr">
        <is>
          <t>111111124</t>
        </is>
      </c>
      <c r="E1284" t="inlineStr">
        <is>
          <t>Vodacom Life 20260617</t>
        </is>
      </c>
      <c r="G1284" t="inlineStr">
        <is>
          <t>SIPHOSIHLE</t>
        </is>
      </c>
      <c r="H1284" t="inlineStr">
        <is>
          <t>NGWEKAZI</t>
        </is>
      </c>
      <c r="J1284" t="inlineStr">
        <is>
          <t>SELECTED</t>
        </is>
      </c>
      <c r="K1284" t="inlineStr">
        <is>
          <t>Selected</t>
        </is>
      </c>
      <c r="L1284" t="n">
        <v>5</v>
      </c>
      <c r="M1284" t="inlineStr">
        <is>
          <t>2026-06-26 07:57:32</t>
        </is>
      </c>
      <c r="N1284" t="inlineStr">
        <is>
          <t>system</t>
        </is>
      </c>
      <c r="O1284" t="inlineStr">
        <is>
          <t>2026-06-17 14:10:06</t>
        </is>
      </c>
      <c r="P1284" t="inlineStr">
        <is>
          <t>2026-06-17 14:10:06</t>
        </is>
      </c>
      <c r="Y1284" t="inlineStr">
        <is>
          <t>27794047261</t>
        </is>
      </c>
    </row>
    <row r="1285">
      <c r="A1285" t="inlineStr">
        <is>
          <t>14921504</t>
        </is>
      </c>
      <c r="B1285" t="inlineStr">
        <is>
          <t>c531c237-c078-465f-acce-ff490f50e5e1</t>
        </is>
      </c>
      <c r="D1285" t="inlineStr">
        <is>
          <t>111111124</t>
        </is>
      </c>
      <c r="E1285" t="inlineStr">
        <is>
          <t>Vodacom Life 20260617</t>
        </is>
      </c>
      <c r="G1285" t="inlineStr">
        <is>
          <t>MOHAMMAD</t>
        </is>
      </c>
      <c r="H1285" t="inlineStr">
        <is>
          <t>ASAF</t>
        </is>
      </c>
      <c r="J1285" t="inlineStr">
        <is>
          <t>AC</t>
        </is>
      </c>
      <c r="K1285" t="inlineStr">
        <is>
          <t>Already Contacted</t>
        </is>
      </c>
      <c r="L1285" t="n">
        <v>4</v>
      </c>
      <c r="M1285" t="inlineStr">
        <is>
          <t>2026-06-26 07:55:53</t>
        </is>
      </c>
      <c r="N1285" t="inlineStr">
        <is>
          <t>Khensane Mabasa</t>
        </is>
      </c>
      <c r="O1285" t="inlineStr">
        <is>
          <t>2026-06-17 14:10:06</t>
        </is>
      </c>
      <c r="P1285" t="inlineStr">
        <is>
          <t>2026-06-17 14:10:06</t>
        </is>
      </c>
      <c r="Y1285" t="inlineStr">
        <is>
          <t>27626285464</t>
        </is>
      </c>
    </row>
    <row r="1286">
      <c r="A1286" t="inlineStr">
        <is>
          <t>14921888</t>
        </is>
      </c>
      <c r="B1286" t="inlineStr">
        <is>
          <t>32698bac-ce02-4731-82bc-defaf4e6a1d2</t>
        </is>
      </c>
      <c r="D1286" t="inlineStr">
        <is>
          <t>111111124</t>
        </is>
      </c>
      <c r="E1286" t="inlineStr">
        <is>
          <t>Vodacom Life 20260617</t>
        </is>
      </c>
      <c r="G1286" t="inlineStr">
        <is>
          <t>SBUSISO</t>
        </is>
      </c>
      <c r="H1286" t="inlineStr">
        <is>
          <t>MKHWANAZI</t>
        </is>
      </c>
      <c r="J1286" t="inlineStr">
        <is>
          <t>NI</t>
        </is>
      </c>
      <c r="K1286" t="inlineStr">
        <is>
          <t>Not Interested</t>
        </is>
      </c>
      <c r="L1286" t="n">
        <v>4</v>
      </c>
      <c r="M1286" t="inlineStr">
        <is>
          <t>2026-06-26 07:37:50</t>
        </is>
      </c>
      <c r="N1286" t="inlineStr">
        <is>
          <t>Maureen Ntsoko</t>
        </is>
      </c>
      <c r="O1286" t="inlineStr">
        <is>
          <t>2026-06-17 14:10:06</t>
        </is>
      </c>
      <c r="P1286" t="inlineStr">
        <is>
          <t>2026-06-17 14:10:06</t>
        </is>
      </c>
      <c r="Y1286" t="inlineStr">
        <is>
          <t>27729915074</t>
        </is>
      </c>
    </row>
    <row r="1287">
      <c r="A1287" t="inlineStr">
        <is>
          <t>14921933</t>
        </is>
      </c>
      <c r="B1287" t="inlineStr">
        <is>
          <t>bc1304b0-d92a-4914-bf19-b8ced11e5c8e</t>
        </is>
      </c>
      <c r="D1287" t="inlineStr">
        <is>
          <t>111111124</t>
        </is>
      </c>
      <c r="E1287" t="inlineStr">
        <is>
          <t>Vodacom Life 20260617</t>
        </is>
      </c>
      <c r="G1287" t="inlineStr">
        <is>
          <t>PETRUS</t>
        </is>
      </c>
      <c r="H1287" t="inlineStr">
        <is>
          <t>SKOSANA</t>
        </is>
      </c>
      <c r="J1287" t="inlineStr">
        <is>
          <t>N</t>
        </is>
      </c>
      <c r="K1287" t="inlineStr">
        <is>
          <t>No Answer</t>
        </is>
      </c>
      <c r="L1287" t="n">
        <v>6</v>
      </c>
      <c r="M1287" t="inlineStr">
        <is>
          <t>2026-06-26 07:36:18</t>
        </is>
      </c>
      <c r="N1287" t="inlineStr">
        <is>
          <t>bongiwe lushaba</t>
        </is>
      </c>
      <c r="O1287" t="inlineStr">
        <is>
          <t>2026-06-17 14:10:06</t>
        </is>
      </c>
      <c r="P1287" t="inlineStr">
        <is>
          <t>2026-06-17 14:10:06</t>
        </is>
      </c>
      <c r="Y1287" t="inlineStr">
        <is>
          <t>27663485441</t>
        </is>
      </c>
    </row>
    <row r="1288">
      <c r="A1288" t="inlineStr">
        <is>
          <t>14921458</t>
        </is>
      </c>
      <c r="B1288" t="inlineStr">
        <is>
          <t>0bf131af-1e05-4580-ac5e-b4c91c2aa9a7</t>
        </is>
      </c>
      <c r="D1288" t="inlineStr">
        <is>
          <t>111111124</t>
        </is>
      </c>
      <c r="E1288" t="inlineStr">
        <is>
          <t>Vodacom Life 20260617</t>
        </is>
      </c>
      <c r="G1288" t="inlineStr">
        <is>
          <t>CT</t>
        </is>
      </c>
      <c r="H1288" t="inlineStr">
        <is>
          <t>KRUGEL</t>
        </is>
      </c>
      <c r="J1288" t="inlineStr">
        <is>
          <t>OAL</t>
        </is>
      </c>
      <c r="K1288" t="inlineStr">
        <is>
          <t>Over Age Limit</t>
        </is>
      </c>
      <c r="L1288" t="n">
        <v>5</v>
      </c>
      <c r="M1288" t="inlineStr">
        <is>
          <t>2026-06-26 07:25:51</t>
        </is>
      </c>
      <c r="N1288" t="inlineStr">
        <is>
          <t>Maureen Ntsoko</t>
        </is>
      </c>
      <c r="O1288" t="inlineStr">
        <is>
          <t>2026-06-17 14:10:06</t>
        </is>
      </c>
      <c r="P1288" t="inlineStr">
        <is>
          <t>2026-06-17 14:10:06</t>
        </is>
      </c>
      <c r="Y1288" t="inlineStr">
        <is>
          <t>27823469753</t>
        </is>
      </c>
    </row>
    <row r="1289">
      <c r="A1289" t="inlineStr">
        <is>
          <t>14921347</t>
        </is>
      </c>
      <c r="B1289" t="inlineStr">
        <is>
          <t>fd042506-d56e-44e2-8b59-e848fe9e1f45</t>
        </is>
      </c>
      <c r="D1289" t="inlineStr">
        <is>
          <t>111111124</t>
        </is>
      </c>
      <c r="E1289" t="inlineStr">
        <is>
          <t>Vodacom Life 20260617</t>
        </is>
      </c>
      <c r="G1289" t="inlineStr">
        <is>
          <t>AMMOYI</t>
        </is>
      </c>
      <c r="H1289" t="inlineStr">
        <is>
          <t>REDDY</t>
        </is>
      </c>
      <c r="J1289" t="inlineStr">
        <is>
          <t>CBACK</t>
        </is>
      </c>
      <c r="K1289" t="inlineStr">
        <is>
          <t>Callback</t>
        </is>
      </c>
      <c r="L1289" t="n">
        <v>4</v>
      </c>
      <c r="M1289" t="inlineStr">
        <is>
          <t>2026-06-26 07:20:59</t>
        </is>
      </c>
      <c r="N1289" t="inlineStr">
        <is>
          <t>Maureen Ntsoko</t>
        </is>
      </c>
      <c r="O1289" t="inlineStr">
        <is>
          <t>2026-06-17 14:10:06</t>
        </is>
      </c>
      <c r="P1289" t="inlineStr">
        <is>
          <t>2026-06-17 14:10:06</t>
        </is>
      </c>
      <c r="Y1289" t="inlineStr">
        <is>
          <t>27716791258</t>
        </is>
      </c>
    </row>
    <row r="1290">
      <c r="A1290" t="inlineStr">
        <is>
          <t>14921456</t>
        </is>
      </c>
      <c r="B1290" t="inlineStr">
        <is>
          <t>39c04d43-cc4b-408a-848e-35aeca4ebcec</t>
        </is>
      </c>
      <c r="D1290" t="inlineStr">
        <is>
          <t>111111124</t>
        </is>
      </c>
      <c r="E1290" t="inlineStr">
        <is>
          <t>Vodacom Life 20260617</t>
        </is>
      </c>
      <c r="G1290" t="inlineStr">
        <is>
          <t>DANIELLE</t>
        </is>
      </c>
      <c r="H1290" t="inlineStr">
        <is>
          <t>ENDE</t>
        </is>
      </c>
      <c r="J1290" t="inlineStr">
        <is>
          <t>DNCLIFE</t>
        </is>
      </c>
      <c r="K1290" t="inlineStr">
        <is>
          <t>Do Not Call</t>
        </is>
      </c>
      <c r="L1290" t="n">
        <v>4</v>
      </c>
      <c r="M1290" t="inlineStr">
        <is>
          <t>2026-06-26 07:17:32</t>
        </is>
      </c>
      <c r="N1290" t="inlineStr">
        <is>
          <t>Thandile Nokubeni</t>
        </is>
      </c>
      <c r="O1290" t="inlineStr">
        <is>
          <t>2026-06-17 14:10:06</t>
        </is>
      </c>
      <c r="P1290" t="inlineStr">
        <is>
          <t>2026-06-17 14:10:06</t>
        </is>
      </c>
      <c r="Y1290" t="inlineStr">
        <is>
          <t>27822253699</t>
        </is>
      </c>
    </row>
    <row r="1291">
      <c r="A1291" t="inlineStr">
        <is>
          <t>14921398</t>
        </is>
      </c>
      <c r="B1291" t="inlineStr">
        <is>
          <t>66f5f6ce-e4ef-4b8b-87af-60c02ba1b826</t>
        </is>
      </c>
      <c r="D1291" t="inlineStr">
        <is>
          <t>111111124</t>
        </is>
      </c>
      <c r="E1291" t="inlineStr">
        <is>
          <t>Vodacom Life 20260617</t>
        </is>
      </c>
      <c r="G1291" t="inlineStr">
        <is>
          <t>EVELYN</t>
        </is>
      </c>
      <c r="H1291" t="inlineStr">
        <is>
          <t>MAJAPHOLO</t>
        </is>
      </c>
      <c r="J1291" t="inlineStr">
        <is>
          <t>CBACK</t>
        </is>
      </c>
      <c r="K1291" t="inlineStr">
        <is>
          <t>Callback</t>
        </is>
      </c>
      <c r="L1291" t="n">
        <v>4</v>
      </c>
      <c r="M1291" t="inlineStr">
        <is>
          <t>2026-06-26 07:16:45</t>
        </is>
      </c>
      <c r="N1291" t="inlineStr">
        <is>
          <t>Maureen Ntsoko</t>
        </is>
      </c>
      <c r="O1291" t="inlineStr">
        <is>
          <t>2026-06-17 14:10:06</t>
        </is>
      </c>
      <c r="P1291" t="inlineStr">
        <is>
          <t>2026-06-17 14:10:06</t>
        </is>
      </c>
      <c r="Y1291" t="inlineStr">
        <is>
          <t>27791112518</t>
        </is>
      </c>
    </row>
    <row r="1292">
      <c r="A1292" t="inlineStr">
        <is>
          <t>14921402</t>
        </is>
      </c>
      <c r="B1292" t="inlineStr">
        <is>
          <t>65ea72e7-0d9a-45b0-9975-d4ce122bf1c4</t>
        </is>
      </c>
      <c r="D1292" t="inlineStr">
        <is>
          <t>111111124</t>
        </is>
      </c>
      <c r="E1292" t="inlineStr">
        <is>
          <t>Vodacom Life 20260617</t>
        </is>
      </c>
      <c r="G1292" t="inlineStr">
        <is>
          <t>OLDRED</t>
        </is>
      </c>
      <c r="H1292" t="inlineStr">
        <is>
          <t>MAY</t>
        </is>
      </c>
      <c r="J1292" t="inlineStr">
        <is>
          <t>NI</t>
        </is>
      </c>
      <c r="K1292" t="inlineStr">
        <is>
          <t>Not Interested</t>
        </is>
      </c>
      <c r="L1292" t="n">
        <v>4</v>
      </c>
      <c r="M1292" t="inlineStr">
        <is>
          <t>2026-06-26 07:16:12</t>
        </is>
      </c>
      <c r="N1292" t="inlineStr">
        <is>
          <t>Khensane Mabasa</t>
        </is>
      </c>
      <c r="O1292" t="inlineStr">
        <is>
          <t>2026-06-17 14:10:06</t>
        </is>
      </c>
      <c r="P1292" t="inlineStr">
        <is>
          <t>2026-06-17 14:10:06</t>
        </is>
      </c>
      <c r="Y1292" t="inlineStr">
        <is>
          <t>27724683478</t>
        </is>
      </c>
    </row>
    <row r="1293">
      <c r="A1293" t="inlineStr">
        <is>
          <t>14921805</t>
        </is>
      </c>
      <c r="B1293" t="inlineStr">
        <is>
          <t>47a20b3d-c153-4823-b750-ebe5872c3b6e</t>
        </is>
      </c>
      <c r="D1293" t="inlineStr">
        <is>
          <t>111111124</t>
        </is>
      </c>
      <c r="E1293" t="inlineStr">
        <is>
          <t>Vodacom Life 20260617</t>
        </is>
      </c>
      <c r="G1293" t="inlineStr">
        <is>
          <t>THABISO</t>
        </is>
      </c>
      <c r="H1293" t="inlineStr">
        <is>
          <t>MABENA</t>
        </is>
      </c>
      <c r="J1293" t="inlineStr">
        <is>
          <t>AC</t>
        </is>
      </c>
      <c r="K1293" t="inlineStr">
        <is>
          <t>Already Contacted</t>
        </is>
      </c>
      <c r="L1293" t="n">
        <v>5</v>
      </c>
      <c r="M1293" t="inlineStr">
        <is>
          <t>2026-06-26 07:15:11</t>
        </is>
      </c>
      <c r="N1293" t="inlineStr">
        <is>
          <t>Maureen Ntsoko</t>
        </is>
      </c>
      <c r="O1293" t="inlineStr">
        <is>
          <t>2026-06-17 14:10:06</t>
        </is>
      </c>
      <c r="P1293" t="inlineStr">
        <is>
          <t>2026-06-17 14:10:06</t>
        </is>
      </c>
      <c r="Y1293" t="inlineStr">
        <is>
          <t>27793906795</t>
        </is>
      </c>
    </row>
    <row r="1294">
      <c r="A1294" t="inlineStr">
        <is>
          <t>14900000</t>
        </is>
      </c>
      <c r="B1294" t="inlineStr">
        <is>
          <t>e5469be3-74b7-475b-8f59-636b43114654</t>
        </is>
      </c>
      <c r="D1294" t="inlineStr">
        <is>
          <t>111111124</t>
        </is>
      </c>
      <c r="E1294" t="inlineStr">
        <is>
          <t>Vodacom Life 20260617</t>
        </is>
      </c>
      <c r="G1294" t="inlineStr">
        <is>
          <t>NONDUMISO</t>
        </is>
      </c>
      <c r="H1294" t="inlineStr">
        <is>
          <t>NXUMALO</t>
        </is>
      </c>
      <c r="J1294" t="inlineStr">
        <is>
          <t>CBACK</t>
        </is>
      </c>
      <c r="K1294" t="inlineStr">
        <is>
          <t>Callback</t>
        </is>
      </c>
      <c r="L1294" t="n">
        <v>4</v>
      </c>
      <c r="M1294" t="inlineStr">
        <is>
          <t>2026-06-26 07:15:10</t>
        </is>
      </c>
      <c r="N1294" t="inlineStr">
        <is>
          <t>Maureen Ntsoko</t>
        </is>
      </c>
      <c r="O1294" t="inlineStr">
        <is>
          <t>2026-06-17 14:10:06</t>
        </is>
      </c>
      <c r="P1294" t="inlineStr">
        <is>
          <t>2026-06-17 14:10:06</t>
        </is>
      </c>
      <c r="Y1294" t="inlineStr">
        <is>
          <t>27846346746</t>
        </is>
      </c>
    </row>
    <row r="1295">
      <c r="A1295" t="inlineStr">
        <is>
          <t>14921807</t>
        </is>
      </c>
      <c r="B1295" t="inlineStr">
        <is>
          <t>1cf0f597-f280-43ad-80cd-9ebc74a770da</t>
        </is>
      </c>
      <c r="D1295" t="inlineStr">
        <is>
          <t>111111124</t>
        </is>
      </c>
      <c r="E1295" t="inlineStr">
        <is>
          <t>Vodacom Life 20260617</t>
        </is>
      </c>
      <c r="G1295" t="inlineStr">
        <is>
          <t>BYRON</t>
        </is>
      </c>
      <c r="H1295" t="inlineStr">
        <is>
          <t>HOUSTON</t>
        </is>
      </c>
      <c r="J1295" t="inlineStr">
        <is>
          <t>NI</t>
        </is>
      </c>
      <c r="K1295" t="inlineStr">
        <is>
          <t>Not Interested</t>
        </is>
      </c>
      <c r="L1295" t="n">
        <v>4</v>
      </c>
      <c r="M1295" t="inlineStr">
        <is>
          <t>2026-06-26 07:14:50</t>
        </is>
      </c>
      <c r="N1295" t="inlineStr">
        <is>
          <t>Khensane Mabasa</t>
        </is>
      </c>
      <c r="O1295" t="inlineStr">
        <is>
          <t>2026-06-17 14:10:06</t>
        </is>
      </c>
      <c r="P1295" t="inlineStr">
        <is>
          <t>2026-06-17 14:10:06</t>
        </is>
      </c>
      <c r="Y1295" t="inlineStr">
        <is>
          <t>27663337052</t>
        </is>
      </c>
    </row>
    <row r="1296">
      <c r="A1296" t="inlineStr">
        <is>
          <t>14921809</t>
        </is>
      </c>
      <c r="B1296" t="inlineStr">
        <is>
          <t>b87aaaae-13c8-42e2-878d-5decd9540dc5</t>
        </is>
      </c>
      <c r="D1296" t="inlineStr">
        <is>
          <t>111111124</t>
        </is>
      </c>
      <c r="E1296" t="inlineStr">
        <is>
          <t>Vodacom Life 20260617</t>
        </is>
      </c>
      <c r="G1296" t="inlineStr">
        <is>
          <t>NDIVHUDZANNYI</t>
        </is>
      </c>
      <c r="H1296" t="inlineStr">
        <is>
          <t>RAMUNTSHI</t>
        </is>
      </c>
      <c r="J1296" t="inlineStr">
        <is>
          <t>CBACK</t>
        </is>
      </c>
      <c r="K1296" t="inlineStr">
        <is>
          <t>Callback</t>
        </is>
      </c>
      <c r="L1296" t="n">
        <v>4</v>
      </c>
      <c r="M1296" t="inlineStr">
        <is>
          <t>2026-06-26 07:14:50</t>
        </is>
      </c>
      <c r="N1296" t="inlineStr">
        <is>
          <t>Thandile Nokubeni</t>
        </is>
      </c>
      <c r="O1296" t="inlineStr">
        <is>
          <t>2026-06-17 14:10:06</t>
        </is>
      </c>
      <c r="P1296" t="inlineStr">
        <is>
          <t>2026-06-17 14:10:06</t>
        </is>
      </c>
      <c r="Y1296" t="inlineStr">
        <is>
          <t>27796716700</t>
        </is>
      </c>
    </row>
    <row r="1297">
      <c r="A1297" t="inlineStr">
        <is>
          <t>14921340</t>
        </is>
      </c>
      <c r="B1297" t="inlineStr">
        <is>
          <t>f497c078-77df-457f-9309-aad39b542050</t>
        </is>
      </c>
      <c r="D1297" t="inlineStr">
        <is>
          <t>111111124</t>
        </is>
      </c>
      <c r="E1297" t="inlineStr">
        <is>
          <t>Vodacom Life 20260617</t>
        </is>
      </c>
      <c r="G1297" t="inlineStr">
        <is>
          <t>MAMONEKE</t>
        </is>
      </c>
      <c r="H1297" t="inlineStr">
        <is>
          <t>MAPHOPHA</t>
        </is>
      </c>
      <c r="J1297" t="inlineStr">
        <is>
          <t>CB</t>
        </is>
      </c>
      <c r="K1297" t="inlineStr">
        <is>
          <t>Busy Tone</t>
        </is>
      </c>
      <c r="L1297" t="n">
        <v>5</v>
      </c>
      <c r="M1297" t="inlineStr">
        <is>
          <t>2026-06-26 07:14:22</t>
        </is>
      </c>
      <c r="N1297" t="inlineStr">
        <is>
          <t>Maureen Ntsoko</t>
        </is>
      </c>
      <c r="O1297" t="inlineStr">
        <is>
          <t>2026-06-17 14:10:06</t>
        </is>
      </c>
      <c r="P1297" t="inlineStr">
        <is>
          <t>2026-06-17 14:10:06</t>
        </is>
      </c>
      <c r="Y1297" t="inlineStr">
        <is>
          <t>27720152221</t>
        </is>
      </c>
    </row>
    <row r="1298">
      <c r="A1298" t="inlineStr">
        <is>
          <t>14921784</t>
        </is>
      </c>
      <c r="B1298" t="inlineStr">
        <is>
          <t>060f2f53-d0b2-46f1-8052-c477d12de285</t>
        </is>
      </c>
      <c r="D1298" t="inlineStr">
        <is>
          <t>111111124</t>
        </is>
      </c>
      <c r="E1298" t="inlineStr">
        <is>
          <t>Vodacom Life 20260617</t>
        </is>
      </c>
      <c r="G1298" t="inlineStr">
        <is>
          <t>MZIMKULU</t>
        </is>
      </c>
      <c r="H1298" t="inlineStr">
        <is>
          <t>VINJWA</t>
        </is>
      </c>
      <c r="J1298" t="inlineStr">
        <is>
          <t>DNQS</t>
        </is>
      </c>
      <c r="K1298" t="inlineStr">
        <is>
          <t>Does Not Qualify</t>
        </is>
      </c>
      <c r="L1298" t="n">
        <v>4</v>
      </c>
      <c r="M1298" t="inlineStr">
        <is>
          <t>2026-06-26 07:09:25</t>
        </is>
      </c>
      <c r="N1298" t="inlineStr">
        <is>
          <t>Musiiwa Mary Mabirimisa</t>
        </is>
      </c>
      <c r="O1298" t="inlineStr">
        <is>
          <t>2026-06-17 14:10:06</t>
        </is>
      </c>
      <c r="P1298" t="inlineStr">
        <is>
          <t>2026-06-17 14:10:06</t>
        </is>
      </c>
      <c r="Y1298" t="inlineStr">
        <is>
          <t>27607960971</t>
        </is>
      </c>
    </row>
    <row r="1299">
      <c r="A1299" t="inlineStr">
        <is>
          <t>14921204</t>
        </is>
      </c>
      <c r="B1299" t="inlineStr">
        <is>
          <t>46ff0c2d-fe1f-4ae7-8009-0e4dccf9eefb</t>
        </is>
      </c>
      <c r="D1299" t="inlineStr">
        <is>
          <t>111111124</t>
        </is>
      </c>
      <c r="E1299" t="inlineStr">
        <is>
          <t>Vodacom Life 20260617</t>
        </is>
      </c>
      <c r="G1299" t="inlineStr">
        <is>
          <t>ROBERT</t>
        </is>
      </c>
      <c r="H1299" t="inlineStr">
        <is>
          <t>VAN DER TOORN</t>
        </is>
      </c>
      <c r="J1299" t="inlineStr">
        <is>
          <t>WN</t>
        </is>
      </c>
      <c r="K1299" t="inlineStr">
        <is>
          <t>Wrong Number</t>
        </is>
      </c>
      <c r="L1299" t="n">
        <v>4</v>
      </c>
      <c r="M1299" t="inlineStr">
        <is>
          <t>2026-06-26 07:07:53</t>
        </is>
      </c>
      <c r="N1299" t="inlineStr">
        <is>
          <t>Thandile Nokubeni</t>
        </is>
      </c>
      <c r="O1299" t="inlineStr">
        <is>
          <t>2026-06-17 14:10:06</t>
        </is>
      </c>
      <c r="P1299" t="inlineStr">
        <is>
          <t>2026-06-17 14:10:06</t>
        </is>
      </c>
      <c r="Y1299" t="inlineStr">
        <is>
          <t>27834605292</t>
        </is>
      </c>
    </row>
    <row r="1300">
      <c r="A1300" t="inlineStr">
        <is>
          <t>14921713</t>
        </is>
      </c>
      <c r="B1300" t="inlineStr">
        <is>
          <t>c073b894-9b41-4417-8730-fac3f3d7ffa6</t>
        </is>
      </c>
      <c r="D1300" t="inlineStr">
        <is>
          <t>111111124</t>
        </is>
      </c>
      <c r="E1300" t="inlineStr">
        <is>
          <t>Vodacom Life 20260617</t>
        </is>
      </c>
      <c r="G1300" t="inlineStr">
        <is>
          <t>MAVINENE</t>
        </is>
      </c>
      <c r="H1300" t="inlineStr">
        <is>
          <t>WILLIAMS</t>
        </is>
      </c>
      <c r="J1300" t="inlineStr">
        <is>
          <t>CBACK</t>
        </is>
      </c>
      <c r="K1300" t="inlineStr">
        <is>
          <t>Callback</t>
        </is>
      </c>
      <c r="L1300" t="n">
        <v>4</v>
      </c>
      <c r="M1300" t="inlineStr">
        <is>
          <t>2026-06-26 07:06:03</t>
        </is>
      </c>
      <c r="N1300" t="inlineStr">
        <is>
          <t>Maureen Ntsoko</t>
        </is>
      </c>
      <c r="O1300" t="inlineStr">
        <is>
          <t>2026-06-17 14:10:06</t>
        </is>
      </c>
      <c r="P1300" t="inlineStr">
        <is>
          <t>2026-06-17 14:10:06</t>
        </is>
      </c>
      <c r="Y1300" t="inlineStr">
        <is>
          <t>27823394662</t>
        </is>
      </c>
    </row>
    <row r="1301">
      <c r="A1301" t="inlineStr">
        <is>
          <t>14921707</t>
        </is>
      </c>
      <c r="B1301" t="inlineStr">
        <is>
          <t>98731009-03c6-4d34-8f54-4b08be456cf0</t>
        </is>
      </c>
      <c r="D1301" t="inlineStr">
        <is>
          <t>111111124</t>
        </is>
      </c>
      <c r="E1301" t="inlineStr">
        <is>
          <t>Vodacom Life 20260617</t>
        </is>
      </c>
      <c r="G1301" t="inlineStr">
        <is>
          <t>DINAO</t>
        </is>
      </c>
      <c r="H1301" t="inlineStr">
        <is>
          <t>TJIA</t>
        </is>
      </c>
      <c r="J1301" t="inlineStr">
        <is>
          <t>NI</t>
        </is>
      </c>
      <c r="K1301" t="inlineStr">
        <is>
          <t>Not Interested</t>
        </is>
      </c>
      <c r="L1301" t="n">
        <v>4</v>
      </c>
      <c r="M1301" t="inlineStr">
        <is>
          <t>2026-06-26 07:05:49</t>
        </is>
      </c>
      <c r="N1301" t="inlineStr">
        <is>
          <t>Khensane Mabasa</t>
        </is>
      </c>
      <c r="O1301" t="inlineStr">
        <is>
          <t>2026-06-17 14:10:06</t>
        </is>
      </c>
      <c r="P1301" t="inlineStr">
        <is>
          <t>2026-06-17 14:10:06</t>
        </is>
      </c>
      <c r="Y1301" t="inlineStr">
        <is>
          <t>27646850408</t>
        </is>
      </c>
    </row>
    <row r="1302">
      <c r="A1302" t="inlineStr">
        <is>
          <t>14920758</t>
        </is>
      </c>
      <c r="B1302" t="inlineStr">
        <is>
          <t>b6db7556-4b5b-45bd-9d75-d6d54a286df3</t>
        </is>
      </c>
      <c r="D1302" t="inlineStr">
        <is>
          <t>111111124</t>
        </is>
      </c>
      <c r="E1302" t="inlineStr">
        <is>
          <t>Vodacom Life 20260617</t>
        </is>
      </c>
      <c r="G1302" t="inlineStr">
        <is>
          <t>SICOLIWE</t>
        </is>
      </c>
      <c r="H1302" t="inlineStr">
        <is>
          <t>NYATHI</t>
        </is>
      </c>
      <c r="J1302" t="inlineStr">
        <is>
          <t>CBACK</t>
        </is>
      </c>
      <c r="K1302" t="inlineStr">
        <is>
          <t>Callback</t>
        </is>
      </c>
      <c r="L1302" t="n">
        <v>4</v>
      </c>
      <c r="M1302" t="inlineStr">
        <is>
          <t>2026-06-26 07:05:24</t>
        </is>
      </c>
      <c r="N1302" t="inlineStr">
        <is>
          <t>Thandile Nokubeni</t>
        </is>
      </c>
      <c r="O1302" t="inlineStr">
        <is>
          <t>2026-06-17 14:10:06</t>
        </is>
      </c>
      <c r="P1302" t="inlineStr">
        <is>
          <t>2026-06-17 14:10:06</t>
        </is>
      </c>
      <c r="Y1302" t="inlineStr">
        <is>
          <t>27827051442</t>
        </is>
      </c>
    </row>
    <row r="1303">
      <c r="A1303" t="inlineStr">
        <is>
          <t>14921195</t>
        </is>
      </c>
      <c r="B1303" t="inlineStr">
        <is>
          <t>3cb191af-0fa7-4b40-a404-c10e306f059a</t>
        </is>
      </c>
      <c r="D1303" t="inlineStr">
        <is>
          <t>111111124</t>
        </is>
      </c>
      <c r="E1303" t="inlineStr">
        <is>
          <t>Vodacom Life 20260617</t>
        </is>
      </c>
      <c r="G1303" t="inlineStr">
        <is>
          <t>SIZAKELE</t>
        </is>
      </c>
      <c r="H1303" t="inlineStr">
        <is>
          <t>NKOSI</t>
        </is>
      </c>
      <c r="J1303" t="inlineStr">
        <is>
          <t>EC</t>
        </is>
      </c>
      <c r="K1303" t="inlineStr">
        <is>
          <t>Existing Client</t>
        </is>
      </c>
      <c r="L1303" t="n">
        <v>4</v>
      </c>
      <c r="M1303" t="inlineStr">
        <is>
          <t>2026-06-26 07:03:33</t>
        </is>
      </c>
      <c r="N1303" t="inlineStr">
        <is>
          <t>Maureen Ntsoko</t>
        </is>
      </c>
      <c r="O1303" t="inlineStr">
        <is>
          <t>2026-06-17 14:10:06</t>
        </is>
      </c>
      <c r="P1303" t="inlineStr">
        <is>
          <t>2026-06-17 14:10:06</t>
        </is>
      </c>
      <c r="Y1303" t="inlineStr">
        <is>
          <t>27646515061</t>
        </is>
      </c>
    </row>
    <row r="1304">
      <c r="A1304" t="inlineStr">
        <is>
          <t>14921120</t>
        </is>
      </c>
      <c r="B1304" t="inlineStr">
        <is>
          <t>2f501550-76af-45a7-bc96-0c96b88450c4</t>
        </is>
      </c>
      <c r="D1304" t="inlineStr">
        <is>
          <t>111111124</t>
        </is>
      </c>
      <c r="E1304" t="inlineStr">
        <is>
          <t>Vodacom Life 20260617</t>
        </is>
      </c>
      <c r="G1304" t="inlineStr">
        <is>
          <t>MPHO</t>
        </is>
      </c>
      <c r="H1304" t="inlineStr">
        <is>
          <t>MORI</t>
        </is>
      </c>
      <c r="J1304" t="inlineStr">
        <is>
          <t>U</t>
        </is>
      </c>
      <c r="K1304" t="inlineStr">
        <is>
          <t>Unemployed</t>
        </is>
      </c>
      <c r="L1304" t="n">
        <v>4</v>
      </c>
      <c r="M1304" t="inlineStr">
        <is>
          <t>2026-06-26 07:02:31</t>
        </is>
      </c>
      <c r="N1304" t="inlineStr">
        <is>
          <t>Thandile Nokubeni</t>
        </is>
      </c>
      <c r="O1304" t="inlineStr">
        <is>
          <t>2026-06-17 14:10:06</t>
        </is>
      </c>
      <c r="P1304" t="inlineStr">
        <is>
          <t>2026-06-17 14:10:06</t>
        </is>
      </c>
      <c r="Y1304" t="inlineStr">
        <is>
          <t>27825347289</t>
        </is>
      </c>
    </row>
    <row r="1305">
      <c r="A1305" t="inlineStr">
        <is>
          <t>14921075</t>
        </is>
      </c>
      <c r="B1305" t="inlineStr">
        <is>
          <t>7dc28576-c821-4468-9ece-e418ad471cbf</t>
        </is>
      </c>
      <c r="D1305" t="inlineStr">
        <is>
          <t>111111124</t>
        </is>
      </c>
      <c r="E1305" t="inlineStr">
        <is>
          <t>Vodacom Life 20260617</t>
        </is>
      </c>
      <c r="G1305" t="inlineStr">
        <is>
          <t>NKOSIVUMILE</t>
        </is>
      </c>
      <c r="H1305" t="inlineStr">
        <is>
          <t>NDLOVU</t>
        </is>
      </c>
      <c r="J1305" t="inlineStr">
        <is>
          <t>WN</t>
        </is>
      </c>
      <c r="K1305" t="inlineStr">
        <is>
          <t>Wrong Number</t>
        </is>
      </c>
      <c r="L1305" t="n">
        <v>4</v>
      </c>
      <c r="M1305" t="inlineStr">
        <is>
          <t>2026-06-26 06:56:51</t>
        </is>
      </c>
      <c r="N1305" t="inlineStr">
        <is>
          <t>Maureen Ntsoko</t>
        </is>
      </c>
      <c r="O1305" t="inlineStr">
        <is>
          <t>2026-06-17 14:10:06</t>
        </is>
      </c>
      <c r="P1305" t="inlineStr">
        <is>
          <t>2026-06-17 14:10:06</t>
        </is>
      </c>
      <c r="Y1305" t="inlineStr">
        <is>
          <t>27662247671</t>
        </is>
      </c>
    </row>
    <row r="1306">
      <c r="A1306" t="inlineStr">
        <is>
          <t>14921087</t>
        </is>
      </c>
      <c r="B1306" t="inlineStr">
        <is>
          <t>85deb6dd-9a46-4a76-8440-c6389d8f009d</t>
        </is>
      </c>
      <c r="D1306" t="inlineStr">
        <is>
          <t>111111124</t>
        </is>
      </c>
      <c r="E1306" t="inlineStr">
        <is>
          <t>Vodacom Life 20260617</t>
        </is>
      </c>
      <c r="G1306" t="inlineStr">
        <is>
          <t>ONNOCENTIA</t>
        </is>
      </c>
      <c r="H1306" t="inlineStr">
        <is>
          <t>MASINGA</t>
        </is>
      </c>
      <c r="J1306" t="inlineStr">
        <is>
          <t>CBACK</t>
        </is>
      </c>
      <c r="K1306" t="inlineStr">
        <is>
          <t>Callback</t>
        </is>
      </c>
      <c r="L1306" t="n">
        <v>4</v>
      </c>
      <c r="M1306" t="inlineStr">
        <is>
          <t>2026-06-26 06:55:44</t>
        </is>
      </c>
      <c r="N1306" t="inlineStr">
        <is>
          <t>Maureen Ntsoko</t>
        </is>
      </c>
      <c r="O1306" t="inlineStr">
        <is>
          <t>2026-06-17 14:10:06</t>
        </is>
      </c>
      <c r="P1306" t="inlineStr">
        <is>
          <t>2026-06-17 14:10:06</t>
        </is>
      </c>
      <c r="Y1306" t="inlineStr">
        <is>
          <t>27714736715</t>
        </is>
      </c>
    </row>
    <row r="1307">
      <c r="A1307" t="inlineStr">
        <is>
          <t>14920546</t>
        </is>
      </c>
      <c r="B1307" t="inlineStr">
        <is>
          <t>0077be72-d36b-4654-a1c0-a9333f0bee81</t>
        </is>
      </c>
      <c r="D1307" t="inlineStr">
        <is>
          <t>111111124</t>
        </is>
      </c>
      <c r="E1307" t="inlineStr">
        <is>
          <t>Vodacom Life 20260617</t>
        </is>
      </c>
      <c r="G1307" t="inlineStr">
        <is>
          <t>KAGISO</t>
        </is>
      </c>
      <c r="H1307" t="inlineStr">
        <is>
          <t>GADEBE</t>
        </is>
      </c>
      <c r="J1307" t="inlineStr">
        <is>
          <t>NI</t>
        </is>
      </c>
      <c r="K1307" t="inlineStr">
        <is>
          <t>Not Interested</t>
        </is>
      </c>
      <c r="L1307" t="n">
        <v>4</v>
      </c>
      <c r="M1307" t="inlineStr">
        <is>
          <t>2026-06-26 06:53:57</t>
        </is>
      </c>
      <c r="N1307" t="inlineStr">
        <is>
          <t>Khensane Mabasa</t>
        </is>
      </c>
      <c r="O1307" t="inlineStr">
        <is>
          <t>2026-06-17 14:10:06</t>
        </is>
      </c>
      <c r="P1307" t="inlineStr">
        <is>
          <t>2026-06-17 14:10:06</t>
        </is>
      </c>
      <c r="Y1307" t="inlineStr">
        <is>
          <t>27797412133</t>
        </is>
      </c>
    </row>
    <row r="1308">
      <c r="A1308" t="inlineStr">
        <is>
          <t>14920600</t>
        </is>
      </c>
      <c r="B1308" t="inlineStr">
        <is>
          <t>124d3c9f-60bc-4962-bb48-86b5f6c41859</t>
        </is>
      </c>
      <c r="D1308" t="inlineStr">
        <is>
          <t>111111124</t>
        </is>
      </c>
      <c r="E1308" t="inlineStr">
        <is>
          <t>Vodacom Life 20260617</t>
        </is>
      </c>
      <c r="G1308" t="inlineStr">
        <is>
          <t>THULUBHEKE</t>
        </is>
      </c>
      <c r="H1308" t="inlineStr">
        <is>
          <t>NGCOBO</t>
        </is>
      </c>
      <c r="J1308" t="inlineStr">
        <is>
          <t>NI</t>
        </is>
      </c>
      <c r="K1308" t="inlineStr">
        <is>
          <t>Not Interested</t>
        </is>
      </c>
      <c r="L1308" t="n">
        <v>4</v>
      </c>
      <c r="M1308" t="inlineStr">
        <is>
          <t>2026-06-26 06:47:55</t>
        </is>
      </c>
      <c r="N1308" t="inlineStr">
        <is>
          <t>Musiiwa Mary Mabirimisa</t>
        </is>
      </c>
      <c r="O1308" t="inlineStr">
        <is>
          <t>2026-06-17 14:10:06</t>
        </is>
      </c>
      <c r="P1308" t="inlineStr">
        <is>
          <t>2026-06-17 14:10:06</t>
        </is>
      </c>
      <c r="Y1308" t="inlineStr">
        <is>
          <t>27646804334</t>
        </is>
      </c>
    </row>
    <row r="1309">
      <c r="A1309" t="inlineStr">
        <is>
          <t>14921903</t>
        </is>
      </c>
      <c r="B1309" t="inlineStr">
        <is>
          <t>d90cf218-a762-4a42-9423-6746f5514766</t>
        </is>
      </c>
      <c r="D1309" t="inlineStr">
        <is>
          <t>111111124</t>
        </is>
      </c>
      <c r="E1309" t="inlineStr">
        <is>
          <t>Vodacom Life 20260617</t>
        </is>
      </c>
      <c r="G1309" t="inlineStr">
        <is>
          <t>MOENNYANA</t>
        </is>
      </c>
      <c r="H1309" t="inlineStr">
        <is>
          <t>ZENANI</t>
        </is>
      </c>
      <c r="J1309" t="inlineStr">
        <is>
          <t>A</t>
        </is>
      </c>
      <c r="K1309" t="inlineStr">
        <is>
          <t>Answering Machine</t>
        </is>
      </c>
      <c r="L1309" t="n">
        <v>7</v>
      </c>
      <c r="M1309" t="inlineStr">
        <is>
          <t>2026-06-25 13:51:46</t>
        </is>
      </c>
      <c r="N1309" t="inlineStr">
        <is>
          <t>Maureen Ntsoko</t>
        </is>
      </c>
      <c r="O1309" t="inlineStr">
        <is>
          <t>2026-06-17 14:10:06</t>
        </is>
      </c>
      <c r="P1309" t="inlineStr">
        <is>
          <t>2026-06-17 14:10:06</t>
        </is>
      </c>
      <c r="Y1309" t="inlineStr">
        <is>
          <t>27723520189</t>
        </is>
      </c>
    </row>
    <row r="1310">
      <c r="A1310" t="inlineStr">
        <is>
          <t>14920533</t>
        </is>
      </c>
      <c r="B1310" t="inlineStr">
        <is>
          <t>b71e5722-a670-493f-8c61-e7a8b00dc325</t>
        </is>
      </c>
      <c r="D1310" t="inlineStr">
        <is>
          <t>111111124</t>
        </is>
      </c>
      <c r="E1310" t="inlineStr">
        <is>
          <t>Vodacom Life 20260617</t>
        </is>
      </c>
      <c r="G1310" t="inlineStr">
        <is>
          <t>MIHLALI</t>
        </is>
      </c>
      <c r="H1310" t="inlineStr">
        <is>
          <t>JANTJIES</t>
        </is>
      </c>
      <c r="J1310" t="inlineStr">
        <is>
          <t>EC</t>
        </is>
      </c>
      <c r="K1310" t="inlineStr">
        <is>
          <t>Existing Client</t>
        </is>
      </c>
      <c r="L1310" t="n">
        <v>5</v>
      </c>
      <c r="M1310" t="inlineStr">
        <is>
          <t>2026-06-24 14:48:58</t>
        </is>
      </c>
      <c r="N1310" t="inlineStr">
        <is>
          <t>Khensane Mabasa</t>
        </is>
      </c>
      <c r="O1310" t="inlineStr">
        <is>
          <t>2026-06-17 14:10:06</t>
        </is>
      </c>
      <c r="P1310" t="inlineStr">
        <is>
          <t>2026-06-17 14:10:06</t>
        </is>
      </c>
      <c r="Y1310" t="inlineStr">
        <is>
          <t>27637758648</t>
        </is>
      </c>
    </row>
    <row r="1311">
      <c r="A1311" t="inlineStr">
        <is>
          <t>14920596</t>
        </is>
      </c>
      <c r="B1311" t="inlineStr">
        <is>
          <t>97bfa7d5-64e1-422e-8c1d-49c0721d5db6</t>
        </is>
      </c>
      <c r="D1311" t="inlineStr">
        <is>
          <t>111111124</t>
        </is>
      </c>
      <c r="E1311" t="inlineStr">
        <is>
          <t>Vodacom Life 20260617</t>
        </is>
      </c>
      <c r="G1311" t="inlineStr">
        <is>
          <t>MARTHI</t>
        </is>
      </c>
      <c r="H1311" t="inlineStr">
        <is>
          <t>ROSSOUW</t>
        </is>
      </c>
      <c r="J1311" t="inlineStr">
        <is>
          <t>CB</t>
        </is>
      </c>
      <c r="K1311" t="inlineStr">
        <is>
          <t>Busy Tone</t>
        </is>
      </c>
      <c r="L1311" t="n">
        <v>9</v>
      </c>
      <c r="M1311" t="inlineStr">
        <is>
          <t>2026-06-24 10:22:48</t>
        </is>
      </c>
      <c r="N1311" t="inlineStr">
        <is>
          <t>Maureen Ntsoko</t>
        </is>
      </c>
      <c r="O1311" t="inlineStr">
        <is>
          <t>2026-06-17 14:10:06</t>
        </is>
      </c>
      <c r="P1311" t="inlineStr">
        <is>
          <t>2026-06-17 14:10:06</t>
        </is>
      </c>
      <c r="Y1311" t="inlineStr">
        <is>
          <t>27796939921</t>
        </is>
      </c>
    </row>
    <row r="1312">
      <c r="A1312" t="inlineStr">
        <is>
          <t>14921688</t>
        </is>
      </c>
      <c r="B1312" t="inlineStr">
        <is>
          <t>6644b07a-2ccd-43ef-8a7e-e2904941145c</t>
        </is>
      </c>
      <c r="D1312" t="inlineStr">
        <is>
          <t>111111124</t>
        </is>
      </c>
      <c r="E1312" t="inlineStr">
        <is>
          <t>Vodacom Life 20260617</t>
        </is>
      </c>
      <c r="G1312" t="inlineStr">
        <is>
          <t>MPHUMZI</t>
        </is>
      </c>
      <c r="H1312" t="inlineStr">
        <is>
          <t>SOBANTU</t>
        </is>
      </c>
      <c r="J1312" t="inlineStr">
        <is>
          <t>A</t>
        </is>
      </c>
      <c r="K1312" t="inlineStr">
        <is>
          <t>Answering Machine</t>
        </is>
      </c>
      <c r="L1312" t="n">
        <v>5</v>
      </c>
      <c r="M1312" t="inlineStr">
        <is>
          <t>2026-06-23 12:08:27</t>
        </is>
      </c>
      <c r="N1312" t="inlineStr">
        <is>
          <t>Maureen Ntsoko</t>
        </is>
      </c>
      <c r="O1312" t="inlineStr">
        <is>
          <t>2026-06-17 14:10:06</t>
        </is>
      </c>
      <c r="P1312" t="inlineStr">
        <is>
          <t>2026-06-17 14:10:06</t>
        </is>
      </c>
      <c r="Y1312" t="inlineStr">
        <is>
          <t>27828825515</t>
        </is>
      </c>
    </row>
    <row r="1313">
      <c r="A1313" t="inlineStr">
        <is>
          <t>14921573</t>
        </is>
      </c>
      <c r="B1313" t="inlineStr">
        <is>
          <t>59ba628f-d2e7-4fc3-aa74-b7ad38859665</t>
        </is>
      </c>
      <c r="D1313" t="inlineStr">
        <is>
          <t>111111124</t>
        </is>
      </c>
      <c r="E1313" t="inlineStr">
        <is>
          <t>Vodacom Life 20260617</t>
        </is>
      </c>
      <c r="G1313" t="inlineStr">
        <is>
          <t>LESETJA</t>
        </is>
      </c>
      <c r="H1313" t="inlineStr">
        <is>
          <t>MONYEPAO</t>
        </is>
      </c>
      <c r="J1313" t="inlineStr">
        <is>
          <t>AC</t>
        </is>
      </c>
      <c r="K1313" t="inlineStr">
        <is>
          <t>Already Contacted</t>
        </is>
      </c>
      <c r="L1313" t="n">
        <v>4</v>
      </c>
      <c r="M1313" t="inlineStr">
        <is>
          <t>2026-06-23 12:04:19</t>
        </is>
      </c>
      <c r="N1313" t="inlineStr">
        <is>
          <t>Maureen Ntsoko</t>
        </is>
      </c>
      <c r="O1313" t="inlineStr">
        <is>
          <t>2026-06-17 14:10:06</t>
        </is>
      </c>
      <c r="P1313" t="inlineStr">
        <is>
          <t>2026-06-17 14:10:06</t>
        </is>
      </c>
      <c r="Y1313" t="inlineStr">
        <is>
          <t>27727948929</t>
        </is>
      </c>
    </row>
    <row r="1314">
      <c r="A1314" t="inlineStr">
        <is>
          <t>14920907</t>
        </is>
      </c>
      <c r="B1314" t="inlineStr">
        <is>
          <t>0163a13c-7013-48a7-acf2-92351fb942aa</t>
        </is>
      </c>
      <c r="D1314" t="inlineStr">
        <is>
          <t>111111124</t>
        </is>
      </c>
      <c r="E1314" t="inlineStr">
        <is>
          <t>Vodacom Life 20260617</t>
        </is>
      </c>
      <c r="G1314" t="inlineStr">
        <is>
          <t>KATLEGO</t>
        </is>
      </c>
      <c r="H1314" t="inlineStr">
        <is>
          <t>PITSE</t>
        </is>
      </c>
      <c r="J1314" t="inlineStr">
        <is>
          <t>N</t>
        </is>
      </c>
      <c r="K1314" t="inlineStr">
        <is>
          <t>No Answer</t>
        </is>
      </c>
      <c r="L1314" t="n">
        <v>6</v>
      </c>
      <c r="M1314" t="inlineStr">
        <is>
          <t>2026-06-23 10:21:08</t>
        </is>
      </c>
      <c r="N1314" t="inlineStr">
        <is>
          <t>Khensane Mabasa</t>
        </is>
      </c>
      <c r="O1314" t="inlineStr">
        <is>
          <t>2026-06-17 14:10:06</t>
        </is>
      </c>
      <c r="P1314" t="inlineStr">
        <is>
          <t>2026-06-17 14:10:06</t>
        </is>
      </c>
      <c r="Y1314" t="inlineStr">
        <is>
          <t>27662398922</t>
        </is>
      </c>
    </row>
    <row r="1315">
      <c r="A1315" t="inlineStr">
        <is>
          <t>14920770</t>
        </is>
      </c>
      <c r="B1315" t="inlineStr">
        <is>
          <t>7f7929da-3e8f-44e8-9310-d2100315b088</t>
        </is>
      </c>
      <c r="D1315" t="inlineStr">
        <is>
          <t>111111124</t>
        </is>
      </c>
      <c r="E1315" t="inlineStr">
        <is>
          <t>Vodacom Life 20260617</t>
        </is>
      </c>
      <c r="G1315" t="inlineStr">
        <is>
          <t>YOLANDE</t>
        </is>
      </c>
      <c r="H1315" t="inlineStr">
        <is>
          <t>VAN DEN BERG</t>
        </is>
      </c>
      <c r="J1315" t="inlineStr">
        <is>
          <t>NI</t>
        </is>
      </c>
      <c r="K1315" t="inlineStr">
        <is>
          <t>Not Interested</t>
        </is>
      </c>
      <c r="L1315" t="n">
        <v>4</v>
      </c>
      <c r="M1315" t="inlineStr">
        <is>
          <t>2026-06-22 14:50:40</t>
        </is>
      </c>
      <c r="N1315" t="inlineStr">
        <is>
          <t>Khensane Mabasa</t>
        </is>
      </c>
      <c r="O1315" t="inlineStr">
        <is>
          <t>2026-06-17 14:10:06</t>
        </is>
      </c>
      <c r="P1315" t="inlineStr">
        <is>
          <t>2026-06-17 14:10:06</t>
        </is>
      </c>
      <c r="Y1315" t="inlineStr">
        <is>
          <t>27824181610</t>
        </is>
      </c>
    </row>
    <row r="1316">
      <c r="A1316" t="inlineStr">
        <is>
          <t>14920561</t>
        </is>
      </c>
      <c r="B1316" t="inlineStr">
        <is>
          <t>3696ed5b-55bf-47b8-9b60-d5a21a89e87f</t>
        </is>
      </c>
      <c r="D1316" t="inlineStr">
        <is>
          <t>111111124</t>
        </is>
      </c>
      <c r="E1316" t="inlineStr">
        <is>
          <t>Vodacom Life 20260617</t>
        </is>
      </c>
      <c r="G1316" t="inlineStr">
        <is>
          <t>NKOSIKHONA</t>
        </is>
      </c>
      <c r="H1316" t="inlineStr">
        <is>
          <t>MAGUBANE</t>
        </is>
      </c>
      <c r="J1316" t="inlineStr">
        <is>
          <t>N</t>
        </is>
      </c>
      <c r="K1316" t="inlineStr">
        <is>
          <t>No Answer</t>
        </is>
      </c>
      <c r="L1316" t="n">
        <v>6</v>
      </c>
      <c r="M1316" t="inlineStr">
        <is>
          <t>2026-06-22 14:17:55</t>
        </is>
      </c>
      <c r="N1316" t="inlineStr">
        <is>
          <t>Khensane Mabasa</t>
        </is>
      </c>
      <c r="O1316" t="inlineStr">
        <is>
          <t>2026-06-17 14:10:06</t>
        </is>
      </c>
      <c r="P1316" t="inlineStr">
        <is>
          <t>2026-06-17 14:10:06</t>
        </is>
      </c>
      <c r="Y1316" t="inlineStr">
        <is>
          <t>27796969382</t>
        </is>
      </c>
    </row>
    <row r="1317">
      <c r="A1317" t="inlineStr">
        <is>
          <t>14920699</t>
        </is>
      </c>
      <c r="B1317" t="inlineStr">
        <is>
          <t>f4133ba8-102e-4602-b3de-4f4ccfb70daf</t>
        </is>
      </c>
      <c r="D1317" t="inlineStr">
        <is>
          <t>111111124</t>
        </is>
      </c>
      <c r="E1317" t="inlineStr">
        <is>
          <t>Vodacom Life 20260617</t>
        </is>
      </c>
      <c r="G1317" t="inlineStr">
        <is>
          <t>PETRUS</t>
        </is>
      </c>
      <c r="H1317" t="inlineStr">
        <is>
          <t>VAN STADEN</t>
        </is>
      </c>
      <c r="J1317" t="inlineStr">
        <is>
          <t>NI</t>
        </is>
      </c>
      <c r="K1317" t="inlineStr">
        <is>
          <t>Not Interested</t>
        </is>
      </c>
      <c r="L1317" t="n">
        <v>3</v>
      </c>
      <c r="M1317" t="inlineStr">
        <is>
          <t>2026-06-22 12:57:24</t>
        </is>
      </c>
      <c r="N1317" t="inlineStr">
        <is>
          <t>Maureen Ntsoko</t>
        </is>
      </c>
      <c r="O1317" t="inlineStr">
        <is>
          <t>2026-06-17 14:10:06</t>
        </is>
      </c>
      <c r="P1317" t="inlineStr">
        <is>
          <t>2026-06-17 14:10:06</t>
        </is>
      </c>
      <c r="Y1317" t="inlineStr">
        <is>
          <t>27646033564</t>
        </is>
      </c>
    </row>
    <row r="1318">
      <c r="A1318" t="inlineStr">
        <is>
          <t>14921141</t>
        </is>
      </c>
      <c r="B1318" t="inlineStr">
        <is>
          <t>41f14e81-4bfb-4815-968b-5d18fd048d1a</t>
        </is>
      </c>
      <c r="D1318" t="inlineStr">
        <is>
          <t>111111124</t>
        </is>
      </c>
      <c r="E1318" t="inlineStr">
        <is>
          <t>Vodacom Life 20260617</t>
        </is>
      </c>
      <c r="G1318" t="inlineStr">
        <is>
          <t>MASILO</t>
        </is>
      </c>
      <c r="H1318" t="inlineStr">
        <is>
          <t>MOHLAPI</t>
        </is>
      </c>
      <c r="J1318" t="inlineStr">
        <is>
          <t>A</t>
        </is>
      </c>
      <c r="K1318" t="inlineStr">
        <is>
          <t>Answering Machine</t>
        </is>
      </c>
      <c r="L1318" t="n">
        <v>6</v>
      </c>
      <c r="M1318" t="inlineStr">
        <is>
          <t>2026-06-22 12:55:58</t>
        </is>
      </c>
      <c r="N1318" t="inlineStr">
        <is>
          <t>Maureen Ntsoko</t>
        </is>
      </c>
      <c r="O1318" t="inlineStr">
        <is>
          <t>2026-06-17 14:10:06</t>
        </is>
      </c>
      <c r="P1318" t="inlineStr">
        <is>
          <t>2026-06-17 14:10:06</t>
        </is>
      </c>
      <c r="Y1318" t="inlineStr">
        <is>
          <t>27714119276</t>
        </is>
      </c>
    </row>
    <row r="1319">
      <c r="A1319" t="inlineStr">
        <is>
          <t>14920641</t>
        </is>
      </c>
      <c r="B1319" t="inlineStr">
        <is>
          <t>dcf8b507-78f5-4839-a311-5d8d7cf0689e</t>
        </is>
      </c>
      <c r="D1319" t="inlineStr">
        <is>
          <t>111111124</t>
        </is>
      </c>
      <c r="E1319" t="inlineStr">
        <is>
          <t>Vodacom Life 20260617</t>
        </is>
      </c>
      <c r="G1319" t="inlineStr">
        <is>
          <t>GRACE</t>
        </is>
      </c>
      <c r="H1319" t="inlineStr">
        <is>
          <t>TAUKOBONG</t>
        </is>
      </c>
      <c r="J1319" t="inlineStr">
        <is>
          <t>AC</t>
        </is>
      </c>
      <c r="K1319" t="inlineStr">
        <is>
          <t>Already Contacted</t>
        </is>
      </c>
      <c r="L1319" t="n">
        <v>4</v>
      </c>
      <c r="M1319" t="inlineStr">
        <is>
          <t>2026-06-22 12:52:20</t>
        </is>
      </c>
      <c r="N1319" t="inlineStr">
        <is>
          <t>Maureen Ntsoko</t>
        </is>
      </c>
      <c r="O1319" t="inlineStr">
        <is>
          <t>2026-06-17 14:10:06</t>
        </is>
      </c>
      <c r="P1319" t="inlineStr">
        <is>
          <t>2026-06-17 14:10:06</t>
        </is>
      </c>
      <c r="Y1319" t="inlineStr">
        <is>
          <t>27606865787</t>
        </is>
      </c>
    </row>
    <row r="1320">
      <c r="A1320" t="inlineStr">
        <is>
          <t>14920714</t>
        </is>
      </c>
      <c r="B1320" t="inlineStr">
        <is>
          <t>27a606eb-8230-4f54-939e-1007f50310a0</t>
        </is>
      </c>
      <c r="D1320" t="inlineStr">
        <is>
          <t>111111124</t>
        </is>
      </c>
      <c r="E1320" t="inlineStr">
        <is>
          <t>Vodacom Life 20260617</t>
        </is>
      </c>
      <c r="G1320" t="inlineStr">
        <is>
          <t>NKOSAZANA</t>
        </is>
      </c>
      <c r="H1320" t="inlineStr">
        <is>
          <t>MAHLANGU</t>
        </is>
      </c>
      <c r="J1320" t="inlineStr">
        <is>
          <t>AGE</t>
        </is>
      </c>
      <c r="K1320" t="inlineStr">
        <is>
          <t>Under Age</t>
        </is>
      </c>
      <c r="L1320" t="n">
        <v>3</v>
      </c>
      <c r="M1320" t="inlineStr">
        <is>
          <t>2026-06-22 12:51:15</t>
        </is>
      </c>
      <c r="N1320" t="inlineStr">
        <is>
          <t>Khensane Mabasa</t>
        </is>
      </c>
      <c r="O1320" t="inlineStr">
        <is>
          <t>2026-06-17 14:10:06</t>
        </is>
      </c>
      <c r="P1320" t="inlineStr">
        <is>
          <t>2026-06-17 14:10:06</t>
        </is>
      </c>
      <c r="Y1320" t="inlineStr">
        <is>
          <t>27829599939</t>
        </is>
      </c>
    </row>
    <row r="1321">
      <c r="A1321" t="inlineStr">
        <is>
          <t>14920732</t>
        </is>
      </c>
      <c r="B1321" t="inlineStr">
        <is>
          <t>1a819b4f-e1c8-4285-ba68-562c27a03699</t>
        </is>
      </c>
      <c r="D1321" t="inlineStr">
        <is>
          <t>111111124</t>
        </is>
      </c>
      <c r="E1321" t="inlineStr">
        <is>
          <t>Vodacom Life 20260617</t>
        </is>
      </c>
      <c r="G1321" t="inlineStr">
        <is>
          <t>ONTIRETSE</t>
        </is>
      </c>
      <c r="H1321" t="inlineStr">
        <is>
          <t>MOOKE</t>
        </is>
      </c>
      <c r="J1321" t="inlineStr">
        <is>
          <t>NI</t>
        </is>
      </c>
      <c r="K1321" t="inlineStr">
        <is>
          <t>Not Interested</t>
        </is>
      </c>
      <c r="L1321" t="n">
        <v>3</v>
      </c>
      <c r="M1321" t="inlineStr">
        <is>
          <t>2026-06-22 12:49:13</t>
        </is>
      </c>
      <c r="N1321" t="inlineStr">
        <is>
          <t>Maureen Ntsoko</t>
        </is>
      </c>
      <c r="O1321" t="inlineStr">
        <is>
          <t>2026-06-17 14:10:06</t>
        </is>
      </c>
      <c r="P1321" t="inlineStr">
        <is>
          <t>2026-06-17 14:10:06</t>
        </is>
      </c>
      <c r="Y1321" t="inlineStr">
        <is>
          <t>27713034767</t>
        </is>
      </c>
    </row>
    <row r="1322">
      <c r="A1322" t="inlineStr">
        <is>
          <t>14920611</t>
        </is>
      </c>
      <c r="B1322" t="inlineStr">
        <is>
          <t>9158506f-8da3-4705-b60a-fd2e9761b117</t>
        </is>
      </c>
      <c r="D1322" t="inlineStr">
        <is>
          <t>111111124</t>
        </is>
      </c>
      <c r="E1322" t="inlineStr">
        <is>
          <t>Vodacom Life 20260617</t>
        </is>
      </c>
      <c r="G1322" t="inlineStr">
        <is>
          <t>OBAKENG</t>
        </is>
      </c>
      <c r="H1322" t="inlineStr">
        <is>
          <t>MOSHIGA</t>
        </is>
      </c>
      <c r="J1322" t="inlineStr">
        <is>
          <t>CBACK</t>
        </is>
      </c>
      <c r="K1322" t="inlineStr">
        <is>
          <t>Callback</t>
        </is>
      </c>
      <c r="L1322" t="n">
        <v>5</v>
      </c>
      <c r="M1322" t="inlineStr">
        <is>
          <t>2026-06-22 12:46:33</t>
        </is>
      </c>
      <c r="N1322" t="inlineStr">
        <is>
          <t>bongiwe lushaba</t>
        </is>
      </c>
      <c r="O1322" t="inlineStr">
        <is>
          <t>2026-06-17 14:10:06</t>
        </is>
      </c>
      <c r="P1322" t="inlineStr">
        <is>
          <t>2026-06-17 14:10:06</t>
        </is>
      </c>
      <c r="Y1322" t="inlineStr">
        <is>
          <t>27720151316</t>
        </is>
      </c>
    </row>
    <row r="1323">
      <c r="A1323" t="inlineStr">
        <is>
          <t>14920612</t>
        </is>
      </c>
      <c r="B1323" t="inlineStr">
        <is>
          <t>483d5189-b223-43f9-9c5a-cbba79597428</t>
        </is>
      </c>
      <c r="D1323" t="inlineStr">
        <is>
          <t>111111124</t>
        </is>
      </c>
      <c r="E1323" t="inlineStr">
        <is>
          <t>Vodacom Life 20260617</t>
        </is>
      </c>
      <c r="G1323" t="inlineStr">
        <is>
          <t>TAETSO</t>
        </is>
      </c>
      <c r="H1323" t="inlineStr">
        <is>
          <t>PILUSA</t>
        </is>
      </c>
      <c r="J1323" t="inlineStr">
        <is>
          <t>CBACK</t>
        </is>
      </c>
      <c r="K1323" t="inlineStr">
        <is>
          <t>Callback</t>
        </is>
      </c>
      <c r="L1323" t="n">
        <v>3</v>
      </c>
      <c r="M1323" t="inlineStr">
        <is>
          <t>2026-06-22 12:43:56</t>
        </is>
      </c>
      <c r="N1323" t="inlineStr">
        <is>
          <t>bongiwe lushaba</t>
        </is>
      </c>
      <c r="O1323" t="inlineStr">
        <is>
          <t>2026-06-17 14:10:06</t>
        </is>
      </c>
      <c r="P1323" t="inlineStr">
        <is>
          <t>2026-06-17 14:10:06</t>
        </is>
      </c>
      <c r="Y1323" t="inlineStr">
        <is>
          <t>27765250256</t>
        </is>
      </c>
    </row>
    <row r="1324">
      <c r="A1324" t="inlineStr">
        <is>
          <t>14920761</t>
        </is>
      </c>
      <c r="B1324" t="inlineStr">
        <is>
          <t>bef9f063-af1e-4e17-ad50-2f188cb1b03e</t>
        </is>
      </c>
      <c r="D1324" t="inlineStr">
        <is>
          <t>111111124</t>
        </is>
      </c>
      <c r="E1324" t="inlineStr">
        <is>
          <t>Vodacom Life 20260617</t>
        </is>
      </c>
      <c r="G1324" t="inlineStr">
        <is>
          <t>SIMON</t>
        </is>
      </c>
      <c r="H1324" t="inlineStr">
        <is>
          <t>BEZUIDEHOUT</t>
        </is>
      </c>
      <c r="J1324" t="inlineStr">
        <is>
          <t>NI</t>
        </is>
      </c>
      <c r="K1324" t="inlineStr">
        <is>
          <t>Not Interested</t>
        </is>
      </c>
      <c r="L1324" t="n">
        <v>3</v>
      </c>
      <c r="M1324" t="inlineStr">
        <is>
          <t>2026-06-22 12:37:30</t>
        </is>
      </c>
      <c r="N1324" t="inlineStr">
        <is>
          <t>Maureen Ntsoko</t>
        </is>
      </c>
      <c r="O1324" t="inlineStr">
        <is>
          <t>2026-06-17 14:10:06</t>
        </is>
      </c>
      <c r="P1324" t="inlineStr">
        <is>
          <t>2026-06-17 14:10:06</t>
        </is>
      </c>
      <c r="Y1324" t="inlineStr">
        <is>
          <t>27637818166</t>
        </is>
      </c>
    </row>
    <row r="1325">
      <c r="A1325" t="inlineStr">
        <is>
          <t>14920768</t>
        </is>
      </c>
      <c r="B1325" t="inlineStr">
        <is>
          <t>a1e9b0b6-30fc-4369-a2ed-e03a3fea8bf2</t>
        </is>
      </c>
      <c r="D1325" t="inlineStr">
        <is>
          <t>111111124</t>
        </is>
      </c>
      <c r="E1325" t="inlineStr">
        <is>
          <t>Vodacom Life 20260617</t>
        </is>
      </c>
      <c r="G1325" t="inlineStr">
        <is>
          <t>PATIENCE</t>
        </is>
      </c>
      <c r="H1325" t="inlineStr">
        <is>
          <t>RATLABALA</t>
        </is>
      </c>
      <c r="J1325" t="inlineStr">
        <is>
          <t>NI</t>
        </is>
      </c>
      <c r="K1325" t="inlineStr">
        <is>
          <t>Not Interested</t>
        </is>
      </c>
      <c r="L1325" t="n">
        <v>3</v>
      </c>
      <c r="M1325" t="inlineStr">
        <is>
          <t>2026-06-22 12:33:32</t>
        </is>
      </c>
      <c r="N1325" t="inlineStr">
        <is>
          <t>Maureen Ntsoko</t>
        </is>
      </c>
      <c r="O1325" t="inlineStr">
        <is>
          <t>2026-06-17 14:10:06</t>
        </is>
      </c>
      <c r="P1325" t="inlineStr">
        <is>
          <t>2026-06-17 14:10:06</t>
        </is>
      </c>
      <c r="Y1325" t="inlineStr">
        <is>
          <t>27829556359</t>
        </is>
      </c>
    </row>
    <row r="1326">
      <c r="A1326" t="inlineStr">
        <is>
          <t>14920887</t>
        </is>
      </c>
      <c r="B1326" t="inlineStr">
        <is>
          <t>ffa944d9-b2f6-4ae8-8522-92cdb118d231</t>
        </is>
      </c>
      <c r="D1326" t="inlineStr">
        <is>
          <t>111111124</t>
        </is>
      </c>
      <c r="E1326" t="inlineStr">
        <is>
          <t>Vodacom Life 20260617</t>
        </is>
      </c>
      <c r="G1326" t="inlineStr">
        <is>
          <t>HUMPHREY</t>
        </is>
      </c>
      <c r="H1326" t="inlineStr">
        <is>
          <t>MKHIZE</t>
        </is>
      </c>
      <c r="J1326" t="inlineStr">
        <is>
          <t>OAL</t>
        </is>
      </c>
      <c r="K1326" t="inlineStr">
        <is>
          <t>Over Age Limit</t>
        </is>
      </c>
      <c r="L1326" t="n">
        <v>3</v>
      </c>
      <c r="M1326" t="inlineStr">
        <is>
          <t>2026-06-22 11:47:45</t>
        </is>
      </c>
      <c r="N1326" t="inlineStr">
        <is>
          <t>Khensane Mabasa</t>
        </is>
      </c>
      <c r="O1326" t="inlineStr">
        <is>
          <t>2026-06-17 14:10:06</t>
        </is>
      </c>
      <c r="P1326" t="inlineStr">
        <is>
          <t>2026-06-17 14:10:06</t>
        </is>
      </c>
      <c r="Y1326" t="inlineStr">
        <is>
          <t>27722496378</t>
        </is>
      </c>
    </row>
    <row r="1327">
      <c r="A1327" t="inlineStr">
        <is>
          <t>14921324</t>
        </is>
      </c>
      <c r="B1327" t="inlineStr">
        <is>
          <t>403a5c87-60dc-4aaa-93c4-c4c2632fadd9</t>
        </is>
      </c>
      <c r="D1327" t="inlineStr">
        <is>
          <t>111111124</t>
        </is>
      </c>
      <c r="E1327" t="inlineStr">
        <is>
          <t>Vodacom Life 20260617</t>
        </is>
      </c>
      <c r="G1327" t="inlineStr">
        <is>
          <t>MALOSE</t>
        </is>
      </c>
      <c r="H1327" t="inlineStr">
        <is>
          <t>RAMASHALA</t>
        </is>
      </c>
      <c r="J1327" t="inlineStr">
        <is>
          <t>NI</t>
        </is>
      </c>
      <c r="K1327" t="inlineStr">
        <is>
          <t>Not Interested</t>
        </is>
      </c>
      <c r="L1327" t="n">
        <v>3</v>
      </c>
      <c r="M1327" t="inlineStr">
        <is>
          <t>2026-06-22 11:02:44</t>
        </is>
      </c>
      <c r="N1327" t="inlineStr">
        <is>
          <t>Khensane Mabasa</t>
        </is>
      </c>
      <c r="O1327" t="inlineStr">
        <is>
          <t>2026-06-17 14:10:06</t>
        </is>
      </c>
      <c r="P1327" t="inlineStr">
        <is>
          <t>2026-06-17 14:10:06</t>
        </is>
      </c>
      <c r="Y1327" t="inlineStr">
        <is>
          <t>27720521344</t>
        </is>
      </c>
    </row>
    <row r="1328">
      <c r="A1328" t="inlineStr">
        <is>
          <t>14921332</t>
        </is>
      </c>
      <c r="B1328" t="inlineStr">
        <is>
          <t>c63c4c48-8442-4eed-ab6b-95d539b90f28</t>
        </is>
      </c>
      <c r="D1328" t="inlineStr">
        <is>
          <t>111111124</t>
        </is>
      </c>
      <c r="E1328" t="inlineStr">
        <is>
          <t>Vodacom Life 20260617</t>
        </is>
      </c>
      <c r="G1328" t="inlineStr">
        <is>
          <t>LONATHEMBA</t>
        </is>
      </c>
      <c r="H1328" t="inlineStr">
        <is>
          <t>SOLANII</t>
        </is>
      </c>
      <c r="J1328" t="inlineStr">
        <is>
          <t>CBACK</t>
        </is>
      </c>
      <c r="K1328" t="inlineStr">
        <is>
          <t>Callback</t>
        </is>
      </c>
      <c r="L1328" t="n">
        <v>3</v>
      </c>
      <c r="M1328" t="inlineStr">
        <is>
          <t>2026-06-22 11:02:26</t>
        </is>
      </c>
      <c r="N1328" t="inlineStr">
        <is>
          <t>bongiwe lushaba</t>
        </is>
      </c>
      <c r="O1328" t="inlineStr">
        <is>
          <t>2026-06-17 14:10:06</t>
        </is>
      </c>
      <c r="P1328" t="inlineStr">
        <is>
          <t>2026-06-17 14:10:06</t>
        </is>
      </c>
      <c r="Y1328" t="inlineStr">
        <is>
          <t>27662861268</t>
        </is>
      </c>
    </row>
    <row r="1329">
      <c r="A1329" t="inlineStr">
        <is>
          <t>14920909</t>
        </is>
      </c>
      <c r="B1329" t="inlineStr">
        <is>
          <t>1f4bba51-e3ac-40d1-a334-1dda9164e648</t>
        </is>
      </c>
      <c r="D1329" t="inlineStr">
        <is>
          <t>111111124</t>
        </is>
      </c>
      <c r="E1329" t="inlineStr">
        <is>
          <t>Vodacom Life 20260617</t>
        </is>
      </c>
      <c r="G1329" t="inlineStr">
        <is>
          <t>SIZWE</t>
        </is>
      </c>
      <c r="H1329" t="inlineStr">
        <is>
          <t>ZIKHALI</t>
        </is>
      </c>
      <c r="J1329" t="inlineStr">
        <is>
          <t>N</t>
        </is>
      </c>
      <c r="K1329" t="inlineStr">
        <is>
          <t>No Answer</t>
        </is>
      </c>
      <c r="L1329" t="n">
        <v>7</v>
      </c>
      <c r="M1329" t="inlineStr">
        <is>
          <t>2026-06-22 11:02:08</t>
        </is>
      </c>
      <c r="N1329" t="inlineStr">
        <is>
          <t>Khensane Mabasa</t>
        </is>
      </c>
      <c r="O1329" t="inlineStr">
        <is>
          <t>2026-06-17 14:10:06</t>
        </is>
      </c>
      <c r="P1329" t="inlineStr">
        <is>
          <t>2026-06-17 14:10:06</t>
        </is>
      </c>
      <c r="Y1329" t="inlineStr">
        <is>
          <t>27832927654</t>
        </is>
      </c>
    </row>
    <row r="1330">
      <c r="A1330" t="inlineStr">
        <is>
          <t>14921053</t>
        </is>
      </c>
      <c r="B1330" t="inlineStr">
        <is>
          <t>781933bd-2600-40cd-85b1-507374cd4298</t>
        </is>
      </c>
      <c r="D1330" t="inlineStr">
        <is>
          <t>111111124</t>
        </is>
      </c>
      <c r="E1330" t="inlineStr">
        <is>
          <t>Vodacom Life 20260617</t>
        </is>
      </c>
      <c r="G1330" t="inlineStr">
        <is>
          <t>ZAMILE</t>
        </is>
      </c>
      <c r="H1330" t="inlineStr">
        <is>
          <t>TLOU</t>
        </is>
      </c>
      <c r="J1330" t="inlineStr">
        <is>
          <t>AC</t>
        </is>
      </c>
      <c r="K1330" t="inlineStr">
        <is>
          <t>Already Contacted</t>
        </is>
      </c>
      <c r="L1330" t="n">
        <v>4</v>
      </c>
      <c r="M1330" t="inlineStr">
        <is>
          <t>2026-06-22 10:56:59</t>
        </is>
      </c>
      <c r="N1330" t="inlineStr">
        <is>
          <t>Maureen Ntsoko</t>
        </is>
      </c>
      <c r="O1330" t="inlineStr">
        <is>
          <t>2026-06-17 14:10:06</t>
        </is>
      </c>
      <c r="P1330" t="inlineStr">
        <is>
          <t>2026-06-17 14:10:06</t>
        </is>
      </c>
      <c r="Y1330" t="inlineStr">
        <is>
          <t>27760538170</t>
        </is>
      </c>
    </row>
    <row r="1331">
      <c r="A1331" t="inlineStr">
        <is>
          <t>14921543</t>
        </is>
      </c>
      <c r="B1331" t="inlineStr">
        <is>
          <t>8e07af51-535e-4e92-95b5-7271ab1dc699</t>
        </is>
      </c>
      <c r="D1331" t="inlineStr">
        <is>
          <t>111111124</t>
        </is>
      </c>
      <c r="E1331" t="inlineStr">
        <is>
          <t>Vodacom Life 20260617</t>
        </is>
      </c>
      <c r="G1331" t="inlineStr">
        <is>
          <t>NKOSINGIPHILE</t>
        </is>
      </c>
      <c r="H1331" t="inlineStr">
        <is>
          <t>MDLULI</t>
        </is>
      </c>
      <c r="J1331" t="inlineStr">
        <is>
          <t>AC</t>
        </is>
      </c>
      <c r="K1331" t="inlineStr">
        <is>
          <t>Already Contacted</t>
        </is>
      </c>
      <c r="L1331" t="n">
        <v>4</v>
      </c>
      <c r="M1331" t="inlineStr">
        <is>
          <t>2026-06-22 10:55:32</t>
        </is>
      </c>
      <c r="N1331" t="inlineStr">
        <is>
          <t>Maureen Ntsoko</t>
        </is>
      </c>
      <c r="O1331" t="inlineStr">
        <is>
          <t>2026-06-17 14:10:06</t>
        </is>
      </c>
      <c r="P1331" t="inlineStr">
        <is>
          <t>2026-06-17 14:10:06</t>
        </is>
      </c>
      <c r="Y1331" t="inlineStr">
        <is>
          <t>27790396083</t>
        </is>
      </c>
    </row>
    <row r="1332">
      <c r="A1332" t="inlineStr">
        <is>
          <t>14921524</t>
        </is>
      </c>
      <c r="B1332" t="inlineStr">
        <is>
          <t>aa4129cd-3aa9-4dc1-8941-5f64de5c61a0</t>
        </is>
      </c>
      <c r="D1332" t="inlineStr">
        <is>
          <t>111111124</t>
        </is>
      </c>
      <c r="E1332" t="inlineStr">
        <is>
          <t>Vodacom Life 20260617</t>
        </is>
      </c>
      <c r="G1332" t="inlineStr">
        <is>
          <t>NOKWANDA</t>
        </is>
      </c>
      <c r="H1332" t="inlineStr">
        <is>
          <t>SITHOLE</t>
        </is>
      </c>
      <c r="J1332" t="inlineStr">
        <is>
          <t>WN</t>
        </is>
      </c>
      <c r="K1332" t="inlineStr">
        <is>
          <t>Wrong Number</t>
        </is>
      </c>
      <c r="L1332" t="n">
        <v>3</v>
      </c>
      <c r="M1332" t="inlineStr">
        <is>
          <t>2026-06-22 10:48:18</t>
        </is>
      </c>
      <c r="N1332" t="inlineStr">
        <is>
          <t>Maureen Ntsoko</t>
        </is>
      </c>
      <c r="O1332" t="inlineStr">
        <is>
          <t>2026-06-17 14:10:06</t>
        </is>
      </c>
      <c r="P1332" t="inlineStr">
        <is>
          <t>2026-06-17 14:10:06</t>
        </is>
      </c>
      <c r="Y1332" t="inlineStr">
        <is>
          <t>27716894271</t>
        </is>
      </c>
    </row>
    <row r="1333">
      <c r="A1333" t="inlineStr">
        <is>
          <t>14920476</t>
        </is>
      </c>
      <c r="B1333" t="inlineStr">
        <is>
          <t>b837a918-6680-404a-ad76-84e51a9c1c9a</t>
        </is>
      </c>
      <c r="D1333" t="inlineStr">
        <is>
          <t>111111124</t>
        </is>
      </c>
      <c r="E1333" t="inlineStr">
        <is>
          <t>Vodacom Life 20260617</t>
        </is>
      </c>
      <c r="G1333" t="inlineStr">
        <is>
          <t>FRANES</t>
        </is>
      </c>
      <c r="H1333" t="inlineStr">
        <is>
          <t>WEINER</t>
        </is>
      </c>
      <c r="J1333" t="inlineStr">
        <is>
          <t>AC</t>
        </is>
      </c>
      <c r="K1333" t="inlineStr">
        <is>
          <t>Already Contacted</t>
        </is>
      </c>
      <c r="L1333" t="n">
        <v>3</v>
      </c>
      <c r="M1333" t="inlineStr">
        <is>
          <t>2026-06-22 10:43:37</t>
        </is>
      </c>
      <c r="N1333" t="inlineStr">
        <is>
          <t>Maureen Ntsoko</t>
        </is>
      </c>
      <c r="O1333" t="inlineStr">
        <is>
          <t>2026-06-17 14:10:06</t>
        </is>
      </c>
      <c r="P1333" t="inlineStr">
        <is>
          <t>2026-06-17 14:10:06</t>
        </is>
      </c>
      <c r="Y1333" t="inlineStr">
        <is>
          <t>27791415488</t>
        </is>
      </c>
    </row>
    <row r="1334">
      <c r="A1334" t="inlineStr">
        <is>
          <t>14921642</t>
        </is>
      </c>
      <c r="B1334" t="inlineStr">
        <is>
          <t>c45c3e94-5985-4d88-854f-b811ffd7fe0e</t>
        </is>
      </c>
      <c r="D1334" t="inlineStr">
        <is>
          <t>111111124</t>
        </is>
      </c>
      <c r="E1334" t="inlineStr">
        <is>
          <t>Vodacom Life 20260617</t>
        </is>
      </c>
      <c r="G1334" t="inlineStr">
        <is>
          <t>TANYA</t>
        </is>
      </c>
      <c r="H1334" t="inlineStr">
        <is>
          <t>SWANEPOEL</t>
        </is>
      </c>
      <c r="J1334" t="inlineStr">
        <is>
          <t>AGE</t>
        </is>
      </c>
      <c r="K1334" t="inlineStr">
        <is>
          <t>Under Age</t>
        </is>
      </c>
      <c r="L1334" t="n">
        <v>3</v>
      </c>
      <c r="M1334" t="inlineStr">
        <is>
          <t>2026-06-22 10:43:00</t>
        </is>
      </c>
      <c r="N1334" t="inlineStr">
        <is>
          <t>bongiwe lushaba</t>
        </is>
      </c>
      <c r="O1334" t="inlineStr">
        <is>
          <t>2026-06-17 14:10:06</t>
        </is>
      </c>
      <c r="P1334" t="inlineStr">
        <is>
          <t>2026-06-17 14:10:06</t>
        </is>
      </c>
      <c r="Y1334" t="inlineStr">
        <is>
          <t>27649102273</t>
        </is>
      </c>
    </row>
    <row r="1335">
      <c r="A1335" t="inlineStr">
        <is>
          <t>14920474</t>
        </is>
      </c>
      <c r="B1335" t="inlineStr">
        <is>
          <t>70e23c9d-9fcf-4d38-a23e-c57813da5d79</t>
        </is>
      </c>
      <c r="D1335" t="inlineStr">
        <is>
          <t>111111124</t>
        </is>
      </c>
      <c r="E1335" t="inlineStr">
        <is>
          <t>Vodacom Life 20260617</t>
        </is>
      </c>
      <c r="G1335" t="inlineStr">
        <is>
          <t>BONGINKOSI</t>
        </is>
      </c>
      <c r="H1335" t="inlineStr">
        <is>
          <t>NZUZA</t>
        </is>
      </c>
      <c r="J1335" t="inlineStr">
        <is>
          <t>OAL</t>
        </is>
      </c>
      <c r="K1335" t="inlineStr">
        <is>
          <t>Over Age Limit</t>
        </is>
      </c>
      <c r="L1335" t="n">
        <v>3</v>
      </c>
      <c r="M1335" t="inlineStr">
        <is>
          <t>2026-06-22 10:40:46</t>
        </is>
      </c>
      <c r="N1335" t="inlineStr">
        <is>
          <t>Maureen Ntsoko</t>
        </is>
      </c>
      <c r="O1335" t="inlineStr">
        <is>
          <t>2026-06-17 14:10:06</t>
        </is>
      </c>
      <c r="P1335" t="inlineStr">
        <is>
          <t>2026-06-17 14:10:06</t>
        </is>
      </c>
      <c r="Y1335" t="inlineStr">
        <is>
          <t>27794957755</t>
        </is>
      </c>
    </row>
    <row r="1336">
      <c r="A1336" t="inlineStr">
        <is>
          <t>14920736</t>
        </is>
      </c>
      <c r="B1336" t="inlineStr">
        <is>
          <t>6eddd6de-8325-487f-b095-4cc5d61e736a</t>
        </is>
      </c>
      <c r="D1336" t="inlineStr">
        <is>
          <t>111111124</t>
        </is>
      </c>
      <c r="E1336" t="inlineStr">
        <is>
          <t>Vodacom Life 20260617</t>
        </is>
      </c>
      <c r="G1336" t="inlineStr">
        <is>
          <t>NTSIKELELO</t>
        </is>
      </c>
      <c r="H1336" t="inlineStr">
        <is>
          <t>GQEZA</t>
        </is>
      </c>
      <c r="J1336" t="inlineStr">
        <is>
          <t>AC</t>
        </is>
      </c>
      <c r="K1336" t="inlineStr">
        <is>
          <t>Already Contacted</t>
        </is>
      </c>
      <c r="L1336" t="n">
        <v>3</v>
      </c>
      <c r="M1336" t="inlineStr">
        <is>
          <t>2026-06-22 10:26:31</t>
        </is>
      </c>
      <c r="N1336" t="inlineStr">
        <is>
          <t>Maureen Ntsoko</t>
        </is>
      </c>
      <c r="O1336" t="inlineStr">
        <is>
          <t>2026-06-17 14:10:06</t>
        </is>
      </c>
      <c r="P1336" t="inlineStr">
        <is>
          <t>2026-06-17 14:10:06</t>
        </is>
      </c>
      <c r="Y1336" t="inlineStr">
        <is>
          <t>27823500775</t>
        </is>
      </c>
    </row>
    <row r="1337">
      <c r="A1337" t="inlineStr">
        <is>
          <t>14921724</t>
        </is>
      </c>
      <c r="B1337" t="inlineStr">
        <is>
          <t>e73ac4c2-5793-426a-9c02-e816b4590c05</t>
        </is>
      </c>
      <c r="D1337" t="inlineStr">
        <is>
          <t>111111124</t>
        </is>
      </c>
      <c r="E1337" t="inlineStr">
        <is>
          <t>Vodacom Life 20260617</t>
        </is>
      </c>
      <c r="G1337" t="inlineStr">
        <is>
          <t>NKKULULEKO</t>
        </is>
      </c>
      <c r="H1337" t="inlineStr">
        <is>
          <t>MASIMULA</t>
        </is>
      </c>
      <c r="J1337" t="inlineStr">
        <is>
          <t>NI</t>
        </is>
      </c>
      <c r="K1337" t="inlineStr">
        <is>
          <t>Not Interested</t>
        </is>
      </c>
      <c r="L1337" t="n">
        <v>3</v>
      </c>
      <c r="M1337" t="inlineStr">
        <is>
          <t>2026-06-22 10:23:54</t>
        </is>
      </c>
      <c r="N1337" t="inlineStr">
        <is>
          <t>Maureen Ntsoko</t>
        </is>
      </c>
      <c r="O1337" t="inlineStr">
        <is>
          <t>2026-06-17 14:10:06</t>
        </is>
      </c>
      <c r="P1337" t="inlineStr">
        <is>
          <t>2026-06-17 14:10:06</t>
        </is>
      </c>
      <c r="Y1337" t="inlineStr">
        <is>
          <t>27636964902</t>
        </is>
      </c>
    </row>
    <row r="1338">
      <c r="A1338" t="inlineStr">
        <is>
          <t>14921743</t>
        </is>
      </c>
      <c r="B1338" t="inlineStr">
        <is>
          <t>ddc6ec19-bf91-49ad-8497-e818559367fa</t>
        </is>
      </c>
      <c r="D1338" t="inlineStr">
        <is>
          <t>111111124</t>
        </is>
      </c>
      <c r="E1338" t="inlineStr">
        <is>
          <t>Vodacom Life 20260617</t>
        </is>
      </c>
      <c r="G1338" t="inlineStr">
        <is>
          <t>PHINIAS</t>
        </is>
      </c>
      <c r="H1338" t="inlineStr">
        <is>
          <t>MASHABA</t>
        </is>
      </c>
      <c r="J1338" t="inlineStr">
        <is>
          <t>AC</t>
        </is>
      </c>
      <c r="K1338" t="inlineStr">
        <is>
          <t>Already Contacted</t>
        </is>
      </c>
      <c r="L1338" t="n">
        <v>3</v>
      </c>
      <c r="M1338" t="inlineStr">
        <is>
          <t>2026-06-22 10:15:58</t>
        </is>
      </c>
      <c r="N1338" t="inlineStr">
        <is>
          <t>Maureen Ntsoko</t>
        </is>
      </c>
      <c r="O1338" t="inlineStr">
        <is>
          <t>2026-06-17 14:10:06</t>
        </is>
      </c>
      <c r="P1338" t="inlineStr">
        <is>
          <t>2026-06-17 14:10:06</t>
        </is>
      </c>
      <c r="Y1338" t="inlineStr">
        <is>
          <t>27769664067</t>
        </is>
      </c>
    </row>
    <row r="1339">
      <c r="A1339" t="inlineStr">
        <is>
          <t>14921746</t>
        </is>
      </c>
      <c r="B1339" t="inlineStr">
        <is>
          <t>a052c467-a0d7-40a4-a212-3ed5e326cac1</t>
        </is>
      </c>
      <c r="D1339" t="inlineStr">
        <is>
          <t>111111124</t>
        </is>
      </c>
      <c r="E1339" t="inlineStr">
        <is>
          <t>Vodacom Life 20260617</t>
        </is>
      </c>
      <c r="G1339" t="inlineStr">
        <is>
          <t>ZANELE</t>
        </is>
      </c>
      <c r="H1339" t="inlineStr">
        <is>
          <t>RADEBE</t>
        </is>
      </c>
      <c r="J1339" t="inlineStr">
        <is>
          <t>AC</t>
        </is>
      </c>
      <c r="K1339" t="inlineStr">
        <is>
          <t>Already Contacted</t>
        </is>
      </c>
      <c r="L1339" t="n">
        <v>3</v>
      </c>
      <c r="M1339" t="inlineStr">
        <is>
          <t>2026-06-22 10:15:57</t>
        </is>
      </c>
      <c r="N1339" t="inlineStr">
        <is>
          <t>bongiwe lushaba</t>
        </is>
      </c>
      <c r="O1339" t="inlineStr">
        <is>
          <t>2026-06-17 14:10:06</t>
        </is>
      </c>
      <c r="P1339" t="inlineStr">
        <is>
          <t>2026-06-17 14:10:06</t>
        </is>
      </c>
      <c r="Y1339" t="inlineStr">
        <is>
          <t>27762754744</t>
        </is>
      </c>
    </row>
    <row r="1340">
      <c r="A1340" t="inlineStr">
        <is>
          <t>14921706</t>
        </is>
      </c>
      <c r="B1340" t="inlineStr">
        <is>
          <t>07a27f37-c17a-439f-ac1c-d24b8558cb23</t>
        </is>
      </c>
      <c r="D1340" t="inlineStr">
        <is>
          <t>111111124</t>
        </is>
      </c>
      <c r="E1340" t="inlineStr">
        <is>
          <t>Vodacom Life 20260617</t>
        </is>
      </c>
      <c r="G1340" t="inlineStr">
        <is>
          <t>NTOMBEKHAYA</t>
        </is>
      </c>
      <c r="H1340" t="inlineStr">
        <is>
          <t>BARNES</t>
        </is>
      </c>
      <c r="J1340" t="inlineStr">
        <is>
          <t>QAVET</t>
        </is>
      </c>
      <c r="K1340" t="inlineStr">
        <is>
          <t>Sale Made</t>
        </is>
      </c>
      <c r="L1340" t="n">
        <v>3</v>
      </c>
      <c r="M1340" t="inlineStr">
        <is>
          <t>2026-06-22 10:15:06</t>
        </is>
      </c>
      <c r="N1340" t="inlineStr">
        <is>
          <t>Khensane Mabasa</t>
        </is>
      </c>
      <c r="O1340" t="inlineStr">
        <is>
          <t>2026-06-17 14:10:06</t>
        </is>
      </c>
      <c r="P1340" t="inlineStr">
        <is>
          <t>2026-06-17 14:10:06</t>
        </is>
      </c>
      <c r="Y1340" t="inlineStr">
        <is>
          <t>27774232233</t>
        </is>
      </c>
    </row>
    <row r="1341">
      <c r="A1341" t="inlineStr">
        <is>
          <t>14921686</t>
        </is>
      </c>
      <c r="B1341" t="inlineStr">
        <is>
          <t>c734ec3a-ad78-4e80-b1e8-e50597b3c9de</t>
        </is>
      </c>
      <c r="D1341" t="inlineStr">
        <is>
          <t>111111124</t>
        </is>
      </c>
      <c r="E1341" t="inlineStr">
        <is>
          <t>Vodacom Life 20260617</t>
        </is>
      </c>
      <c r="G1341" t="inlineStr">
        <is>
          <t>MAKEPEACE</t>
        </is>
      </c>
      <c r="H1341" t="inlineStr">
        <is>
          <t>KHANYILE</t>
        </is>
      </c>
      <c r="J1341" t="inlineStr">
        <is>
          <t>CBACK</t>
        </is>
      </c>
      <c r="K1341" t="inlineStr">
        <is>
          <t>Callback</t>
        </is>
      </c>
      <c r="L1341" t="n">
        <v>3</v>
      </c>
      <c r="M1341" t="inlineStr">
        <is>
          <t>2026-06-22 10:14:16</t>
        </is>
      </c>
      <c r="N1341" t="inlineStr">
        <is>
          <t>Maureen Ntsoko</t>
        </is>
      </c>
      <c r="O1341" t="inlineStr">
        <is>
          <t>2026-06-17 14:10:06</t>
        </is>
      </c>
      <c r="P1341" t="inlineStr">
        <is>
          <t>2026-06-17 14:10:06</t>
        </is>
      </c>
      <c r="Y1341" t="inlineStr">
        <is>
          <t>27726129724</t>
        </is>
      </c>
    </row>
    <row r="1342">
      <c r="A1342" t="inlineStr">
        <is>
          <t>14921606</t>
        </is>
      </c>
      <c r="B1342" t="inlineStr">
        <is>
          <t>887c95f8-d1e8-4347-b1da-badc3cfc30fc</t>
        </is>
      </c>
      <c r="D1342" t="inlineStr">
        <is>
          <t>111111124</t>
        </is>
      </c>
      <c r="E1342" t="inlineStr">
        <is>
          <t>Vodacom Life 20260617</t>
        </is>
      </c>
      <c r="G1342" t="inlineStr">
        <is>
          <t>SINETHEMBA</t>
        </is>
      </c>
      <c r="H1342" t="inlineStr">
        <is>
          <t>JONGINAMBA</t>
        </is>
      </c>
      <c r="J1342" t="inlineStr">
        <is>
          <t>U</t>
        </is>
      </c>
      <c r="K1342" t="inlineStr">
        <is>
          <t>Unemployed</t>
        </is>
      </c>
      <c r="L1342" t="n">
        <v>3</v>
      </c>
      <c r="M1342" t="inlineStr">
        <is>
          <t>2026-06-22 10:12:04</t>
        </is>
      </c>
      <c r="N1342" t="inlineStr">
        <is>
          <t>Khensane Mabasa</t>
        </is>
      </c>
      <c r="O1342" t="inlineStr">
        <is>
          <t>2026-06-17 14:10:06</t>
        </is>
      </c>
      <c r="P1342" t="inlineStr">
        <is>
          <t>2026-06-17 14:10:06</t>
        </is>
      </c>
      <c r="Y1342" t="inlineStr">
        <is>
          <t>27647711085</t>
        </is>
      </c>
    </row>
    <row r="1343">
      <c r="A1343" t="inlineStr">
        <is>
          <t>14921544</t>
        </is>
      </c>
      <c r="B1343" t="inlineStr">
        <is>
          <t>189b743f-e21e-4f9a-889d-982acfbc9afd</t>
        </is>
      </c>
      <c r="D1343" t="inlineStr">
        <is>
          <t>111111124</t>
        </is>
      </c>
      <c r="E1343" t="inlineStr">
        <is>
          <t>Vodacom Life 20260617</t>
        </is>
      </c>
      <c r="G1343" t="inlineStr">
        <is>
          <t>SUSSANNA</t>
        </is>
      </c>
      <c r="H1343" t="inlineStr">
        <is>
          <t>BROWN</t>
        </is>
      </c>
      <c r="J1343" t="inlineStr">
        <is>
          <t>NI</t>
        </is>
      </c>
      <c r="K1343" t="inlineStr">
        <is>
          <t>Not Interested</t>
        </is>
      </c>
      <c r="L1343" t="n">
        <v>3</v>
      </c>
      <c r="M1343" t="inlineStr">
        <is>
          <t>2026-06-22 10:10:14</t>
        </is>
      </c>
      <c r="N1343" t="inlineStr">
        <is>
          <t>Khensane Mabasa</t>
        </is>
      </c>
      <c r="O1343" t="inlineStr">
        <is>
          <t>2026-06-17 14:10:06</t>
        </is>
      </c>
      <c r="P1343" t="inlineStr">
        <is>
          <t>2026-06-17 14:10:06</t>
        </is>
      </c>
      <c r="Y1343" t="inlineStr">
        <is>
          <t>27763627548</t>
        </is>
      </c>
    </row>
    <row r="1344">
      <c r="A1344" t="inlineStr">
        <is>
          <t>14921508</t>
        </is>
      </c>
      <c r="B1344" t="inlineStr">
        <is>
          <t>ca1a4fce-2d34-4fe2-87a1-454c22db52e8</t>
        </is>
      </c>
      <c r="D1344" t="inlineStr">
        <is>
          <t>111111124</t>
        </is>
      </c>
      <c r="E1344" t="inlineStr">
        <is>
          <t>Vodacom Life 20260617</t>
        </is>
      </c>
      <c r="G1344" t="inlineStr">
        <is>
          <t>MELT</t>
        </is>
      </c>
      <c r="H1344" t="inlineStr">
        <is>
          <t>CONRADIE</t>
        </is>
      </c>
      <c r="J1344" t="inlineStr">
        <is>
          <t>NI</t>
        </is>
      </c>
      <c r="K1344" t="inlineStr">
        <is>
          <t>Not Interested</t>
        </is>
      </c>
      <c r="L1344" t="n">
        <v>3</v>
      </c>
      <c r="M1344" t="inlineStr">
        <is>
          <t>2026-06-22 10:07:56</t>
        </is>
      </c>
      <c r="N1344" t="inlineStr">
        <is>
          <t>Khensane Mabasa</t>
        </is>
      </c>
      <c r="O1344" t="inlineStr">
        <is>
          <t>2026-06-17 14:10:06</t>
        </is>
      </c>
      <c r="P1344" t="inlineStr">
        <is>
          <t>2026-06-17 14:10:06</t>
        </is>
      </c>
      <c r="Y1344" t="inlineStr">
        <is>
          <t>27818560000</t>
        </is>
      </c>
    </row>
    <row r="1345">
      <c r="A1345" t="inlineStr">
        <is>
          <t>14921297</t>
        </is>
      </c>
      <c r="B1345" t="inlineStr">
        <is>
          <t>38d73e7e-8230-4a77-8808-8c6a1d2a5c1a</t>
        </is>
      </c>
      <c r="D1345" t="inlineStr">
        <is>
          <t>111111124</t>
        </is>
      </c>
      <c r="E1345" t="inlineStr">
        <is>
          <t>Vodacom Life 20260617</t>
        </is>
      </c>
      <c r="G1345" t="inlineStr">
        <is>
          <t>NOMVUZO</t>
        </is>
      </c>
      <c r="H1345" t="inlineStr">
        <is>
          <t>BONO</t>
        </is>
      </c>
      <c r="J1345" t="inlineStr">
        <is>
          <t>A</t>
        </is>
      </c>
      <c r="K1345" t="inlineStr">
        <is>
          <t>Answering Machine</t>
        </is>
      </c>
      <c r="L1345" t="n">
        <v>5</v>
      </c>
      <c r="M1345" t="inlineStr">
        <is>
          <t>2026-06-22 10:07:33</t>
        </is>
      </c>
      <c r="N1345" t="inlineStr">
        <is>
          <t>bongiwe lushaba</t>
        </is>
      </c>
      <c r="O1345" t="inlineStr">
        <is>
          <t>2026-06-17 14:10:06</t>
        </is>
      </c>
      <c r="P1345" t="inlineStr">
        <is>
          <t>2026-06-17 14:10:06</t>
        </is>
      </c>
      <c r="Y1345" t="inlineStr">
        <is>
          <t>27790561712</t>
        </is>
      </c>
    </row>
    <row r="1346">
      <c r="A1346" t="inlineStr">
        <is>
          <t>14921365</t>
        </is>
      </c>
      <c r="B1346" t="inlineStr">
        <is>
          <t>65ec62bb-b9ba-406f-85db-7d5667a461db</t>
        </is>
      </c>
      <c r="D1346" t="inlineStr">
        <is>
          <t>111111124</t>
        </is>
      </c>
      <c r="E1346" t="inlineStr">
        <is>
          <t>Vodacom Life 20260617</t>
        </is>
      </c>
      <c r="G1346" t="inlineStr">
        <is>
          <t>KABELO</t>
        </is>
      </c>
      <c r="H1346" t="inlineStr">
        <is>
          <t>LETSHOLO</t>
        </is>
      </c>
      <c r="J1346" t="inlineStr">
        <is>
          <t>OAL</t>
        </is>
      </c>
      <c r="K1346" t="inlineStr">
        <is>
          <t>Over Age Limit</t>
        </is>
      </c>
      <c r="L1346" t="n">
        <v>3</v>
      </c>
      <c r="M1346" t="inlineStr">
        <is>
          <t>2026-06-22 10:03:46</t>
        </is>
      </c>
      <c r="N1346" t="inlineStr">
        <is>
          <t>Khensane Mabasa</t>
        </is>
      </c>
      <c r="O1346" t="inlineStr">
        <is>
          <t>2026-06-17 14:10:06</t>
        </is>
      </c>
      <c r="P1346" t="inlineStr">
        <is>
          <t>2026-06-17 14:10:06</t>
        </is>
      </c>
      <c r="Y1346" t="inlineStr">
        <is>
          <t>27764268515</t>
        </is>
      </c>
    </row>
    <row r="1347">
      <c r="A1347" t="inlineStr">
        <is>
          <t>14920852</t>
        </is>
      </c>
      <c r="B1347" t="inlineStr">
        <is>
          <t>ddfdcfe8-754e-4b5a-8627-baf4628e5db9</t>
        </is>
      </c>
      <c r="D1347" t="inlineStr">
        <is>
          <t>111111124</t>
        </is>
      </c>
      <c r="E1347" t="inlineStr">
        <is>
          <t>Vodacom Life 20260617</t>
        </is>
      </c>
      <c r="G1347" t="inlineStr">
        <is>
          <t>ISAAC</t>
        </is>
      </c>
      <c r="H1347" t="inlineStr">
        <is>
          <t>TONISE</t>
        </is>
      </c>
      <c r="J1347" t="inlineStr">
        <is>
          <t>N</t>
        </is>
      </c>
      <c r="K1347" t="inlineStr">
        <is>
          <t>No Answer</t>
        </is>
      </c>
      <c r="L1347" t="n">
        <v>6</v>
      </c>
      <c r="M1347" t="inlineStr">
        <is>
          <t>2026-06-22 10:02:29</t>
        </is>
      </c>
      <c r="N1347" t="inlineStr">
        <is>
          <t>Maureen Ntsoko</t>
        </is>
      </c>
      <c r="O1347" t="inlineStr">
        <is>
          <t>2026-06-17 14:10:06</t>
        </is>
      </c>
      <c r="P1347" t="inlineStr">
        <is>
          <t>2026-06-17 14:10:06</t>
        </is>
      </c>
      <c r="Y1347" t="inlineStr">
        <is>
          <t>27729144487</t>
        </is>
      </c>
    </row>
    <row r="1348">
      <c r="A1348" t="inlineStr">
        <is>
          <t>14921318</t>
        </is>
      </c>
      <c r="B1348" t="inlineStr">
        <is>
          <t>d6e465f3-3bfe-459b-8317-3106435f1d54</t>
        </is>
      </c>
      <c r="D1348" t="inlineStr">
        <is>
          <t>111111124</t>
        </is>
      </c>
      <c r="E1348" t="inlineStr">
        <is>
          <t>Vodacom Life 20260617</t>
        </is>
      </c>
      <c r="G1348" t="inlineStr">
        <is>
          <t>NOLUSINDISO</t>
        </is>
      </c>
      <c r="H1348" t="inlineStr">
        <is>
          <t>CEZA</t>
        </is>
      </c>
      <c r="J1348" t="inlineStr">
        <is>
          <t>RP</t>
        </is>
      </c>
      <c r="K1348" t="inlineStr">
        <is>
          <t>Right Party Not Available</t>
        </is>
      </c>
      <c r="L1348" t="n">
        <v>3</v>
      </c>
      <c r="M1348" t="inlineStr">
        <is>
          <t>2026-06-22 10:00:54</t>
        </is>
      </c>
      <c r="N1348" t="inlineStr">
        <is>
          <t>Maureen Ntsoko</t>
        </is>
      </c>
      <c r="O1348" t="inlineStr">
        <is>
          <t>2026-06-17 14:10:06</t>
        </is>
      </c>
      <c r="P1348" t="inlineStr">
        <is>
          <t>2026-06-17 14:10:06</t>
        </is>
      </c>
      <c r="Y1348" t="inlineStr">
        <is>
          <t>27662048382</t>
        </is>
      </c>
    </row>
    <row r="1349">
      <c r="A1349" t="inlineStr">
        <is>
          <t>14921278</t>
        </is>
      </c>
      <c r="B1349" t="inlineStr">
        <is>
          <t>c2da5fc4-14d6-4e89-99e9-49de510bd0ba</t>
        </is>
      </c>
      <c r="D1349" t="inlineStr">
        <is>
          <t>111111124</t>
        </is>
      </c>
      <c r="E1349" t="inlineStr">
        <is>
          <t>Vodacom Life 20260617</t>
        </is>
      </c>
      <c r="G1349" t="inlineStr">
        <is>
          <t>ANNA</t>
        </is>
      </c>
      <c r="H1349" t="inlineStr">
        <is>
          <t>GERBER</t>
        </is>
      </c>
      <c r="J1349" t="inlineStr">
        <is>
          <t>NI</t>
        </is>
      </c>
      <c r="K1349" t="inlineStr">
        <is>
          <t>Not Interested</t>
        </is>
      </c>
      <c r="L1349" t="n">
        <v>3</v>
      </c>
      <c r="M1349" t="inlineStr">
        <is>
          <t>2026-06-22 09:59:04</t>
        </is>
      </c>
      <c r="N1349" t="inlineStr">
        <is>
          <t>Maureen Ntsoko</t>
        </is>
      </c>
      <c r="O1349" t="inlineStr">
        <is>
          <t>2026-06-17 14:10:06</t>
        </is>
      </c>
      <c r="P1349" t="inlineStr">
        <is>
          <t>2026-06-17 14:10:06</t>
        </is>
      </c>
      <c r="Y1349" t="inlineStr">
        <is>
          <t>27796317312</t>
        </is>
      </c>
    </row>
    <row r="1350">
      <c r="A1350" t="inlineStr">
        <is>
          <t>14921065</t>
        </is>
      </c>
      <c r="B1350" t="inlineStr">
        <is>
          <t>8df3413a-3311-477d-8e47-6f0abfa8d403</t>
        </is>
      </c>
      <c r="D1350" t="inlineStr">
        <is>
          <t>111111124</t>
        </is>
      </c>
      <c r="E1350" t="inlineStr">
        <is>
          <t>Vodacom Life 20260617</t>
        </is>
      </c>
      <c r="G1350" t="inlineStr">
        <is>
          <t>JOSEPH</t>
        </is>
      </c>
      <c r="H1350" t="inlineStr">
        <is>
          <t>CHAUKE</t>
        </is>
      </c>
      <c r="J1350" t="inlineStr">
        <is>
          <t>U</t>
        </is>
      </c>
      <c r="K1350" t="inlineStr">
        <is>
          <t>Unemployed</t>
        </is>
      </c>
      <c r="L1350" t="n">
        <v>3</v>
      </c>
      <c r="M1350" t="inlineStr">
        <is>
          <t>2026-06-22 09:58:10</t>
        </is>
      </c>
      <c r="N1350" t="inlineStr">
        <is>
          <t>Khensane Mabasa</t>
        </is>
      </c>
      <c r="O1350" t="inlineStr">
        <is>
          <t>2026-06-17 14:10:06</t>
        </is>
      </c>
      <c r="P1350" t="inlineStr">
        <is>
          <t>2026-06-17 14:10:06</t>
        </is>
      </c>
      <c r="Y1350" t="inlineStr">
        <is>
          <t>27662746020</t>
        </is>
      </c>
    </row>
    <row r="1351">
      <c r="A1351" t="inlineStr">
        <is>
          <t>14921073</t>
        </is>
      </c>
      <c r="B1351" t="inlineStr">
        <is>
          <t>926b4b56-c7b7-4771-ac04-de42ee657086</t>
        </is>
      </c>
      <c r="D1351" t="inlineStr">
        <is>
          <t>111111124</t>
        </is>
      </c>
      <c r="E1351" t="inlineStr">
        <is>
          <t>Vodacom Life 20260617</t>
        </is>
      </c>
      <c r="G1351" t="inlineStr">
        <is>
          <t>MANUELA</t>
        </is>
      </c>
      <c r="H1351" t="inlineStr">
        <is>
          <t>BEBB</t>
        </is>
      </c>
      <c r="J1351" t="inlineStr">
        <is>
          <t>WN</t>
        </is>
      </c>
      <c r="K1351" t="inlineStr">
        <is>
          <t>Wrong Number</t>
        </is>
      </c>
      <c r="L1351" t="n">
        <v>3</v>
      </c>
      <c r="M1351" t="inlineStr">
        <is>
          <t>2026-06-22 09:54:45</t>
        </is>
      </c>
      <c r="N1351" t="inlineStr">
        <is>
          <t>Maureen Ntsoko</t>
        </is>
      </c>
      <c r="O1351" t="inlineStr">
        <is>
          <t>2026-06-17 14:10:06</t>
        </is>
      </c>
      <c r="P1351" t="inlineStr">
        <is>
          <t>2026-06-17 14:10:06</t>
        </is>
      </c>
      <c r="Y1351" t="inlineStr">
        <is>
          <t>27760526237</t>
        </is>
      </c>
    </row>
    <row r="1352">
      <c r="A1352" t="inlineStr">
        <is>
          <t>14921049</t>
        </is>
      </c>
      <c r="B1352" t="inlineStr">
        <is>
          <t>34f8735a-4965-4dde-9535-e633cc318a37</t>
        </is>
      </c>
      <c r="D1352" t="inlineStr">
        <is>
          <t>111111124</t>
        </is>
      </c>
      <c r="E1352" t="inlineStr">
        <is>
          <t>Vodacom Life 20260617</t>
        </is>
      </c>
      <c r="G1352" t="inlineStr">
        <is>
          <t>SANELISIWE</t>
        </is>
      </c>
      <c r="H1352" t="inlineStr">
        <is>
          <t>PONGOLO</t>
        </is>
      </c>
      <c r="J1352" t="inlineStr">
        <is>
          <t>AC</t>
        </is>
      </c>
      <c r="K1352" t="inlineStr">
        <is>
          <t>Already Contacted</t>
        </is>
      </c>
      <c r="L1352" t="n">
        <v>3</v>
      </c>
      <c r="M1352" t="inlineStr">
        <is>
          <t>2026-06-22 09:52:35</t>
        </is>
      </c>
      <c r="N1352" t="inlineStr">
        <is>
          <t>Khensane Mabasa</t>
        </is>
      </c>
      <c r="O1352" t="inlineStr">
        <is>
          <t>2026-06-17 14:10:06</t>
        </is>
      </c>
      <c r="P1352" t="inlineStr">
        <is>
          <t>2026-06-17 14:10:06</t>
        </is>
      </c>
      <c r="Y1352" t="inlineStr">
        <is>
          <t>27728619226</t>
        </is>
      </c>
    </row>
    <row r="1353">
      <c r="A1353" t="inlineStr">
        <is>
          <t>14921021</t>
        </is>
      </c>
      <c r="B1353" t="inlineStr">
        <is>
          <t>31789b20-0a8c-44e2-9667-c050244226e1</t>
        </is>
      </c>
      <c r="D1353" t="inlineStr">
        <is>
          <t>111111124</t>
        </is>
      </c>
      <c r="E1353" t="inlineStr">
        <is>
          <t>Vodacom Life 20260617</t>
        </is>
      </c>
      <c r="G1353" t="inlineStr">
        <is>
          <t>FRANCOIS</t>
        </is>
      </c>
      <c r="H1353" t="inlineStr">
        <is>
          <t>LE ROUX</t>
        </is>
      </c>
      <c r="J1353" t="inlineStr">
        <is>
          <t>CBACK</t>
        </is>
      </c>
      <c r="K1353" t="inlineStr">
        <is>
          <t>Callback</t>
        </is>
      </c>
      <c r="L1353" t="n">
        <v>3</v>
      </c>
      <c r="M1353" t="inlineStr">
        <is>
          <t>2026-06-22 09:51:06</t>
        </is>
      </c>
      <c r="N1353" t="inlineStr">
        <is>
          <t>bongiwe lushaba</t>
        </is>
      </c>
      <c r="O1353" t="inlineStr">
        <is>
          <t>2026-06-17 14:10:06</t>
        </is>
      </c>
      <c r="P1353" t="inlineStr">
        <is>
          <t>2026-06-17 14:10:06</t>
        </is>
      </c>
      <c r="Y1353" t="inlineStr">
        <is>
          <t>27834000045</t>
        </is>
      </c>
    </row>
    <row r="1354">
      <c r="A1354" t="inlineStr">
        <is>
          <t>14921417</t>
        </is>
      </c>
      <c r="B1354" t="inlineStr">
        <is>
          <t>5460c080-023b-4283-9fff-a4b1a9df847b</t>
        </is>
      </c>
      <c r="D1354" t="inlineStr">
        <is>
          <t>111111124</t>
        </is>
      </c>
      <c r="E1354" t="inlineStr">
        <is>
          <t>Vodacom Life 20260617</t>
        </is>
      </c>
      <c r="G1354" t="inlineStr">
        <is>
          <t>TEMBAKAZI</t>
        </is>
      </c>
      <c r="H1354" t="inlineStr">
        <is>
          <t>NOQHUBE</t>
        </is>
      </c>
      <c r="J1354" t="inlineStr">
        <is>
          <t>CBACK</t>
        </is>
      </c>
      <c r="K1354" t="inlineStr">
        <is>
          <t>Callback</t>
        </is>
      </c>
      <c r="L1354" t="n">
        <v>3</v>
      </c>
      <c r="M1354" t="inlineStr">
        <is>
          <t>2026-06-22 09:43:03</t>
        </is>
      </c>
      <c r="N1354" t="inlineStr">
        <is>
          <t>bongiwe lushaba</t>
        </is>
      </c>
      <c r="O1354" t="inlineStr">
        <is>
          <t>2026-06-17 14:10:06</t>
        </is>
      </c>
      <c r="P1354" t="inlineStr">
        <is>
          <t>2026-06-17 14:10:06</t>
        </is>
      </c>
      <c r="Y1354" t="inlineStr">
        <is>
          <t>27608439338</t>
        </is>
      </c>
    </row>
    <row r="1355">
      <c r="A1355" t="inlineStr">
        <is>
          <t>14920926</t>
        </is>
      </c>
      <c r="B1355" t="inlineStr">
        <is>
          <t>c52531df-01d4-4060-acdb-37b0aa7f3c16</t>
        </is>
      </c>
      <c r="D1355" t="inlineStr">
        <is>
          <t>111111124</t>
        </is>
      </c>
      <c r="E1355" t="inlineStr">
        <is>
          <t>Vodacom Life 20260617</t>
        </is>
      </c>
      <c r="G1355" t="inlineStr">
        <is>
          <t>MARINA</t>
        </is>
      </c>
      <c r="H1355" t="inlineStr">
        <is>
          <t>FERREIRA</t>
        </is>
      </c>
      <c r="J1355" t="inlineStr">
        <is>
          <t>CBACK</t>
        </is>
      </c>
      <c r="K1355" t="inlineStr">
        <is>
          <t>Callback</t>
        </is>
      </c>
      <c r="L1355" t="n">
        <v>3</v>
      </c>
      <c r="M1355" t="inlineStr">
        <is>
          <t>2026-06-22 09:41:30</t>
        </is>
      </c>
      <c r="N1355" t="inlineStr">
        <is>
          <t>bongiwe lushaba</t>
        </is>
      </c>
      <c r="O1355" t="inlineStr">
        <is>
          <t>2026-06-17 14:10:06</t>
        </is>
      </c>
      <c r="P1355" t="inlineStr">
        <is>
          <t>2026-06-17 14:10:06</t>
        </is>
      </c>
      <c r="Y1355" t="inlineStr">
        <is>
          <t>27723094271</t>
        </is>
      </c>
    </row>
    <row r="1356">
      <c r="A1356" t="inlineStr">
        <is>
          <t>14920910</t>
        </is>
      </c>
      <c r="B1356" t="inlineStr">
        <is>
          <t>001bd4c3-f66b-4035-a64e-cbf322c21235</t>
        </is>
      </c>
      <c r="D1356" t="inlineStr">
        <is>
          <t>111111124</t>
        </is>
      </c>
      <c r="E1356" t="inlineStr">
        <is>
          <t>Vodacom Life 20260617</t>
        </is>
      </c>
      <c r="G1356" t="inlineStr">
        <is>
          <t>SINALO</t>
        </is>
      </c>
      <c r="H1356" t="inlineStr">
        <is>
          <t>MBANGISWANA</t>
        </is>
      </c>
      <c r="J1356" t="inlineStr">
        <is>
          <t>AC</t>
        </is>
      </c>
      <c r="K1356" t="inlineStr">
        <is>
          <t>Already Contacted</t>
        </is>
      </c>
      <c r="L1356" t="n">
        <v>3</v>
      </c>
      <c r="M1356" t="inlineStr">
        <is>
          <t>2026-06-22 09:29:09</t>
        </is>
      </c>
      <c r="N1356" t="inlineStr">
        <is>
          <t>bongiwe lushaba</t>
        </is>
      </c>
      <c r="O1356" t="inlineStr">
        <is>
          <t>2026-06-17 14:10:06</t>
        </is>
      </c>
      <c r="P1356" t="inlineStr">
        <is>
          <t>2026-06-17 14:10:06</t>
        </is>
      </c>
      <c r="Y1356" t="inlineStr">
        <is>
          <t>27674765981</t>
        </is>
      </c>
    </row>
    <row r="1357">
      <c r="A1357" t="inlineStr">
        <is>
          <t>14921808</t>
        </is>
      </c>
      <c r="B1357" t="inlineStr">
        <is>
          <t>490dadfc-9c5f-4478-9d26-6afa656c2e14</t>
        </is>
      </c>
      <c r="D1357" t="inlineStr">
        <is>
          <t>111111124</t>
        </is>
      </c>
      <c r="E1357" t="inlineStr">
        <is>
          <t>Vodacom Life 20260617</t>
        </is>
      </c>
      <c r="G1357" t="inlineStr">
        <is>
          <t>KLAAS</t>
        </is>
      </c>
      <c r="H1357" t="inlineStr">
        <is>
          <t>MOTALANE</t>
        </is>
      </c>
      <c r="J1357" t="inlineStr">
        <is>
          <t>AF</t>
        </is>
      </c>
      <c r="K1357" t="inlineStr">
        <is>
          <t>Cannot Afford</t>
        </is>
      </c>
      <c r="L1357" t="n">
        <v>3</v>
      </c>
      <c r="M1357" t="inlineStr">
        <is>
          <t>2026-06-22 09:28:34</t>
        </is>
      </c>
      <c r="N1357" t="inlineStr">
        <is>
          <t>Maureen Ntsoko</t>
        </is>
      </c>
      <c r="O1357" t="inlineStr">
        <is>
          <t>2026-06-17 14:10:06</t>
        </is>
      </c>
      <c r="P1357" t="inlineStr">
        <is>
          <t>2026-06-17 14:10:06</t>
        </is>
      </c>
      <c r="Y1357" t="inlineStr">
        <is>
          <t>27727813303</t>
        </is>
      </c>
    </row>
    <row r="1358">
      <c r="A1358" t="inlineStr">
        <is>
          <t>14920570</t>
        </is>
      </c>
      <c r="B1358" t="inlineStr">
        <is>
          <t>53ee2239-7b27-4a9e-85a6-96b6766a2b31</t>
        </is>
      </c>
      <c r="D1358" t="inlineStr">
        <is>
          <t>111111124</t>
        </is>
      </c>
      <c r="E1358" t="inlineStr">
        <is>
          <t>Vodacom Life 20260617</t>
        </is>
      </c>
      <c r="G1358" t="inlineStr">
        <is>
          <t>FRANS</t>
        </is>
      </c>
      <c r="H1358" t="inlineStr">
        <is>
          <t>RAMAFIKENG</t>
        </is>
      </c>
      <c r="J1358" t="inlineStr">
        <is>
          <t>CBACK</t>
        </is>
      </c>
      <c r="K1358" t="inlineStr">
        <is>
          <t>Callback</t>
        </is>
      </c>
      <c r="L1358" t="n">
        <v>3</v>
      </c>
      <c r="M1358" t="inlineStr">
        <is>
          <t>2026-06-22 09:27:37</t>
        </is>
      </c>
      <c r="N1358" t="inlineStr">
        <is>
          <t>bongiwe lushaba</t>
        </is>
      </c>
      <c r="O1358" t="inlineStr">
        <is>
          <t>2026-06-17 14:10:06</t>
        </is>
      </c>
      <c r="P1358" t="inlineStr">
        <is>
          <t>2026-06-17 14:10:06</t>
        </is>
      </c>
      <c r="Y1358" t="inlineStr">
        <is>
          <t>27649099825</t>
        </is>
      </c>
    </row>
    <row r="1359">
      <c r="A1359" t="inlineStr">
        <is>
          <t>14921955</t>
        </is>
      </c>
      <c r="B1359" t="inlineStr">
        <is>
          <t>91760e76-061c-41df-967d-644c9b65f6cf</t>
        </is>
      </c>
      <c r="D1359" t="inlineStr">
        <is>
          <t>111111124</t>
        </is>
      </c>
      <c r="E1359" t="inlineStr">
        <is>
          <t>Vodacom Life 20260617</t>
        </is>
      </c>
      <c r="G1359" t="inlineStr">
        <is>
          <t>CARLOS</t>
        </is>
      </c>
      <c r="H1359" t="inlineStr">
        <is>
          <t>DE CASTRO</t>
        </is>
      </c>
      <c r="J1359" t="inlineStr">
        <is>
          <t>AC</t>
        </is>
      </c>
      <c r="K1359" t="inlineStr">
        <is>
          <t>Already Contacted</t>
        </is>
      </c>
      <c r="L1359" t="n">
        <v>3</v>
      </c>
      <c r="M1359" t="inlineStr">
        <is>
          <t>2026-06-22 09:25:01</t>
        </is>
      </c>
      <c r="N1359" t="inlineStr">
        <is>
          <t>Maureen Ntsoko</t>
        </is>
      </c>
      <c r="O1359" t="inlineStr">
        <is>
          <t>2026-06-17 14:10:06</t>
        </is>
      </c>
      <c r="P1359" t="inlineStr">
        <is>
          <t>2026-06-17 14:10:06</t>
        </is>
      </c>
      <c r="Y1359" t="inlineStr">
        <is>
          <t>27827625097</t>
        </is>
      </c>
    </row>
    <row r="1360">
      <c r="A1360" t="inlineStr">
        <is>
          <t>14921322</t>
        </is>
      </c>
      <c r="B1360" t="inlineStr">
        <is>
          <t>ba99b279-f606-4a9a-95fb-51638d29d386</t>
        </is>
      </c>
      <c r="D1360" t="inlineStr">
        <is>
          <t>111111124</t>
        </is>
      </c>
      <c r="E1360" t="inlineStr">
        <is>
          <t>Vodacom Life 20260617</t>
        </is>
      </c>
      <c r="G1360" t="inlineStr">
        <is>
          <t>RRAMAKGALANE</t>
        </is>
      </c>
      <c r="H1360" t="inlineStr">
        <is>
          <t>RABUTHU</t>
        </is>
      </c>
      <c r="J1360" t="inlineStr">
        <is>
          <t>OAL</t>
        </is>
      </c>
      <c r="K1360" t="inlineStr">
        <is>
          <t>Over Age Limit</t>
        </is>
      </c>
      <c r="L1360" t="n">
        <v>3</v>
      </c>
      <c r="M1360" t="inlineStr">
        <is>
          <t>2026-06-22 09:22:52</t>
        </is>
      </c>
      <c r="N1360" t="inlineStr">
        <is>
          <t>bongiwe lushaba</t>
        </is>
      </c>
      <c r="O1360" t="inlineStr">
        <is>
          <t>2026-06-17 14:10:06</t>
        </is>
      </c>
      <c r="P1360" t="inlineStr">
        <is>
          <t>2026-06-17 14:10:06</t>
        </is>
      </c>
      <c r="Y1360" t="inlineStr">
        <is>
          <t>27722054430</t>
        </is>
      </c>
    </row>
    <row r="1361">
      <c r="A1361" t="inlineStr">
        <is>
          <t>14921882</t>
        </is>
      </c>
      <c r="B1361" t="inlineStr">
        <is>
          <t>b1c695a4-6e13-4bbe-80bf-871005a87999</t>
        </is>
      </c>
      <c r="D1361" t="inlineStr">
        <is>
          <t>111111124</t>
        </is>
      </c>
      <c r="E1361" t="inlineStr">
        <is>
          <t>Vodacom Life 20260617</t>
        </is>
      </c>
      <c r="G1361" t="inlineStr">
        <is>
          <t>LETLHOGONOLO</t>
        </is>
      </c>
      <c r="H1361" t="inlineStr">
        <is>
          <t>MNTUNGWA</t>
        </is>
      </c>
      <c r="J1361" t="inlineStr">
        <is>
          <t>AC</t>
        </is>
      </c>
      <c r="K1361" t="inlineStr">
        <is>
          <t>Already Contacted</t>
        </is>
      </c>
      <c r="L1361" t="n">
        <v>4</v>
      </c>
      <c r="M1361" t="inlineStr">
        <is>
          <t>2026-06-22 09:15:03</t>
        </is>
      </c>
      <c r="N1361" t="inlineStr">
        <is>
          <t>Maureen Ntsoko</t>
        </is>
      </c>
      <c r="O1361" t="inlineStr">
        <is>
          <t>2026-06-17 14:10:06</t>
        </is>
      </c>
      <c r="P1361" t="inlineStr">
        <is>
          <t>2026-06-17 14:10:06</t>
        </is>
      </c>
      <c r="Y1361" t="inlineStr">
        <is>
          <t>27662334482</t>
        </is>
      </c>
    </row>
    <row r="1362">
      <c r="A1362" t="inlineStr">
        <is>
          <t>14921924</t>
        </is>
      </c>
      <c r="B1362" t="inlineStr">
        <is>
          <t>fe7d574d-efed-4fe9-b6db-a02333ab3bbc</t>
        </is>
      </c>
      <c r="D1362" t="inlineStr">
        <is>
          <t>111111124</t>
        </is>
      </c>
      <c r="E1362" t="inlineStr">
        <is>
          <t>Vodacom Life 20260617</t>
        </is>
      </c>
      <c r="G1362" t="inlineStr">
        <is>
          <t>FIKILE</t>
        </is>
      </c>
      <c r="H1362" t="inlineStr">
        <is>
          <t>MGEDEZI</t>
        </is>
      </c>
      <c r="J1362" t="inlineStr">
        <is>
          <t>CBACK</t>
        </is>
      </c>
      <c r="K1362" t="inlineStr">
        <is>
          <t>Callback</t>
        </is>
      </c>
      <c r="L1362" t="n">
        <v>3</v>
      </c>
      <c r="M1362" t="inlineStr">
        <is>
          <t>2026-06-22 09:13:56</t>
        </is>
      </c>
      <c r="N1362" t="inlineStr">
        <is>
          <t>bongiwe lushaba</t>
        </is>
      </c>
      <c r="O1362" t="inlineStr">
        <is>
          <t>2026-06-17 14:10:06</t>
        </is>
      </c>
      <c r="P1362" t="inlineStr">
        <is>
          <t>2026-06-17 14:10:06</t>
        </is>
      </c>
      <c r="Y1362" t="inlineStr">
        <is>
          <t>27713704471</t>
        </is>
      </c>
    </row>
    <row r="1363">
      <c r="A1363" t="inlineStr">
        <is>
          <t>14900000</t>
        </is>
      </c>
      <c r="B1363" t="inlineStr">
        <is>
          <t>68e04255-713d-4926-8ffa-7c40c91db659</t>
        </is>
      </c>
      <c r="D1363" t="inlineStr">
        <is>
          <t>111111124</t>
        </is>
      </c>
      <c r="E1363" t="inlineStr">
        <is>
          <t>Vodacom Life 20260617</t>
        </is>
      </c>
      <c r="G1363" t="inlineStr">
        <is>
          <t>JACQUELINE</t>
        </is>
      </c>
      <c r="H1363" t="inlineStr">
        <is>
          <t>NAUDE</t>
        </is>
      </c>
      <c r="J1363" t="inlineStr">
        <is>
          <t>NIUP</t>
        </is>
      </c>
      <c r="K1363" t="inlineStr">
        <is>
          <t>Not Interested Upfront</t>
        </is>
      </c>
      <c r="L1363" t="n">
        <v>3</v>
      </c>
      <c r="M1363" t="inlineStr">
        <is>
          <t>2026-06-22 09:12:27</t>
        </is>
      </c>
      <c r="N1363" t="inlineStr">
        <is>
          <t>bongiwe lushaba</t>
        </is>
      </c>
      <c r="O1363" t="inlineStr">
        <is>
          <t>2026-06-17 14:10:06</t>
        </is>
      </c>
      <c r="P1363" t="inlineStr">
        <is>
          <t>2026-06-17 14:10:06</t>
        </is>
      </c>
      <c r="Y1363" t="inlineStr">
        <is>
          <t>27723004262</t>
        </is>
      </c>
    </row>
    <row r="1364">
      <c r="A1364" t="inlineStr">
        <is>
          <t>14921926</t>
        </is>
      </c>
      <c r="B1364" t="inlineStr">
        <is>
          <t>204fb394-8057-4ec2-b309-3681b6be7365</t>
        </is>
      </c>
      <c r="D1364" t="inlineStr">
        <is>
          <t>111111124</t>
        </is>
      </c>
      <c r="E1364" t="inlineStr">
        <is>
          <t>Vodacom Life 20260617</t>
        </is>
      </c>
      <c r="G1364" t="inlineStr">
        <is>
          <t>LUCKY</t>
        </is>
      </c>
      <c r="H1364" t="inlineStr">
        <is>
          <t>NGUBANE</t>
        </is>
      </c>
      <c r="J1364" t="inlineStr">
        <is>
          <t>CBACK</t>
        </is>
      </c>
      <c r="K1364" t="inlineStr">
        <is>
          <t>Callback</t>
        </is>
      </c>
      <c r="L1364" t="n">
        <v>3</v>
      </c>
      <c r="M1364" t="inlineStr">
        <is>
          <t>2026-06-22 09:11:09</t>
        </is>
      </c>
      <c r="N1364" t="inlineStr">
        <is>
          <t>bongiwe lushaba</t>
        </is>
      </c>
      <c r="O1364" t="inlineStr">
        <is>
          <t>2026-06-17 14:10:06</t>
        </is>
      </c>
      <c r="P1364" t="inlineStr">
        <is>
          <t>2026-06-17 14:10:06</t>
        </is>
      </c>
      <c r="Y1364" t="inlineStr">
        <is>
          <t>27729020823</t>
        </is>
      </c>
    </row>
    <row r="1365">
      <c r="A1365" t="inlineStr">
        <is>
          <t>14921899</t>
        </is>
      </c>
      <c r="B1365" t="inlineStr">
        <is>
          <t>d46d962e-3a65-40bc-915c-38fca5ac0206</t>
        </is>
      </c>
      <c r="D1365" t="inlineStr">
        <is>
          <t>111111124</t>
        </is>
      </c>
      <c r="E1365" t="inlineStr">
        <is>
          <t>Vodacom Life 20260617</t>
        </is>
      </c>
      <c r="G1365" t="inlineStr">
        <is>
          <t>PHUTI</t>
        </is>
      </c>
      <c r="H1365" t="inlineStr">
        <is>
          <t>RATJATJI</t>
        </is>
      </c>
      <c r="J1365" t="inlineStr">
        <is>
          <t>AF</t>
        </is>
      </c>
      <c r="K1365" t="inlineStr">
        <is>
          <t>Cannot Afford</t>
        </is>
      </c>
      <c r="L1365" t="n">
        <v>3</v>
      </c>
      <c r="M1365" t="inlineStr">
        <is>
          <t>2026-06-22 09:10:41</t>
        </is>
      </c>
      <c r="N1365" t="inlineStr">
        <is>
          <t>Maureen Ntsoko</t>
        </is>
      </c>
      <c r="O1365" t="inlineStr">
        <is>
          <t>2026-06-17 14:10:06</t>
        </is>
      </c>
      <c r="P1365" t="inlineStr">
        <is>
          <t>2026-06-17 14:10:06</t>
        </is>
      </c>
      <c r="Y1365" t="inlineStr">
        <is>
          <t>27765130367</t>
        </is>
      </c>
    </row>
    <row r="1366">
      <c r="A1366" t="inlineStr">
        <is>
          <t>14921789</t>
        </is>
      </c>
      <c r="B1366" t="inlineStr">
        <is>
          <t>0975444b-195a-4d34-9dc1-cda5255449d1</t>
        </is>
      </c>
      <c r="D1366" t="inlineStr">
        <is>
          <t>111111124</t>
        </is>
      </c>
      <c r="E1366" t="inlineStr">
        <is>
          <t>Vodacom Life 20260617</t>
        </is>
      </c>
      <c r="G1366" t="inlineStr">
        <is>
          <t>MAGDALENA</t>
        </is>
      </c>
      <c r="H1366" t="inlineStr">
        <is>
          <t>ELS</t>
        </is>
      </c>
      <c r="J1366" t="inlineStr">
        <is>
          <t>DNCLIFE</t>
        </is>
      </c>
      <c r="K1366" t="inlineStr">
        <is>
          <t>Do Not Call</t>
        </is>
      </c>
      <c r="L1366" t="n">
        <v>3</v>
      </c>
      <c r="M1366" t="inlineStr">
        <is>
          <t>2026-06-22 08:50:00</t>
        </is>
      </c>
      <c r="N1366" t="inlineStr">
        <is>
          <t>bongiwe lushaba</t>
        </is>
      </c>
      <c r="O1366" t="inlineStr">
        <is>
          <t>2026-06-17 14:10:06</t>
        </is>
      </c>
      <c r="P1366" t="inlineStr">
        <is>
          <t>2026-06-17 14:10:06</t>
        </is>
      </c>
      <c r="Y1366" t="inlineStr">
        <is>
          <t>27609862338</t>
        </is>
      </c>
    </row>
    <row r="1367">
      <c r="A1367" t="inlineStr">
        <is>
          <t>14920722</t>
        </is>
      </c>
      <c r="B1367" t="inlineStr">
        <is>
          <t>0859a8b3-8ada-4973-9c92-8d166e3c91f8</t>
        </is>
      </c>
      <c r="D1367" t="inlineStr">
        <is>
          <t>111111124</t>
        </is>
      </c>
      <c r="E1367" t="inlineStr">
        <is>
          <t>Vodacom Life 20260617</t>
        </is>
      </c>
      <c r="G1367" t="inlineStr">
        <is>
          <t>SURPRISE</t>
        </is>
      </c>
      <c r="H1367" t="inlineStr">
        <is>
          <t>DIBAKWANE</t>
        </is>
      </c>
      <c r="J1367" t="inlineStr">
        <is>
          <t>AC</t>
        </is>
      </c>
      <c r="K1367" t="inlineStr">
        <is>
          <t>Already Contacted</t>
        </is>
      </c>
      <c r="L1367" t="n">
        <v>3</v>
      </c>
      <c r="M1367" t="inlineStr">
        <is>
          <t>2026-06-22 08:48:58</t>
        </is>
      </c>
      <c r="N1367" t="inlineStr">
        <is>
          <t>Maureen Ntsoko</t>
        </is>
      </c>
      <c r="O1367" t="inlineStr">
        <is>
          <t>2026-06-17 14:10:06</t>
        </is>
      </c>
      <c r="P1367" t="inlineStr">
        <is>
          <t>2026-06-17 14:10:06</t>
        </is>
      </c>
      <c r="Y1367" t="inlineStr">
        <is>
          <t>27760420746</t>
        </is>
      </c>
    </row>
    <row r="1368">
      <c r="A1368" t="inlineStr">
        <is>
          <t>14920945</t>
        </is>
      </c>
      <c r="B1368" t="inlineStr">
        <is>
          <t>466ed12a-a4d2-4bab-b0df-4d97a5e8453a</t>
        </is>
      </c>
      <c r="D1368" t="inlineStr">
        <is>
          <t>111111124</t>
        </is>
      </c>
      <c r="E1368" t="inlineStr">
        <is>
          <t>Vodacom Life 20260617</t>
        </is>
      </c>
      <c r="G1368" t="inlineStr">
        <is>
          <t>PHUMZILE</t>
        </is>
      </c>
      <c r="H1368" t="inlineStr">
        <is>
          <t>HLOPHE</t>
        </is>
      </c>
      <c r="J1368" t="inlineStr">
        <is>
          <t>NI</t>
        </is>
      </c>
      <c r="K1368" t="inlineStr">
        <is>
          <t>Not Interested</t>
        </is>
      </c>
      <c r="L1368" t="n">
        <v>3</v>
      </c>
      <c r="M1368" t="inlineStr">
        <is>
          <t>2026-06-22 08:46:27</t>
        </is>
      </c>
      <c r="N1368" t="inlineStr">
        <is>
          <t>Khensane Mabasa</t>
        </is>
      </c>
      <c r="O1368" t="inlineStr">
        <is>
          <t>2026-06-17 14:10:06</t>
        </is>
      </c>
      <c r="P1368" t="inlineStr">
        <is>
          <t>2026-06-17 14:10:06</t>
        </is>
      </c>
      <c r="Y1368" t="inlineStr">
        <is>
          <t>27763866998</t>
        </is>
      </c>
    </row>
    <row r="1369">
      <c r="A1369" t="inlineStr">
        <is>
          <t>14920798</t>
        </is>
      </c>
      <c r="B1369" t="inlineStr">
        <is>
          <t>387a2be9-3191-4e04-9cfa-a6a96651b4c9</t>
        </is>
      </c>
      <c r="D1369" t="inlineStr">
        <is>
          <t>111111124</t>
        </is>
      </c>
      <c r="E1369" t="inlineStr">
        <is>
          <t>Vodacom Life 20260617</t>
        </is>
      </c>
      <c r="G1369" t="inlineStr">
        <is>
          <t>HLENGIWE</t>
        </is>
      </c>
      <c r="H1369" t="inlineStr">
        <is>
          <t>MBATHA</t>
        </is>
      </c>
      <c r="J1369" t="inlineStr">
        <is>
          <t>CBACK</t>
        </is>
      </c>
      <c r="K1369" t="inlineStr">
        <is>
          <t>Callback</t>
        </is>
      </c>
      <c r="L1369" t="n">
        <v>4</v>
      </c>
      <c r="M1369" t="inlineStr">
        <is>
          <t>2026-06-22 08:42:43</t>
        </is>
      </c>
      <c r="N1369" t="inlineStr">
        <is>
          <t>bongiwe lushaba</t>
        </is>
      </c>
      <c r="O1369" t="inlineStr">
        <is>
          <t>2026-06-17 14:10:06</t>
        </is>
      </c>
      <c r="P1369" t="inlineStr">
        <is>
          <t>2026-06-17 14:10:06</t>
        </is>
      </c>
      <c r="Y1369" t="inlineStr">
        <is>
          <t>27713029047</t>
        </is>
      </c>
    </row>
    <row r="1370">
      <c r="A1370" t="inlineStr">
        <is>
          <t>14921421</t>
        </is>
      </c>
      <c r="B1370" t="inlineStr">
        <is>
          <t>53f732e5-5780-43f9-8e5a-859410da3ff8</t>
        </is>
      </c>
      <c r="D1370" t="inlineStr">
        <is>
          <t>111111124</t>
        </is>
      </c>
      <c r="E1370" t="inlineStr">
        <is>
          <t>Vodacom Life 20260617</t>
        </is>
      </c>
      <c r="G1370" t="inlineStr">
        <is>
          <t>BETTY</t>
        </is>
      </c>
      <c r="H1370" t="inlineStr">
        <is>
          <t>SEABELA</t>
        </is>
      </c>
      <c r="J1370" t="inlineStr">
        <is>
          <t>DQQD</t>
        </is>
      </c>
      <c r="K1370" t="inlineStr">
        <is>
          <t>DNQ Quote Declined</t>
        </is>
      </c>
      <c r="L1370" t="n">
        <v>3</v>
      </c>
      <c r="M1370" t="inlineStr">
        <is>
          <t>2026-06-22 07:39:08</t>
        </is>
      </c>
      <c r="N1370" t="inlineStr">
        <is>
          <t>Khensane Mabasa</t>
        </is>
      </c>
      <c r="O1370" t="inlineStr">
        <is>
          <t>2026-06-17 14:10:06</t>
        </is>
      </c>
      <c r="P1370" t="inlineStr">
        <is>
          <t>2026-06-17 14:10:06</t>
        </is>
      </c>
      <c r="Y1370" t="inlineStr">
        <is>
          <t>27720486031</t>
        </is>
      </c>
    </row>
    <row r="1371">
      <c r="A1371" t="inlineStr">
        <is>
          <t>14921559</t>
        </is>
      </c>
      <c r="B1371" t="inlineStr">
        <is>
          <t>6d6e3dde-eba5-45b4-9d7e-f9d43217e174</t>
        </is>
      </c>
      <c r="D1371" t="inlineStr">
        <is>
          <t>111111124</t>
        </is>
      </c>
      <c r="E1371" t="inlineStr">
        <is>
          <t>Vodacom Life 20260617</t>
        </is>
      </c>
      <c r="G1371" t="inlineStr">
        <is>
          <t>MUHLE</t>
        </is>
      </c>
      <c r="H1371" t="inlineStr">
        <is>
          <t>MFUSI</t>
        </is>
      </c>
      <c r="J1371" t="inlineStr">
        <is>
          <t>CBACK</t>
        </is>
      </c>
      <c r="K1371" t="inlineStr">
        <is>
          <t>Callback</t>
        </is>
      </c>
      <c r="L1371" t="n">
        <v>3</v>
      </c>
      <c r="M1371" t="inlineStr">
        <is>
          <t>2026-06-20 08:06:26</t>
        </is>
      </c>
      <c r="N1371" t="inlineStr">
        <is>
          <t>bongiwe lushaba</t>
        </is>
      </c>
      <c r="O1371" t="inlineStr">
        <is>
          <t>2026-06-17 14:10:06</t>
        </is>
      </c>
      <c r="P1371" t="inlineStr">
        <is>
          <t>2026-06-17 14:10:06</t>
        </is>
      </c>
      <c r="Y1371" t="inlineStr">
        <is>
          <t>27723517163</t>
        </is>
      </c>
    </row>
    <row r="1372">
      <c r="A1372" t="inlineStr">
        <is>
          <t>14921602</t>
        </is>
      </c>
      <c r="B1372" t="inlineStr">
        <is>
          <t>fce07743-6417-45bd-9a11-3910636da1cc</t>
        </is>
      </c>
      <c r="D1372" t="inlineStr">
        <is>
          <t>111111124</t>
        </is>
      </c>
      <c r="E1372" t="inlineStr">
        <is>
          <t>Vodacom Life 20260617</t>
        </is>
      </c>
      <c r="G1372" t="inlineStr">
        <is>
          <t>RAMASELA</t>
        </is>
      </c>
      <c r="H1372" t="inlineStr">
        <is>
          <t>MOSHIDI</t>
        </is>
      </c>
      <c r="J1372" t="inlineStr">
        <is>
          <t>QAVET</t>
        </is>
      </c>
      <c r="K1372" t="inlineStr">
        <is>
          <t>Sale Made</t>
        </is>
      </c>
      <c r="L1372" t="n">
        <v>2</v>
      </c>
      <c r="M1372" t="inlineStr">
        <is>
          <t>2026-06-20 08:05:05</t>
        </is>
      </c>
      <c r="N1372" t="inlineStr">
        <is>
          <t>Maureen Ntsoko</t>
        </is>
      </c>
      <c r="O1372" t="inlineStr">
        <is>
          <t>2026-06-17 14:10:06</t>
        </is>
      </c>
      <c r="P1372" t="inlineStr">
        <is>
          <t>2026-06-17 14:10:06</t>
        </is>
      </c>
      <c r="Y1372" t="inlineStr">
        <is>
          <t>27764009228</t>
        </is>
      </c>
    </row>
    <row r="1373">
      <c r="A1373" t="inlineStr">
        <is>
          <t>14920891</t>
        </is>
      </c>
      <c r="B1373" t="inlineStr">
        <is>
          <t>9a2f3d21-640b-4f56-bf2f-32057c271bf9</t>
        </is>
      </c>
      <c r="D1373" t="inlineStr">
        <is>
          <t>111111124</t>
        </is>
      </c>
      <c r="E1373" t="inlineStr">
        <is>
          <t>Vodacom Life 20260617</t>
        </is>
      </c>
      <c r="G1373" t="inlineStr">
        <is>
          <t>ABONGILE</t>
        </is>
      </c>
      <c r="H1373" t="inlineStr">
        <is>
          <t>QWABAZA</t>
        </is>
      </c>
      <c r="J1373" t="inlineStr">
        <is>
          <t>CBACK</t>
        </is>
      </c>
      <c r="K1373" t="inlineStr">
        <is>
          <t>Callback</t>
        </is>
      </c>
      <c r="L1373" t="n">
        <v>2</v>
      </c>
      <c r="M1373" t="inlineStr">
        <is>
          <t>2026-06-20 08:01:43</t>
        </is>
      </c>
      <c r="N1373" t="inlineStr">
        <is>
          <t>Maureen Ntsoko</t>
        </is>
      </c>
      <c r="O1373" t="inlineStr">
        <is>
          <t>2026-06-17 14:10:06</t>
        </is>
      </c>
      <c r="P1373" t="inlineStr">
        <is>
          <t>2026-06-17 14:10:06</t>
        </is>
      </c>
      <c r="Y1373" t="inlineStr">
        <is>
          <t>27828918866</t>
        </is>
      </c>
    </row>
    <row r="1374">
      <c r="A1374" t="inlineStr">
        <is>
          <t>14920777</t>
        </is>
      </c>
      <c r="B1374" t="inlineStr">
        <is>
          <t>f756bbc7-fb06-411d-af80-2a4ec3097f81</t>
        </is>
      </c>
      <c r="D1374" t="inlineStr">
        <is>
          <t>111111124</t>
        </is>
      </c>
      <c r="E1374" t="inlineStr">
        <is>
          <t>Vodacom Life 20260617</t>
        </is>
      </c>
      <c r="G1374" t="inlineStr">
        <is>
          <t>KELEBOGILE</t>
        </is>
      </c>
      <c r="H1374" t="inlineStr">
        <is>
          <t>OOR</t>
        </is>
      </c>
      <c r="J1374" t="inlineStr">
        <is>
          <t>WN</t>
        </is>
      </c>
      <c r="K1374" t="inlineStr">
        <is>
          <t>Wrong Number</t>
        </is>
      </c>
      <c r="L1374" t="n">
        <v>2</v>
      </c>
      <c r="M1374" t="inlineStr">
        <is>
          <t>2026-06-20 08:00:08</t>
        </is>
      </c>
      <c r="N1374" t="inlineStr">
        <is>
          <t>Maureen Ntsoko</t>
        </is>
      </c>
      <c r="O1374" t="inlineStr">
        <is>
          <t>2026-06-17 14:10:06</t>
        </is>
      </c>
      <c r="P1374" t="inlineStr">
        <is>
          <t>2026-06-17 14:10:06</t>
        </is>
      </c>
      <c r="Y1374" t="inlineStr">
        <is>
          <t>27798671914</t>
        </is>
      </c>
    </row>
    <row r="1375">
      <c r="A1375" t="inlineStr">
        <is>
          <t>14921684</t>
        </is>
      </c>
      <c r="B1375" t="inlineStr">
        <is>
          <t>2c4ed45b-311d-48e1-96fa-7fd4d3940f5b</t>
        </is>
      </c>
      <c r="D1375" t="inlineStr">
        <is>
          <t>111111124</t>
        </is>
      </c>
      <c r="E1375" t="inlineStr">
        <is>
          <t>Vodacom Life 20260617</t>
        </is>
      </c>
      <c r="G1375" t="inlineStr">
        <is>
          <t>RAMOKONE</t>
        </is>
      </c>
      <c r="H1375" t="inlineStr">
        <is>
          <t>LITHAKO</t>
        </is>
      </c>
      <c r="J1375" t="inlineStr">
        <is>
          <t>QAVET</t>
        </is>
      </c>
      <c r="K1375" t="inlineStr">
        <is>
          <t>Sale Made</t>
        </is>
      </c>
      <c r="L1375" t="n">
        <v>2</v>
      </c>
      <c r="M1375" t="inlineStr">
        <is>
          <t>2026-06-20 07:49:44</t>
        </is>
      </c>
      <c r="N1375" t="inlineStr">
        <is>
          <t>Khensane Mabasa</t>
        </is>
      </c>
      <c r="O1375" t="inlineStr">
        <is>
          <t>2026-06-17 14:10:06</t>
        </is>
      </c>
      <c r="P1375" t="inlineStr">
        <is>
          <t>2026-06-17 14:10:06</t>
        </is>
      </c>
      <c r="Y1375" t="inlineStr">
        <is>
          <t>27826531058</t>
        </is>
      </c>
    </row>
    <row r="1376">
      <c r="A1376" t="inlineStr">
        <is>
          <t>14921641</t>
        </is>
      </c>
      <c r="B1376" t="inlineStr">
        <is>
          <t>ff3d1a13-3c05-4b01-b2d5-56dd2d1ece94</t>
        </is>
      </c>
      <c r="D1376" t="inlineStr">
        <is>
          <t>111111124</t>
        </is>
      </c>
      <c r="E1376" t="inlineStr">
        <is>
          <t>Vodacom Life 20260617</t>
        </is>
      </c>
      <c r="G1376" t="inlineStr">
        <is>
          <t>KIM</t>
        </is>
      </c>
      <c r="H1376" t="inlineStr">
        <is>
          <t>BISMARK</t>
        </is>
      </c>
      <c r="J1376" t="inlineStr">
        <is>
          <t>NI</t>
        </is>
      </c>
      <c r="K1376" t="inlineStr">
        <is>
          <t>Not Interested</t>
        </is>
      </c>
      <c r="L1376" t="n">
        <v>2</v>
      </c>
      <c r="M1376" t="inlineStr">
        <is>
          <t>2026-06-20 07:42:49</t>
        </is>
      </c>
      <c r="N1376" t="inlineStr">
        <is>
          <t>Khensane Mabasa</t>
        </is>
      </c>
      <c r="O1376" t="inlineStr">
        <is>
          <t>2026-06-17 14:10:06</t>
        </is>
      </c>
      <c r="P1376" t="inlineStr">
        <is>
          <t>2026-06-17 14:10:06</t>
        </is>
      </c>
      <c r="Y1376" t="inlineStr">
        <is>
          <t>27786479071</t>
        </is>
      </c>
    </row>
    <row r="1377">
      <c r="A1377" t="inlineStr">
        <is>
          <t>14920864</t>
        </is>
      </c>
      <c r="B1377" t="inlineStr">
        <is>
          <t>da3841e7-ae9c-4b56-a40b-c3882e4b8c28</t>
        </is>
      </c>
      <c r="D1377" t="inlineStr">
        <is>
          <t>111111124</t>
        </is>
      </c>
      <c r="E1377" t="inlineStr">
        <is>
          <t>Vodacom Life 20260617</t>
        </is>
      </c>
      <c r="G1377" t="inlineStr">
        <is>
          <t>CYNTHIA</t>
        </is>
      </c>
      <c r="H1377" t="inlineStr">
        <is>
          <t>HOMAN</t>
        </is>
      </c>
      <c r="J1377" t="inlineStr">
        <is>
          <t>CBACK</t>
        </is>
      </c>
      <c r="K1377" t="inlineStr">
        <is>
          <t>Callback</t>
        </is>
      </c>
      <c r="L1377" t="n">
        <v>2</v>
      </c>
      <c r="M1377" t="inlineStr">
        <is>
          <t>2026-06-20 07:41:12</t>
        </is>
      </c>
      <c r="N1377" t="inlineStr">
        <is>
          <t>Maureen Ntsoko</t>
        </is>
      </c>
      <c r="O1377" t="inlineStr">
        <is>
          <t>2026-06-17 14:10:06</t>
        </is>
      </c>
      <c r="P1377" t="inlineStr">
        <is>
          <t>2026-06-17 14:10:06</t>
        </is>
      </c>
      <c r="Y1377" t="inlineStr">
        <is>
          <t>27725632153</t>
        </is>
      </c>
    </row>
    <row r="1378">
      <c r="A1378" t="inlineStr">
        <is>
          <t>14900000</t>
        </is>
      </c>
      <c r="B1378" t="inlineStr">
        <is>
          <t>e2268b53-0cee-4435-bfe5-9761303fc2a8</t>
        </is>
      </c>
      <c r="D1378" t="inlineStr">
        <is>
          <t>111111124</t>
        </is>
      </c>
      <c r="E1378" t="inlineStr">
        <is>
          <t>Vodacom Life 20260617</t>
        </is>
      </c>
      <c r="G1378" t="inlineStr">
        <is>
          <t>JAMES</t>
        </is>
      </c>
      <c r="H1378" t="inlineStr">
        <is>
          <t>MOGALE</t>
        </is>
      </c>
      <c r="J1378" t="inlineStr">
        <is>
          <t>AC</t>
        </is>
      </c>
      <c r="K1378" t="inlineStr">
        <is>
          <t>Already Contacted</t>
        </is>
      </c>
      <c r="L1378" t="n">
        <v>3</v>
      </c>
      <c r="M1378" t="inlineStr">
        <is>
          <t>2026-06-20 07:32:27</t>
        </is>
      </c>
      <c r="N1378" t="inlineStr">
        <is>
          <t>Maureen Ntsoko</t>
        </is>
      </c>
      <c r="O1378" t="inlineStr">
        <is>
          <t>2026-06-17 14:10:06</t>
        </is>
      </c>
      <c r="P1378" t="inlineStr">
        <is>
          <t>2026-06-17 14:10:06</t>
        </is>
      </c>
      <c r="Y1378" t="inlineStr">
        <is>
          <t>27828279293</t>
        </is>
      </c>
    </row>
    <row r="1379">
      <c r="A1379" t="inlineStr">
        <is>
          <t>14921886</t>
        </is>
      </c>
      <c r="B1379" t="inlineStr">
        <is>
          <t>68b2f29a-089e-4001-92f9-9d1a624573d4</t>
        </is>
      </c>
      <c r="D1379" t="inlineStr">
        <is>
          <t>111111124</t>
        </is>
      </c>
      <c r="E1379" t="inlineStr">
        <is>
          <t>Vodacom Life 20260617</t>
        </is>
      </c>
      <c r="G1379" t="inlineStr">
        <is>
          <t>CHRISTO</t>
        </is>
      </c>
      <c r="H1379" t="inlineStr">
        <is>
          <t>STANDER</t>
        </is>
      </c>
      <c r="J1379" t="inlineStr">
        <is>
          <t>AC</t>
        </is>
      </c>
      <c r="K1379" t="inlineStr">
        <is>
          <t>Already Contacted</t>
        </is>
      </c>
      <c r="L1379" t="n">
        <v>3</v>
      </c>
      <c r="M1379" t="inlineStr">
        <is>
          <t>2026-06-20 07:31:35</t>
        </is>
      </c>
      <c r="N1379" t="inlineStr">
        <is>
          <t>Maureen Ntsoko</t>
        </is>
      </c>
      <c r="O1379" t="inlineStr">
        <is>
          <t>2026-06-17 14:10:06</t>
        </is>
      </c>
      <c r="P1379" t="inlineStr">
        <is>
          <t>2026-06-17 14:10:06</t>
        </is>
      </c>
      <c r="Y1379" t="inlineStr">
        <is>
          <t>27829286714</t>
        </is>
      </c>
    </row>
    <row r="1380">
      <c r="A1380" t="inlineStr">
        <is>
          <t>14921798</t>
        </is>
      </c>
      <c r="B1380" t="inlineStr">
        <is>
          <t>f8c15352-ffdb-4dea-b0da-6862a1a13bce</t>
        </is>
      </c>
      <c r="D1380" t="inlineStr">
        <is>
          <t>111111124</t>
        </is>
      </c>
      <c r="E1380" t="inlineStr">
        <is>
          <t>Vodacom Life 20260617</t>
        </is>
      </c>
      <c r="G1380" t="inlineStr">
        <is>
          <t>TSHOLOFELO</t>
        </is>
      </c>
      <c r="H1380" t="inlineStr">
        <is>
          <t>TSHEOLE</t>
        </is>
      </c>
      <c r="J1380" t="inlineStr">
        <is>
          <t>A</t>
        </is>
      </c>
      <c r="K1380" t="inlineStr">
        <is>
          <t>Answering Machine</t>
        </is>
      </c>
      <c r="L1380" t="n">
        <v>5</v>
      </c>
      <c r="M1380" t="inlineStr">
        <is>
          <t>2026-06-20 07:30:07</t>
        </is>
      </c>
      <c r="N1380" t="inlineStr">
        <is>
          <t>Maureen Ntsoko</t>
        </is>
      </c>
      <c r="O1380" t="inlineStr">
        <is>
          <t>2026-06-17 14:10:06</t>
        </is>
      </c>
      <c r="P1380" t="inlineStr">
        <is>
          <t>2026-06-17 14:10:06</t>
        </is>
      </c>
      <c r="Y1380" t="inlineStr">
        <is>
          <t>27720116925</t>
        </is>
      </c>
    </row>
    <row r="1381">
      <c r="A1381" t="inlineStr">
        <is>
          <t>14920808</t>
        </is>
      </c>
      <c r="B1381" t="inlineStr">
        <is>
          <t>586bc888-84c8-46a1-a3db-573b50529ca6</t>
        </is>
      </c>
      <c r="D1381" t="inlineStr">
        <is>
          <t>111111124</t>
        </is>
      </c>
      <c r="E1381" t="inlineStr">
        <is>
          <t>Vodacom Life 20260617</t>
        </is>
      </c>
      <c r="G1381" t="inlineStr">
        <is>
          <t>KOPANO</t>
        </is>
      </c>
      <c r="H1381" t="inlineStr">
        <is>
          <t>KHOANE</t>
        </is>
      </c>
      <c r="J1381" t="inlineStr">
        <is>
          <t>NI</t>
        </is>
      </c>
      <c r="K1381" t="inlineStr">
        <is>
          <t>Not Interested</t>
        </is>
      </c>
      <c r="L1381" t="n">
        <v>3</v>
      </c>
      <c r="M1381" t="inlineStr">
        <is>
          <t>2026-06-20 07:25:02</t>
        </is>
      </c>
      <c r="N1381" t="inlineStr">
        <is>
          <t>Maureen Ntsoko</t>
        </is>
      </c>
      <c r="O1381" t="inlineStr">
        <is>
          <t>2026-06-17 14:10:06</t>
        </is>
      </c>
      <c r="P1381" t="inlineStr">
        <is>
          <t>2026-06-17 14:10:06</t>
        </is>
      </c>
      <c r="Y1381" t="inlineStr">
        <is>
          <t>27826803780</t>
        </is>
      </c>
    </row>
    <row r="1382">
      <c r="A1382" t="inlineStr">
        <is>
          <t>14921717</t>
        </is>
      </c>
      <c r="B1382" t="inlineStr">
        <is>
          <t>cf369a50-4a0c-401e-877e-39ded75f6010</t>
        </is>
      </c>
      <c r="D1382" t="inlineStr">
        <is>
          <t>111111124</t>
        </is>
      </c>
      <c r="E1382" t="inlineStr">
        <is>
          <t>Vodacom Life 20260617</t>
        </is>
      </c>
      <c r="G1382" t="inlineStr">
        <is>
          <t>LERATO</t>
        </is>
      </c>
      <c r="H1382" t="inlineStr">
        <is>
          <t>KASIENYANE</t>
        </is>
      </c>
      <c r="J1382" t="inlineStr">
        <is>
          <t>CBACK</t>
        </is>
      </c>
      <c r="K1382" t="inlineStr">
        <is>
          <t>Callback</t>
        </is>
      </c>
      <c r="L1382" t="n">
        <v>2</v>
      </c>
      <c r="M1382" t="inlineStr">
        <is>
          <t>2026-06-20 07:19:36</t>
        </is>
      </c>
      <c r="N1382" t="inlineStr">
        <is>
          <t>Maureen Ntsoko</t>
        </is>
      </c>
      <c r="O1382" t="inlineStr">
        <is>
          <t>2026-06-17 14:10:06</t>
        </is>
      </c>
      <c r="P1382" t="inlineStr">
        <is>
          <t>2026-06-17 14:10:06</t>
        </is>
      </c>
      <c r="Y1382" t="inlineStr">
        <is>
          <t>27768235798</t>
        </is>
      </c>
    </row>
    <row r="1383">
      <c r="A1383" t="inlineStr">
        <is>
          <t>14921818</t>
        </is>
      </c>
      <c r="B1383" t="inlineStr">
        <is>
          <t>b1041314-d6ef-4f19-acfe-b687996566d8</t>
        </is>
      </c>
      <c r="D1383" t="inlineStr">
        <is>
          <t>111111124</t>
        </is>
      </c>
      <c r="E1383" t="inlineStr">
        <is>
          <t>Vodacom Life 20260617</t>
        </is>
      </c>
      <c r="G1383" t="inlineStr">
        <is>
          <t>COLLEEN</t>
        </is>
      </c>
      <c r="H1383" t="inlineStr">
        <is>
          <t>HARDIMAN</t>
        </is>
      </c>
      <c r="J1383" t="inlineStr">
        <is>
          <t>NI</t>
        </is>
      </c>
      <c r="K1383" t="inlineStr">
        <is>
          <t>Not Interested</t>
        </is>
      </c>
      <c r="L1383" t="n">
        <v>2</v>
      </c>
      <c r="M1383" t="inlineStr">
        <is>
          <t>2026-06-20 07:16:22</t>
        </is>
      </c>
      <c r="N1383" t="inlineStr">
        <is>
          <t>Khensane Mabasa</t>
        </is>
      </c>
      <c r="O1383" t="inlineStr">
        <is>
          <t>2026-06-17 14:10:06</t>
        </is>
      </c>
      <c r="P1383" t="inlineStr">
        <is>
          <t>2026-06-17 14:10:06</t>
        </is>
      </c>
      <c r="Y1383" t="inlineStr">
        <is>
          <t>27713649466</t>
        </is>
      </c>
    </row>
    <row r="1384">
      <c r="A1384" t="inlineStr">
        <is>
          <t>14920726</t>
        </is>
      </c>
      <c r="B1384" t="inlineStr">
        <is>
          <t>91ab5f14-0d58-4755-98b3-ea809ba1b0c6</t>
        </is>
      </c>
      <c r="D1384" t="inlineStr">
        <is>
          <t>111111124</t>
        </is>
      </c>
      <c r="E1384" t="inlineStr">
        <is>
          <t>Vodacom Life 20260617</t>
        </is>
      </c>
      <c r="G1384" t="inlineStr">
        <is>
          <t>ABRINA</t>
        </is>
      </c>
      <c r="H1384" t="inlineStr">
        <is>
          <t>MABTA</t>
        </is>
      </c>
      <c r="J1384" t="inlineStr">
        <is>
          <t>NI</t>
        </is>
      </c>
      <c r="K1384" t="inlineStr">
        <is>
          <t>Not Interested</t>
        </is>
      </c>
      <c r="L1384" t="n">
        <v>2</v>
      </c>
      <c r="M1384" t="inlineStr">
        <is>
          <t>2026-06-20 07:15:32</t>
        </is>
      </c>
      <c r="N1384" t="inlineStr">
        <is>
          <t>Maureen Ntsoko</t>
        </is>
      </c>
      <c r="O1384" t="inlineStr">
        <is>
          <t>2026-06-17 14:10:06</t>
        </is>
      </c>
      <c r="P1384" t="inlineStr">
        <is>
          <t>2026-06-17 14:10:06</t>
        </is>
      </c>
      <c r="Y1384" t="inlineStr">
        <is>
          <t>27765620890</t>
        </is>
      </c>
    </row>
    <row r="1385">
      <c r="A1385" t="inlineStr">
        <is>
          <t>14900000</t>
        </is>
      </c>
      <c r="B1385" t="inlineStr">
        <is>
          <t>e5917f4e-1d4e-4efd-91c6-d8cee982e582</t>
        </is>
      </c>
      <c r="D1385" t="inlineStr">
        <is>
          <t>111111124</t>
        </is>
      </c>
      <c r="E1385" t="inlineStr">
        <is>
          <t>Vodacom Life 20260617</t>
        </is>
      </c>
      <c r="G1385" t="inlineStr">
        <is>
          <t>T</t>
        </is>
      </c>
      <c r="H1385" t="inlineStr">
        <is>
          <t>MZIZI</t>
        </is>
      </c>
      <c r="J1385" t="inlineStr">
        <is>
          <t>CBACK</t>
        </is>
      </c>
      <c r="K1385" t="inlineStr">
        <is>
          <t>Callback</t>
        </is>
      </c>
      <c r="L1385" t="n">
        <v>2</v>
      </c>
      <c r="M1385" t="inlineStr">
        <is>
          <t>2026-06-20 07:13:46</t>
        </is>
      </c>
      <c r="N1385" t="inlineStr">
        <is>
          <t>Maureen Ntsoko</t>
        </is>
      </c>
      <c r="O1385" t="inlineStr">
        <is>
          <t>2026-06-17 14:10:06</t>
        </is>
      </c>
      <c r="P1385" t="inlineStr">
        <is>
          <t>2026-06-17 14:10:06</t>
        </is>
      </c>
      <c r="Y1385" t="inlineStr">
        <is>
          <t>27824405085</t>
        </is>
      </c>
    </row>
    <row r="1386">
      <c r="A1386" t="inlineStr">
        <is>
          <t>14920865</t>
        </is>
      </c>
      <c r="B1386" t="inlineStr">
        <is>
          <t>8b25ad7a-7321-4fe4-92b7-11d254349648</t>
        </is>
      </c>
      <c r="D1386" t="inlineStr">
        <is>
          <t>111111124</t>
        </is>
      </c>
      <c r="E1386" t="inlineStr">
        <is>
          <t>Vodacom Life 20260617</t>
        </is>
      </c>
      <c r="G1386" t="inlineStr">
        <is>
          <t>ELIZABETH</t>
        </is>
      </c>
      <c r="H1386" t="inlineStr">
        <is>
          <t>BERRY</t>
        </is>
      </c>
      <c r="J1386" t="inlineStr">
        <is>
          <t>WN</t>
        </is>
      </c>
      <c r="K1386" t="inlineStr">
        <is>
          <t>Wrong Number</t>
        </is>
      </c>
      <c r="L1386" t="n">
        <v>2</v>
      </c>
      <c r="M1386" t="inlineStr">
        <is>
          <t>2026-06-20 07:11:48</t>
        </is>
      </c>
      <c r="N1386" t="inlineStr">
        <is>
          <t>Maureen Ntsoko</t>
        </is>
      </c>
      <c r="O1386" t="inlineStr">
        <is>
          <t>2026-06-17 14:10:06</t>
        </is>
      </c>
      <c r="P1386" t="inlineStr">
        <is>
          <t>2026-06-17 14:10:06</t>
        </is>
      </c>
      <c r="Y1386" t="inlineStr">
        <is>
          <t>27713626125</t>
        </is>
      </c>
    </row>
    <row r="1387">
      <c r="A1387" t="inlineStr">
        <is>
          <t>14920763</t>
        </is>
      </c>
      <c r="B1387" t="inlineStr">
        <is>
          <t>aa8e6011-9450-4613-a05b-6afc4ef99fa0</t>
        </is>
      </c>
      <c r="D1387" t="inlineStr">
        <is>
          <t>111111124</t>
        </is>
      </c>
      <c r="E1387" t="inlineStr">
        <is>
          <t>Vodacom Life 20260617</t>
        </is>
      </c>
      <c r="G1387" t="inlineStr">
        <is>
          <t>TSHEPO</t>
        </is>
      </c>
      <c r="H1387" t="inlineStr">
        <is>
          <t>SEELAMO</t>
        </is>
      </c>
      <c r="J1387" t="inlineStr">
        <is>
          <t>WN</t>
        </is>
      </c>
      <c r="K1387" t="inlineStr">
        <is>
          <t>Wrong Number</t>
        </is>
      </c>
      <c r="L1387" t="n">
        <v>2</v>
      </c>
      <c r="M1387" t="inlineStr">
        <is>
          <t>2026-06-20 07:05:38</t>
        </is>
      </c>
      <c r="N1387" t="inlineStr">
        <is>
          <t>Maureen Ntsoko</t>
        </is>
      </c>
      <c r="O1387" t="inlineStr">
        <is>
          <t>2026-06-17 14:10:06</t>
        </is>
      </c>
      <c r="P1387" t="inlineStr">
        <is>
          <t>2026-06-17 14:10:06</t>
        </is>
      </c>
      <c r="Y1387" t="inlineStr">
        <is>
          <t>27665868982</t>
        </is>
      </c>
    </row>
    <row r="1388">
      <c r="A1388" t="inlineStr">
        <is>
          <t>14921863</t>
        </is>
      </c>
      <c r="B1388" t="inlineStr">
        <is>
          <t>be505c9c-bd3b-4c7f-a211-7af2d4d669c0</t>
        </is>
      </c>
      <c r="D1388" t="inlineStr">
        <is>
          <t>111111124</t>
        </is>
      </c>
      <c r="E1388" t="inlineStr">
        <is>
          <t>Vodacom Life 20260617</t>
        </is>
      </c>
      <c r="G1388" t="inlineStr">
        <is>
          <t>NQOBILE</t>
        </is>
      </c>
      <c r="H1388" t="inlineStr">
        <is>
          <t>NKOSI</t>
        </is>
      </c>
      <c r="J1388" t="inlineStr">
        <is>
          <t>CBACK</t>
        </is>
      </c>
      <c r="K1388" t="inlineStr">
        <is>
          <t>Callback</t>
        </is>
      </c>
      <c r="L1388" t="n">
        <v>2</v>
      </c>
      <c r="M1388" t="inlineStr">
        <is>
          <t>2026-06-20 07:04:02</t>
        </is>
      </c>
      <c r="N1388" t="inlineStr">
        <is>
          <t>Maureen Ntsoko</t>
        </is>
      </c>
      <c r="O1388" t="inlineStr">
        <is>
          <t>2026-06-17 14:10:06</t>
        </is>
      </c>
      <c r="P1388" t="inlineStr">
        <is>
          <t>2026-06-17 14:10:06</t>
        </is>
      </c>
      <c r="Y1388" t="inlineStr">
        <is>
          <t>27763967081</t>
        </is>
      </c>
    </row>
    <row r="1389">
      <c r="A1389" t="inlineStr">
        <is>
          <t>14921766</t>
        </is>
      </c>
      <c r="B1389" t="inlineStr">
        <is>
          <t>f3f3dc05-9baa-4e64-8817-0fea626def57</t>
        </is>
      </c>
      <c r="D1389" t="inlineStr">
        <is>
          <t>111111124</t>
        </is>
      </c>
      <c r="E1389" t="inlineStr">
        <is>
          <t>Vodacom Life 20260617</t>
        </is>
      </c>
      <c r="G1389" t="inlineStr">
        <is>
          <t>MORENA</t>
        </is>
      </c>
      <c r="H1389" t="inlineStr">
        <is>
          <t>MNEMBE</t>
        </is>
      </c>
      <c r="J1389" t="inlineStr">
        <is>
          <t>U</t>
        </is>
      </c>
      <c r="K1389" t="inlineStr">
        <is>
          <t>Unemployed</t>
        </is>
      </c>
      <c r="L1389" t="n">
        <v>2</v>
      </c>
      <c r="M1389" t="inlineStr">
        <is>
          <t>2026-06-19 13:20:34</t>
        </is>
      </c>
      <c r="N1389" t="inlineStr">
        <is>
          <t>Khensane Mabasa</t>
        </is>
      </c>
      <c r="O1389" t="inlineStr">
        <is>
          <t>2026-06-17 14:10:06</t>
        </is>
      </c>
      <c r="P1389" t="inlineStr">
        <is>
          <t>2026-06-17 14:10:06</t>
        </is>
      </c>
      <c r="Y1389" t="inlineStr">
        <is>
          <t>27607116767</t>
        </is>
      </c>
    </row>
    <row r="1390">
      <c r="A1390" t="inlineStr">
        <is>
          <t>14920976</t>
        </is>
      </c>
      <c r="B1390" t="inlineStr">
        <is>
          <t>2d3ccdca-0b5b-491a-b693-9ad406ca63b3</t>
        </is>
      </c>
      <c r="D1390" t="inlineStr">
        <is>
          <t>111111124</t>
        </is>
      </c>
      <c r="E1390" t="inlineStr">
        <is>
          <t>Vodacom Life 20260617</t>
        </is>
      </c>
      <c r="G1390" t="inlineStr">
        <is>
          <t>SIBUSISO</t>
        </is>
      </c>
      <c r="H1390" t="inlineStr">
        <is>
          <t>VILAKAZI</t>
        </is>
      </c>
      <c r="J1390" t="inlineStr">
        <is>
          <t>CBACK</t>
        </is>
      </c>
      <c r="K1390" t="inlineStr">
        <is>
          <t>Callback</t>
        </is>
      </c>
      <c r="L1390" t="n">
        <v>2</v>
      </c>
      <c r="M1390" t="inlineStr">
        <is>
          <t>2026-06-19 13:19:13</t>
        </is>
      </c>
      <c r="N1390" t="inlineStr">
        <is>
          <t>Maureen Ntsoko</t>
        </is>
      </c>
      <c r="O1390" t="inlineStr">
        <is>
          <t>2026-06-17 14:10:06</t>
        </is>
      </c>
      <c r="P1390" t="inlineStr">
        <is>
          <t>2026-06-17 14:10:06</t>
        </is>
      </c>
      <c r="Y1390" t="inlineStr">
        <is>
          <t>27826849650</t>
        </is>
      </c>
    </row>
    <row r="1391">
      <c r="A1391" t="inlineStr">
        <is>
          <t>14920977</t>
        </is>
      </c>
      <c r="B1391" t="inlineStr">
        <is>
          <t>b2b9f3bf-e797-474b-9271-7e9b3fb86697</t>
        </is>
      </c>
      <c r="D1391" t="inlineStr">
        <is>
          <t>111111124</t>
        </is>
      </c>
      <c r="E1391" t="inlineStr">
        <is>
          <t>Vodacom Life 20260617</t>
        </is>
      </c>
      <c r="G1391" t="inlineStr">
        <is>
          <t>AVRIL</t>
        </is>
      </c>
      <c r="H1391" t="inlineStr">
        <is>
          <t>STEIN</t>
        </is>
      </c>
      <c r="J1391" t="inlineStr">
        <is>
          <t>U</t>
        </is>
      </c>
      <c r="K1391" t="inlineStr">
        <is>
          <t>Unemployed</t>
        </is>
      </c>
      <c r="L1391" t="n">
        <v>2</v>
      </c>
      <c r="M1391" t="inlineStr">
        <is>
          <t>2026-06-19 13:18:20</t>
        </is>
      </c>
      <c r="N1391" t="inlineStr">
        <is>
          <t>Khensane Mabasa</t>
        </is>
      </c>
      <c r="O1391" t="inlineStr">
        <is>
          <t>2026-06-17 14:10:06</t>
        </is>
      </c>
      <c r="P1391" t="inlineStr">
        <is>
          <t>2026-06-17 14:10:06</t>
        </is>
      </c>
      <c r="Y1391" t="inlineStr">
        <is>
          <t>27799996885</t>
        </is>
      </c>
    </row>
    <row r="1392">
      <c r="A1392" t="inlineStr">
        <is>
          <t>14921898</t>
        </is>
      </c>
      <c r="B1392" t="inlineStr">
        <is>
          <t>98b37d16-1ddc-44c9-8158-902142cda568</t>
        </is>
      </c>
      <c r="D1392" t="inlineStr">
        <is>
          <t>111111124</t>
        </is>
      </c>
      <c r="E1392" t="inlineStr">
        <is>
          <t>Vodacom Life 20260617</t>
        </is>
      </c>
      <c r="G1392" t="inlineStr">
        <is>
          <t>LILIAN</t>
        </is>
      </c>
      <c r="H1392" t="inlineStr">
        <is>
          <t>KUTUKA</t>
        </is>
      </c>
      <c r="J1392" t="inlineStr">
        <is>
          <t>CBACK</t>
        </is>
      </c>
      <c r="K1392" t="inlineStr">
        <is>
          <t>Callback</t>
        </is>
      </c>
      <c r="L1392" t="n">
        <v>2</v>
      </c>
      <c r="M1392" t="inlineStr">
        <is>
          <t>2026-06-19 13:14:25</t>
        </is>
      </c>
      <c r="N1392" t="inlineStr">
        <is>
          <t>Maureen Ntsoko</t>
        </is>
      </c>
      <c r="O1392" t="inlineStr">
        <is>
          <t>2026-06-17 14:10:06</t>
        </is>
      </c>
      <c r="P1392" t="inlineStr">
        <is>
          <t>2026-06-17 14:10:06</t>
        </is>
      </c>
      <c r="Y1392" t="inlineStr">
        <is>
          <t>27828590034</t>
        </is>
      </c>
    </row>
    <row r="1393">
      <c r="A1393" t="inlineStr">
        <is>
          <t>14921472</t>
        </is>
      </c>
      <c r="B1393" t="inlineStr">
        <is>
          <t>32474377-f9a2-4d82-bf4d-07ea7f031b9c</t>
        </is>
      </c>
      <c r="D1393" t="inlineStr">
        <is>
          <t>111111124</t>
        </is>
      </c>
      <c r="E1393" t="inlineStr">
        <is>
          <t>Vodacom Life 20260617</t>
        </is>
      </c>
      <c r="G1393" t="inlineStr">
        <is>
          <t>MATATE</t>
        </is>
      </c>
      <c r="H1393" t="inlineStr">
        <is>
          <t>MONAGENG</t>
        </is>
      </c>
      <c r="J1393" t="inlineStr">
        <is>
          <t>U</t>
        </is>
      </c>
      <c r="K1393" t="inlineStr">
        <is>
          <t>Unemployed</t>
        </is>
      </c>
      <c r="L1393" t="n">
        <v>2</v>
      </c>
      <c r="M1393" t="inlineStr">
        <is>
          <t>2026-06-19 13:12:06</t>
        </is>
      </c>
      <c r="N1393" t="inlineStr">
        <is>
          <t>Khensane Mabasa</t>
        </is>
      </c>
      <c r="O1393" t="inlineStr">
        <is>
          <t>2026-06-17 14:10:06</t>
        </is>
      </c>
      <c r="P1393" t="inlineStr">
        <is>
          <t>2026-06-17 14:10:06</t>
        </is>
      </c>
      <c r="Y1393" t="inlineStr">
        <is>
          <t>27826130878</t>
        </is>
      </c>
    </row>
    <row r="1394">
      <c r="A1394" t="inlineStr">
        <is>
          <t>14921507</t>
        </is>
      </c>
      <c r="B1394" t="inlineStr">
        <is>
          <t>7c192cbe-8ef2-4340-9011-707ca28502c9</t>
        </is>
      </c>
      <c r="D1394" t="inlineStr">
        <is>
          <t>111111124</t>
        </is>
      </c>
      <c r="E1394" t="inlineStr">
        <is>
          <t>Vodacom Life 20260617</t>
        </is>
      </c>
      <c r="G1394" t="inlineStr">
        <is>
          <t>BRENDA</t>
        </is>
      </c>
      <c r="H1394" t="inlineStr">
        <is>
          <t>WINDVOGEL</t>
        </is>
      </c>
      <c r="J1394" t="inlineStr">
        <is>
          <t>NI</t>
        </is>
      </c>
      <c r="K1394" t="inlineStr">
        <is>
          <t>Not Interested</t>
        </is>
      </c>
      <c r="L1394" t="n">
        <v>2</v>
      </c>
      <c r="M1394" t="inlineStr">
        <is>
          <t>2026-06-19 13:11:49</t>
        </is>
      </c>
      <c r="N1394" t="inlineStr">
        <is>
          <t>Maureen Ntsoko</t>
        </is>
      </c>
      <c r="O1394" t="inlineStr">
        <is>
          <t>2026-06-17 14:10:06</t>
        </is>
      </c>
      <c r="P1394" t="inlineStr">
        <is>
          <t>2026-06-17 14:10:06</t>
        </is>
      </c>
      <c r="Y1394" t="inlineStr">
        <is>
          <t>27829744015</t>
        </is>
      </c>
    </row>
    <row r="1395">
      <c r="A1395" t="inlineStr">
        <is>
          <t>14921448</t>
        </is>
      </c>
      <c r="B1395" t="inlineStr">
        <is>
          <t>5e28a157-5818-40c5-837b-57b8e5256bf0</t>
        </is>
      </c>
      <c r="D1395" t="inlineStr">
        <is>
          <t>111111124</t>
        </is>
      </c>
      <c r="E1395" t="inlineStr">
        <is>
          <t>Vodacom Life 20260617</t>
        </is>
      </c>
      <c r="G1395" t="inlineStr">
        <is>
          <t>SARAH</t>
        </is>
      </c>
      <c r="H1395" t="inlineStr">
        <is>
          <t>MAKHOBASI</t>
        </is>
      </c>
      <c r="J1395" t="inlineStr">
        <is>
          <t>WN</t>
        </is>
      </c>
      <c r="K1395" t="inlineStr">
        <is>
          <t>Wrong Number</t>
        </is>
      </c>
      <c r="L1395" t="n">
        <v>2</v>
      </c>
      <c r="M1395" t="inlineStr">
        <is>
          <t>2026-06-19 13:08:33</t>
        </is>
      </c>
      <c r="N1395" t="inlineStr">
        <is>
          <t>Maureen Ntsoko</t>
        </is>
      </c>
      <c r="O1395" t="inlineStr">
        <is>
          <t>2026-06-17 14:10:06</t>
        </is>
      </c>
      <c r="P1395" t="inlineStr">
        <is>
          <t>2026-06-17 14:10:06</t>
        </is>
      </c>
      <c r="Y1395" t="inlineStr">
        <is>
          <t>27728097057</t>
        </is>
      </c>
    </row>
    <row r="1396">
      <c r="A1396" t="inlineStr">
        <is>
          <t>14921002</t>
        </is>
      </c>
      <c r="B1396" t="inlineStr">
        <is>
          <t>3f9b250a-b542-4070-bc18-fcbbb3334eb3</t>
        </is>
      </c>
      <c r="D1396" t="inlineStr">
        <is>
          <t>111111124</t>
        </is>
      </c>
      <c r="E1396" t="inlineStr">
        <is>
          <t>Vodacom Life 20260617</t>
        </is>
      </c>
      <c r="G1396" t="inlineStr">
        <is>
          <t>LEBOGANG</t>
        </is>
      </c>
      <c r="H1396" t="inlineStr">
        <is>
          <t>RAPHOKO</t>
        </is>
      </c>
      <c r="J1396" t="inlineStr">
        <is>
          <t>AC</t>
        </is>
      </c>
      <c r="K1396" t="inlineStr">
        <is>
          <t>Already Contacted</t>
        </is>
      </c>
      <c r="L1396" t="n">
        <v>3</v>
      </c>
      <c r="M1396" t="inlineStr">
        <is>
          <t>2026-06-19 12:55:32</t>
        </is>
      </c>
      <c r="N1396" t="inlineStr">
        <is>
          <t>Maureen Ntsoko</t>
        </is>
      </c>
      <c r="O1396" t="inlineStr">
        <is>
          <t>2026-06-17 14:10:06</t>
        </is>
      </c>
      <c r="P1396" t="inlineStr">
        <is>
          <t>2026-06-17 14:10:06</t>
        </is>
      </c>
      <c r="Y1396" t="inlineStr">
        <is>
          <t>27791045562</t>
        </is>
      </c>
    </row>
    <row r="1397">
      <c r="A1397" t="inlineStr">
        <is>
          <t>14921016</t>
        </is>
      </c>
      <c r="B1397" t="inlineStr">
        <is>
          <t>de4766a1-3d1e-4d8c-9c74-da3acc9a03de</t>
        </is>
      </c>
      <c r="D1397" t="inlineStr">
        <is>
          <t>111111124</t>
        </is>
      </c>
      <c r="E1397" t="inlineStr">
        <is>
          <t>Vodacom Life 20260617</t>
        </is>
      </c>
      <c r="G1397" t="inlineStr">
        <is>
          <t>NTOMBIFUTHI</t>
        </is>
      </c>
      <c r="H1397" t="inlineStr">
        <is>
          <t>DHLAMINI</t>
        </is>
      </c>
      <c r="J1397" t="inlineStr">
        <is>
          <t>SELECTED</t>
        </is>
      </c>
      <c r="K1397" t="inlineStr">
        <is>
          <t>Selected</t>
        </is>
      </c>
      <c r="L1397" t="n">
        <v>3</v>
      </c>
      <c r="M1397" t="inlineStr">
        <is>
          <t>2026-06-19 12:52:44</t>
        </is>
      </c>
      <c r="N1397" t="inlineStr">
        <is>
          <t>system</t>
        </is>
      </c>
      <c r="O1397" t="inlineStr">
        <is>
          <t>2026-06-17 14:10:06</t>
        </is>
      </c>
      <c r="P1397" t="inlineStr">
        <is>
          <t>2026-06-17 14:10:06</t>
        </is>
      </c>
      <c r="Y1397" t="inlineStr">
        <is>
          <t>27795212711</t>
        </is>
      </c>
    </row>
    <row r="1398">
      <c r="A1398" t="inlineStr">
        <is>
          <t>14921061</t>
        </is>
      </c>
      <c r="B1398" t="inlineStr">
        <is>
          <t>20223f1e-f77d-4d6d-af23-2e9a9dea57eb</t>
        </is>
      </c>
      <c r="D1398" t="inlineStr">
        <is>
          <t>111111124</t>
        </is>
      </c>
      <c r="E1398" t="inlineStr">
        <is>
          <t>Vodacom Life 20260617</t>
        </is>
      </c>
      <c r="G1398" t="inlineStr">
        <is>
          <t>NJABULO</t>
        </is>
      </c>
      <c r="H1398" t="inlineStr">
        <is>
          <t>ZIMU</t>
        </is>
      </c>
      <c r="J1398" t="inlineStr">
        <is>
          <t>NI</t>
        </is>
      </c>
      <c r="K1398" t="inlineStr">
        <is>
          <t>Not Interested</t>
        </is>
      </c>
      <c r="L1398" t="n">
        <v>2</v>
      </c>
      <c r="M1398" t="inlineStr">
        <is>
          <t>2026-06-19 12:42:40</t>
        </is>
      </c>
      <c r="N1398" t="inlineStr">
        <is>
          <t>Maureen Ntsoko</t>
        </is>
      </c>
      <c r="O1398" t="inlineStr">
        <is>
          <t>2026-06-17 14:10:06</t>
        </is>
      </c>
      <c r="P1398" t="inlineStr">
        <is>
          <t>2026-06-17 14:10:06</t>
        </is>
      </c>
      <c r="Y1398" t="inlineStr">
        <is>
          <t>27609112984</t>
        </is>
      </c>
    </row>
    <row r="1399">
      <c r="A1399" t="inlineStr">
        <is>
          <t>14921342</t>
        </is>
      </c>
      <c r="B1399" t="inlineStr">
        <is>
          <t>2a1030f4-9a55-40cf-a85a-a625df0f4411</t>
        </is>
      </c>
      <c r="D1399" t="inlineStr">
        <is>
          <t>111111124</t>
        </is>
      </c>
      <c r="E1399" t="inlineStr">
        <is>
          <t>Vodacom Life 20260617</t>
        </is>
      </c>
      <c r="G1399" t="inlineStr">
        <is>
          <t>LYDIA</t>
        </is>
      </c>
      <c r="H1399" t="inlineStr">
        <is>
          <t>PRINS</t>
        </is>
      </c>
      <c r="J1399" t="inlineStr">
        <is>
          <t>NI</t>
        </is>
      </c>
      <c r="K1399" t="inlineStr">
        <is>
          <t>Not Interested</t>
        </is>
      </c>
      <c r="L1399" t="n">
        <v>2</v>
      </c>
      <c r="M1399" t="inlineStr">
        <is>
          <t>2026-06-19 12:39:26</t>
        </is>
      </c>
      <c r="N1399" t="inlineStr">
        <is>
          <t>Khensane Mabasa</t>
        </is>
      </c>
      <c r="O1399" t="inlineStr">
        <is>
          <t>2026-06-17 14:10:06</t>
        </is>
      </c>
      <c r="P1399" t="inlineStr">
        <is>
          <t>2026-06-17 14:10:06</t>
        </is>
      </c>
      <c r="Y1399" t="inlineStr">
        <is>
          <t>27662229773</t>
        </is>
      </c>
    </row>
    <row r="1400">
      <c r="A1400" t="inlineStr">
        <is>
          <t>14921286</t>
        </is>
      </c>
      <c r="B1400" t="inlineStr">
        <is>
          <t>fb8f2f0a-e230-42fc-889d-b2e4fa67bb5c</t>
        </is>
      </c>
      <c r="D1400" t="inlineStr">
        <is>
          <t>111111124</t>
        </is>
      </c>
      <c r="E1400" t="inlineStr">
        <is>
          <t>Vodacom Life 20260617</t>
        </is>
      </c>
      <c r="G1400" t="inlineStr">
        <is>
          <t>RAYMOND</t>
        </is>
      </c>
      <c r="H1400" t="inlineStr">
        <is>
          <t>MAMBA</t>
        </is>
      </c>
      <c r="J1400" t="inlineStr">
        <is>
          <t>OAL</t>
        </is>
      </c>
      <c r="K1400" t="inlineStr">
        <is>
          <t>Over Age Limit</t>
        </is>
      </c>
      <c r="L1400" t="n">
        <v>2</v>
      </c>
      <c r="M1400" t="inlineStr">
        <is>
          <t>2026-06-19 12:35:32</t>
        </is>
      </c>
      <c r="N1400" t="inlineStr">
        <is>
          <t>Maureen Ntsoko</t>
        </is>
      </c>
      <c r="O1400" t="inlineStr">
        <is>
          <t>2026-06-17 14:10:06</t>
        </is>
      </c>
      <c r="P1400" t="inlineStr">
        <is>
          <t>2026-06-17 14:10:06</t>
        </is>
      </c>
      <c r="Y1400" t="inlineStr">
        <is>
          <t>27712443291</t>
        </is>
      </c>
    </row>
    <row r="1401">
      <c r="A1401" t="inlineStr">
        <is>
          <t>14900000</t>
        </is>
      </c>
      <c r="B1401" t="inlineStr">
        <is>
          <t>05e11291-f0e9-4b90-be91-43087d7f286f</t>
        </is>
      </c>
      <c r="D1401" t="inlineStr">
        <is>
          <t>111111124</t>
        </is>
      </c>
      <c r="E1401" t="inlineStr">
        <is>
          <t>Vodacom Life 20260617</t>
        </is>
      </c>
      <c r="G1401" t="inlineStr">
        <is>
          <t>SIZWE</t>
        </is>
      </c>
      <c r="H1401" t="inlineStr">
        <is>
          <t>DLADLA</t>
        </is>
      </c>
      <c r="J1401" t="inlineStr">
        <is>
          <t>CBACK</t>
        </is>
      </c>
      <c r="K1401" t="inlineStr">
        <is>
          <t>Callback</t>
        </is>
      </c>
      <c r="L1401" t="n">
        <v>2</v>
      </c>
      <c r="M1401" t="inlineStr">
        <is>
          <t>2026-06-19 12:09:01</t>
        </is>
      </c>
      <c r="N1401" t="inlineStr">
        <is>
          <t>Khensane Mabasa</t>
        </is>
      </c>
      <c r="O1401" t="inlineStr">
        <is>
          <t>2026-06-17 14:10:06</t>
        </is>
      </c>
      <c r="P1401" t="inlineStr">
        <is>
          <t>2026-06-17 14:10:06</t>
        </is>
      </c>
      <c r="Y1401" t="inlineStr">
        <is>
          <t>27710446069</t>
        </is>
      </c>
    </row>
    <row r="1402">
      <c r="A1402" t="inlineStr">
        <is>
          <t>14920713</t>
        </is>
      </c>
      <c r="B1402" t="inlineStr">
        <is>
          <t>4784af8c-6f5b-4694-83f4-6da0654146ee</t>
        </is>
      </c>
      <c r="D1402" t="inlineStr">
        <is>
          <t>111111124</t>
        </is>
      </c>
      <c r="E1402" t="inlineStr">
        <is>
          <t>Vodacom Life 20260617</t>
        </is>
      </c>
      <c r="G1402" t="inlineStr">
        <is>
          <t>MALEGASA</t>
        </is>
      </c>
      <c r="H1402" t="inlineStr">
        <is>
          <t>MASEKWAMENG</t>
        </is>
      </c>
      <c r="J1402" t="inlineStr">
        <is>
          <t>U</t>
        </is>
      </c>
      <c r="K1402" t="inlineStr">
        <is>
          <t>Unemployed</t>
        </is>
      </c>
      <c r="L1402" t="n">
        <v>2</v>
      </c>
      <c r="M1402" t="inlineStr">
        <is>
          <t>2026-06-19 12:05:25</t>
        </is>
      </c>
      <c r="N1402" t="inlineStr">
        <is>
          <t>Maureen Ntsoko</t>
        </is>
      </c>
      <c r="O1402" t="inlineStr">
        <is>
          <t>2026-06-17 14:10:06</t>
        </is>
      </c>
      <c r="P1402" t="inlineStr">
        <is>
          <t>2026-06-17 14:10:06</t>
        </is>
      </c>
      <c r="Y1402" t="inlineStr">
        <is>
          <t>27725466867</t>
        </is>
      </c>
    </row>
    <row r="1403">
      <c r="A1403" t="inlineStr">
        <is>
          <t>14920518</t>
        </is>
      </c>
      <c r="B1403" t="inlineStr">
        <is>
          <t>06b3d01b-bd14-484f-8e95-23ac41884315</t>
        </is>
      </c>
      <c r="D1403" t="inlineStr">
        <is>
          <t>111111124</t>
        </is>
      </c>
      <c r="E1403" t="inlineStr">
        <is>
          <t>Vodacom Life 20260617</t>
        </is>
      </c>
      <c r="G1403" t="inlineStr">
        <is>
          <t>REJOICE</t>
        </is>
      </c>
      <c r="H1403" t="inlineStr">
        <is>
          <t>MABITLA</t>
        </is>
      </c>
      <c r="J1403" t="inlineStr">
        <is>
          <t>CBACK</t>
        </is>
      </c>
      <c r="K1403" t="inlineStr">
        <is>
          <t>Callback</t>
        </is>
      </c>
      <c r="L1403" t="n">
        <v>2</v>
      </c>
      <c r="M1403" t="inlineStr">
        <is>
          <t>2026-06-19 11:58:23</t>
        </is>
      </c>
      <c r="N1403" t="inlineStr">
        <is>
          <t>bongiwe lushaba</t>
        </is>
      </c>
      <c r="O1403" t="inlineStr">
        <is>
          <t>2026-06-17 14:10:06</t>
        </is>
      </c>
      <c r="P1403" t="inlineStr">
        <is>
          <t>2026-06-17 14:10:06</t>
        </is>
      </c>
      <c r="Y1403" t="inlineStr">
        <is>
          <t>27760372992</t>
        </is>
      </c>
    </row>
    <row r="1404">
      <c r="A1404" t="inlineStr">
        <is>
          <t>14921261</t>
        </is>
      </c>
      <c r="B1404" t="inlineStr">
        <is>
          <t>10af862e-90b8-4457-994f-a677a9088d2d</t>
        </is>
      </c>
      <c r="D1404" t="inlineStr">
        <is>
          <t>111111124</t>
        </is>
      </c>
      <c r="E1404" t="inlineStr">
        <is>
          <t>Vodacom Life 20260617</t>
        </is>
      </c>
      <c r="G1404" t="inlineStr">
        <is>
          <t>MALERATO</t>
        </is>
      </c>
      <c r="H1404" t="inlineStr">
        <is>
          <t>NKOSI</t>
        </is>
      </c>
      <c r="J1404" t="inlineStr">
        <is>
          <t>AF</t>
        </is>
      </c>
      <c r="K1404" t="inlineStr">
        <is>
          <t>Cannot Afford</t>
        </is>
      </c>
      <c r="L1404" t="n">
        <v>2</v>
      </c>
      <c r="M1404" t="inlineStr">
        <is>
          <t>2026-06-19 11:20:15</t>
        </is>
      </c>
      <c r="N1404" t="inlineStr">
        <is>
          <t>Maureen Ntsoko</t>
        </is>
      </c>
      <c r="O1404" t="inlineStr">
        <is>
          <t>2026-06-17 14:10:06</t>
        </is>
      </c>
      <c r="P1404" t="inlineStr">
        <is>
          <t>2026-06-17 14:10:06</t>
        </is>
      </c>
      <c r="Y1404" t="inlineStr">
        <is>
          <t>27609231158</t>
        </is>
      </c>
    </row>
    <row r="1405">
      <c r="A1405" t="inlineStr">
        <is>
          <t>14921111</t>
        </is>
      </c>
      <c r="B1405" t="inlineStr">
        <is>
          <t>50a1cbad-83d3-448a-9848-a2cc7137e13f</t>
        </is>
      </c>
      <c r="D1405" t="inlineStr">
        <is>
          <t>111111124</t>
        </is>
      </c>
      <c r="E1405" t="inlineStr">
        <is>
          <t>Vodacom Life 20260617</t>
        </is>
      </c>
      <c r="G1405" t="inlineStr">
        <is>
          <t>FREDERIK</t>
        </is>
      </c>
      <c r="H1405" t="inlineStr">
        <is>
          <t>MALAN</t>
        </is>
      </c>
      <c r="J1405" t="inlineStr">
        <is>
          <t>NI</t>
        </is>
      </c>
      <c r="K1405" t="inlineStr">
        <is>
          <t>Not Interested</t>
        </is>
      </c>
      <c r="L1405" t="n">
        <v>2</v>
      </c>
      <c r="M1405" t="inlineStr">
        <is>
          <t>2026-06-19 10:37:19</t>
        </is>
      </c>
      <c r="N1405" t="inlineStr">
        <is>
          <t>Khensane Mabasa</t>
        </is>
      </c>
      <c r="O1405" t="inlineStr">
        <is>
          <t>2026-06-17 14:10:06</t>
        </is>
      </c>
      <c r="P1405" t="inlineStr">
        <is>
          <t>2026-06-17 14:10:06</t>
        </is>
      </c>
      <c r="Y1405" t="inlineStr">
        <is>
          <t>27824593688</t>
        </is>
      </c>
    </row>
    <row r="1406">
      <c r="A1406" t="inlineStr">
        <is>
          <t>14921677</t>
        </is>
      </c>
      <c r="B1406" t="inlineStr">
        <is>
          <t>9c89a3a5-5afc-4d72-9ca1-bdce6cd40bc9</t>
        </is>
      </c>
      <c r="D1406" t="inlineStr">
        <is>
          <t>111111124</t>
        </is>
      </c>
      <c r="E1406" t="inlineStr">
        <is>
          <t>Vodacom Life 20260617</t>
        </is>
      </c>
      <c r="G1406" t="inlineStr">
        <is>
          <t>MERIKE</t>
        </is>
      </c>
      <c r="H1406" t="inlineStr">
        <is>
          <t>VAN STADEN</t>
        </is>
      </c>
      <c r="J1406" t="inlineStr">
        <is>
          <t>CBACK</t>
        </is>
      </c>
      <c r="K1406" t="inlineStr">
        <is>
          <t>Callback</t>
        </is>
      </c>
      <c r="L1406" t="n">
        <v>2</v>
      </c>
      <c r="M1406" t="inlineStr">
        <is>
          <t>2026-06-19 10:07:50</t>
        </is>
      </c>
      <c r="N1406" t="inlineStr">
        <is>
          <t>Maureen Ntsoko</t>
        </is>
      </c>
      <c r="O1406" t="inlineStr">
        <is>
          <t>2026-06-17 14:10:06</t>
        </is>
      </c>
      <c r="P1406" t="inlineStr">
        <is>
          <t>2026-06-17 14:10:06</t>
        </is>
      </c>
      <c r="Y1406" t="inlineStr">
        <is>
          <t>27790828480</t>
        </is>
      </c>
    </row>
    <row r="1407">
      <c r="A1407" t="inlineStr">
        <is>
          <t>14921604</t>
        </is>
      </c>
      <c r="B1407" t="inlineStr">
        <is>
          <t>8a4e0a78-d453-4618-9252-e684879811b9</t>
        </is>
      </c>
      <c r="D1407" t="inlineStr">
        <is>
          <t>111111124</t>
        </is>
      </c>
      <c r="E1407" t="inlineStr">
        <is>
          <t>Vodacom Life 20260617</t>
        </is>
      </c>
      <c r="G1407" t="inlineStr">
        <is>
          <t>MALETENG</t>
        </is>
      </c>
      <c r="H1407" t="inlineStr">
        <is>
          <t>PITJADI</t>
        </is>
      </c>
      <c r="J1407" t="inlineStr">
        <is>
          <t>AF</t>
        </is>
      </c>
      <c r="K1407" t="inlineStr">
        <is>
          <t>Cannot Afford</t>
        </is>
      </c>
      <c r="L1407" t="n">
        <v>2</v>
      </c>
      <c r="M1407" t="inlineStr">
        <is>
          <t>2026-06-19 10:00:26</t>
        </is>
      </c>
      <c r="N1407" t="inlineStr">
        <is>
          <t>Khensane Mabasa</t>
        </is>
      </c>
      <c r="O1407" t="inlineStr">
        <is>
          <t>2026-06-17 14:10:06</t>
        </is>
      </c>
      <c r="P1407" t="inlineStr">
        <is>
          <t>2026-06-17 14:10:06</t>
        </is>
      </c>
      <c r="Y1407" t="inlineStr">
        <is>
          <t>27826185644</t>
        </is>
      </c>
    </row>
    <row r="1408">
      <c r="A1408" t="inlineStr">
        <is>
          <t>14920922</t>
        </is>
      </c>
      <c r="B1408" t="inlineStr">
        <is>
          <t>2f0302ad-a103-4951-9242-76ce210331ee</t>
        </is>
      </c>
      <c r="D1408" t="inlineStr">
        <is>
          <t>111111124</t>
        </is>
      </c>
      <c r="E1408" t="inlineStr">
        <is>
          <t>Vodacom Life 20260617</t>
        </is>
      </c>
      <c r="G1408" t="inlineStr">
        <is>
          <t>ZAMANI</t>
        </is>
      </c>
      <c r="H1408" t="inlineStr">
        <is>
          <t>NGCOBO</t>
        </is>
      </c>
      <c r="J1408" t="inlineStr">
        <is>
          <t>AC</t>
        </is>
      </c>
      <c r="K1408" t="inlineStr">
        <is>
          <t>Already Contacted</t>
        </is>
      </c>
      <c r="L1408" t="n">
        <v>2</v>
      </c>
      <c r="M1408" t="inlineStr">
        <is>
          <t>2026-06-19 09:58:39</t>
        </is>
      </c>
      <c r="N1408" t="inlineStr">
        <is>
          <t>Maureen Ntsoko</t>
        </is>
      </c>
      <c r="O1408" t="inlineStr">
        <is>
          <t>2026-06-17 14:10:06</t>
        </is>
      </c>
      <c r="P1408" t="inlineStr">
        <is>
          <t>2026-06-17 14:10:06</t>
        </is>
      </c>
      <c r="Y1408" t="inlineStr">
        <is>
          <t>27662579004</t>
        </is>
      </c>
    </row>
    <row r="1409">
      <c r="A1409" t="inlineStr">
        <is>
          <t>14921404</t>
        </is>
      </c>
      <c r="B1409" t="inlineStr">
        <is>
          <t>b8e3c5ee-8879-407a-a6f6-f534fa9e2343</t>
        </is>
      </c>
      <c r="D1409" t="inlineStr">
        <is>
          <t>111111124</t>
        </is>
      </c>
      <c r="E1409" t="inlineStr">
        <is>
          <t>Vodacom Life 20260617</t>
        </is>
      </c>
      <c r="G1409" t="inlineStr">
        <is>
          <t>SAPHOKAZI</t>
        </is>
      </c>
      <c r="H1409" t="inlineStr">
        <is>
          <t>BLAAI</t>
        </is>
      </c>
      <c r="J1409" t="inlineStr">
        <is>
          <t>AF</t>
        </is>
      </c>
      <c r="K1409" t="inlineStr">
        <is>
          <t>Cannot Afford</t>
        </is>
      </c>
      <c r="L1409" t="n">
        <v>2</v>
      </c>
      <c r="M1409" t="inlineStr">
        <is>
          <t>2026-06-19 09:37:04</t>
        </is>
      </c>
      <c r="N1409" t="inlineStr">
        <is>
          <t>Maureen Ntsoko</t>
        </is>
      </c>
      <c r="O1409" t="inlineStr">
        <is>
          <t>2026-06-17 14:10:06</t>
        </is>
      </c>
      <c r="P1409" t="inlineStr">
        <is>
          <t>2026-06-17 14:10:06</t>
        </is>
      </c>
      <c r="Y1409" t="inlineStr">
        <is>
          <t>27609954907</t>
        </is>
      </c>
    </row>
    <row r="1410">
      <c r="A1410" t="inlineStr">
        <is>
          <t>14921351</t>
        </is>
      </c>
      <c r="B1410" t="inlineStr">
        <is>
          <t>95538971-2192-448a-b306-a0070f351458</t>
        </is>
      </c>
      <c r="D1410" t="inlineStr">
        <is>
          <t>111111124</t>
        </is>
      </c>
      <c r="E1410" t="inlineStr">
        <is>
          <t>Vodacom Life 20260617</t>
        </is>
      </c>
      <c r="G1410" t="inlineStr">
        <is>
          <t>MAVIS</t>
        </is>
      </c>
      <c r="H1410" t="inlineStr">
        <is>
          <t>MGWENYA</t>
        </is>
      </c>
      <c r="J1410" t="inlineStr">
        <is>
          <t>U</t>
        </is>
      </c>
      <c r="K1410" t="inlineStr">
        <is>
          <t>Unemployed</t>
        </is>
      </c>
      <c r="L1410" t="n">
        <v>2</v>
      </c>
      <c r="M1410" t="inlineStr">
        <is>
          <t>2026-06-19 09:31:51</t>
        </is>
      </c>
      <c r="N1410" t="inlineStr">
        <is>
          <t>Khensane Mabasa</t>
        </is>
      </c>
      <c r="O1410" t="inlineStr">
        <is>
          <t>2026-06-17 14:10:06</t>
        </is>
      </c>
      <c r="P1410" t="inlineStr">
        <is>
          <t>2026-06-17 14:10:06</t>
        </is>
      </c>
      <c r="Y1410" t="inlineStr">
        <is>
          <t>27608810636</t>
        </is>
      </c>
    </row>
    <row r="1411">
      <c r="A1411" t="inlineStr">
        <is>
          <t>14921327</t>
        </is>
      </c>
      <c r="B1411" t="inlineStr">
        <is>
          <t>b5099de0-c610-4d6e-9e4c-34b6b09034de</t>
        </is>
      </c>
      <c r="D1411" t="inlineStr">
        <is>
          <t>111111124</t>
        </is>
      </c>
      <c r="E1411" t="inlineStr">
        <is>
          <t>Vodacom Life 20260617</t>
        </is>
      </c>
      <c r="G1411" t="inlineStr">
        <is>
          <t>CORNELIUS</t>
        </is>
      </c>
      <c r="H1411" t="inlineStr">
        <is>
          <t>BOTHA</t>
        </is>
      </c>
      <c r="J1411" t="inlineStr">
        <is>
          <t>NI</t>
        </is>
      </c>
      <c r="K1411" t="inlineStr">
        <is>
          <t>Not Interested</t>
        </is>
      </c>
      <c r="L1411" t="n">
        <v>2</v>
      </c>
      <c r="M1411" t="inlineStr">
        <is>
          <t>2026-06-19 09:29:36</t>
        </is>
      </c>
      <c r="N1411" t="inlineStr">
        <is>
          <t>Khensane Mabasa</t>
        </is>
      </c>
      <c r="O1411" t="inlineStr">
        <is>
          <t>2026-06-17 14:10:06</t>
        </is>
      </c>
      <c r="P1411" t="inlineStr">
        <is>
          <t>2026-06-17 14:10:06</t>
        </is>
      </c>
      <c r="Y1411" t="inlineStr">
        <is>
          <t>27829787876</t>
        </is>
      </c>
    </row>
    <row r="1412">
      <c r="A1412" t="inlineStr">
        <is>
          <t>14921334</t>
        </is>
      </c>
      <c r="B1412" t="inlineStr">
        <is>
          <t>b7b3fdcf-f4ce-4c47-b805-de6ea555a581</t>
        </is>
      </c>
      <c r="D1412" t="inlineStr">
        <is>
          <t>111111124</t>
        </is>
      </c>
      <c r="E1412" t="inlineStr">
        <is>
          <t>Vodacom Life 20260617</t>
        </is>
      </c>
      <c r="G1412" t="inlineStr">
        <is>
          <t>NTOKOZO</t>
        </is>
      </c>
      <c r="H1412" t="inlineStr">
        <is>
          <t>SIBEKO</t>
        </is>
      </c>
      <c r="J1412" t="inlineStr">
        <is>
          <t>WN</t>
        </is>
      </c>
      <c r="K1412" t="inlineStr">
        <is>
          <t>Wrong Number</t>
        </is>
      </c>
      <c r="L1412" t="n">
        <v>2</v>
      </c>
      <c r="M1412" t="inlineStr">
        <is>
          <t>2026-06-19 09:29:27</t>
        </is>
      </c>
      <c r="N1412" t="inlineStr">
        <is>
          <t>Maureen Ntsoko</t>
        </is>
      </c>
      <c r="O1412" t="inlineStr">
        <is>
          <t>2026-06-17 14:10:06</t>
        </is>
      </c>
      <c r="P1412" t="inlineStr">
        <is>
          <t>2026-06-17 14:10:06</t>
        </is>
      </c>
      <c r="Y1412" t="inlineStr">
        <is>
          <t>27662121330</t>
        </is>
      </c>
    </row>
    <row r="1413">
      <c r="A1413" t="inlineStr">
        <is>
          <t>14921251</t>
        </is>
      </c>
      <c r="B1413" t="inlineStr">
        <is>
          <t>efbea125-c8ad-4b5d-8720-9b3b268a9bdb</t>
        </is>
      </c>
      <c r="D1413" t="inlineStr">
        <is>
          <t>111111124</t>
        </is>
      </c>
      <c r="E1413" t="inlineStr">
        <is>
          <t>Vodacom Life 20260617</t>
        </is>
      </c>
      <c r="G1413" t="inlineStr">
        <is>
          <t>URSHULITA</t>
        </is>
      </c>
      <c r="H1413" t="inlineStr">
        <is>
          <t>WAKEFIELD</t>
        </is>
      </c>
      <c r="J1413" t="inlineStr">
        <is>
          <t>CBACK</t>
        </is>
      </c>
      <c r="K1413" t="inlineStr">
        <is>
          <t>Callback</t>
        </is>
      </c>
      <c r="L1413" t="n">
        <v>2</v>
      </c>
      <c r="M1413" t="inlineStr">
        <is>
          <t>2026-06-19 09:10:41</t>
        </is>
      </c>
      <c r="N1413" t="inlineStr">
        <is>
          <t>bongiwe lushaba</t>
        </is>
      </c>
      <c r="O1413" t="inlineStr">
        <is>
          <t>2026-06-17 14:10:06</t>
        </is>
      </c>
      <c r="P1413" t="inlineStr">
        <is>
          <t>2026-06-17 14:10:06</t>
        </is>
      </c>
      <c r="Y1413" t="inlineStr">
        <is>
          <t>27630539965</t>
        </is>
      </c>
    </row>
    <row r="1414">
      <c r="A1414" t="inlineStr">
        <is>
          <t>14920497</t>
        </is>
      </c>
      <c r="B1414" t="inlineStr">
        <is>
          <t>8aade547-e998-45c8-8819-b41a5d384d14</t>
        </is>
      </c>
      <c r="D1414" t="inlineStr">
        <is>
          <t>111111124</t>
        </is>
      </c>
      <c r="E1414" t="inlineStr">
        <is>
          <t>Vodacom Life 20260617</t>
        </is>
      </c>
      <c r="G1414" t="inlineStr">
        <is>
          <t>TIRRION</t>
        </is>
      </c>
      <c r="H1414" t="inlineStr">
        <is>
          <t>VAN ZYL</t>
        </is>
      </c>
      <c r="J1414" t="inlineStr">
        <is>
          <t>CBACK</t>
        </is>
      </c>
      <c r="K1414" t="inlineStr">
        <is>
          <t>Callback</t>
        </is>
      </c>
      <c r="L1414" t="n">
        <v>2</v>
      </c>
      <c r="M1414" t="inlineStr">
        <is>
          <t>2026-06-19 09:09:35</t>
        </is>
      </c>
      <c r="N1414" t="inlineStr">
        <is>
          <t>bongiwe lushaba</t>
        </is>
      </c>
      <c r="O1414" t="inlineStr">
        <is>
          <t>2026-06-17 14:10:06</t>
        </is>
      </c>
      <c r="P1414" t="inlineStr">
        <is>
          <t>2026-06-17 14:10:06</t>
        </is>
      </c>
      <c r="Y1414" t="inlineStr">
        <is>
          <t>27649057759</t>
        </is>
      </c>
    </row>
    <row r="1415">
      <c r="A1415" t="inlineStr">
        <is>
          <t>14921221</t>
        </is>
      </c>
      <c r="B1415" t="inlineStr">
        <is>
          <t>c5a4b81b-e60e-47f1-8991-c21c53b46096</t>
        </is>
      </c>
      <c r="D1415" t="inlineStr">
        <is>
          <t>111111124</t>
        </is>
      </c>
      <c r="E1415" t="inlineStr">
        <is>
          <t>Vodacom Life 20260617</t>
        </is>
      </c>
      <c r="G1415" t="inlineStr">
        <is>
          <t>LEON</t>
        </is>
      </c>
      <c r="H1415" t="inlineStr">
        <is>
          <t>WENTZEL</t>
        </is>
      </c>
      <c r="J1415" t="inlineStr">
        <is>
          <t>NI</t>
        </is>
      </c>
      <c r="K1415" t="inlineStr">
        <is>
          <t>Not Interested</t>
        </is>
      </c>
      <c r="L1415" t="n">
        <v>2</v>
      </c>
      <c r="M1415" t="inlineStr">
        <is>
          <t>2026-06-19 09:05:20</t>
        </is>
      </c>
      <c r="N1415" t="inlineStr">
        <is>
          <t>Khensane Mabasa</t>
        </is>
      </c>
      <c r="O1415" t="inlineStr">
        <is>
          <t>2026-06-17 14:10:06</t>
        </is>
      </c>
      <c r="P1415" t="inlineStr">
        <is>
          <t>2026-06-17 14:10:06</t>
        </is>
      </c>
      <c r="Y1415" t="inlineStr">
        <is>
          <t>27829751556</t>
        </is>
      </c>
    </row>
    <row r="1416">
      <c r="A1416" t="inlineStr">
        <is>
          <t>14921224</t>
        </is>
      </c>
      <c r="B1416" t="inlineStr">
        <is>
          <t>d9c71133-6930-4695-a829-16fe6be28481</t>
        </is>
      </c>
      <c r="D1416" t="inlineStr">
        <is>
          <t>111111124</t>
        </is>
      </c>
      <c r="E1416" t="inlineStr">
        <is>
          <t>Vodacom Life 20260617</t>
        </is>
      </c>
      <c r="G1416" t="inlineStr">
        <is>
          <t>JOHANNES</t>
        </is>
      </c>
      <c r="H1416" t="inlineStr">
        <is>
          <t>VAN ROOYEN</t>
        </is>
      </c>
      <c r="J1416" t="inlineStr">
        <is>
          <t>CBACK</t>
        </is>
      </c>
      <c r="K1416" t="inlineStr">
        <is>
          <t>Callback</t>
        </is>
      </c>
      <c r="L1416" t="n">
        <v>2</v>
      </c>
      <c r="M1416" t="inlineStr">
        <is>
          <t>2026-06-19 09:04:45</t>
        </is>
      </c>
      <c r="N1416" t="inlineStr">
        <is>
          <t>bongiwe lushaba</t>
        </is>
      </c>
      <c r="O1416" t="inlineStr">
        <is>
          <t>2026-06-17 14:10:06</t>
        </is>
      </c>
      <c r="P1416" t="inlineStr">
        <is>
          <t>2026-06-17 14:10:06</t>
        </is>
      </c>
      <c r="Y1416" t="inlineStr">
        <is>
          <t>27646578099</t>
        </is>
      </c>
    </row>
    <row r="1417">
      <c r="A1417" t="inlineStr">
        <is>
          <t>14921191</t>
        </is>
      </c>
      <c r="B1417" t="inlineStr">
        <is>
          <t>a608f9dc-a559-4e44-a1c6-3b320ad2fda3</t>
        </is>
      </c>
      <c r="D1417" t="inlineStr">
        <is>
          <t>111111124</t>
        </is>
      </c>
      <c r="E1417" t="inlineStr">
        <is>
          <t>Vodacom Life 20260617</t>
        </is>
      </c>
      <c r="G1417" t="inlineStr">
        <is>
          <t>LOUIS</t>
        </is>
      </c>
      <c r="H1417" t="inlineStr">
        <is>
          <t>BECKER</t>
        </is>
      </c>
      <c r="J1417" t="inlineStr">
        <is>
          <t>CBACK</t>
        </is>
      </c>
      <c r="K1417" t="inlineStr">
        <is>
          <t>Callback</t>
        </is>
      </c>
      <c r="L1417" t="n">
        <v>2</v>
      </c>
      <c r="M1417" t="inlineStr">
        <is>
          <t>2026-06-19 09:01:38</t>
        </is>
      </c>
      <c r="N1417" t="inlineStr">
        <is>
          <t>Khensane Mabasa</t>
        </is>
      </c>
      <c r="O1417" t="inlineStr">
        <is>
          <t>2026-06-17 14:10:06</t>
        </is>
      </c>
      <c r="P1417" t="inlineStr">
        <is>
          <t>2026-06-17 14:10:06</t>
        </is>
      </c>
      <c r="Y1417" t="inlineStr">
        <is>
          <t>27827794257</t>
        </is>
      </c>
    </row>
    <row r="1418">
      <c r="A1418" t="inlineStr">
        <is>
          <t>14921134</t>
        </is>
      </c>
      <c r="B1418" t="inlineStr">
        <is>
          <t>40d5fa38-9377-494e-b7a1-0c48745fb860</t>
        </is>
      </c>
      <c r="D1418" t="inlineStr">
        <is>
          <t>111111124</t>
        </is>
      </c>
      <c r="E1418" t="inlineStr">
        <is>
          <t>Vodacom Life 20260617</t>
        </is>
      </c>
      <c r="G1418" t="inlineStr">
        <is>
          <t>VIAN</t>
        </is>
      </c>
      <c r="H1418" t="inlineStr">
        <is>
          <t>GRACE</t>
        </is>
      </c>
      <c r="J1418" t="inlineStr">
        <is>
          <t>NI</t>
        </is>
      </c>
      <c r="K1418" t="inlineStr">
        <is>
          <t>Not Interested</t>
        </is>
      </c>
      <c r="L1418" t="n">
        <v>2</v>
      </c>
      <c r="M1418" t="inlineStr">
        <is>
          <t>2026-06-19 08:54:43</t>
        </is>
      </c>
      <c r="N1418" t="inlineStr">
        <is>
          <t>Khensane Mabasa</t>
        </is>
      </c>
      <c r="O1418" t="inlineStr">
        <is>
          <t>2026-06-17 14:10:06</t>
        </is>
      </c>
      <c r="P1418" t="inlineStr">
        <is>
          <t>2026-06-17 14:10:06</t>
        </is>
      </c>
      <c r="Y1418" t="inlineStr">
        <is>
          <t>27646599996</t>
        </is>
      </c>
    </row>
    <row r="1419">
      <c r="A1419" t="inlineStr">
        <is>
          <t>14921145</t>
        </is>
      </c>
      <c r="B1419" t="inlineStr">
        <is>
          <t>c4715bc6-feb0-4998-9e55-7b27defe9bf2</t>
        </is>
      </c>
      <c r="D1419" t="inlineStr">
        <is>
          <t>111111124</t>
        </is>
      </c>
      <c r="E1419" t="inlineStr">
        <is>
          <t>Vodacom Life 20260617</t>
        </is>
      </c>
      <c r="G1419" t="inlineStr">
        <is>
          <t>LESLEY</t>
        </is>
      </c>
      <c r="H1419" t="inlineStr">
        <is>
          <t>ROBERTS</t>
        </is>
      </c>
      <c r="J1419" t="inlineStr">
        <is>
          <t>NI</t>
        </is>
      </c>
      <c r="K1419" t="inlineStr">
        <is>
          <t>Not Interested</t>
        </is>
      </c>
      <c r="L1419" t="n">
        <v>2</v>
      </c>
      <c r="M1419" t="inlineStr">
        <is>
          <t>2026-06-19 08:53:49</t>
        </is>
      </c>
      <c r="N1419" t="inlineStr">
        <is>
          <t>Maureen Ntsoko</t>
        </is>
      </c>
      <c r="O1419" t="inlineStr">
        <is>
          <t>2026-06-17 14:10:06</t>
        </is>
      </c>
      <c r="P1419" t="inlineStr">
        <is>
          <t>2026-06-17 14:10:06</t>
        </is>
      </c>
      <c r="Y1419" t="inlineStr">
        <is>
          <t>27712397843</t>
        </is>
      </c>
    </row>
    <row r="1420">
      <c r="A1420" t="inlineStr">
        <is>
          <t>14921147</t>
        </is>
      </c>
      <c r="B1420" t="inlineStr">
        <is>
          <t>3eba553d-3a75-4568-b2e8-de218ce75070</t>
        </is>
      </c>
      <c r="D1420" t="inlineStr">
        <is>
          <t>111111124</t>
        </is>
      </c>
      <c r="E1420" t="inlineStr">
        <is>
          <t>Vodacom Life 20260617</t>
        </is>
      </c>
      <c r="G1420" t="inlineStr">
        <is>
          <t>LYDIA</t>
        </is>
      </c>
      <c r="H1420" t="inlineStr">
        <is>
          <t>MODIPA</t>
        </is>
      </c>
      <c r="J1420" t="inlineStr">
        <is>
          <t>CBACK</t>
        </is>
      </c>
      <c r="K1420" t="inlineStr">
        <is>
          <t>Callback</t>
        </is>
      </c>
      <c r="L1420" t="n">
        <v>2</v>
      </c>
      <c r="M1420" t="inlineStr">
        <is>
          <t>2026-06-19 08:52:49</t>
        </is>
      </c>
      <c r="N1420" t="inlineStr">
        <is>
          <t>bongiwe lushaba</t>
        </is>
      </c>
      <c r="O1420" t="inlineStr">
        <is>
          <t>2026-06-17 14:10:06</t>
        </is>
      </c>
      <c r="P1420" t="inlineStr">
        <is>
          <t>2026-06-17 14:10:06</t>
        </is>
      </c>
      <c r="Y1420" t="inlineStr">
        <is>
          <t>27729525879</t>
        </is>
      </c>
    </row>
    <row r="1421">
      <c r="A1421" t="inlineStr">
        <is>
          <t>14920500</t>
        </is>
      </c>
      <c r="B1421" t="inlineStr">
        <is>
          <t>fc7d7335-ac27-4dd0-80b2-ff26be087f4e</t>
        </is>
      </c>
      <c r="D1421" t="inlineStr">
        <is>
          <t>111111124</t>
        </is>
      </c>
      <c r="E1421" t="inlineStr">
        <is>
          <t>Vodacom Life 20260617</t>
        </is>
      </c>
      <c r="G1421" t="inlineStr">
        <is>
          <t>CAREL</t>
        </is>
      </c>
      <c r="H1421" t="inlineStr">
        <is>
          <t>DU PLOOY</t>
        </is>
      </c>
      <c r="J1421" t="inlineStr">
        <is>
          <t>NI</t>
        </is>
      </c>
      <c r="K1421" t="inlineStr">
        <is>
          <t>Not Interested</t>
        </is>
      </c>
      <c r="L1421" t="n">
        <v>2</v>
      </c>
      <c r="M1421" t="inlineStr">
        <is>
          <t>2026-06-19 08:52:33</t>
        </is>
      </c>
      <c r="N1421" t="inlineStr">
        <is>
          <t>Khensane Mabasa</t>
        </is>
      </c>
      <c r="O1421" t="inlineStr">
        <is>
          <t>2026-06-17 14:10:06</t>
        </is>
      </c>
      <c r="P1421" t="inlineStr">
        <is>
          <t>2026-06-17 14:10:06</t>
        </is>
      </c>
      <c r="Y1421" t="inlineStr">
        <is>
          <t>27729323268</t>
        </is>
      </c>
    </row>
    <row r="1422">
      <c r="A1422" t="inlineStr">
        <is>
          <t>14920593</t>
        </is>
      </c>
      <c r="B1422" t="inlineStr">
        <is>
          <t>c7a1e46b-fe42-4dd8-adb8-82b9545751ae</t>
        </is>
      </c>
      <c r="D1422" t="inlineStr">
        <is>
          <t>111111124</t>
        </is>
      </c>
      <c r="E1422" t="inlineStr">
        <is>
          <t>Vodacom Life 20260617</t>
        </is>
      </c>
      <c r="G1422" t="inlineStr">
        <is>
          <t>NTOMBIFUTHI</t>
        </is>
      </c>
      <c r="H1422" t="inlineStr">
        <is>
          <t>MAKHANYA</t>
        </is>
      </c>
      <c r="J1422" t="inlineStr">
        <is>
          <t>U</t>
        </is>
      </c>
      <c r="K1422" t="inlineStr">
        <is>
          <t>Unemployed</t>
        </is>
      </c>
      <c r="L1422" t="n">
        <v>2</v>
      </c>
      <c r="M1422" t="inlineStr">
        <is>
          <t>2026-06-19 08:50:44</t>
        </is>
      </c>
      <c r="N1422" t="inlineStr">
        <is>
          <t>Maureen Ntsoko</t>
        </is>
      </c>
      <c r="O1422" t="inlineStr">
        <is>
          <t>2026-06-17 14:10:06</t>
        </is>
      </c>
      <c r="P1422" t="inlineStr">
        <is>
          <t>2026-06-17 14:10:06</t>
        </is>
      </c>
      <c r="Y1422" t="inlineStr">
        <is>
          <t>27820737434</t>
        </is>
      </c>
    </row>
    <row r="1423">
      <c r="A1423" t="inlineStr">
        <is>
          <t>14921865</t>
        </is>
      </c>
      <c r="B1423" t="inlineStr">
        <is>
          <t>0263a7d5-bf92-40b1-90cc-68a822dd078d</t>
        </is>
      </c>
      <c r="D1423" t="inlineStr">
        <is>
          <t>111111124</t>
        </is>
      </c>
      <c r="E1423" t="inlineStr">
        <is>
          <t>Vodacom Life 20260617</t>
        </is>
      </c>
      <c r="G1423" t="inlineStr">
        <is>
          <t>LEKAE</t>
        </is>
      </c>
      <c r="H1423" t="inlineStr">
        <is>
          <t>COMBRINCK-NAWA</t>
        </is>
      </c>
      <c r="J1423" t="inlineStr">
        <is>
          <t>NI</t>
        </is>
      </c>
      <c r="K1423" t="inlineStr">
        <is>
          <t>Not Interested</t>
        </is>
      </c>
      <c r="L1423" t="n">
        <v>2</v>
      </c>
      <c r="M1423" t="inlineStr">
        <is>
          <t>2026-06-19 08:46:31</t>
        </is>
      </c>
      <c r="N1423" t="inlineStr">
        <is>
          <t>Maureen Ntsoko</t>
        </is>
      </c>
      <c r="O1423" t="inlineStr">
        <is>
          <t>2026-06-17 14:10:06</t>
        </is>
      </c>
      <c r="P1423" t="inlineStr">
        <is>
          <t>2026-06-17 14:10:06</t>
        </is>
      </c>
      <c r="Y1423" t="inlineStr">
        <is>
          <t>27796628761</t>
        </is>
      </c>
    </row>
    <row r="1424">
      <c r="A1424" t="inlineStr">
        <is>
          <t>14920978</t>
        </is>
      </c>
      <c r="B1424" t="inlineStr">
        <is>
          <t>a8fe4422-387f-4c68-b742-44b0c19c893c</t>
        </is>
      </c>
      <c r="D1424" t="inlineStr">
        <is>
          <t>111111124</t>
        </is>
      </c>
      <c r="E1424" t="inlineStr">
        <is>
          <t>Vodacom Life 20260617</t>
        </is>
      </c>
      <c r="G1424" t="inlineStr">
        <is>
          <t>MARK</t>
        </is>
      </c>
      <c r="H1424" t="inlineStr">
        <is>
          <t>WHITTINGTON</t>
        </is>
      </c>
      <c r="J1424" t="inlineStr">
        <is>
          <t>NI</t>
        </is>
      </c>
      <c r="K1424" t="inlineStr">
        <is>
          <t>Not Interested</t>
        </is>
      </c>
      <c r="L1424" t="n">
        <v>2</v>
      </c>
      <c r="M1424" t="inlineStr">
        <is>
          <t>2026-06-19 08:43:32</t>
        </is>
      </c>
      <c r="N1424" t="inlineStr">
        <is>
          <t>Maureen Ntsoko</t>
        </is>
      </c>
      <c r="O1424" t="inlineStr">
        <is>
          <t>2026-06-17 14:10:06</t>
        </is>
      </c>
      <c r="P1424" t="inlineStr">
        <is>
          <t>2026-06-17 14:10:06</t>
        </is>
      </c>
      <c r="Y1424" t="inlineStr">
        <is>
          <t>27714877374</t>
        </is>
      </c>
    </row>
    <row r="1425">
      <c r="A1425" t="inlineStr">
        <is>
          <t>14920624</t>
        </is>
      </c>
      <c r="B1425" t="inlineStr">
        <is>
          <t>4836dff0-1222-4fb8-a9f1-6363a91b7ccc</t>
        </is>
      </c>
      <c r="D1425" t="inlineStr">
        <is>
          <t>111111124</t>
        </is>
      </c>
      <c r="E1425" t="inlineStr">
        <is>
          <t>Vodacom Life 20260617</t>
        </is>
      </c>
      <c r="G1425" t="inlineStr">
        <is>
          <t>MARGARET</t>
        </is>
      </c>
      <c r="H1425" t="inlineStr">
        <is>
          <t>MALEKA</t>
        </is>
      </c>
      <c r="J1425" t="inlineStr">
        <is>
          <t>U</t>
        </is>
      </c>
      <c r="K1425" t="inlineStr">
        <is>
          <t>Unemployed</t>
        </is>
      </c>
      <c r="L1425" t="n">
        <v>2</v>
      </c>
      <c r="M1425" t="inlineStr">
        <is>
          <t>2026-06-19 08:41:01</t>
        </is>
      </c>
      <c r="N1425" t="inlineStr">
        <is>
          <t>Maureen Ntsoko</t>
        </is>
      </c>
      <c r="O1425" t="inlineStr">
        <is>
          <t>2026-06-17 14:10:06</t>
        </is>
      </c>
      <c r="P1425" t="inlineStr">
        <is>
          <t>2026-06-17 14:10:06</t>
        </is>
      </c>
      <c r="Y1425" t="inlineStr">
        <is>
          <t>27767204706</t>
        </is>
      </c>
    </row>
    <row r="1426">
      <c r="A1426" t="inlineStr">
        <is>
          <t>14920625</t>
        </is>
      </c>
      <c r="B1426" t="inlineStr">
        <is>
          <t>887d1d8c-bdd0-4291-9d63-db8fc9f15be6</t>
        </is>
      </c>
      <c r="D1426" t="inlineStr">
        <is>
          <t>111111124</t>
        </is>
      </c>
      <c r="E1426" t="inlineStr">
        <is>
          <t>Vodacom Life 20260617</t>
        </is>
      </c>
      <c r="G1426" t="inlineStr">
        <is>
          <t>GLIA</t>
        </is>
      </c>
      <c r="H1426" t="inlineStr">
        <is>
          <t>MASHIANE</t>
        </is>
      </c>
      <c r="J1426" t="inlineStr">
        <is>
          <t>U</t>
        </is>
      </c>
      <c r="K1426" t="inlineStr">
        <is>
          <t>Unemployed</t>
        </is>
      </c>
      <c r="L1426" t="n">
        <v>2</v>
      </c>
      <c r="M1426" t="inlineStr">
        <is>
          <t>2026-06-19 08:40:43</t>
        </is>
      </c>
      <c r="N1426" t="inlineStr">
        <is>
          <t>bongiwe lushaba</t>
        </is>
      </c>
      <c r="O1426" t="inlineStr">
        <is>
          <t>2026-06-17 14:10:06</t>
        </is>
      </c>
      <c r="P1426" t="inlineStr">
        <is>
          <t>2026-06-17 14:10:06</t>
        </is>
      </c>
      <c r="Y1426" t="inlineStr">
        <is>
          <t>27608816720</t>
        </is>
      </c>
    </row>
    <row r="1427">
      <c r="A1427" t="inlineStr">
        <is>
          <t>14920634</t>
        </is>
      </c>
      <c r="B1427" t="inlineStr">
        <is>
          <t>b34b8046-f42d-4216-9f1c-d47ffe20c288</t>
        </is>
      </c>
      <c r="D1427" t="inlineStr">
        <is>
          <t>111111124</t>
        </is>
      </c>
      <c r="E1427" t="inlineStr">
        <is>
          <t>Vodacom Life 20260617</t>
        </is>
      </c>
      <c r="G1427" t="inlineStr">
        <is>
          <t>LINDA</t>
        </is>
      </c>
      <c r="H1427" t="inlineStr">
        <is>
          <t>NGWENYA</t>
        </is>
      </c>
      <c r="J1427" t="inlineStr">
        <is>
          <t>NI</t>
        </is>
      </c>
      <c r="K1427" t="inlineStr">
        <is>
          <t>Not Interested</t>
        </is>
      </c>
      <c r="L1427" t="n">
        <v>2</v>
      </c>
      <c r="M1427" t="inlineStr">
        <is>
          <t>2026-06-19 08:35:59</t>
        </is>
      </c>
      <c r="N1427" t="inlineStr">
        <is>
          <t>Maureen Ntsoko</t>
        </is>
      </c>
      <c r="O1427" t="inlineStr">
        <is>
          <t>2026-06-17 14:10:06</t>
        </is>
      </c>
      <c r="P1427" t="inlineStr">
        <is>
          <t>2026-06-17 14:10:06</t>
        </is>
      </c>
      <c r="Y1427" t="inlineStr">
        <is>
          <t>27789209044</t>
        </is>
      </c>
    </row>
    <row r="1428">
      <c r="A1428" t="inlineStr">
        <is>
          <t>14920559</t>
        </is>
      </c>
      <c r="B1428" t="inlineStr">
        <is>
          <t>910d05ae-85b1-4bcd-a496-d1ace1dcc7c8</t>
        </is>
      </c>
      <c r="D1428" t="inlineStr">
        <is>
          <t>111111124</t>
        </is>
      </c>
      <c r="E1428" t="inlineStr">
        <is>
          <t>Vodacom Life 20260617</t>
        </is>
      </c>
      <c r="G1428" t="inlineStr">
        <is>
          <t>SIYABONGA</t>
        </is>
      </c>
      <c r="H1428" t="inlineStr">
        <is>
          <t>ZULU</t>
        </is>
      </c>
      <c r="J1428" t="inlineStr">
        <is>
          <t>CBACK</t>
        </is>
      </c>
      <c r="K1428" t="inlineStr">
        <is>
          <t>Callback</t>
        </is>
      </c>
      <c r="L1428" t="n">
        <v>2</v>
      </c>
      <c r="M1428" t="inlineStr">
        <is>
          <t>2026-06-19 08:35:06</t>
        </is>
      </c>
      <c r="N1428" t="inlineStr">
        <is>
          <t>bongiwe lushaba</t>
        </is>
      </c>
      <c r="O1428" t="inlineStr">
        <is>
          <t>2026-06-17 14:10:06</t>
        </is>
      </c>
      <c r="P1428" t="inlineStr">
        <is>
          <t>2026-06-17 14:10:06</t>
        </is>
      </c>
      <c r="Y1428" t="inlineStr">
        <is>
          <t>27820651842</t>
        </is>
      </c>
    </row>
    <row r="1429">
      <c r="A1429" t="inlineStr">
        <is>
          <t>14921394</t>
        </is>
      </c>
      <c r="B1429" t="inlineStr">
        <is>
          <t>6901969d-2a34-4873-9ddd-541ae37eb71d</t>
        </is>
      </c>
      <c r="D1429" t="inlineStr">
        <is>
          <t>111111124</t>
        </is>
      </c>
      <c r="E1429" t="inlineStr">
        <is>
          <t>Vodacom Life 20260617</t>
        </is>
      </c>
      <c r="G1429" t="inlineStr">
        <is>
          <t>FREDERICK</t>
        </is>
      </c>
      <c r="H1429" t="inlineStr">
        <is>
          <t>BLIGNAUT</t>
        </is>
      </c>
      <c r="J1429" t="inlineStr">
        <is>
          <t>CBACK</t>
        </is>
      </c>
      <c r="K1429" t="inlineStr">
        <is>
          <t>Callback</t>
        </is>
      </c>
      <c r="L1429" t="n">
        <v>2</v>
      </c>
      <c r="M1429" t="inlineStr">
        <is>
          <t>2026-06-19 08:33:22</t>
        </is>
      </c>
      <c r="N1429" t="inlineStr">
        <is>
          <t>bongiwe lushaba</t>
        </is>
      </c>
      <c r="O1429" t="inlineStr">
        <is>
          <t>2026-06-17 14:10:06</t>
        </is>
      </c>
      <c r="P1429" t="inlineStr">
        <is>
          <t>2026-06-17 14:10:06</t>
        </is>
      </c>
      <c r="Y1429" t="inlineStr">
        <is>
          <t>27662901766</t>
        </is>
      </c>
    </row>
    <row r="1430">
      <c r="A1430" t="inlineStr">
        <is>
          <t>14921895</t>
        </is>
      </c>
      <c r="B1430" t="inlineStr">
        <is>
          <t>046a82dd-4564-497a-b12d-885ba1bb45a1</t>
        </is>
      </c>
      <c r="D1430" t="inlineStr">
        <is>
          <t>111111124</t>
        </is>
      </c>
      <c r="E1430" t="inlineStr">
        <is>
          <t>Vodacom Life 20260617</t>
        </is>
      </c>
      <c r="G1430" t="inlineStr">
        <is>
          <t>ALICIA</t>
        </is>
      </c>
      <c r="H1430" t="inlineStr">
        <is>
          <t>CROUS</t>
        </is>
      </c>
      <c r="J1430" t="inlineStr">
        <is>
          <t>SELECTED</t>
        </is>
      </c>
      <c r="K1430" t="inlineStr">
        <is>
          <t>Selected</t>
        </is>
      </c>
      <c r="L1430" t="n">
        <v>3</v>
      </c>
      <c r="M1430" t="inlineStr">
        <is>
          <t>2026-06-19 08:29:18</t>
        </is>
      </c>
      <c r="N1430" t="inlineStr">
        <is>
          <t>system</t>
        </is>
      </c>
      <c r="O1430" t="inlineStr">
        <is>
          <t>2026-06-17 14:10:06</t>
        </is>
      </c>
      <c r="P1430" t="inlineStr">
        <is>
          <t>2026-06-17 14:10:06</t>
        </is>
      </c>
      <c r="Y1430" t="inlineStr">
        <is>
          <t>27647587112</t>
        </is>
      </c>
    </row>
    <row r="1431">
      <c r="A1431" t="inlineStr">
        <is>
          <t>14921896</t>
        </is>
      </c>
      <c r="B1431" t="inlineStr">
        <is>
          <t>dc9a6092-c3b4-4bf6-ab8e-48bfabad8e5b</t>
        </is>
      </c>
      <c r="D1431" t="inlineStr">
        <is>
          <t>111111124</t>
        </is>
      </c>
      <c r="E1431" t="inlineStr">
        <is>
          <t>Vodacom Life 20260617</t>
        </is>
      </c>
      <c r="G1431" t="inlineStr">
        <is>
          <t>ZIPHORA</t>
        </is>
      </c>
      <c r="H1431" t="inlineStr">
        <is>
          <t>MABUZA</t>
        </is>
      </c>
      <c r="J1431" t="inlineStr">
        <is>
          <t>SELECTED</t>
        </is>
      </c>
      <c r="K1431" t="inlineStr">
        <is>
          <t>Selected</t>
        </is>
      </c>
      <c r="L1431" t="n">
        <v>3</v>
      </c>
      <c r="M1431" t="inlineStr">
        <is>
          <t>2026-06-19 08:29:18</t>
        </is>
      </c>
      <c r="N1431" t="inlineStr">
        <is>
          <t>system</t>
        </is>
      </c>
      <c r="O1431" t="inlineStr">
        <is>
          <t>2026-06-17 14:10:06</t>
        </is>
      </c>
      <c r="P1431" t="inlineStr">
        <is>
          <t>2026-06-17 14:10:06</t>
        </is>
      </c>
      <c r="Y1431" t="inlineStr">
        <is>
          <t>27609617846</t>
        </is>
      </c>
    </row>
    <row r="1432">
      <c r="A1432" t="inlineStr">
        <is>
          <t>14921876</t>
        </is>
      </c>
      <c r="B1432" t="inlineStr">
        <is>
          <t>cd6e73b0-1527-4e86-913a-18d877f13fa4</t>
        </is>
      </c>
      <c r="D1432" t="inlineStr">
        <is>
          <t>111111124</t>
        </is>
      </c>
      <c r="E1432" t="inlineStr">
        <is>
          <t>Vodacom Life 20260617</t>
        </is>
      </c>
      <c r="G1432" t="inlineStr">
        <is>
          <t>MARK</t>
        </is>
      </c>
      <c r="H1432" t="inlineStr">
        <is>
          <t>VAN VEENHUYZEN</t>
        </is>
      </c>
      <c r="J1432" t="inlineStr">
        <is>
          <t>OAL</t>
        </is>
      </c>
      <c r="K1432" t="inlineStr">
        <is>
          <t>Over Age Limit</t>
        </is>
      </c>
      <c r="L1432" t="n">
        <v>2</v>
      </c>
      <c r="M1432" t="inlineStr">
        <is>
          <t>2026-06-19 08:29:12</t>
        </is>
      </c>
      <c r="N1432" t="inlineStr">
        <is>
          <t>Maureen Ntsoko</t>
        </is>
      </c>
      <c r="O1432" t="inlineStr">
        <is>
          <t>2026-06-17 14:10:06</t>
        </is>
      </c>
      <c r="P1432" t="inlineStr">
        <is>
          <t>2026-06-17 14:10:06</t>
        </is>
      </c>
      <c r="Y1432" t="inlineStr">
        <is>
          <t>27824905774</t>
        </is>
      </c>
    </row>
    <row r="1433">
      <c r="A1433" t="inlineStr">
        <is>
          <t>14920686</t>
        </is>
      </c>
      <c r="B1433" t="inlineStr">
        <is>
          <t>16763527-ffcc-4362-b1a9-bd6ba926686b</t>
        </is>
      </c>
      <c r="D1433" t="inlineStr">
        <is>
          <t>111111124</t>
        </is>
      </c>
      <c r="E1433" t="inlineStr">
        <is>
          <t>Vodacom Life 20260617</t>
        </is>
      </c>
      <c r="G1433" t="inlineStr">
        <is>
          <t>MDUMISENI</t>
        </is>
      </c>
      <c r="H1433" t="inlineStr">
        <is>
          <t>SOKHELA</t>
        </is>
      </c>
      <c r="J1433" t="inlineStr">
        <is>
          <t>DQQD</t>
        </is>
      </c>
      <c r="K1433" t="inlineStr">
        <is>
          <t>DNQ Quote Declined</t>
        </is>
      </c>
      <c r="L1433" t="n">
        <v>3</v>
      </c>
      <c r="M1433" t="inlineStr">
        <is>
          <t>2026-06-19 07:52:56</t>
        </is>
      </c>
      <c r="N1433" t="inlineStr">
        <is>
          <t>Khensane Mabasa</t>
        </is>
      </c>
      <c r="O1433" t="inlineStr">
        <is>
          <t>2026-06-17 14:10:06</t>
        </is>
      </c>
      <c r="P1433" t="inlineStr">
        <is>
          <t>2026-06-17 14:10:06</t>
        </is>
      </c>
      <c r="Y1433" t="inlineStr">
        <is>
          <t>27796242989</t>
        </is>
      </c>
    </row>
    <row r="1434">
      <c r="A1434" t="inlineStr">
        <is>
          <t>14920572</t>
        </is>
      </c>
      <c r="B1434" t="inlineStr">
        <is>
          <t>ca03481a-c225-4cea-bde5-49793686dc29</t>
        </is>
      </c>
      <c r="D1434" t="inlineStr">
        <is>
          <t>111111124</t>
        </is>
      </c>
      <c r="E1434" t="inlineStr">
        <is>
          <t>Vodacom Life 20260617</t>
        </is>
      </c>
      <c r="G1434" t="inlineStr">
        <is>
          <t>VINOLIA</t>
        </is>
      </c>
      <c r="H1434" t="inlineStr">
        <is>
          <t>KWATI</t>
        </is>
      </c>
      <c r="J1434" t="inlineStr">
        <is>
          <t>CBACK</t>
        </is>
      </c>
      <c r="K1434" t="inlineStr">
        <is>
          <t>Callback</t>
        </is>
      </c>
      <c r="L1434" t="n">
        <v>2</v>
      </c>
      <c r="M1434" t="inlineStr">
        <is>
          <t>2026-06-19 07:51:15</t>
        </is>
      </c>
      <c r="N1434" t="inlineStr">
        <is>
          <t>bongiwe lushaba</t>
        </is>
      </c>
      <c r="O1434" t="inlineStr">
        <is>
          <t>2026-06-17 14:10:06</t>
        </is>
      </c>
      <c r="P1434" t="inlineStr">
        <is>
          <t>2026-06-17 14:10:06</t>
        </is>
      </c>
      <c r="Y1434" t="inlineStr">
        <is>
          <t>27714019534</t>
        </is>
      </c>
    </row>
    <row r="1435">
      <c r="A1435" t="inlineStr">
        <is>
          <t>14921368</t>
        </is>
      </c>
      <c r="B1435" t="inlineStr">
        <is>
          <t>6324d310-613b-4e99-af4b-f761d174c797</t>
        </is>
      </c>
      <c r="D1435" t="inlineStr">
        <is>
          <t>111111124</t>
        </is>
      </c>
      <c r="E1435" t="inlineStr">
        <is>
          <t>Vodacom Life 20260617</t>
        </is>
      </c>
      <c r="G1435" t="inlineStr">
        <is>
          <t>HIDA</t>
        </is>
      </c>
      <c r="H1435" t="inlineStr">
        <is>
          <t>SCHEEPERS</t>
        </is>
      </c>
      <c r="J1435" t="inlineStr">
        <is>
          <t>U</t>
        </is>
      </c>
      <c r="K1435" t="inlineStr">
        <is>
          <t>Unemployed</t>
        </is>
      </c>
      <c r="L1435" t="n">
        <v>2</v>
      </c>
      <c r="M1435" t="inlineStr">
        <is>
          <t>2026-06-19 07:40:18</t>
        </is>
      </c>
      <c r="N1435" t="inlineStr">
        <is>
          <t>Maureen Ntsoko</t>
        </is>
      </c>
      <c r="O1435" t="inlineStr">
        <is>
          <t>2026-06-17 14:10:06</t>
        </is>
      </c>
      <c r="P1435" t="inlineStr">
        <is>
          <t>2026-06-17 14:10:06</t>
        </is>
      </c>
      <c r="Y1435" t="inlineStr">
        <is>
          <t>27713302025</t>
        </is>
      </c>
    </row>
    <row r="1436">
      <c r="A1436" t="inlineStr">
        <is>
          <t>14920731</t>
        </is>
      </c>
      <c r="B1436" t="inlineStr">
        <is>
          <t>1bc5281e-228c-46d8-9dd7-99416e611f7e</t>
        </is>
      </c>
      <c r="D1436" t="inlineStr">
        <is>
          <t>111111124</t>
        </is>
      </c>
      <c r="E1436" t="inlineStr">
        <is>
          <t>Vodacom Life 20260617</t>
        </is>
      </c>
      <c r="G1436" t="inlineStr">
        <is>
          <t>JOHANNES</t>
        </is>
      </c>
      <c r="H1436" t="inlineStr">
        <is>
          <t>KLOPPER</t>
        </is>
      </c>
      <c r="J1436" t="inlineStr">
        <is>
          <t>NI</t>
        </is>
      </c>
      <c r="K1436" t="inlineStr">
        <is>
          <t>Not Interested</t>
        </is>
      </c>
      <c r="L1436" t="n">
        <v>2</v>
      </c>
      <c r="M1436" t="inlineStr">
        <is>
          <t>2026-06-19 07:38:12</t>
        </is>
      </c>
      <c r="N1436" t="inlineStr">
        <is>
          <t>Maureen Ntsoko</t>
        </is>
      </c>
      <c r="O1436" t="inlineStr">
        <is>
          <t>2026-06-17 14:10:06</t>
        </is>
      </c>
      <c r="P1436" t="inlineStr">
        <is>
          <t>2026-06-17 14:10:06</t>
        </is>
      </c>
      <c r="Y1436" t="inlineStr">
        <is>
          <t>27833014197</t>
        </is>
      </c>
    </row>
    <row r="1437">
      <c r="A1437" t="inlineStr">
        <is>
          <t>14920738</t>
        </is>
      </c>
      <c r="B1437" t="inlineStr">
        <is>
          <t>af35bce5-b6ed-4d1a-8598-44a77de227c3</t>
        </is>
      </c>
      <c r="D1437" t="inlineStr">
        <is>
          <t>111111124</t>
        </is>
      </c>
      <c r="E1437" t="inlineStr">
        <is>
          <t>Vodacom Life 20260617</t>
        </is>
      </c>
      <c r="G1437" t="inlineStr">
        <is>
          <t>DANE</t>
        </is>
      </c>
      <c r="H1437" t="inlineStr">
        <is>
          <t>PERUMAL</t>
        </is>
      </c>
      <c r="J1437" t="inlineStr">
        <is>
          <t>NI</t>
        </is>
      </c>
      <c r="K1437" t="inlineStr">
        <is>
          <t>Not Interested</t>
        </is>
      </c>
      <c r="L1437" t="n">
        <v>2</v>
      </c>
      <c r="M1437" t="inlineStr">
        <is>
          <t>2026-06-19 07:36:29</t>
        </is>
      </c>
      <c r="N1437" t="inlineStr">
        <is>
          <t>Maureen Ntsoko</t>
        </is>
      </c>
      <c r="O1437" t="inlineStr">
        <is>
          <t>2026-06-17 14:10:06</t>
        </is>
      </c>
      <c r="P1437" t="inlineStr">
        <is>
          <t>2026-06-17 14:10:06</t>
        </is>
      </c>
      <c r="Y1437" t="inlineStr">
        <is>
          <t>27820421272</t>
        </is>
      </c>
    </row>
    <row r="1438">
      <c r="A1438" t="inlineStr">
        <is>
          <t>14920659</t>
        </is>
      </c>
      <c r="B1438" t="inlineStr">
        <is>
          <t>61b323d8-2e70-4206-b18c-cc22469909a0</t>
        </is>
      </c>
      <c r="D1438" t="inlineStr">
        <is>
          <t>111111124</t>
        </is>
      </c>
      <c r="E1438" t="inlineStr">
        <is>
          <t>Vodacom Life 20260617</t>
        </is>
      </c>
      <c r="G1438" t="inlineStr">
        <is>
          <t>EPHRAIM</t>
        </is>
      </c>
      <c r="H1438" t="inlineStr">
        <is>
          <t>AFRICA</t>
        </is>
      </c>
      <c r="J1438" t="inlineStr">
        <is>
          <t>CBACK</t>
        </is>
      </c>
      <c r="K1438" t="inlineStr">
        <is>
          <t>Callback</t>
        </is>
      </c>
      <c r="L1438" t="n">
        <v>2</v>
      </c>
      <c r="M1438" t="inlineStr">
        <is>
          <t>2026-06-19 07:33:32</t>
        </is>
      </c>
      <c r="N1438" t="inlineStr">
        <is>
          <t>Maureen Ntsoko</t>
        </is>
      </c>
      <c r="O1438" t="inlineStr">
        <is>
          <t>2026-06-17 14:10:06</t>
        </is>
      </c>
      <c r="P1438" t="inlineStr">
        <is>
          <t>2026-06-17 14:10:06</t>
        </is>
      </c>
      <c r="Y1438" t="inlineStr">
        <is>
          <t>27824327274</t>
        </is>
      </c>
    </row>
    <row r="1439">
      <c r="A1439" t="inlineStr">
        <is>
          <t>14920702</t>
        </is>
      </c>
      <c r="B1439" t="inlineStr">
        <is>
          <t>7ae3006a-92c5-4253-9bd6-ace8de2d9c0d</t>
        </is>
      </c>
      <c r="D1439" t="inlineStr">
        <is>
          <t>111111124</t>
        </is>
      </c>
      <c r="E1439" t="inlineStr">
        <is>
          <t>Vodacom Life 20260617</t>
        </is>
      </c>
      <c r="G1439" t="inlineStr">
        <is>
          <t>MARTIN</t>
        </is>
      </c>
      <c r="H1439" t="inlineStr">
        <is>
          <t>JANSE VAN RENSBURG</t>
        </is>
      </c>
      <c r="J1439" t="inlineStr">
        <is>
          <t>NI</t>
        </is>
      </c>
      <c r="K1439" t="inlineStr">
        <is>
          <t>Not Interested</t>
        </is>
      </c>
      <c r="L1439" t="n">
        <v>2</v>
      </c>
      <c r="M1439" t="inlineStr">
        <is>
          <t>2026-06-19 07:32:00</t>
        </is>
      </c>
      <c r="N1439" t="inlineStr">
        <is>
          <t>Maureen Ntsoko</t>
        </is>
      </c>
      <c r="O1439" t="inlineStr">
        <is>
          <t>2026-06-17 14:10:06</t>
        </is>
      </c>
      <c r="P1439" t="inlineStr">
        <is>
          <t>2026-06-17 14:10:06</t>
        </is>
      </c>
      <c r="Y1439" t="inlineStr">
        <is>
          <t>27768381208</t>
        </is>
      </c>
    </row>
    <row r="1440">
      <c r="A1440" t="inlineStr">
        <is>
          <t>14921515</t>
        </is>
      </c>
      <c r="B1440" t="inlineStr">
        <is>
          <t>52186304-de2a-455a-98bd-79af13eab7df</t>
        </is>
      </c>
      <c r="D1440" t="inlineStr">
        <is>
          <t>111111124</t>
        </is>
      </c>
      <c r="E1440" t="inlineStr">
        <is>
          <t>Vodacom Life 20260617</t>
        </is>
      </c>
      <c r="G1440" t="inlineStr">
        <is>
          <t>BONGANI</t>
        </is>
      </c>
      <c r="H1440" t="inlineStr">
        <is>
          <t>NKOMO</t>
        </is>
      </c>
      <c r="J1440" t="inlineStr">
        <is>
          <t>A</t>
        </is>
      </c>
      <c r="K1440" t="inlineStr">
        <is>
          <t>Answering Machine</t>
        </is>
      </c>
      <c r="L1440" t="n">
        <v>5</v>
      </c>
      <c r="M1440" t="inlineStr">
        <is>
          <t>2026-06-18 15:08:02</t>
        </is>
      </c>
      <c r="N1440" t="inlineStr">
        <is>
          <t>bongiwe lushaba</t>
        </is>
      </c>
      <c r="O1440" t="inlineStr">
        <is>
          <t>2026-06-17 14:10:06</t>
        </is>
      </c>
      <c r="P1440" t="inlineStr">
        <is>
          <t>2026-06-17 14:10:06</t>
        </is>
      </c>
      <c r="Y1440" t="inlineStr">
        <is>
          <t>27825855758</t>
        </is>
      </c>
    </row>
    <row r="1441">
      <c r="A1441" t="inlineStr">
        <is>
          <t>14920689</t>
        </is>
      </c>
      <c r="B1441" t="inlineStr">
        <is>
          <t>32ead1b8-e93c-4382-bd6a-551c41baee12</t>
        </is>
      </c>
      <c r="D1441" t="inlineStr">
        <is>
          <t>111111124</t>
        </is>
      </c>
      <c r="E1441" t="inlineStr">
        <is>
          <t>Vodacom Life 20260617</t>
        </is>
      </c>
      <c r="G1441" t="inlineStr">
        <is>
          <t>DESMOND</t>
        </is>
      </c>
      <c r="H1441" t="inlineStr">
        <is>
          <t>SEKGOBELA</t>
        </is>
      </c>
      <c r="J1441" t="inlineStr">
        <is>
          <t>CBACK</t>
        </is>
      </c>
      <c r="K1441" t="inlineStr">
        <is>
          <t>Callback</t>
        </is>
      </c>
      <c r="L1441" t="n">
        <v>2</v>
      </c>
      <c r="M1441" t="inlineStr">
        <is>
          <t>2026-06-18 15:02:22</t>
        </is>
      </c>
      <c r="N1441" t="inlineStr">
        <is>
          <t>Khensane Mabasa</t>
        </is>
      </c>
      <c r="O1441" t="inlineStr">
        <is>
          <t>2026-06-17 14:10:06</t>
        </is>
      </c>
      <c r="P1441" t="inlineStr">
        <is>
          <t>2026-06-17 14:10:06</t>
        </is>
      </c>
      <c r="Y1441" t="inlineStr">
        <is>
          <t>27764310245</t>
        </is>
      </c>
    </row>
    <row r="1442">
      <c r="A1442" t="inlineStr">
        <is>
          <t>14921659</t>
        </is>
      </c>
      <c r="B1442" t="inlineStr">
        <is>
          <t>938e9fd3-e3bf-4f7c-9b77-020f7ca5aa06</t>
        </is>
      </c>
      <c r="D1442" t="inlineStr">
        <is>
          <t>111111124</t>
        </is>
      </c>
      <c r="E1442" t="inlineStr">
        <is>
          <t>Vodacom Life 20260617</t>
        </is>
      </c>
      <c r="G1442" t="inlineStr">
        <is>
          <t>MOSIBUDI</t>
        </is>
      </c>
      <c r="H1442" t="inlineStr">
        <is>
          <t>MAPHORU</t>
        </is>
      </c>
      <c r="J1442" t="inlineStr">
        <is>
          <t>AF</t>
        </is>
      </c>
      <c r="K1442" t="inlineStr">
        <is>
          <t>Cannot Afford</t>
        </is>
      </c>
      <c r="L1442" t="n">
        <v>1</v>
      </c>
      <c r="M1442" t="inlineStr">
        <is>
          <t>2026-06-18 14:19:44</t>
        </is>
      </c>
      <c r="N1442" t="inlineStr">
        <is>
          <t>Khensane Mabasa</t>
        </is>
      </c>
      <c r="O1442" t="inlineStr">
        <is>
          <t>2026-06-17 14:10:06</t>
        </is>
      </c>
      <c r="P1442" t="inlineStr">
        <is>
          <t>2026-06-17 14:10:06</t>
        </is>
      </c>
      <c r="Y1442" t="inlineStr">
        <is>
          <t>27829757286</t>
        </is>
      </c>
    </row>
    <row r="1443">
      <c r="A1443" t="inlineStr">
        <is>
          <t>14921226</t>
        </is>
      </c>
      <c r="B1443" t="inlineStr">
        <is>
          <t>a9d2c5da-6296-4d12-8c2b-98955362e334</t>
        </is>
      </c>
      <c r="D1443" t="inlineStr">
        <is>
          <t>111111124</t>
        </is>
      </c>
      <c r="E1443" t="inlineStr">
        <is>
          <t>Vodacom Life 20260617</t>
        </is>
      </c>
      <c r="G1443" t="inlineStr">
        <is>
          <t>BENSON</t>
        </is>
      </c>
      <c r="H1443" t="inlineStr">
        <is>
          <t>SELOPE</t>
        </is>
      </c>
      <c r="J1443" t="inlineStr">
        <is>
          <t>NI</t>
        </is>
      </c>
      <c r="K1443" t="inlineStr">
        <is>
          <t>Not Interested</t>
        </is>
      </c>
      <c r="L1443" t="n">
        <v>1</v>
      </c>
      <c r="M1443" t="inlineStr">
        <is>
          <t>2026-06-18 14:08:10</t>
        </is>
      </c>
      <c r="N1443" t="inlineStr">
        <is>
          <t>Khensane Mabasa</t>
        </is>
      </c>
      <c r="O1443" t="inlineStr">
        <is>
          <t>2026-06-17 14:10:06</t>
        </is>
      </c>
      <c r="P1443" t="inlineStr">
        <is>
          <t>2026-06-17 14:10:06</t>
        </is>
      </c>
      <c r="Y1443" t="inlineStr">
        <is>
          <t>27825533864</t>
        </is>
      </c>
    </row>
    <row r="1444">
      <c r="A1444" t="inlineStr">
        <is>
          <t>14921136</t>
        </is>
      </c>
      <c r="B1444" t="inlineStr">
        <is>
          <t>0a58d039-7404-4f8b-8bff-c44f92873932</t>
        </is>
      </c>
      <c r="D1444" t="inlineStr">
        <is>
          <t>111111124</t>
        </is>
      </c>
      <c r="E1444" t="inlineStr">
        <is>
          <t>Vodacom Life 20260617</t>
        </is>
      </c>
      <c r="G1444" t="inlineStr">
        <is>
          <t>JOHANNES</t>
        </is>
      </c>
      <c r="H1444" t="inlineStr">
        <is>
          <t>PIETERSE</t>
        </is>
      </c>
      <c r="J1444" t="inlineStr">
        <is>
          <t>WN</t>
        </is>
      </c>
      <c r="K1444" t="inlineStr">
        <is>
          <t>Wrong Number</t>
        </is>
      </c>
      <c r="L1444" t="n">
        <v>1</v>
      </c>
      <c r="M1444" t="inlineStr">
        <is>
          <t>2026-06-18 14:06:29</t>
        </is>
      </c>
      <c r="N1444" t="inlineStr">
        <is>
          <t>Maureen Ntsoko</t>
        </is>
      </c>
      <c r="O1444" t="inlineStr">
        <is>
          <t>2026-06-17 14:10:06</t>
        </is>
      </c>
      <c r="P1444" t="inlineStr">
        <is>
          <t>2026-06-17 14:10:06</t>
        </is>
      </c>
      <c r="Y1444" t="inlineStr">
        <is>
          <t>27609708532</t>
        </is>
      </c>
    </row>
    <row r="1445">
      <c r="A1445" t="inlineStr">
        <is>
          <t>14921503</t>
        </is>
      </c>
      <c r="B1445" t="inlineStr">
        <is>
          <t>e8d0dad0-8444-4550-906c-495ed7bd5288</t>
        </is>
      </c>
      <c r="D1445" t="inlineStr">
        <is>
          <t>111111124</t>
        </is>
      </c>
      <c r="E1445" t="inlineStr">
        <is>
          <t>Vodacom Life 20260617</t>
        </is>
      </c>
      <c r="G1445" t="inlineStr">
        <is>
          <t>NOMBUSO</t>
        </is>
      </c>
      <c r="H1445" t="inlineStr">
        <is>
          <t>NYALUNGA</t>
        </is>
      </c>
      <c r="J1445" t="inlineStr">
        <is>
          <t>CBACK</t>
        </is>
      </c>
      <c r="K1445" t="inlineStr">
        <is>
          <t>Callback</t>
        </is>
      </c>
      <c r="L1445" t="n">
        <v>3</v>
      </c>
      <c r="M1445" t="inlineStr">
        <is>
          <t>2026-06-18 14:06:01</t>
        </is>
      </c>
      <c r="N1445" t="inlineStr">
        <is>
          <t>Khensane Mabasa</t>
        </is>
      </c>
      <c r="O1445" t="inlineStr">
        <is>
          <t>2026-06-17 14:10:06</t>
        </is>
      </c>
      <c r="P1445" t="inlineStr">
        <is>
          <t>2026-06-17 14:10:06</t>
        </is>
      </c>
      <c r="Y1445" t="inlineStr">
        <is>
          <t>27662341723</t>
        </is>
      </c>
    </row>
    <row r="1446">
      <c r="A1446" t="inlineStr">
        <is>
          <t>14921167</t>
        </is>
      </c>
      <c r="B1446" t="inlineStr">
        <is>
          <t>10776b4c-85ae-47df-85c5-e4412bd1bb88</t>
        </is>
      </c>
      <c r="D1446" t="inlineStr">
        <is>
          <t>111111124</t>
        </is>
      </c>
      <c r="E1446" t="inlineStr">
        <is>
          <t>Vodacom Life 20260617</t>
        </is>
      </c>
      <c r="G1446" t="inlineStr">
        <is>
          <t>O</t>
        </is>
      </c>
      <c r="H1446" t="inlineStr">
        <is>
          <t>OSULLIVAN</t>
        </is>
      </c>
      <c r="J1446" t="inlineStr">
        <is>
          <t>NI</t>
        </is>
      </c>
      <c r="K1446" t="inlineStr">
        <is>
          <t>Not Interested</t>
        </is>
      </c>
      <c r="L1446" t="n">
        <v>1</v>
      </c>
      <c r="M1446" t="inlineStr">
        <is>
          <t>2026-06-18 14:05:17</t>
        </is>
      </c>
      <c r="N1446" t="inlineStr">
        <is>
          <t>Maureen Ntsoko</t>
        </is>
      </c>
      <c r="O1446" t="inlineStr">
        <is>
          <t>2026-06-17 14:10:06</t>
        </is>
      </c>
      <c r="P1446" t="inlineStr">
        <is>
          <t>2026-06-17 14:10:06</t>
        </is>
      </c>
      <c r="Y1446" t="inlineStr">
        <is>
          <t>27763362168</t>
        </is>
      </c>
    </row>
    <row r="1447">
      <c r="A1447" t="inlineStr">
        <is>
          <t>14921185</t>
        </is>
      </c>
      <c r="B1447" t="inlineStr">
        <is>
          <t>b771f200-7826-4685-add3-0c2c536d2a1c</t>
        </is>
      </c>
      <c r="D1447" t="inlineStr">
        <is>
          <t>111111124</t>
        </is>
      </c>
      <c r="E1447" t="inlineStr">
        <is>
          <t>Vodacom Life 20260617</t>
        </is>
      </c>
      <c r="G1447" t="inlineStr">
        <is>
          <t>LESIBA</t>
        </is>
      </c>
      <c r="H1447" t="inlineStr">
        <is>
          <t>LEGODI</t>
        </is>
      </c>
      <c r="J1447" t="inlineStr">
        <is>
          <t>OAL</t>
        </is>
      </c>
      <c r="K1447" t="inlineStr">
        <is>
          <t>Over Age Limit</t>
        </is>
      </c>
      <c r="L1447" t="n">
        <v>1</v>
      </c>
      <c r="M1447" t="inlineStr">
        <is>
          <t>2026-06-18 14:03:25</t>
        </is>
      </c>
      <c r="N1447" t="inlineStr">
        <is>
          <t>Maureen Ntsoko</t>
        </is>
      </c>
      <c r="O1447" t="inlineStr">
        <is>
          <t>2026-06-17 14:10:06</t>
        </is>
      </c>
      <c r="P1447" t="inlineStr">
        <is>
          <t>2026-06-17 14:10:06</t>
        </is>
      </c>
      <c r="Y1447" t="inlineStr">
        <is>
          <t>27729378082</t>
        </is>
      </c>
    </row>
    <row r="1448">
      <c r="A1448" t="inlineStr">
        <is>
          <t>14921256</t>
        </is>
      </c>
      <c r="B1448" t="inlineStr">
        <is>
          <t>7c67760c-bb1d-4929-968a-caf25e66662b</t>
        </is>
      </c>
      <c r="D1448" t="inlineStr">
        <is>
          <t>111111124</t>
        </is>
      </c>
      <c r="E1448" t="inlineStr">
        <is>
          <t>Vodacom Life 20260617</t>
        </is>
      </c>
      <c r="G1448" t="inlineStr">
        <is>
          <t>MOTHABITHI</t>
        </is>
      </c>
      <c r="H1448" t="inlineStr">
        <is>
          <t>THUBAKGALE</t>
        </is>
      </c>
      <c r="J1448" t="inlineStr">
        <is>
          <t>CBACK</t>
        </is>
      </c>
      <c r="K1448" t="inlineStr">
        <is>
          <t>Callback</t>
        </is>
      </c>
      <c r="L1448" t="n">
        <v>1</v>
      </c>
      <c r="M1448" t="inlineStr">
        <is>
          <t>2026-06-18 14:00:38</t>
        </is>
      </c>
      <c r="N1448" t="inlineStr">
        <is>
          <t>Maureen Ntsoko</t>
        </is>
      </c>
      <c r="O1448" t="inlineStr">
        <is>
          <t>2026-06-17 14:10:06</t>
        </is>
      </c>
      <c r="P1448" t="inlineStr">
        <is>
          <t>2026-06-17 14:10:06</t>
        </is>
      </c>
      <c r="Y1448" t="inlineStr">
        <is>
          <t>27764002167</t>
        </is>
      </c>
    </row>
    <row r="1449">
      <c r="A1449" t="inlineStr">
        <is>
          <t>14921596</t>
        </is>
      </c>
      <c r="B1449" t="inlineStr">
        <is>
          <t>6303e77f-13c1-4e26-aa99-6edc4affebd2</t>
        </is>
      </c>
      <c r="D1449" t="inlineStr">
        <is>
          <t>111111124</t>
        </is>
      </c>
      <c r="E1449" t="inlineStr">
        <is>
          <t>Vodacom Life 20260617</t>
        </is>
      </c>
      <c r="G1449" t="inlineStr">
        <is>
          <t>SONJA</t>
        </is>
      </c>
      <c r="H1449" t="inlineStr">
        <is>
          <t>PRANGER</t>
        </is>
      </c>
      <c r="J1449" t="inlineStr">
        <is>
          <t>DNQS</t>
        </is>
      </c>
      <c r="K1449" t="inlineStr">
        <is>
          <t>Does Not Qualify</t>
        </is>
      </c>
      <c r="L1449" t="n">
        <v>1</v>
      </c>
      <c r="M1449" t="inlineStr">
        <is>
          <t>2026-06-18 13:57:13</t>
        </is>
      </c>
      <c r="N1449" t="inlineStr">
        <is>
          <t>Khensane Mabasa</t>
        </is>
      </c>
      <c r="O1449" t="inlineStr">
        <is>
          <t>2026-06-17 14:10:06</t>
        </is>
      </c>
      <c r="P1449" t="inlineStr">
        <is>
          <t>2026-06-17 14:10:06</t>
        </is>
      </c>
      <c r="Y1449" t="inlineStr">
        <is>
          <t>27823034197</t>
        </is>
      </c>
    </row>
    <row r="1450">
      <c r="A1450" t="inlineStr">
        <is>
          <t>14921592</t>
        </is>
      </c>
      <c r="B1450" t="inlineStr">
        <is>
          <t>8578afb6-eb22-499b-ade5-dc85b008accd</t>
        </is>
      </c>
      <c r="D1450" t="inlineStr">
        <is>
          <t>111111124</t>
        </is>
      </c>
      <c r="E1450" t="inlineStr">
        <is>
          <t>Vodacom Life 20260617</t>
        </is>
      </c>
      <c r="G1450" t="inlineStr">
        <is>
          <t>HILARY</t>
        </is>
      </c>
      <c r="H1450" t="inlineStr">
        <is>
          <t>VAN HUYSSTEEN</t>
        </is>
      </c>
      <c r="J1450" t="inlineStr">
        <is>
          <t>CBACK</t>
        </is>
      </c>
      <c r="K1450" t="inlineStr">
        <is>
          <t>Callback</t>
        </is>
      </c>
      <c r="L1450" t="n">
        <v>1</v>
      </c>
      <c r="M1450" t="inlineStr">
        <is>
          <t>2026-06-18 13:57:08</t>
        </is>
      </c>
      <c r="N1450" t="inlineStr">
        <is>
          <t>bongiwe lushaba</t>
        </is>
      </c>
      <c r="O1450" t="inlineStr">
        <is>
          <t>2026-06-17 14:10:06</t>
        </is>
      </c>
      <c r="P1450" t="inlineStr">
        <is>
          <t>2026-06-17 14:10:06</t>
        </is>
      </c>
      <c r="Y1450" t="inlineStr">
        <is>
          <t>27763035457</t>
        </is>
      </c>
    </row>
    <row r="1451">
      <c r="A1451" t="inlineStr">
        <is>
          <t>14921287</t>
        </is>
      </c>
      <c r="B1451" t="inlineStr">
        <is>
          <t>b9883fea-db97-4c25-a793-792bb40f70d9</t>
        </is>
      </c>
      <c r="D1451" t="inlineStr">
        <is>
          <t>111111124</t>
        </is>
      </c>
      <c r="E1451" t="inlineStr">
        <is>
          <t>Vodacom Life 20260617</t>
        </is>
      </c>
      <c r="G1451" t="inlineStr">
        <is>
          <t>PRUDENCE</t>
        </is>
      </c>
      <c r="H1451" t="inlineStr">
        <is>
          <t>MAWELA</t>
        </is>
      </c>
      <c r="J1451" t="inlineStr">
        <is>
          <t>U</t>
        </is>
      </c>
      <c r="K1451" t="inlineStr">
        <is>
          <t>Unemployed</t>
        </is>
      </c>
      <c r="L1451" t="n">
        <v>1</v>
      </c>
      <c r="M1451" t="inlineStr">
        <is>
          <t>2026-06-18 13:54:50</t>
        </is>
      </c>
      <c r="N1451" t="inlineStr">
        <is>
          <t>Maureen Ntsoko</t>
        </is>
      </c>
      <c r="O1451" t="inlineStr">
        <is>
          <t>2026-06-17 14:10:06</t>
        </is>
      </c>
      <c r="P1451" t="inlineStr">
        <is>
          <t>2026-06-17 14:10:06</t>
        </is>
      </c>
      <c r="Y1451" t="inlineStr">
        <is>
          <t>27797711508</t>
        </is>
      </c>
    </row>
    <row r="1452">
      <c r="A1452" t="inlineStr">
        <is>
          <t>14900000</t>
        </is>
      </c>
      <c r="B1452" t="inlineStr">
        <is>
          <t>89e44091-b48a-4840-bb20-93086a9baec7</t>
        </is>
      </c>
      <c r="D1452" t="inlineStr">
        <is>
          <t>111111124</t>
        </is>
      </c>
      <c r="E1452" t="inlineStr">
        <is>
          <t>Vodacom Life 20260617</t>
        </is>
      </c>
      <c r="G1452" t="inlineStr">
        <is>
          <t>MPHO</t>
        </is>
      </c>
      <c r="H1452" t="inlineStr">
        <is>
          <t>MPHAHLELE</t>
        </is>
      </c>
      <c r="J1452" t="inlineStr">
        <is>
          <t>NI</t>
        </is>
      </c>
      <c r="K1452" t="inlineStr">
        <is>
          <t>Not Interested</t>
        </is>
      </c>
      <c r="L1452" t="n">
        <v>2</v>
      </c>
      <c r="M1452" t="inlineStr">
        <is>
          <t>2026-06-18 13:49:46</t>
        </is>
      </c>
      <c r="N1452" t="inlineStr">
        <is>
          <t>Khensane Mabasa</t>
        </is>
      </c>
      <c r="O1452" t="inlineStr">
        <is>
          <t>2026-06-17 14:10:06</t>
        </is>
      </c>
      <c r="P1452" t="inlineStr">
        <is>
          <t>2026-06-17 14:10:06</t>
        </is>
      </c>
      <c r="Y1452" t="inlineStr">
        <is>
          <t>27829472901</t>
        </is>
      </c>
    </row>
    <row r="1453">
      <c r="A1453" t="inlineStr">
        <is>
          <t>14921386</t>
        </is>
      </c>
      <c r="B1453" t="inlineStr">
        <is>
          <t>3ea7a1f5-7a7f-4ca8-a2a6-d45a9fd1d8f5</t>
        </is>
      </c>
      <c r="D1453" t="inlineStr">
        <is>
          <t>111111124</t>
        </is>
      </c>
      <c r="E1453" t="inlineStr">
        <is>
          <t>Vodacom Life 20260617</t>
        </is>
      </c>
      <c r="G1453" t="inlineStr">
        <is>
          <t>SIPHESIHLE</t>
        </is>
      </c>
      <c r="H1453" t="inlineStr">
        <is>
          <t>SIBINDI</t>
        </is>
      </c>
      <c r="J1453" t="inlineStr">
        <is>
          <t>AF</t>
        </is>
      </c>
      <c r="K1453" t="inlineStr">
        <is>
          <t>Cannot Afford</t>
        </is>
      </c>
      <c r="L1453" t="n">
        <v>1</v>
      </c>
      <c r="M1453" t="inlineStr">
        <is>
          <t>2026-06-18 13:40:58</t>
        </is>
      </c>
      <c r="N1453" t="inlineStr">
        <is>
          <t>Maureen Ntsoko</t>
        </is>
      </c>
      <c r="O1453" t="inlineStr">
        <is>
          <t>2026-06-17 14:10:06</t>
        </is>
      </c>
      <c r="P1453" t="inlineStr">
        <is>
          <t>2026-06-17 14:10:06</t>
        </is>
      </c>
      <c r="Y1453" t="inlineStr">
        <is>
          <t>27646031842</t>
        </is>
      </c>
    </row>
    <row r="1454">
      <c r="A1454" t="inlineStr">
        <is>
          <t>14920552</t>
        </is>
      </c>
      <c r="B1454" t="inlineStr">
        <is>
          <t>d805573f-cb96-4915-ae98-3d1808a73ce1</t>
        </is>
      </c>
      <c r="D1454" t="inlineStr">
        <is>
          <t>111111124</t>
        </is>
      </c>
      <c r="E1454" t="inlineStr">
        <is>
          <t>Vodacom Life 20260617</t>
        </is>
      </c>
      <c r="G1454" t="inlineStr">
        <is>
          <t>OSEA</t>
        </is>
      </c>
      <c r="H1454" t="inlineStr">
        <is>
          <t>MAGALE</t>
        </is>
      </c>
      <c r="J1454" t="inlineStr">
        <is>
          <t>CBACK</t>
        </is>
      </c>
      <c r="K1454" t="inlineStr">
        <is>
          <t>Callback</t>
        </is>
      </c>
      <c r="L1454" t="n">
        <v>1</v>
      </c>
      <c r="M1454" t="inlineStr">
        <is>
          <t>2026-06-18 12:56:36</t>
        </is>
      </c>
      <c r="N1454" t="inlineStr">
        <is>
          <t>bongiwe lushaba</t>
        </is>
      </c>
      <c r="O1454" t="inlineStr">
        <is>
          <t>2026-06-17 14:10:06</t>
        </is>
      </c>
      <c r="P1454" t="inlineStr">
        <is>
          <t>2026-06-17 14:10:06</t>
        </is>
      </c>
      <c r="Y1454" t="inlineStr">
        <is>
          <t>27723072719</t>
        </is>
      </c>
    </row>
    <row r="1455">
      <c r="A1455" t="inlineStr">
        <is>
          <t>14920560</t>
        </is>
      </c>
      <c r="B1455" t="inlineStr">
        <is>
          <t>4ba61902-c55a-4528-9691-ad0654acb28d</t>
        </is>
      </c>
      <c r="D1455" t="inlineStr">
        <is>
          <t>111111124</t>
        </is>
      </c>
      <c r="E1455" t="inlineStr">
        <is>
          <t>Vodacom Life 20260617</t>
        </is>
      </c>
      <c r="G1455" t="inlineStr">
        <is>
          <t>MARTINA</t>
        </is>
      </c>
      <c r="H1455" t="inlineStr">
        <is>
          <t>OOSTHUIZEN</t>
        </is>
      </c>
      <c r="J1455" t="inlineStr">
        <is>
          <t>U</t>
        </is>
      </c>
      <c r="K1455" t="inlineStr">
        <is>
          <t>Unemployed</t>
        </is>
      </c>
      <c r="L1455" t="n">
        <v>1</v>
      </c>
      <c r="M1455" t="inlineStr">
        <is>
          <t>2026-06-18 12:56:36</t>
        </is>
      </c>
      <c r="N1455" t="inlineStr">
        <is>
          <t>Khensane Mabasa</t>
        </is>
      </c>
      <c r="O1455" t="inlineStr">
        <is>
          <t>2026-06-17 14:10:06</t>
        </is>
      </c>
      <c r="P1455" t="inlineStr">
        <is>
          <t>2026-06-17 14:10:06</t>
        </is>
      </c>
      <c r="Y1455" t="inlineStr">
        <is>
          <t>27792361135</t>
        </is>
      </c>
    </row>
    <row r="1456">
      <c r="A1456" t="inlineStr">
        <is>
          <t>14920606</t>
        </is>
      </c>
      <c r="B1456" t="inlineStr">
        <is>
          <t>8ce92cc3-d888-4a6c-b9b2-5c814277977c</t>
        </is>
      </c>
      <c r="D1456" t="inlineStr">
        <is>
          <t>111111124</t>
        </is>
      </c>
      <c r="E1456" t="inlineStr">
        <is>
          <t>Vodacom Life 20260617</t>
        </is>
      </c>
      <c r="G1456" t="inlineStr">
        <is>
          <t>RABOTHATA</t>
        </is>
      </c>
      <c r="H1456" t="inlineStr">
        <is>
          <t>MAAKE</t>
        </is>
      </c>
      <c r="J1456" t="inlineStr">
        <is>
          <t>OAL</t>
        </is>
      </c>
      <c r="K1456" t="inlineStr">
        <is>
          <t>Over Age Limit</t>
        </is>
      </c>
      <c r="L1456" t="n">
        <v>1</v>
      </c>
      <c r="M1456" t="inlineStr">
        <is>
          <t>2026-06-18 12:49:48</t>
        </is>
      </c>
      <c r="N1456" t="inlineStr">
        <is>
          <t>Khensane Mabasa</t>
        </is>
      </c>
      <c r="O1456" t="inlineStr">
        <is>
          <t>2026-06-17 14:10:06</t>
        </is>
      </c>
      <c r="P1456" t="inlineStr">
        <is>
          <t>2026-06-17 14:10:06</t>
        </is>
      </c>
      <c r="Y1456" t="inlineStr">
        <is>
          <t>27822982710</t>
        </is>
      </c>
    </row>
    <row r="1457">
      <c r="A1457" t="inlineStr">
        <is>
          <t>14921495</t>
        </is>
      </c>
      <c r="B1457" t="inlineStr">
        <is>
          <t>fa615c07-397b-471c-83f3-ae9d5afd8403</t>
        </is>
      </c>
      <c r="D1457" t="inlineStr">
        <is>
          <t>111111124</t>
        </is>
      </c>
      <c r="E1457" t="inlineStr">
        <is>
          <t>Vodacom Life 20260617</t>
        </is>
      </c>
      <c r="G1457" t="inlineStr">
        <is>
          <t>CHARNE</t>
        </is>
      </c>
      <c r="H1457" t="inlineStr">
        <is>
          <t>LIEBENBERG</t>
        </is>
      </c>
      <c r="J1457" t="inlineStr">
        <is>
          <t>NI</t>
        </is>
      </c>
      <c r="K1457" t="inlineStr">
        <is>
          <t>Not Interested</t>
        </is>
      </c>
      <c r="L1457" t="n">
        <v>1</v>
      </c>
      <c r="M1457" t="inlineStr">
        <is>
          <t>2026-06-18 12:44:46</t>
        </is>
      </c>
      <c r="N1457" t="inlineStr">
        <is>
          <t>Khensane Mabasa</t>
        </is>
      </c>
      <c r="O1457" t="inlineStr">
        <is>
          <t>2026-06-17 14:10:06</t>
        </is>
      </c>
      <c r="P1457" t="inlineStr">
        <is>
          <t>2026-06-17 14:10:06</t>
        </is>
      </c>
      <c r="Y1457" t="inlineStr">
        <is>
          <t>27608523471</t>
        </is>
      </c>
    </row>
    <row r="1458">
      <c r="A1458" t="inlineStr">
        <is>
          <t>14920457</t>
        </is>
      </c>
      <c r="B1458" t="inlineStr">
        <is>
          <t>40b661bc-bfae-4744-9854-80a2e213ca8f</t>
        </is>
      </c>
      <c r="D1458" t="inlineStr">
        <is>
          <t>111111124</t>
        </is>
      </c>
      <c r="E1458" t="inlineStr">
        <is>
          <t>Vodacom Life 20260617</t>
        </is>
      </c>
      <c r="G1458" t="inlineStr">
        <is>
          <t>BENJAMIN</t>
        </is>
      </c>
      <c r="H1458" t="inlineStr">
        <is>
          <t>HAMMAN</t>
        </is>
      </c>
      <c r="J1458" t="inlineStr">
        <is>
          <t>NI</t>
        </is>
      </c>
      <c r="K1458" t="inlineStr">
        <is>
          <t>Not Interested</t>
        </is>
      </c>
      <c r="L1458" t="n">
        <v>1</v>
      </c>
      <c r="M1458" t="inlineStr">
        <is>
          <t>2026-06-18 12:43:55</t>
        </is>
      </c>
      <c r="N1458" t="inlineStr">
        <is>
          <t>Maureen Ntsoko</t>
        </is>
      </c>
      <c r="O1458" t="inlineStr">
        <is>
          <t>2026-06-17 14:10:06</t>
        </is>
      </c>
      <c r="P1458" t="inlineStr">
        <is>
          <t>2026-06-17 14:10:06</t>
        </is>
      </c>
      <c r="Y1458" t="inlineStr">
        <is>
          <t>27847751777</t>
        </is>
      </c>
    </row>
    <row r="1459">
      <c r="A1459" t="inlineStr">
        <is>
          <t>14920859</t>
        </is>
      </c>
      <c r="B1459" t="inlineStr">
        <is>
          <t>1aa95980-e5fe-493f-8770-d410bbcef91f</t>
        </is>
      </c>
      <c r="D1459" t="inlineStr">
        <is>
          <t>111111124</t>
        </is>
      </c>
      <c r="E1459" t="inlineStr">
        <is>
          <t>Vodacom Life 20260617</t>
        </is>
      </c>
      <c r="G1459" t="inlineStr">
        <is>
          <t>NOBUHLE</t>
        </is>
      </c>
      <c r="H1459" t="inlineStr">
        <is>
          <t>GASA</t>
        </is>
      </c>
      <c r="J1459" t="inlineStr">
        <is>
          <t>CBACK</t>
        </is>
      </c>
      <c r="K1459" t="inlineStr">
        <is>
          <t>Callback</t>
        </is>
      </c>
      <c r="L1459" t="n">
        <v>1</v>
      </c>
      <c r="M1459" t="inlineStr">
        <is>
          <t>2026-06-18 12:41:23</t>
        </is>
      </c>
      <c r="N1459" t="inlineStr">
        <is>
          <t>Maureen Ntsoko</t>
        </is>
      </c>
      <c r="O1459" t="inlineStr">
        <is>
          <t>2026-06-17 14:10:06</t>
        </is>
      </c>
      <c r="P1459" t="inlineStr">
        <is>
          <t>2026-06-17 14:10:06</t>
        </is>
      </c>
      <c r="Y1459" t="inlineStr">
        <is>
          <t>27662702060</t>
        </is>
      </c>
    </row>
    <row r="1460">
      <c r="A1460" t="inlineStr">
        <is>
          <t>14921535</t>
        </is>
      </c>
      <c r="B1460" t="inlineStr">
        <is>
          <t>d878527f-cb28-4a41-a90b-193d6b1ce9d8</t>
        </is>
      </c>
      <c r="D1460" t="inlineStr">
        <is>
          <t>111111124</t>
        </is>
      </c>
      <c r="E1460" t="inlineStr">
        <is>
          <t>Vodacom Life 20260617</t>
        </is>
      </c>
      <c r="G1460" t="inlineStr">
        <is>
          <t>LUTHANDO</t>
        </is>
      </c>
      <c r="H1460" t="inlineStr">
        <is>
          <t>MAHIJANA</t>
        </is>
      </c>
      <c r="J1460" t="inlineStr">
        <is>
          <t>AGE</t>
        </is>
      </c>
      <c r="K1460" t="inlineStr">
        <is>
          <t>Under Age</t>
        </is>
      </c>
      <c r="L1460" t="n">
        <v>1</v>
      </c>
      <c r="M1460" t="inlineStr">
        <is>
          <t>2026-06-18 12:40:43</t>
        </is>
      </c>
      <c r="N1460" t="inlineStr">
        <is>
          <t>Khensane Mabasa</t>
        </is>
      </c>
      <c r="O1460" t="inlineStr">
        <is>
          <t>2026-06-17 14:10:06</t>
        </is>
      </c>
      <c r="P1460" t="inlineStr">
        <is>
          <t>2026-06-17 14:10:06</t>
        </is>
      </c>
      <c r="Y1460" t="inlineStr">
        <is>
          <t>27727473975</t>
        </is>
      </c>
    </row>
    <row r="1461">
      <c r="A1461" t="inlineStr">
        <is>
          <t>14921678</t>
        </is>
      </c>
      <c r="B1461" t="inlineStr">
        <is>
          <t>fd0cf707-f9db-4050-9662-f160d5aa1118</t>
        </is>
      </c>
      <c r="D1461" t="inlineStr">
        <is>
          <t>111111124</t>
        </is>
      </c>
      <c r="E1461" t="inlineStr">
        <is>
          <t>Vodacom Life 20260617</t>
        </is>
      </c>
      <c r="G1461" t="inlineStr">
        <is>
          <t>G</t>
        </is>
      </c>
      <c r="H1461" t="inlineStr">
        <is>
          <t>HAYES</t>
        </is>
      </c>
      <c r="J1461" t="inlineStr">
        <is>
          <t>U</t>
        </is>
      </c>
      <c r="K1461" t="inlineStr">
        <is>
          <t>Unemployed</t>
        </is>
      </c>
      <c r="L1461" t="n">
        <v>1</v>
      </c>
      <c r="M1461" t="inlineStr">
        <is>
          <t>2026-06-18 12:38:28</t>
        </is>
      </c>
      <c r="N1461" t="inlineStr">
        <is>
          <t>Khensane Mabasa</t>
        </is>
      </c>
      <c r="O1461" t="inlineStr">
        <is>
          <t>2026-06-17 14:10:06</t>
        </is>
      </c>
      <c r="P1461" t="inlineStr">
        <is>
          <t>2026-06-17 14:10:06</t>
        </is>
      </c>
      <c r="Y1461" t="inlineStr">
        <is>
          <t>27769785839</t>
        </is>
      </c>
    </row>
    <row r="1462">
      <c r="A1462" t="inlineStr">
        <is>
          <t>14920727</t>
        </is>
      </c>
      <c r="B1462" t="inlineStr">
        <is>
          <t>8f62c0cc-7921-464d-98ed-dbaa269be4b0</t>
        </is>
      </c>
      <c r="D1462" t="inlineStr">
        <is>
          <t>111111124</t>
        </is>
      </c>
      <c r="E1462" t="inlineStr">
        <is>
          <t>Vodacom Life 20260617</t>
        </is>
      </c>
      <c r="G1462" t="inlineStr">
        <is>
          <t>PUMZILE</t>
        </is>
      </c>
      <c r="H1462" t="inlineStr">
        <is>
          <t>MAHLANGU</t>
        </is>
      </c>
      <c r="J1462" t="inlineStr">
        <is>
          <t>CBACK</t>
        </is>
      </c>
      <c r="K1462" t="inlineStr">
        <is>
          <t>Callback</t>
        </is>
      </c>
      <c r="L1462" t="n">
        <v>1</v>
      </c>
      <c r="M1462" t="inlineStr">
        <is>
          <t>2026-06-18 12:36:44</t>
        </is>
      </c>
      <c r="N1462" t="inlineStr">
        <is>
          <t>Maureen Ntsoko</t>
        </is>
      </c>
      <c r="O1462" t="inlineStr">
        <is>
          <t>2026-06-17 14:10:06</t>
        </is>
      </c>
      <c r="P1462" t="inlineStr">
        <is>
          <t>2026-06-17 14:10:06</t>
        </is>
      </c>
      <c r="Y1462" t="inlineStr">
        <is>
          <t>27791696107</t>
        </is>
      </c>
    </row>
    <row r="1463">
      <c r="A1463" t="inlineStr">
        <is>
          <t>14920657</t>
        </is>
      </c>
      <c r="B1463" t="inlineStr">
        <is>
          <t>10b077ad-2542-408f-a155-26693abf8208</t>
        </is>
      </c>
      <c r="D1463" t="inlineStr">
        <is>
          <t>111111124</t>
        </is>
      </c>
      <c r="E1463" t="inlineStr">
        <is>
          <t>Vodacom Life 20260617</t>
        </is>
      </c>
      <c r="G1463" t="inlineStr">
        <is>
          <t>HESTER</t>
        </is>
      </c>
      <c r="H1463" t="inlineStr">
        <is>
          <t>OBERHOLZER</t>
        </is>
      </c>
      <c r="J1463" t="inlineStr">
        <is>
          <t>NI</t>
        </is>
      </c>
      <c r="K1463" t="inlineStr">
        <is>
          <t>Not Interested</t>
        </is>
      </c>
      <c r="L1463" t="n">
        <v>1</v>
      </c>
      <c r="M1463" t="inlineStr">
        <is>
          <t>2026-06-18 12:34:36</t>
        </is>
      </c>
      <c r="N1463" t="inlineStr">
        <is>
          <t>Maureen Ntsoko</t>
        </is>
      </c>
      <c r="O1463" t="inlineStr">
        <is>
          <t>2026-06-17 14:10:06</t>
        </is>
      </c>
      <c r="P1463" t="inlineStr">
        <is>
          <t>2026-06-17 14:10:06</t>
        </is>
      </c>
      <c r="Y1463" t="inlineStr">
        <is>
          <t>27795378461</t>
        </is>
      </c>
    </row>
    <row r="1464">
      <c r="A1464" t="inlineStr">
        <is>
          <t>14920725</t>
        </is>
      </c>
      <c r="B1464" t="inlineStr">
        <is>
          <t>7f7e62fb-fe34-4ff2-aa91-6f999a4c31eb</t>
        </is>
      </c>
      <c r="D1464" t="inlineStr">
        <is>
          <t>111111124</t>
        </is>
      </c>
      <c r="E1464" t="inlineStr">
        <is>
          <t>Vodacom Life 20260617</t>
        </is>
      </c>
      <c r="G1464" t="inlineStr">
        <is>
          <t>XOLILE</t>
        </is>
      </c>
      <c r="H1464" t="inlineStr">
        <is>
          <t>MTSHALI</t>
        </is>
      </c>
      <c r="J1464" t="inlineStr">
        <is>
          <t>NI</t>
        </is>
      </c>
      <c r="K1464" t="inlineStr">
        <is>
          <t>Not Interested</t>
        </is>
      </c>
      <c r="L1464" t="n">
        <v>1</v>
      </c>
      <c r="M1464" t="inlineStr">
        <is>
          <t>2026-06-18 12:34:32</t>
        </is>
      </c>
      <c r="N1464" t="inlineStr">
        <is>
          <t>Khensane Mabasa</t>
        </is>
      </c>
      <c r="O1464" t="inlineStr">
        <is>
          <t>2026-06-17 14:10:06</t>
        </is>
      </c>
      <c r="P1464" t="inlineStr">
        <is>
          <t>2026-06-17 14:10:06</t>
        </is>
      </c>
      <c r="Y1464" t="inlineStr">
        <is>
          <t>27764041872</t>
        </is>
      </c>
    </row>
    <row r="1465">
      <c r="A1465" t="inlineStr">
        <is>
          <t>14920671</t>
        </is>
      </c>
      <c r="B1465" t="inlineStr">
        <is>
          <t>aced75a2-f407-470e-b1b6-ccabce9950e3</t>
        </is>
      </c>
      <c r="D1465" t="inlineStr">
        <is>
          <t>111111124</t>
        </is>
      </c>
      <c r="E1465" t="inlineStr">
        <is>
          <t>Vodacom Life 20260617</t>
        </is>
      </c>
      <c r="G1465" t="inlineStr">
        <is>
          <t>BOITHABISO</t>
        </is>
      </c>
      <c r="H1465" t="inlineStr">
        <is>
          <t>MOVUNDLELA</t>
        </is>
      </c>
      <c r="J1465" t="inlineStr">
        <is>
          <t>NI</t>
        </is>
      </c>
      <c r="K1465" t="inlineStr">
        <is>
          <t>Not Interested</t>
        </is>
      </c>
      <c r="L1465" t="n">
        <v>1</v>
      </c>
      <c r="M1465" t="inlineStr">
        <is>
          <t>2026-06-18 12:32:58</t>
        </is>
      </c>
      <c r="N1465" t="inlineStr">
        <is>
          <t>Khensane Mabasa</t>
        </is>
      </c>
      <c r="O1465" t="inlineStr">
        <is>
          <t>2026-06-17 14:10:06</t>
        </is>
      </c>
      <c r="P1465" t="inlineStr">
        <is>
          <t>2026-06-17 14:10:06</t>
        </is>
      </c>
      <c r="Y1465" t="inlineStr">
        <is>
          <t>27723945798</t>
        </is>
      </c>
    </row>
    <row r="1466">
      <c r="A1466" t="inlineStr">
        <is>
          <t>14921709</t>
        </is>
      </c>
      <c r="B1466" t="inlineStr">
        <is>
          <t>11522534-4d4f-4081-812b-7c671a83c22b</t>
        </is>
      </c>
      <c r="D1466" t="inlineStr">
        <is>
          <t>111111124</t>
        </is>
      </c>
      <c r="E1466" t="inlineStr">
        <is>
          <t>Vodacom Life 20260617</t>
        </is>
      </c>
      <c r="G1466" t="inlineStr">
        <is>
          <t>DAWN</t>
        </is>
      </c>
      <c r="H1466" t="inlineStr">
        <is>
          <t>GUMEDE</t>
        </is>
      </c>
      <c r="J1466" t="inlineStr">
        <is>
          <t>AF</t>
        </is>
      </c>
      <c r="K1466" t="inlineStr">
        <is>
          <t>Cannot Afford</t>
        </is>
      </c>
      <c r="L1466" t="n">
        <v>1</v>
      </c>
      <c r="M1466" t="inlineStr">
        <is>
          <t>2026-06-18 12:10:52</t>
        </is>
      </c>
      <c r="N1466" t="inlineStr">
        <is>
          <t>Maureen Ntsoko</t>
        </is>
      </c>
      <c r="O1466" t="inlineStr">
        <is>
          <t>2026-06-17 14:10:06</t>
        </is>
      </c>
      <c r="P1466" t="inlineStr">
        <is>
          <t>2026-06-17 14:10:06</t>
        </is>
      </c>
      <c r="Y1466" t="inlineStr">
        <is>
          <t>27761066039</t>
        </is>
      </c>
    </row>
    <row r="1467">
      <c r="A1467" t="inlineStr">
        <is>
          <t>14920997</t>
        </is>
      </c>
      <c r="B1467" t="inlineStr">
        <is>
          <t>24b501e0-412c-4fa0-a0f4-d7229dc9326a</t>
        </is>
      </c>
      <c r="D1467" t="inlineStr">
        <is>
          <t>111111124</t>
        </is>
      </c>
      <c r="E1467" t="inlineStr">
        <is>
          <t>Vodacom Life 20260617</t>
        </is>
      </c>
      <c r="G1467" t="inlineStr">
        <is>
          <t>AGUSTA</t>
        </is>
      </c>
      <c r="H1467" t="inlineStr">
        <is>
          <t>KLINK</t>
        </is>
      </c>
      <c r="J1467" t="inlineStr">
        <is>
          <t>CBACK</t>
        </is>
      </c>
      <c r="K1467" t="inlineStr">
        <is>
          <t>Callback</t>
        </is>
      </c>
      <c r="L1467" t="n">
        <v>1</v>
      </c>
      <c r="M1467" t="inlineStr">
        <is>
          <t>2026-06-18 12:07:46</t>
        </is>
      </c>
      <c r="N1467" t="inlineStr">
        <is>
          <t>Maureen Ntsoko</t>
        </is>
      </c>
      <c r="O1467" t="inlineStr">
        <is>
          <t>2026-06-17 14:10:06</t>
        </is>
      </c>
      <c r="P1467" t="inlineStr">
        <is>
          <t>2026-06-17 14:10:06</t>
        </is>
      </c>
      <c r="Y1467" t="inlineStr">
        <is>
          <t>27639450771</t>
        </is>
      </c>
    </row>
    <row r="1468">
      <c r="A1468" t="inlineStr">
        <is>
          <t>14920840</t>
        </is>
      </c>
      <c r="B1468" t="inlineStr">
        <is>
          <t>a67717ca-e262-4ab7-8b8c-4007802d324c</t>
        </is>
      </c>
      <c r="D1468" t="inlineStr">
        <is>
          <t>111111124</t>
        </is>
      </c>
      <c r="E1468" t="inlineStr">
        <is>
          <t>Vodacom Life 20260617</t>
        </is>
      </c>
      <c r="G1468" t="inlineStr">
        <is>
          <t>JESSICA</t>
        </is>
      </c>
      <c r="H1468" t="inlineStr">
        <is>
          <t>BURNETT</t>
        </is>
      </c>
      <c r="J1468" t="inlineStr">
        <is>
          <t>NI</t>
        </is>
      </c>
      <c r="K1468" t="inlineStr">
        <is>
          <t>Not Interested</t>
        </is>
      </c>
      <c r="L1468" t="n">
        <v>1</v>
      </c>
      <c r="M1468" t="inlineStr">
        <is>
          <t>2026-06-18 12:04:42</t>
        </is>
      </c>
      <c r="N1468" t="inlineStr">
        <is>
          <t>Maureen Ntsoko</t>
        </is>
      </c>
      <c r="O1468" t="inlineStr">
        <is>
          <t>2026-06-17 14:10:06</t>
        </is>
      </c>
      <c r="P1468" t="inlineStr">
        <is>
          <t>2026-06-17 14:10:06</t>
        </is>
      </c>
      <c r="Y1468" t="inlineStr">
        <is>
          <t>27664761110</t>
        </is>
      </c>
    </row>
    <row r="1469">
      <c r="A1469" t="inlineStr">
        <is>
          <t>14921304</t>
        </is>
      </c>
      <c r="B1469" t="inlineStr">
        <is>
          <t>90d88f8b-e2b3-408c-a1e9-3a0901ddc978</t>
        </is>
      </c>
      <c r="D1469" t="inlineStr">
        <is>
          <t>111111124</t>
        </is>
      </c>
      <c r="E1469" t="inlineStr">
        <is>
          <t>Vodacom Life 20260617</t>
        </is>
      </c>
      <c r="G1469" t="inlineStr">
        <is>
          <t>QUINTIN</t>
        </is>
      </c>
      <c r="H1469" t="inlineStr">
        <is>
          <t>WATT</t>
        </is>
      </c>
      <c r="J1469" t="inlineStr">
        <is>
          <t>CBACK</t>
        </is>
      </c>
      <c r="K1469" t="inlineStr">
        <is>
          <t>Callback</t>
        </is>
      </c>
      <c r="L1469" t="n">
        <v>1</v>
      </c>
      <c r="M1469" t="inlineStr">
        <is>
          <t>2026-06-18 10:47:12</t>
        </is>
      </c>
      <c r="N1469" t="inlineStr">
        <is>
          <t>Maureen Ntsoko</t>
        </is>
      </c>
      <c r="O1469" t="inlineStr">
        <is>
          <t>2026-06-17 14:10:06</t>
        </is>
      </c>
      <c r="P1469" t="inlineStr">
        <is>
          <t>2026-06-17 14:10:06</t>
        </is>
      </c>
      <c r="Y1469" t="inlineStr">
        <is>
          <t>27662463844</t>
        </is>
      </c>
    </row>
    <row r="1470">
      <c r="A1470" t="inlineStr">
        <is>
          <t>14920851</t>
        </is>
      </c>
      <c r="B1470" t="inlineStr">
        <is>
          <t>69e05d2a-618a-4d95-ade0-e09601cb7360</t>
        </is>
      </c>
      <c r="D1470" t="inlineStr">
        <is>
          <t>111111124</t>
        </is>
      </c>
      <c r="E1470" t="inlineStr">
        <is>
          <t>Vodacom Life 20260617</t>
        </is>
      </c>
      <c r="G1470" t="inlineStr">
        <is>
          <t>ANCHEN</t>
        </is>
      </c>
      <c r="H1470" t="inlineStr">
        <is>
          <t>NAPEL</t>
        </is>
      </c>
      <c r="J1470" t="inlineStr">
        <is>
          <t>U</t>
        </is>
      </c>
      <c r="K1470" t="inlineStr">
        <is>
          <t>Unemployed</t>
        </is>
      </c>
      <c r="L1470" t="n">
        <v>1</v>
      </c>
      <c r="M1470" t="inlineStr">
        <is>
          <t>2026-06-18 10:44:47</t>
        </is>
      </c>
      <c r="N1470" t="inlineStr">
        <is>
          <t>Khensane Mabasa</t>
        </is>
      </c>
      <c r="O1470" t="inlineStr">
        <is>
          <t>2026-06-17 14:10:06</t>
        </is>
      </c>
      <c r="P1470" t="inlineStr">
        <is>
          <t>2026-06-17 14:10:06</t>
        </is>
      </c>
      <c r="Y1470" t="inlineStr">
        <is>
          <t>27711239810</t>
        </is>
      </c>
    </row>
    <row r="1471">
      <c r="A1471" t="inlineStr">
        <is>
          <t>14921791</t>
        </is>
      </c>
      <c r="B1471" t="inlineStr">
        <is>
          <t>defcf539-87ac-4b10-958c-32ed9d6b509a</t>
        </is>
      </c>
      <c r="D1471" t="inlineStr">
        <is>
          <t>111111124</t>
        </is>
      </c>
      <c r="E1471" t="inlineStr">
        <is>
          <t>Vodacom Life 20260617</t>
        </is>
      </c>
      <c r="G1471" t="inlineStr">
        <is>
          <t>POLELA</t>
        </is>
      </c>
      <c r="H1471" t="inlineStr">
        <is>
          <t>TSHETSHA</t>
        </is>
      </c>
      <c r="J1471" t="inlineStr">
        <is>
          <t>AF</t>
        </is>
      </c>
      <c r="K1471" t="inlineStr">
        <is>
          <t>Cannot Afford</t>
        </is>
      </c>
      <c r="L1471" t="n">
        <v>1</v>
      </c>
      <c r="M1471" t="inlineStr">
        <is>
          <t>2026-06-18 10:43:30</t>
        </is>
      </c>
      <c r="N1471" t="inlineStr">
        <is>
          <t>Maureen Ntsoko</t>
        </is>
      </c>
      <c r="O1471" t="inlineStr">
        <is>
          <t>2026-06-17 14:10:06</t>
        </is>
      </c>
      <c r="P1471" t="inlineStr">
        <is>
          <t>2026-06-17 14:10:06</t>
        </is>
      </c>
      <c r="Y1471" t="inlineStr">
        <is>
          <t>27820495063</t>
        </is>
      </c>
    </row>
    <row r="1472">
      <c r="A1472" t="inlineStr">
        <is>
          <t>14920839</t>
        </is>
      </c>
      <c r="B1472" t="inlineStr">
        <is>
          <t>fdd3372f-f429-4c85-807b-b752ded53c6f</t>
        </is>
      </c>
      <c r="D1472" t="inlineStr">
        <is>
          <t>111111124</t>
        </is>
      </c>
      <c r="E1472" t="inlineStr">
        <is>
          <t>Vodacom Life 20260617</t>
        </is>
      </c>
      <c r="G1472" t="inlineStr">
        <is>
          <t>LERATO</t>
        </is>
      </c>
      <c r="H1472" t="inlineStr">
        <is>
          <t>MATSANENG</t>
        </is>
      </c>
      <c r="J1472" t="inlineStr">
        <is>
          <t>NI</t>
        </is>
      </c>
      <c r="K1472" t="inlineStr">
        <is>
          <t>Not Interested</t>
        </is>
      </c>
      <c r="L1472" t="n">
        <v>1</v>
      </c>
      <c r="M1472" t="inlineStr">
        <is>
          <t>2026-06-18 10:41:00</t>
        </is>
      </c>
      <c r="N1472" t="inlineStr">
        <is>
          <t>Khensane Mabasa</t>
        </is>
      </c>
      <c r="O1472" t="inlineStr">
        <is>
          <t>2026-06-17 14:10:06</t>
        </is>
      </c>
      <c r="P1472" t="inlineStr">
        <is>
          <t>2026-06-17 14:10:06</t>
        </is>
      </c>
      <c r="Y1472" t="inlineStr">
        <is>
          <t>27636984711</t>
        </is>
      </c>
    </row>
    <row r="1473">
      <c r="A1473" t="inlineStr">
        <is>
          <t>14920757</t>
        </is>
      </c>
      <c r="B1473" t="inlineStr">
        <is>
          <t>251b9f18-25b9-48df-b6f9-18dfc57c37cb</t>
        </is>
      </c>
      <c r="D1473" t="inlineStr">
        <is>
          <t>111111124</t>
        </is>
      </c>
      <c r="E1473" t="inlineStr">
        <is>
          <t>Vodacom Life 20260617</t>
        </is>
      </c>
      <c r="G1473" t="inlineStr">
        <is>
          <t>PAULOS</t>
        </is>
      </c>
      <c r="H1473" t="inlineStr">
        <is>
          <t>SINDANE</t>
        </is>
      </c>
      <c r="J1473" t="inlineStr">
        <is>
          <t>CBACK</t>
        </is>
      </c>
      <c r="K1473" t="inlineStr">
        <is>
          <t>Callback</t>
        </is>
      </c>
      <c r="L1473" t="n">
        <v>1</v>
      </c>
      <c r="M1473" t="inlineStr">
        <is>
          <t>2026-06-18 10:34:41</t>
        </is>
      </c>
      <c r="N1473" t="inlineStr">
        <is>
          <t>Maureen Ntsoko</t>
        </is>
      </c>
      <c r="O1473" t="inlineStr">
        <is>
          <t>2026-06-17 14:10:06</t>
        </is>
      </c>
      <c r="P1473" t="inlineStr">
        <is>
          <t>2026-06-17 14:10:06</t>
        </is>
      </c>
      <c r="Y1473" t="inlineStr">
        <is>
          <t>27827602777</t>
        </is>
      </c>
    </row>
    <row r="1474">
      <c r="A1474" t="inlineStr">
        <is>
          <t>14920704</t>
        </is>
      </c>
      <c r="B1474" t="inlineStr">
        <is>
          <t>4f602f03-3c50-4266-b38d-5d7b402ac753</t>
        </is>
      </c>
      <c r="D1474" t="inlineStr">
        <is>
          <t>111111124</t>
        </is>
      </c>
      <c r="E1474" t="inlineStr">
        <is>
          <t>Vodacom Life 20260617</t>
        </is>
      </c>
      <c r="G1474" t="inlineStr">
        <is>
          <t>BERNICE</t>
        </is>
      </c>
      <c r="H1474" t="inlineStr">
        <is>
          <t>SELULU</t>
        </is>
      </c>
      <c r="J1474" t="inlineStr">
        <is>
          <t>U</t>
        </is>
      </c>
      <c r="K1474" t="inlineStr">
        <is>
          <t>Unemployed</t>
        </is>
      </c>
      <c r="L1474" t="n">
        <v>1</v>
      </c>
      <c r="M1474" t="inlineStr">
        <is>
          <t>2026-06-18 10:29:51</t>
        </is>
      </c>
      <c r="N1474" t="inlineStr">
        <is>
          <t>Khensane Mabasa</t>
        </is>
      </c>
      <c r="O1474" t="inlineStr">
        <is>
          <t>2026-06-17 14:10:06</t>
        </is>
      </c>
      <c r="P1474" t="inlineStr">
        <is>
          <t>2026-06-17 14:10:06</t>
        </is>
      </c>
      <c r="Y1474" t="inlineStr">
        <is>
          <t>27799405899</t>
        </is>
      </c>
    </row>
    <row r="1475">
      <c r="A1475" t="inlineStr">
        <is>
          <t>14921118</t>
        </is>
      </c>
      <c r="B1475" t="inlineStr">
        <is>
          <t>83f1910f-d2dd-4eef-8a56-37bc2a929e31</t>
        </is>
      </c>
      <c r="D1475" t="inlineStr">
        <is>
          <t>111111124</t>
        </is>
      </c>
      <c r="E1475" t="inlineStr">
        <is>
          <t>Vodacom Life 20260617</t>
        </is>
      </c>
      <c r="G1475" t="inlineStr">
        <is>
          <t>TSHEPANG</t>
        </is>
      </c>
      <c r="H1475" t="inlineStr">
        <is>
          <t>MOIMA</t>
        </is>
      </c>
      <c r="J1475" t="inlineStr">
        <is>
          <t>AC</t>
        </is>
      </c>
      <c r="K1475" t="inlineStr">
        <is>
          <t>Already Contacted</t>
        </is>
      </c>
      <c r="L1475" t="n">
        <v>2</v>
      </c>
      <c r="M1475" t="inlineStr">
        <is>
          <t>2026-06-18 10:29:16</t>
        </is>
      </c>
      <c r="N1475" t="inlineStr">
        <is>
          <t>Maureen Ntsoko</t>
        </is>
      </c>
      <c r="O1475" t="inlineStr">
        <is>
          <t>2026-06-17 14:10:06</t>
        </is>
      </c>
      <c r="P1475" t="inlineStr">
        <is>
          <t>2026-06-17 14:10:06</t>
        </is>
      </c>
      <c r="Y1475" t="inlineStr">
        <is>
          <t>27790544224</t>
        </is>
      </c>
    </row>
    <row r="1476">
      <c r="A1476" t="inlineStr">
        <is>
          <t>14921745</t>
        </is>
      </c>
      <c r="B1476" t="inlineStr">
        <is>
          <t>dbcd9bc2-2cff-425f-8809-8d67a009155c</t>
        </is>
      </c>
      <c r="D1476" t="inlineStr">
        <is>
          <t>111111124</t>
        </is>
      </c>
      <c r="E1476" t="inlineStr">
        <is>
          <t>Vodacom Life 20260617</t>
        </is>
      </c>
      <c r="G1476" t="inlineStr">
        <is>
          <t>THUTHUKILE</t>
        </is>
      </c>
      <c r="H1476" t="inlineStr">
        <is>
          <t>HADEBE</t>
        </is>
      </c>
      <c r="J1476" t="inlineStr">
        <is>
          <t>NI</t>
        </is>
      </c>
      <c r="K1476" t="inlineStr">
        <is>
          <t>Not Interested</t>
        </is>
      </c>
      <c r="L1476" t="n">
        <v>2</v>
      </c>
      <c r="M1476" t="inlineStr">
        <is>
          <t>2026-06-18 10:28:43</t>
        </is>
      </c>
      <c r="N1476" t="inlineStr">
        <is>
          <t>Khensane Mabasa</t>
        </is>
      </c>
      <c r="O1476" t="inlineStr">
        <is>
          <t>2026-06-17 14:10:06</t>
        </is>
      </c>
      <c r="P1476" t="inlineStr">
        <is>
          <t>2026-06-17 14:10:06</t>
        </is>
      </c>
      <c r="Y1476" t="inlineStr">
        <is>
          <t>27606142964</t>
        </is>
      </c>
    </row>
    <row r="1477">
      <c r="A1477" t="inlineStr">
        <is>
          <t>14921056</t>
        </is>
      </c>
      <c r="B1477" t="inlineStr">
        <is>
          <t>02cb4d4d-82c0-4b86-b826-0113a471657e</t>
        </is>
      </c>
      <c r="D1477" t="inlineStr">
        <is>
          <t>111111124</t>
        </is>
      </c>
      <c r="E1477" t="inlineStr">
        <is>
          <t>Vodacom Life 20260617</t>
        </is>
      </c>
      <c r="G1477" t="inlineStr">
        <is>
          <t>PATRICK</t>
        </is>
      </c>
      <c r="H1477" t="inlineStr">
        <is>
          <t>SIGUDLA</t>
        </is>
      </c>
      <c r="J1477" t="inlineStr">
        <is>
          <t>DNQF</t>
        </is>
      </c>
      <c r="K1477" t="inlineStr">
        <is>
          <t>Do Not Qualify Failed Medical Question</t>
        </is>
      </c>
      <c r="L1477" t="n">
        <v>1</v>
      </c>
      <c r="M1477" t="inlineStr">
        <is>
          <t>2026-06-18 10:04:10</t>
        </is>
      </c>
      <c r="N1477" t="inlineStr">
        <is>
          <t>Khensane Mabasa</t>
        </is>
      </c>
      <c r="O1477" t="inlineStr">
        <is>
          <t>2026-06-17 14:10:06</t>
        </is>
      </c>
      <c r="P1477" t="inlineStr">
        <is>
          <t>2026-06-17 14:10:06</t>
        </is>
      </c>
      <c r="Y1477" t="inlineStr">
        <is>
          <t>27760858449</t>
        </is>
      </c>
    </row>
    <row r="1478">
      <c r="A1478" t="inlineStr">
        <is>
          <t>14921004</t>
        </is>
      </c>
      <c r="B1478" t="inlineStr">
        <is>
          <t>9fede50b-81d3-4f4c-b67d-c53f1f3c1109</t>
        </is>
      </c>
      <c r="D1478" t="inlineStr">
        <is>
          <t>111111124</t>
        </is>
      </c>
      <c r="E1478" t="inlineStr">
        <is>
          <t>Vodacom Life 20260617</t>
        </is>
      </c>
      <c r="G1478" t="inlineStr">
        <is>
          <t>ANDRE</t>
        </is>
      </c>
      <c r="H1478" t="inlineStr">
        <is>
          <t>KRUGER</t>
        </is>
      </c>
      <c r="J1478" t="inlineStr">
        <is>
          <t>NI</t>
        </is>
      </c>
      <c r="K1478" t="inlineStr">
        <is>
          <t>Not Interested</t>
        </is>
      </c>
      <c r="L1478" t="n">
        <v>1</v>
      </c>
      <c r="M1478" t="inlineStr">
        <is>
          <t>2026-06-18 10:02:58</t>
        </is>
      </c>
      <c r="N1478" t="inlineStr">
        <is>
          <t>Khensane Mabasa</t>
        </is>
      </c>
      <c r="O1478" t="inlineStr">
        <is>
          <t>2026-06-17 14:10:06</t>
        </is>
      </c>
      <c r="P1478" t="inlineStr">
        <is>
          <t>2026-06-17 14:10:06</t>
        </is>
      </c>
      <c r="Y1478" t="inlineStr">
        <is>
          <t>27760902175</t>
        </is>
      </c>
    </row>
    <row r="1479">
      <c r="A1479" t="inlineStr">
        <is>
          <t>14921282</t>
        </is>
      </c>
      <c r="B1479" t="inlineStr">
        <is>
          <t>17d6d613-1977-4d13-9ff4-8e4085942e53</t>
        </is>
      </c>
      <c r="D1479" t="inlineStr">
        <is>
          <t>111111124</t>
        </is>
      </c>
      <c r="E1479" t="inlineStr">
        <is>
          <t>Vodacom Life 20260617</t>
        </is>
      </c>
      <c r="G1479" t="inlineStr">
        <is>
          <t>LETHULI</t>
        </is>
      </c>
      <c r="H1479" t="inlineStr">
        <is>
          <t>MOKOENA</t>
        </is>
      </c>
      <c r="J1479" t="inlineStr">
        <is>
          <t>NI</t>
        </is>
      </c>
      <c r="K1479" t="inlineStr">
        <is>
          <t>Not Interested</t>
        </is>
      </c>
      <c r="L1479" t="n">
        <v>2</v>
      </c>
      <c r="M1479" t="inlineStr">
        <is>
          <t>2026-06-18 09:58:31</t>
        </is>
      </c>
      <c r="N1479" t="inlineStr">
        <is>
          <t>Khensane Mabasa</t>
        </is>
      </c>
      <c r="O1479" t="inlineStr">
        <is>
          <t>2026-06-17 14:10:06</t>
        </is>
      </c>
      <c r="P1479" t="inlineStr">
        <is>
          <t>2026-06-17 14:10:06</t>
        </is>
      </c>
      <c r="Y1479" t="inlineStr">
        <is>
          <t>27729015507</t>
        </is>
      </c>
    </row>
    <row r="1480">
      <c r="A1480" t="inlineStr">
        <is>
          <t>14920895</t>
        </is>
      </c>
      <c r="B1480" t="inlineStr">
        <is>
          <t>ba798ced-58f6-48b8-9436-df7d4b594431</t>
        </is>
      </c>
      <c r="D1480" t="inlineStr">
        <is>
          <t>111111124</t>
        </is>
      </c>
      <c r="E1480" t="inlineStr">
        <is>
          <t>Vodacom Life 20260617</t>
        </is>
      </c>
      <c r="G1480" t="inlineStr">
        <is>
          <t>JIMMY</t>
        </is>
      </c>
      <c r="H1480" t="inlineStr">
        <is>
          <t>CHUBISI</t>
        </is>
      </c>
      <c r="J1480" t="inlineStr">
        <is>
          <t>CBACK</t>
        </is>
      </c>
      <c r="K1480" t="inlineStr">
        <is>
          <t>Callback</t>
        </is>
      </c>
      <c r="L1480" t="n">
        <v>1</v>
      </c>
      <c r="M1480" t="inlineStr">
        <is>
          <t>2026-06-18 09:45:31</t>
        </is>
      </c>
      <c r="N1480" t="inlineStr">
        <is>
          <t>bongiwe lushaba</t>
        </is>
      </c>
      <c r="O1480" t="inlineStr">
        <is>
          <t>2026-06-17 14:10:06</t>
        </is>
      </c>
      <c r="P1480" t="inlineStr">
        <is>
          <t>2026-06-17 14:10:06</t>
        </is>
      </c>
      <c r="Y1480" t="inlineStr">
        <is>
          <t>27768886859</t>
        </is>
      </c>
    </row>
    <row r="1481">
      <c r="A1481" t="inlineStr">
        <is>
          <t>14920911</t>
        </is>
      </c>
      <c r="B1481" t="inlineStr">
        <is>
          <t>66b9225d-bd53-4f0e-b8a3-0323a8e719e2</t>
        </is>
      </c>
      <c r="D1481" t="inlineStr">
        <is>
          <t>111111124</t>
        </is>
      </c>
      <c r="E1481" t="inlineStr">
        <is>
          <t>Vodacom Life 20260617</t>
        </is>
      </c>
      <c r="G1481" t="inlineStr">
        <is>
          <t>FREDDY</t>
        </is>
      </c>
      <c r="H1481" t="inlineStr">
        <is>
          <t>MILAZI</t>
        </is>
      </c>
      <c r="J1481" t="inlineStr">
        <is>
          <t>CBACK</t>
        </is>
      </c>
      <c r="K1481" t="inlineStr">
        <is>
          <t>Callback</t>
        </is>
      </c>
      <c r="L1481" t="n">
        <v>1</v>
      </c>
      <c r="M1481" t="inlineStr">
        <is>
          <t>2026-06-18 09:42:58</t>
        </is>
      </c>
      <c r="N1481" t="inlineStr">
        <is>
          <t>bongiwe lushaba</t>
        </is>
      </c>
      <c r="O1481" t="inlineStr">
        <is>
          <t>2026-06-17 14:10:06</t>
        </is>
      </c>
      <c r="P1481" t="inlineStr">
        <is>
          <t>2026-06-17 14:10:06</t>
        </is>
      </c>
      <c r="Y1481" t="inlineStr">
        <is>
          <t>27721912443</t>
        </is>
      </c>
    </row>
    <row r="1482">
      <c r="A1482" t="inlineStr">
        <is>
          <t>14920486</t>
        </is>
      </c>
      <c r="B1482" t="inlineStr">
        <is>
          <t>0d9d74d5-4f66-4c07-a25f-bbc8c8f83956</t>
        </is>
      </c>
      <c r="D1482" t="inlineStr">
        <is>
          <t>111111124</t>
        </is>
      </c>
      <c r="E1482" t="inlineStr">
        <is>
          <t>Vodacom Life 20260617</t>
        </is>
      </c>
      <c r="G1482" t="inlineStr">
        <is>
          <t>TIISETSO</t>
        </is>
      </c>
      <c r="H1482" t="inlineStr">
        <is>
          <t>MASIA</t>
        </is>
      </c>
      <c r="J1482" t="inlineStr">
        <is>
          <t>EC</t>
        </is>
      </c>
      <c r="K1482" t="inlineStr">
        <is>
          <t>Existing Client</t>
        </is>
      </c>
      <c r="L1482" t="n">
        <v>3</v>
      </c>
      <c r="M1482" t="inlineStr">
        <is>
          <t>2026-06-18 09:42:41</t>
        </is>
      </c>
      <c r="N1482" t="inlineStr">
        <is>
          <t>Maureen Ntsoko</t>
        </is>
      </c>
      <c r="O1482" t="inlineStr">
        <is>
          <t>2026-06-17 14:10:06</t>
        </is>
      </c>
      <c r="P1482" t="inlineStr">
        <is>
          <t>2026-06-17 14:10:06</t>
        </is>
      </c>
      <c r="Y1482" t="inlineStr">
        <is>
          <t>27828027657</t>
        </is>
      </c>
    </row>
    <row r="1483">
      <c r="A1483" t="inlineStr">
        <is>
          <t>14921235</t>
        </is>
      </c>
      <c r="B1483" t="inlineStr">
        <is>
          <t>628d8c58-42a4-4913-a52a-0b4e4924d426</t>
        </is>
      </c>
      <c r="D1483" t="inlineStr">
        <is>
          <t>111111124</t>
        </is>
      </c>
      <c r="E1483" t="inlineStr">
        <is>
          <t>Vodacom Life 20260617</t>
        </is>
      </c>
      <c r="G1483" t="inlineStr">
        <is>
          <t>TR</t>
        </is>
      </c>
      <c r="H1483" t="inlineStr">
        <is>
          <t>SETHOBA</t>
        </is>
      </c>
      <c r="J1483" t="inlineStr">
        <is>
          <t>U</t>
        </is>
      </c>
      <c r="K1483" t="inlineStr">
        <is>
          <t>Unemployed</t>
        </is>
      </c>
      <c r="L1483" t="n">
        <v>1</v>
      </c>
      <c r="M1483" t="inlineStr">
        <is>
          <t>2026-06-18 09:25:18</t>
        </is>
      </c>
      <c r="N1483" t="inlineStr">
        <is>
          <t>Khensane Mabasa</t>
        </is>
      </c>
      <c r="O1483" t="inlineStr">
        <is>
          <t>2026-06-17 14:10:06</t>
        </is>
      </c>
      <c r="P1483" t="inlineStr">
        <is>
          <t>2026-06-17 14:10:06</t>
        </is>
      </c>
      <c r="Y1483" t="inlineStr">
        <is>
          <t>27823001569</t>
        </is>
      </c>
    </row>
    <row r="1484">
      <c r="A1484" t="inlineStr">
        <is>
          <t>14921694</t>
        </is>
      </c>
      <c r="B1484" t="inlineStr">
        <is>
          <t>dd5f284e-705c-4c20-ac90-1b227d2fb851</t>
        </is>
      </c>
      <c r="D1484" t="inlineStr">
        <is>
          <t>111111124</t>
        </is>
      </c>
      <c r="E1484" t="inlineStr">
        <is>
          <t>Vodacom Life 20260617</t>
        </is>
      </c>
      <c r="G1484" t="inlineStr">
        <is>
          <t>LUCY</t>
        </is>
      </c>
      <c r="H1484" t="inlineStr">
        <is>
          <t>TLHWAELA</t>
        </is>
      </c>
      <c r="J1484" t="inlineStr">
        <is>
          <t>NI</t>
        </is>
      </c>
      <c r="K1484" t="inlineStr">
        <is>
          <t>Not Interested</t>
        </is>
      </c>
      <c r="L1484" t="n">
        <v>1</v>
      </c>
      <c r="M1484" t="inlineStr">
        <is>
          <t>2026-06-18 09:03:26</t>
        </is>
      </c>
      <c r="N1484" t="inlineStr">
        <is>
          <t>Maureen Ntsoko</t>
        </is>
      </c>
      <c r="O1484" t="inlineStr">
        <is>
          <t>2026-06-17 14:10:06</t>
        </is>
      </c>
      <c r="P1484" t="inlineStr">
        <is>
          <t>2026-06-17 14:10:06</t>
        </is>
      </c>
      <c r="Y1484" t="inlineStr">
        <is>
          <t>27662112620</t>
        </is>
      </c>
    </row>
    <row r="1485">
      <c r="A1485" t="inlineStr">
        <is>
          <t>14921817</t>
        </is>
      </c>
      <c r="B1485" t="inlineStr">
        <is>
          <t>3a03ed68-5561-4053-ab36-77d6b59c1b45</t>
        </is>
      </c>
      <c r="D1485" t="inlineStr">
        <is>
          <t>111111124</t>
        </is>
      </c>
      <c r="E1485" t="inlineStr">
        <is>
          <t>Vodacom Life 20260617</t>
        </is>
      </c>
      <c r="G1485" t="inlineStr">
        <is>
          <t>JODY</t>
        </is>
      </c>
      <c r="H1485" t="inlineStr">
        <is>
          <t>LAGUMA</t>
        </is>
      </c>
      <c r="J1485" t="inlineStr">
        <is>
          <t>NI</t>
        </is>
      </c>
      <c r="K1485" t="inlineStr">
        <is>
          <t>Not Interested</t>
        </is>
      </c>
      <c r="L1485" t="n">
        <v>1</v>
      </c>
      <c r="M1485" t="inlineStr">
        <is>
          <t>2026-06-18 09:01:04</t>
        </is>
      </c>
      <c r="N1485" t="inlineStr">
        <is>
          <t>Khensane Mabasa</t>
        </is>
      </c>
      <c r="O1485" t="inlineStr">
        <is>
          <t>2026-06-17 14:10:06</t>
        </is>
      </c>
      <c r="P1485" t="inlineStr">
        <is>
          <t>2026-06-17 14:10:06</t>
        </is>
      </c>
      <c r="Y1485" t="inlineStr">
        <is>
          <t>27710510579</t>
        </is>
      </c>
    </row>
    <row r="1486">
      <c r="A1486" t="inlineStr">
        <is>
          <t>14921857</t>
        </is>
      </c>
      <c r="B1486" t="inlineStr">
        <is>
          <t>cdf7be92-01c8-492b-8a44-4bb448101b84</t>
        </is>
      </c>
      <c r="D1486" t="inlineStr">
        <is>
          <t>111111124</t>
        </is>
      </c>
      <c r="E1486" t="inlineStr">
        <is>
          <t>Vodacom Life 20260617</t>
        </is>
      </c>
      <c r="G1486" t="inlineStr">
        <is>
          <t>RYK</t>
        </is>
      </c>
      <c r="H1486" t="inlineStr">
        <is>
          <t>PRETORIUS</t>
        </is>
      </c>
      <c r="J1486" t="inlineStr">
        <is>
          <t>NI</t>
        </is>
      </c>
      <c r="K1486" t="inlineStr">
        <is>
          <t>Not Interested</t>
        </is>
      </c>
      <c r="L1486" t="n">
        <v>1</v>
      </c>
      <c r="M1486" t="inlineStr">
        <is>
          <t>2026-06-18 08:58:16</t>
        </is>
      </c>
      <c r="N1486" t="inlineStr">
        <is>
          <t>Maureen Ntsoko</t>
        </is>
      </c>
      <c r="O1486" t="inlineStr">
        <is>
          <t>2026-06-17 14:10:06</t>
        </is>
      </c>
      <c r="P1486" t="inlineStr">
        <is>
          <t>2026-06-17 14:10:06</t>
        </is>
      </c>
      <c r="Y1486" t="inlineStr">
        <is>
          <t>27768106935</t>
        </is>
      </c>
    </row>
    <row r="1487">
      <c r="A1487" t="inlineStr">
        <is>
          <t>14900000</t>
        </is>
      </c>
      <c r="B1487" t="inlineStr">
        <is>
          <t>2e850188-864e-4f06-beca-893064b3312d</t>
        </is>
      </c>
      <c r="D1487" t="inlineStr">
        <is>
          <t>111111124</t>
        </is>
      </c>
      <c r="E1487" t="inlineStr">
        <is>
          <t>Vodacom Life 20260617</t>
        </is>
      </c>
      <c r="G1487" t="inlineStr">
        <is>
          <t>ANDREW</t>
        </is>
      </c>
      <c r="H1487" t="inlineStr">
        <is>
          <t>CHERRINGTON</t>
        </is>
      </c>
      <c r="J1487" t="inlineStr">
        <is>
          <t>NI</t>
        </is>
      </c>
      <c r="K1487" t="inlineStr">
        <is>
          <t>Not Interested</t>
        </is>
      </c>
      <c r="L1487" t="n">
        <v>1</v>
      </c>
      <c r="M1487" t="inlineStr">
        <is>
          <t>2026-06-18 08:55:37</t>
        </is>
      </c>
      <c r="N1487" t="inlineStr">
        <is>
          <t>Khensane Mabasa</t>
        </is>
      </c>
      <c r="O1487" t="inlineStr">
        <is>
          <t>2026-06-17 14:10:06</t>
        </is>
      </c>
      <c r="P1487" t="inlineStr">
        <is>
          <t>2026-06-17 14:10:06</t>
        </is>
      </c>
      <c r="Y1487" t="inlineStr">
        <is>
          <t>27761656266</t>
        </is>
      </c>
    </row>
    <row r="1488">
      <c r="A1488" t="inlineStr">
        <is>
          <t>14921452</t>
        </is>
      </c>
      <c r="B1488" t="inlineStr">
        <is>
          <t>1fb84373-e3b0-491d-b9e6-ab22e89c9f7e</t>
        </is>
      </c>
      <c r="D1488" t="inlineStr">
        <is>
          <t>111111124</t>
        </is>
      </c>
      <c r="E1488" t="inlineStr">
        <is>
          <t>Vodacom Life 20260617</t>
        </is>
      </c>
      <c r="G1488" t="inlineStr">
        <is>
          <t>NTHATISI</t>
        </is>
      </c>
      <c r="H1488" t="inlineStr">
        <is>
          <t>MOLOI</t>
        </is>
      </c>
      <c r="J1488" t="inlineStr">
        <is>
          <t>NI</t>
        </is>
      </c>
      <c r="K1488" t="inlineStr">
        <is>
          <t>Not Interested</t>
        </is>
      </c>
      <c r="L1488" t="n">
        <v>1</v>
      </c>
      <c r="M1488" t="inlineStr">
        <is>
          <t>2026-06-18 08:53:01</t>
        </is>
      </c>
      <c r="N1488" t="inlineStr">
        <is>
          <t>Khensane Mabasa</t>
        </is>
      </c>
      <c r="O1488" t="inlineStr">
        <is>
          <t>2026-06-17 14:10:06</t>
        </is>
      </c>
      <c r="P1488" t="inlineStr">
        <is>
          <t>2026-06-17 14:10:06</t>
        </is>
      </c>
      <c r="Y1488" t="inlineStr">
        <is>
          <t>27662872211</t>
        </is>
      </c>
    </row>
    <row r="1489">
      <c r="A1489" t="inlineStr">
        <is>
          <t>14921461</t>
        </is>
      </c>
      <c r="B1489" t="inlineStr">
        <is>
          <t>7300c42c-d3a1-4f1b-962a-335702468cb4</t>
        </is>
      </c>
      <c r="D1489" t="inlineStr">
        <is>
          <t>111111124</t>
        </is>
      </c>
      <c r="E1489" t="inlineStr">
        <is>
          <t>Vodacom Life 20260617</t>
        </is>
      </c>
      <c r="G1489" t="inlineStr">
        <is>
          <t>PATRICK</t>
        </is>
      </c>
      <c r="H1489" t="inlineStr">
        <is>
          <t>MALEBYE</t>
        </is>
      </c>
      <c r="J1489" t="inlineStr">
        <is>
          <t>OAL</t>
        </is>
      </c>
      <c r="K1489" t="inlineStr">
        <is>
          <t>Over Age Limit</t>
        </is>
      </c>
      <c r="L1489" t="n">
        <v>1</v>
      </c>
      <c r="M1489" t="inlineStr">
        <is>
          <t>2026-06-18 08:51:13</t>
        </is>
      </c>
      <c r="N1489" t="inlineStr">
        <is>
          <t>Maureen Ntsoko</t>
        </is>
      </c>
      <c r="O1489" t="inlineStr">
        <is>
          <t>2026-06-17 14:10:06</t>
        </is>
      </c>
      <c r="P1489" t="inlineStr">
        <is>
          <t>2026-06-17 14:10:06</t>
        </is>
      </c>
      <c r="Y1489" t="inlineStr">
        <is>
          <t>27793124687</t>
        </is>
      </c>
    </row>
    <row r="1490">
      <c r="A1490" t="inlineStr">
        <is>
          <t>14921762</t>
        </is>
      </c>
      <c r="B1490" t="inlineStr">
        <is>
          <t>1b1a336a-2b8e-4d35-8e81-fd4e3234c2f0</t>
        </is>
      </c>
      <c r="D1490" t="inlineStr">
        <is>
          <t>111111124</t>
        </is>
      </c>
      <c r="E1490" t="inlineStr">
        <is>
          <t>Vodacom Life 20260617</t>
        </is>
      </c>
      <c r="G1490" t="inlineStr">
        <is>
          <t>DEVRANI</t>
        </is>
      </c>
      <c r="H1490" t="inlineStr">
        <is>
          <t>PERUMAL</t>
        </is>
      </c>
      <c r="J1490" t="inlineStr">
        <is>
          <t>AC</t>
        </is>
      </c>
      <c r="K1490" t="inlineStr">
        <is>
          <t>Already Contacted</t>
        </is>
      </c>
      <c r="L1490" t="n">
        <v>2</v>
      </c>
      <c r="M1490" t="inlineStr">
        <is>
          <t>2026-06-18 08:48:09</t>
        </is>
      </c>
      <c r="N1490" t="inlineStr">
        <is>
          <t>Maureen Ntsoko</t>
        </is>
      </c>
      <c r="O1490" t="inlineStr">
        <is>
          <t>2026-06-17 14:10:06</t>
        </is>
      </c>
      <c r="P1490" t="inlineStr">
        <is>
          <t>2026-06-17 14:10:06</t>
        </is>
      </c>
      <c r="Y1490" t="inlineStr">
        <is>
          <t>27665625837</t>
        </is>
      </c>
    </row>
    <row r="1491">
      <c r="A1491" t="inlineStr">
        <is>
          <t>14921727</t>
        </is>
      </c>
      <c r="B1491" t="inlineStr">
        <is>
          <t>31949c39-dd62-41bd-952f-2329cec3583e</t>
        </is>
      </c>
      <c r="D1491" t="inlineStr">
        <is>
          <t>111111124</t>
        </is>
      </c>
      <c r="E1491" t="inlineStr">
        <is>
          <t>Vodacom Life 20260617</t>
        </is>
      </c>
      <c r="G1491" t="inlineStr">
        <is>
          <t>BRIGID</t>
        </is>
      </c>
      <c r="H1491" t="inlineStr">
        <is>
          <t>VAN WYK</t>
        </is>
      </c>
      <c r="J1491" t="inlineStr">
        <is>
          <t>NI</t>
        </is>
      </c>
      <c r="K1491" t="inlineStr">
        <is>
          <t>Not Interested</t>
        </is>
      </c>
      <c r="L1491" t="n">
        <v>1</v>
      </c>
      <c r="M1491" t="inlineStr">
        <is>
          <t>2026-06-18 08:43:24</t>
        </is>
      </c>
      <c r="N1491" t="inlineStr">
        <is>
          <t>Khensane Mabasa</t>
        </is>
      </c>
      <c r="O1491" t="inlineStr">
        <is>
          <t>2026-06-17 14:10:06</t>
        </is>
      </c>
      <c r="P1491" t="inlineStr">
        <is>
          <t>2026-06-17 14:10:06</t>
        </is>
      </c>
      <c r="Y1491" t="inlineStr">
        <is>
          <t>27662261821</t>
        </is>
      </c>
    </row>
    <row r="1492">
      <c r="A1492" t="inlineStr">
        <is>
          <t>14921804</t>
        </is>
      </c>
      <c r="B1492" t="inlineStr">
        <is>
          <t>9acc20ab-d7f4-4b83-ad61-3ef0e2806b76</t>
        </is>
      </c>
      <c r="D1492" t="inlineStr">
        <is>
          <t>111111124</t>
        </is>
      </c>
      <c r="E1492" t="inlineStr">
        <is>
          <t>Vodacom Life 20260617</t>
        </is>
      </c>
      <c r="G1492" t="inlineStr">
        <is>
          <t>NTAKADZENI</t>
        </is>
      </c>
      <c r="H1492" t="inlineStr">
        <is>
          <t>SIKIELE</t>
        </is>
      </c>
      <c r="J1492" t="inlineStr">
        <is>
          <t>CBACK</t>
        </is>
      </c>
      <c r="K1492" t="inlineStr">
        <is>
          <t>Callback</t>
        </is>
      </c>
      <c r="L1492" t="n">
        <v>1</v>
      </c>
      <c r="M1492" t="inlineStr">
        <is>
          <t>2026-06-18 08:38:54</t>
        </is>
      </c>
      <c r="N1492" t="inlineStr">
        <is>
          <t>bongiwe lushaba</t>
        </is>
      </c>
      <c r="O1492" t="inlineStr">
        <is>
          <t>2026-06-17 14:10:06</t>
        </is>
      </c>
      <c r="P1492" t="inlineStr">
        <is>
          <t>2026-06-17 14:10:06</t>
        </is>
      </c>
      <c r="Y1492" t="inlineStr">
        <is>
          <t>27726484117</t>
        </is>
      </c>
    </row>
    <row r="1493">
      <c r="A1493" t="inlineStr">
        <is>
          <t>14921302</t>
        </is>
      </c>
      <c r="B1493" t="inlineStr">
        <is>
          <t>68fddadc-abf5-4f2e-a217-72618a8d34dd</t>
        </is>
      </c>
      <c r="D1493" t="inlineStr">
        <is>
          <t>111111124</t>
        </is>
      </c>
      <c r="E1493" t="inlineStr">
        <is>
          <t>Vodacom Life 20260617</t>
        </is>
      </c>
      <c r="G1493" t="inlineStr">
        <is>
          <t>PORTIA</t>
        </is>
      </c>
      <c r="H1493" t="inlineStr">
        <is>
          <t>MPHAHO</t>
        </is>
      </c>
      <c r="J1493" t="inlineStr">
        <is>
          <t>CBACK</t>
        </is>
      </c>
      <c r="K1493" t="inlineStr">
        <is>
          <t>Callback</t>
        </is>
      </c>
      <c r="L1493" t="n">
        <v>2</v>
      </c>
      <c r="M1493" t="inlineStr">
        <is>
          <t>2026-06-18 08:34:17</t>
        </is>
      </c>
      <c r="N1493" t="inlineStr">
        <is>
          <t>Maureen Ntsoko</t>
        </is>
      </c>
      <c r="O1493" t="inlineStr">
        <is>
          <t>2026-06-17 14:10:06</t>
        </is>
      </c>
      <c r="P1493" t="inlineStr">
        <is>
          <t>2026-06-17 14:10:06</t>
        </is>
      </c>
      <c r="Y1493" t="inlineStr">
        <is>
          <t>27797729905</t>
        </is>
      </c>
    </row>
    <row r="1494">
      <c r="A1494" t="inlineStr">
        <is>
          <t>14921276</t>
        </is>
      </c>
      <c r="B1494" t="inlineStr">
        <is>
          <t>015a874c-61ad-45b5-950e-ed7946204e48</t>
        </is>
      </c>
      <c r="D1494" t="inlineStr">
        <is>
          <t>111111124</t>
        </is>
      </c>
      <c r="E1494" t="inlineStr">
        <is>
          <t>Vodacom Life 20260617</t>
        </is>
      </c>
      <c r="G1494" t="inlineStr">
        <is>
          <t>VUYELWA</t>
        </is>
      </c>
      <c r="H1494" t="inlineStr">
        <is>
          <t>HLEHLISO</t>
        </is>
      </c>
      <c r="J1494" t="inlineStr">
        <is>
          <t>NI</t>
        </is>
      </c>
      <c r="K1494" t="inlineStr">
        <is>
          <t>Not Interested</t>
        </is>
      </c>
      <c r="L1494" t="n">
        <v>1</v>
      </c>
      <c r="M1494" t="inlineStr">
        <is>
          <t>2026-06-18 08:31:16</t>
        </is>
      </c>
      <c r="N1494" t="inlineStr">
        <is>
          <t>Maureen Ntsoko</t>
        </is>
      </c>
      <c r="O1494" t="inlineStr">
        <is>
          <t>2026-06-17 14:10:06</t>
        </is>
      </c>
      <c r="P1494" t="inlineStr">
        <is>
          <t>2026-06-17 14:10:06</t>
        </is>
      </c>
      <c r="Y1494" t="inlineStr">
        <is>
          <t>27662257406</t>
        </is>
      </c>
    </row>
    <row r="1495">
      <c r="A1495" t="inlineStr">
        <is>
          <t>14921772</t>
        </is>
      </c>
      <c r="B1495" t="inlineStr">
        <is>
          <t>411edae4-7d11-4ba1-af15-f2720438f8e7</t>
        </is>
      </c>
      <c r="D1495" t="inlineStr">
        <is>
          <t>111111124</t>
        </is>
      </c>
      <c r="E1495" t="inlineStr">
        <is>
          <t>Vodacom Life 20260617</t>
        </is>
      </c>
      <c r="G1495" t="inlineStr">
        <is>
          <t>HENDRIK</t>
        </is>
      </c>
      <c r="H1495" t="inlineStr">
        <is>
          <t>BARNARD</t>
        </is>
      </c>
      <c r="J1495" t="inlineStr">
        <is>
          <t>CBACK</t>
        </is>
      </c>
      <c r="K1495" t="inlineStr">
        <is>
          <t>Callback</t>
        </is>
      </c>
      <c r="L1495" t="n">
        <v>1</v>
      </c>
      <c r="M1495" t="inlineStr">
        <is>
          <t>2026-06-18 08:31:01</t>
        </is>
      </c>
      <c r="N1495" t="inlineStr">
        <is>
          <t>Maureen Ntsoko</t>
        </is>
      </c>
      <c r="O1495" t="inlineStr">
        <is>
          <t>2026-06-17 14:10:06</t>
        </is>
      </c>
      <c r="P1495" t="inlineStr">
        <is>
          <t>2026-06-17 14:10:06</t>
        </is>
      </c>
      <c r="Y1495" t="inlineStr">
        <is>
          <t>27724364131</t>
        </is>
      </c>
    </row>
    <row r="1496">
      <c r="A1496" t="inlineStr">
        <is>
          <t>14921272</t>
        </is>
      </c>
      <c r="B1496" t="inlineStr">
        <is>
          <t>327f49e6-f5ca-4647-8661-4b475884c3be</t>
        </is>
      </c>
      <c r="D1496" t="inlineStr">
        <is>
          <t>111111124</t>
        </is>
      </c>
      <c r="E1496" t="inlineStr">
        <is>
          <t>Vodacom Life 20260617</t>
        </is>
      </c>
      <c r="G1496" t="inlineStr">
        <is>
          <t>MIRRIAM</t>
        </is>
      </c>
      <c r="H1496" t="inlineStr">
        <is>
          <t>HOPANE</t>
        </is>
      </c>
      <c r="J1496" t="inlineStr">
        <is>
          <t>CBACK</t>
        </is>
      </c>
      <c r="K1496" t="inlineStr">
        <is>
          <t>Callback</t>
        </is>
      </c>
      <c r="L1496" t="n">
        <v>1</v>
      </c>
      <c r="M1496" t="inlineStr">
        <is>
          <t>2026-06-18 08:30:08</t>
        </is>
      </c>
      <c r="N1496" t="inlineStr">
        <is>
          <t>Maureen Ntsoko</t>
        </is>
      </c>
      <c r="O1496" t="inlineStr">
        <is>
          <t>2026-06-17 14:10:06</t>
        </is>
      </c>
      <c r="P1496" t="inlineStr">
        <is>
          <t>2026-06-17 14:10:06</t>
        </is>
      </c>
      <c r="Y1496" t="inlineStr">
        <is>
          <t>27722248004</t>
        </is>
      </c>
    </row>
    <row r="1497">
      <c r="A1497" t="inlineStr">
        <is>
          <t>14921767</t>
        </is>
      </c>
      <c r="B1497" t="inlineStr">
        <is>
          <t>c01dac36-5225-4478-8aa4-3113a91ab210</t>
        </is>
      </c>
      <c r="D1497" t="inlineStr">
        <is>
          <t>111111124</t>
        </is>
      </c>
      <c r="E1497" t="inlineStr">
        <is>
          <t>Vodacom Life 20260617</t>
        </is>
      </c>
      <c r="G1497" t="inlineStr">
        <is>
          <t>VICKI</t>
        </is>
      </c>
      <c r="H1497" t="inlineStr">
        <is>
          <t>KRIEL</t>
        </is>
      </c>
      <c r="J1497" t="inlineStr">
        <is>
          <t>NI</t>
        </is>
      </c>
      <c r="K1497" t="inlineStr">
        <is>
          <t>Not Interested</t>
        </is>
      </c>
      <c r="L1497" t="n">
        <v>1</v>
      </c>
      <c r="M1497" t="inlineStr">
        <is>
          <t>2026-06-18 08:28:34</t>
        </is>
      </c>
      <c r="N1497" t="inlineStr">
        <is>
          <t>Maureen Ntsoko</t>
        </is>
      </c>
      <c r="O1497" t="inlineStr">
        <is>
          <t>2026-06-17 14:10:06</t>
        </is>
      </c>
      <c r="P1497" t="inlineStr">
        <is>
          <t>2026-06-17 14:10:06</t>
        </is>
      </c>
      <c r="Y1497" t="inlineStr">
        <is>
          <t>27727455451</t>
        </is>
      </c>
    </row>
    <row r="1498">
      <c r="A1498" t="inlineStr">
        <is>
          <t>14920807</t>
        </is>
      </c>
      <c r="B1498" t="inlineStr">
        <is>
          <t>391ce669-5fed-4c06-bf07-2c8b71260fea</t>
        </is>
      </c>
      <c r="D1498" t="inlineStr">
        <is>
          <t>111111124</t>
        </is>
      </c>
      <c r="E1498" t="inlineStr">
        <is>
          <t>Vodacom Life 20260617</t>
        </is>
      </c>
      <c r="G1498" t="inlineStr">
        <is>
          <t>BHEKI</t>
        </is>
      </c>
      <c r="H1498" t="inlineStr">
        <is>
          <t>HADEBE</t>
        </is>
      </c>
      <c r="J1498" t="inlineStr">
        <is>
          <t>WN</t>
        </is>
      </c>
      <c r="K1498" t="inlineStr">
        <is>
          <t>Wrong Number</t>
        </is>
      </c>
      <c r="L1498" t="n">
        <v>2</v>
      </c>
      <c r="M1498" t="inlineStr">
        <is>
          <t>2026-06-17 14:46:56</t>
        </is>
      </c>
      <c r="N1498" t="inlineStr">
        <is>
          <t>Maureen Ntsoko</t>
        </is>
      </c>
      <c r="O1498" t="inlineStr">
        <is>
          <t>2026-06-17 14:10:06</t>
        </is>
      </c>
      <c r="P1498" t="inlineStr">
        <is>
          <t>2026-06-17 14:10:06</t>
        </is>
      </c>
      <c r="Y1498" t="inlineStr">
        <is>
          <t>27676948334</t>
        </is>
      </c>
    </row>
    <row r="1499">
      <c r="A1499" t="inlineStr">
        <is>
          <t>14921548</t>
        </is>
      </c>
      <c r="B1499" t="inlineStr">
        <is>
          <t>e4c3d6ec-a9f4-4830-9ca5-30448233bb55</t>
        </is>
      </c>
      <c r="D1499" t="inlineStr">
        <is>
          <t>111111124</t>
        </is>
      </c>
      <c r="E1499" t="inlineStr">
        <is>
          <t>Vodacom Life 20260617</t>
        </is>
      </c>
      <c r="G1499" t="inlineStr">
        <is>
          <t>ARTHRO</t>
        </is>
      </c>
      <c r="H1499" t="inlineStr">
        <is>
          <t>PETERSEN</t>
        </is>
      </c>
      <c r="J1499" t="inlineStr">
        <is>
          <t>SELECTED</t>
        </is>
      </c>
      <c r="K1499" t="inlineStr">
        <is>
          <t>Selected</t>
        </is>
      </c>
      <c r="L1499" t="n">
        <v>1</v>
      </c>
      <c r="O1499" t="inlineStr">
        <is>
          <t>2026-06-17 14:10:06</t>
        </is>
      </c>
      <c r="P1499" t="inlineStr">
        <is>
          <t>2026-06-17 14:10:06</t>
        </is>
      </c>
      <c r="Y1499" t="inlineStr">
        <is>
          <t>27796919283</t>
        </is>
      </c>
    </row>
    <row r="1500">
      <c r="A1500" t="inlineStr">
        <is>
          <t>14921558</t>
        </is>
      </c>
      <c r="D1500" t="inlineStr">
        <is>
          <t>111111124</t>
        </is>
      </c>
      <c r="E1500" t="inlineStr">
        <is>
          <t>Vodacom Life 20260617</t>
        </is>
      </c>
      <c r="G1500" t="inlineStr">
        <is>
          <t>CYNTHIA</t>
        </is>
      </c>
      <c r="H1500" t="inlineStr">
        <is>
          <t>SCHEEPERS</t>
        </is>
      </c>
      <c r="J1500" t="inlineStr">
        <is>
          <t>None</t>
        </is>
      </c>
      <c r="K1500" t="inlineStr">
        <is>
          <t>New</t>
        </is>
      </c>
      <c r="L1500" t="n">
        <v>0</v>
      </c>
      <c r="O1500" t="inlineStr">
        <is>
          <t>2026-06-17 14:10:06</t>
        </is>
      </c>
      <c r="P1500" t="inlineStr">
        <is>
          <t>2026-06-17 14:10:06</t>
        </is>
      </c>
      <c r="Y1500" t="inlineStr">
        <is>
          <t>27637774457</t>
        </is>
      </c>
    </row>
    <row r="1501">
      <c r="A1501" t="inlineStr">
        <is>
          <t>14900000</t>
        </is>
      </c>
      <c r="B1501" t="inlineStr">
        <is>
          <t>8218060e-8155-4646-b7b5-b6317a212ef8</t>
        </is>
      </c>
      <c r="D1501" t="inlineStr">
        <is>
          <t>111111124</t>
        </is>
      </c>
      <c r="E1501" t="inlineStr">
        <is>
          <t>Vodacom Life 20260617</t>
        </is>
      </c>
      <c r="G1501" t="inlineStr">
        <is>
          <t>THABO</t>
        </is>
      </c>
      <c r="H1501" t="inlineStr">
        <is>
          <t>SITHOLE</t>
        </is>
      </c>
      <c r="J1501" t="inlineStr">
        <is>
          <t>SELECTED</t>
        </is>
      </c>
      <c r="K1501" t="inlineStr">
        <is>
          <t>Selected</t>
        </is>
      </c>
      <c r="L1501" t="n">
        <v>1</v>
      </c>
      <c r="O1501" t="inlineStr">
        <is>
          <t>2026-06-17 14:10:06</t>
        </is>
      </c>
      <c r="P1501" t="inlineStr">
        <is>
          <t>2026-06-17 14:10:06</t>
        </is>
      </c>
      <c r="Y1501" t="inlineStr">
        <is>
          <t>27793116593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/>
    <row r="4"/>
    <row r="5" ht="15.75" customHeight="1">
      <c r="A5" s="2" t="n"/>
    </row>
    <row r="6">
      <c r="A6" s="3" t="inlineStr">
        <is>
          <t>total leads</t>
        </is>
      </c>
    </row>
    <row r="7">
      <c r="A7" s="4" t="inlineStr">
        <is>
          <t>unworked leads (new leads)</t>
        </is>
      </c>
    </row>
    <row r="8">
      <c r="A8" s="4" t="inlineStr">
        <is>
          <t>succesful contacts</t>
        </is>
      </c>
    </row>
    <row r="9">
      <c r="A9" s="4" t="inlineStr">
        <is>
          <t>true contacts</t>
        </is>
      </c>
    </row>
    <row r="10">
      <c r="A10" s="4" t="inlineStr">
        <is>
          <t>conversion</t>
        </is>
      </c>
    </row>
    <row r="11">
      <c r="A11" s="4" t="inlineStr">
        <is>
          <t>true sales (post qa)</t>
        </is>
      </c>
    </row>
    <row r="12">
      <c r="A12" s="4" t="inlineStr">
        <is>
          <t>Collections</t>
        </is>
      </c>
    </row>
    <row r="13">
      <c r="A13" s="4" t="inlineStr">
        <is>
          <t>Number of missed 1st Collections</t>
        </is>
      </c>
    </row>
    <row r="14">
      <c r="A14" s="4" t="inlineStr">
        <is>
          <t>NTU</t>
        </is>
      </c>
    </row>
    <row r="15">
      <c r="A15" s="4" t="inlineStr">
        <is>
          <t>Cancellations/Lapse</t>
        </is>
      </c>
    </row>
    <row r="16">
      <c r="A16" s="4" t="n"/>
    </row>
    <row r="17">
      <c r="A17" s="4" t="inlineStr">
        <is>
          <t>contactability</t>
        </is>
      </c>
    </row>
    <row r="18">
      <c r="A18" s="4" t="inlineStr">
        <is>
          <t>lead to sale conversion</t>
        </is>
      </c>
    </row>
    <row r="19">
      <c r="A19" s="4" t="inlineStr">
        <is>
          <t>conversion to true sale</t>
        </is>
      </c>
    </row>
    <row r="20">
      <c r="A20" s="4" t="inlineStr">
        <is>
          <t>true contacts to sales</t>
        </is>
      </c>
    </row>
    <row r="21">
      <c r="A21" s="4" t="inlineStr">
        <is>
          <t>True Sale to Collections</t>
        </is>
      </c>
    </row>
    <row r="22">
      <c r="A22" s="4" t="n"/>
    </row>
    <row r="23">
      <c r="A23" s="4" t="inlineStr">
        <is>
          <t>Number of Calls to Leads</t>
        </is>
      </c>
    </row>
    <row r="24">
      <c r="A24" s="4" t="inlineStr">
        <is>
          <t>Number of Calls Made</t>
        </is>
      </c>
    </row>
    <row r="25">
      <c r="A25" s="4" t="inlineStr">
        <is>
          <t>Number of Calls per Lead</t>
        </is>
      </c>
    </row>
    <row r="26">
      <c r="A26" s="4" t="inlineStr">
        <is>
          <t>Number of Agents</t>
        </is>
      </c>
    </row>
    <row r="27">
      <c r="A27" s="4" t="inlineStr">
        <is>
          <t>Number of Working Days</t>
        </is>
      </c>
    </row>
    <row r="28">
      <c r="A28" s="4" t="n"/>
    </row>
    <row r="29">
      <c r="A29" s="5" t="inlineStr">
        <is>
          <t>Unsuccesful Contacts Dispositions</t>
        </is>
      </c>
    </row>
    <row r="30">
      <c r="A30" s="4" t="inlineStr">
        <is>
          <t>Auto Dial Disconnected</t>
        </is>
      </c>
    </row>
    <row r="31">
      <c r="A31" s="4" t="inlineStr">
        <is>
          <t>Answering Machine Autodial</t>
        </is>
      </c>
    </row>
    <row r="32">
      <c r="A32" s="4" t="inlineStr">
        <is>
          <t>No Answer Autodial</t>
        </is>
      </c>
    </row>
    <row r="33">
      <c r="A33" s="6" t="inlineStr">
        <is>
          <t>Dropped</t>
        </is>
      </c>
    </row>
    <row r="34">
      <c r="A34" s="6" t="inlineStr">
        <is>
          <t>Answering Machine</t>
        </is>
      </c>
    </row>
    <row r="35">
      <c r="A35" s="6" t="inlineStr">
        <is>
          <t>Temporary Disconnected Number</t>
        </is>
      </c>
    </row>
    <row r="36">
      <c r="A36" s="4" t="inlineStr">
        <is>
          <t>Auto Engaged</t>
        </is>
      </c>
    </row>
    <row r="37">
      <c r="A37" s="4" t="inlineStr">
        <is>
          <t>Bad Line Quality</t>
        </is>
      </c>
    </row>
    <row r="38">
      <c r="A38" s="6" t="inlineStr">
        <is>
          <t>Outbound Pre-Routing Drop</t>
        </is>
      </c>
    </row>
    <row r="39">
      <c r="A39" s="6" t="inlineStr">
        <is>
          <t>No Answer</t>
        </is>
      </c>
    </row>
    <row r="40">
      <c r="A40" s="6" t="inlineStr">
        <is>
          <t>Busy Tone</t>
        </is>
      </c>
    </row>
    <row r="41">
      <c r="A41" s="4" t="inlineStr">
        <is>
          <t>Inbound Abandon</t>
        </is>
      </c>
    </row>
    <row r="42">
      <c r="A42" s="6" t="inlineStr">
        <is>
          <t>Selected</t>
        </is>
      </c>
    </row>
    <row r="43">
      <c r="A43" s="4" t="inlineStr">
        <is>
          <t>Inbound After Hours Drop</t>
        </is>
      </c>
    </row>
    <row r="44">
      <c r="A44" s="4" t="inlineStr">
        <is>
          <t>New</t>
        </is>
      </c>
    </row>
    <row r="45">
      <c r="A45" s="4" t="inlineStr">
        <is>
          <t>Missed</t>
        </is>
      </c>
    </row>
    <row r="46">
      <c r="A46" s="4" t="inlineStr">
        <is>
          <t>Multiple Calls</t>
        </is>
      </c>
    </row>
    <row r="47">
      <c r="A47" s="4" t="inlineStr">
        <is>
          <t>Call Dropped</t>
        </is>
      </c>
    </row>
    <row r="48">
      <c r="A48" s="4" t="inlineStr">
        <is>
          <t>Disconnected</t>
        </is>
      </c>
    </row>
    <row r="49">
      <c r="A49" s="6" t="inlineStr">
        <is>
          <t>Customer drop</t>
        </is>
      </c>
    </row>
    <row r="50">
      <c r="A50" s="4" t="inlineStr">
        <is>
          <t>Auto Alt-Dialling</t>
        </is>
      </c>
    </row>
    <row r="51">
      <c r="A51" s="4" t="inlineStr">
        <is>
          <t>Disconnected Number Auto</t>
        </is>
      </c>
    </row>
    <row r="52">
      <c r="A52" s="4" t="inlineStr">
        <is>
          <t>TPS Registered Number</t>
        </is>
      </c>
    </row>
    <row r="53">
      <c r="A53" s="4" t="inlineStr">
        <is>
          <t>Engaged</t>
        </is>
      </c>
    </row>
    <row r="54">
      <c r="A54" s="4" t="inlineStr">
        <is>
          <t>Busy</t>
        </is>
      </c>
    </row>
    <row r="55">
      <c r="A55" s="4" t="inlineStr">
        <is>
          <t>Flow Inbound Abandon</t>
        </is>
      </c>
    </row>
    <row r="56">
      <c r="A56" s="4" t="n"/>
    </row>
    <row r="57">
      <c r="A57" s="5" t="inlineStr">
        <is>
          <t>Unworkable Leads Dispositions</t>
        </is>
      </c>
    </row>
    <row r="58">
      <c r="A58" s="4" t="inlineStr">
        <is>
          <t>Unemployed</t>
        </is>
      </c>
    </row>
    <row r="59">
      <c r="A59" s="4" t="inlineStr">
        <is>
          <t>Under Age</t>
        </is>
      </c>
    </row>
    <row r="60">
      <c r="A60" s="4" t="inlineStr">
        <is>
          <t>Over Age Limit</t>
        </is>
      </c>
    </row>
    <row r="61">
      <c r="A61" s="4" t="inlineStr">
        <is>
          <t>Does Not Qualify</t>
        </is>
      </c>
    </row>
    <row r="62">
      <c r="A62" s="4" t="inlineStr">
        <is>
          <t>Go To The Branch</t>
        </is>
      </c>
    </row>
    <row r="63">
      <c r="A63" s="4" t="inlineStr">
        <is>
          <t>Existing Client</t>
        </is>
      </c>
    </row>
    <row r="64">
      <c r="A64" s="4" t="inlineStr">
        <is>
          <t>Do Not Call</t>
        </is>
      </c>
    </row>
    <row r="65">
      <c r="A65" s="4" t="inlineStr">
        <is>
          <t>Wrong Number</t>
        </is>
      </c>
    </row>
    <row r="66">
      <c r="A66" s="4" t="inlineStr">
        <is>
          <t>Language Barrier</t>
        </is>
      </c>
    </row>
    <row r="67">
      <c r="A67" s="4" t="inlineStr">
        <is>
          <t>Client Deceased</t>
        </is>
      </c>
    </row>
    <row r="68">
      <c r="A68" s="4" t="inlineStr">
        <is>
          <t>Right Party Not Available</t>
        </is>
      </c>
    </row>
    <row r="69">
      <c r="A69" s="4" t="inlineStr">
        <is>
          <t>Client Contacted For Documents</t>
        </is>
      </c>
    </row>
    <row r="70">
      <c r="A70" s="4" t="inlineStr">
        <is>
          <t>Already Contacted</t>
        </is>
      </c>
    </row>
    <row r="71">
      <c r="A71" s="4" t="inlineStr">
        <is>
          <t>Existing Client - Store</t>
        </is>
      </c>
    </row>
    <row r="72">
      <c r="A72" s="4" t="inlineStr">
        <is>
          <t>Account In Arrears</t>
        </is>
      </c>
    </row>
    <row r="73">
      <c r="A73" s="4" t="inlineStr">
        <is>
          <t>Existing Client - Bytes</t>
        </is>
      </c>
    </row>
    <row r="74">
      <c r="A74" s="4" t="inlineStr">
        <is>
          <t>Scheduled Appointment</t>
        </is>
      </c>
    </row>
    <row r="75">
      <c r="A75" s="4" t="inlineStr">
        <is>
          <t>Refund Request</t>
        </is>
      </c>
    </row>
    <row r="76">
      <c r="A76" s="4" t="inlineStr">
        <is>
          <t>Cannot Afford</t>
        </is>
      </c>
    </row>
    <row r="77">
      <c r="A77" s="4" t="inlineStr">
        <is>
          <t>Device Not Working</t>
        </is>
      </c>
    </row>
    <row r="78">
      <c r="A78" s="4" t="inlineStr">
        <is>
          <t>Account Suspended</t>
        </is>
      </c>
    </row>
    <row r="79">
      <c r="A79" s="4" t="inlineStr">
        <is>
          <t>Wanted medical aid</t>
        </is>
      </c>
    </row>
    <row r="80">
      <c r="A80" s="4" t="inlineStr">
        <is>
          <t>Lead Being Called</t>
        </is>
      </c>
    </row>
    <row r="81">
      <c r="A81" s="4" t="inlineStr">
        <is>
          <t>Insured at another company</t>
        </is>
      </c>
    </row>
    <row r="82">
      <c r="A82" s="4" t="n"/>
    </row>
    <row r="83">
      <c r="A83" s="5" t="inlineStr">
        <is>
          <t>true contacts</t>
        </is>
      </c>
    </row>
    <row r="84">
      <c r="A84" s="4" t="inlineStr">
        <is>
          <t>Client Hung Up</t>
        </is>
      </c>
    </row>
    <row r="85">
      <c r="A85" s="4" t="inlineStr">
        <is>
          <t>Affordability</t>
        </is>
      </c>
    </row>
    <row r="86">
      <c r="A86" s="6" t="inlineStr">
        <is>
          <t>Not Interested</t>
        </is>
      </c>
    </row>
    <row r="87">
      <c r="A87" s="6" t="inlineStr">
        <is>
          <t>CallBack</t>
        </is>
      </c>
    </row>
    <row r="88">
      <c r="A88" s="4" t="inlineStr">
        <is>
          <t>Not Interested Upfront</t>
        </is>
      </c>
    </row>
    <row r="89">
      <c r="A89" s="4" t="inlineStr">
        <is>
          <t>Client Quoted Not Interested</t>
        </is>
      </c>
    </row>
    <row r="90">
      <c r="A90" s="4" t="inlineStr">
        <is>
          <t>DNQ Quote Declined</t>
        </is>
      </c>
    </row>
    <row r="91">
      <c r="A91" s="4" t="inlineStr">
        <is>
          <t>Do Not Qualify Failed Medical Question</t>
        </is>
      </c>
    </row>
    <row r="92">
      <c r="A92" s="4" t="inlineStr">
        <is>
          <t>Not Interested Household Contents</t>
        </is>
      </c>
    </row>
    <row r="93">
      <c r="A93" s="4" t="inlineStr">
        <is>
          <t>Not Interested Premium Cost</t>
        </is>
      </c>
    </row>
    <row r="94">
      <c r="A94" s="6" t="inlineStr">
        <is>
          <t>Not Interested Device Cost</t>
        </is>
      </c>
    </row>
    <row r="95">
      <c r="A95" s="4" t="inlineStr">
        <is>
          <t>Cannot Afford</t>
        </is>
      </c>
    </row>
    <row r="96">
      <c r="A96" s="6" t="inlineStr">
        <is>
          <t>Not interested SMS</t>
        </is>
      </c>
    </row>
    <row r="97">
      <c r="A97" s="4" t="inlineStr">
        <is>
          <t>Call Back Hold</t>
        </is>
      </c>
    </row>
    <row r="98">
      <c r="A98" s="4" t="inlineStr">
        <is>
          <t>NI Household Contents</t>
        </is>
      </c>
    </row>
    <row r="99">
      <c r="A99" s="4" t="inlineStr">
        <is>
          <t>Not interested - Pitched</t>
        </is>
      </c>
    </row>
    <row r="100">
      <c r="A100" s="4" t="inlineStr">
        <is>
          <t>Declined Sale</t>
        </is>
      </c>
    </row>
    <row r="101">
      <c r="A101" s="4" t="inlineStr">
        <is>
          <t>Sale Made</t>
        </is>
      </c>
    </row>
    <row r="102">
      <c r="A102" s="4" t="inlineStr">
        <is>
          <t>QA Rework</t>
        </is>
      </c>
    </row>
    <row r="103">
      <c r="A103" s="4" t="inlineStr">
        <is>
          <t>Sale SMS</t>
        </is>
      </c>
    </row>
    <row r="104">
      <c r="A104" s="4" t="n"/>
    </row>
    <row r="105">
      <c r="A105" s="5" t="inlineStr">
        <is>
          <t>Unsuccesful Contacts Dispositions</t>
        </is>
      </c>
    </row>
    <row r="106">
      <c r="A106" s="4" t="inlineStr">
        <is>
          <t>Auto Dial Disconnected</t>
        </is>
      </c>
    </row>
    <row r="107">
      <c r="A107" s="4" t="inlineStr">
        <is>
          <t>Answering Machine Autodial</t>
        </is>
      </c>
    </row>
    <row r="108">
      <c r="A108" s="4" t="inlineStr">
        <is>
          <t>No Answer Autodial</t>
        </is>
      </c>
    </row>
    <row r="109">
      <c r="A109" s="6" t="inlineStr">
        <is>
          <t>Dropped</t>
        </is>
      </c>
    </row>
    <row r="110">
      <c r="A110" s="6" t="inlineStr">
        <is>
          <t>Answering Machine</t>
        </is>
      </c>
    </row>
    <row r="111">
      <c r="A111" s="6" t="inlineStr">
        <is>
          <t>Temporary Disconnected Number</t>
        </is>
      </c>
    </row>
    <row r="112">
      <c r="A112" s="4" t="inlineStr">
        <is>
          <t>Auto Engaged</t>
        </is>
      </c>
    </row>
    <row r="113">
      <c r="A113" s="4" t="inlineStr">
        <is>
          <t>Bad Line Quality</t>
        </is>
      </c>
    </row>
    <row r="114">
      <c r="A114" s="6" t="inlineStr">
        <is>
          <t>Outbound Pre-Routing Drop</t>
        </is>
      </c>
    </row>
    <row r="115">
      <c r="A115" s="6" t="inlineStr">
        <is>
          <t>No Answer</t>
        </is>
      </c>
    </row>
    <row r="116">
      <c r="A116" s="6" t="inlineStr">
        <is>
          <t>Busy Tone</t>
        </is>
      </c>
    </row>
    <row r="117">
      <c r="A117" s="4" t="inlineStr">
        <is>
          <t>Inbound Abandon</t>
        </is>
      </c>
    </row>
    <row r="118">
      <c r="A118" s="6" t="inlineStr">
        <is>
          <t>Selected</t>
        </is>
      </c>
    </row>
    <row r="119">
      <c r="A119" s="4" t="inlineStr">
        <is>
          <t>Inbound After Hours Drop</t>
        </is>
      </c>
    </row>
    <row r="120">
      <c r="A120" s="4" t="inlineStr">
        <is>
          <t>New</t>
        </is>
      </c>
    </row>
    <row r="121">
      <c r="A121" s="4" t="inlineStr">
        <is>
          <t>Missed</t>
        </is>
      </c>
    </row>
    <row r="122">
      <c r="A122" s="4" t="inlineStr">
        <is>
          <t>Multiple Calls</t>
        </is>
      </c>
    </row>
    <row r="123">
      <c r="A123" s="4" t="inlineStr">
        <is>
          <t>Call Dropped</t>
        </is>
      </c>
    </row>
    <row r="124">
      <c r="A124" s="4" t="inlineStr">
        <is>
          <t>Disconnected</t>
        </is>
      </c>
    </row>
    <row r="125">
      <c r="A125" s="6" t="inlineStr">
        <is>
          <t>Customer drop</t>
        </is>
      </c>
    </row>
    <row r="126">
      <c r="A126" s="4" t="inlineStr">
        <is>
          <t>Auto Alt-Dialling</t>
        </is>
      </c>
    </row>
    <row r="127">
      <c r="A127" s="4" t="inlineStr">
        <is>
          <t>Disconnected Number Auto</t>
        </is>
      </c>
    </row>
    <row r="128">
      <c r="A128" s="4" t="inlineStr">
        <is>
          <t>TPS Registered Number</t>
        </is>
      </c>
    </row>
    <row r="129">
      <c r="A129" s="4" t="inlineStr">
        <is>
          <t>Engaged</t>
        </is>
      </c>
    </row>
    <row r="130">
      <c r="A130" s="4" t="inlineStr">
        <is>
          <t>Busy</t>
        </is>
      </c>
    </row>
    <row r="131">
      <c r="A131" s="4" t="inlineStr">
        <is>
          <t>Flow Inbound Abandon</t>
        </is>
      </c>
    </row>
    <row r="132">
      <c r="A132" s="4" t="n"/>
    </row>
    <row r="133">
      <c r="A133" s="5" t="inlineStr">
        <is>
          <t>Unworkable Leads Dispositions</t>
        </is>
      </c>
    </row>
    <row r="134">
      <c r="A134" s="4" t="inlineStr">
        <is>
          <t>Unemployed</t>
        </is>
      </c>
    </row>
    <row r="135">
      <c r="A135" s="4" t="inlineStr">
        <is>
          <t>Under Age</t>
        </is>
      </c>
    </row>
    <row r="136">
      <c r="A136" s="4" t="inlineStr">
        <is>
          <t>Over Age Limit</t>
        </is>
      </c>
    </row>
    <row r="137">
      <c r="A137" s="4" t="inlineStr">
        <is>
          <t>Does Not Qualify</t>
        </is>
      </c>
    </row>
    <row r="138">
      <c r="A138" s="4" t="inlineStr">
        <is>
          <t>Go To The Branch</t>
        </is>
      </c>
    </row>
    <row r="139">
      <c r="A139" s="4" t="inlineStr">
        <is>
          <t>Existing Client</t>
        </is>
      </c>
    </row>
    <row r="140">
      <c r="A140" s="4" t="inlineStr">
        <is>
          <t>Do Not Call</t>
        </is>
      </c>
    </row>
    <row r="141">
      <c r="A141" s="4" t="inlineStr">
        <is>
          <t>Wrong Number</t>
        </is>
      </c>
    </row>
    <row r="142">
      <c r="A142" s="4" t="inlineStr">
        <is>
          <t>Language Barrier</t>
        </is>
      </c>
    </row>
    <row r="143">
      <c r="A143" s="4" t="inlineStr">
        <is>
          <t>Client Deceased</t>
        </is>
      </c>
    </row>
    <row r="144">
      <c r="A144" s="4" t="inlineStr">
        <is>
          <t>Right Party Not Available</t>
        </is>
      </c>
    </row>
    <row r="145">
      <c r="A145" s="4" t="inlineStr">
        <is>
          <t>Client Contacted For Documents</t>
        </is>
      </c>
    </row>
    <row r="146">
      <c r="A146" s="4" t="inlineStr">
        <is>
          <t>Already Contacted</t>
        </is>
      </c>
    </row>
    <row r="147">
      <c r="A147" s="4" t="inlineStr">
        <is>
          <t>Existing Client - Store</t>
        </is>
      </c>
    </row>
    <row r="148">
      <c r="A148" s="4" t="inlineStr">
        <is>
          <t>Account In Arrears</t>
        </is>
      </c>
    </row>
    <row r="149">
      <c r="A149" s="4" t="inlineStr">
        <is>
          <t>Existing Client - Bytes</t>
        </is>
      </c>
    </row>
    <row r="150">
      <c r="A150" s="4" t="inlineStr">
        <is>
          <t>Scheduled Appointment</t>
        </is>
      </c>
    </row>
    <row r="151">
      <c r="A151" s="4" t="inlineStr">
        <is>
          <t>Refund Request</t>
        </is>
      </c>
    </row>
    <row r="152">
      <c r="A152" s="4" t="inlineStr">
        <is>
          <t>Cannot Afford</t>
        </is>
      </c>
    </row>
    <row r="153">
      <c r="A153" s="4" t="inlineStr">
        <is>
          <t>Device Not Working</t>
        </is>
      </c>
    </row>
    <row r="154">
      <c r="A154" s="4" t="inlineStr">
        <is>
          <t>Account Suspended</t>
        </is>
      </c>
    </row>
    <row r="155">
      <c r="A155" s="4" t="inlineStr">
        <is>
          <t>Wanted medical aid</t>
        </is>
      </c>
    </row>
    <row r="156">
      <c r="A156" s="4" t="inlineStr">
        <is>
          <t>Lead Being Called</t>
        </is>
      </c>
    </row>
    <row r="157">
      <c r="A157" s="4" t="inlineStr">
        <is>
          <t>Insured at another company</t>
        </is>
      </c>
    </row>
    <row r="158">
      <c r="A158" s="4" t="n"/>
    </row>
    <row r="159">
      <c r="A159" s="5" t="inlineStr">
        <is>
          <t>true contacts</t>
        </is>
      </c>
    </row>
    <row r="160">
      <c r="A160" s="4" t="inlineStr">
        <is>
          <t>Client Hung Up</t>
        </is>
      </c>
    </row>
    <row r="161">
      <c r="A161" s="4" t="inlineStr">
        <is>
          <t>Affordability</t>
        </is>
      </c>
    </row>
    <row r="162">
      <c r="A162" s="6" t="inlineStr">
        <is>
          <t>Not Interested</t>
        </is>
      </c>
    </row>
    <row r="163">
      <c r="A163" s="6" t="inlineStr">
        <is>
          <t>CallBack</t>
        </is>
      </c>
    </row>
    <row r="164">
      <c r="A164" s="4" t="inlineStr">
        <is>
          <t>Not Interested Upfront</t>
        </is>
      </c>
    </row>
    <row r="165">
      <c r="A165" s="4" t="inlineStr">
        <is>
          <t>Client Quoted Not Interested</t>
        </is>
      </c>
    </row>
    <row r="166">
      <c r="A166" s="4" t="inlineStr">
        <is>
          <t>DNQ Quote Declined</t>
        </is>
      </c>
    </row>
    <row r="167">
      <c r="A167" s="4" t="inlineStr">
        <is>
          <t>Do Not Qualify Failed Medical Question</t>
        </is>
      </c>
    </row>
    <row r="168">
      <c r="A168" s="4" t="inlineStr">
        <is>
          <t>Not Interested Household Contents</t>
        </is>
      </c>
    </row>
    <row r="169">
      <c r="A169" s="4" t="inlineStr">
        <is>
          <t>Not Interested Premium Cost</t>
        </is>
      </c>
    </row>
    <row r="170">
      <c r="A170" s="6" t="inlineStr">
        <is>
          <t>Not Interested Device Cost</t>
        </is>
      </c>
    </row>
    <row r="171">
      <c r="A171" s="4" t="inlineStr">
        <is>
          <t>Cannot Afford</t>
        </is>
      </c>
    </row>
    <row r="172">
      <c r="A172" s="6" t="inlineStr">
        <is>
          <t>Not interested SMS</t>
        </is>
      </c>
    </row>
    <row r="173">
      <c r="A173" s="4" t="inlineStr">
        <is>
          <t>Call Back Hold</t>
        </is>
      </c>
    </row>
    <row r="174">
      <c r="A174" s="4" t="inlineStr">
        <is>
          <t>NI Household Contents</t>
        </is>
      </c>
    </row>
    <row r="175">
      <c r="A175" s="4" t="inlineStr">
        <is>
          <t>Not interested - Pitched</t>
        </is>
      </c>
    </row>
    <row r="176">
      <c r="A176" s="4" t="inlineStr">
        <is>
          <t>Declined Sale</t>
        </is>
      </c>
    </row>
    <row r="177">
      <c r="A177" s="4" t="inlineStr">
        <is>
          <t>Sale Made</t>
        </is>
      </c>
    </row>
    <row r="178">
      <c r="A178" s="4" t="inlineStr">
        <is>
          <t>QA Rework</t>
        </is>
      </c>
    </row>
    <row r="179" ht="15.75" customHeight="1">
      <c r="A179" s="7" t="inlineStr">
        <is>
          <t>Sale SMS</t>
        </is>
      </c>
    </row>
    <row r="180"/>
    <row r="181"/>
    <row r="182"/>
    <row r="183">
      <c r="A183" s="8" t="n"/>
    </row>
    <row r="184"/>
    <row r="185"/>
    <row r="186"/>
    <row r="187"/>
    <row r="188"/>
    <row r="189"/>
    <row r="190"/>
    <row r="191"/>
    <row r="192"/>
    <row r="193"/>
    <row r="194">
      <c r="A194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Campaign Analysis – Vodacom Life</t>
        </is>
      </c>
    </row>
    <row r="2"/>
    <row r="3"/>
    <row r="4">
      <c r="A4" s="10" t="inlineStr">
        <is>
          <t>Total Leads</t>
        </is>
      </c>
      <c r="B4" s="11" t="n">
        <v>1500</v>
      </c>
    </row>
    <row r="5">
      <c r="A5" s="10" t="inlineStr">
        <is>
          <t>Unworked Leads (New Leads)</t>
        </is>
      </c>
      <c r="B5" s="11" t="n">
        <v>1</v>
      </c>
    </row>
    <row r="6">
      <c r="A6" s="10" t="inlineStr">
        <is>
          <t>Successful Contacts</t>
        </is>
      </c>
      <c r="B6" s="11" t="n">
        <v>275</v>
      </c>
    </row>
    <row r="7">
      <c r="A7" s="10" t="inlineStr">
        <is>
          <t>True Contacts</t>
        </is>
      </c>
      <c r="B7" s="11" t="n">
        <v>272</v>
      </c>
    </row>
    <row r="8">
      <c r="A8" s="10" t="inlineStr">
        <is>
          <t>Conversion</t>
        </is>
      </c>
      <c r="B8" s="12" t="n">
        <v>0.002</v>
      </c>
    </row>
    <row r="9">
      <c r="A9" s="10" t="inlineStr">
        <is>
          <t>True Sales (post QA)</t>
        </is>
      </c>
      <c r="B9" s="11" t="n">
        <v>3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3" t="inlineStr">
        <is>
          <t>Answering Machine Autodial</t>
        </is>
      </c>
      <c r="C13" s="14">
        <f>IFERROR(VLOOKUP("Answering Machine Autodial",Pivot!$A$2:$B$34,2,FALSE),0)</f>
        <v/>
      </c>
      <c r="D13" s="13" t="inlineStr">
        <is>
          <t>Sale Made - Completed Mandate</t>
        </is>
      </c>
      <c r="E13" s="14">
        <f>IFERROR(VLOOKUP("Sale Made - Completed Mandate",Pivot!$A$2:$B$34,2,FALSE),0)</f>
        <v/>
      </c>
      <c r="F13" s="13" t="inlineStr">
        <is>
          <t>Already Contacted</t>
        </is>
      </c>
      <c r="G13" s="14">
        <f>IFERROR(VLOOKUP("Already Contacted",Pivot!$A$2:$B$34,2,FALSE),0)</f>
        <v/>
      </c>
      <c r="H13" s="13" t="inlineStr">
        <is>
          <t>Client Hung Up</t>
        </is>
      </c>
      <c r="I13" s="14">
        <f>IFERROR(VLOOKUP("Client Hung Up",Pivot!$A$2:$B$34,2,FALSE),0)</f>
        <v/>
      </c>
    </row>
    <row r="14">
      <c r="B14" s="13" t="inlineStr">
        <is>
          <t>No Answer Autodial</t>
        </is>
      </c>
      <c r="C14" s="14">
        <f>IFERROR(VLOOKUP("No Answer Autodial",Pivot!$A$2:$B$34,2,FALSE),0)</f>
        <v/>
      </c>
      <c r="D14" s="13" t="inlineStr">
        <is>
          <t>Sale Made - Pending Mandate</t>
        </is>
      </c>
      <c r="E14" s="14">
        <f>IFERROR(VLOOKUP("Sale Made - Pending Mandate",Pivot!$A$2:$B$34,2,FALSE),0)</f>
        <v/>
      </c>
      <c r="F14" s="13" t="inlineStr">
        <is>
          <t>Existing Client</t>
        </is>
      </c>
      <c r="G14" s="14">
        <f>IFERROR(VLOOKUP("Existing Client",Pivot!$A$2:$B$34,2,FALSE),0)</f>
        <v/>
      </c>
      <c r="H14" s="13" t="inlineStr">
        <is>
          <t>CallBack</t>
        </is>
      </c>
      <c r="I14" s="14">
        <f>IFERROR(VLOOKUP("CallBack",Pivot!$A$2:$B$34,2,FALSE),0)</f>
        <v/>
      </c>
    </row>
    <row r="15">
      <c r="B15" s="13" t="inlineStr">
        <is>
          <t>Auto Engaged</t>
        </is>
      </c>
      <c r="C15" s="14">
        <f>IFERROR(VLOOKUP("Auto Engaged",Pivot!$A$2:$B$34,2,FALSE),0)</f>
        <v/>
      </c>
      <c r="D15" s="13" t="inlineStr">
        <is>
          <t>Sale Made</t>
        </is>
      </c>
      <c r="E15" s="14">
        <f>IFERROR(VLOOKUP("Sale Made",Pivot!$A$2:$B$34,2,FALSE),0)</f>
        <v/>
      </c>
      <c r="F15" s="13" t="inlineStr">
        <is>
          <t>Unemployed</t>
        </is>
      </c>
      <c r="G15" s="14">
        <f>IFERROR(VLOOKUP("Unemployed",Pivot!$A$2:$B$34,2,FALSE),0)</f>
        <v/>
      </c>
      <c r="H15" s="13" t="inlineStr">
        <is>
          <t>Not Interested</t>
        </is>
      </c>
      <c r="I15" s="14">
        <f>IFERROR(VLOOKUP("Not Interested",Pivot!$A$2:$B$34,2,FALSE),0)</f>
        <v/>
      </c>
    </row>
    <row r="16">
      <c r="B16" s="13" t="inlineStr">
        <is>
          <t>Disconnected Number Auto</t>
        </is>
      </c>
      <c r="C16" s="14">
        <f>IFERROR(VLOOKUP("Disconnected Number Auto",Pivot!$A$2:$B$34,2,FALSE),0)</f>
        <v/>
      </c>
      <c r="D16" s="13" t="inlineStr">
        <is>
          <t>Tyme Bank Account Sale</t>
        </is>
      </c>
      <c r="E16" s="14">
        <f>IFERROR(VLOOKUP("Tyme Bank Account Sale",Pivot!$A$2:$B$34,2,FALSE),0)</f>
        <v/>
      </c>
      <c r="F16" s="13" t="inlineStr">
        <is>
          <t>Wrong Number</t>
        </is>
      </c>
      <c r="G16" s="14">
        <f>IFERROR(VLOOKUP("Wrong Number",Pivot!$A$2:$B$34,2,FALSE),0)</f>
        <v/>
      </c>
      <c r="H16" s="13" t="inlineStr">
        <is>
          <t>Not Interested Upfront</t>
        </is>
      </c>
      <c r="I16" s="14">
        <f>IFERROR(VLOOKUP("Not Interested Upfront",Pivot!$A$2:$B$34,2,FALSE),0)</f>
        <v/>
      </c>
    </row>
    <row r="17">
      <c r="B17" s="13" t="inlineStr">
        <is>
          <t>Answering Machine</t>
        </is>
      </c>
      <c r="C17" s="14">
        <f>IFERROR(VLOOKUP("Answering Machine",Pivot!$A$2:$B$34,2,FALSE),0)</f>
        <v/>
      </c>
      <c r="D17" s="13" t="inlineStr">
        <is>
          <t>QA Rework</t>
        </is>
      </c>
      <c r="E17" s="14">
        <f>IFERROR(VLOOKUP("QA Rework",Pivot!$A$2:$B$34,2,FALSE),0)</f>
        <v/>
      </c>
      <c r="F17" s="13" t="inlineStr">
        <is>
          <t>Do Not Call</t>
        </is>
      </c>
      <c r="G17" s="14">
        <f>IFERROR(VLOOKUP("Do Not Call",Pivot!$A$2:$B$34,2,FALSE),0)</f>
        <v/>
      </c>
      <c r="H17" s="13" t="inlineStr">
        <is>
          <t>Cannot Afford Premium</t>
        </is>
      </c>
      <c r="I17" s="14">
        <f>IFERROR(VLOOKUP("Cannot Afford Premium",Pivot!$A$2:$B$34,2,FALSE),0)</f>
        <v/>
      </c>
    </row>
    <row r="18">
      <c r="B18" s="13" t="inlineStr">
        <is>
          <t>Selected</t>
        </is>
      </c>
      <c r="C18" s="14">
        <f>IFERROR(VLOOKUP("Selected",Pivot!$A$2:$B$34,2,FALSE),0)</f>
        <v/>
      </c>
      <c r="F18" s="13" t="inlineStr">
        <is>
          <t>No Smartphones</t>
        </is>
      </c>
      <c r="G18" s="14">
        <f>IFERROR(VLOOKUP("No Smartphones",Pivot!$A$2:$B$34,2,FALSE),0)</f>
        <v/>
      </c>
      <c r="H18" s="13" t="inlineStr">
        <is>
          <t>Not interested - Pitched</t>
        </is>
      </c>
      <c r="I18" s="14">
        <f>IFERROR(VLOOKUP("Not interested - Pitched",Pivot!$A$2:$B$34,2,FALSE),0)</f>
        <v/>
      </c>
    </row>
    <row r="19">
      <c r="B19" s="13" t="inlineStr">
        <is>
          <t>No Answer</t>
        </is>
      </c>
      <c r="C19" s="14">
        <f>IFERROR(VLOOKUP("No Answer",Pivot!$A$2:$B$34,2,FALSE),0)</f>
        <v/>
      </c>
      <c r="F19" s="13" t="inlineStr">
        <is>
          <t>Client Deceased</t>
        </is>
      </c>
      <c r="G19" s="14">
        <f>IFERROR(VLOOKUP("Client Deceased",Pivot!$A$2:$B$34,2,FALSE),0)</f>
        <v/>
      </c>
      <c r="H19" s="13" t="inlineStr">
        <is>
          <t>Affordability</t>
        </is>
      </c>
      <c r="I19" s="14">
        <f>IFERROR(VLOOKUP("Affordability",Pivot!$A$2:$B$34,2,FALSE),0)</f>
        <v/>
      </c>
    </row>
    <row r="20">
      <c r="B20" s="13" t="inlineStr">
        <is>
          <t>Busy Tone</t>
        </is>
      </c>
      <c r="C20" s="14">
        <f>IFERROR(VLOOKUP("Busy Tone",Pivot!$A$2:$B$34,2,FALSE),0)</f>
        <v/>
      </c>
      <c r="F20" s="13" t="inlineStr">
        <is>
          <t>Right Party Not Available</t>
        </is>
      </c>
      <c r="G20" s="14">
        <f>IFERROR(VLOOKUP("Right Party Not Available",Pivot!$A$2:$B$34,2,FALSE),0)</f>
        <v/>
      </c>
      <c r="H20" s="13" t="inlineStr">
        <is>
          <t>Quoted Client Not Interested</t>
        </is>
      </c>
      <c r="I20" s="14">
        <f>IFERROR(VLOOKUP("Quoted Client Not Interested",Pivot!$A$2:$B$34,2,FALSE),0)</f>
        <v/>
      </c>
    </row>
    <row r="21">
      <c r="B21" s="13" t="inlineStr">
        <is>
          <t>Dropped</t>
        </is>
      </c>
      <c r="C21" s="14">
        <f>IFERROR(VLOOKUP("Dropped",Pivot!$A$2:$B$34,2,FALSE),0)</f>
        <v/>
      </c>
      <c r="F21" s="13" t="inlineStr">
        <is>
          <t>Client Overage Limit</t>
        </is>
      </c>
      <c r="G21" s="14">
        <f>IFERROR(VLOOKUP("Client Overage Limit",Pivot!$A$2:$B$34,2,FALSE),0)</f>
        <v/>
      </c>
      <c r="H21" s="13" t="inlineStr">
        <is>
          <t>Not interested business does not use speed point mac</t>
        </is>
      </c>
      <c r="I21" s="14">
        <f>IFERROR(VLOOKUP("Not interested business does not use speed point mac",Pivot!$A$2:$B$34,2,FALSE),0)</f>
        <v/>
      </c>
    </row>
    <row r="22">
      <c r="B22" s="13" t="inlineStr">
        <is>
          <t>New</t>
        </is>
      </c>
      <c r="C22" s="14">
        <f>IFERROR(VLOOKUP("New",Pivot!$A$2:$B$34,2,FALSE),0)</f>
        <v/>
      </c>
      <c r="F22" s="13" t="inlineStr">
        <is>
          <t>Language Barrier</t>
        </is>
      </c>
      <c r="G22" s="14">
        <f>IFERROR(VLOOKUP("Language Barrier",Pivot!$A$2:$B$34,2,FALSE),0)</f>
        <v/>
      </c>
      <c r="H22" s="13" t="inlineStr">
        <is>
          <t>Call Back Technical Error</t>
        </is>
      </c>
      <c r="I22" s="14">
        <f>IFERROR(VLOOKUP("Call Back Technical Error",Pivot!$A$2:$B$34,2,FALSE),0)</f>
        <v/>
      </c>
    </row>
    <row r="23">
      <c r="B23" s="13" t="inlineStr">
        <is>
          <t>Call Dropped</t>
        </is>
      </c>
      <c r="C23" s="14">
        <f>IFERROR(VLOOKUP("Call Dropped",Pivot!$A$2:$B$34,2,FALSE),0)</f>
        <v/>
      </c>
      <c r="F23" s="13" t="inlineStr">
        <is>
          <t>Non SA Citizen</t>
        </is>
      </c>
      <c r="G23" s="14">
        <f>IFERROR(VLOOKUP("Non SA Citizen",Pivot!$A$2:$B$34,2,FALSE),0)</f>
        <v/>
      </c>
      <c r="H23" s="13" t="inlineStr">
        <is>
          <t>Not Interested Transaction Fees</t>
        </is>
      </c>
      <c r="I23" s="14">
        <f>IFERROR(VLOOKUP("Not Interested Transaction Fees",Pivot!$A$2:$B$34,2,FALSE),0)</f>
        <v/>
      </c>
    </row>
    <row r="24">
      <c r="B24" s="13" t="inlineStr">
        <is>
          <t>Inbound After Hours Drop</t>
        </is>
      </c>
      <c r="C24" s="14">
        <f>IFERROR(VLOOKUP("Inbound After Hours Drop",Pivot!$A$2:$B$34,2,FALSE),0)</f>
        <v/>
      </c>
      <c r="F24" s="13" t="inlineStr">
        <is>
          <t>No Bank Account</t>
        </is>
      </c>
      <c r="G24" s="14">
        <f>IFERROR(VLOOKUP("No Bank Account",Pivot!$A$2:$B$34,2,FALSE),0)</f>
        <v/>
      </c>
      <c r="H24" s="13" t="inlineStr">
        <is>
          <t>Cannot Afford</t>
        </is>
      </c>
      <c r="I24" s="14">
        <f>IFERROR(VLOOKUP("Cannot Afford",Pivot!$A$2:$B$34,2,FALSE),0)</f>
        <v/>
      </c>
    </row>
    <row r="25">
      <c r="B25" s="13" t="inlineStr">
        <is>
          <t>TPS Registered Number</t>
        </is>
      </c>
      <c r="C25" s="14">
        <f>IFERROR(VLOOKUP("TPS Registered Number",Pivot!$A$2:$B$34,2,FALSE),0)</f>
        <v/>
      </c>
      <c r="F25" s="13" t="inlineStr">
        <is>
          <t>Client Underage</t>
        </is>
      </c>
      <c r="G25" s="14">
        <f>IFERROR(VLOOKUP("Client Underage",Pivot!$A$2:$B$34,2,FALSE),0)</f>
        <v/>
      </c>
      <c r="H25" s="13" t="inlineStr">
        <is>
          <t>Not Interested Household Contents</t>
        </is>
      </c>
      <c r="I25" s="14">
        <f>IFERROR(VLOOKUP("Not Interested Household Contents",Pivot!$A$2:$B$34,2,FALSE),0)</f>
        <v/>
      </c>
    </row>
    <row r="26">
      <c r="B26" s="13" t="inlineStr">
        <is>
          <t>Temporary Disconnected Number</t>
        </is>
      </c>
      <c r="C26" s="14">
        <f>IFERROR(VLOOKUP("Temporary Disconnected Number",Pivot!$A$2:$B$34,2,FALSE),0)</f>
        <v/>
      </c>
      <c r="F26" s="13" t="inlineStr">
        <is>
          <t>Go To The Branch</t>
        </is>
      </c>
      <c r="G26" s="14">
        <f>IFERROR(VLOOKUP("Go To The Branch",Pivot!$A$2:$B$34,2,FALSE),0)</f>
        <v/>
      </c>
      <c r="H26" s="13" t="inlineStr">
        <is>
          <t>Call Back Hold</t>
        </is>
      </c>
      <c r="I26" s="14">
        <f>IFERROR(VLOOKUP("Call Back Hold",Pivot!$A$2:$B$34,2,FALSE),0)</f>
        <v/>
      </c>
    </row>
    <row r="27">
      <c r="B27" s="13" t="inlineStr">
        <is>
          <t>Bad Line Quality</t>
        </is>
      </c>
      <c r="C27" s="14">
        <f>IFERROR(VLOOKUP("Bad Line Quality",Pivot!$A$2:$B$34,2,FALSE),0)</f>
        <v/>
      </c>
      <c r="F27" s="13" t="inlineStr">
        <is>
          <t>Completed</t>
        </is>
      </c>
      <c r="G27" s="14">
        <f>IFERROR(VLOOKUP("Completed",Pivot!$A$2:$B$34,2,FALSE),0)</f>
        <v/>
      </c>
      <c r="H27" s="13" t="inlineStr">
        <is>
          <t>Declined Sale</t>
        </is>
      </c>
      <c r="I27" s="14">
        <f>IFERROR(VLOOKUP("Declined Sale",Pivot!$A$2:$B$34,2,FALSE),0)</f>
        <v/>
      </c>
    </row>
    <row r="28">
      <c r="B28" s="13" t="inlineStr">
        <is>
          <t>Inbound Abandon</t>
        </is>
      </c>
      <c r="C28" s="14">
        <f>IFERROR(VLOOKUP("Inbound Abandon",Pivot!$A$2:$B$34,2,FALSE),0)</f>
        <v/>
      </c>
      <c r="F28" s="13" t="inlineStr">
        <is>
          <t>Cannot Afford Upfront Payment</t>
        </is>
      </c>
      <c r="G28" s="14">
        <f>IFERROR(VLOOKUP("Cannot Afford Upfront Payment",Pivot!$A$2:$B$34,2,FALSE),0)</f>
        <v/>
      </c>
    </row>
    <row r="29">
      <c r="B29" s="13" t="inlineStr">
        <is>
          <t>Outbound Pre-Routing Drop</t>
        </is>
      </c>
      <c r="C29" s="14">
        <f>IFERROR(VLOOKUP("Outbound Pre-Routing Drop",Pivot!$A$2:$B$34,2,FALSE),0)</f>
        <v/>
      </c>
      <c r="F29" s="13" t="inlineStr">
        <is>
          <t>Account Suspended</t>
        </is>
      </c>
      <c r="G29" s="14">
        <f>IFERROR(VLOOKUP("Account Suspended",Pivot!$A$2:$B$34,2,FALSE),0)</f>
        <v/>
      </c>
    </row>
    <row r="30">
      <c r="B30" s="13" t="inlineStr">
        <is>
          <t>Engaged</t>
        </is>
      </c>
      <c r="C30" s="14">
        <f>IFERROR(VLOOKUP("Engaged",Pivot!$A$2:$B$34,2,FALSE),0)</f>
        <v/>
      </c>
      <c r="F30" s="13" t="inlineStr">
        <is>
          <t>Insured at another company</t>
        </is>
      </c>
      <c r="G30" s="14">
        <f>IFERROR(VLOOKUP("Insured at another company",Pivot!$A$2:$B$34,2,FALSE),0)</f>
        <v/>
      </c>
    </row>
    <row r="31">
      <c r="B31" s="13" t="inlineStr">
        <is>
          <t>Disconnected</t>
        </is>
      </c>
      <c r="C31" s="14">
        <f>IFERROR(VLOOKUP("Disconnected",Pivot!$A$2:$B$34,2,FALSE),0)</f>
        <v/>
      </c>
      <c r="F31" s="13" t="inlineStr">
        <is>
          <t>Scheduled Appointment</t>
        </is>
      </c>
      <c r="G31" s="14">
        <f>IFERROR(VLOOKUP("Scheduled Appointment",Pivot!$A$2:$B$34,2,FALSE),0)</f>
        <v/>
      </c>
    </row>
    <row r="32">
      <c r="B32" s="13" t="inlineStr">
        <is>
          <t>CONGESTED</t>
        </is>
      </c>
      <c r="C32" s="14">
        <f>IFERROR(VLOOKUP("CONGESTED",Pivot!$A$2:$B$34,2,FALSE),0)</f>
        <v/>
      </c>
      <c r="F32" s="13" t="inlineStr">
        <is>
          <t>Refund Request</t>
        </is>
      </c>
      <c r="G32" s="14">
        <f>IFERROR(VLOOKUP("Refund Request",Pivot!$A$2:$B$34,2,FALSE),0)</f>
        <v/>
      </c>
    </row>
    <row r="33">
      <c r="B33" s="13" t="inlineStr">
        <is>
          <t>Flow Inbound Abandon</t>
        </is>
      </c>
      <c r="C33" s="14">
        <f>IFERROR(VLOOKUP("Flow Inbound Abandon",Pivot!$A$2:$B$34,2,FALSE),0)</f>
        <v/>
      </c>
      <c r="F33" s="13" t="inlineStr">
        <is>
          <t>Does Not Qualify</t>
        </is>
      </c>
      <c r="G33" s="14">
        <f>IFERROR(VLOOKUP("Does Not Qualify",Pivot!$A$2:$B$34,2,FALSE),0)</f>
        <v/>
      </c>
    </row>
    <row r="34">
      <c r="B34" s="13" t="inlineStr">
        <is>
          <t>Multiple Calls</t>
        </is>
      </c>
      <c r="C34" s="14">
        <f>IFERROR(VLOOKUP("Multiple Calls",Pivot!$A$2:$B$34,2,FALSE),0)</f>
        <v/>
      </c>
      <c r="F34" s="13" t="inlineStr">
        <is>
          <t>Does Not Have a Business</t>
        </is>
      </c>
      <c r="G34" s="14">
        <f>IFERROR(VLOOKUP("Does Not Have a Business",Pivot!$A$2:$B$34,2,FALSE),0)</f>
        <v/>
      </c>
    </row>
    <row r="35">
      <c r="B35" s="13" t="inlineStr">
        <is>
          <t>Missed</t>
        </is>
      </c>
      <c r="C35" s="14">
        <f>IFERROR(VLOOKUP("Missed",Pivot!$A$2:$B$34,2,FALSE),0)</f>
        <v/>
      </c>
      <c r="F35" s="13" t="inlineStr">
        <is>
          <t>Refer To Store - Doesn't want to complete online</t>
        </is>
      </c>
      <c r="G35" s="14">
        <f>IFERROR(VLOOKUP("Refer To Store - Doesn't want to complete online",Pivot!$A$2:$B$34,2,FALSE),0)</f>
        <v/>
      </c>
    </row>
    <row r="36">
      <c r="B36" s="13" t="inlineStr">
        <is>
          <t>Answered</t>
        </is>
      </c>
      <c r="C36" s="14">
        <f>IFERROR(VLOOKUP("Answered",Pivot!$A$2:$B$34,2,FALSE),0)</f>
        <v/>
      </c>
      <c r="F36" s="13" t="inlineStr">
        <is>
          <t>Does Not Need It Now</t>
        </is>
      </c>
      <c r="G36" s="14">
        <f>IFERROR(VLOOKUP("Does Not Need It Now",Pivot!$A$2:$B$34,2,FALSE),0)</f>
        <v/>
      </c>
    </row>
    <row r="37">
      <c r="B37" s="13" t="inlineStr">
        <is>
          <t>Customer drop</t>
        </is>
      </c>
      <c r="C37" s="14">
        <f>IFERROR(VLOOKUP("Customer drop",Pivot!$A$2:$B$34,2,FALSE),0)</f>
        <v/>
      </c>
      <c r="F37" s="13" t="inlineStr">
        <is>
          <t>Technical Issue</t>
        </is>
      </c>
      <c r="G37" s="14">
        <f>IFERROR(VLOOKUP("Technical Issue",Pivot!$A$2:$B$34,2,FALSE),0)</f>
        <v/>
      </c>
    </row>
    <row r="38">
      <c r="B38" s="13" t="inlineStr">
        <is>
          <t>Auto Dial Disconnected</t>
        </is>
      </c>
      <c r="C38" s="14">
        <f>IFERROR(VLOOKUP("Auto Dial Disconnected",Pivot!$A$2:$B$34,2,FALSE),0)</f>
        <v/>
      </c>
      <c r="F38" s="13" t="inlineStr">
        <is>
          <t>Unsuccessful Application</t>
        </is>
      </c>
      <c r="G38" s="14">
        <f>IFERROR(VLOOKUP("Unsuccessful Application",Pivot!$A$2:$B$34,2,FALSE),0)</f>
        <v/>
      </c>
    </row>
    <row r="39">
      <c r="B39" s="13" t="inlineStr">
        <is>
          <t>Disconnected Number Temporary</t>
        </is>
      </c>
      <c r="C39" s="14">
        <f>IFERROR(VLOOKUP("Disconnected Number Temporary",Pivot!$A$2:$B$34,2,FALSE),0)</f>
        <v/>
      </c>
    </row>
    <row r="40"/>
    <row r="41"/>
    <row r="42">
      <c r="A42" s="15" t="inlineStr">
        <is>
          <t>TOTAL LEADS DIALLED</t>
        </is>
      </c>
      <c r="B42" s="14">
        <f>SUM(C13:C39)+SUM(E13:E17)</f>
        <v/>
      </c>
    </row>
    <row r="43"/>
    <row r="44">
      <c r="A44" s="15" t="inlineStr">
        <is>
          <t>CAMPAIGN STATISTICS</t>
        </is>
      </c>
    </row>
    <row r="45">
      <c r="A45" s="13" t="inlineStr">
        <is>
          <t>Successful Contacts</t>
        </is>
      </c>
      <c r="B45" s="14">
        <f>SUM(F13:F17)</f>
        <v/>
      </c>
    </row>
    <row r="46">
      <c r="A46" s="13" t="inlineStr">
        <is>
          <t>True Contacts (TC)</t>
        </is>
      </c>
      <c r="B46" s="14">
        <f>SUM(I13:I27)</f>
        <v/>
      </c>
    </row>
    <row r="47">
      <c r="A47" s="13" t="inlineStr">
        <is>
          <t>Unworkable Leads</t>
        </is>
      </c>
      <c r="B47" s="14">
        <f>SUM(G13:G38)</f>
        <v/>
      </c>
    </row>
    <row r="48">
      <c r="A48" s="13" t="inlineStr">
        <is>
          <t>Conversions</t>
        </is>
      </c>
      <c r="B48" s="14">
        <f>F13</f>
        <v/>
      </c>
    </row>
    <row r="49">
      <c r="A49" s="13" t="inlineStr">
        <is>
          <t>Conversion Ratio (vs TC)</t>
        </is>
      </c>
      <c r="B49" s="16">
        <f>B47/B45</f>
        <v/>
      </c>
    </row>
    <row r="50">
      <c r="A50" s="13" t="inlineStr">
        <is>
          <t>Contact Ratio</t>
        </is>
      </c>
      <c r="B50" s="16">
        <f>(B44+B45)/B42</f>
        <v/>
      </c>
    </row>
    <row r="51"/>
    <row r="52"/>
    <row r="53"/>
    <row r="54">
      <c r="A54" s="15" t="inlineStr">
        <is>
          <t>Top 5 Statuses</t>
        </is>
      </c>
      <c r="B54" s="15" t="inlineStr">
        <is>
          <t>Count</t>
        </is>
      </c>
      <c r="C54" s="15" t="inlineStr">
        <is>
          <t>% Contribution</t>
        </is>
      </c>
    </row>
    <row r="55">
      <c r="A55" s="13" t="inlineStr">
        <is>
          <t>Answering Machine Autodial</t>
        </is>
      </c>
      <c r="B55" s="17" t="n">
        <v>372</v>
      </c>
      <c r="C55" s="16">
        <f>B55/B42</f>
        <v/>
      </c>
    </row>
    <row r="56">
      <c r="A56" s="13" t="inlineStr">
        <is>
          <t>Auto Engaged</t>
        </is>
      </c>
      <c r="B56" s="17" t="n">
        <v>288</v>
      </c>
      <c r="C56" s="16">
        <f>B56/B42</f>
        <v/>
      </c>
    </row>
    <row r="57">
      <c r="A57" s="13" t="inlineStr">
        <is>
          <t>Dropped</t>
        </is>
      </c>
      <c r="B57" s="17" t="n">
        <v>170</v>
      </c>
      <c r="C57" s="16">
        <f>B57/B42</f>
        <v/>
      </c>
    </row>
    <row r="58">
      <c r="A58" s="13" t="inlineStr">
        <is>
          <t>No Answer Autodial</t>
        </is>
      </c>
      <c r="B58" s="17" t="n">
        <v>143</v>
      </c>
      <c r="C58" s="16">
        <f>B58/B42</f>
        <v/>
      </c>
    </row>
    <row r="59">
      <c r="A59" s="13" t="inlineStr">
        <is>
          <t>Not Interested</t>
        </is>
      </c>
      <c r="B59" s="17" t="n">
        <v>88</v>
      </c>
      <c r="C59" s="16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3" t="inlineStr">
        <is>
          <t>Answering Machine Autodial</t>
        </is>
      </c>
      <c r="B2" s="17" t="n">
        <v>372</v>
      </c>
    </row>
    <row r="3">
      <c r="A3" s="13" t="inlineStr">
        <is>
          <t>Auto Engaged</t>
        </is>
      </c>
      <c r="B3" s="17" t="n">
        <v>288</v>
      </c>
    </row>
    <row r="4">
      <c r="A4" s="13" t="inlineStr">
        <is>
          <t>Dropped</t>
        </is>
      </c>
      <c r="B4" s="17" t="n">
        <v>170</v>
      </c>
    </row>
    <row r="5">
      <c r="A5" s="13" t="inlineStr">
        <is>
          <t>No Answer Autodial</t>
        </is>
      </c>
      <c r="B5" s="17" t="n">
        <v>143</v>
      </c>
    </row>
    <row r="6">
      <c r="A6" s="13" t="inlineStr">
        <is>
          <t>Not Interested</t>
        </is>
      </c>
      <c r="B6" s="17" t="n">
        <v>88</v>
      </c>
    </row>
    <row r="7">
      <c r="A7" s="13" t="inlineStr">
        <is>
          <t>Callback</t>
        </is>
      </c>
      <c r="B7" s="17" t="n">
        <v>83</v>
      </c>
    </row>
    <row r="8">
      <c r="A8" s="13" t="inlineStr">
        <is>
          <t>Client Hung Up</t>
        </is>
      </c>
      <c r="B8" s="17" t="n">
        <v>79</v>
      </c>
    </row>
    <row r="9">
      <c r="A9" s="13" t="inlineStr">
        <is>
          <t>Auto Dial Disconnected</t>
        </is>
      </c>
      <c r="B9" s="17" t="n">
        <v>45</v>
      </c>
    </row>
    <row r="10">
      <c r="A10" s="13" t="inlineStr">
        <is>
          <t>Already Contacted</t>
        </is>
      </c>
      <c r="B10" s="17" t="n">
        <v>31</v>
      </c>
    </row>
    <row r="11">
      <c r="A11" s="13" t="inlineStr">
        <is>
          <t>Answering Machine</t>
        </is>
      </c>
      <c r="B11" s="17" t="n">
        <v>30</v>
      </c>
    </row>
    <row r="12">
      <c r="A12" s="13" t="inlineStr">
        <is>
          <t>Inbound Abandon</t>
        </is>
      </c>
      <c r="B12" s="17" t="n">
        <v>25</v>
      </c>
    </row>
    <row r="13">
      <c r="A13" s="13" t="inlineStr">
        <is>
          <t>Unemployed</t>
        </is>
      </c>
      <c r="B13" s="17" t="n">
        <v>22</v>
      </c>
    </row>
    <row r="14">
      <c r="A14" s="13" t="inlineStr">
        <is>
          <t>Call Dropped</t>
        </is>
      </c>
      <c r="B14" s="17" t="n">
        <v>19</v>
      </c>
    </row>
    <row r="15">
      <c r="A15" s="13" t="inlineStr">
        <is>
          <t>Wrong Number</t>
        </is>
      </c>
      <c r="B15" s="17" t="n">
        <v>18</v>
      </c>
    </row>
    <row r="16">
      <c r="A16" s="13" t="inlineStr">
        <is>
          <t>Over Age Limit</t>
        </is>
      </c>
      <c r="B16" s="17" t="n">
        <v>12</v>
      </c>
    </row>
    <row r="17">
      <c r="A17" s="13" t="inlineStr">
        <is>
          <t>Cannot Afford</t>
        </is>
      </c>
      <c r="B17" s="17" t="n">
        <v>11</v>
      </c>
    </row>
    <row r="18">
      <c r="A18" s="13" t="inlineStr">
        <is>
          <t>No Answer</t>
        </is>
      </c>
      <c r="B18" s="17" t="n">
        <v>11</v>
      </c>
    </row>
    <row r="19">
      <c r="A19" s="13" t="inlineStr">
        <is>
          <t>Not Interested Upfront</t>
        </is>
      </c>
      <c r="B19" s="17" t="n">
        <v>11</v>
      </c>
    </row>
    <row r="20">
      <c r="A20" s="13" t="inlineStr">
        <is>
          <t>Selected</t>
        </is>
      </c>
      <c r="B20" s="17" t="n">
        <v>6</v>
      </c>
    </row>
    <row r="21">
      <c r="A21" s="13" t="inlineStr">
        <is>
          <t>Busy Tone</t>
        </is>
      </c>
      <c r="B21" s="17" t="n">
        <v>4</v>
      </c>
    </row>
    <row r="22">
      <c r="A22" s="13" t="inlineStr">
        <is>
          <t>Do Not Call</t>
        </is>
      </c>
      <c r="B22" s="17" t="n">
        <v>4</v>
      </c>
    </row>
    <row r="23">
      <c r="A23" s="13" t="inlineStr">
        <is>
          <t>Existing Client</t>
        </is>
      </c>
      <c r="B23" s="17" t="n">
        <v>4</v>
      </c>
    </row>
    <row r="24">
      <c r="A24" s="13" t="inlineStr">
        <is>
          <t>Temporary Disconnected Number</t>
        </is>
      </c>
      <c r="B24" s="17" t="n">
        <v>4</v>
      </c>
    </row>
    <row r="25">
      <c r="A25" s="13" t="inlineStr">
        <is>
          <t>Under Age</t>
        </is>
      </c>
      <c r="B25" s="17" t="n">
        <v>3</v>
      </c>
    </row>
    <row r="26">
      <c r="A26" s="13" t="inlineStr">
        <is>
          <t>DNQ Quote Declined</t>
        </is>
      </c>
      <c r="B26" s="17" t="n">
        <v>3</v>
      </c>
    </row>
    <row r="27">
      <c r="A27" s="13" t="inlineStr">
        <is>
          <t>Sale Made</t>
        </is>
      </c>
      <c r="B27" s="17" t="n">
        <v>3</v>
      </c>
    </row>
    <row r="28">
      <c r="A28" s="13" t="inlineStr">
        <is>
          <t>Bad Line Quality</t>
        </is>
      </c>
      <c r="B28" s="17" t="n">
        <v>2</v>
      </c>
    </row>
    <row r="29">
      <c r="A29" s="13" t="inlineStr">
        <is>
          <t>Does Not Qualify</t>
        </is>
      </c>
      <c r="B29" s="17" t="n">
        <v>2</v>
      </c>
    </row>
    <row r="30">
      <c r="A30" s="13" t="inlineStr">
        <is>
          <t>Go To The Branch</t>
        </is>
      </c>
      <c r="B30" s="17" t="n">
        <v>2</v>
      </c>
    </row>
    <row r="31">
      <c r="A31" s="13" t="inlineStr">
        <is>
          <t>Right Party Not Available</t>
        </is>
      </c>
      <c r="B31" s="17" t="n">
        <v>2</v>
      </c>
    </row>
    <row r="32">
      <c r="A32" s="13" t="inlineStr">
        <is>
          <t>Inbound After Hours Drop</t>
        </is>
      </c>
      <c r="B32" s="17" t="n">
        <v>1</v>
      </c>
    </row>
    <row r="33">
      <c r="A33" s="13" t="inlineStr">
        <is>
          <t>Do Not Qualify Failed Medical Question</t>
        </is>
      </c>
      <c r="B33" s="17" t="n">
        <v>1</v>
      </c>
    </row>
    <row r="34">
      <c r="A34" s="13" t="inlineStr">
        <is>
          <t>New</t>
        </is>
      </c>
      <c r="B34" s="17" t="n">
        <v>1</v>
      </c>
    </row>
    <row r="35">
      <c r="A35" s="18" t="inlineStr">
        <is>
          <t>Grand Total</t>
        </is>
      </c>
      <c r="B35" s="1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2026-07-05T16:41:09Z</dcterms:created>
  <dcterms:modified xsi:type="dcterms:W3CDTF">2026-07-05T16:41:10Z</dcterms:modified>
</cp:coreProperties>
</file>