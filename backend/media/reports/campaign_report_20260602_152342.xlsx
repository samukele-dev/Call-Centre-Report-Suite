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<sst xmlns="http://schemas.openxmlformats.org/spreadsheetml/2006/main" count="87324" uniqueCount="30404">
  <si>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</si>
  <si>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</si>
  <si>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</si>
  <si>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</si>
  <si>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</si>
  <si>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</si>
  <si>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</si>
  <si>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</si>
  <si>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</si>
  <si>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</si>
  <si>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</si>
  <si>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</si>
  <si>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</si>
  <si>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</si>
  <si>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</si>
  <si>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</si>
  <si>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</si>
  <si>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</si>
  <si>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</si>
  <si>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</si>
  <si>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</si>
  <si>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</si>
  <si>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</si>
  <si>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</si>
  <si>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</si>
  <si>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</si>
  <si>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</si>
  <si>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</si>
  <si>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</si>
  <si>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</si>
  <si>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</si>
  <si>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</si>
  <si>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</si>
  <si>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</si>
  <si>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</si>
  <si>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</si>
  <si>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</si>
  <si>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</si>
  <si>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14500431</t>
  </si>
  <si>
    <t>14bdddbf-b7af-417e-8e8e-50bc320a782b</t>
  </si>
  <si>
    <t>111111120</t>
  </si>
  <si>
    <t>Vodacom Life 20260526</t>
  </si>
  <si>
    <t>NHLANHLA</t>
  </si>
  <si>
    <t>MNGOMEZULU</t>
  </si>
  <si>
    <t>AE</t>
  </si>
  <si>
    <t>Auto Engaged</t>
  </si>
  <si>
    <t>2026-06-02 13:11:56</t>
  </si>
  <si>
    <t>system</t>
  </si>
  <si>
    <t>2026-05-27 04:48:35</t>
  </si>
  <si>
    <t>27799299338</t>
  </si>
  <si>
    <t>14500449</t>
  </si>
  <si>
    <t>f34dc609-c94b-4304-aa92-94f05e11a032</t>
  </si>
  <si>
    <t>VIOLET</t>
  </si>
  <si>
    <t>RABALAO</t>
  </si>
  <si>
    <t>NA</t>
  </si>
  <si>
    <t>No Answer Autodial</t>
  </si>
  <si>
    <t>27649096286</t>
  </si>
  <si>
    <t>14500406</t>
  </si>
  <si>
    <t>5f773558-68a7-42bc-85d0-4c9fdce56c4f</t>
  </si>
  <si>
    <t>KELEBOGILE</t>
  </si>
  <si>
    <t>MOSIKARE</t>
  </si>
  <si>
    <t>2026-06-02 13:11:55</t>
  </si>
  <si>
    <t>27728591238</t>
  </si>
  <si>
    <t>14500408</t>
  </si>
  <si>
    <t>17820815-ef6e-4978-b1c3-f87d26e19aee</t>
  </si>
  <si>
    <t>HELENA</t>
  </si>
  <si>
    <t>FOULDS</t>
  </si>
  <si>
    <t>27723559080</t>
  </si>
  <si>
    <t>14500446</t>
  </si>
  <si>
    <t>2b4d7f17-6146-4b5f-b0e5-885aafc13f1f</t>
  </si>
  <si>
    <t>PHITISA</t>
  </si>
  <si>
    <t>PITSO</t>
  </si>
  <si>
    <t>2026-06-02 13:09:24</t>
  </si>
  <si>
    <t>27725838443</t>
  </si>
  <si>
    <t>14500450</t>
  </si>
  <si>
    <t>88ebaf1f-d223-4d9e-98fe-b577716bff07</t>
  </si>
  <si>
    <t>THITINTI</t>
  </si>
  <si>
    <t>MOSHOEU</t>
  </si>
  <si>
    <t>DROP</t>
  </si>
  <si>
    <t>Dropped</t>
  </si>
  <si>
    <t>27715764270</t>
  </si>
  <si>
    <t>14501692</t>
  </si>
  <si>
    <t>883f0129-8796-4343-91ad-a39536afcfa8</t>
  </si>
  <si>
    <t>SAMANTHA</t>
  </si>
  <si>
    <t>GORMAN</t>
  </si>
  <si>
    <t>27644289495</t>
  </si>
  <si>
    <t>14501718</t>
  </si>
  <si>
    <t>db579ba5-52d7-4de4-92fc-bee2ee73130b</t>
  </si>
  <si>
    <t>ELIZABETH</t>
  </si>
  <si>
    <t>KHUMALO</t>
  </si>
  <si>
    <t>AA</t>
  </si>
  <si>
    <t>Answering Machine Autodial</t>
  </si>
  <si>
    <t>2026-06-02 13:08:47</t>
  </si>
  <si>
    <t>27649025215</t>
  </si>
  <si>
    <t>14500443</t>
  </si>
  <si>
    <t>5deb5d2c-5c38-4f7d-853c-ec7c45549158</t>
  </si>
  <si>
    <t>NOMSA</t>
  </si>
  <si>
    <t>NTIMANE</t>
  </si>
  <si>
    <t>2026-06-02 13:08:43</t>
  </si>
  <si>
    <t>27721376673</t>
  </si>
  <si>
    <t>14500444</t>
  </si>
  <si>
    <t>1989d1fa-a94d-4e2c-9f78-1b9b3f671ec3</t>
  </si>
  <si>
    <t>27724902854</t>
  </si>
  <si>
    <t>14500445</t>
  </si>
  <si>
    <t>d236d0bb-720e-4fff-ac82-ccdba4a0ab8f</t>
  </si>
  <si>
    <t>PIERRE</t>
  </si>
  <si>
    <t>LOUW</t>
  </si>
  <si>
    <t>27712965688</t>
  </si>
  <si>
    <t>14501751</t>
  </si>
  <si>
    <t>ceb09209-7104-4c58-8e2e-089caae2a741</t>
  </si>
  <si>
    <t>DEGRACIA</t>
  </si>
  <si>
    <t>GUMBI</t>
  </si>
  <si>
    <t>27824839993</t>
  </si>
  <si>
    <t>14501719</t>
  </si>
  <si>
    <t>38955260-2250-42ee-8e65-56ed52c30dd3</t>
  </si>
  <si>
    <t>2026-06-02 13:07:07</t>
  </si>
  <si>
    <t>27799458810</t>
  </si>
  <si>
    <t>14501662</t>
  </si>
  <si>
    <t>bbcabdb1-6830-4748-9338-cf2e7f504e8a</t>
  </si>
  <si>
    <t>SIPHOKAZI</t>
  </si>
  <si>
    <t>MCINGANE</t>
  </si>
  <si>
    <t>2026-06-02 13:07:01</t>
  </si>
  <si>
    <t>27823135212</t>
  </si>
  <si>
    <t>14500451</t>
  </si>
  <si>
    <t>df0f5acb-143e-4cb9-9185-7e8914d7438d</t>
  </si>
  <si>
    <t>M</t>
  </si>
  <si>
    <t>TAPALA</t>
  </si>
  <si>
    <t>2026-06-02 13:06:56</t>
  </si>
  <si>
    <t>27662359393</t>
  </si>
  <si>
    <t>14500452</t>
  </si>
  <si>
    <t>f0f8c409-bcaa-4f01-8273-ec3096d4770a</t>
  </si>
  <si>
    <t>LWANGA</t>
  </si>
  <si>
    <t>MALANDA</t>
  </si>
  <si>
    <t>CU</t>
  </si>
  <si>
    <t>Client Hung Up</t>
  </si>
  <si>
    <t>bongiwe lushaba</t>
  </si>
  <si>
    <t>27728495915</t>
  </si>
  <si>
    <t>14500454</t>
  </si>
  <si>
    <t>d16d7219-41d4-478f-9ade-766f003ee552</t>
  </si>
  <si>
    <t>27820409905</t>
  </si>
  <si>
    <t>14501652</t>
  </si>
  <si>
    <t>72428911-9258-4c0a-b47a-4ba2579fba02</t>
  </si>
  <si>
    <t>CORNELIA</t>
  </si>
  <si>
    <t>FOURIE</t>
  </si>
  <si>
    <t>27724790999</t>
  </si>
  <si>
    <t>14501679</t>
  </si>
  <si>
    <t>4ee98639-9e23-40b2-8eb4-8c8c6bd6cb9d</t>
  </si>
  <si>
    <t>2026-06-02 13:04:09</t>
  </si>
  <si>
    <t>27733145311</t>
  </si>
  <si>
    <t>14501555</t>
  </si>
  <si>
    <t>10d0831c-0f80-495a-82dd-aabed08ac8e8</t>
  </si>
  <si>
    <t>L</t>
  </si>
  <si>
    <t>2026-06-02 13:04:03</t>
  </si>
  <si>
    <t>27724358453</t>
  </si>
  <si>
    <t>14501647</t>
  </si>
  <si>
    <t>4aae1246-b351-492d-9276-3e191637cca0</t>
  </si>
  <si>
    <t>MAROPENE</t>
  </si>
  <si>
    <t>MAKHANANISA</t>
  </si>
  <si>
    <t>27824188635</t>
  </si>
  <si>
    <t>14501558</t>
  </si>
  <si>
    <t>aab3deda-e495-472b-9787-ac752a4dddb4</t>
  </si>
  <si>
    <t>ROLAND</t>
  </si>
  <si>
    <t>POSTMA</t>
  </si>
  <si>
    <t>2026-06-02 13:03:57</t>
  </si>
  <si>
    <t>2026-05-28 09:51:06</t>
  </si>
  <si>
    <t>27764518656</t>
  </si>
  <si>
    <t>14501758</t>
  </si>
  <si>
    <t>b6c753a3-e046-4685-acf3-004f10cdb6e5</t>
  </si>
  <si>
    <t>PETER</t>
  </si>
  <si>
    <t>RIBOMBO</t>
  </si>
  <si>
    <t>2026-06-02 13:03:54</t>
  </si>
  <si>
    <t>27728179293</t>
  </si>
  <si>
    <t>14500606</t>
  </si>
  <si>
    <t>6208dad3-1dc4-4def-b0bb-d32f2b60223c</t>
  </si>
  <si>
    <t>ANNA</t>
  </si>
  <si>
    <t>COETZER</t>
  </si>
  <si>
    <t>2026-06-02 13:03:52</t>
  </si>
  <si>
    <t>27825229047</t>
  </si>
  <si>
    <t>14500609</t>
  </si>
  <si>
    <t>f993d2b8-9186-460e-96d4-56390a3f732c</t>
  </si>
  <si>
    <t>MEGAN</t>
  </si>
  <si>
    <t>PIETERSEN</t>
  </si>
  <si>
    <t>27825650571</t>
  </si>
  <si>
    <t>14501714</t>
  </si>
  <si>
    <t>296f303d-3446-44f4-9f6a-b821f8df91a6</t>
  </si>
  <si>
    <t>TSHIMANGADZO</t>
  </si>
  <si>
    <t>MULAUDZI</t>
  </si>
  <si>
    <t>27673523309</t>
  </si>
  <si>
    <t>14501743</t>
  </si>
  <si>
    <t>ccd7e91e-7433-49fa-964f-f4f42bf74135</t>
  </si>
  <si>
    <t>ANNA-MAREE</t>
  </si>
  <si>
    <t>VORSTER</t>
  </si>
  <si>
    <t>27724446370</t>
  </si>
  <si>
    <t>14500530</t>
  </si>
  <si>
    <t>97de5797-5a5f-435d-926f-a80f356b7375</t>
  </si>
  <si>
    <t>MOSA</t>
  </si>
  <si>
    <t>MARUPING</t>
  </si>
  <si>
    <t>2026-06-02 13:01:56</t>
  </si>
  <si>
    <t>27662975380</t>
  </si>
  <si>
    <t>14501693</t>
  </si>
  <si>
    <t>abac5a0f-abda-415b-b9b7-28a323e637f6</t>
  </si>
  <si>
    <t>MAPILANE</t>
  </si>
  <si>
    <t>MOTABOGI</t>
  </si>
  <si>
    <t>2026-06-02 13:01:48</t>
  </si>
  <si>
    <t>27790266941</t>
  </si>
  <si>
    <t>14501507</t>
  </si>
  <si>
    <t>ad8459d7-08d5-4477-83a5-d3a40517fe76</t>
  </si>
  <si>
    <t>LEHLOGONOLO</t>
  </si>
  <si>
    <t>MAHEGO</t>
  </si>
  <si>
    <t>2026-06-02 13:01:44</t>
  </si>
  <si>
    <t>27729880359</t>
  </si>
  <si>
    <t>14500572</t>
  </si>
  <si>
    <t>f722f62a-b856-40f4-a2d8-1e32da17c417</t>
  </si>
  <si>
    <t>FRANCOIS</t>
  </si>
  <si>
    <t>CONRADIE</t>
  </si>
  <si>
    <t>2026-06-02 13:01:37</t>
  </si>
  <si>
    <t>27719178990</t>
  </si>
  <si>
    <t>14500603</t>
  </si>
  <si>
    <t>c0b97cb6-788f-4d4e-bec9-d363ffc0c545</t>
  </si>
  <si>
    <t>27722530372</t>
  </si>
  <si>
    <t>14500605</t>
  </si>
  <si>
    <t>9ed1a07f-1029-48b0-bbe2-640357860c8d</t>
  </si>
  <si>
    <t>KATLEGO</t>
  </si>
  <si>
    <t>LETSELEBE</t>
  </si>
  <si>
    <t>27769276432</t>
  </si>
  <si>
    <t>14501706</t>
  </si>
  <si>
    <t>174e7e47-67f5-40ba-aecc-d6f93dd2b17b</t>
  </si>
  <si>
    <t>JOSIA</t>
  </si>
  <si>
    <t>HOLTSHAUZEN</t>
  </si>
  <si>
    <t>27823882003</t>
  </si>
  <si>
    <t>14500673</t>
  </si>
  <si>
    <t>a65d8c80-3651-48d2-a0ed-df7c3dc0c445</t>
  </si>
  <si>
    <t>TINYIKO</t>
  </si>
  <si>
    <t>MALUNGANI</t>
  </si>
  <si>
    <t>IABDN</t>
  </si>
  <si>
    <t>Inbound Abandon</t>
  </si>
  <si>
    <t>2026-06-02 13:00:33</t>
  </si>
  <si>
    <t>27762844337</t>
  </si>
  <si>
    <t>14501523</t>
  </si>
  <si>
    <t>5cad5e7d-82f6-44fe-adfb-f4a3aaafcaa7</t>
  </si>
  <si>
    <t>REFILWE</t>
  </si>
  <si>
    <t>RADEBE</t>
  </si>
  <si>
    <t>2026-06-02 12:57:02</t>
  </si>
  <si>
    <t>27647212012</t>
  </si>
  <si>
    <t>14501784</t>
  </si>
  <si>
    <t>c24c122b-95b0-4f74-bb3a-d987fd2170f9</t>
  </si>
  <si>
    <t>RETHABILE</t>
  </si>
  <si>
    <t>MOTANG</t>
  </si>
  <si>
    <t>2026-06-02 12:52:41</t>
  </si>
  <si>
    <t>27761326949</t>
  </si>
  <si>
    <t>14501104</t>
  </si>
  <si>
    <t>4f4fa881-47c0-4a7c-8be4-ddc314c0103d</t>
  </si>
  <si>
    <t>NOMBUSO</t>
  </si>
  <si>
    <t>MBATHA</t>
  </si>
  <si>
    <t>2026-06-02 12:44:33</t>
  </si>
  <si>
    <t>27818184654</t>
  </si>
  <si>
    <t>14501557</t>
  </si>
  <si>
    <t>10780e1d-8689-4aad-838b-c15ecd462269</t>
  </si>
  <si>
    <t>SIPHIWE</t>
  </si>
  <si>
    <t>SILANDA</t>
  </si>
  <si>
    <t>2026-06-02 12:44:27</t>
  </si>
  <si>
    <t>27725859372</t>
  </si>
  <si>
    <t>14501741</t>
  </si>
  <si>
    <t>6bad7308-0342-48f3-8b20-1d7b8c6726db</t>
  </si>
  <si>
    <t>MALESELA</t>
  </si>
  <si>
    <t>MOJAPELO</t>
  </si>
  <si>
    <t>27608887252</t>
  </si>
  <si>
    <t>14501760</t>
  </si>
  <si>
    <t>356cece5-a816-4fc0-9a38-9ee224352d8b</t>
  </si>
  <si>
    <t>THIMOTY</t>
  </si>
  <si>
    <t>MTSWENI</t>
  </si>
  <si>
    <t>27762836389</t>
  </si>
  <si>
    <t>14501774</t>
  </si>
  <si>
    <t>fb63dc72-8013-45d7-989a-3b9d047c6f6f</t>
  </si>
  <si>
    <t>NOMTHANDAZO</t>
  </si>
  <si>
    <t>SHEZI</t>
  </si>
  <si>
    <t>27721847372</t>
  </si>
  <si>
    <t>14501770</t>
  </si>
  <si>
    <t>3e97459b-5e20-4640-b356-0f6e483191ab</t>
  </si>
  <si>
    <t>MATSOGE</t>
  </si>
  <si>
    <t>KGAPHOLA</t>
  </si>
  <si>
    <t>2026-06-02 12:43:38</t>
  </si>
  <si>
    <t>27796875225</t>
  </si>
  <si>
    <t>14501724</t>
  </si>
  <si>
    <t>e7afec78-50d0-4008-a444-58a1e550225a</t>
  </si>
  <si>
    <t>PATISWA</t>
  </si>
  <si>
    <t>KETSIWE</t>
  </si>
  <si>
    <t>N</t>
  </si>
  <si>
    <t>No Answer</t>
  </si>
  <si>
    <t>2026-06-02 12:43:03</t>
  </si>
  <si>
    <t>Khensane Mabasa</t>
  </si>
  <si>
    <t>27824255233</t>
  </si>
  <si>
    <t>14500614</t>
  </si>
  <si>
    <t>a1028cee-0af7-42a1-b50c-4af89a9d6f7d</t>
  </si>
  <si>
    <t>SIPHO</t>
  </si>
  <si>
    <t>MNEMBE</t>
  </si>
  <si>
    <t>2026-06-02 12:43:01</t>
  </si>
  <si>
    <t>27608080537</t>
  </si>
  <si>
    <t>14501504</t>
  </si>
  <si>
    <t>1fd330a4-6a82-4b69-8f8f-f456802f8478</t>
  </si>
  <si>
    <t>CARLA</t>
  </si>
  <si>
    <t>BOTHA</t>
  </si>
  <si>
    <t>27662893875</t>
  </si>
  <si>
    <t>14501573</t>
  </si>
  <si>
    <t>b774a552-dac5-4f1e-ae17-9b857935c062</t>
  </si>
  <si>
    <t>MARC</t>
  </si>
  <si>
    <t>SMITH</t>
  </si>
  <si>
    <t>27646699273</t>
  </si>
  <si>
    <t>14501735</t>
  </si>
  <si>
    <t>b40917cf-7918-43aa-8e4e-c4721ee0f0ed</t>
  </si>
  <si>
    <t>NKHUMISENI</t>
  </si>
  <si>
    <t>MATAMBELA</t>
  </si>
  <si>
    <t>2026-06-02 12:41:43</t>
  </si>
  <si>
    <t>27674038846</t>
  </si>
  <si>
    <t>14501764</t>
  </si>
  <si>
    <t>1bcf9ea5-34d4-4a85-9cc6-67fb2fdb2507</t>
  </si>
  <si>
    <t>SIBONGILE</t>
  </si>
  <si>
    <t>NDIMA</t>
  </si>
  <si>
    <t>27798907344</t>
  </si>
  <si>
    <t>14501769</t>
  </si>
  <si>
    <t>fd98e1d3-1905-41ff-a753-7ad89fa77e6c</t>
  </si>
  <si>
    <t>PHEHELLO</t>
  </si>
  <si>
    <t>MANGALISO</t>
  </si>
  <si>
    <t>2026-06-02 12:41:29</t>
  </si>
  <si>
    <t>27794343795</t>
  </si>
  <si>
    <t>14501640</t>
  </si>
  <si>
    <t>b91bb494-963f-492f-93ec-fc92517dfe28</t>
  </si>
  <si>
    <t>LANA-RAE</t>
  </si>
  <si>
    <t>BRITZ</t>
  </si>
  <si>
    <t>2026-06-02 12:41:23</t>
  </si>
  <si>
    <t>27768261391</t>
  </si>
  <si>
    <t>14501794</t>
  </si>
  <si>
    <t>56a91719-9da9-4a5e-9c58-a15cf4598468</t>
  </si>
  <si>
    <t>RAMAABELE</t>
  </si>
  <si>
    <t>RACHILO</t>
  </si>
  <si>
    <t>2026-06-02 12:41:08</t>
  </si>
  <si>
    <t>27662452913</t>
  </si>
  <si>
    <t>14500915</t>
  </si>
  <si>
    <t>6f01b9dd-1f46-49a6-bf45-bcc41666cd4d</t>
  </si>
  <si>
    <t>SHANINE</t>
  </si>
  <si>
    <t>GIBBONS</t>
  </si>
  <si>
    <t>2026-06-02 12:41:06</t>
  </si>
  <si>
    <t>27741621698</t>
  </si>
  <si>
    <t>14501721</t>
  </si>
  <si>
    <t>4870a6ad-c3da-46c4-a1fd-f5a19a706e72</t>
  </si>
  <si>
    <t>LUNGILE</t>
  </si>
  <si>
    <t>SHANGE</t>
  </si>
  <si>
    <t>2026-06-02 12:41:05</t>
  </si>
  <si>
    <t>27674023432</t>
  </si>
  <si>
    <t>14500736</t>
  </si>
  <si>
    <t>b0706c9f-5c33-49f2-8bcb-d179633b2053</t>
  </si>
  <si>
    <t>SELOABOSHEGO</t>
  </si>
  <si>
    <t>LETSOALO</t>
  </si>
  <si>
    <t>A</t>
  </si>
  <si>
    <t>Answering Machine</t>
  </si>
  <si>
    <t>2026-06-02 12:41:00</t>
  </si>
  <si>
    <t>27716731842</t>
  </si>
  <si>
    <t>14501672</t>
  </si>
  <si>
    <t>1721ec12-16a0-4f3f-812f-8343818ace96</t>
  </si>
  <si>
    <t>SIOBHAN</t>
  </si>
  <si>
    <t>BROWN</t>
  </si>
  <si>
    <t>27727062123</t>
  </si>
  <si>
    <t>14501761</t>
  </si>
  <si>
    <t>d901b506-31a6-423f-93a7-8dd780a2d78d</t>
  </si>
  <si>
    <t>CHRISTA</t>
  </si>
  <si>
    <t>JANSE VAN VUUREN</t>
  </si>
  <si>
    <t>27662283673</t>
  </si>
  <si>
    <t>14501560</t>
  </si>
  <si>
    <t>d39ae6c2-d9b3-4ede-9d11-44c8f3085371</t>
  </si>
  <si>
    <t>JULIAN</t>
  </si>
  <si>
    <t>MC EVOY</t>
  </si>
  <si>
    <t>ADC</t>
  </si>
  <si>
    <t>Auto Dial Disconnected</t>
  </si>
  <si>
    <t>2026-06-02 12:39:34</t>
  </si>
  <si>
    <t>27799447848</t>
  </si>
  <si>
    <t>14501755</t>
  </si>
  <si>
    <t>3845f8c1-5c80-4b1d-ac7c-91c881dfd33e</t>
  </si>
  <si>
    <t>NKINGA</t>
  </si>
  <si>
    <t>NKWANYANA</t>
  </si>
  <si>
    <t>27716781535</t>
  </si>
  <si>
    <t>14501550</t>
  </si>
  <si>
    <t>aaaa8b3b-6692-409e-a3c7-6f1e93cae73e</t>
  </si>
  <si>
    <t>MARIA</t>
  </si>
  <si>
    <t>MNISI</t>
  </si>
  <si>
    <t>2026-06-02 12:39:18</t>
  </si>
  <si>
    <t>27797021471</t>
  </si>
  <si>
    <t>14501653</t>
  </si>
  <si>
    <t>70a07da2-0e5d-4489-8a89-cfac599cdac0</t>
  </si>
  <si>
    <t>JOSLYNE</t>
  </si>
  <si>
    <t>CLOETE</t>
  </si>
  <si>
    <t>DNCLIFE</t>
  </si>
  <si>
    <t>2026-06-02 12:38:46</t>
  </si>
  <si>
    <t>27725744073</t>
  </si>
  <si>
    <t>14501785</t>
  </si>
  <si>
    <t>c447b34b-17de-46de-bc2d-edbcf4f69ead</t>
  </si>
  <si>
    <t>NOMASAMANISO</t>
  </si>
  <si>
    <t>KUNENE</t>
  </si>
  <si>
    <t>2026-06-02 12:38:29</t>
  </si>
  <si>
    <t>27835418064</t>
  </si>
  <si>
    <t>14501786</t>
  </si>
  <si>
    <t>56c004b3-8071-43d5-8d21-95f0dd07a645</t>
  </si>
  <si>
    <t>MAMDOUH</t>
  </si>
  <si>
    <t>AHMED</t>
  </si>
  <si>
    <t>2026-06-02 12:38:24</t>
  </si>
  <si>
    <t>27720125943</t>
  </si>
  <si>
    <t>14501688</t>
  </si>
  <si>
    <t>e8dfbed3-ec8e-4ead-b288-bc270a5949c7</t>
  </si>
  <si>
    <t>SARA</t>
  </si>
  <si>
    <t>REEVES</t>
  </si>
  <si>
    <t>2026-06-02 12:38:22</t>
  </si>
  <si>
    <t>27728178023</t>
  </si>
  <si>
    <t>14500731</t>
  </si>
  <si>
    <t>8e1c95ad-be5e-4508-b20e-00b1fe3f2d2b</t>
  </si>
  <si>
    <t>MAKHUBELE</t>
  </si>
  <si>
    <t>2026-06-02 12:38:21</t>
  </si>
  <si>
    <t>27724560413</t>
  </si>
  <si>
    <t>14500732</t>
  </si>
  <si>
    <t>fe835c18-10df-46ee-a4a8-81889663c213</t>
  </si>
  <si>
    <t>MOSAMO</t>
  </si>
  <si>
    <t>PHOLLO</t>
  </si>
  <si>
    <t>27725411141</t>
  </si>
  <si>
    <t>14500733</t>
  </si>
  <si>
    <t>816c5d72-e3a3-43ec-8e7a-46e6f3df7344</t>
  </si>
  <si>
    <t>MI</t>
  </si>
  <si>
    <t>HEYNS</t>
  </si>
  <si>
    <t>27799797584</t>
  </si>
  <si>
    <t>14500396</t>
  </si>
  <si>
    <t>366171b3-a6c7-42fc-b82c-082e2dee08ae</t>
  </si>
  <si>
    <t>JUAN</t>
  </si>
  <si>
    <t>OLIVIER</t>
  </si>
  <si>
    <t>2026-06-02 12:36:01</t>
  </si>
  <si>
    <t>27828435588</t>
  </si>
  <si>
    <t>14501581</t>
  </si>
  <si>
    <t>9914206b-061f-447f-a0b7-e8ff3b64352e</t>
  </si>
  <si>
    <t>OWAGENG</t>
  </si>
  <si>
    <t>MODISE</t>
  </si>
  <si>
    <t>2026-06-02 12:33:38</t>
  </si>
  <si>
    <t>27726171984</t>
  </si>
  <si>
    <t>14501788</t>
  </si>
  <si>
    <t>82d0bae6-ed93-4d7f-aa88-a134d947d99f</t>
  </si>
  <si>
    <t>PATRICIA</t>
  </si>
  <si>
    <t>ROBERTS</t>
  </si>
  <si>
    <t>2026-06-02 12:33:37</t>
  </si>
  <si>
    <t>27713620006</t>
  </si>
  <si>
    <t>14501789</t>
  </si>
  <si>
    <t>0fd12510-a77f-4bd0-b2de-14db5f75f5c5</t>
  </si>
  <si>
    <t>CHRISTELLE</t>
  </si>
  <si>
    <t>VAN ZYL</t>
  </si>
  <si>
    <t>27716884176</t>
  </si>
  <si>
    <t>14501556</t>
  </si>
  <si>
    <t>3023d7b6-7441-43bd-9494-684e3b5036c8</t>
  </si>
  <si>
    <t>KEITH</t>
  </si>
  <si>
    <t>MIDDLEMISS</t>
  </si>
  <si>
    <t>2026-06-02 12:33:36</t>
  </si>
  <si>
    <t>27829309157</t>
  </si>
  <si>
    <t>14501712</t>
  </si>
  <si>
    <t>c9b5dd6d-5d66-4d0b-bf9c-9f9a78932877</t>
  </si>
  <si>
    <t>JOHN</t>
  </si>
  <si>
    <t>VAN DER WESTHUIZEN</t>
  </si>
  <si>
    <t>27662330402</t>
  </si>
  <si>
    <t>14501804</t>
  </si>
  <si>
    <t>0803d4a5-8161-4f3f-b45c-739ba7ff4ea4</t>
  </si>
  <si>
    <t>PROMISE</t>
  </si>
  <si>
    <t>MKHABELA</t>
  </si>
  <si>
    <t>2026-06-02 12:33:13</t>
  </si>
  <si>
    <t>27769570651</t>
  </si>
  <si>
    <t>14501572</t>
  </si>
  <si>
    <t>34936273-b53e-4c9a-9405-972b44008ecc</t>
  </si>
  <si>
    <t>JANE</t>
  </si>
  <si>
    <t>MAHONGWE</t>
  </si>
  <si>
    <t>2026-06-02 12:32:26</t>
  </si>
  <si>
    <t>27723323893</t>
  </si>
  <si>
    <t>14501651</t>
  </si>
  <si>
    <t>b3d44cf8-90c3-426c-8500-9bb844fe1cfd</t>
  </si>
  <si>
    <t>W</t>
  </si>
  <si>
    <t>LOMBARD</t>
  </si>
  <si>
    <t>2026-06-02 12:32:07</t>
  </si>
  <si>
    <t>27825661354</t>
  </si>
  <si>
    <t>14501742</t>
  </si>
  <si>
    <t>1cde55b0-ac69-4c78-b7a4-832166151957</t>
  </si>
  <si>
    <t>JC</t>
  </si>
  <si>
    <t>BASSON</t>
  </si>
  <si>
    <t>27649075659</t>
  </si>
  <si>
    <t>14501791</t>
  </si>
  <si>
    <t>3628da09-0f42-4b5d-8854-342970655a19</t>
  </si>
  <si>
    <t>THABO</t>
  </si>
  <si>
    <t>MODIMAKWANE</t>
  </si>
  <si>
    <t>27769532092</t>
  </si>
  <si>
    <t>14501792</t>
  </si>
  <si>
    <t>b94ebd87-b72e-403e-a34b-4b74f7ff2fdc</t>
  </si>
  <si>
    <t>GERARD</t>
  </si>
  <si>
    <t>NEFDT</t>
  </si>
  <si>
    <t>27823001879</t>
  </si>
  <si>
    <t>14501551</t>
  </si>
  <si>
    <t>69645e7d-3dbd-4b64-9d94-ea054e9cd1b0</t>
  </si>
  <si>
    <t>TSHIAMO</t>
  </si>
  <si>
    <t>MOTSOANE</t>
  </si>
  <si>
    <t>CBACK</t>
  </si>
  <si>
    <t>Callback</t>
  </si>
  <si>
    <t>2026-06-02 12:32:06</t>
  </si>
  <si>
    <t>27646803183</t>
  </si>
  <si>
    <t>14501505</t>
  </si>
  <si>
    <t>724edaa7-19a4-4a30-9649-09f50d7f875a</t>
  </si>
  <si>
    <t>SIBUSISO</t>
  </si>
  <si>
    <t>NCUBE</t>
  </si>
  <si>
    <t>2026-06-02 12:30:35</t>
  </si>
  <si>
    <t>27762299226</t>
  </si>
  <si>
    <t>14501685</t>
  </si>
  <si>
    <t>fa8dc2fd-9241-45df-9b77-012b6dfe475e</t>
  </si>
  <si>
    <t>27637456466</t>
  </si>
  <si>
    <t>14501720</t>
  </si>
  <si>
    <t>3ddaa1ab-c139-4e88-b16a-14a4b7c8751b</t>
  </si>
  <si>
    <t>AMELIA</t>
  </si>
  <si>
    <t>PRETORIUS</t>
  </si>
  <si>
    <t>27827868290</t>
  </si>
  <si>
    <t>14501793</t>
  </si>
  <si>
    <t>46b998cd-fcd1-4fd1-bbe6-50f2ec443c5b</t>
  </si>
  <si>
    <t>MIYELANI</t>
  </si>
  <si>
    <t>BILA</t>
  </si>
  <si>
    <t>27662575568</t>
  </si>
  <si>
    <t>14501763</t>
  </si>
  <si>
    <t>16b9435d-e19d-4308-8854-162a8b0eaa8c</t>
  </si>
  <si>
    <t>ISMAIL</t>
  </si>
  <si>
    <t>HAJI</t>
  </si>
  <si>
    <t>2026-06-02 12:30:00</t>
  </si>
  <si>
    <t>27607100143</t>
  </si>
  <si>
    <t>14501686</t>
  </si>
  <si>
    <t>e5727b11-85bc-4847-8842-1c10f2be1d2b</t>
  </si>
  <si>
    <t>SADIYAH</t>
  </si>
  <si>
    <t>JASSAT</t>
  </si>
  <si>
    <t>2026-06-02 12:29:14</t>
  </si>
  <si>
    <t>27845036707</t>
  </si>
  <si>
    <t>14501803</t>
  </si>
  <si>
    <t>6fbc123b-78eb-481a-bb3e-469d2a56b430</t>
  </si>
  <si>
    <t>NOMONDE</t>
  </si>
  <si>
    <t>NOMDZINWA</t>
  </si>
  <si>
    <t>27760623149</t>
  </si>
  <si>
    <t>14501802</t>
  </si>
  <si>
    <t>f54e4b02-acd1-4af8-a843-0b012007ccc0</t>
  </si>
  <si>
    <t>ARMSTRONG</t>
  </si>
  <si>
    <t>MASHELE</t>
  </si>
  <si>
    <t>CCB</t>
  </si>
  <si>
    <t>Call Dropped</t>
  </si>
  <si>
    <t>2026-06-02 12:29:08</t>
  </si>
  <si>
    <t>27766963340</t>
  </si>
  <si>
    <t>14501574</t>
  </si>
  <si>
    <t>5c9f3d5f-023a-4f4e-8842-c433543d1d8e</t>
  </si>
  <si>
    <t>DAVID</t>
  </si>
  <si>
    <t>MNCWABE</t>
  </si>
  <si>
    <t>2026-06-02 12:28:45</t>
  </si>
  <si>
    <t>27726328200</t>
  </si>
  <si>
    <t>14501661</t>
  </si>
  <si>
    <t>aa111b3e-9a50-4ed9-91d2-796d323ba60a</t>
  </si>
  <si>
    <t>LEBELOANE</t>
  </si>
  <si>
    <t>THEKUPI</t>
  </si>
  <si>
    <t>27796114677</t>
  </si>
  <si>
    <t>14501759</t>
  </si>
  <si>
    <t>cf1f308b-36a8-4008-b97f-61bf80bc3475</t>
  </si>
  <si>
    <t>YORGAN</t>
  </si>
  <si>
    <t>MOTHUPI</t>
  </si>
  <si>
    <t>2026-06-02 12:28:43</t>
  </si>
  <si>
    <t>27662311402</t>
  </si>
  <si>
    <t>14501812</t>
  </si>
  <si>
    <t>0eb61709-7c23-4b21-a66e-d1d81a3bbb6e</t>
  </si>
  <si>
    <t>WYNAND</t>
  </si>
  <si>
    <t>2026-06-02 12:28:09</t>
  </si>
  <si>
    <t>27764010906</t>
  </si>
  <si>
    <t>14501745</t>
  </si>
  <si>
    <t>b7f258bf-2164-433f-a0cd-0a004350e9a0</t>
  </si>
  <si>
    <t>CAROLINE</t>
  </si>
  <si>
    <t>MAKITLA</t>
  </si>
  <si>
    <t>2026-06-02 12:26:50</t>
  </si>
  <si>
    <t>27636182445</t>
  </si>
  <si>
    <t>14501554</t>
  </si>
  <si>
    <t>a268da77-b683-4e6d-92f1-536a4289cc6f</t>
  </si>
  <si>
    <t>THAPELO</t>
  </si>
  <si>
    <t>KGOTLENG</t>
  </si>
  <si>
    <t>2026-06-02 12:26:49</t>
  </si>
  <si>
    <t>27721692737</t>
  </si>
  <si>
    <t>14501553</t>
  </si>
  <si>
    <t>f68e42f6-d6e5-4005-ab5a-cbd2b0ed19d2</t>
  </si>
  <si>
    <t>MAKHUZA</t>
  </si>
  <si>
    <t>MATCHABA</t>
  </si>
  <si>
    <t>2026-06-02 12:26:46</t>
  </si>
  <si>
    <t>27727646912</t>
  </si>
  <si>
    <t>14501806</t>
  </si>
  <si>
    <t>8f191d95-e152-43d1-a2c4-670689d0b444</t>
  </si>
  <si>
    <t>SHARON</t>
  </si>
  <si>
    <t>HENNINGS</t>
  </si>
  <si>
    <t>2026-06-02 12:26:43</t>
  </si>
  <si>
    <t>27723802688</t>
  </si>
  <si>
    <t>14501525</t>
  </si>
  <si>
    <t>6e7752e3-254e-4788-b476-17b0fb6f4da5</t>
  </si>
  <si>
    <t>RUAN</t>
  </si>
  <si>
    <t>RAATHS</t>
  </si>
  <si>
    <t>2026-06-02 12:26:38</t>
  </si>
  <si>
    <t>27725638897</t>
  </si>
  <si>
    <t>14501839</t>
  </si>
  <si>
    <t>f52c14fd-672f-4d55-8998-e2d2bfc53315</t>
  </si>
  <si>
    <t>VANESSA</t>
  </si>
  <si>
    <t>2026-06-02 12:26:37</t>
  </si>
  <si>
    <t>27714107114</t>
  </si>
  <si>
    <t>14501506</t>
  </si>
  <si>
    <t>4d0c00d3-7712-4590-968a-1fac6c03d0b3</t>
  </si>
  <si>
    <t>HELENE</t>
  </si>
  <si>
    <t>SLABBERT</t>
  </si>
  <si>
    <t>2026-06-02 12:26:35</t>
  </si>
  <si>
    <t>27745890560</t>
  </si>
  <si>
    <t>14501521</t>
  </si>
  <si>
    <t>5b8a6b92-c233-4360-bb35-69163fde7422</t>
  </si>
  <si>
    <t>WENTZEL</t>
  </si>
  <si>
    <t>CROUSE</t>
  </si>
  <si>
    <t>27646566087</t>
  </si>
  <si>
    <t>14501634</t>
  </si>
  <si>
    <t>935e871a-7062-46ab-b84c-d75fb2769d44</t>
  </si>
  <si>
    <t>BELINDA</t>
  </si>
  <si>
    <t>VAN HUFFEL</t>
  </si>
  <si>
    <t>2026-06-02 12:26:34</t>
  </si>
  <si>
    <t>27646860886</t>
  </si>
  <si>
    <t>14501807</t>
  </si>
  <si>
    <t>da64b365-e5ab-4e35-83a0-b84c662a0a44</t>
  </si>
  <si>
    <t>ISHMAEL</t>
  </si>
  <si>
    <t>NETSHIREMBE</t>
  </si>
  <si>
    <t>27727467279</t>
  </si>
  <si>
    <t>14501552</t>
  </si>
  <si>
    <t>ef591f67-1a66-4d01-ac80-f9dff678e2bb</t>
  </si>
  <si>
    <t>BUHLE</t>
  </si>
  <si>
    <t>DUMA</t>
  </si>
  <si>
    <t>2026-06-02 12:26:04</t>
  </si>
  <si>
    <t>27795172118</t>
  </si>
  <si>
    <t>14501548</t>
  </si>
  <si>
    <t>ea91d39b-d601-4d21-8b70-60ff3f900fb6</t>
  </si>
  <si>
    <t>CONNIE</t>
  </si>
  <si>
    <t>THATCHER</t>
  </si>
  <si>
    <t>2026-06-02 12:25:58</t>
  </si>
  <si>
    <t>27723451695</t>
  </si>
  <si>
    <t>14501682</t>
  </si>
  <si>
    <t>8705b794-3a23-44d6-9240-df48173192a1</t>
  </si>
  <si>
    <t>MARTHIE</t>
  </si>
  <si>
    <t>ENGELBRECHT</t>
  </si>
  <si>
    <t>27766923794</t>
  </si>
  <si>
    <t>14501809</t>
  </si>
  <si>
    <t>10e78b22-9f1c-4da4-a621-f6ff01c90545</t>
  </si>
  <si>
    <t>PEGGY</t>
  </si>
  <si>
    <t>MOHALE</t>
  </si>
  <si>
    <t>27725967814</t>
  </si>
  <si>
    <t>14501655</t>
  </si>
  <si>
    <t>93295344-bc7e-4d30-88d0-e000bc8878c0</t>
  </si>
  <si>
    <t>DOREACHIA</t>
  </si>
  <si>
    <t>PIETERS</t>
  </si>
  <si>
    <t>2026-06-02 12:21:34</t>
  </si>
  <si>
    <t>27637731048</t>
  </si>
  <si>
    <t>14501571</t>
  </si>
  <si>
    <t>fc06165e-518a-42fa-8d32-6b46e5d126cd</t>
  </si>
  <si>
    <t>CARINA</t>
  </si>
  <si>
    <t>PEACH</t>
  </si>
  <si>
    <t>2026-06-02 12:20:43</t>
  </si>
  <si>
    <t>27663604242</t>
  </si>
  <si>
    <t>14501813</t>
  </si>
  <si>
    <t>24a67d7c-ac06-4697-a0b9-a0851c6155d9</t>
  </si>
  <si>
    <t>MAKGWALE</t>
  </si>
  <si>
    <t>MAZWI</t>
  </si>
  <si>
    <t>2026-06-02 12:20:41</t>
  </si>
  <si>
    <t>27829711026</t>
  </si>
  <si>
    <t>14501564</t>
  </si>
  <si>
    <t>8c5e6045-a7c2-42ad-b837-cda1af236065</t>
  </si>
  <si>
    <t>MNCUBE</t>
  </si>
  <si>
    <t>2026-06-02 12:20:40</t>
  </si>
  <si>
    <t>27790670130</t>
  </si>
  <si>
    <t>14501568</t>
  </si>
  <si>
    <t>4ee01af8-6fe7-4452-8cb1-74ec5368920b</t>
  </si>
  <si>
    <t>WILLEM</t>
  </si>
  <si>
    <t>BARNARD</t>
  </si>
  <si>
    <t>27798734077</t>
  </si>
  <si>
    <t>14501569</t>
  </si>
  <si>
    <t>c702500c-5ef9-4f1e-aee6-c62ed0bcff5f</t>
  </si>
  <si>
    <t>HUMPHREY</t>
  </si>
  <si>
    <t>MOKOKA</t>
  </si>
  <si>
    <t>27826923965</t>
  </si>
  <si>
    <t>14501570</t>
  </si>
  <si>
    <t>20c5e7af-f0da-40dc-b340-f702db69d701</t>
  </si>
  <si>
    <t>BJORN</t>
  </si>
  <si>
    <t>REININGHAUS</t>
  </si>
  <si>
    <t>GTTB</t>
  </si>
  <si>
    <t>Go to the Branch</t>
  </si>
  <si>
    <t>Maureen Ntsoko</t>
  </si>
  <si>
    <t>27848528133</t>
  </si>
  <si>
    <t>14501562</t>
  </si>
  <si>
    <t>bac00668-7f46-4053-b9f1-44b80ffc6bd7</t>
  </si>
  <si>
    <t>XOLANI</t>
  </si>
  <si>
    <t>ZWANE</t>
  </si>
  <si>
    <t>2026-06-02 12:20:38</t>
  </si>
  <si>
    <t>27827861526</t>
  </si>
  <si>
    <t>14501687</t>
  </si>
  <si>
    <t>f6470a88-15d6-497f-af80-b72c6b5f8ab2</t>
  </si>
  <si>
    <t>MOEKETSI</t>
  </si>
  <si>
    <t>KOALANE</t>
  </si>
  <si>
    <t>27798134608</t>
  </si>
  <si>
    <t>14501815</t>
  </si>
  <si>
    <t>a32aeb2e-be31-49ff-b11c-d57604b83108</t>
  </si>
  <si>
    <t>SETHU</t>
  </si>
  <si>
    <t>MENYE</t>
  </si>
  <si>
    <t>27715290831</t>
  </si>
  <si>
    <t>14501826</t>
  </si>
  <si>
    <t>dc5714d1-0a84-455f-9277-48663e020f74</t>
  </si>
  <si>
    <t>KGAOWELO</t>
  </si>
  <si>
    <t>MATJIE</t>
  </si>
  <si>
    <t>27713261330</t>
  </si>
  <si>
    <t>14501870</t>
  </si>
  <si>
    <t>83a2461d-d410-4817-8caf-0d54debfd3ba</t>
  </si>
  <si>
    <t>CAMERON</t>
  </si>
  <si>
    <t>HUMAN</t>
  </si>
  <si>
    <t>2026-06-02 12:18:27</t>
  </si>
  <si>
    <t>27662908671</t>
  </si>
  <si>
    <t>14500537</t>
  </si>
  <si>
    <t>6833236a-8ca9-4e35-a028-3d7ac3185b35</t>
  </si>
  <si>
    <t>PIETER</t>
  </si>
  <si>
    <t>MERING</t>
  </si>
  <si>
    <t>27828736652</t>
  </si>
  <si>
    <t>14501867</t>
  </si>
  <si>
    <t>b9dca8bb-fd95-4e76-8878-d9a7c61455d9</t>
  </si>
  <si>
    <t>AG</t>
  </si>
  <si>
    <t>HALL</t>
  </si>
  <si>
    <t>2026-06-02 12:18:25</t>
  </si>
  <si>
    <t>27824658846</t>
  </si>
  <si>
    <t>14501603</t>
  </si>
  <si>
    <t>e5832ae4-fc38-4abc-8217-4835ff60f5fe</t>
  </si>
  <si>
    <t>SIZOPHILA</t>
  </si>
  <si>
    <t>GUMEDE</t>
  </si>
  <si>
    <t>2026-06-02 12:18:24</t>
  </si>
  <si>
    <t>27793740255</t>
  </si>
  <si>
    <t>14501609</t>
  </si>
  <si>
    <t>afad05e4-9287-4668-a185-6667493aa4f9</t>
  </si>
  <si>
    <t>JUSTINE</t>
  </si>
  <si>
    <t>SOLOMON</t>
  </si>
  <si>
    <t>27845618152</t>
  </si>
  <si>
    <t>14501669</t>
  </si>
  <si>
    <t>b34ded34-991c-4a5a-a5db-5705776dbb93</t>
  </si>
  <si>
    <t>PJ</t>
  </si>
  <si>
    <t>27827730409</t>
  </si>
  <si>
    <t>14501559</t>
  </si>
  <si>
    <t>467f5206-2a0f-42b0-b8bc-f9ec5716fbc0</t>
  </si>
  <si>
    <t>2026-06-02 12:17:55</t>
  </si>
  <si>
    <t>27714908038</t>
  </si>
  <si>
    <t>14501578</t>
  </si>
  <si>
    <t>2077ea83-2500-4fd2-9eb1-402431b97e97</t>
  </si>
  <si>
    <t>MUOFHE</t>
  </si>
  <si>
    <t>2026-06-02 12:17:52</t>
  </si>
  <si>
    <t>27799683085</t>
  </si>
  <si>
    <t>14501587</t>
  </si>
  <si>
    <t>6fdca3a1-5bae-4a3f-909a-5b40ba64143d</t>
  </si>
  <si>
    <t>JABULISILE</t>
  </si>
  <si>
    <t>MYEZA</t>
  </si>
  <si>
    <t>2026-06-02 12:17:45</t>
  </si>
  <si>
    <t>27609640443</t>
  </si>
  <si>
    <t>14501579</t>
  </si>
  <si>
    <t>e8ec89bd-4d9d-457a-8c0b-988b1bcec06f</t>
  </si>
  <si>
    <t>VUSI</t>
  </si>
  <si>
    <t>MAPHOSA</t>
  </si>
  <si>
    <t>2026-06-02 12:17:43</t>
  </si>
  <si>
    <t>27637478826</t>
  </si>
  <si>
    <t>14501582</t>
  </si>
  <si>
    <t>3c969deb-9d87-4ed6-88a4-e10aec3b8d26</t>
  </si>
  <si>
    <t>SIMON</t>
  </si>
  <si>
    <t>PHIRI</t>
  </si>
  <si>
    <t>NI</t>
  </si>
  <si>
    <t>Not Interested</t>
  </si>
  <si>
    <t>27720303051</t>
  </si>
  <si>
    <t>14501584</t>
  </si>
  <si>
    <t>1861ed78-7f48-402d-a13d-f9751748c6a6</t>
  </si>
  <si>
    <t>JAN</t>
  </si>
  <si>
    <t>SCHOEMAN</t>
  </si>
  <si>
    <t>27662382474</t>
  </si>
  <si>
    <t>14501695</t>
  </si>
  <si>
    <t>ad9385b9-d3cc-44b8-b378-86f9885dcb04</t>
  </si>
  <si>
    <t>UNATHI</t>
  </si>
  <si>
    <t>SITATU</t>
  </si>
  <si>
    <t>27609718263</t>
  </si>
  <si>
    <t>14500377</t>
  </si>
  <si>
    <t>88c1ef21-6739-405c-85f2-5d68392a0258</t>
  </si>
  <si>
    <t>NOMATHEMBA</t>
  </si>
  <si>
    <t>MDLULI</t>
  </si>
  <si>
    <t>2026-06-02 12:15:48</t>
  </si>
  <si>
    <t>27721006102</t>
  </si>
  <si>
    <t>14501585</t>
  </si>
  <si>
    <t>c81cf1ee-638b-41e5-b03a-48b915406d01</t>
  </si>
  <si>
    <t>RHIAN</t>
  </si>
  <si>
    <t>JONES</t>
  </si>
  <si>
    <t>2026-06-02 12:15:37</t>
  </si>
  <si>
    <t>27728075633</t>
  </si>
  <si>
    <t>14501586</t>
  </si>
  <si>
    <t>e729875d-1d8a-4010-b151-c7b17ed40f89</t>
  </si>
  <si>
    <t>LOUIS</t>
  </si>
  <si>
    <t>VANDERLINDE</t>
  </si>
  <si>
    <t>2026-06-02 12:15:16</t>
  </si>
  <si>
    <t>27790765416</t>
  </si>
  <si>
    <t>14501517</t>
  </si>
  <si>
    <t>bb6740fd-94ad-46b2-bd8a-d26ee1654995</t>
  </si>
  <si>
    <t>SOPHIA</t>
  </si>
  <si>
    <t>MVALO</t>
  </si>
  <si>
    <t>2026-06-02 12:15:02</t>
  </si>
  <si>
    <t>27662698997</t>
  </si>
  <si>
    <t>14501589</t>
  </si>
  <si>
    <t>05e714be-1e83-4e0e-8c67-f04c5750e11c</t>
  </si>
  <si>
    <t>THABANG</t>
  </si>
  <si>
    <t>MAIFALA</t>
  </si>
  <si>
    <t>2026-06-02 12:14:45</t>
  </si>
  <si>
    <t>27723855837</t>
  </si>
  <si>
    <t>14501593</t>
  </si>
  <si>
    <t>65853f65-a0c4-468f-93bc-51dd8e58a685</t>
  </si>
  <si>
    <t>JOHANNES</t>
  </si>
  <si>
    <t>RAATH</t>
  </si>
  <si>
    <t>27828740144</t>
  </si>
  <si>
    <t>14501700</t>
  </si>
  <si>
    <t>2c88a9fc-0012-468f-9dea-2e07768388d9</t>
  </si>
  <si>
    <t>RUSHMIYAH</t>
  </si>
  <si>
    <t>SIMONS</t>
  </si>
  <si>
    <t>27791390496</t>
  </si>
  <si>
    <t>14501588</t>
  </si>
  <si>
    <t>181a9fc3-3bb9-43a8-8ecd-7064c828a4d6</t>
  </si>
  <si>
    <t>PHATUTSHEDZO</t>
  </si>
  <si>
    <t>MUKHELI</t>
  </si>
  <si>
    <t>2026-06-02 12:14:24</t>
  </si>
  <si>
    <t>27647716829</t>
  </si>
  <si>
    <t>14501590</t>
  </si>
  <si>
    <t>537cbf13-7e0d-44c4-8853-23ae9fadfb97</t>
  </si>
  <si>
    <t>TSHOLOFELO</t>
  </si>
  <si>
    <t>MEBILA</t>
  </si>
  <si>
    <t>2026-06-02 12:14:10</t>
  </si>
  <si>
    <t>27662368752</t>
  </si>
  <si>
    <t>14501591</t>
  </si>
  <si>
    <t>2800519a-b193-4380-b731-40312205c64f</t>
  </si>
  <si>
    <t>HLAKUDI</t>
  </si>
  <si>
    <t>PHETLA</t>
  </si>
  <si>
    <t>27791890727</t>
  </si>
  <si>
    <t>14501694</t>
  </si>
  <si>
    <t>71728ba4-e55f-488e-a488-bde818b8293d</t>
  </si>
  <si>
    <t>ROBIN</t>
  </si>
  <si>
    <t>LEWIS</t>
  </si>
  <si>
    <t>27720567535</t>
  </si>
  <si>
    <t>14501865</t>
  </si>
  <si>
    <t>03c282d7-7826-4806-8b6b-4677b04230c1</t>
  </si>
  <si>
    <t>TSAKANE</t>
  </si>
  <si>
    <t>MATHEBULA</t>
  </si>
  <si>
    <t>2026-06-02 12:13:06</t>
  </si>
  <si>
    <t>27796963016</t>
  </si>
  <si>
    <t>14501630</t>
  </si>
  <si>
    <t>79fefa5b-f4b4-49df-b4ee-3a0cab78c6d7</t>
  </si>
  <si>
    <t>SURIETA</t>
  </si>
  <si>
    <t>2026-06-02 12:13:04</t>
  </si>
  <si>
    <t>27760608631</t>
  </si>
  <si>
    <t>14501583</t>
  </si>
  <si>
    <t>24724fe6-fdbe-496b-9def-0645fda5c2b0</t>
  </si>
  <si>
    <t>CEDRIC</t>
  </si>
  <si>
    <t>MABILO</t>
  </si>
  <si>
    <t>2026-06-02 12:12:55</t>
  </si>
  <si>
    <t>27716732088</t>
  </si>
  <si>
    <t>14501779</t>
  </si>
  <si>
    <t>a31006f6-24e3-4c02-a1a1-6b7b47b68b29</t>
  </si>
  <si>
    <t>2026-06-02 12:12:54</t>
  </si>
  <si>
    <t>27825631283</t>
  </si>
  <si>
    <t>14501629</t>
  </si>
  <si>
    <t>9b3d2737-dc74-46ad-92ef-17c7f873417b</t>
  </si>
  <si>
    <t>RUDOLPH</t>
  </si>
  <si>
    <t>MSIZA</t>
  </si>
  <si>
    <t>2026-06-02 12:12:38</t>
  </si>
  <si>
    <t>27609451549</t>
  </si>
  <si>
    <t>14501604</t>
  </si>
  <si>
    <t>48ca4505-75c8-46b1-8935-ee548029a187</t>
  </si>
  <si>
    <t>SASI</t>
  </si>
  <si>
    <t>SEEMA</t>
  </si>
  <si>
    <t>2026-06-02 12:12:27</t>
  </si>
  <si>
    <t>27799907300</t>
  </si>
  <si>
    <t>14501606</t>
  </si>
  <si>
    <t>6b98888d-47bd-481e-b8e6-5069e386f2a4</t>
  </si>
  <si>
    <t>CLARAH</t>
  </si>
  <si>
    <t>LUSENGA</t>
  </si>
  <si>
    <t>2026-06-02 12:12:23</t>
  </si>
  <si>
    <t>27728713290</t>
  </si>
  <si>
    <t>14501613</t>
  </si>
  <si>
    <t>57392519-b829-4cd4-b638-a3a04ae6ee3a</t>
  </si>
  <si>
    <t>ISAAC</t>
  </si>
  <si>
    <t>MOTLAKOE</t>
  </si>
  <si>
    <t>27769781805</t>
  </si>
  <si>
    <t>14501615</t>
  </si>
  <si>
    <t>8136fe1a-3acc-4dc4-91b3-b20c761d5018</t>
  </si>
  <si>
    <t>DUMISILE</t>
  </si>
  <si>
    <t>MABASO</t>
  </si>
  <si>
    <t>27797156910</t>
  </si>
  <si>
    <t>14501704</t>
  </si>
  <si>
    <t>b3193d91-3eee-4319-b5be-6bc0a83f56b2</t>
  </si>
  <si>
    <t>ALUWANI</t>
  </si>
  <si>
    <t>RABINDA</t>
  </si>
  <si>
    <t>27824204204</t>
  </si>
  <si>
    <t>14501625</t>
  </si>
  <si>
    <t>d16bd1cb-35cc-496d-84d4-0025a259d787</t>
  </si>
  <si>
    <t>MOFFAT</t>
  </si>
  <si>
    <t>NDABADIME</t>
  </si>
  <si>
    <t>2026-06-02 12:10:06</t>
  </si>
  <si>
    <t>27799943703</t>
  </si>
  <si>
    <t>14501620</t>
  </si>
  <si>
    <t>d366930c-b55a-46fc-a4c3-14be51ae1ca8</t>
  </si>
  <si>
    <t>PETRO</t>
  </si>
  <si>
    <t>SWAEDI</t>
  </si>
  <si>
    <t>2026-06-02 12:10:03</t>
  </si>
  <si>
    <t>27721250066</t>
  </si>
  <si>
    <t>14501614</t>
  </si>
  <si>
    <t>539602af-96b0-4e14-89ed-1ea83ddb2bd0</t>
  </si>
  <si>
    <t>MODIEHI</t>
  </si>
  <si>
    <t>SEHUME</t>
  </si>
  <si>
    <t>2026-06-02 12:10:00</t>
  </si>
  <si>
    <t>27726228674</t>
  </si>
  <si>
    <t>14501619</t>
  </si>
  <si>
    <t>41a4d33b-eef9-4047-8b1c-96bbc2ac4c5e</t>
  </si>
  <si>
    <t>BAHEDILE</t>
  </si>
  <si>
    <t>RASETHUNTSHA</t>
  </si>
  <si>
    <t>2026-06-02 12:09:52</t>
  </si>
  <si>
    <t>27712786862</t>
  </si>
  <si>
    <t>14501701</t>
  </si>
  <si>
    <t>9df30a17-7f9a-40a3-b2c4-a1c888df4fdc</t>
  </si>
  <si>
    <t>JASON</t>
  </si>
  <si>
    <t>HAMES</t>
  </si>
  <si>
    <t>27774813805</t>
  </si>
  <si>
    <t>14501847</t>
  </si>
  <si>
    <t>c94f2f85-275b-4110-af5c-3f4b2a6e4cfe</t>
  </si>
  <si>
    <t>DUNCAN</t>
  </si>
  <si>
    <t>MCGHIE</t>
  </si>
  <si>
    <t>U</t>
  </si>
  <si>
    <t>Unemployed</t>
  </si>
  <si>
    <t>27723213183</t>
  </si>
  <si>
    <t>14501493</t>
  </si>
  <si>
    <t>44f21f2c-6c32-4833-86b7-7a7a2e623859</t>
  </si>
  <si>
    <t>NELISA</t>
  </si>
  <si>
    <t>GQAMANE</t>
  </si>
  <si>
    <t>2026-06-02 12:09:12</t>
  </si>
  <si>
    <t>27827136076</t>
  </si>
  <si>
    <t>14501494</t>
  </si>
  <si>
    <t>62cb1fd6-3f99-461e-9372-661e5fdd7d4b</t>
  </si>
  <si>
    <t>LINAH</t>
  </si>
  <si>
    <t>KHOZA</t>
  </si>
  <si>
    <t>2026-06-02 12:09:04</t>
  </si>
  <si>
    <t>27791825710</t>
  </si>
  <si>
    <t>14501496</t>
  </si>
  <si>
    <t>7780186d-efeb-417c-9c6c-f00f62ef71eb</t>
  </si>
  <si>
    <t>GREGORY</t>
  </si>
  <si>
    <t>2026-06-02 12:08:59</t>
  </si>
  <si>
    <t>27607811861</t>
  </si>
  <si>
    <t>14501498</t>
  </si>
  <si>
    <t>39b953b5-3cac-4a70-93b8-fc4242c772d3</t>
  </si>
  <si>
    <t>DENISE</t>
  </si>
  <si>
    <t>VALKENBURGH</t>
  </si>
  <si>
    <t>2026-06-02 12:08:54</t>
  </si>
  <si>
    <t>27724296729</t>
  </si>
  <si>
    <t>14501499</t>
  </si>
  <si>
    <t>0037c853-73df-421c-ab45-cfb6f4e0e36c</t>
  </si>
  <si>
    <t>BERNELEE</t>
  </si>
  <si>
    <t>FORTUIN</t>
  </si>
  <si>
    <t>2026-06-02 12:08:50</t>
  </si>
  <si>
    <t>27716492948</t>
  </si>
  <si>
    <t>14501502</t>
  </si>
  <si>
    <t>d961735f-fd21-4211-87ca-fbe6324b4f0b</t>
  </si>
  <si>
    <t>ANTIONETTE</t>
  </si>
  <si>
    <t>JANSEN VAN VUUREN</t>
  </si>
  <si>
    <t>2026-06-02 12:08:41</t>
  </si>
  <si>
    <t>27829093742</t>
  </si>
  <si>
    <t>14501503</t>
  </si>
  <si>
    <t>87aeb2aa-d323-4900-8fbf-0d1c0c5d9ab7</t>
  </si>
  <si>
    <t>MATOME</t>
  </si>
  <si>
    <t>MALATJI</t>
  </si>
  <si>
    <t>2026-06-02 12:08:40</t>
  </si>
  <si>
    <t>27793904964</t>
  </si>
  <si>
    <t>14501617</t>
  </si>
  <si>
    <t>dd9f8542-bc39-4d21-a6e4-21de220ce549</t>
  </si>
  <si>
    <t>TSHEPO</t>
  </si>
  <si>
    <t>GULE</t>
  </si>
  <si>
    <t>2026-06-02 12:08:37</t>
  </si>
  <si>
    <t>27713061977</t>
  </si>
  <si>
    <t>14501703</t>
  </si>
  <si>
    <t>527da72f-035e-4fef-a469-4bff011ee3e4</t>
  </si>
  <si>
    <t>MILLET</t>
  </si>
  <si>
    <t>NKANYANE</t>
  </si>
  <si>
    <t>2026-06-02 12:08:34</t>
  </si>
  <si>
    <t>27637143232</t>
  </si>
  <si>
    <t>14501817</t>
  </si>
  <si>
    <t>8726b22a-b802-484d-8b8c-db1d70fcf464</t>
  </si>
  <si>
    <t>VAN NIEKERK</t>
  </si>
  <si>
    <t>27725376621</t>
  </si>
  <si>
    <t>14501818</t>
  </si>
  <si>
    <t>5f426a91-24f8-4bd6-84a9-2847184d2b0a</t>
  </si>
  <si>
    <t>KUFENI</t>
  </si>
  <si>
    <t>NTUSI</t>
  </si>
  <si>
    <t>27726031569</t>
  </si>
  <si>
    <t>14501302</t>
  </si>
  <si>
    <t>5e8dd1b7-41a5-423d-87db-de0d63b07e7a</t>
  </si>
  <si>
    <t>EUGENE</t>
  </si>
  <si>
    <t>DE KOCK</t>
  </si>
  <si>
    <t>2026-06-02 12:07:56</t>
  </si>
  <si>
    <t>27723836462</t>
  </si>
  <si>
    <t>14500402</t>
  </si>
  <si>
    <t>160ff3c7-8525-4d18-bcdf-032a5b847a33</t>
  </si>
  <si>
    <t>SAAYMAN</t>
  </si>
  <si>
    <t>2026-06-02 12:07:15</t>
  </si>
  <si>
    <t>27716523555</t>
  </si>
  <si>
    <t>14500400</t>
  </si>
  <si>
    <t>18a9ad43-3af8-4d9b-8962-fab40b7dfb71</t>
  </si>
  <si>
    <t>THANDI</t>
  </si>
  <si>
    <t>MADIGAGE</t>
  </si>
  <si>
    <t>2026-06-02 12:07:13</t>
  </si>
  <si>
    <t>27794964875</t>
  </si>
  <si>
    <t>14500399</t>
  </si>
  <si>
    <t>235e7abd-e331-41a6-bf97-8b8e0f0b7dac</t>
  </si>
  <si>
    <t>JEHAAN</t>
  </si>
  <si>
    <t>JOHNSON</t>
  </si>
  <si>
    <t>2026-06-02 12:07:11</t>
  </si>
  <si>
    <t>27674106004</t>
  </si>
  <si>
    <t>14500398</t>
  </si>
  <si>
    <t>11ac16b2-7993-4933-af5d-51a58eb61f85</t>
  </si>
  <si>
    <t>THABISA</t>
  </si>
  <si>
    <t>DLEPU</t>
  </si>
  <si>
    <t>2026-06-02 12:07:08</t>
  </si>
  <si>
    <t>27823049834</t>
  </si>
  <si>
    <t>14500397</t>
  </si>
  <si>
    <t>8cd14985-4e45-4281-9b1b-587462de43d2</t>
  </si>
  <si>
    <t>EMIEL</t>
  </si>
  <si>
    <t>BRITS</t>
  </si>
  <si>
    <t>2026-06-02 12:07:00</t>
  </si>
  <si>
    <t>27727882464</t>
  </si>
  <si>
    <t>14500395</t>
  </si>
  <si>
    <t>5f9e4ece-f16d-4657-bdb7-712cfc3257e0</t>
  </si>
  <si>
    <t>AZWINDINI</t>
  </si>
  <si>
    <t>MOTAPA</t>
  </si>
  <si>
    <t>2026-06-02 12:06:51</t>
  </si>
  <si>
    <t>27797739703</t>
  </si>
  <si>
    <t>14500394</t>
  </si>
  <si>
    <t>a519ea25-b16b-4f59-81cc-479529ef83fb</t>
  </si>
  <si>
    <t>PFUKANI</t>
  </si>
  <si>
    <t>MASHIMBYE</t>
  </si>
  <si>
    <t>2026-06-02 12:06:49</t>
  </si>
  <si>
    <t>27715117549</t>
  </si>
  <si>
    <t>14500392</t>
  </si>
  <si>
    <t>cbf8251d-f5b9-47e4-8489-e2517af357f8</t>
  </si>
  <si>
    <t>CORNE</t>
  </si>
  <si>
    <t>STEENKAMP</t>
  </si>
  <si>
    <t>2026-06-02 12:06:44</t>
  </si>
  <si>
    <t>27827788287</t>
  </si>
  <si>
    <t>14501631</t>
  </si>
  <si>
    <t>31e13e03-bc33-4861-b95e-70212ea048c9</t>
  </si>
  <si>
    <t>RABELANI</t>
  </si>
  <si>
    <t>MUEDI</t>
  </si>
  <si>
    <t>2026-06-02 12:06:37</t>
  </si>
  <si>
    <t>27727554951</t>
  </si>
  <si>
    <t>14500387</t>
  </si>
  <si>
    <t>012b20ef-a42c-48a4-a809-82144577691d</t>
  </si>
  <si>
    <t>ONKABETSE</t>
  </si>
  <si>
    <t>SEDUMEDI</t>
  </si>
  <si>
    <t>2026-06-02 12:06:09</t>
  </si>
  <si>
    <t>27637749271</t>
  </si>
  <si>
    <t>14500386</t>
  </si>
  <si>
    <t>b60a414c-a4d2-487a-a378-e6e059b8598f</t>
  </si>
  <si>
    <t>TSHEDISO</t>
  </si>
  <si>
    <t>BLESS</t>
  </si>
  <si>
    <t>2026-06-02 12:06:02</t>
  </si>
  <si>
    <t>27729690476</t>
  </si>
  <si>
    <t>14500384</t>
  </si>
  <si>
    <t>b7045bef-ac62-4aaa-aee0-c22771eef946</t>
  </si>
  <si>
    <t>MEYBURG</t>
  </si>
  <si>
    <t>2026-06-02 12:05:44</t>
  </si>
  <si>
    <t>27745780793</t>
  </si>
  <si>
    <t>14501508</t>
  </si>
  <si>
    <t>c03a8e9b-cde4-42e1-8952-e66670de1f08</t>
  </si>
  <si>
    <t>SHAKOORA</t>
  </si>
  <si>
    <t>SEDICK</t>
  </si>
  <si>
    <t>2026-06-02 12:05:42</t>
  </si>
  <si>
    <t>27609295222</t>
  </si>
  <si>
    <t>14501509</t>
  </si>
  <si>
    <t>f23a458b-ec13-42d0-9224-55d257d2774f</t>
  </si>
  <si>
    <t>JOHANNA</t>
  </si>
  <si>
    <t>STANDER</t>
  </si>
  <si>
    <t>2026-06-02 12:05:41</t>
  </si>
  <si>
    <t>27721977011</t>
  </si>
  <si>
    <t>14501512</t>
  </si>
  <si>
    <t>22153bd4-bd0b-4722-ba05-46e6582251c7</t>
  </si>
  <si>
    <t>SOMELEZE</t>
  </si>
  <si>
    <t>SKAMPULA</t>
  </si>
  <si>
    <t>2026-06-02 12:05:38</t>
  </si>
  <si>
    <t>27791509821</t>
  </si>
  <si>
    <t>14501513</t>
  </si>
  <si>
    <t>fd76dc1e-1256-477f-b6ca-610b15706752</t>
  </si>
  <si>
    <t>PATRICK</t>
  </si>
  <si>
    <t>BUHLALU</t>
  </si>
  <si>
    <t>2026-06-02 12:05:36</t>
  </si>
  <si>
    <t>27826995475</t>
  </si>
  <si>
    <t>14501514</t>
  </si>
  <si>
    <t>9d8fbee0-9f70-48b5-8c9a-8f0f42819a6d</t>
  </si>
  <si>
    <t>HAZEL</t>
  </si>
  <si>
    <t>PUWANI</t>
  </si>
  <si>
    <t>27673382523</t>
  </si>
  <si>
    <t>14501516</t>
  </si>
  <si>
    <t>92da2a4d-79bd-4122-b982-f871af82e24a</t>
  </si>
  <si>
    <t>BONGANI</t>
  </si>
  <si>
    <t>MAMBA</t>
  </si>
  <si>
    <t>2026-06-02 12:05:34</t>
  </si>
  <si>
    <t>27794062029</t>
  </si>
  <si>
    <t>14501518</t>
  </si>
  <si>
    <t>035d80d8-c208-4b03-8e62-46f3ae1be6e6</t>
  </si>
  <si>
    <t>MAPULA</t>
  </si>
  <si>
    <t>MAKHURA</t>
  </si>
  <si>
    <t>2026-06-02 12:05:32</t>
  </si>
  <si>
    <t>27829438905</t>
  </si>
  <si>
    <t>14501519</t>
  </si>
  <si>
    <t>1b903c96-ccb3-4584-a639-ee197626c990</t>
  </si>
  <si>
    <t>BRENDA</t>
  </si>
  <si>
    <t>TERBLANCHE</t>
  </si>
  <si>
    <t>27662931838</t>
  </si>
  <si>
    <t>14501821</t>
  </si>
  <si>
    <t>95770192-c06c-433d-b0b2-854f70bb972a</t>
  </si>
  <si>
    <t>ZACHARIA</t>
  </si>
  <si>
    <t>SEGODI</t>
  </si>
  <si>
    <t>2026-06-02 12:05:31</t>
  </si>
  <si>
    <t>27722686565</t>
  </si>
  <si>
    <t>14501827</t>
  </si>
  <si>
    <t>038ca9da-b903-4381-81b7-88434245f870</t>
  </si>
  <si>
    <t>LEANNE</t>
  </si>
  <si>
    <t>OOSTHUIZEN</t>
  </si>
  <si>
    <t>27714206086</t>
  </si>
  <si>
    <t>14501833</t>
  </si>
  <si>
    <t>e5762775-d2ae-46d6-a69f-ee1ca72a8256</t>
  </si>
  <si>
    <t>CHRIS</t>
  </si>
  <si>
    <t>MCHLALA</t>
  </si>
  <si>
    <t>27797719955</t>
  </si>
  <si>
    <t>14501492</t>
  </si>
  <si>
    <t>18cb8ae7-ac9a-47d7-b46e-bfbf1d23ad3f</t>
  </si>
  <si>
    <t>MDUDUZI</t>
  </si>
  <si>
    <t>MTHETHWA</t>
  </si>
  <si>
    <t>2026-06-02 12:05:30</t>
  </si>
  <si>
    <t>27818948321</t>
  </si>
  <si>
    <t>14501527</t>
  </si>
  <si>
    <t>bacf4d80-0ab6-46b1-aae6-eabe232efab9</t>
  </si>
  <si>
    <t>LESIBA</t>
  </si>
  <si>
    <t>KULA</t>
  </si>
  <si>
    <t>2026-06-02 12:05:22</t>
  </si>
  <si>
    <t>27827706288</t>
  </si>
  <si>
    <t>14501528</t>
  </si>
  <si>
    <t>4f543e64-a340-4b66-8506-f26dc57de475</t>
  </si>
  <si>
    <t>ZWELAKHE</t>
  </si>
  <si>
    <t>MBOLEKWA</t>
  </si>
  <si>
    <t>27766814705</t>
  </si>
  <si>
    <t>14501529</t>
  </si>
  <si>
    <t>f855b0e0-8af2-4529-8944-cf3985afa8db</t>
  </si>
  <si>
    <t>SENZWESIHLE</t>
  </si>
  <si>
    <t>MVELASE</t>
  </si>
  <si>
    <t>27767475734</t>
  </si>
  <si>
    <t>14501530</t>
  </si>
  <si>
    <t>0b63b942-1d8c-4d5b-b8cf-4793bc0c52bb</t>
  </si>
  <si>
    <t>FORTUNATE</t>
  </si>
  <si>
    <t>MATHUMBA</t>
  </si>
  <si>
    <t>27791105093</t>
  </si>
  <si>
    <t>14501531</t>
  </si>
  <si>
    <t>a622b73e-432d-49aa-81bf-c8b6866da646</t>
  </si>
  <si>
    <t>GRACE</t>
  </si>
  <si>
    <t>MOKHATLA</t>
  </si>
  <si>
    <t>2026-06-02 12:04:22</t>
  </si>
  <si>
    <t>27799323257</t>
  </si>
  <si>
    <t>14501532</t>
  </si>
  <si>
    <t>ed66cc1b-e459-405f-843d-b9629ad938a3</t>
  </si>
  <si>
    <t>ANTHONY</t>
  </si>
  <si>
    <t>ALKASTER</t>
  </si>
  <si>
    <t>2026-06-02 12:03:48</t>
  </si>
  <si>
    <t>27722645869</t>
  </si>
  <si>
    <t>14501533</t>
  </si>
  <si>
    <t>a42deb33-0a26-4bfb-95a9-073ffbab51f3</t>
  </si>
  <si>
    <t>MANDLAKHE</t>
  </si>
  <si>
    <t>2026-06-02 12:03:46</t>
  </si>
  <si>
    <t>27721902915</t>
  </si>
  <si>
    <t>14501635</t>
  </si>
  <si>
    <t>a43e1da5-2586-40c9-8c48-af16ecefafef</t>
  </si>
  <si>
    <t>SELLO</t>
  </si>
  <si>
    <t>MOSEHLA</t>
  </si>
  <si>
    <t>2026-06-02 12:03:44</t>
  </si>
  <si>
    <t>27829626557</t>
  </si>
  <si>
    <t>14501633</t>
  </si>
  <si>
    <t>a9e22675-a594-4393-9f21-27a6e9e0b9c5</t>
  </si>
  <si>
    <t>MZUPHELA</t>
  </si>
  <si>
    <t>NGQENGQE</t>
  </si>
  <si>
    <t>2026-06-02 12:03:42</t>
  </si>
  <si>
    <t>27822656320</t>
  </si>
  <si>
    <t>14501830</t>
  </si>
  <si>
    <t>7c0ead13-8fd7-4a8b-be98-4373119d9c99</t>
  </si>
  <si>
    <t>NIGEL</t>
  </si>
  <si>
    <t>27824357464</t>
  </si>
  <si>
    <t>14501510</t>
  </si>
  <si>
    <t>9bd9682a-6ba8-4a9f-8678-211085a860be</t>
  </si>
  <si>
    <t>DUMISANI</t>
  </si>
  <si>
    <t>ZULU</t>
  </si>
  <si>
    <t>2026-06-02 12:03:41</t>
  </si>
  <si>
    <t>27713702510</t>
  </si>
  <si>
    <t>14501825</t>
  </si>
  <si>
    <t>25064dee-3109-4ae5-b14d-5f7bc31480ea</t>
  </si>
  <si>
    <t>AMECIA</t>
  </si>
  <si>
    <t>SMIT</t>
  </si>
  <si>
    <t>27763993981</t>
  </si>
  <si>
    <t>14501526</t>
  </si>
  <si>
    <t>b602a15c-ad5c-44bb-8136-18c9a99d0e86</t>
  </si>
  <si>
    <t>ABRAHAM</t>
  </si>
  <si>
    <t>HATTINGH</t>
  </si>
  <si>
    <t>2026-06-02 12:02:22</t>
  </si>
  <si>
    <t>27842098360</t>
  </si>
  <si>
    <t>14500380</t>
  </si>
  <si>
    <t>49164b0a-a9e3-48b5-8406-179bf5667d3e</t>
  </si>
  <si>
    <t>RASHIKA</t>
  </si>
  <si>
    <t>MISTRY</t>
  </si>
  <si>
    <t>2026-06-02 12:02:06</t>
  </si>
  <si>
    <t>27729684426</t>
  </si>
  <si>
    <t>14500381</t>
  </si>
  <si>
    <t>fa5e445f-d474-4220-8763-d22c40748b3c</t>
  </si>
  <si>
    <t>CHANDLER</t>
  </si>
  <si>
    <t>REINEKE</t>
  </si>
  <si>
    <t>27825566151</t>
  </si>
  <si>
    <t>14500383</t>
  </si>
  <si>
    <t>f4de59f5-0ae8-459f-9d9d-2cb4aae63413</t>
  </si>
  <si>
    <t>PAUL</t>
  </si>
  <si>
    <t>BRADLEY</t>
  </si>
  <si>
    <t>27765325167</t>
  </si>
  <si>
    <t>14500430</t>
  </si>
  <si>
    <t>9f553164-a3a2-4c2c-8de3-a77997137ae3</t>
  </si>
  <si>
    <t>PHUMZILE</t>
  </si>
  <si>
    <t>HLATSHWAYO</t>
  </si>
  <si>
    <t>2026-06-02 12:00:34</t>
  </si>
  <si>
    <t>27674012518</t>
  </si>
  <si>
    <t>14500415</t>
  </si>
  <si>
    <t>4e77e8da-5797-433e-9894-2da2d35f3bda</t>
  </si>
  <si>
    <t>KGOBODI</t>
  </si>
  <si>
    <t>MOGANO</t>
  </si>
  <si>
    <t>2026-06-02 11:59:53</t>
  </si>
  <si>
    <t>27796787196</t>
  </si>
  <si>
    <t>14500429</t>
  </si>
  <si>
    <t>c8a008a7-250e-4daa-92ea-d69beea433ec</t>
  </si>
  <si>
    <t>STIAAN</t>
  </si>
  <si>
    <t>GERMISHUYS</t>
  </si>
  <si>
    <t>2026-06-02 11:59:47</t>
  </si>
  <si>
    <t>27848239429</t>
  </si>
  <si>
    <t>14500428</t>
  </si>
  <si>
    <t>7a10ead0-b3f3-4bb9-8218-29c106f2c4a5</t>
  </si>
  <si>
    <t>ELAINE</t>
  </si>
  <si>
    <t>VELDMAN</t>
  </si>
  <si>
    <t>2026-06-02 11:59:40</t>
  </si>
  <si>
    <t>27766092426</t>
  </si>
  <si>
    <t>14500427</t>
  </si>
  <si>
    <t>3a947234-257a-405b-956d-068409dba61c</t>
  </si>
  <si>
    <t>BAREND</t>
  </si>
  <si>
    <t>PANEGROUW</t>
  </si>
  <si>
    <t>2026-06-02 11:59:39</t>
  </si>
  <si>
    <t>27729829451</t>
  </si>
  <si>
    <t>14500426</t>
  </si>
  <si>
    <t>dc28babd-faec-42a1-a32a-f30416a01e59</t>
  </si>
  <si>
    <t>MOJALEFA</t>
  </si>
  <si>
    <t>RANTSAILA</t>
  </si>
  <si>
    <t>2026-06-02 11:59:28</t>
  </si>
  <si>
    <t>27724395720</t>
  </si>
  <si>
    <t>14501835</t>
  </si>
  <si>
    <t>671a8740-8c2b-4c60-9b6b-cc50934b8970</t>
  </si>
  <si>
    <t>S</t>
  </si>
  <si>
    <t>27714268192</t>
  </si>
  <si>
    <t>14500424</t>
  </si>
  <si>
    <t>4b839d26-c1d7-4a21-8589-cc109c7fd3d6</t>
  </si>
  <si>
    <t>CHARLES</t>
  </si>
  <si>
    <t>CALITZ</t>
  </si>
  <si>
    <t>2026-06-02 11:59:27</t>
  </si>
  <si>
    <t>27637747621</t>
  </si>
  <si>
    <t>14500409</t>
  </si>
  <si>
    <t>d2e32c9e-30d4-479b-bc37-3ebaf1a6a8ad</t>
  </si>
  <si>
    <t>FOX</t>
  </si>
  <si>
    <t>2026-06-02 11:59:16</t>
  </si>
  <si>
    <t>27827464918</t>
  </si>
  <si>
    <t>14500411</t>
  </si>
  <si>
    <t>1537c44b-c94b-4f0e-a691-339a0924fa49</t>
  </si>
  <si>
    <t>MPHENI</t>
  </si>
  <si>
    <t>NEMUKULA</t>
  </si>
  <si>
    <t>27724852346</t>
  </si>
  <si>
    <t>14500412</t>
  </si>
  <si>
    <t>cf97208f-13a6-4807-95de-edc2c81a89da</t>
  </si>
  <si>
    <t>MORONGOA</t>
  </si>
  <si>
    <t>SEBOLA</t>
  </si>
  <si>
    <t>27767826465</t>
  </si>
  <si>
    <t>14500413</t>
  </si>
  <si>
    <t>dd182fef-4ac3-435f-886c-bbb4eaf2c585</t>
  </si>
  <si>
    <t>KHALEEL</t>
  </si>
  <si>
    <t>ALLY</t>
  </si>
  <si>
    <t>27833777961</t>
  </si>
  <si>
    <t>14500418</t>
  </si>
  <si>
    <t>c92ff659-a5f2-4f7f-bbd6-c0c3bae31c5e</t>
  </si>
  <si>
    <t>MERCY</t>
  </si>
  <si>
    <t>MASHABELA</t>
  </si>
  <si>
    <t>27729267038</t>
  </si>
  <si>
    <t>14500465</t>
  </si>
  <si>
    <t>3a29db20-dace-445e-b07b-08796646b367</t>
  </si>
  <si>
    <t>HILDEGARD</t>
  </si>
  <si>
    <t>STEINMANN</t>
  </si>
  <si>
    <t>2026-06-02 11:58:23</t>
  </si>
  <si>
    <t>27662415266</t>
  </si>
  <si>
    <t>14500466</t>
  </si>
  <si>
    <t>fe96ae4c-70cd-46f9-806c-7c240b93a08a</t>
  </si>
  <si>
    <t>MAKOME</t>
  </si>
  <si>
    <t>MASHILE</t>
  </si>
  <si>
    <t>27794944402</t>
  </si>
  <si>
    <t>14500467</t>
  </si>
  <si>
    <t>76c86673-fcf0-4357-933c-8dcfbe96cf76</t>
  </si>
  <si>
    <t>ASHLEY</t>
  </si>
  <si>
    <t>NAIDOO</t>
  </si>
  <si>
    <t>27827548775</t>
  </si>
  <si>
    <t>14500464</t>
  </si>
  <si>
    <t>be5a5711-56e8-4796-8d3b-50608c9c0dc2</t>
  </si>
  <si>
    <t>ROBERT</t>
  </si>
  <si>
    <t>HOFMEYR</t>
  </si>
  <si>
    <t>2026-06-02 11:58:06</t>
  </si>
  <si>
    <t>27725282681</t>
  </si>
  <si>
    <t>14500462</t>
  </si>
  <si>
    <t>54438e58-2f25-4815-83e2-85771f043d55</t>
  </si>
  <si>
    <t>JACOMINA</t>
  </si>
  <si>
    <t>MYBURGH</t>
  </si>
  <si>
    <t>2026-06-02 11:58:01</t>
  </si>
  <si>
    <t>27824533862</t>
  </si>
  <si>
    <t>14500463</t>
  </si>
  <si>
    <t>98ad3384-24d5-4a40-8348-b707b0281b90</t>
  </si>
  <si>
    <t>YINGISANI</t>
  </si>
  <si>
    <t>NUKERI</t>
  </si>
  <si>
    <t>27793188632</t>
  </si>
  <si>
    <t>14500460</t>
  </si>
  <si>
    <t>5a68c6aa-716c-4fc2-adab-949a7e2fc5be</t>
  </si>
  <si>
    <t>KENNETH</t>
  </si>
  <si>
    <t>SPROUT</t>
  </si>
  <si>
    <t>2026-06-02 11:57:40</t>
  </si>
  <si>
    <t>27662293263</t>
  </si>
  <si>
    <t>14500459</t>
  </si>
  <si>
    <t>b83f2c7d-a240-44e3-9f7f-64e5869baa60</t>
  </si>
  <si>
    <t>TREVOR</t>
  </si>
  <si>
    <t>KRUGER</t>
  </si>
  <si>
    <t>2026-06-02 11:57:39</t>
  </si>
  <si>
    <t>27637728872</t>
  </si>
  <si>
    <t>14500458</t>
  </si>
  <si>
    <t>13a97e1b-6013-4bea-ac22-6868e4ff0083</t>
  </si>
  <si>
    <t>MASEKO</t>
  </si>
  <si>
    <t>2026-06-02 11:57:38</t>
  </si>
  <si>
    <t>27726972386</t>
  </si>
  <si>
    <t>14500453</t>
  </si>
  <si>
    <t>4adf4aa0-e0c9-429f-acea-b72f09000bd8</t>
  </si>
  <si>
    <t>TUMISANG</t>
  </si>
  <si>
    <t>2026-06-02 11:57:35</t>
  </si>
  <si>
    <t>27724725645</t>
  </si>
  <si>
    <t>14500455</t>
  </si>
  <si>
    <t>cc55b1e0-06dd-4fe2-8b0e-c232432b73ad</t>
  </si>
  <si>
    <t>FICKSON</t>
  </si>
  <si>
    <t>HLUNGWANE</t>
  </si>
  <si>
    <t>27722992822</t>
  </si>
  <si>
    <t>14500456</t>
  </si>
  <si>
    <t>e32443eb-b52a-4356-b5e8-01c57729ec37</t>
  </si>
  <si>
    <t>NORMA</t>
  </si>
  <si>
    <t>MADHOO</t>
  </si>
  <si>
    <t>27722784404</t>
  </si>
  <si>
    <t>14500457</t>
  </si>
  <si>
    <t>6159dc0e-7b58-415f-9273-364c3fed23b1</t>
  </si>
  <si>
    <t>DE WAAL</t>
  </si>
  <si>
    <t>27827761595</t>
  </si>
  <si>
    <t>14500601</t>
  </si>
  <si>
    <t>d426fbbb-caa1-4791-b1c2-61e0fd772bbc</t>
  </si>
  <si>
    <t>LUCKY</t>
  </si>
  <si>
    <t>MURONGA</t>
  </si>
  <si>
    <t>2026-06-02 11:57:02</t>
  </si>
  <si>
    <t>27637725568</t>
  </si>
  <si>
    <t>14500573</t>
  </si>
  <si>
    <t>d145f391-331b-4045-b769-f921d5df54d3</t>
  </si>
  <si>
    <t>MAHLODI</t>
  </si>
  <si>
    <t>PHADZIRI</t>
  </si>
  <si>
    <t>2026-06-02 11:55:37</t>
  </si>
  <si>
    <t>27662567633</t>
  </si>
  <si>
    <t>14500476</t>
  </si>
  <si>
    <t>3740648d-c9ca-406b-afd9-432201844e4b</t>
  </si>
  <si>
    <t>ALBINO</t>
  </si>
  <si>
    <t>DA SILV MAIA</t>
  </si>
  <si>
    <t>2026-06-02 11:55:35</t>
  </si>
  <si>
    <t>27829351984</t>
  </si>
  <si>
    <t>14500475</t>
  </si>
  <si>
    <t>520ac479-5fda-4d74-b5a3-503db1355f16</t>
  </si>
  <si>
    <t>BUSMAN</t>
  </si>
  <si>
    <t>2026-06-02 11:55:33</t>
  </si>
  <si>
    <t>27795013523</t>
  </si>
  <si>
    <t>14500473</t>
  </si>
  <si>
    <t>fdbccec2-2566-4fb5-a343-6bd95279b5ec</t>
  </si>
  <si>
    <t>ANDREW</t>
  </si>
  <si>
    <t>RAMOROKA</t>
  </si>
  <si>
    <t>2026-06-02 11:55:28</t>
  </si>
  <si>
    <t>27721121245</t>
  </si>
  <si>
    <t>14500470</t>
  </si>
  <si>
    <t>b3d7568d-7c76-493f-b9a0-61ea41a84379</t>
  </si>
  <si>
    <t>KWENA</t>
  </si>
  <si>
    <t>RAKGOTHO</t>
  </si>
  <si>
    <t>2026-06-02 11:55:27</t>
  </si>
  <si>
    <t>27820778340</t>
  </si>
  <si>
    <t>14500472</t>
  </si>
  <si>
    <t>254c193c-468e-41c0-aa7b-ba6a538087eb</t>
  </si>
  <si>
    <t>HAPPY</t>
  </si>
  <si>
    <t>MAGABOTJE</t>
  </si>
  <si>
    <t>27823800876</t>
  </si>
  <si>
    <t>14500600</t>
  </si>
  <si>
    <t>1f378577-995b-4ee1-a900-0223f2bcedb5</t>
  </si>
  <si>
    <t>DANIEL</t>
  </si>
  <si>
    <t>PELSER</t>
  </si>
  <si>
    <t>2026-06-02 11:53:57</t>
  </si>
  <si>
    <t>27711611749</t>
  </si>
  <si>
    <t>14500598</t>
  </si>
  <si>
    <t>1a0ecb36-0200-418c-998c-bf62960f40fc</t>
  </si>
  <si>
    <t>MELISSA</t>
  </si>
  <si>
    <t>BROCKMANN</t>
  </si>
  <si>
    <t>2026-06-02 11:53:55</t>
  </si>
  <si>
    <t>27826797660</t>
  </si>
  <si>
    <t>14500577</t>
  </si>
  <si>
    <t>c1477c14-df16-4ea6-ba59-8e4f316083fd</t>
  </si>
  <si>
    <t>CARL</t>
  </si>
  <si>
    <t>VAN DER MERWE</t>
  </si>
  <si>
    <t>2026-06-02 11:53:54</t>
  </si>
  <si>
    <t>27662285670</t>
  </si>
  <si>
    <t>14500578</t>
  </si>
  <si>
    <t>c9aa8a8c-45a4-4ac3-8636-b8336e60e31c</t>
  </si>
  <si>
    <t>ANDISA</t>
  </si>
  <si>
    <t>DAYIMANI</t>
  </si>
  <si>
    <t>27720828844</t>
  </si>
  <si>
    <t>14500579</t>
  </si>
  <si>
    <t>46d9fb5d-08ba-4401-b388-191e6db81b5e</t>
  </si>
  <si>
    <t>27798744619</t>
  </si>
  <si>
    <t>14501660</t>
  </si>
  <si>
    <t>5d3e1035-25d2-47ee-90b8-1c649fdd27ae</t>
  </si>
  <si>
    <t>JACO</t>
  </si>
  <si>
    <t>27826578771</t>
  </si>
  <si>
    <t>14500576</t>
  </si>
  <si>
    <t>01b8c2e6-6ef2-4ff5-9283-dc824d74c9d9</t>
  </si>
  <si>
    <t>JAMES</t>
  </si>
  <si>
    <t>2026-06-02 11:53:52</t>
  </si>
  <si>
    <t>27762214987</t>
  </si>
  <si>
    <t>14501656</t>
  </si>
  <si>
    <t>87ab860c-1e56-4427-95d3-c2176f84d217</t>
  </si>
  <si>
    <t>MANELISI</t>
  </si>
  <si>
    <t>XAPILE</t>
  </si>
  <si>
    <t>2026-06-02 11:53:49</t>
  </si>
  <si>
    <t>27768538955</t>
  </si>
  <si>
    <t>14501823</t>
  </si>
  <si>
    <t>1e2f8741-6a0f-4177-b9d0-df1ae970f17c</t>
  </si>
  <si>
    <t>NOMVUSELELO</t>
  </si>
  <si>
    <t>MHLANTI</t>
  </si>
  <si>
    <t>27827071910</t>
  </si>
  <si>
    <t>14501545</t>
  </si>
  <si>
    <t>10209a12-7970-4bca-8bbc-791a21ac97f8</t>
  </si>
  <si>
    <t>NTSHANA</t>
  </si>
  <si>
    <t>MOHUBEDU</t>
  </si>
  <si>
    <t>2026-06-02 11:53:04</t>
  </si>
  <si>
    <t>27762577103</t>
  </si>
  <si>
    <t>14501542</t>
  </si>
  <si>
    <t>d1cc7608-e61d-4037-a2b5-7377bd1ea88d</t>
  </si>
  <si>
    <t>STEVEN</t>
  </si>
  <si>
    <t>2026-06-02 11:53:02</t>
  </si>
  <si>
    <t>27796979276</t>
  </si>
  <si>
    <t>14500767</t>
  </si>
  <si>
    <t>bdf49377-65c6-47c1-a7c5-17844b7defdc</t>
  </si>
  <si>
    <t>PHUTI</t>
  </si>
  <si>
    <t>PHUKUBYE</t>
  </si>
  <si>
    <t>2026-06-02 11:52:56</t>
  </si>
  <si>
    <t>27726268095</t>
  </si>
  <si>
    <t>14500765</t>
  </si>
  <si>
    <t>aea7c853-6b54-4c66-bc8e-3eb49b9d06ee</t>
  </si>
  <si>
    <t>KEFILWE</t>
  </si>
  <si>
    <t>SHOLE</t>
  </si>
  <si>
    <t>2026-06-02 11:52:53</t>
  </si>
  <si>
    <t>27713754867</t>
  </si>
  <si>
    <t>14500766</t>
  </si>
  <si>
    <t>82223b82-de93-415a-9b67-f793f5f3e780</t>
  </si>
  <si>
    <t>ANWAR</t>
  </si>
  <si>
    <t>SASMAN</t>
  </si>
  <si>
    <t>27636538935</t>
  </si>
  <si>
    <t>14500747</t>
  </si>
  <si>
    <t>b67879f7-ce22-4003-975e-cdb96bc3dd40</t>
  </si>
  <si>
    <t>ERROL</t>
  </si>
  <si>
    <t>MTUTU</t>
  </si>
  <si>
    <t>2026-06-02 11:52:43</t>
  </si>
  <si>
    <t>27741375398</t>
  </si>
  <si>
    <t>14500762</t>
  </si>
  <si>
    <t>d8603cf7-6906-43be-ad6e-8e6c36c48300</t>
  </si>
  <si>
    <t>NNDWAMATO</t>
  </si>
  <si>
    <t>NDOU</t>
  </si>
  <si>
    <t>27729747765</t>
  </si>
  <si>
    <t>14500745</t>
  </si>
  <si>
    <t>c36ac934-2f9e-4309-9733-f9cd2cb6bea3</t>
  </si>
  <si>
    <t>CHRISTOPHER</t>
  </si>
  <si>
    <t>2026-06-02 11:52:39</t>
  </si>
  <si>
    <t>27768853038</t>
  </si>
  <si>
    <t>14500743</t>
  </si>
  <si>
    <t>57dfef7b-7215-4015-a013-1bb0f9b27f74</t>
  </si>
  <si>
    <t>MOHAMMED</t>
  </si>
  <si>
    <t>BHAYAT</t>
  </si>
  <si>
    <t>2026-06-02 11:52:36</t>
  </si>
  <si>
    <t>27728947101</t>
  </si>
  <si>
    <t>14500742</t>
  </si>
  <si>
    <t>8f83c8df-00bb-44e7-9052-5038580f048a</t>
  </si>
  <si>
    <t>MZIWAKHE</t>
  </si>
  <si>
    <t>TSHABALA</t>
  </si>
  <si>
    <t>2026-06-02 11:52:35</t>
  </si>
  <si>
    <t>27766094182</t>
  </si>
  <si>
    <t>14500738</t>
  </si>
  <si>
    <t>d0adec2c-fabd-4d2a-9817-58be71449711</t>
  </si>
  <si>
    <t>JAVISHKAR</t>
  </si>
  <si>
    <t>POORAN</t>
  </si>
  <si>
    <t>2026-06-02 11:52:19</t>
  </si>
  <si>
    <t>27716096964</t>
  </si>
  <si>
    <t>14500739</t>
  </si>
  <si>
    <t>2e81d205-e1c1-4cca-ab72-078a5ddacb36</t>
  </si>
  <si>
    <t>ANELE</t>
  </si>
  <si>
    <t>LASINI</t>
  </si>
  <si>
    <t>27607379728</t>
  </si>
  <si>
    <t>14500740</t>
  </si>
  <si>
    <t>1ba1279f-eaaf-428a-95e6-7172feb4c22d</t>
  </si>
  <si>
    <t>NIKIWE</t>
  </si>
  <si>
    <t>27649063630</t>
  </si>
  <si>
    <t>14500737</t>
  </si>
  <si>
    <t>f7043d04-8eb2-4518-9be1-9a7b2756fd7a</t>
  </si>
  <si>
    <t>NDAEDZO</t>
  </si>
  <si>
    <t>MATJIKA</t>
  </si>
  <si>
    <t>2026-06-02 11:51:31</t>
  </si>
  <si>
    <t>27791385790</t>
  </si>
  <si>
    <t>14500735</t>
  </si>
  <si>
    <t>76b2564c-654d-4f29-b36f-561c30e7cdec</t>
  </si>
  <si>
    <t>BONGEKA</t>
  </si>
  <si>
    <t>MCASA-SISWANA</t>
  </si>
  <si>
    <t>2026-06-02 11:51:29</t>
  </si>
  <si>
    <t>27828613015</t>
  </si>
  <si>
    <t>14501565</t>
  </si>
  <si>
    <t>5e88895f-8a64-410f-bf04-10a4bb0ca070</t>
  </si>
  <si>
    <t>KARABO</t>
  </si>
  <si>
    <t>MAJOLA</t>
  </si>
  <si>
    <t>2026-06-02 11:51:12</t>
  </si>
  <si>
    <t>27647576991</t>
  </si>
  <si>
    <t>14501676</t>
  </si>
  <si>
    <t>b5b57cc9-0ed4-4d5c-be4a-e585cc6ff1c0</t>
  </si>
  <si>
    <t>MOKOETHWA</t>
  </si>
  <si>
    <t>BOLOKA</t>
  </si>
  <si>
    <t>2026-06-02 11:51:06</t>
  </si>
  <si>
    <t>27793332503</t>
  </si>
  <si>
    <t>14501015</t>
  </si>
  <si>
    <t>2c08434e-3b2f-44d0-b6ea-153b7e420c24</t>
  </si>
  <si>
    <t>KGAUTA</t>
  </si>
  <si>
    <t>MOKOENA</t>
  </si>
  <si>
    <t>2026-06-02 11:50:40</t>
  </si>
  <si>
    <t>27822681796</t>
  </si>
  <si>
    <t>14501016</t>
  </si>
  <si>
    <t>b05db167-2bf8-4556-91e4-1ad47da7a69e</t>
  </si>
  <si>
    <t>ANDISIWE</t>
  </si>
  <si>
    <t>FELEZA</t>
  </si>
  <si>
    <t>27791647969</t>
  </si>
  <si>
    <t>14501013</t>
  </si>
  <si>
    <t>53ec5f8f-bac7-4345-9c90-c65b01fc7829</t>
  </si>
  <si>
    <t>PHUMELELA</t>
  </si>
  <si>
    <t>VEZI</t>
  </si>
  <si>
    <t>2026-06-02 11:50:39</t>
  </si>
  <si>
    <t>27725692967</t>
  </si>
  <si>
    <t>14501012</t>
  </si>
  <si>
    <t>81b2c89d-61bf-4d7d-8b54-86c084d99f60</t>
  </si>
  <si>
    <t>IZEL</t>
  </si>
  <si>
    <t>STOPFORTH</t>
  </si>
  <si>
    <t>2026-06-02 11:50:06</t>
  </si>
  <si>
    <t>27826546449</t>
  </si>
  <si>
    <t>14501799</t>
  </si>
  <si>
    <t>88dc6624-ed74-48c9-8899-54fadcd0672c</t>
  </si>
  <si>
    <t>CHARLOTTE</t>
  </si>
  <si>
    <t>BADENHORST</t>
  </si>
  <si>
    <t>QAVET</t>
  </si>
  <si>
    <t>Sale Made</t>
  </si>
  <si>
    <t>27662051098</t>
  </si>
  <si>
    <t>14501009</t>
  </si>
  <si>
    <t>55bec8cf-6c62-4c0a-83c6-c3c8b3653a3e</t>
  </si>
  <si>
    <t>2026-06-02 11:50:02</t>
  </si>
  <si>
    <t>27724984562</t>
  </si>
  <si>
    <t>14501010</t>
  </si>
  <si>
    <t>29eea795-1f27-49f3-8d87-329ae05dad7a</t>
  </si>
  <si>
    <t>JESSE</t>
  </si>
  <si>
    <t>27797199443</t>
  </si>
  <si>
    <t>14501011</t>
  </si>
  <si>
    <t>5a2c73d8-f601-4b5e-9931-eba126217b27</t>
  </si>
  <si>
    <t>HILDA</t>
  </si>
  <si>
    <t>SWANEPOEL</t>
  </si>
  <si>
    <t>27760138613</t>
  </si>
  <si>
    <t>14501006</t>
  </si>
  <si>
    <t>97878e5c-9069-471a-a662-1350be9fb7a9</t>
  </si>
  <si>
    <t>DESHENDRI</t>
  </si>
  <si>
    <t>REDDY</t>
  </si>
  <si>
    <t>2026-06-02 11:49:33</t>
  </si>
  <si>
    <t>27833049948</t>
  </si>
  <si>
    <t>14501008</t>
  </si>
  <si>
    <t>0b27ffea-fd6e-49fc-a897-53dd8f8cecc3</t>
  </si>
  <si>
    <t>ALEXANDER</t>
  </si>
  <si>
    <t>DU PLESSIS</t>
  </si>
  <si>
    <t>27763285729</t>
  </si>
  <si>
    <t>14501646</t>
  </si>
  <si>
    <t>5bc5c396-fc70-4c2f-86c8-a4d51ecd2891</t>
  </si>
  <si>
    <t>HLANGANANI</t>
  </si>
  <si>
    <t>27824658685</t>
  </si>
  <si>
    <t>14501649</t>
  </si>
  <si>
    <t>d8d1a9e3-b235-4812-b030-f5d6ae5e4368</t>
  </si>
  <si>
    <t>SHERINE</t>
  </si>
  <si>
    <t>HENDRICKS</t>
  </si>
  <si>
    <t>2026-06-02 11:48:50</t>
  </si>
  <si>
    <t>27715378151</t>
  </si>
  <si>
    <t>14501768</t>
  </si>
  <si>
    <t>29b09b01-21a8-4e84-b9de-aa8243bc3ba8</t>
  </si>
  <si>
    <t>LABUSCHAGNE</t>
  </si>
  <si>
    <t>27764598689</t>
  </si>
  <si>
    <t>14501715</t>
  </si>
  <si>
    <t>95377c84-6ba9-4faf-ad32-d2afd5e9af84</t>
  </si>
  <si>
    <t>SAMKELE</t>
  </si>
  <si>
    <t>SKHOSANA</t>
  </si>
  <si>
    <t>2026-06-02 11:48:45</t>
  </si>
  <si>
    <t>27662739161</t>
  </si>
  <si>
    <t>14501611</t>
  </si>
  <si>
    <t>928bbd5a-e798-4594-bcbd-2baa1b5e8a24</t>
  </si>
  <si>
    <t>KHAHLISO</t>
  </si>
  <si>
    <t>2026-06-02 11:48:16</t>
  </si>
  <si>
    <t>27729465879</t>
  </si>
  <si>
    <t>14501639</t>
  </si>
  <si>
    <t>082b8829-8ef8-4200-ad0e-e6b13cc59708</t>
  </si>
  <si>
    <t>MOKOME</t>
  </si>
  <si>
    <t>PHOOKO</t>
  </si>
  <si>
    <t>2026-06-02 11:48:00</t>
  </si>
  <si>
    <t>27607936830</t>
  </si>
  <si>
    <t>14501805</t>
  </si>
  <si>
    <t>995cdd05-b0a4-477a-89be-0e44ee76c591</t>
  </si>
  <si>
    <t>BVUMA</t>
  </si>
  <si>
    <t>2026-06-02 11:47:37</t>
  </si>
  <si>
    <t>27662791361</t>
  </si>
  <si>
    <t>14500978</t>
  </si>
  <si>
    <t>01dcc3a7-fb86-492d-ac87-dbd16dd8969c</t>
  </si>
  <si>
    <t>ALBERTUS</t>
  </si>
  <si>
    <t>COETZEE</t>
  </si>
  <si>
    <t>2026-06-02 11:47:21</t>
  </si>
  <si>
    <t>27726143433</t>
  </si>
  <si>
    <t>14501798</t>
  </si>
  <si>
    <t>f941bde3-33e7-48ec-acaa-bef19d4c2d4b</t>
  </si>
  <si>
    <t>LOURENS</t>
  </si>
  <si>
    <t>FILMATER</t>
  </si>
  <si>
    <t>27826016700</t>
  </si>
  <si>
    <t>14501762</t>
  </si>
  <si>
    <t>18841100-28c7-481a-83f2-f13a1f6c161d</t>
  </si>
  <si>
    <t>MASHUDU</t>
  </si>
  <si>
    <t>MARULI</t>
  </si>
  <si>
    <t>2026-06-02 11:46:51</t>
  </si>
  <si>
    <t>27728066371</t>
  </si>
  <si>
    <t>14500934</t>
  </si>
  <si>
    <t>ac686677-cb4c-4cb3-9f4f-e849ef58e5d3</t>
  </si>
  <si>
    <t>TSHABALALA</t>
  </si>
  <si>
    <t>2026-06-02 11:46:48</t>
  </si>
  <si>
    <t>27825026034</t>
  </si>
  <si>
    <t>14500933</t>
  </si>
  <si>
    <t>14fb1839-ce0a-4fdf-94f4-9b17268ec987</t>
  </si>
  <si>
    <t>E</t>
  </si>
  <si>
    <t>DE KLERK</t>
  </si>
  <si>
    <t>2026-06-02 11:46:47</t>
  </si>
  <si>
    <t>27722524183</t>
  </si>
  <si>
    <t>14500931</t>
  </si>
  <si>
    <t>0e3234bb-a6f7-45e7-8c38-37d525ecfb6d</t>
  </si>
  <si>
    <t>MATHIPA</t>
  </si>
  <si>
    <t>MARUAPULA</t>
  </si>
  <si>
    <t>2026-06-02 11:46:46</t>
  </si>
  <si>
    <t>27721683389</t>
  </si>
  <si>
    <t>14500932</t>
  </si>
  <si>
    <t>2db5538d-dcbb-4209-8da3-bc7b69142abc</t>
  </si>
  <si>
    <t>LUVHIMBI</t>
  </si>
  <si>
    <t>27797205682</t>
  </si>
  <si>
    <t>14500930</t>
  </si>
  <si>
    <t>318db171-40c8-48dc-b835-447477b29c60</t>
  </si>
  <si>
    <t>ILZE</t>
  </si>
  <si>
    <t>2026-06-02 11:46:44</t>
  </si>
  <si>
    <t>27827741799</t>
  </si>
  <si>
    <t>14500916</t>
  </si>
  <si>
    <t>a68ec5c3-a437-48f6-85a0-68245b6a8f25</t>
  </si>
  <si>
    <t>MASOKA</t>
  </si>
  <si>
    <t>ZONDI</t>
  </si>
  <si>
    <t>2026-06-02 11:45:57</t>
  </si>
  <si>
    <t>27828924681</t>
  </si>
  <si>
    <t>14500929</t>
  </si>
  <si>
    <t>2ed4261c-6a44-4ad2-847b-914c5b56c10e</t>
  </si>
  <si>
    <t>ZAMASOTOBE</t>
  </si>
  <si>
    <t>SIBIYA</t>
  </si>
  <si>
    <t>2026-06-02 11:45:38</t>
  </si>
  <si>
    <t>27723225565</t>
  </si>
  <si>
    <t>14500914</t>
  </si>
  <si>
    <t>fe5edae2-5498-4082-8dcb-8f2419fa2029</t>
  </si>
  <si>
    <t>DLAMINI</t>
  </si>
  <si>
    <t>2026-06-02 11:45:31</t>
  </si>
  <si>
    <t>27720271819</t>
  </si>
  <si>
    <t>14501740</t>
  </si>
  <si>
    <t>05222aec-c97c-41c0-b7a5-aec8bce577e8</t>
  </si>
  <si>
    <t>MICHAEL</t>
  </si>
  <si>
    <t>HEWITT</t>
  </si>
  <si>
    <t>2026-06-02 11:45:21</t>
  </si>
  <si>
    <t>27814510270</t>
  </si>
  <si>
    <t>14501626</t>
  </si>
  <si>
    <t>2a7c279e-756f-450a-a77d-3ac9908b31f1</t>
  </si>
  <si>
    <t>LERATO</t>
  </si>
  <si>
    <t>MOREMONG</t>
  </si>
  <si>
    <t>2026-06-02 11:45:19</t>
  </si>
  <si>
    <t>27720401659</t>
  </si>
  <si>
    <t>14501665</t>
  </si>
  <si>
    <t>6e126b64-6726-4a70-b9fa-d2203e271a78</t>
  </si>
  <si>
    <t>WARREN</t>
  </si>
  <si>
    <t>STRUMPHER</t>
  </si>
  <si>
    <t>27769729265</t>
  </si>
  <si>
    <t>14501744</t>
  </si>
  <si>
    <t>5b384ced-283e-473e-a83b-bf9a36ec5bdc</t>
  </si>
  <si>
    <t>LINNETH</t>
  </si>
  <si>
    <t>KHOSA</t>
  </si>
  <si>
    <t>2026-06-02 11:45:18</t>
  </si>
  <si>
    <t>27712012627</t>
  </si>
  <si>
    <t>14501642</t>
  </si>
  <si>
    <t>8a8b711b-a636-4fda-aa84-80fa6961e416</t>
  </si>
  <si>
    <t>MAHLANGU</t>
  </si>
  <si>
    <t>2026-06-02 11:45:16</t>
  </si>
  <si>
    <t>27825611311</t>
  </si>
  <si>
    <t>14501702</t>
  </si>
  <si>
    <t>0ca5cbea-f3cf-4176-af2b-abfa1ebe0845</t>
  </si>
  <si>
    <t>MAMCY</t>
  </si>
  <si>
    <t>THEKO</t>
  </si>
  <si>
    <t>27829098552</t>
  </si>
  <si>
    <t>14501684</t>
  </si>
  <si>
    <t>71eef531-b47d-4b4d-ab47-343a0010fb36</t>
  </si>
  <si>
    <t>ESTHER</t>
  </si>
  <si>
    <t>NEL</t>
  </si>
  <si>
    <t>2026-06-02 11:45:15</t>
  </si>
  <si>
    <t>27662037701</t>
  </si>
  <si>
    <t>14501680</t>
  </si>
  <si>
    <t>80900db3-5394-4bc2-875f-1a3b8332d377</t>
  </si>
  <si>
    <t>GILBERT</t>
  </si>
  <si>
    <t>MAKAKABO</t>
  </si>
  <si>
    <t>2026-06-02 11:44:50</t>
  </si>
  <si>
    <t>27828692463</t>
  </si>
  <si>
    <t>14501737</t>
  </si>
  <si>
    <t>dbdbbb4b-8628-4582-8390-926ce94ce265</t>
  </si>
  <si>
    <t>QUENTIN</t>
  </si>
  <si>
    <t>VAN DEN HEEVER</t>
  </si>
  <si>
    <t>2026-06-02 11:44:32</t>
  </si>
  <si>
    <t>27832337535</t>
  </si>
  <si>
    <t>14501621</t>
  </si>
  <si>
    <t>e5dd04d0-5321-414d-bfa7-5ec5643bd0fa</t>
  </si>
  <si>
    <t>VHUTSHILO</t>
  </si>
  <si>
    <t>NANGE</t>
  </si>
  <si>
    <t>2026-06-02 11:44:21</t>
  </si>
  <si>
    <t>27631779094</t>
  </si>
  <si>
    <t>14501787</t>
  </si>
  <si>
    <t>fa39e63e-a636-4f73-a11b-867971a867da</t>
  </si>
  <si>
    <t>MOKHOMELA</t>
  </si>
  <si>
    <t>2026-06-02 11:44:20</t>
  </si>
  <si>
    <t>27721429362</t>
  </si>
  <si>
    <t>14501777</t>
  </si>
  <si>
    <t>84cfd401-9a62-43da-98c0-08ca523b05a5</t>
  </si>
  <si>
    <t>K</t>
  </si>
  <si>
    <t>KHONKHOBE</t>
  </si>
  <si>
    <t>2026-06-02 11:44:02</t>
  </si>
  <si>
    <t>27828243872</t>
  </si>
  <si>
    <t>14501837</t>
  </si>
  <si>
    <t>13557ca7-0755-411f-951d-74fc911c8818</t>
  </si>
  <si>
    <t>JUAN-CHRISTI</t>
  </si>
  <si>
    <t>27796203323</t>
  </si>
  <si>
    <t>14501654</t>
  </si>
  <si>
    <t>5e3106ec-f072-4244-aa01-35dbe8e052ec</t>
  </si>
  <si>
    <t>FRANS</t>
  </si>
  <si>
    <t>MULDER</t>
  </si>
  <si>
    <t>2026-06-02 11:44:01</t>
  </si>
  <si>
    <t>27646287596</t>
  </si>
  <si>
    <t>14501736</t>
  </si>
  <si>
    <t>bd7aef6c-1aa0-426a-a9c6-9786cb8b6ed2</t>
  </si>
  <si>
    <t>SUSANNA</t>
  </si>
  <si>
    <t>KAROOLS</t>
  </si>
  <si>
    <t>2026-06-02 11:43:32</t>
  </si>
  <si>
    <t>27662008209</t>
  </si>
  <si>
    <t>14501668</t>
  </si>
  <si>
    <t>2aa5e513-89f3-4f2e-8496-8d1f0038ac45</t>
  </si>
  <si>
    <t>KOMANE</t>
  </si>
  <si>
    <t>MOKADI</t>
  </si>
  <si>
    <t>2026-06-02 11:43:30</t>
  </si>
  <si>
    <t>27636155965</t>
  </si>
  <si>
    <t>14501717</t>
  </si>
  <si>
    <t>23ef6be6-1747-4b23-924b-5ee6433be86f</t>
  </si>
  <si>
    <t>YOLANDA</t>
  </si>
  <si>
    <t>27725436267</t>
  </si>
  <si>
    <t>14501773</t>
  </si>
  <si>
    <t>f2e8fa8d-1ac0-49ff-9297-7628c54038a7</t>
  </si>
  <si>
    <t>TSHIWELA</t>
  </si>
  <si>
    <t>RAMBAU</t>
  </si>
  <si>
    <t>27768923498</t>
  </si>
  <si>
    <t>14501490</t>
  </si>
  <si>
    <t>3f9df8e4-d491-4102-b01b-d2277a7dab0b</t>
  </si>
  <si>
    <t>BOETIE</t>
  </si>
  <si>
    <t>TWALA</t>
  </si>
  <si>
    <t>2026-06-02 11:41:50</t>
  </si>
  <si>
    <t>27715204847</t>
  </si>
  <si>
    <t>14501491</t>
  </si>
  <si>
    <t>eb4e3820-3303-4934-8cf4-75071d51d9c9</t>
  </si>
  <si>
    <t>MD</t>
  </si>
  <si>
    <t>OTTO</t>
  </si>
  <si>
    <t>27795312382</t>
  </si>
  <si>
    <t>14501486</t>
  </si>
  <si>
    <t>d9806da2-070c-4877-9f48-05fc6dea4632</t>
  </si>
  <si>
    <t>NONTYILEKO</t>
  </si>
  <si>
    <t>MKENTANE</t>
  </si>
  <si>
    <t>2026-06-02 11:41:43</t>
  </si>
  <si>
    <t>27714156315</t>
  </si>
  <si>
    <t>14501483</t>
  </si>
  <si>
    <t>5e43fe9f-05de-490b-abf8-efe2555bb3e9</t>
  </si>
  <si>
    <t>EDWARD</t>
  </si>
  <si>
    <t>2026-06-02 11:41:42</t>
  </si>
  <si>
    <t>27662707248</t>
  </si>
  <si>
    <t>14501484</t>
  </si>
  <si>
    <t>b0ef395c-5b56-417e-9f63-2914f718969c</t>
  </si>
  <si>
    <t>JONATHAN</t>
  </si>
  <si>
    <t>27789919140</t>
  </si>
  <si>
    <t>14501485</t>
  </si>
  <si>
    <t>01f9694d-085e-4a61-b7ad-d2590832756b</t>
  </si>
  <si>
    <t>TRAVIS</t>
  </si>
  <si>
    <t>VAN WYK</t>
  </si>
  <si>
    <t>27662315563</t>
  </si>
  <si>
    <t>14501627</t>
  </si>
  <si>
    <t>7b43947c-4f46-419d-a3b2-3cfaa644d365</t>
  </si>
  <si>
    <t>BANELE</t>
  </si>
  <si>
    <t>TDN</t>
  </si>
  <si>
    <t>Temporary Disconnected Number</t>
  </si>
  <si>
    <t>27827716555</t>
  </si>
  <si>
    <t>14502137</t>
  </si>
  <si>
    <t>f0c5e9cd-b7bb-4345-9575-938801477041</t>
  </si>
  <si>
    <t>111111121</t>
  </si>
  <si>
    <t>27715101023</t>
  </si>
  <si>
    <t>2026-06-02 11:26:12</t>
  </si>
  <si>
    <t>2026-05-27 04:51:18</t>
  </si>
  <si>
    <t>14501515</t>
  </si>
  <si>
    <t>67ca1cb2-3485-47a7-ba3b-57f0da97eb43</t>
  </si>
  <si>
    <t>TENBOY</t>
  </si>
  <si>
    <t>2026-06-02 11:15:02</t>
  </si>
  <si>
    <t>27723123364</t>
  </si>
  <si>
    <t>14501612</t>
  </si>
  <si>
    <t>485dc12a-4aad-41e6-b3b5-f92d045c095c</t>
  </si>
  <si>
    <t>SANDILE</t>
  </si>
  <si>
    <t>MSIBI</t>
  </si>
  <si>
    <t>27713263878</t>
  </si>
  <si>
    <t>14501716</t>
  </si>
  <si>
    <t>a912ceb2-ff3c-4eb9-ab73-6f2beab11119</t>
  </si>
  <si>
    <t>G</t>
  </si>
  <si>
    <t>27824454253</t>
  </si>
  <si>
    <t>14501800</t>
  </si>
  <si>
    <t>e124419b-e2af-45e7-993b-e29630689bff</t>
  </si>
  <si>
    <t>CRAIG</t>
  </si>
  <si>
    <t>TAYLOR</t>
  </si>
  <si>
    <t>27795087839</t>
  </si>
  <si>
    <t>14500820</t>
  </si>
  <si>
    <t>6e837b9b-b5a4-4de5-b7b9-834ae7a4eb9f</t>
  </si>
  <si>
    <t>THANDEKA</t>
  </si>
  <si>
    <t>MATHONSI</t>
  </si>
  <si>
    <t>2026-06-02 11:13:48</t>
  </si>
  <si>
    <t>27716784451</t>
  </si>
  <si>
    <t>14501094</t>
  </si>
  <si>
    <t>c03b3522-6592-4c7d-af55-64295348cde1</t>
  </si>
  <si>
    <t>GRAHAM</t>
  </si>
  <si>
    <t>2026-06-02 11:07:50</t>
  </si>
  <si>
    <t>27768135678</t>
  </si>
  <si>
    <t>14500420</t>
  </si>
  <si>
    <t>73df92eb-1ed3-4ab0-8686-ff610ac2cab9</t>
  </si>
  <si>
    <t>SAMKELO</t>
  </si>
  <si>
    <t>MONA</t>
  </si>
  <si>
    <t>2026-06-02 10:47:54</t>
  </si>
  <si>
    <t>27662032988</t>
  </si>
  <si>
    <t>14500423</t>
  </si>
  <si>
    <t>5931f757-233a-467f-8a14-dd886b122873</t>
  </si>
  <si>
    <t>BILLY</t>
  </si>
  <si>
    <t>SEKETE</t>
  </si>
  <si>
    <t>27662205636</t>
  </si>
  <si>
    <t>14500416</t>
  </si>
  <si>
    <t>c98bf6e1-5a4c-4258-8efb-616aeb0103a9</t>
  </si>
  <si>
    <t>RENIER</t>
  </si>
  <si>
    <t>RAS</t>
  </si>
  <si>
    <t>2026-06-02 10:47:53</t>
  </si>
  <si>
    <t>27662464480</t>
  </si>
  <si>
    <t>14500419</t>
  </si>
  <si>
    <t>a41a7980-0d56-4274-9dc7-44846b03c9d7</t>
  </si>
  <si>
    <t>SAMUEL</t>
  </si>
  <si>
    <t>SINDANG</t>
  </si>
  <si>
    <t>27716719168</t>
  </si>
  <si>
    <t>14500528</t>
  </si>
  <si>
    <t>8ea76eb8-67ba-46b3-acf6-f2ba89ecf207</t>
  </si>
  <si>
    <t>WILBY</t>
  </si>
  <si>
    <t>2026-06-02 10:45:40</t>
  </si>
  <si>
    <t>27726356266</t>
  </si>
  <si>
    <t>14500529</t>
  </si>
  <si>
    <t>4d89f9c2-2ba2-48f2-9c06-9a2377f6c9d2</t>
  </si>
  <si>
    <t>RINKWEST</t>
  </si>
  <si>
    <t>2026-06-02 10:43:47</t>
  </si>
  <si>
    <t>27609724059</t>
  </si>
  <si>
    <t>14500414</t>
  </si>
  <si>
    <t>332d2610-55a7-4024-b960-e1c22d83a46c</t>
  </si>
  <si>
    <t>FATIMA</t>
  </si>
  <si>
    <t>KHAN</t>
  </si>
  <si>
    <t>2026-06-02 10:43:46</t>
  </si>
  <si>
    <t>27726199591</t>
  </si>
  <si>
    <t>14500481</t>
  </si>
  <si>
    <t>111255d3-6061-4ed1-a35b-fb8683d86d8f</t>
  </si>
  <si>
    <t>27768561506</t>
  </si>
  <si>
    <t>14500729</t>
  </si>
  <si>
    <t>672f7458-7404-4488-aabd-996d6e57d35e</t>
  </si>
  <si>
    <t>NTOKOZO</t>
  </si>
  <si>
    <t>MNGUNI</t>
  </si>
  <si>
    <t>2026-06-02 10:37:02</t>
  </si>
  <si>
    <t>27662536659</t>
  </si>
  <si>
    <t>14500699</t>
  </si>
  <si>
    <t>a6a302b0-208c-413f-9da2-06957fb62334</t>
  </si>
  <si>
    <t>MURIEL</t>
  </si>
  <si>
    <t>ASETELE</t>
  </si>
  <si>
    <t>2026-06-02 10:34:39</t>
  </si>
  <si>
    <t>27662547871</t>
  </si>
  <si>
    <t>14500847</t>
  </si>
  <si>
    <t>2d6ffdff-87fb-4a4e-95a4-d8c1464b2db8</t>
  </si>
  <si>
    <t>NTOMBIZANDILE</t>
  </si>
  <si>
    <t>MATYEDI</t>
  </si>
  <si>
    <t>2026-06-02 10:29:08</t>
  </si>
  <si>
    <t>27766328152</t>
  </si>
  <si>
    <t>14501776</t>
  </si>
  <si>
    <t>ee588e6a-8da0-4935-8a32-c2f90a1e71bf</t>
  </si>
  <si>
    <t>TIMOTHY</t>
  </si>
  <si>
    <t>PHOKOANA</t>
  </si>
  <si>
    <t>2026-06-02 10:27:19</t>
  </si>
  <si>
    <t>27725519591</t>
  </si>
  <si>
    <t>14501641</t>
  </si>
  <si>
    <t>ce8b183c-260d-4c8e-9737-c4f677b1cd39</t>
  </si>
  <si>
    <t>2026-06-02 10:27:15</t>
  </si>
  <si>
    <t>27836122930</t>
  </si>
  <si>
    <t>14501723</t>
  </si>
  <si>
    <t>34cb82ed-3a68-4198-9440-d4d7683e69d5</t>
  </si>
  <si>
    <t>BERNICE</t>
  </si>
  <si>
    <t>CRICK</t>
  </si>
  <si>
    <t>2026-06-02 10:27:12</t>
  </si>
  <si>
    <t>27721011847</t>
  </si>
  <si>
    <t>14501713</t>
  </si>
  <si>
    <t>438106b8-5be6-4221-977b-5b0070564a70</t>
  </si>
  <si>
    <t>CLIVE</t>
  </si>
  <si>
    <t>WINTERTON</t>
  </si>
  <si>
    <t>2026-06-02 10:27:07</t>
  </si>
  <si>
    <t>27845584533</t>
  </si>
  <si>
    <t>14501733</t>
  </si>
  <si>
    <t>111c6edf-642e-49b2-814e-7d1c114a0b50</t>
  </si>
  <si>
    <t>WILNA</t>
  </si>
  <si>
    <t>27849450035</t>
  </si>
  <si>
    <t>14501816</t>
  </si>
  <si>
    <t>58bb4e12-ae72-4c4e-a597-3a0a09890ad6</t>
  </si>
  <si>
    <t>27660077041</t>
  </si>
  <si>
    <t>14501836</t>
  </si>
  <si>
    <t>c5dbc1b4-aa23-482f-a474-cf2915c5f602</t>
  </si>
  <si>
    <t>DULCE</t>
  </si>
  <si>
    <t>MBIZA</t>
  </si>
  <si>
    <t>27822625508</t>
  </si>
  <si>
    <t>14501822</t>
  </si>
  <si>
    <t>f05af4dc-1d64-4ded-88fa-10d20d809bae</t>
  </si>
  <si>
    <t>SIMPHIWE</t>
  </si>
  <si>
    <t>NGOMEZULU</t>
  </si>
  <si>
    <t>2026-06-02 10:26:18</t>
  </si>
  <si>
    <t>27721441573</t>
  </si>
  <si>
    <t>14500379</t>
  </si>
  <si>
    <t>3141a2ed-1afe-43f3-a083-63dfa3f38dc1</t>
  </si>
  <si>
    <t>MP</t>
  </si>
  <si>
    <t>THABA</t>
  </si>
  <si>
    <t>2026-06-02 10:26:16</t>
  </si>
  <si>
    <t>27826522795</t>
  </si>
  <si>
    <t>14500376</t>
  </si>
  <si>
    <t>40ba4237-388e-4cb3-9a41-65a20c39df3d</t>
  </si>
  <si>
    <t>ANGELIQUE</t>
  </si>
  <si>
    <t>ANOKWUTE</t>
  </si>
  <si>
    <t>2026-06-02 10:26:02</t>
  </si>
  <si>
    <t>27794884919</t>
  </si>
  <si>
    <t>14500374</t>
  </si>
  <si>
    <t>b3712f6a-ea0a-4575-b322-34bd43d804ea</t>
  </si>
  <si>
    <t>MATHEW</t>
  </si>
  <si>
    <t>MATTIG</t>
  </si>
  <si>
    <t>2026-06-02 10:25:53</t>
  </si>
  <si>
    <t>27728847211</t>
  </si>
  <si>
    <t>14500375</t>
  </si>
  <si>
    <t>5f8a01bf-2c65-43f7-a61c-eb0c9de80db5</t>
  </si>
  <si>
    <t>27763134969</t>
  </si>
  <si>
    <t>14500371</t>
  </si>
  <si>
    <t>ec95e354-2fea-4340-8c3f-cef60bfc5b71</t>
  </si>
  <si>
    <t>REBELO</t>
  </si>
  <si>
    <t>2026-06-02 10:25:52</t>
  </si>
  <si>
    <t>27829251455</t>
  </si>
  <si>
    <t>14500372</t>
  </si>
  <si>
    <t>a6a98d51-f8ae-4e96-86a0-6397f2523da4</t>
  </si>
  <si>
    <t>JOLENE</t>
  </si>
  <si>
    <t>SANGERHAUS</t>
  </si>
  <si>
    <t>27636893725</t>
  </si>
  <si>
    <t>14500373</t>
  </si>
  <si>
    <t>e43db6f4-c93f-4ea9-85a9-3125dc7665da</t>
  </si>
  <si>
    <t>ROSELINE</t>
  </si>
  <si>
    <t>MOKWENA</t>
  </si>
  <si>
    <t>27727682691</t>
  </si>
  <si>
    <t>14501594</t>
  </si>
  <si>
    <t>3c5c7f04-8651-49c2-8e7e-de3b172b4cb9</t>
  </si>
  <si>
    <t>LORATO</t>
  </si>
  <si>
    <t>GASEALAHWE</t>
  </si>
  <si>
    <t>27829711033</t>
  </si>
  <si>
    <t>14501595</t>
  </si>
  <si>
    <t>1de9f566-dd28-4bf7-a015-0da3cd07c22c</t>
  </si>
  <si>
    <t>MLONDOLOZI</t>
  </si>
  <si>
    <t>HLENGWA</t>
  </si>
  <si>
    <t>2026-06-02 10:25:51</t>
  </si>
  <si>
    <t>27797777026</t>
  </si>
  <si>
    <t>14501596</t>
  </si>
  <si>
    <t>51ec236a-f3db-4f6f-a364-81d0d50a3a82</t>
  </si>
  <si>
    <t>RIAAN</t>
  </si>
  <si>
    <t>JURGENSEN</t>
  </si>
  <si>
    <t>2026-06-02 10:25:40</t>
  </si>
  <si>
    <t>27766588351</t>
  </si>
  <si>
    <t>14501597</t>
  </si>
  <si>
    <t>13a91158-a6fd-45d7-b186-6257ab4a597e</t>
  </si>
  <si>
    <t>ZANDILE</t>
  </si>
  <si>
    <t>DLADLA</t>
  </si>
  <si>
    <t>2026-06-02 10:25:38</t>
  </si>
  <si>
    <t>27792502990</t>
  </si>
  <si>
    <t>14501599</t>
  </si>
  <si>
    <t>a08ed8bc-2241-4e1f-8eea-b988b6b1edb0</t>
  </si>
  <si>
    <t>MMULE</t>
  </si>
  <si>
    <t>MAITHUFI</t>
  </si>
  <si>
    <t>2026-06-02 10:25:22</t>
  </si>
  <si>
    <t>27726629537</t>
  </si>
  <si>
    <t>14501007</t>
  </si>
  <si>
    <t>93bb12ff-83ba-413a-969a-64b2ba479a00</t>
  </si>
  <si>
    <t>LIHLE</t>
  </si>
  <si>
    <t>TSOLO</t>
  </si>
  <si>
    <t>2026-06-02 10:25:20</t>
  </si>
  <si>
    <t>27818127809</t>
  </si>
  <si>
    <t>14501600</t>
  </si>
  <si>
    <t>c1831262-1a2c-43a5-af79-7ae1b1bae717</t>
  </si>
  <si>
    <t>RHYNO</t>
  </si>
  <si>
    <t>SWARTZ</t>
  </si>
  <si>
    <t>27797405598</t>
  </si>
  <si>
    <t>14501601</t>
  </si>
  <si>
    <t>cd1fa6e4-bf90-40b8-b24e-049fa756ffb4</t>
  </si>
  <si>
    <t>NOTHANDO</t>
  </si>
  <si>
    <t>MAGWAZA</t>
  </si>
  <si>
    <t>27795059946</t>
  </si>
  <si>
    <t>14501602</t>
  </si>
  <si>
    <t>0c10d466-1797-4fab-abb4-7d560959a2a8</t>
  </si>
  <si>
    <t>27825970378</t>
  </si>
  <si>
    <t>14500897</t>
  </si>
  <si>
    <t>10108316-1126-4c4b-af93-bb5c95ccf1a1</t>
  </si>
  <si>
    <t>WILSON</t>
  </si>
  <si>
    <t>MANGANYE</t>
  </si>
  <si>
    <t>2026-06-02 10:24:26</t>
  </si>
  <si>
    <t>27795939521</t>
  </si>
  <si>
    <t>14500754</t>
  </si>
  <si>
    <t>b8b7d13d-1adf-4401-a416-2ac3a44b7b7a</t>
  </si>
  <si>
    <t>NAVANDARIE</t>
  </si>
  <si>
    <t>MOODLEY</t>
  </si>
  <si>
    <t>2026-06-02 10:23:50</t>
  </si>
  <si>
    <t>27797525220</t>
  </si>
  <si>
    <t>14500391</t>
  </si>
  <si>
    <t>e68d8331-d563-45ad-996b-bfaa8af77e4d</t>
  </si>
  <si>
    <t>CLAUDINE</t>
  </si>
  <si>
    <t>JONAS</t>
  </si>
  <si>
    <t>2026-06-02 10:23:12</t>
  </si>
  <si>
    <t>27726261015</t>
  </si>
  <si>
    <t>14500389</t>
  </si>
  <si>
    <t>87d1de38-2927-4955-a9e1-68a29749d56b</t>
  </si>
  <si>
    <t>MICHELLE</t>
  </si>
  <si>
    <t>RICHARDS</t>
  </si>
  <si>
    <t>2026-06-02 10:23:10</t>
  </si>
  <si>
    <t>27761896732</t>
  </si>
  <si>
    <t>14500390</t>
  </si>
  <si>
    <t>b115efe1-78de-452f-8786-31d8ae2083f5</t>
  </si>
  <si>
    <t>AARON</t>
  </si>
  <si>
    <t>MATSI</t>
  </si>
  <si>
    <t>27824644727</t>
  </si>
  <si>
    <t>14500388</t>
  </si>
  <si>
    <t>230442a1-c032-4c91-b31d-b26295137252</t>
  </si>
  <si>
    <t>HERMINA</t>
  </si>
  <si>
    <t>KADE</t>
  </si>
  <si>
    <t>2026-06-02 10:22:40</t>
  </si>
  <si>
    <t>27762687500</t>
  </si>
  <si>
    <t>14501014</t>
  </si>
  <si>
    <t>00211157-946d-4c39-953a-1d6383e1645f</t>
  </si>
  <si>
    <t>YOLANDIE</t>
  </si>
  <si>
    <t>27648347785</t>
  </si>
  <si>
    <t>14500730</t>
  </si>
  <si>
    <t>c64261dd-14df-4efc-9a55-e2c09f659d44</t>
  </si>
  <si>
    <t>KGOTSO</t>
  </si>
  <si>
    <t>MATHIKGE</t>
  </si>
  <si>
    <t>2026-06-02 10:22:05</t>
  </si>
  <si>
    <t>27791999667</t>
  </si>
  <si>
    <t>14500728</t>
  </si>
  <si>
    <t>31fcebc7-bf85-46f6-9d48-f2ab3897aa4e</t>
  </si>
  <si>
    <t>JEANNETTE</t>
  </si>
  <si>
    <t>2026-06-02 10:22:03</t>
  </si>
  <si>
    <t>27796265773</t>
  </si>
  <si>
    <t>14500726</t>
  </si>
  <si>
    <t>d0a2602c-5645-42df-a6a5-ccb6138eaad5</t>
  </si>
  <si>
    <t>THEODORA</t>
  </si>
  <si>
    <t>MPHOKENG</t>
  </si>
  <si>
    <t>2026-06-02 10:21:53</t>
  </si>
  <si>
    <t>27760269397</t>
  </si>
  <si>
    <t>14500725</t>
  </si>
  <si>
    <t>27214b40-14c8-4794-a4af-0dc1e6c8e388</t>
  </si>
  <si>
    <t>AKHONA</t>
  </si>
  <si>
    <t>MAUDE</t>
  </si>
  <si>
    <t>2026-06-02 10:21:49</t>
  </si>
  <si>
    <t>27721161330</t>
  </si>
  <si>
    <t>14500724</t>
  </si>
  <si>
    <t>91a32667-f41d-4cf2-a13e-f0a64a6b11f9</t>
  </si>
  <si>
    <t>JANETTA</t>
  </si>
  <si>
    <t>PALVIE</t>
  </si>
  <si>
    <t>2026-06-02 10:21:42</t>
  </si>
  <si>
    <t>27825508278</t>
  </si>
  <si>
    <t>14500723</t>
  </si>
  <si>
    <t>2c0d33a5-471a-4cbf-b709-b549089d1c77</t>
  </si>
  <si>
    <t>ELZAAN</t>
  </si>
  <si>
    <t>MCHATTIE</t>
  </si>
  <si>
    <t>2026-06-02 10:21:37</t>
  </si>
  <si>
    <t>27647503123</t>
  </si>
  <si>
    <t>14500720</t>
  </si>
  <si>
    <t>9a4f130f-4379-479e-96c9-f97429fc297c</t>
  </si>
  <si>
    <t>2026-06-02 10:21:35</t>
  </si>
  <si>
    <t>27613820896</t>
  </si>
  <si>
    <t>14500721</t>
  </si>
  <si>
    <t>8ed18674-a53d-4d6f-971e-fc5985e1c667</t>
  </si>
  <si>
    <t>WILLIAM</t>
  </si>
  <si>
    <t>NKOSI</t>
  </si>
  <si>
    <t>27726620915</t>
  </si>
  <si>
    <t>14500448</t>
  </si>
  <si>
    <t>ce05a091-7827-4b40-833b-60614225a0e3</t>
  </si>
  <si>
    <t>ELVIRA</t>
  </si>
  <si>
    <t>GERBER</t>
  </si>
  <si>
    <t>2026-06-02 10:21:34</t>
  </si>
  <si>
    <t>27824940674</t>
  </si>
  <si>
    <t>14500719</t>
  </si>
  <si>
    <t>753821a3-37d7-4c2f-b914-5e03768fc2e1</t>
  </si>
  <si>
    <t>SIPHELELE</t>
  </si>
  <si>
    <t>ZIKHALI</t>
  </si>
  <si>
    <t>27799510649</t>
  </si>
  <si>
    <t>14500617</t>
  </si>
  <si>
    <t>8a8230b1-a92c-4dd7-b602-8434921254e1</t>
  </si>
  <si>
    <t>BENVOLIO</t>
  </si>
  <si>
    <t>MASEHLA</t>
  </si>
  <si>
    <t>2026-06-02 10:21:33</t>
  </si>
  <si>
    <t>27720572324</t>
  </si>
  <si>
    <t>14500619</t>
  </si>
  <si>
    <t>be6938be-2ee6-41f7-90a1-9986121368fe</t>
  </si>
  <si>
    <t>PRINCESS</t>
  </si>
  <si>
    <t>MKHWANAZI</t>
  </si>
  <si>
    <t>27724194729</t>
  </si>
  <si>
    <t>14500621</t>
  </si>
  <si>
    <t>6c8029e1-70ab-4714-82c8-e06f4a3a39ce</t>
  </si>
  <si>
    <t>FELICITY</t>
  </si>
  <si>
    <t>TOD</t>
  </si>
  <si>
    <t>27724921329</t>
  </si>
  <si>
    <t>14500613</t>
  </si>
  <si>
    <t>087ac02f-4469-4692-a896-f30ba4f38fcd</t>
  </si>
  <si>
    <t>J</t>
  </si>
  <si>
    <t>BELL</t>
  </si>
  <si>
    <t>2026-06-02 10:21:31</t>
  </si>
  <si>
    <t>27828067894</t>
  </si>
  <si>
    <t>14500615</t>
  </si>
  <si>
    <t>1aae12b7-e3df-4a65-9c04-f4334474fa16</t>
  </si>
  <si>
    <t>KEAGAN</t>
  </si>
  <si>
    <t>SALARI</t>
  </si>
  <si>
    <t>27797006567</t>
  </si>
  <si>
    <t>14500616</t>
  </si>
  <si>
    <t>458c37e9-4762-4c9b-a1b5-def7a4f062ae</t>
  </si>
  <si>
    <t>NTOBEKO</t>
  </si>
  <si>
    <t>FOKAZI</t>
  </si>
  <si>
    <t>27715994422</t>
  </si>
  <si>
    <t>14500525</t>
  </si>
  <si>
    <t>cd20c391-6202-421d-82ad-4d17c235327a</t>
  </si>
  <si>
    <t>ZELMARY</t>
  </si>
  <si>
    <t>2026-06-02 10:20:32</t>
  </si>
  <si>
    <t>27713305101</t>
  </si>
  <si>
    <t>14500520</t>
  </si>
  <si>
    <t>e2fafa16-5ce4-4c14-b8d3-cec2f24eada1</t>
  </si>
  <si>
    <t>RAMATSIMELE</t>
  </si>
  <si>
    <t>BAPELA</t>
  </si>
  <si>
    <t>2026-06-02 10:20:11</t>
  </si>
  <si>
    <t>27662950261</t>
  </si>
  <si>
    <t>14500515</t>
  </si>
  <si>
    <t>e983dcb4-5b6d-445d-9738-aa7168f2d88e</t>
  </si>
  <si>
    <t>MOSHI</t>
  </si>
  <si>
    <t>2026-06-02 10:20:09</t>
  </si>
  <si>
    <t>27636841255</t>
  </si>
  <si>
    <t>14500517</t>
  </si>
  <si>
    <t>b26e77d5-a1bf-4b47-bdce-8bc012faa199</t>
  </si>
  <si>
    <t>RENETTE</t>
  </si>
  <si>
    <t>MATTHEE</t>
  </si>
  <si>
    <t>27829267932</t>
  </si>
  <si>
    <t>14500518</t>
  </si>
  <si>
    <t>a921ed4a-09fb-43d0-a6ad-c9862815b43b</t>
  </si>
  <si>
    <t>PETRIE</t>
  </si>
  <si>
    <t>27820625459</t>
  </si>
  <si>
    <t>14500519</t>
  </si>
  <si>
    <t>7650115e-faf5-4ea6-acc7-794d3b71947e</t>
  </si>
  <si>
    <t>JASPER</t>
  </si>
  <si>
    <t>27766443533</t>
  </si>
  <si>
    <t>14500514</t>
  </si>
  <si>
    <t>ab304798-e6ce-42fe-a7bb-58ea91fe471c</t>
  </si>
  <si>
    <t>SIBONGISENI</t>
  </si>
  <si>
    <t>MDHULI</t>
  </si>
  <si>
    <t>2026-06-02 10:19:33</t>
  </si>
  <si>
    <t>27724412449</t>
  </si>
  <si>
    <t>14500513</t>
  </si>
  <si>
    <t>6f2c71e0-0ed3-4ff5-9890-3e38f57eafb6</t>
  </si>
  <si>
    <t>NOMATHAMSANQA</t>
  </si>
  <si>
    <t>2026-06-02 10:19:29</t>
  </si>
  <si>
    <t>27765097637</t>
  </si>
  <si>
    <t>14500512</t>
  </si>
  <si>
    <t>82ac1b42-5925-48d1-8fde-49ab450e0cc3</t>
  </si>
  <si>
    <t>XOLILE</t>
  </si>
  <si>
    <t>NGESI</t>
  </si>
  <si>
    <t>2026-06-02 10:19:28</t>
  </si>
  <si>
    <t>27713723581</t>
  </si>
  <si>
    <t>14500510</t>
  </si>
  <si>
    <t>016a6a93-67af-43e3-99d8-56c147809170</t>
  </si>
  <si>
    <t>DUAN</t>
  </si>
  <si>
    <t>THIART</t>
  </si>
  <si>
    <t>2026-06-02 10:19:26</t>
  </si>
  <si>
    <t>27832658620</t>
  </si>
  <si>
    <t>14500511</t>
  </si>
  <si>
    <t>7819e847-c5f0-4473-839e-c7f1c022f33d</t>
  </si>
  <si>
    <t>MNXULWA</t>
  </si>
  <si>
    <t>27823054184</t>
  </si>
  <si>
    <t>14500499</t>
  </si>
  <si>
    <t>1675ca98-a6fd-4acf-8e3d-6e08d7198edd</t>
  </si>
  <si>
    <t>JOYCE</t>
  </si>
  <si>
    <t>MSIMANGO</t>
  </si>
  <si>
    <t>2026-06-02 10:19:25</t>
  </si>
  <si>
    <t>27662298438</t>
  </si>
  <si>
    <t>14501592</t>
  </si>
  <si>
    <t>9a919b41-a25e-4b0d-81f6-0db2f67c5ec2</t>
  </si>
  <si>
    <t>SEBITSE</t>
  </si>
  <si>
    <t>MAOKA</t>
  </si>
  <si>
    <t>27606084546</t>
  </si>
  <si>
    <t>14500571</t>
  </si>
  <si>
    <t>ab89662d-63ac-4021-b7e5-fcc28470c19a</t>
  </si>
  <si>
    <t>TANJA</t>
  </si>
  <si>
    <t>WOOD</t>
  </si>
  <si>
    <t>2026-06-02 10:19:06</t>
  </si>
  <si>
    <t>27825575081</t>
  </si>
  <si>
    <t>14500568</t>
  </si>
  <si>
    <t>8119bfa7-ee30-457f-a9f6-9ba655becac1</t>
  </si>
  <si>
    <t>BROLIN</t>
  </si>
  <si>
    <t>BILLINGS</t>
  </si>
  <si>
    <t>2026-06-02 10:19:04</t>
  </si>
  <si>
    <t>27662461805</t>
  </si>
  <si>
    <t>14500565</t>
  </si>
  <si>
    <t>46be4c13-2172-49d9-9390-bda23c15eb5c</t>
  </si>
  <si>
    <t>DINEO</t>
  </si>
  <si>
    <t>TEMA</t>
  </si>
  <si>
    <t>2026-06-02 10:18:56</t>
  </si>
  <si>
    <t>27662202782</t>
  </si>
  <si>
    <t>14500551</t>
  </si>
  <si>
    <t>31543ac0-5435-4515-bf6a-8ac12e7eadbf</t>
  </si>
  <si>
    <t>JOSEPHINE</t>
  </si>
  <si>
    <t>MOTHATHA</t>
  </si>
  <si>
    <t>2026-06-02 10:18:51</t>
  </si>
  <si>
    <t>27649605735</t>
  </si>
  <si>
    <t>14500562</t>
  </si>
  <si>
    <t>fde194b1-290c-4f5a-ab68-5d497efc56ef</t>
  </si>
  <si>
    <t>SILAS</t>
  </si>
  <si>
    <t>MODISANE</t>
  </si>
  <si>
    <t>27760687098</t>
  </si>
  <si>
    <t>14500563</t>
  </si>
  <si>
    <t>4a73943a-77df-49dd-aa77-bd65e9294fde</t>
  </si>
  <si>
    <t>MATSHIDISO</t>
  </si>
  <si>
    <t>MPA</t>
  </si>
  <si>
    <t>27826771248</t>
  </si>
  <si>
    <t>14501538</t>
  </si>
  <si>
    <t>4da41c49-2311-4378-99d2-9b975ddadd5e</t>
  </si>
  <si>
    <t>27840291137</t>
  </si>
  <si>
    <t>2026-06-02 10:18:10</t>
  </si>
  <si>
    <t>14500550</t>
  </si>
  <si>
    <t>52ac1c73-7eb9-46e3-911a-582d4eea2bbc</t>
  </si>
  <si>
    <t>RUDOLF</t>
  </si>
  <si>
    <t>2026-06-02 10:17:48</t>
  </si>
  <si>
    <t>27829225781</t>
  </si>
  <si>
    <t>14500815</t>
  </si>
  <si>
    <t>ed2a63f4-0279-41fe-b7de-560b7d58bd39</t>
  </si>
  <si>
    <t>BIANCA</t>
  </si>
  <si>
    <t>27818150313</t>
  </si>
  <si>
    <t>14500532</t>
  </si>
  <si>
    <t>59f22682-8b4a-4be2-8f2a-56d7c82fd3e4</t>
  </si>
  <si>
    <t>VERONICA</t>
  </si>
  <si>
    <t>MAHLAKOLA</t>
  </si>
  <si>
    <t>2026-06-02 10:17:47</t>
  </si>
  <si>
    <t>27723976836</t>
  </si>
  <si>
    <t>14500533</t>
  </si>
  <si>
    <t>2b952abe-2c34-40ea-a319-87fa93b4a001</t>
  </si>
  <si>
    <t>VANWYK</t>
  </si>
  <si>
    <t>27662357066</t>
  </si>
  <si>
    <t>14500548</t>
  </si>
  <si>
    <t>968b0ae3-63c9-474b-a094-663b9541a4f2</t>
  </si>
  <si>
    <t>NEO</t>
  </si>
  <si>
    <t>SHAI</t>
  </si>
  <si>
    <t>27724691958</t>
  </si>
  <si>
    <t>14500549</t>
  </si>
  <si>
    <t>13506363-5bb4-48de-8a59-a247ed4719bf</t>
  </si>
  <si>
    <t>MATSOMANE</t>
  </si>
  <si>
    <t>27760249398</t>
  </si>
  <si>
    <t>14500531</t>
  </si>
  <si>
    <t>6e6fb9a5-39fd-4edb-9b44-c6e796ed51ce</t>
  </si>
  <si>
    <t>NOMVULA</t>
  </si>
  <si>
    <t>SITHOLE</t>
  </si>
  <si>
    <t>2026-06-02 10:17:44</t>
  </si>
  <si>
    <t>27828475012</t>
  </si>
  <si>
    <t>14500785</t>
  </si>
  <si>
    <t>5bcd52fd-3597-40e3-bed7-23bd48b5f735</t>
  </si>
  <si>
    <t>GAONA</t>
  </si>
  <si>
    <t>SEBOGODI</t>
  </si>
  <si>
    <t>2026-06-02 10:17:34</t>
  </si>
  <si>
    <t>27767922420</t>
  </si>
  <si>
    <t>14500772</t>
  </si>
  <si>
    <t>414e271d-4028-4293-92a1-4b6a01f6f280</t>
  </si>
  <si>
    <t>MOSIMA</t>
  </si>
  <si>
    <t>2026-06-02 10:17:23</t>
  </si>
  <si>
    <t>27729858201</t>
  </si>
  <si>
    <t>14500547</t>
  </si>
  <si>
    <t>3837ac25-e98d-4e56-8122-1b1a4c81f5e8</t>
  </si>
  <si>
    <t>27798647389</t>
  </si>
  <si>
    <t>AC</t>
  </si>
  <si>
    <t>Already Contacted</t>
  </si>
  <si>
    <t>2026-06-02 10:16:59</t>
  </si>
  <si>
    <t>14501756</t>
  </si>
  <si>
    <t>cb652fda-7f5c-4e42-8835-bf4bec71eaa5</t>
  </si>
  <si>
    <t>TELEMACHOULA</t>
  </si>
  <si>
    <t>VINGOS</t>
  </si>
  <si>
    <t>2026-06-02 10:16:46</t>
  </si>
  <si>
    <t>27784237519</t>
  </si>
  <si>
    <t>14501709</t>
  </si>
  <si>
    <t>69c8acd9-6a96-4fe1-97fb-9643563cd129</t>
  </si>
  <si>
    <t>JOSEPHUS</t>
  </si>
  <si>
    <t>JOSEPHU</t>
  </si>
  <si>
    <t>2026-06-02 10:16:39</t>
  </si>
  <si>
    <t>27824935523</t>
  </si>
  <si>
    <t>14501705</t>
  </si>
  <si>
    <t>09ac4e68-e99b-4bb1-96b3-7046620c5ff4</t>
  </si>
  <si>
    <t>HENDRIK</t>
  </si>
  <si>
    <t>BUYS</t>
  </si>
  <si>
    <t>2026-06-02 10:16:37</t>
  </si>
  <si>
    <t>27725273999</t>
  </si>
  <si>
    <t>14501814</t>
  </si>
  <si>
    <t>40cc35d2-7e23-4912-b325-de0aace55d03</t>
  </si>
  <si>
    <t>CHERE-LYNN</t>
  </si>
  <si>
    <t>SAMLL</t>
  </si>
  <si>
    <t>27815289845</t>
  </si>
  <si>
    <t>14501734</t>
  </si>
  <si>
    <t>22595006-901b-4e73-87bd-a03cc3c87ffe</t>
  </si>
  <si>
    <t>MOTHUSI</t>
  </si>
  <si>
    <t>MOALUSI</t>
  </si>
  <si>
    <t>2026-06-02 10:16:35</t>
  </si>
  <si>
    <t>27797516710</t>
  </si>
  <si>
    <t>14501643</t>
  </si>
  <si>
    <t>269ab920-da11-401e-8c80-4930a1a34abc</t>
  </si>
  <si>
    <t>MOJANKO</t>
  </si>
  <si>
    <t>MATLEJOANE</t>
  </si>
  <si>
    <t>2026-06-02 10:16:33</t>
  </si>
  <si>
    <t>27824988448</t>
  </si>
  <si>
    <t>14501765</t>
  </si>
  <si>
    <t>145e6805-a7e2-4843-9420-42bf9c0bb566</t>
  </si>
  <si>
    <t>HLANGANISIWE</t>
  </si>
  <si>
    <t>MLUNGWANA</t>
  </si>
  <si>
    <t>2026-06-02 10:16:30</t>
  </si>
  <si>
    <t>27727953100</t>
  </si>
  <si>
    <t>14501820</t>
  </si>
  <si>
    <t>b1bfbacb-0a5e-4154-99a3-ef4c2531d862</t>
  </si>
  <si>
    <t>HLABISI</t>
  </si>
  <si>
    <t>MALAPANE</t>
  </si>
  <si>
    <t>2026-06-02 10:16:29</t>
  </si>
  <si>
    <t>27662387570</t>
  </si>
  <si>
    <t>14501681</t>
  </si>
  <si>
    <t>842a0095-61f9-4d6a-8055-873121365aec</t>
  </si>
  <si>
    <t>TSAKANI</t>
  </si>
  <si>
    <t>SELOPYANE</t>
  </si>
  <si>
    <t>2026-06-02 10:16:25</t>
  </si>
  <si>
    <t>27791490765</t>
  </si>
  <si>
    <t>14500788</t>
  </si>
  <si>
    <t>982ddd3f-7a9d-4b68-be61-6220901eb411</t>
  </si>
  <si>
    <t>DEALINE</t>
  </si>
  <si>
    <t>JAFTA</t>
  </si>
  <si>
    <t>2026-06-02 10:16:24</t>
  </si>
  <si>
    <t>27722805568</t>
  </si>
  <si>
    <t>14500850</t>
  </si>
  <si>
    <t>1155fb04-659e-4eba-b370-63a33ff5b1a8</t>
  </si>
  <si>
    <t>RAKGADI</t>
  </si>
  <si>
    <t>MOROLO</t>
  </si>
  <si>
    <t>27716761180</t>
  </si>
  <si>
    <t>14501605</t>
  </si>
  <si>
    <t>0f713e5d-d610-4861-aa5b-7f8e94c0ca9a</t>
  </si>
  <si>
    <t>27764952045</t>
  </si>
  <si>
    <t>14500787</t>
  </si>
  <si>
    <t>3d91214d-8d0b-4164-929a-6a64c7600318</t>
  </si>
  <si>
    <t>2026-06-02 10:16:19</t>
  </si>
  <si>
    <t>27827076517</t>
  </si>
  <si>
    <t>14500786</t>
  </si>
  <si>
    <t>f0da14f9-6205-4929-9567-1c8d81bd0fb4</t>
  </si>
  <si>
    <t>SAM</t>
  </si>
  <si>
    <t>2026-06-02 10:16:17</t>
  </si>
  <si>
    <t>27609665172</t>
  </si>
  <si>
    <t>14500782</t>
  </si>
  <si>
    <t>5ff07bbf-d821-4340-87b8-bd41391f3492</t>
  </si>
  <si>
    <t>TEBOGO</t>
  </si>
  <si>
    <t>MATLAMELA</t>
  </si>
  <si>
    <t>2026-06-02 10:16:12</t>
  </si>
  <si>
    <t>27609723727</t>
  </si>
  <si>
    <t>14500783</t>
  </si>
  <si>
    <t>607a92f8-f0da-48c9-a614-daab0c1d8273</t>
  </si>
  <si>
    <t>27723614694</t>
  </si>
  <si>
    <t>14500784</t>
  </si>
  <si>
    <t>9dc8b714-c94c-47f0-b664-7a2a382eb6de</t>
  </si>
  <si>
    <t>TELISHIA</t>
  </si>
  <si>
    <t>27609940285</t>
  </si>
  <si>
    <t>14500781</t>
  </si>
  <si>
    <t>405a480d-340d-42e9-828e-98fb271969b9</t>
  </si>
  <si>
    <t>JACQUES</t>
  </si>
  <si>
    <t>HELBERG</t>
  </si>
  <si>
    <t>2026-06-02 10:16:11</t>
  </si>
  <si>
    <t>27761510944</t>
  </si>
  <si>
    <t>14500779</t>
  </si>
  <si>
    <t>5c46224e-18df-4205-af07-73fd50c5bf44</t>
  </si>
  <si>
    <t>CYRIL</t>
  </si>
  <si>
    <t>MAHLANGO</t>
  </si>
  <si>
    <t>2026-06-02 10:16:09</t>
  </si>
  <si>
    <t>27725242729</t>
  </si>
  <si>
    <t>14500780</t>
  </si>
  <si>
    <t>126c698c-fe9b-494a-be13-a88424cd05af</t>
  </si>
  <si>
    <t>THOKOZILE</t>
  </si>
  <si>
    <t>27722415782</t>
  </si>
  <si>
    <t>14500777</t>
  </si>
  <si>
    <t>67da9e33-627c-4fb7-85ff-0f950c032914</t>
  </si>
  <si>
    <t>IMRAAN</t>
  </si>
  <si>
    <t>SCHOLTZ</t>
  </si>
  <si>
    <t>2026-06-02 10:15:47</t>
  </si>
  <si>
    <t>27820648802</t>
  </si>
  <si>
    <t>14500778</t>
  </si>
  <si>
    <t>6fd22317-db32-4550-a8b7-6b903f2bc401</t>
  </si>
  <si>
    <t>SIVUYILE</t>
  </si>
  <si>
    <t>SIWA</t>
  </si>
  <si>
    <t>27712996464</t>
  </si>
  <si>
    <t>14500775</t>
  </si>
  <si>
    <t>89bb74d1-df08-4037-a6ea-5c781ce22a59</t>
  </si>
  <si>
    <t>KESOLOFETSE</t>
  </si>
  <si>
    <t>MATHIBE</t>
  </si>
  <si>
    <t>2026-06-02 10:15:46</t>
  </si>
  <si>
    <t>27826198151</t>
  </si>
  <si>
    <t>14500771</t>
  </si>
  <si>
    <t>8a5ea74e-7c47-406a-9ddd-3a84653b968d</t>
  </si>
  <si>
    <t>ANTHONIA</t>
  </si>
  <si>
    <t>IZEGBU</t>
  </si>
  <si>
    <t>2026-06-02 10:15:45</t>
  </si>
  <si>
    <t>27722551997</t>
  </si>
  <si>
    <t>14500773</t>
  </si>
  <si>
    <t>aeaa74c9-a7e0-4941-b25b-b831c20b9e0a</t>
  </si>
  <si>
    <t>NKOSINATHI</t>
  </si>
  <si>
    <t>MTHEMBU</t>
  </si>
  <si>
    <t>27829218249</t>
  </si>
  <si>
    <t>14500774</t>
  </si>
  <si>
    <t>c0c20ce4-520e-4989-a606-a371fef0e30c</t>
  </si>
  <si>
    <t>CINDY</t>
  </si>
  <si>
    <t>MHLONGO</t>
  </si>
  <si>
    <t>27662557271</t>
  </si>
  <si>
    <t>14500770</t>
  </si>
  <si>
    <t>0d005409-c000-4479-b5ba-9a73fe544e5e</t>
  </si>
  <si>
    <t>BURGER</t>
  </si>
  <si>
    <t>2026-06-02 10:15:38</t>
  </si>
  <si>
    <t>27823801196</t>
  </si>
  <si>
    <t>14500769</t>
  </si>
  <si>
    <t>171c1917-c075-4dd0-90d7-3bf2f426b0f9</t>
  </si>
  <si>
    <t>MONYANE</t>
  </si>
  <si>
    <t>LERUTLA</t>
  </si>
  <si>
    <t>2026-06-02 10:15:33</t>
  </si>
  <si>
    <t>27673550109</t>
  </si>
  <si>
    <t>14500768</t>
  </si>
  <si>
    <t>4c84ab02-67d3-4ffa-80cb-23bb5842ed74</t>
  </si>
  <si>
    <t>MICHELE</t>
  </si>
  <si>
    <t>ROUT</t>
  </si>
  <si>
    <t>2026-06-02 10:15:31</t>
  </si>
  <si>
    <t>27716115294</t>
  </si>
  <si>
    <t>14501828</t>
  </si>
  <si>
    <t>32c992dc-bb1e-404c-a920-931483d72c93</t>
  </si>
  <si>
    <t>LEIGH-ANNE</t>
  </si>
  <si>
    <t>ADAMS</t>
  </si>
  <si>
    <t>27662250735</t>
  </si>
  <si>
    <t>14501547</t>
  </si>
  <si>
    <t>860c86e7-5b00-48ca-a163-75c228545762</t>
  </si>
  <si>
    <t>MARCEL</t>
  </si>
  <si>
    <t>BERGH</t>
  </si>
  <si>
    <t>2026-06-02 10:15:21</t>
  </si>
  <si>
    <t>27717973216</t>
  </si>
  <si>
    <t>14501546</t>
  </si>
  <si>
    <t>dd1233b3-cc9e-48e5-909a-7217402ef316</t>
  </si>
  <si>
    <t>GROBLER</t>
  </si>
  <si>
    <t>2026-06-02 10:15:19</t>
  </si>
  <si>
    <t>27823383062</t>
  </si>
  <si>
    <t>14501544</t>
  </si>
  <si>
    <t>af068c44-cf65-4974-8f7e-2d08f62761d3</t>
  </si>
  <si>
    <t>FRANSCOIS</t>
  </si>
  <si>
    <t>CROTS</t>
  </si>
  <si>
    <t>2026-06-02 10:15:14</t>
  </si>
  <si>
    <t>27823822718</t>
  </si>
  <si>
    <t>14501543</t>
  </si>
  <si>
    <t>be7fc852-48be-4227-b52c-f8bc65ba2cc2</t>
  </si>
  <si>
    <t>MARUBINI</t>
  </si>
  <si>
    <t>KHUSWANI</t>
  </si>
  <si>
    <t>2026-06-02 10:15:10</t>
  </si>
  <si>
    <t>27822140344</t>
  </si>
  <si>
    <t>14501541</t>
  </si>
  <si>
    <t>ec49a88b-1b6f-4636-a547-8c7c05d08941</t>
  </si>
  <si>
    <t>CRIZELLE</t>
  </si>
  <si>
    <t>VAN DER SPUY</t>
  </si>
  <si>
    <t>2026-06-02 10:15:05</t>
  </si>
  <si>
    <t>27647651555</t>
  </si>
  <si>
    <t>14500599</t>
  </si>
  <si>
    <t>da967d52-4f80-4c41-9a27-040c2b68c094</t>
  </si>
  <si>
    <t>CONSTANT</t>
  </si>
  <si>
    <t>VILJOEN</t>
  </si>
  <si>
    <t>2026-06-02 10:15:04</t>
  </si>
  <si>
    <t>27793992864</t>
  </si>
  <si>
    <t>14501537</t>
  </si>
  <si>
    <t>151fdf8d-7849-4fa5-84cf-6e0bf3d914ae</t>
  </si>
  <si>
    <t>MUHLURI</t>
  </si>
  <si>
    <t>RENGANE</t>
  </si>
  <si>
    <t>2026-06-02 10:15:02</t>
  </si>
  <si>
    <t>27828296778</t>
  </si>
  <si>
    <t>14501535</t>
  </si>
  <si>
    <t>a7984c08-7036-4752-b17a-ee02d05187a9</t>
  </si>
  <si>
    <t>MARNA</t>
  </si>
  <si>
    <t>MEINTJES</t>
  </si>
  <si>
    <t>2026-06-02 10:14:42</t>
  </si>
  <si>
    <t>27724769607</t>
  </si>
  <si>
    <t>14501534</t>
  </si>
  <si>
    <t>226db009-923b-453c-b85b-9ff932e33055</t>
  </si>
  <si>
    <t>NKOSINGIPHILE</t>
  </si>
  <si>
    <t>MPONTSHANE</t>
  </si>
  <si>
    <t>2026-06-02 10:14:37</t>
  </si>
  <si>
    <t>27646531312</t>
  </si>
  <si>
    <t>14501567</t>
  </si>
  <si>
    <t>a112b5b1-97e6-4577-ab17-63b6944de78e</t>
  </si>
  <si>
    <t>MADELAINE</t>
  </si>
  <si>
    <t>BLIGNAUT</t>
  </si>
  <si>
    <t>27727247869</t>
  </si>
  <si>
    <t>14500798</t>
  </si>
  <si>
    <t>053e6479-d88b-40a9-98ee-dea128976cab</t>
  </si>
  <si>
    <t>ARNO</t>
  </si>
  <si>
    <t>MARAIS</t>
  </si>
  <si>
    <t>2026-06-02 10:13:57</t>
  </si>
  <si>
    <t>27662540004</t>
  </si>
  <si>
    <t>14500797</t>
  </si>
  <si>
    <t>98f1582d-2c54-47d5-833d-97401305489d</t>
  </si>
  <si>
    <t>BELLINDA</t>
  </si>
  <si>
    <t>SETSHOGELO</t>
  </si>
  <si>
    <t>2026-06-02 10:13:53</t>
  </si>
  <si>
    <t>27826224481</t>
  </si>
  <si>
    <t>14500796</t>
  </si>
  <si>
    <t>7e85011f-ba61-4a83-9194-602fcd45e589</t>
  </si>
  <si>
    <t>HELGA</t>
  </si>
  <si>
    <t>2026-06-02 10:13:43</t>
  </si>
  <si>
    <t>27763841773</t>
  </si>
  <si>
    <t>14500795</t>
  </si>
  <si>
    <t>5ec7c8e3-68ae-4928-b643-112a69df30e6</t>
  </si>
  <si>
    <t>MOTHEMANE</t>
  </si>
  <si>
    <t>2026-06-02 10:13:39</t>
  </si>
  <si>
    <t>27762698233</t>
  </si>
  <si>
    <t>14500791</t>
  </si>
  <si>
    <t>4b4b2696-34e5-49a0-84e8-389328358c09</t>
  </si>
  <si>
    <t>BATCHELOR</t>
  </si>
  <si>
    <t>2026-06-02 10:13:36</t>
  </si>
  <si>
    <t>27724624584</t>
  </si>
  <si>
    <t>14500792</t>
  </si>
  <si>
    <t>31058c0d-a328-4a9c-a97e-f67687ce8b34</t>
  </si>
  <si>
    <t>ARMAND</t>
  </si>
  <si>
    <t>VAN AS</t>
  </si>
  <si>
    <t>27674086276</t>
  </si>
  <si>
    <t>14500793</t>
  </si>
  <si>
    <t>a2c49eb2-cb73-4beb-b814-d0262f20c3dc</t>
  </si>
  <si>
    <t>PAKATI</t>
  </si>
  <si>
    <t>27609919390</t>
  </si>
  <si>
    <t>14500794</t>
  </si>
  <si>
    <t>ffc58b48-007c-4345-9489-681a622eaab6</t>
  </si>
  <si>
    <t>VERONIQUE</t>
  </si>
  <si>
    <t>BAILIE</t>
  </si>
  <si>
    <t>27662336271</t>
  </si>
  <si>
    <t>14500789</t>
  </si>
  <si>
    <t>956cb2d9-8bf9-4bc4-8a92-9eb77a69a4ff</t>
  </si>
  <si>
    <t>ADRIAAN</t>
  </si>
  <si>
    <t>MIETAS</t>
  </si>
  <si>
    <t>2026-06-02 10:13:32</t>
  </si>
  <si>
    <t>27714100120</t>
  </si>
  <si>
    <t>14501659</t>
  </si>
  <si>
    <t>40e126c9-9fdd-423d-81f4-497a6f3ede90</t>
  </si>
  <si>
    <t>NOMATAMSANQA</t>
  </si>
  <si>
    <t>SCHEEPERS</t>
  </si>
  <si>
    <t>27769646706</t>
  </si>
  <si>
    <t>14500752</t>
  </si>
  <si>
    <t>ecd007b6-20fc-451d-9899-5c771d39dc34</t>
  </si>
  <si>
    <t>MOGOKOKO</t>
  </si>
  <si>
    <t>TJEBANE</t>
  </si>
  <si>
    <t>WN</t>
  </si>
  <si>
    <t>Wrong Number</t>
  </si>
  <si>
    <t>2026-06-02 10:13:07</t>
  </si>
  <si>
    <t>27721384759</t>
  </si>
  <si>
    <t>14500761</t>
  </si>
  <si>
    <t>6a474b38-fc60-480f-bcb9-24564433b4ea</t>
  </si>
  <si>
    <t>SOLLY</t>
  </si>
  <si>
    <t>MANDONSELA</t>
  </si>
  <si>
    <t>2026-06-02 10:13:04</t>
  </si>
  <si>
    <t>27662654082</t>
  </si>
  <si>
    <t>14500760</t>
  </si>
  <si>
    <t>f57d2cc5-e27e-4930-9aa1-e94f88e66050</t>
  </si>
  <si>
    <t>JABULILE</t>
  </si>
  <si>
    <t>NHLEKO</t>
  </si>
  <si>
    <t>2026-06-02 10:12:59</t>
  </si>
  <si>
    <t>27763367548</t>
  </si>
  <si>
    <t>14500758</t>
  </si>
  <si>
    <t>435eac37-7330-4050-8959-f898297d72a8</t>
  </si>
  <si>
    <t>STEPHEN</t>
  </si>
  <si>
    <t>2026-06-02 10:12:57</t>
  </si>
  <si>
    <t>27714681204</t>
  </si>
  <si>
    <t>14500759</t>
  </si>
  <si>
    <t>eb3b18ed-ed5f-4958-88d6-40d5d7b4b669</t>
  </si>
  <si>
    <t>AMIRO</t>
  </si>
  <si>
    <t>VALIGY</t>
  </si>
  <si>
    <t>27763006003</t>
  </si>
  <si>
    <t>14500753</t>
  </si>
  <si>
    <t>18771c01-d543-46a0-b9d9-f5a675a5cff1</t>
  </si>
  <si>
    <t>27607028598</t>
  </si>
  <si>
    <t>2026-06-02 10:12:54</t>
  </si>
  <si>
    <t>14500755</t>
  </si>
  <si>
    <t>4775b22f-5ab2-49ad-85af-bc730382cb9c</t>
  </si>
  <si>
    <t>DUANE</t>
  </si>
  <si>
    <t>RAHDALL</t>
  </si>
  <si>
    <t>27760705808</t>
  </si>
  <si>
    <t>14500756</t>
  </si>
  <si>
    <t>166a5a96-4356-4b3d-839b-40f357493888</t>
  </si>
  <si>
    <t>IZAK</t>
  </si>
  <si>
    <t>27760529039</t>
  </si>
  <si>
    <t>14500751</t>
  </si>
  <si>
    <t>0f3ed244-d8aa-4c54-a94d-3e71ed89e4a1</t>
  </si>
  <si>
    <t>VUSIMUZI</t>
  </si>
  <si>
    <t>2026-06-02 10:12:38</t>
  </si>
  <si>
    <t>27827361323</t>
  </si>
  <si>
    <t>14500750</t>
  </si>
  <si>
    <t>fc8928f4-4486-4f17-9c47-ced7a4ffb5a3</t>
  </si>
  <si>
    <t>ALETTA</t>
  </si>
  <si>
    <t>2026-06-02 10:12:29</t>
  </si>
  <si>
    <t>27609931820</t>
  </si>
  <si>
    <t>14501607</t>
  </si>
  <si>
    <t>34d7ddf3-7126-46d5-9b4a-7b28ff8b16a4</t>
  </si>
  <si>
    <t>DIRK</t>
  </si>
  <si>
    <t>2026-06-02 10:12:25</t>
  </si>
  <si>
    <t>27765199039</t>
  </si>
  <si>
    <t>14500849</t>
  </si>
  <si>
    <t>2af2c446-7e1b-4399-b541-990e3cb2bab0</t>
  </si>
  <si>
    <t>BRENT</t>
  </si>
  <si>
    <t>WEBBER</t>
  </si>
  <si>
    <t>2026-06-02 10:12:18</t>
  </si>
  <si>
    <t>27828670500</t>
  </si>
  <si>
    <t>14500810</t>
  </si>
  <si>
    <t>4835fa35-f313-433e-a8e2-c0851305fd7d</t>
  </si>
  <si>
    <t>NOMVELO</t>
  </si>
  <si>
    <t>2026-06-02 10:12:15</t>
  </si>
  <si>
    <t>27725322972</t>
  </si>
  <si>
    <t>14500846</t>
  </si>
  <si>
    <t>991ae985-d7d3-4bb9-8c42-2d8b16cb405d</t>
  </si>
  <si>
    <t>VISAGIE</t>
  </si>
  <si>
    <t>27716027185</t>
  </si>
  <si>
    <t>14500848</t>
  </si>
  <si>
    <t>67f6d52b-8953-4e77-bde9-75d232f08f23</t>
  </si>
  <si>
    <t>KEVIN</t>
  </si>
  <si>
    <t>WYNNE</t>
  </si>
  <si>
    <t>27728791249</t>
  </si>
  <si>
    <t>14500809</t>
  </si>
  <si>
    <t>9e3c9d4b-98c2-4a3c-93c9-1dcc163a018f</t>
  </si>
  <si>
    <t>MARTIN</t>
  </si>
  <si>
    <t>MISSELHORN</t>
  </si>
  <si>
    <t>2026-06-02 10:11:30</t>
  </si>
  <si>
    <t>27674095556</t>
  </si>
  <si>
    <t>14500801</t>
  </si>
  <si>
    <t>cf7587c4-c726-4911-8877-973d698e08ca</t>
  </si>
  <si>
    <t>GIFT</t>
  </si>
  <si>
    <t>SATEKGE</t>
  </si>
  <si>
    <t>2026-06-02 10:11:22</t>
  </si>
  <si>
    <t>27796548196</t>
  </si>
  <si>
    <t>14500802</t>
  </si>
  <si>
    <t>6e6dc769-2416-45fb-a8f0-d01a885a9a87</t>
  </si>
  <si>
    <t>MSIZENI</t>
  </si>
  <si>
    <t>NGUBANE</t>
  </si>
  <si>
    <t>27795132233</t>
  </si>
  <si>
    <t>14500808</t>
  </si>
  <si>
    <t>41113f0a-8f28-4ef5-831b-5b8d4a6d3175</t>
  </si>
  <si>
    <t>KAKA</t>
  </si>
  <si>
    <t>27710228288</t>
  </si>
  <si>
    <t>14500799</t>
  </si>
  <si>
    <t>fee3388c-6772-44db-8db5-2ad70d86ce24</t>
  </si>
  <si>
    <t>PHALATSE</t>
  </si>
  <si>
    <t>2026-06-02 10:10:34</t>
  </si>
  <si>
    <t>27725779066</t>
  </si>
  <si>
    <t>14501832</t>
  </si>
  <si>
    <t>8f656d31-2dd6-451f-879c-306f2f7a43a3</t>
  </si>
  <si>
    <t>27723499486</t>
  </si>
  <si>
    <t>2026-06-02 10:10:30</t>
  </si>
  <si>
    <t>14500844</t>
  </si>
  <si>
    <t>e25eeff7-5782-419a-a43d-81185fe0ffc3</t>
  </si>
  <si>
    <t>KEALEBOGA</t>
  </si>
  <si>
    <t>SEGA</t>
  </si>
  <si>
    <t>2026-06-02 10:10:21</t>
  </si>
  <si>
    <t>27724268584</t>
  </si>
  <si>
    <t>14500843</t>
  </si>
  <si>
    <t>b1696420-627b-46da-80da-93ea8b2d200a</t>
  </si>
  <si>
    <t>MARISKA</t>
  </si>
  <si>
    <t>NEETHLING</t>
  </si>
  <si>
    <t>2026-06-02 10:10:17</t>
  </si>
  <si>
    <t>27846811654</t>
  </si>
  <si>
    <t>14501977</t>
  </si>
  <si>
    <t>ac0b1cce-ee12-49d5-845f-082fc83851a7</t>
  </si>
  <si>
    <t>2026-06-02 10:10:14</t>
  </si>
  <si>
    <t>27826007644</t>
  </si>
  <si>
    <t>14500842</t>
  </si>
  <si>
    <t>270c29bb-5f12-4224-8b8b-d8ed8319b19d</t>
  </si>
  <si>
    <t>MICHEL</t>
  </si>
  <si>
    <t>BANDA</t>
  </si>
  <si>
    <t>2026-06-02 10:10:01</t>
  </si>
  <si>
    <t>27714822752</t>
  </si>
  <si>
    <t>14500816</t>
  </si>
  <si>
    <t>91bfb052-e871-4979-8c2f-ca2a6847292b</t>
  </si>
  <si>
    <t>SIHLE</t>
  </si>
  <si>
    <t>DUBAZANE</t>
  </si>
  <si>
    <t>2026-06-02 10:09:58</t>
  </si>
  <si>
    <t>27796531237</t>
  </si>
  <si>
    <t>14500817</t>
  </si>
  <si>
    <t>167514aa-fdd3-4737-a639-77341db047d1</t>
  </si>
  <si>
    <t>HAMFREY</t>
  </si>
  <si>
    <t>SEKGALA</t>
  </si>
  <si>
    <t>27674060004</t>
  </si>
  <si>
    <t>14500834</t>
  </si>
  <si>
    <t>7ee8658f-a89b-4718-a3db-dd466dbea60b</t>
  </si>
  <si>
    <t>HLAMEDI</t>
  </si>
  <si>
    <t>MDLALOSE</t>
  </si>
  <si>
    <t>27721259657</t>
  </si>
  <si>
    <t>14500836</t>
  </si>
  <si>
    <t>8b5db4d0-7a6c-4da8-9b53-37641ba53a85</t>
  </si>
  <si>
    <t>BOITUMELO</t>
  </si>
  <si>
    <t>MASEMOLA</t>
  </si>
  <si>
    <t>27662412487</t>
  </si>
  <si>
    <t>14500814</t>
  </si>
  <si>
    <t>870bd2e5-a3c7-4d9a-a2b1-aba120bc409e</t>
  </si>
  <si>
    <t>IWANDILE</t>
  </si>
  <si>
    <t>NGCINGWANA</t>
  </si>
  <si>
    <t>2026-06-02 10:09:29</t>
  </si>
  <si>
    <t>27637184092</t>
  </si>
  <si>
    <t>14500813</t>
  </si>
  <si>
    <t>5ea9ad04-b446-40e1-8790-850f6aaf0c50</t>
  </si>
  <si>
    <t>NDUDUZO</t>
  </si>
  <si>
    <t>2026-06-02 10:08:38</t>
  </si>
  <si>
    <t>27724170743</t>
  </si>
  <si>
    <t>14500811</t>
  </si>
  <si>
    <t>273b9d2e-6f25-4ddd-a8f3-a7ff796ae446</t>
  </si>
  <si>
    <t>NCHAI</t>
  </si>
  <si>
    <t>2026-06-02 10:08:34</t>
  </si>
  <si>
    <t>27723084750</t>
  </si>
  <si>
    <t>14501829</t>
  </si>
  <si>
    <t>e9c0890c-a65d-4276-9935-fea3aa0cc7d7</t>
  </si>
  <si>
    <t>NOGE</t>
  </si>
  <si>
    <t>27820780657</t>
  </si>
  <si>
    <t>14500833</t>
  </si>
  <si>
    <t>0c125bb8-42ea-461d-b891-78734ac94593</t>
  </si>
  <si>
    <t>MATJAKA</t>
  </si>
  <si>
    <t>MAPHULA</t>
  </si>
  <si>
    <t>2026-06-02 10:08:18</t>
  </si>
  <si>
    <t>27764337854</t>
  </si>
  <si>
    <t>14500822</t>
  </si>
  <si>
    <t>4322bd11-a954-4c5b-8085-2426a250c889</t>
  </si>
  <si>
    <t>NADINE</t>
  </si>
  <si>
    <t>2026-06-02 10:08:16</t>
  </si>
  <si>
    <t>27797821169</t>
  </si>
  <si>
    <t>14500821</t>
  </si>
  <si>
    <t>d5b34bb4-2aed-4f27-826e-1e91c9313564</t>
  </si>
  <si>
    <t>MPOKE</t>
  </si>
  <si>
    <t>KGOTSOFALANG</t>
  </si>
  <si>
    <t>2026-06-02 10:08:09</t>
  </si>
  <si>
    <t>27726812681</t>
  </si>
  <si>
    <t>14500818</t>
  </si>
  <si>
    <t>bb45ec04-387d-490b-ac12-7f4373603d80</t>
  </si>
  <si>
    <t>BENEDICTUS</t>
  </si>
  <si>
    <t>MKHIZE</t>
  </si>
  <si>
    <t>2026-06-02 10:08:08</t>
  </si>
  <si>
    <t>27818357071</t>
  </si>
  <si>
    <t>14501689</t>
  </si>
  <si>
    <t>5586b733-7510-42de-87fd-9fe9071bb535</t>
  </si>
  <si>
    <t>RAMASELA</t>
  </si>
  <si>
    <t>SEANEGO</t>
  </si>
  <si>
    <t>27792944272</t>
  </si>
  <si>
    <t>14500823</t>
  </si>
  <si>
    <t>6b294a10-d7f7-44af-bb27-2712f31132d4</t>
  </si>
  <si>
    <t>POTGIETER</t>
  </si>
  <si>
    <t>2026-06-02 10:06:19</t>
  </si>
  <si>
    <t>27662121275</t>
  </si>
  <si>
    <t>14500825</t>
  </si>
  <si>
    <t>fd6c5346-e07f-408b-93e3-68a3b2307764</t>
  </si>
  <si>
    <t>CHARLEEN</t>
  </si>
  <si>
    <t>27747515892</t>
  </si>
  <si>
    <t>14500832</t>
  </si>
  <si>
    <t>c364beb9-21d6-4e5f-b0fa-5dbf18af35f9</t>
  </si>
  <si>
    <t>REGGIE</t>
  </si>
  <si>
    <t>MAPHUMULO</t>
  </si>
  <si>
    <t>27824523433</t>
  </si>
  <si>
    <t>14501691</t>
  </si>
  <si>
    <t>f7396436-3c47-4f8e-a37b-4118c139ffd2</t>
  </si>
  <si>
    <t>27829680643</t>
  </si>
  <si>
    <t>14500521</t>
  </si>
  <si>
    <t>a9044ffa-86bc-4231-95a6-8673229ddd68</t>
  </si>
  <si>
    <t>LONDA</t>
  </si>
  <si>
    <t>2026-06-02 10:05:01</t>
  </si>
  <si>
    <t>27674037247</t>
  </si>
  <si>
    <t>14500853</t>
  </si>
  <si>
    <t>1b2915eb-de2f-4573-b865-c5aaa7ffa846</t>
  </si>
  <si>
    <t>ASIPHE</t>
  </si>
  <si>
    <t>TEFEZAYO</t>
  </si>
  <si>
    <t>2026-06-02 10:04:31</t>
  </si>
  <si>
    <t>27820481906</t>
  </si>
  <si>
    <t>14500835</t>
  </si>
  <si>
    <t>f6785d7b-4747-4f3f-a859-f7524253b7d8</t>
  </si>
  <si>
    <t>JACOB</t>
  </si>
  <si>
    <t>MOGARI</t>
  </si>
  <si>
    <t>2026-06-02 10:04:29</t>
  </si>
  <si>
    <t>27766349365</t>
  </si>
  <si>
    <t>14501801</t>
  </si>
  <si>
    <t>1d87ab5a-73d0-43b0-ac44-bc7673825fc8</t>
  </si>
  <si>
    <t>WERNER</t>
  </si>
  <si>
    <t>BEZUIDENHOUT</t>
  </si>
  <si>
    <t>27729920003</t>
  </si>
  <si>
    <t>14500434</t>
  </si>
  <si>
    <t>d2285c4b-b3ff-477e-a720-17d4339b3f56</t>
  </si>
  <si>
    <t>MOLOKWANE</t>
  </si>
  <si>
    <t>2026-06-02 10:03:57</t>
  </si>
  <si>
    <t>27605063856</t>
  </si>
  <si>
    <t>14500855</t>
  </si>
  <si>
    <t>572a4626-98bb-4d7e-a8e7-4cb9ec074561</t>
  </si>
  <si>
    <t>MATHIBA</t>
  </si>
  <si>
    <t>SENWEDI</t>
  </si>
  <si>
    <t>2026-06-02 10:03:38</t>
  </si>
  <si>
    <t>27721771539</t>
  </si>
  <si>
    <t>14500856</t>
  </si>
  <si>
    <t>6a2d4456-63b5-4a20-80e8-d686f29c8162</t>
  </si>
  <si>
    <t>JANSEN VAN RENSBURG</t>
  </si>
  <si>
    <t>27828547448</t>
  </si>
  <si>
    <t>14500858</t>
  </si>
  <si>
    <t>2231ca5a-baa0-4ce3-bad6-d54d0f5bb4be</t>
  </si>
  <si>
    <t>RICHARD</t>
  </si>
  <si>
    <t>SHEPHEARD</t>
  </si>
  <si>
    <t>27829793205</t>
  </si>
  <si>
    <t>14501790</t>
  </si>
  <si>
    <t>8f61d54a-cb24-4c3f-a2ca-a7345d35beca</t>
  </si>
  <si>
    <t>AVELA</t>
  </si>
  <si>
    <t>MDINGI</t>
  </si>
  <si>
    <t>2026-06-02 10:03:18</t>
  </si>
  <si>
    <t>27729150908</t>
  </si>
  <si>
    <t>14500852</t>
  </si>
  <si>
    <t>96494144-05f7-464a-a9c8-b9af561a7a82</t>
  </si>
  <si>
    <t>2026-06-02 10:03:08</t>
  </si>
  <si>
    <t>27826867833</t>
  </si>
  <si>
    <t>14500851</t>
  </si>
  <si>
    <t>0ff1a21f-97b9-4eec-829b-c2d414dec81c</t>
  </si>
  <si>
    <t>FLORENCE</t>
  </si>
  <si>
    <t>HEUGH</t>
  </si>
  <si>
    <t>2026-06-02 10:02:58</t>
  </si>
  <si>
    <t>27720420328</t>
  </si>
  <si>
    <t>14500803</t>
  </si>
  <si>
    <t>600a9284-03cf-47be-831a-a12910c625c3</t>
  </si>
  <si>
    <t>MANQOBA</t>
  </si>
  <si>
    <t>NKABINDE</t>
  </si>
  <si>
    <t>2026-06-02 10:02:03</t>
  </si>
  <si>
    <t>27737852963</t>
  </si>
  <si>
    <t>14500804</t>
  </si>
  <si>
    <t>e1bb6cf1-5fa2-424c-8aa5-7ef11bddbe23</t>
  </si>
  <si>
    <t>FAHIEMA</t>
  </si>
  <si>
    <t>KAFFOOR</t>
  </si>
  <si>
    <t>27824669245</t>
  </si>
  <si>
    <t>14500806</t>
  </si>
  <si>
    <t>05f1a97c-df14-4971-b4ea-81dac8947078</t>
  </si>
  <si>
    <t>MXOLISI</t>
  </si>
  <si>
    <t>ZONDO</t>
  </si>
  <si>
    <t>27769592338</t>
  </si>
  <si>
    <t>14501648</t>
  </si>
  <si>
    <t>db53093a-558f-4473-af55-171266a900ee</t>
  </si>
  <si>
    <t>27727761825</t>
  </si>
  <si>
    <t>14500700</t>
  </si>
  <si>
    <t>26e82f4d-c5ab-461e-82ea-0b9bb103f0bd</t>
  </si>
  <si>
    <t>SIPHAMANDLA</t>
  </si>
  <si>
    <t>2026-06-02 10:01:47</t>
  </si>
  <si>
    <t>27828345511</t>
  </si>
  <si>
    <t>14500442</t>
  </si>
  <si>
    <t>5309e0a2-2ed2-4767-be14-a2d8e4318247</t>
  </si>
  <si>
    <t>MALEBATSE</t>
  </si>
  <si>
    <t>MPHELA</t>
  </si>
  <si>
    <t>2026-06-02 10:00:30</t>
  </si>
  <si>
    <t>27826003653</t>
  </si>
  <si>
    <t>14501725</t>
  </si>
  <si>
    <t>c33b56e3-4cc3-4de0-ae17-9a085a9c7a2c</t>
  </si>
  <si>
    <t>EYBERS</t>
  </si>
  <si>
    <t>27646560961</t>
  </si>
  <si>
    <t>14500440</t>
  </si>
  <si>
    <t>c61e318a-ced1-4bf3-b005-6965dbf1a5ab</t>
  </si>
  <si>
    <t>MANUEL</t>
  </si>
  <si>
    <t>DE SOUZA</t>
  </si>
  <si>
    <t>2026-06-02 10:00:26</t>
  </si>
  <si>
    <t>27662228913</t>
  </si>
  <si>
    <t>14501476</t>
  </si>
  <si>
    <t>e68fcd22-5dc0-4cb5-a687-81569b0f5b6d</t>
  </si>
  <si>
    <t>JETHROU</t>
  </si>
  <si>
    <t>VICKERS</t>
  </si>
  <si>
    <t>2026-06-02 10:00:10</t>
  </si>
  <si>
    <t>27795055584</t>
  </si>
  <si>
    <t>14500437</t>
  </si>
  <si>
    <t>b853e567-3d02-4c1a-b73d-9f8836744b1e</t>
  </si>
  <si>
    <t>T</t>
  </si>
  <si>
    <t>NTLOKO</t>
  </si>
  <si>
    <t>2026-06-02 10:00:09</t>
  </si>
  <si>
    <t>27764037807</t>
  </si>
  <si>
    <t>14500438</t>
  </si>
  <si>
    <t>a751a429-c7c1-4b72-bca4-f2d7463eeaa2</t>
  </si>
  <si>
    <t>LAUGHTON</t>
  </si>
  <si>
    <t>27769566365</t>
  </si>
  <si>
    <t>14501001</t>
  </si>
  <si>
    <t>86ebad85-8766-455e-8e1d-662671abade9</t>
  </si>
  <si>
    <t>TAPSON</t>
  </si>
  <si>
    <t>27794938631</t>
  </si>
  <si>
    <t>14500435</t>
  </si>
  <si>
    <t>9f8585eb-5f7f-4398-87dd-f0da7ee77c17</t>
  </si>
  <si>
    <t>CLEMENT</t>
  </si>
  <si>
    <t>DUBE</t>
  </si>
  <si>
    <t>2026-06-02 10:00:08</t>
  </si>
  <si>
    <t>27733485223</t>
  </si>
  <si>
    <t>14500436</t>
  </si>
  <si>
    <t>56dc0381-2ae4-438e-94b9-ba930a2043c3</t>
  </si>
  <si>
    <t>HENDRINA</t>
  </si>
  <si>
    <t>27828702159</t>
  </si>
  <si>
    <t>14501058</t>
  </si>
  <si>
    <t>46da104d-fd07-44b5-af0d-9f2db29e94d5</t>
  </si>
  <si>
    <t>ZONGEZILE</t>
  </si>
  <si>
    <t>AF</t>
  </si>
  <si>
    <t>Cannot Afford</t>
  </si>
  <si>
    <t>2026-06-02 09:59:57</t>
  </si>
  <si>
    <t>27662483646</t>
  </si>
  <si>
    <t>14500433</t>
  </si>
  <si>
    <t>e05cd04d-4d27-43d0-b414-2a2f8b8b9bc7</t>
  </si>
  <si>
    <t>CHARL</t>
  </si>
  <si>
    <t>SCHONKEN</t>
  </si>
  <si>
    <t>2026-06-02 09:59:53</t>
  </si>
  <si>
    <t>27658820321</t>
  </si>
  <si>
    <t>14501696</t>
  </si>
  <si>
    <t>0643be8a-3dce-470d-8d3e-a74d9b811512</t>
  </si>
  <si>
    <t>MANGALANI</t>
  </si>
  <si>
    <t>MASHABA</t>
  </si>
  <si>
    <t>2026-06-02 09:59:24</t>
  </si>
  <si>
    <t>27820678821</t>
  </si>
  <si>
    <t>14500432</t>
  </si>
  <si>
    <t>9b01e6d1-7939-43c7-a277-60353ae3aaa8</t>
  </si>
  <si>
    <t>GOMES</t>
  </si>
  <si>
    <t>2026-06-02 09:59:23</t>
  </si>
  <si>
    <t>27712008731</t>
  </si>
  <si>
    <t>14500879</t>
  </si>
  <si>
    <t>4110d1c3-60d1-4f73-b98b-1912da86e58c</t>
  </si>
  <si>
    <t>CHRISTINA</t>
  </si>
  <si>
    <t>JONKER</t>
  </si>
  <si>
    <t>2026-06-02 09:59:22</t>
  </si>
  <si>
    <t>27786369456</t>
  </si>
  <si>
    <t>14500865</t>
  </si>
  <si>
    <t>392ec591-7b38-4c45-8087-9c9554340a8f</t>
  </si>
  <si>
    <t>2026-06-02 09:58:57</t>
  </si>
  <si>
    <t>27721523783</t>
  </si>
  <si>
    <t>14500866</t>
  </si>
  <si>
    <t>9934505f-5d3c-412b-a02a-f8cdcd67762f</t>
  </si>
  <si>
    <t>KYLE</t>
  </si>
  <si>
    <t>THURGOOD</t>
  </si>
  <si>
    <t>27849138108</t>
  </si>
  <si>
    <t>14501622</t>
  </si>
  <si>
    <t>4923eee7-e66f-42b1-9bc1-d8dfa5fef1b2</t>
  </si>
  <si>
    <t>REZA</t>
  </si>
  <si>
    <t>KALAM</t>
  </si>
  <si>
    <t>27674056174</t>
  </si>
  <si>
    <t>14500864</t>
  </si>
  <si>
    <t>388e84b6-7487-4c0f-86ec-e3b7a41cb5d8</t>
  </si>
  <si>
    <t>GERT</t>
  </si>
  <si>
    <t>2026-06-02 09:58:56</t>
  </si>
  <si>
    <t>27818506501</t>
  </si>
  <si>
    <t>14500863</t>
  </si>
  <si>
    <t>eb1c5b38-fd98-44e3-9db3-eac2288c212f</t>
  </si>
  <si>
    <t>LERETSENE</t>
  </si>
  <si>
    <t>2026-06-02 09:58:47</t>
  </si>
  <si>
    <t>27714503086</t>
  </si>
  <si>
    <t>14500861</t>
  </si>
  <si>
    <t>59eb4fc3-3db1-4c17-945d-6a5bcb4f155e</t>
  </si>
  <si>
    <t>JULIA</t>
  </si>
  <si>
    <t>PHATSHOANE</t>
  </si>
  <si>
    <t>2026-06-02 09:58:40</t>
  </si>
  <si>
    <t>27674092349</t>
  </si>
  <si>
    <t>14500862</t>
  </si>
  <si>
    <t>e078f30b-da01-41c3-b975-6510ea81c5fc</t>
  </si>
  <si>
    <t>PHUMELELE</t>
  </si>
  <si>
    <t>MATHUNDA</t>
  </si>
  <si>
    <t>27818013977</t>
  </si>
  <si>
    <t>14500860</t>
  </si>
  <si>
    <t>624d5285-6767-4c06-9409-365532dd9712</t>
  </si>
  <si>
    <t>NHLANGANISO</t>
  </si>
  <si>
    <t>MADI</t>
  </si>
  <si>
    <t>2026-06-02 09:58:23</t>
  </si>
  <si>
    <t>27828984319</t>
  </si>
  <si>
    <t>14500498</t>
  </si>
  <si>
    <t>d88ed85a-8156-413c-b802-cf4d926d5a6d</t>
  </si>
  <si>
    <t>COULONVAL</t>
  </si>
  <si>
    <t>2026-06-02 09:57:54</t>
  </si>
  <si>
    <t>27662247917</t>
  </si>
  <si>
    <t>14500496</t>
  </si>
  <si>
    <t>8e8a8deb-fbd9-4f77-a8ec-ae3b0ef1af52</t>
  </si>
  <si>
    <t>AVINTHA</t>
  </si>
  <si>
    <t>NIHAL</t>
  </si>
  <si>
    <t>2026-06-02 09:57:53</t>
  </si>
  <si>
    <t>27646862155</t>
  </si>
  <si>
    <t>14500495</t>
  </si>
  <si>
    <t>16c2a2e0-c97f-45ad-b1a8-b07fc5a38e02</t>
  </si>
  <si>
    <t>PHINIAS</t>
  </si>
  <si>
    <t>MUNYENYI</t>
  </si>
  <si>
    <t>2026-06-02 09:57:51</t>
  </si>
  <si>
    <t>27609670349</t>
  </si>
  <si>
    <t>14500494</t>
  </si>
  <si>
    <t>c05085e3-72ac-49ea-89db-8d357908b331</t>
  </si>
  <si>
    <t>SIYASANGA</t>
  </si>
  <si>
    <t>ZINGANTO</t>
  </si>
  <si>
    <t>2026-06-02 09:57:50</t>
  </si>
  <si>
    <t>27662376823</t>
  </si>
  <si>
    <t>14500493</t>
  </si>
  <si>
    <t>09e5d273-ae55-493d-a3cd-a2c50e1acd63</t>
  </si>
  <si>
    <t>2026-06-02 09:57:49</t>
  </si>
  <si>
    <t>27662483142</t>
  </si>
  <si>
    <t>14500491</t>
  </si>
  <si>
    <t>e2b0505f-25d6-428a-94c8-b505e8a53515</t>
  </si>
  <si>
    <t>KOLA</t>
  </si>
  <si>
    <t>2026-06-02 09:57:47</t>
  </si>
  <si>
    <t>27716111640</t>
  </si>
  <si>
    <t>14500490</t>
  </si>
  <si>
    <t>fb2a642c-3f58-4e2b-b7eb-8289b23690f8</t>
  </si>
  <si>
    <t>KAMOGELO</t>
  </si>
  <si>
    <t>SHONGA</t>
  </si>
  <si>
    <t>2026-06-02 09:57:25</t>
  </si>
  <si>
    <t>27606656882</t>
  </si>
  <si>
    <t>14500488</t>
  </si>
  <si>
    <t>747c8b7e-7060-4a23-9a35-11dc1a584c83</t>
  </si>
  <si>
    <t>2026-06-02 09:57:22</t>
  </si>
  <si>
    <t>27662494643</t>
  </si>
  <si>
    <t>14500487</t>
  </si>
  <si>
    <t>27cb108f-ac6d-405b-95b5-d34a4d32d139</t>
  </si>
  <si>
    <t>NDILISA</t>
  </si>
  <si>
    <t>2026-06-02 09:56:50</t>
  </si>
  <si>
    <t>27662146088</t>
  </si>
  <si>
    <t>14500486</t>
  </si>
  <si>
    <t>eac40b98-13f1-4a05-8b32-b715fecffc3f</t>
  </si>
  <si>
    <t>JANSEN VAN RENSBUR</t>
  </si>
  <si>
    <t>2026-06-02 09:56:49</t>
  </si>
  <si>
    <t>27827369813</t>
  </si>
  <si>
    <t>14500485</t>
  </si>
  <si>
    <t>ee652175-c9b1-4886-81a3-64f0baeddc82</t>
  </si>
  <si>
    <t>BRENDEN</t>
  </si>
  <si>
    <t>DUBA</t>
  </si>
  <si>
    <t>2026-06-02 09:56:41</t>
  </si>
  <si>
    <t>27662692563</t>
  </si>
  <si>
    <t>14500483</t>
  </si>
  <si>
    <t>7cf90da3-0817-40c3-9c32-401ea7f48356</t>
  </si>
  <si>
    <t>ALLANORE</t>
  </si>
  <si>
    <t>CHAMPION</t>
  </si>
  <si>
    <t>2026-06-02 09:56:25</t>
  </si>
  <si>
    <t>27766318401</t>
  </si>
  <si>
    <t>14501810</t>
  </si>
  <si>
    <t>244e29a0-5616-4f53-b2a4-acae57a2eec9</t>
  </si>
  <si>
    <t>KWAZI</t>
  </si>
  <si>
    <t>2026-06-02 09:56:24</t>
  </si>
  <si>
    <t>27760177768</t>
  </si>
  <si>
    <t>14500505</t>
  </si>
  <si>
    <t>1d35d733-1103-4ae9-a688-678b322c4aa5</t>
  </si>
  <si>
    <t>BUQWANA</t>
  </si>
  <si>
    <t>2026-06-02 09:56:21</t>
  </si>
  <si>
    <t>27722836949</t>
  </si>
  <si>
    <t>14500506</t>
  </si>
  <si>
    <t>d9f90d81-af59-486a-a16e-285fa8e44d65</t>
  </si>
  <si>
    <t>27729660708</t>
  </si>
  <si>
    <t>14500508</t>
  </si>
  <si>
    <t>e7b4cd63-9358-47ce-aac4-cfcd5e66b91e</t>
  </si>
  <si>
    <t>JOSEPH</t>
  </si>
  <si>
    <t>27662160909</t>
  </si>
  <si>
    <t>14500509</t>
  </si>
  <si>
    <t>64b49bcf-0ce4-4a88-9889-27408fcbd357</t>
  </si>
  <si>
    <t>CELESTE</t>
  </si>
  <si>
    <t>MALAN</t>
  </si>
  <si>
    <t>27795241070</t>
  </si>
  <si>
    <t>14500643</t>
  </si>
  <si>
    <t>b5d5f8af-4733-44ff-9a30-39c2834b9a43</t>
  </si>
  <si>
    <t>MAKUWA</t>
  </si>
  <si>
    <t>2026-06-02 09:55:36</t>
  </si>
  <si>
    <t>27726006461</t>
  </si>
  <si>
    <t>14500504</t>
  </si>
  <si>
    <t>554f1c65-838f-4531-9567-d1148816ecf5</t>
  </si>
  <si>
    <t>HANEKOM</t>
  </si>
  <si>
    <t>2026-06-02 09:54:51</t>
  </si>
  <si>
    <t>27836101569</t>
  </si>
  <si>
    <t>14500503</t>
  </si>
  <si>
    <t>6857896c-937f-4139-8011-7058fdfd6a40</t>
  </si>
  <si>
    <t>NKOE</t>
  </si>
  <si>
    <t>2026-06-02 09:54:50</t>
  </si>
  <si>
    <t>27722897531</t>
  </si>
  <si>
    <t>14500500</t>
  </si>
  <si>
    <t>043d2021-9efe-45f2-8f59-6d83506c3137</t>
  </si>
  <si>
    <t>2026-06-02 09:54:44</t>
  </si>
  <si>
    <t>27637614962</t>
  </si>
  <si>
    <t>14500501</t>
  </si>
  <si>
    <t>2a398e2a-b380-447b-a246-b9e3577ac848</t>
  </si>
  <si>
    <t>NNANA</t>
  </si>
  <si>
    <t>KUNGWANE</t>
  </si>
  <si>
    <t>27824948358</t>
  </si>
  <si>
    <t>14500502</t>
  </si>
  <si>
    <t>69ff7b71-bb85-485c-84cd-bf6f40d54bb9</t>
  </si>
  <si>
    <t>PONI</t>
  </si>
  <si>
    <t>27725528181</t>
  </si>
  <si>
    <t>14501699</t>
  </si>
  <si>
    <t>4003a0b5-46f9-4271-a53b-501ce4f6c884</t>
  </si>
  <si>
    <t>ROSE</t>
  </si>
  <si>
    <t>MAHLOMOTJA</t>
  </si>
  <si>
    <t>27767761796</t>
  </si>
  <si>
    <t>14501422</t>
  </si>
  <si>
    <t>adfb7021-02c7-4541-8e28-e6d4c5fc1d40</t>
  </si>
  <si>
    <t>JAKOB</t>
  </si>
  <si>
    <t>ODENDAL</t>
  </si>
  <si>
    <t>2026-06-02 09:53:48</t>
  </si>
  <si>
    <t>27724309802</t>
  </si>
  <si>
    <t>14501482</t>
  </si>
  <si>
    <t>2c64c2fe-194b-4a01-b8cd-dc7d9a529ad7</t>
  </si>
  <si>
    <t>OUMA</t>
  </si>
  <si>
    <t>SITOE</t>
  </si>
  <si>
    <t>2026-06-02 09:53:47</t>
  </si>
  <si>
    <t>27827268329</t>
  </si>
  <si>
    <t>14501481</t>
  </si>
  <si>
    <t>d541e1a0-0009-4d56-ae5b-cdf2aa48cdb4</t>
  </si>
  <si>
    <t>SBONGILE</t>
  </si>
  <si>
    <t>2026-06-02 09:53:41</t>
  </si>
  <si>
    <t>27823987456</t>
  </si>
  <si>
    <t>14501479</t>
  </si>
  <si>
    <t>0fbae3ed-100f-48c4-bc1a-e8389f3577e8</t>
  </si>
  <si>
    <t>WILLEMSE</t>
  </si>
  <si>
    <t>2026-06-02 09:53:38</t>
  </si>
  <si>
    <t>27796427594</t>
  </si>
  <si>
    <t>14501480</t>
  </si>
  <si>
    <t>888e96e8-9d5d-452a-af7b-8e32e5f44579</t>
  </si>
  <si>
    <t>MPHO</t>
  </si>
  <si>
    <t>MORIFI</t>
  </si>
  <si>
    <t>27646520298</t>
  </si>
  <si>
    <t>14501478</t>
  </si>
  <si>
    <t>24c36c8a-0a61-4188-95b8-e5b858470b8f</t>
  </si>
  <si>
    <t>LUYANDA</t>
  </si>
  <si>
    <t>SIBALI</t>
  </si>
  <si>
    <t>2026-06-02 09:53:20</t>
  </si>
  <si>
    <t>27662222404</t>
  </si>
  <si>
    <t>14501477</t>
  </si>
  <si>
    <t>b34a5c4a-5d04-48bd-9136-ae24292ed3cd</t>
  </si>
  <si>
    <t>2026-06-02 09:53:15</t>
  </si>
  <si>
    <t>27768591497</t>
  </si>
  <si>
    <t>14501446</t>
  </si>
  <si>
    <t>9acedbc4-b291-40dc-bb18-a65848d6b9d4</t>
  </si>
  <si>
    <t>27793059852</t>
  </si>
  <si>
    <t>2026-06-02 09:52:51</t>
  </si>
  <si>
    <t>14501299</t>
  </si>
  <si>
    <t>74ee7ab5-893d-44ae-980f-68adad2d254d</t>
  </si>
  <si>
    <t>BABALWA</t>
  </si>
  <si>
    <t>NGXOWA</t>
  </si>
  <si>
    <t>2026-06-02 09:52:42</t>
  </si>
  <si>
    <t>27824210139</t>
  </si>
  <si>
    <t>14501698</t>
  </si>
  <si>
    <t>8210a775-c3dc-4bb0-bf3f-55c7b4547208</t>
  </si>
  <si>
    <t>STRYDOM</t>
  </si>
  <si>
    <t>2026-06-02 09:52:41</t>
  </si>
  <si>
    <t>27824128015</t>
  </si>
  <si>
    <t>14501475</t>
  </si>
  <si>
    <t>f8a8f758-9040-44cf-a0ee-05ceda386b23</t>
  </si>
  <si>
    <t>MONGEZI</t>
  </si>
  <si>
    <t>BHEMBE</t>
  </si>
  <si>
    <t>2026-06-02 09:52:12</t>
  </si>
  <si>
    <t>27724742083</t>
  </si>
  <si>
    <t>14501473</t>
  </si>
  <si>
    <t>c7a11ebc-8241-4473-92c9-12196fdce282</t>
  </si>
  <si>
    <t>PHILLIPS</t>
  </si>
  <si>
    <t>2026-06-02 09:52:11</t>
  </si>
  <si>
    <t>27828023850</t>
  </si>
  <si>
    <t>14501474</t>
  </si>
  <si>
    <t>c213004e-5e82-4969-8fe8-58143a1f9990</t>
  </si>
  <si>
    <t>THOBANE</t>
  </si>
  <si>
    <t>SEHLABELA</t>
  </si>
  <si>
    <t>27792317704</t>
  </si>
  <si>
    <t>14501470</t>
  </si>
  <si>
    <t>eb6b8553-db5a-4f75-8969-2541b06a9083</t>
  </si>
  <si>
    <t>RAMPA</t>
  </si>
  <si>
    <t>2026-06-02 09:51:57</t>
  </si>
  <si>
    <t>27829045537</t>
  </si>
  <si>
    <t>14501471</t>
  </si>
  <si>
    <t>39aa8f85-057f-4d3f-b975-cf7fa4d01c2b</t>
  </si>
  <si>
    <t>BONGEKILE</t>
  </si>
  <si>
    <t>NDLUMBINI</t>
  </si>
  <si>
    <t>27833964581</t>
  </si>
  <si>
    <t>14501472</t>
  </si>
  <si>
    <t>52242e75-7fa9-4cff-aa10-d8e1064f0cfa</t>
  </si>
  <si>
    <t>CHRISTOFER</t>
  </si>
  <si>
    <t>VAN ROOYEN</t>
  </si>
  <si>
    <t>27662358477</t>
  </si>
  <si>
    <t>14501469</t>
  </si>
  <si>
    <t>e48f94cf-87b7-4a13-a068-eccc08c39efe</t>
  </si>
  <si>
    <t>MALGAS</t>
  </si>
  <si>
    <t>2026-06-02 09:51:00</t>
  </si>
  <si>
    <t>27714736240</t>
  </si>
  <si>
    <t>14501468</t>
  </si>
  <si>
    <t>e2145d37-9058-49b0-8bc4-109b9a9a81fe</t>
  </si>
  <si>
    <t>TASHREEQ</t>
  </si>
  <si>
    <t>DAMON</t>
  </si>
  <si>
    <t>2026-06-02 09:50:58</t>
  </si>
  <si>
    <t>27715255235</t>
  </si>
  <si>
    <t>14501467</t>
  </si>
  <si>
    <t>5b814577-753f-4888-83c5-aa739f6ca6ac</t>
  </si>
  <si>
    <t>MATTHEWS</t>
  </si>
  <si>
    <t>NTLAILANE</t>
  </si>
  <si>
    <t>2026-06-02 09:50:57</t>
  </si>
  <si>
    <t>27725252738</t>
  </si>
  <si>
    <t>14501466</t>
  </si>
  <si>
    <t>335d8763-9a64-439e-9313-429d3c59167e</t>
  </si>
  <si>
    <t>PHAKANYISIWE</t>
  </si>
  <si>
    <t>2026-06-02 09:50:55</t>
  </si>
  <si>
    <t>27721257997</t>
  </si>
  <si>
    <t>14501673</t>
  </si>
  <si>
    <t>2c1601e0-a519-4070-a8d7-94a6f7e44403</t>
  </si>
  <si>
    <t>HUGO</t>
  </si>
  <si>
    <t>HEYMANS</t>
  </si>
  <si>
    <t>2026-06-02 09:50:52</t>
  </si>
  <si>
    <t>27828211700</t>
  </si>
  <si>
    <t>14500546</t>
  </si>
  <si>
    <t>24d3cd6d-9227-4612-9f34-7817fe0ce316</t>
  </si>
  <si>
    <t>CLINGEN</t>
  </si>
  <si>
    <t>2026-06-02 09:50:43</t>
  </si>
  <si>
    <t>27795259844</t>
  </si>
  <si>
    <t>14500543</t>
  </si>
  <si>
    <t>e7a81934-1546-4848-84ea-b4fb60e2f4f1</t>
  </si>
  <si>
    <t>MOSHE</t>
  </si>
  <si>
    <t>MASE</t>
  </si>
  <si>
    <t>2026-06-02 09:50:30</t>
  </si>
  <si>
    <t>27662163529</t>
  </si>
  <si>
    <t>14500545</t>
  </si>
  <si>
    <t>aa79769a-7420-4594-89be-a09352e54a06</t>
  </si>
  <si>
    <t>RAMASHU</t>
  </si>
  <si>
    <t>2026-06-02 09:50:23</t>
  </si>
  <si>
    <t>27726856700</t>
  </si>
  <si>
    <t>14500544</t>
  </si>
  <si>
    <t>225cb36b-f660-49c6-a332-c25cd7437756</t>
  </si>
  <si>
    <t>MEMORY</t>
  </si>
  <si>
    <t>NYEMBA</t>
  </si>
  <si>
    <t>2026-06-02 09:50:17</t>
  </si>
  <si>
    <t>27674028864</t>
  </si>
  <si>
    <t>14500542</t>
  </si>
  <si>
    <t>2b142fca-d0bb-4911-b432-d99cb6cf233f</t>
  </si>
  <si>
    <t>27663188145</t>
  </si>
  <si>
    <t>2026-06-02 09:50:05</t>
  </si>
  <si>
    <t>14500539</t>
  </si>
  <si>
    <t>25e271c4-6ba4-40dc-885e-a439091522a9</t>
  </si>
  <si>
    <t>LETAGENG</t>
  </si>
  <si>
    <t>2026-06-02 09:50:01</t>
  </si>
  <si>
    <t>27763262610</t>
  </si>
  <si>
    <t>14500538</t>
  </si>
  <si>
    <t>7f708f18-501e-42e9-9320-d54d901e696d</t>
  </si>
  <si>
    <t>SIMBARASHE</t>
  </si>
  <si>
    <t>CHAMBOKO</t>
  </si>
  <si>
    <t>2026-06-02 09:49:59</t>
  </si>
  <si>
    <t>27760343046</t>
  </si>
  <si>
    <t>14500534</t>
  </si>
  <si>
    <t>bb83a02d-a606-4757-9dd9-0610e2ea7c31</t>
  </si>
  <si>
    <t>ZAMIKHAYA</t>
  </si>
  <si>
    <t>TENZA</t>
  </si>
  <si>
    <t>2026-06-02 09:49:46</t>
  </si>
  <si>
    <t>27718252375</t>
  </si>
  <si>
    <t>14500535</t>
  </si>
  <si>
    <t>5d96f7c4-b143-47b5-a5d7-5156428c95d3</t>
  </si>
  <si>
    <t>MOETI</t>
  </si>
  <si>
    <t>27605274103</t>
  </si>
  <si>
    <t>14500536</t>
  </si>
  <si>
    <t>db1fe1a2-61c4-476e-a5ff-c7f3f397789c</t>
  </si>
  <si>
    <t>27713549646</t>
  </si>
  <si>
    <t>14501677</t>
  </si>
  <si>
    <t>38b60bbb-a2b5-4a44-bd66-e75102115473</t>
  </si>
  <si>
    <t>2026-06-02 09:49:45</t>
  </si>
  <si>
    <t>27662622894</t>
  </si>
  <si>
    <t>14501462</t>
  </si>
  <si>
    <t>5cb56241-a021-48d2-ac91-bc432b960dca</t>
  </si>
  <si>
    <t>THEMBALETHU</t>
  </si>
  <si>
    <t>NGWENYA</t>
  </si>
  <si>
    <t>2026-06-02 09:49:35</t>
  </si>
  <si>
    <t>27662532527</t>
  </si>
  <si>
    <t>14500553</t>
  </si>
  <si>
    <t>eed3ea1e-9b3a-439b-b0d9-842a922efa16</t>
  </si>
  <si>
    <t>NICOLEEN</t>
  </si>
  <si>
    <t>SINGH</t>
  </si>
  <si>
    <t>2026-06-02 09:49:27</t>
  </si>
  <si>
    <t>27662221827</t>
  </si>
  <si>
    <t>14501463</t>
  </si>
  <si>
    <t>d4f5f2aa-9b9b-4b98-af4e-7369df72efd0</t>
  </si>
  <si>
    <t>MATUKU</t>
  </si>
  <si>
    <t>MAKGORO</t>
  </si>
  <si>
    <t>2026-06-02 09:48:16</t>
  </si>
  <si>
    <t>27723083735</t>
  </si>
  <si>
    <t>14501460</t>
  </si>
  <si>
    <t>e0076523-65d8-4dcf-814a-c4716b475584</t>
  </si>
  <si>
    <t>ANDRE</t>
  </si>
  <si>
    <t>GROENEWALD</t>
  </si>
  <si>
    <t>2026-06-02 09:48:11</t>
  </si>
  <si>
    <t>27823396244</t>
  </si>
  <si>
    <t>14501461</t>
  </si>
  <si>
    <t>8e2ddda6-4394-4693-8a8b-77c962640540</t>
  </si>
  <si>
    <t>PHILANI</t>
  </si>
  <si>
    <t>LANGA</t>
  </si>
  <si>
    <t>27724551138</t>
  </si>
  <si>
    <t>14501459</t>
  </si>
  <si>
    <t>2c8d4b91-344b-4f39-b14d-c49755e3ec6c</t>
  </si>
  <si>
    <t>KIRSTY</t>
  </si>
  <si>
    <t>ANDREWS</t>
  </si>
  <si>
    <t>2026-06-02 09:47:42</t>
  </si>
  <si>
    <t>27732347643</t>
  </si>
  <si>
    <t>14501455</t>
  </si>
  <si>
    <t>bfc4ee34-8e65-4593-abb1-a73c523f4ec7</t>
  </si>
  <si>
    <t>PHINDILE</t>
  </si>
  <si>
    <t>NGUBO</t>
  </si>
  <si>
    <t>2026-06-02 09:47:28</t>
  </si>
  <si>
    <t>27609724966</t>
  </si>
  <si>
    <t>14501453</t>
  </si>
  <si>
    <t>7b4709c8-a2b8-4bc7-9b48-0a9975998c1c</t>
  </si>
  <si>
    <t>NOMAZOTSHO</t>
  </si>
  <si>
    <t>MEMANI</t>
  </si>
  <si>
    <t>2026-06-02 09:47:27</t>
  </si>
  <si>
    <t>27766706541</t>
  </si>
  <si>
    <t>14501454</t>
  </si>
  <si>
    <t>7a297665-159e-4e5e-b597-d6d087cb05d7</t>
  </si>
  <si>
    <t>AMJAD</t>
  </si>
  <si>
    <t>27795234440</t>
  </si>
  <si>
    <t>14501450</t>
  </si>
  <si>
    <t>17344d33-ba6c-4a71-bbb2-d6392d70f25b</t>
  </si>
  <si>
    <t>MAPHOKOANE</t>
  </si>
  <si>
    <t>KUNYANE</t>
  </si>
  <si>
    <t>2026-06-02 09:46:59</t>
  </si>
  <si>
    <t>27791658239</t>
  </si>
  <si>
    <t>14501449</t>
  </si>
  <si>
    <t>b96c7611-f802-461a-8dc8-176580036e1d</t>
  </si>
  <si>
    <t>NOLUKHOLO</t>
  </si>
  <si>
    <t>MOFANA</t>
  </si>
  <si>
    <t>2026-06-02 09:46:58</t>
  </si>
  <si>
    <t>27716430071</t>
  </si>
  <si>
    <t>14501448</t>
  </si>
  <si>
    <t>f19d3d30-ccfa-4e00-b824-79e8deb66f4b</t>
  </si>
  <si>
    <t>HARRIS</t>
  </si>
  <si>
    <t>2026-06-02 09:46:53</t>
  </si>
  <si>
    <t>27646144541</t>
  </si>
  <si>
    <t>14501782</t>
  </si>
  <si>
    <t>43eb8022-2ac4-41f7-b867-f89121782691</t>
  </si>
  <si>
    <t>HOMBAKAZI</t>
  </si>
  <si>
    <t>DANDALA</t>
  </si>
  <si>
    <t>27828148455</t>
  </si>
  <si>
    <t>14500560</t>
  </si>
  <si>
    <t>41a2b72f-b718-4062-86f7-fcce76545ec5</t>
  </si>
  <si>
    <t>THATO</t>
  </si>
  <si>
    <t>LOETO</t>
  </si>
  <si>
    <t>2026-06-02 09:46:20</t>
  </si>
  <si>
    <t>27720115923</t>
  </si>
  <si>
    <t>14500561</t>
  </si>
  <si>
    <t>e134eab0-c0dd-4cbd-afdc-5f22a22b34b7</t>
  </si>
  <si>
    <t>BEATRICE</t>
  </si>
  <si>
    <t>MPHEKHWANE</t>
  </si>
  <si>
    <t>27769475793</t>
  </si>
  <si>
    <t>14500595</t>
  </si>
  <si>
    <t>39025e2d-ee6e-4d72-b6f3-fc274d53ddc1</t>
  </si>
  <si>
    <t>THELEJANE</t>
  </si>
  <si>
    <t>LEBELO</t>
  </si>
  <si>
    <t>2026-06-02 09:45:32</t>
  </si>
  <si>
    <t>27711139964</t>
  </si>
  <si>
    <t>14500559</t>
  </si>
  <si>
    <t>b8fa675b-7ba9-4c87-8f06-c0d70ab83d11</t>
  </si>
  <si>
    <t>NKUNA</t>
  </si>
  <si>
    <t>2026-06-02 09:45:31</t>
  </si>
  <si>
    <t>27799473698</t>
  </si>
  <si>
    <t>14500556</t>
  </si>
  <si>
    <t>f76a6d98-f4e9-40cb-85d1-9ae8972de311</t>
  </si>
  <si>
    <t>EUGEN</t>
  </si>
  <si>
    <t>MERTENS</t>
  </si>
  <si>
    <t>2026-06-02 09:45:30</t>
  </si>
  <si>
    <t>27823025637</t>
  </si>
  <si>
    <t>14500558</t>
  </si>
  <si>
    <t>04f79ace-1d71-4195-9b8b-df3c5b695383</t>
  </si>
  <si>
    <t>MATITI</t>
  </si>
  <si>
    <t>27798944428</t>
  </si>
  <si>
    <t>14500554</t>
  </si>
  <si>
    <t>d57c22fa-022b-4e06-863a-4145e1280444</t>
  </si>
  <si>
    <t>ZANELE</t>
  </si>
  <si>
    <t>NGCOBO</t>
  </si>
  <si>
    <t>2026-06-02 09:45:29</t>
  </si>
  <si>
    <t>27712401967</t>
  </si>
  <si>
    <t>14500555</t>
  </si>
  <si>
    <t>8c00a43b-c465-4780-94e0-3d4177511297</t>
  </si>
  <si>
    <t>MARCHELLE</t>
  </si>
  <si>
    <t>ROSSOUW</t>
  </si>
  <si>
    <t>27726161140</t>
  </si>
  <si>
    <t>14500552</t>
  </si>
  <si>
    <t>bcdfbaf4-8d7a-4ed0-a9e5-340fcfc54c93</t>
  </si>
  <si>
    <t>MALCOLM</t>
  </si>
  <si>
    <t>AUGUSTINE</t>
  </si>
  <si>
    <t>2026-06-02 09:45:26</t>
  </si>
  <si>
    <t>27826951194</t>
  </si>
  <si>
    <t>14501021</t>
  </si>
  <si>
    <t>ef9674e1-8e12-464c-8793-28a58cf9b4da</t>
  </si>
  <si>
    <t>TLOU</t>
  </si>
  <si>
    <t>SEBETHA</t>
  </si>
  <si>
    <t>27662111181</t>
  </si>
  <si>
    <t>14501018</t>
  </si>
  <si>
    <t>63da66d8-439f-4ff4-85c4-91606b246deb</t>
  </si>
  <si>
    <t>LEGODI</t>
  </si>
  <si>
    <t>2026-06-02 09:45:09</t>
  </si>
  <si>
    <t>27829017296</t>
  </si>
  <si>
    <t>14501019</t>
  </si>
  <si>
    <t>e43f4d82-360b-4473-bd60-e3851cb9b3ec</t>
  </si>
  <si>
    <t>MONALE</t>
  </si>
  <si>
    <t>RATSOMA</t>
  </si>
  <si>
    <t>27659267698</t>
  </si>
  <si>
    <t>14501017</t>
  </si>
  <si>
    <t>2f82b153-4bf0-467e-bbda-466656001f30</t>
  </si>
  <si>
    <t>MARTHA</t>
  </si>
  <si>
    <t>LE ROUX</t>
  </si>
  <si>
    <t>2026-06-02 09:45:08</t>
  </si>
  <si>
    <t>27833459088</t>
  </si>
  <si>
    <t>14501710</t>
  </si>
  <si>
    <t>00e4313c-84e5-438b-992c-3152b3f5f8af</t>
  </si>
  <si>
    <t>MOKGADI</t>
  </si>
  <si>
    <t>27637732250</t>
  </si>
  <si>
    <t>14500597</t>
  </si>
  <si>
    <t>9edf78d9-7877-450e-bcf3-294d455da3c4</t>
  </si>
  <si>
    <t>MAKOKO</t>
  </si>
  <si>
    <t>MAILA</t>
  </si>
  <si>
    <t>2026-06-02 09:44:18</t>
  </si>
  <si>
    <t>27712520033</t>
  </si>
  <si>
    <t>14500596</t>
  </si>
  <si>
    <t>f7efdb09-08bd-444f-85ce-5aea4682feaf</t>
  </si>
  <si>
    <t>RAYMOND</t>
  </si>
  <si>
    <t>PETERSE</t>
  </si>
  <si>
    <t>2026-06-02 09:44:00</t>
  </si>
  <si>
    <t>27823377188</t>
  </si>
  <si>
    <t>14500594</t>
  </si>
  <si>
    <t>719a62df-edd9-4d88-94c7-f3b53160d789</t>
  </si>
  <si>
    <t>2026-06-02 09:43:11</t>
  </si>
  <si>
    <t>27636156390</t>
  </si>
  <si>
    <t>14500593</t>
  </si>
  <si>
    <t>6f277d7f-1879-4ad0-ba06-40b55c12aae6</t>
  </si>
  <si>
    <t>2026-06-02 09:43:07</t>
  </si>
  <si>
    <t>27764400072</t>
  </si>
  <si>
    <t>14500592</t>
  </si>
  <si>
    <t>e58a8a5f-e728-416f-813c-491d9d5c8ba9</t>
  </si>
  <si>
    <t>NABEELAH</t>
  </si>
  <si>
    <t>HASSAM</t>
  </si>
  <si>
    <t>2026-06-02 09:43:04</t>
  </si>
  <si>
    <t>27847305762</t>
  </si>
  <si>
    <t>14500591</t>
  </si>
  <si>
    <t>89cb3494-68ae-4006-9a5c-e8f2048e3bae</t>
  </si>
  <si>
    <t>TSELADIMITLOA</t>
  </si>
  <si>
    <t>2026-06-02 09:43:03</t>
  </si>
  <si>
    <t>27767490612</t>
  </si>
  <si>
    <t>14500590</t>
  </si>
  <si>
    <t>94f27bda-56aa-4395-8acf-4a95e759cadd</t>
  </si>
  <si>
    <t>LOUISE</t>
  </si>
  <si>
    <t>2026-06-02 09:43:01</t>
  </si>
  <si>
    <t>27662207033</t>
  </si>
  <si>
    <t>14500582</t>
  </si>
  <si>
    <t>4ee8d9bc-6171-45fe-ae53-40ff9c1f4e63</t>
  </si>
  <si>
    <t>SHERRY-LEE</t>
  </si>
  <si>
    <t>SPILLER</t>
  </si>
  <si>
    <t>2026-06-02 09:42:58</t>
  </si>
  <si>
    <t>27827656712</t>
  </si>
  <si>
    <t>14500583</t>
  </si>
  <si>
    <t>66c3fbe5-a3b4-4308-b993-341935c25a12</t>
  </si>
  <si>
    <t>JACOBUS</t>
  </si>
  <si>
    <t>SWART</t>
  </si>
  <si>
    <t>27823022167</t>
  </si>
  <si>
    <t>14500585</t>
  </si>
  <si>
    <t>e46ead91-ba16-4671-8739-59cb15e684b0</t>
  </si>
  <si>
    <t>SILVIA</t>
  </si>
  <si>
    <t>FERNANDES</t>
  </si>
  <si>
    <t>27725233331</t>
  </si>
  <si>
    <t>14500581</t>
  </si>
  <si>
    <t>f1d683f9-a2e7-4d81-ab82-31f917a6f7e0</t>
  </si>
  <si>
    <t>MINENHLE</t>
  </si>
  <si>
    <t>NYATHI</t>
  </si>
  <si>
    <t>2026-06-02 09:42:57</t>
  </si>
  <si>
    <t>27662724963</t>
  </si>
  <si>
    <t>14500580</t>
  </si>
  <si>
    <t>81d81cb1-dd24-41b1-9114-706792e3955f</t>
  </si>
  <si>
    <t>NOKUTHULA</t>
  </si>
  <si>
    <t>2026-06-02 09:42:55</t>
  </si>
  <si>
    <t>27715792568</t>
  </si>
  <si>
    <t>14501076</t>
  </si>
  <si>
    <t>1297108a-c05a-4d3c-b28b-51f0b88bf483</t>
  </si>
  <si>
    <t>MOABI</t>
  </si>
  <si>
    <t>MAHLATSI</t>
  </si>
  <si>
    <t>2026-06-02 09:42:49</t>
  </si>
  <si>
    <t>27760606855</t>
  </si>
  <si>
    <t>14501697</t>
  </si>
  <si>
    <t>ed70cc2e-9a6f-4fed-b9ad-3ef8938dd04d</t>
  </si>
  <si>
    <t>LIFA</t>
  </si>
  <si>
    <t>DHLAMINI</t>
  </si>
  <si>
    <t>2026-06-02 09:42:32</t>
  </si>
  <si>
    <t>27713628785</t>
  </si>
  <si>
    <t>14500588</t>
  </si>
  <si>
    <t>56fc767b-d1f3-47f1-b8b4-14574bd37103</t>
  </si>
  <si>
    <t>MORUDU</t>
  </si>
  <si>
    <t>2026-06-02 09:42:28</t>
  </si>
  <si>
    <t>27723021182</t>
  </si>
  <si>
    <t>14500587</t>
  </si>
  <si>
    <t>df142097-c805-4482-95c6-bdad6044c5e8</t>
  </si>
  <si>
    <t>THESAN</t>
  </si>
  <si>
    <t>2026-06-02 09:42:27</t>
  </si>
  <si>
    <t>27796230871</t>
  </si>
  <si>
    <t>14500586</t>
  </si>
  <si>
    <t>29f32f1d-6458-4450-bfef-5f6a1ceb0782</t>
  </si>
  <si>
    <t>KEDISALETSE</t>
  </si>
  <si>
    <t>MONGALE</t>
  </si>
  <si>
    <t>2026-06-02 09:42:25</t>
  </si>
  <si>
    <t>27636119157</t>
  </si>
  <si>
    <t>14501037</t>
  </si>
  <si>
    <t>2ee9e9e4-ba0f-4880-92f2-89a7b215b818</t>
  </si>
  <si>
    <t>MICHIEL</t>
  </si>
  <si>
    <t>2026-06-02 09:42:22</t>
  </si>
  <si>
    <t>27825607940</t>
  </si>
  <si>
    <t>14501045</t>
  </si>
  <si>
    <t>5f752751-aa85-4000-bfef-ef7807024f06</t>
  </si>
  <si>
    <t>KENEETH</t>
  </si>
  <si>
    <t>27824639087</t>
  </si>
  <si>
    <t>14501036</t>
  </si>
  <si>
    <t>625894c6-2258-424f-a2a4-93a6e3d11336</t>
  </si>
  <si>
    <t>DIAMOND</t>
  </si>
  <si>
    <t>LETSOKGOHLE</t>
  </si>
  <si>
    <t>2026-06-02 09:42:05</t>
  </si>
  <si>
    <t>27665485230</t>
  </si>
  <si>
    <t>14501035</t>
  </si>
  <si>
    <t>b4ffdea1-c0d6-464f-8619-0048d333801b</t>
  </si>
  <si>
    <t>MUHAMMAD</t>
  </si>
  <si>
    <t>RINQUEST</t>
  </si>
  <si>
    <t>2026-06-02 09:42:01</t>
  </si>
  <si>
    <t>27720630813</t>
  </si>
  <si>
    <t>14501033</t>
  </si>
  <si>
    <t>9e8ddbf5-e538-4d60-b4f9-4ea73cf631cb</t>
  </si>
  <si>
    <t>MAMOKONGWA</t>
  </si>
  <si>
    <t>SEKGOBELA</t>
  </si>
  <si>
    <t>2026-06-02 09:41:51</t>
  </si>
  <si>
    <t>27822997133</t>
  </si>
  <si>
    <t>14501030</t>
  </si>
  <si>
    <t>c74de134-9b2e-417a-a7e9-c5a5d6fc2089</t>
  </si>
  <si>
    <t>NATHAN</t>
  </si>
  <si>
    <t>GOVENDER</t>
  </si>
  <si>
    <t>2026-06-02 09:41:42</t>
  </si>
  <si>
    <t>27826949295</t>
  </si>
  <si>
    <t>14501032</t>
  </si>
  <si>
    <t>33cd7f15-045c-493a-8469-07d25ada4f17</t>
  </si>
  <si>
    <t>NINI</t>
  </si>
  <si>
    <t>MOGALE</t>
  </si>
  <si>
    <t>27713633500</t>
  </si>
  <si>
    <t>14501029</t>
  </si>
  <si>
    <t>2f289c88-7529-4580-8539-599c6be8ecb4</t>
  </si>
  <si>
    <t>SUNEL</t>
  </si>
  <si>
    <t>VAN HOVING</t>
  </si>
  <si>
    <t>2026-06-02 09:41:38</t>
  </si>
  <si>
    <t>27827537422</t>
  </si>
  <si>
    <t>14501028</t>
  </si>
  <si>
    <t>c7236d22-8d38-4409-a97b-6d03e773931d</t>
  </si>
  <si>
    <t>AGOSTINO</t>
  </si>
  <si>
    <t>DE VILLIERS</t>
  </si>
  <si>
    <t>2026-06-02 09:41:36</t>
  </si>
  <si>
    <t>27824935348</t>
  </si>
  <si>
    <t>14501023</t>
  </si>
  <si>
    <t>d850762e-8095-4a3d-b25f-acbfa12f0c27</t>
  </si>
  <si>
    <t>HEYLA</t>
  </si>
  <si>
    <t>2026-06-02 09:41:32</t>
  </si>
  <si>
    <t>27767298692</t>
  </si>
  <si>
    <t>14501025</t>
  </si>
  <si>
    <t>b3d509a3-3dfd-467a-9124-9b7e0dd812ec</t>
  </si>
  <si>
    <t>STEWERT</t>
  </si>
  <si>
    <t>PALMER</t>
  </si>
  <si>
    <t>27767855603</t>
  </si>
  <si>
    <t>14501027</t>
  </si>
  <si>
    <t>96bce23f-8800-4d5e-893b-0bb0f664ab2e</t>
  </si>
  <si>
    <t>QUINTUS</t>
  </si>
  <si>
    <t>27829738786</t>
  </si>
  <si>
    <t>14501022</t>
  </si>
  <si>
    <t>cf6e9750-b699-4876-a7d8-738828f34a51</t>
  </si>
  <si>
    <t>RUDAYBA</t>
  </si>
  <si>
    <t>SAMBO</t>
  </si>
  <si>
    <t>2026-06-02 09:40:27</t>
  </si>
  <si>
    <t>27711812397</t>
  </si>
  <si>
    <t>14501678</t>
  </si>
  <si>
    <t>ed407a18-9ece-46c4-892c-9d9e08dbc123</t>
  </si>
  <si>
    <t>ALBERT</t>
  </si>
  <si>
    <t>SOWANE</t>
  </si>
  <si>
    <t>27792919797</t>
  </si>
  <si>
    <t>14500718</t>
  </si>
  <si>
    <t>5c0bb8d3-2f4b-4246-bfb0-2d21dcbb82aa</t>
  </si>
  <si>
    <t>DAMIAN</t>
  </si>
  <si>
    <t>DANIELS</t>
  </si>
  <si>
    <t>2026-06-02 09:40:08</t>
  </si>
  <si>
    <t>27828037384</t>
  </si>
  <si>
    <t>14500716</t>
  </si>
  <si>
    <t>007be3be-8ccc-41b5-a7f8-e37c5f35d39b</t>
  </si>
  <si>
    <t>MIRRANDA</t>
  </si>
  <si>
    <t>2026-06-02 09:40:07</t>
  </si>
  <si>
    <t>27765402629</t>
  </si>
  <si>
    <t>14500717</t>
  </si>
  <si>
    <t>b11dd4fb-0fc5-4c41-90e8-b675e72e8dc7</t>
  </si>
  <si>
    <t>BAKIE</t>
  </si>
  <si>
    <t>KUBEKA</t>
  </si>
  <si>
    <t>27659473383</t>
  </si>
  <si>
    <t>14500854</t>
  </si>
  <si>
    <t>2d861603-aa5a-41f1-8b66-7f1559fc7715</t>
  </si>
  <si>
    <t>MARTHINUS</t>
  </si>
  <si>
    <t>PRINSLOO</t>
  </si>
  <si>
    <t>2026-06-02 09:40:04</t>
  </si>
  <si>
    <t>27662020104</t>
  </si>
  <si>
    <t>14501868</t>
  </si>
  <si>
    <t>044e1423-c62d-442c-98ce-b8da67a45de7</t>
  </si>
  <si>
    <t>MATSOBANE</t>
  </si>
  <si>
    <t>MOKONYAMA</t>
  </si>
  <si>
    <t>2026-06-02 09:39:59</t>
  </si>
  <si>
    <t>27713133289</t>
  </si>
  <si>
    <t>14500698</t>
  </si>
  <si>
    <t>397c3b30-bcd0-4ef8-b1d6-c60447f1fd96</t>
  </si>
  <si>
    <t>HUMBULANI</t>
  </si>
  <si>
    <t>RASIGIDI</t>
  </si>
  <si>
    <t>2026-06-02 09:39:56</t>
  </si>
  <si>
    <t>27725679676</t>
  </si>
  <si>
    <t>14500697</t>
  </si>
  <si>
    <t>1504d587-1bac-4fde-8839-65c48b8abb53</t>
  </si>
  <si>
    <t>SHARISTA</t>
  </si>
  <si>
    <t>RAM</t>
  </si>
  <si>
    <t>2026-06-02 09:39:52</t>
  </si>
  <si>
    <t>27822171056</t>
  </si>
  <si>
    <t>14500663</t>
  </si>
  <si>
    <t>102b5b6e-fd26-4b4d-8f16-abde3d1e8b77</t>
  </si>
  <si>
    <t>GIRSHWON</t>
  </si>
  <si>
    <t>LAWRENCE</t>
  </si>
  <si>
    <t>2026-06-02 09:39:51</t>
  </si>
  <si>
    <t>27729048483</t>
  </si>
  <si>
    <t>14500695</t>
  </si>
  <si>
    <t>5fa8287f-5ff6-4d92-b97c-47a7c2a9cc1a</t>
  </si>
  <si>
    <t>AVON</t>
  </si>
  <si>
    <t>27829539112</t>
  </si>
  <si>
    <t>14500696</t>
  </si>
  <si>
    <t>2bb7bacb-38eb-4742-a25c-c1978dcf4aa1</t>
  </si>
  <si>
    <t>SAGWADI</t>
  </si>
  <si>
    <t>RIKHOTSO</t>
  </si>
  <si>
    <t>27827691159</t>
  </si>
  <si>
    <t>14500659</t>
  </si>
  <si>
    <t>4eca18ff-72d6-4169-b91a-00557a663aae</t>
  </si>
  <si>
    <t>NQOBILE</t>
  </si>
  <si>
    <t>2026-06-02 09:39:48</t>
  </si>
  <si>
    <t>27828060100</t>
  </si>
  <si>
    <t>14500662</t>
  </si>
  <si>
    <t>9ba3f0cf-a1a9-48bd-b734-e0eb05719769</t>
  </si>
  <si>
    <t>STUART</t>
  </si>
  <si>
    <t>27646531033</t>
  </si>
  <si>
    <t>14500657</t>
  </si>
  <si>
    <t>5db56b1b-fb41-49ef-bd79-9e99e2042e18</t>
  </si>
  <si>
    <t>THENDO</t>
  </si>
  <si>
    <t>DEMANA</t>
  </si>
  <si>
    <t>2026-06-02 09:39:47</t>
  </si>
  <si>
    <t>27820892662</t>
  </si>
  <si>
    <t>14500658</t>
  </si>
  <si>
    <t>593f0b4b-0728-4861-b7a6-c2d39b63be41</t>
  </si>
  <si>
    <t>NTSAKO</t>
  </si>
  <si>
    <t>NGOBENI</t>
  </si>
  <si>
    <t>27826141286</t>
  </si>
  <si>
    <t>14500656</t>
  </si>
  <si>
    <t>de1aef9d-7b94-475e-8d78-b56ab3f25a70</t>
  </si>
  <si>
    <t>EMULE</t>
  </si>
  <si>
    <t>EGEN</t>
  </si>
  <si>
    <t>2026-06-02 09:39:20</t>
  </si>
  <si>
    <t>27791884327</t>
  </si>
  <si>
    <t>14501893</t>
  </si>
  <si>
    <t>51912853-682a-49dc-8dc8-6150ca65d672</t>
  </si>
  <si>
    <t>27724274219</t>
  </si>
  <si>
    <t>2026-06-02 09:39:08</t>
  </si>
  <si>
    <t>14500651</t>
  </si>
  <si>
    <t>69a0a368-92af-4f59-b2d0-7707c357e155</t>
  </si>
  <si>
    <t>MASHADI</t>
  </si>
  <si>
    <t>KEKANA</t>
  </si>
  <si>
    <t>2026-06-02 09:39:07</t>
  </si>
  <si>
    <t>27792804351</t>
  </si>
  <si>
    <t>14500653</t>
  </si>
  <si>
    <t>06bdc5fa-a545-4d77-a5d2-149272a3b518</t>
  </si>
  <si>
    <t>MAXWELL</t>
  </si>
  <si>
    <t>PIRIKISI</t>
  </si>
  <si>
    <t>27720892290</t>
  </si>
  <si>
    <t>14500654</t>
  </si>
  <si>
    <t>50298e5b-cebb-4c8e-ab66-2a9954ab8d53</t>
  </si>
  <si>
    <t>TRACEY-ANN</t>
  </si>
  <si>
    <t>27823205081</t>
  </si>
  <si>
    <t>14500655</t>
  </si>
  <si>
    <t>8fb02bbd-3ac0-45b9-b7e3-23a9221aebe7</t>
  </si>
  <si>
    <t>BUYISILE</t>
  </si>
  <si>
    <t>NZIMA</t>
  </si>
  <si>
    <t>27665805643</t>
  </si>
  <si>
    <t>14500650</t>
  </si>
  <si>
    <t>30381b94-fa2b-4a88-84da-e0ba622d6f33</t>
  </si>
  <si>
    <t>SEFULARO</t>
  </si>
  <si>
    <t>MACHABAPHALA</t>
  </si>
  <si>
    <t>2026-06-02 09:38:51</t>
  </si>
  <si>
    <t>27760467717</t>
  </si>
  <si>
    <t>14501457</t>
  </si>
  <si>
    <t>d3a01404-861c-446b-b246-c269163d9ff6</t>
  </si>
  <si>
    <t>2026-06-02 09:38:40</t>
  </si>
  <si>
    <t>27794566551</t>
  </si>
  <si>
    <t>14500649</t>
  </si>
  <si>
    <t>27fa7c9b-7eff-48af-9ddc-35a9e606bdd4</t>
  </si>
  <si>
    <t>NOLENE</t>
  </si>
  <si>
    <t>AMSTERDAM</t>
  </si>
  <si>
    <t>2026-06-02 09:38:28</t>
  </si>
  <si>
    <t>27673853976</t>
  </si>
  <si>
    <t>14500645</t>
  </si>
  <si>
    <t>52496d82-ee75-4640-8967-2351fac191cf</t>
  </si>
  <si>
    <t>JURIE</t>
  </si>
  <si>
    <t>2026-06-02 09:38:24</t>
  </si>
  <si>
    <t>27728771683</t>
  </si>
  <si>
    <t>14500646</t>
  </si>
  <si>
    <t>e23a07fc-4d85-4a30-aac8-1aa87ef96a0d</t>
  </si>
  <si>
    <t>JOANA</t>
  </si>
  <si>
    <t>MATEUS</t>
  </si>
  <si>
    <t>27824213127</t>
  </si>
  <si>
    <t>14500648</t>
  </si>
  <si>
    <t>7d49023c-bd1b-4443-a0b7-ddc104cf936c</t>
  </si>
  <si>
    <t>27646505530</t>
  </si>
  <si>
    <t>14500624</t>
  </si>
  <si>
    <t>e274c6d4-d060-4e6d-8d09-8d52235b2ace</t>
  </si>
  <si>
    <t>THULISILE</t>
  </si>
  <si>
    <t>MORERIANE</t>
  </si>
  <si>
    <t>2026-06-02 09:38:06</t>
  </si>
  <si>
    <t>27721779757</t>
  </si>
  <si>
    <t>14500625</t>
  </si>
  <si>
    <t>4806dd1f-0e09-4477-bdaa-993f533a3f00</t>
  </si>
  <si>
    <t>MONIQUE</t>
  </si>
  <si>
    <t>PETERS</t>
  </si>
  <si>
    <t>27726141675</t>
  </si>
  <si>
    <t>14500635</t>
  </si>
  <si>
    <t>c9fcc67f-9132-4665-91a7-c16d7f9ef388</t>
  </si>
  <si>
    <t>SHERIEN</t>
  </si>
  <si>
    <t>ABDOOL</t>
  </si>
  <si>
    <t>2026-06-02 09:37:58</t>
  </si>
  <si>
    <t>27824078774</t>
  </si>
  <si>
    <t>14500620</t>
  </si>
  <si>
    <t>aa611a91-5c31-4131-a2bb-ed0e1b91d43b</t>
  </si>
  <si>
    <t>SEAN</t>
  </si>
  <si>
    <t>CROXFORD</t>
  </si>
  <si>
    <t>2026-06-02 09:37:39</t>
  </si>
  <si>
    <t>27725794758</t>
  </si>
  <si>
    <t>14500622</t>
  </si>
  <si>
    <t>e1b2593c-76f9-4b8f-9c2f-8c5d61fe3351</t>
  </si>
  <si>
    <t>NOZUKO</t>
  </si>
  <si>
    <t>MKUZO</t>
  </si>
  <si>
    <t>27725539704</t>
  </si>
  <si>
    <t>14500623</t>
  </si>
  <si>
    <t>d92e3fb6-b771-44f0-a6e0-fd273bc59a3d</t>
  </si>
  <si>
    <t>KGOMOTSO</t>
  </si>
  <si>
    <t>27606989677</t>
  </si>
  <si>
    <t>14500644</t>
  </si>
  <si>
    <t>ebeaef9f-b8f9-409e-9d93-3bd50a545d86</t>
  </si>
  <si>
    <t>MOGOLA</t>
  </si>
  <si>
    <t>2026-06-02 09:37:17</t>
  </si>
  <si>
    <t>27646832682</t>
  </si>
  <si>
    <t>14500631</t>
  </si>
  <si>
    <t>771f6333-539c-4ffb-82e4-b765cae5f14e</t>
  </si>
  <si>
    <t>SMAL</t>
  </si>
  <si>
    <t>2026-06-02 09:37:11</t>
  </si>
  <si>
    <t>27824558614</t>
  </si>
  <si>
    <t>14500632</t>
  </si>
  <si>
    <t>d740883b-edb4-4806-9e9b-235917a79489</t>
  </si>
  <si>
    <t>NATHANIEL</t>
  </si>
  <si>
    <t>LAVHENGWA</t>
  </si>
  <si>
    <t>27764457766</t>
  </si>
  <si>
    <t>14500633</t>
  </si>
  <si>
    <t>e14e4706-a531-4d1b-9e20-067640bad175</t>
  </si>
  <si>
    <t>VINAY</t>
  </si>
  <si>
    <t>RUGNATH</t>
  </si>
  <si>
    <t>27662541550</t>
  </si>
  <si>
    <t>14500634</t>
  </si>
  <si>
    <t>e2b667eb-2aea-4c75-a362-10ad7c9b77cc</t>
  </si>
  <si>
    <t>CRYSTAL</t>
  </si>
  <si>
    <t>BOSMAN</t>
  </si>
  <si>
    <t>27713347957</t>
  </si>
  <si>
    <t>14500641</t>
  </si>
  <si>
    <t>94731d99-63cc-4fec-9a7c-c98b2743600c</t>
  </si>
  <si>
    <t>MOKGETHWA</t>
  </si>
  <si>
    <t>TSIPA</t>
  </si>
  <si>
    <t>2026-06-02 09:37:09</t>
  </si>
  <si>
    <t>27647509676</t>
  </si>
  <si>
    <t>14500627</t>
  </si>
  <si>
    <t>2980a89c-ca51-4a6d-81e5-dad121531637</t>
  </si>
  <si>
    <t>MICHLE</t>
  </si>
  <si>
    <t>PREDDY</t>
  </si>
  <si>
    <t>2026-06-02 09:37:06</t>
  </si>
  <si>
    <t>27646503766</t>
  </si>
  <si>
    <t>14500628</t>
  </si>
  <si>
    <t>84c7fe42-c313-4d3d-b6d9-ba0047ebb6e4</t>
  </si>
  <si>
    <t>JOLANIE</t>
  </si>
  <si>
    <t>HOLTZHAUSEN</t>
  </si>
  <si>
    <t>27798994863</t>
  </si>
  <si>
    <t>14500629</t>
  </si>
  <si>
    <t>deeba213-1cc4-4815-9563-18805e5afa98</t>
  </si>
  <si>
    <t>MARIE</t>
  </si>
  <si>
    <t>BESTER</t>
  </si>
  <si>
    <t>27722556796</t>
  </si>
  <si>
    <t>14500630</t>
  </si>
  <si>
    <t>a198ff30-7e3a-4090-8a27-e3710c0b567a</t>
  </si>
  <si>
    <t>NOSIPHO</t>
  </si>
  <si>
    <t>RP</t>
  </si>
  <si>
    <t>Right Party Not Available</t>
  </si>
  <si>
    <t>27766685526</t>
  </si>
  <si>
    <t>14500626</t>
  </si>
  <si>
    <t>e88a0fef-16fc-4fe2-ae2a-86c92471496a</t>
  </si>
  <si>
    <t>NCEDIWE</t>
  </si>
  <si>
    <t>SHONGWE</t>
  </si>
  <si>
    <t>2026-06-02 09:36:25</t>
  </si>
  <si>
    <t>27842049840</t>
  </si>
  <si>
    <t>14500938</t>
  </si>
  <si>
    <t>73de8fde-a590-4d34-861e-6a3a9acd9ebe</t>
  </si>
  <si>
    <t>KENEILWE</t>
  </si>
  <si>
    <t>SHABALALA</t>
  </si>
  <si>
    <t>27825605092</t>
  </si>
  <si>
    <t>14500935</t>
  </si>
  <si>
    <t>f3d66b0d-5738-4a49-a9f7-5f0109bb71c4</t>
  </si>
  <si>
    <t>HOPE</t>
  </si>
  <si>
    <t>BALOYI</t>
  </si>
  <si>
    <t>2026-06-02 09:35:46</t>
  </si>
  <si>
    <t>27662187511</t>
  </si>
  <si>
    <t>14500640</t>
  </si>
  <si>
    <t>aad7baa6-5282-4fe5-90e0-1bf57e931dd0</t>
  </si>
  <si>
    <t>2026-06-02 09:35:38</t>
  </si>
  <si>
    <t>27647466568</t>
  </si>
  <si>
    <t>14500636</t>
  </si>
  <si>
    <t>7ec5cdeb-1116-4fc5-8c11-6233754542fa</t>
  </si>
  <si>
    <t>KHOLEKILE</t>
  </si>
  <si>
    <t>2026-06-02 09:35:29</t>
  </si>
  <si>
    <t>27662545540</t>
  </si>
  <si>
    <t>14500637</t>
  </si>
  <si>
    <t>36081d50-486f-4fd0-bdfd-871cdbb70380</t>
  </si>
  <si>
    <t>ROMAN</t>
  </si>
  <si>
    <t>27722542267</t>
  </si>
  <si>
    <t>14500975</t>
  </si>
  <si>
    <t>b317e8de-ee59-4c0d-aac3-e37a7b567a8a</t>
  </si>
  <si>
    <t>PHAKOLE</t>
  </si>
  <si>
    <t>27662058909</t>
  </si>
  <si>
    <t>14500976</t>
  </si>
  <si>
    <t>020414b8-b2fa-482d-8f37-8cf20d4b4120</t>
  </si>
  <si>
    <t>NTOMBIFUTHI</t>
  </si>
  <si>
    <t>27637980094</t>
  </si>
  <si>
    <t>14500973</t>
  </si>
  <si>
    <t>827390ae-a955-463e-a0a2-8c86c7946e6c</t>
  </si>
  <si>
    <t>REYNARD</t>
  </si>
  <si>
    <t>VAN DER HEEVER</t>
  </si>
  <si>
    <t>2026-06-02 09:35:16</t>
  </si>
  <si>
    <t>27827725929</t>
  </si>
  <si>
    <t>14500974</t>
  </si>
  <si>
    <t>d4d96fa8-a5aa-4b39-a1f4-e5c554d88136</t>
  </si>
  <si>
    <t>KHANYA</t>
  </si>
  <si>
    <t>TEROMO</t>
  </si>
  <si>
    <t>27716314357</t>
  </si>
  <si>
    <t>14500958</t>
  </si>
  <si>
    <t>9705f2b6-3684-48c3-9167-fa469df7c1f7</t>
  </si>
  <si>
    <t>KATE</t>
  </si>
  <si>
    <t>2026-06-02 09:35:15</t>
  </si>
  <si>
    <t>27826506656</t>
  </si>
  <si>
    <t>14500956</t>
  </si>
  <si>
    <t>227141ae-8248-4205-bd9a-2125593569c1</t>
  </si>
  <si>
    <t>JESSICA</t>
  </si>
  <si>
    <t>RODRIGUES</t>
  </si>
  <si>
    <t>2026-06-02 09:34:23</t>
  </si>
  <si>
    <t>27796850136</t>
  </si>
  <si>
    <t>14500957</t>
  </si>
  <si>
    <t>0f1a270e-95f1-4d96-917a-695b95d1f354</t>
  </si>
  <si>
    <t>LOVERBOY</t>
  </si>
  <si>
    <t>MAPHANGA</t>
  </si>
  <si>
    <t>27726361755</t>
  </si>
  <si>
    <t>14500954</t>
  </si>
  <si>
    <t>2a9c7a55-f49d-4d76-914f-6d922dca45fb</t>
  </si>
  <si>
    <t>LOKISANG</t>
  </si>
  <si>
    <t>MOLWANA</t>
  </si>
  <si>
    <t>2026-06-02 09:34:13</t>
  </si>
  <si>
    <t>27829265781</t>
  </si>
  <si>
    <t>14500952</t>
  </si>
  <si>
    <t>a3df95a6-9d4f-4a12-a045-924f8f6d1958</t>
  </si>
  <si>
    <t>MONTJANE</t>
  </si>
  <si>
    <t>2026-06-02 09:34:12</t>
  </si>
  <si>
    <t>27674036625</t>
  </si>
  <si>
    <t>14500953</t>
  </si>
  <si>
    <t>ab678639-2bb2-4402-82cc-99d0b18eecca</t>
  </si>
  <si>
    <t>AMANDA</t>
  </si>
  <si>
    <t>KRUGEL</t>
  </si>
  <si>
    <t>27764610916</t>
  </si>
  <si>
    <t>14500950</t>
  </si>
  <si>
    <t>3129119f-af84-4009-a812-f83f1e081866</t>
  </si>
  <si>
    <t>FRANCIS</t>
  </si>
  <si>
    <t>TLADI</t>
  </si>
  <si>
    <t>2026-06-02 09:34:08</t>
  </si>
  <si>
    <t>27609455828</t>
  </si>
  <si>
    <t>14500951</t>
  </si>
  <si>
    <t>f9e5d822-65c7-4fa5-85cd-3cf151ee02ed</t>
  </si>
  <si>
    <t>GEORGE</t>
  </si>
  <si>
    <t>HERWILL</t>
  </si>
  <si>
    <t>27711644980</t>
  </si>
  <si>
    <t>14500948</t>
  </si>
  <si>
    <t>67db8c1b-c7bb-4d4f-a7a0-6e97a04490b9</t>
  </si>
  <si>
    <t>MOHAMED</t>
  </si>
  <si>
    <t>2026-06-02 09:34:02</t>
  </si>
  <si>
    <t>27607504044</t>
  </si>
  <si>
    <t>14500949</t>
  </si>
  <si>
    <t>17438d65-aa3b-44f0-87ca-ccce88aa9255</t>
  </si>
  <si>
    <t>27794626291</t>
  </si>
  <si>
    <t>14500945</t>
  </si>
  <si>
    <t>359c6dd0-a56a-43c8-98f3-d98107613880</t>
  </si>
  <si>
    <t>ALFRED</t>
  </si>
  <si>
    <t>MTHOMBENI</t>
  </si>
  <si>
    <t>2026-06-02 09:33:57</t>
  </si>
  <si>
    <t>27716124465</t>
  </si>
  <si>
    <t>14500946</t>
  </si>
  <si>
    <t>f1de4c8b-0d12-45d2-abc2-e159ba3e3302</t>
  </si>
  <si>
    <t>CHERMEEZ</t>
  </si>
  <si>
    <t>CRAWFORD</t>
  </si>
  <si>
    <t>27734979453</t>
  </si>
  <si>
    <t>14500947</t>
  </si>
  <si>
    <t>2a9ef34c-66d2-4b2e-8f4c-446333cf68bd</t>
  </si>
  <si>
    <t>THEODORUS</t>
  </si>
  <si>
    <t>DE LANGE</t>
  </si>
  <si>
    <t>27825517006</t>
  </si>
  <si>
    <t>14500944</t>
  </si>
  <si>
    <t>582783cb-75e8-43af-bd60-366956d16b10</t>
  </si>
  <si>
    <t>MUSHAISANO</t>
  </si>
  <si>
    <t>MAWELA</t>
  </si>
  <si>
    <t>2026-06-02 09:33:55</t>
  </si>
  <si>
    <t>27798811702</t>
  </si>
  <si>
    <t>14500940</t>
  </si>
  <si>
    <t>763df15f-c0d0-4612-be79-3fce5488d741</t>
  </si>
  <si>
    <t>BUKELWA</t>
  </si>
  <si>
    <t>MAVATA</t>
  </si>
  <si>
    <t>2026-06-02 09:33:54</t>
  </si>
  <si>
    <t>27726816360</t>
  </si>
  <si>
    <t>14500941</t>
  </si>
  <si>
    <t>89f73ec1-b740-429f-b251-374fcfc34a18</t>
  </si>
  <si>
    <t>STEFAN</t>
  </si>
  <si>
    <t>JACOBS</t>
  </si>
  <si>
    <t>27723857534</t>
  </si>
  <si>
    <t>14500942</t>
  </si>
  <si>
    <t>9489cee1-cdc5-4c6f-84ec-905e086c1a32</t>
  </si>
  <si>
    <t>MATTHYSEN</t>
  </si>
  <si>
    <t>27827417653</t>
  </si>
  <si>
    <t>14500943</t>
  </si>
  <si>
    <t>4c2091c4-9a88-4c58-81a9-574d470cd87c</t>
  </si>
  <si>
    <t>VOSLOO</t>
  </si>
  <si>
    <t>27798983705</t>
  </si>
  <si>
    <t>14500939</t>
  </si>
  <si>
    <t>3df708cd-20e4-4e38-a941-e849db9998fa</t>
  </si>
  <si>
    <t>MTHANDENI</t>
  </si>
  <si>
    <t>2026-06-02 09:33:51</t>
  </si>
  <si>
    <t>27828280982</t>
  </si>
  <si>
    <t>14500936</t>
  </si>
  <si>
    <t>c05a8a25-8b67-49a4-aded-7107b6b2fa9f</t>
  </si>
  <si>
    <t>BEYERS</t>
  </si>
  <si>
    <t>2026-06-02 09:33:46</t>
  </si>
  <si>
    <t>27826666806</t>
  </si>
  <si>
    <t>14500693</t>
  </si>
  <si>
    <t>3eb374f4-2358-4ad4-ad7f-ab9a278a7a0c</t>
  </si>
  <si>
    <t>FADZAI</t>
  </si>
  <si>
    <t>MUSHORIWA</t>
  </si>
  <si>
    <t>2026-06-02 09:33:31</t>
  </si>
  <si>
    <t>27767473291</t>
  </si>
  <si>
    <t>14500691</t>
  </si>
  <si>
    <t>ef6295da-8f69-482b-b625-87c04fa3c0cb</t>
  </si>
  <si>
    <t>MELINDA</t>
  </si>
  <si>
    <t>2026-06-02 09:33:29</t>
  </si>
  <si>
    <t>27662271082</t>
  </si>
  <si>
    <t>14500690</t>
  </si>
  <si>
    <t>7a2295d1-226c-4b81-a4cd-9102ee5d9c79</t>
  </si>
  <si>
    <t>CORNELIUS</t>
  </si>
  <si>
    <t>MOLOBI</t>
  </si>
  <si>
    <t>2026-06-02 09:33:28</t>
  </si>
  <si>
    <t>27724242856</t>
  </si>
  <si>
    <t>14500688</t>
  </si>
  <si>
    <t>1187b947-79fd-4166-98b3-a417ce327aaa</t>
  </si>
  <si>
    <t>NOKULUNGA</t>
  </si>
  <si>
    <t>MDLADLA</t>
  </si>
  <si>
    <t>2026-06-02 09:33:24</t>
  </si>
  <si>
    <t>27722390570</t>
  </si>
  <si>
    <t>14500687</t>
  </si>
  <si>
    <t>92571ca8-0be3-4788-af55-e72094ebfba7</t>
  </si>
  <si>
    <t>MASANGO</t>
  </si>
  <si>
    <t>2026-06-02 09:33:21</t>
  </si>
  <si>
    <t>27637761580</t>
  </si>
  <si>
    <t>14500683</t>
  </si>
  <si>
    <t>b11ed7ec-057d-433d-bc57-c5df40f81604</t>
  </si>
  <si>
    <t>VAN DER BANK</t>
  </si>
  <si>
    <t>2026-06-02 09:33:04</t>
  </si>
  <si>
    <t>27827851336</t>
  </si>
  <si>
    <t>14500684</t>
  </si>
  <si>
    <t>03a0445a-a300-4f07-b137-ae0f0763df2d</t>
  </si>
  <si>
    <t>KEOTSHEPILE</t>
  </si>
  <si>
    <t>SEJAKANE</t>
  </si>
  <si>
    <t>27636564607</t>
  </si>
  <si>
    <t>14500686</t>
  </si>
  <si>
    <t>11b803a5-4810-4e81-8fbc-895539e6ac33</t>
  </si>
  <si>
    <t>GAIL</t>
  </si>
  <si>
    <t>CLACK</t>
  </si>
  <si>
    <t>27662310697</t>
  </si>
  <si>
    <t>14500682</t>
  </si>
  <si>
    <t>908ca081-87a7-48f4-aed2-cc6a01ee1ebe</t>
  </si>
  <si>
    <t>STEPHANIE</t>
  </si>
  <si>
    <t>WARIES</t>
  </si>
  <si>
    <t>2026-06-02 09:32:58</t>
  </si>
  <si>
    <t>27648591512</t>
  </si>
  <si>
    <t>14500681</t>
  </si>
  <si>
    <t>669e2655-5459-4371-b61c-9f54c3dc7f3c</t>
  </si>
  <si>
    <t>JOACHIM</t>
  </si>
  <si>
    <t>JANEKE</t>
  </si>
  <si>
    <t>2026-06-02 09:32:55</t>
  </si>
  <si>
    <t>27826988972</t>
  </si>
  <si>
    <t>14500678</t>
  </si>
  <si>
    <t>f48f1b38-2830-4ab4-b20f-ca3e72330c94</t>
  </si>
  <si>
    <t>KORFF</t>
  </si>
  <si>
    <t>2026-06-02 09:32:53</t>
  </si>
  <si>
    <t>27764007782</t>
  </si>
  <si>
    <t>14500675</t>
  </si>
  <si>
    <t>8692fdbd-c5ff-4970-8a28-5a0a4ad6f245</t>
  </si>
  <si>
    <t>MIEKE</t>
  </si>
  <si>
    <t>HAUPTFLEISCH</t>
  </si>
  <si>
    <t>2026-06-02 09:32:51</t>
  </si>
  <si>
    <t>27662049271</t>
  </si>
  <si>
    <t>14500676</t>
  </si>
  <si>
    <t>d299413c-72e7-46ce-990b-d6fca10c1ed6</t>
  </si>
  <si>
    <t>CARO-MARIE</t>
  </si>
  <si>
    <t>GOUWS</t>
  </si>
  <si>
    <t>27828041035</t>
  </si>
  <si>
    <t>14500677</t>
  </si>
  <si>
    <t>3a2fdd79-9753-47f2-a6af-47e6e92ed632</t>
  </si>
  <si>
    <t>SEGOMOTSI</t>
  </si>
  <si>
    <t>PULE</t>
  </si>
  <si>
    <t>27823965555</t>
  </si>
  <si>
    <t>14500669</t>
  </si>
  <si>
    <t>af6a7eab-f789-4c20-923a-dd5bb282b378</t>
  </si>
  <si>
    <t>MOLOKO</t>
  </si>
  <si>
    <t>MAKGAKGA</t>
  </si>
  <si>
    <t>2026-06-02 09:32:49</t>
  </si>
  <si>
    <t>27797599825</t>
  </si>
  <si>
    <t>14500671</t>
  </si>
  <si>
    <t>a4415b7f-1a6e-4e40-8a37-ffa9ceec6eff</t>
  </si>
  <si>
    <t>ANITA</t>
  </si>
  <si>
    <t>MAKINANA</t>
  </si>
  <si>
    <t>27827947962</t>
  </si>
  <si>
    <t>14500672</t>
  </si>
  <si>
    <t>bdc5b58c-0c2b-4378-b04f-d48d1ec6e867</t>
  </si>
  <si>
    <t>NICOLET</t>
  </si>
  <si>
    <t>BARANSKY</t>
  </si>
  <si>
    <t>27724256969</t>
  </si>
  <si>
    <t>14501869</t>
  </si>
  <si>
    <t>d2c3c0b5-482c-4aa1-a74c-67be9245fd30</t>
  </si>
  <si>
    <t>SWEETNESS</t>
  </si>
  <si>
    <t>27739267028</t>
  </si>
  <si>
    <t>14500667</t>
  </si>
  <si>
    <t>8b6fad8d-5022-46a1-9aab-2223d8df7fdd</t>
  </si>
  <si>
    <t>SIBEKO</t>
  </si>
  <si>
    <t>2026-06-02 09:32:12</t>
  </si>
  <si>
    <t>27768479580</t>
  </si>
  <si>
    <t>14500668</t>
  </si>
  <si>
    <t>3d456f2b-a6a1-4926-a3d3-f3eb582b186a</t>
  </si>
  <si>
    <t>SIMTHANDILE</t>
  </si>
  <si>
    <t>BOBOTYANA</t>
  </si>
  <si>
    <t>2026-06-02 09:32:10</t>
  </si>
  <si>
    <t>27768041178</t>
  </si>
  <si>
    <t>14500666</t>
  </si>
  <si>
    <t>f9856240-f53b-4bf1-9069-322d35ecddac</t>
  </si>
  <si>
    <t>SHIREEN</t>
  </si>
  <si>
    <t>ALMANZA</t>
  </si>
  <si>
    <t>2026-06-02 09:32:08</t>
  </si>
  <si>
    <t>27722909325</t>
  </si>
  <si>
    <t>14501398</t>
  </si>
  <si>
    <t>45e3b74c-d920-421a-9ec4-97d4a5d2ddea</t>
  </si>
  <si>
    <t>GLORIA</t>
  </si>
  <si>
    <t>MOGOTLHONG</t>
  </si>
  <si>
    <t>2026-06-02 09:32:04</t>
  </si>
  <si>
    <t>27766370043</t>
  </si>
  <si>
    <t>14500664</t>
  </si>
  <si>
    <t>98a0d74c-e853-4bb2-acc8-d73722e8d9dd</t>
  </si>
  <si>
    <t>MGWABA</t>
  </si>
  <si>
    <t>2026-06-02 09:31:59</t>
  </si>
  <si>
    <t>27827571151</t>
  </si>
  <si>
    <t>14500902</t>
  </si>
  <si>
    <t>72ad07ad-41c7-4232-972b-3c1f46281bf1</t>
  </si>
  <si>
    <t>MAIMONIS</t>
  </si>
  <si>
    <t>2026-06-02 09:31:58</t>
  </si>
  <si>
    <t>27795225487</t>
  </si>
  <si>
    <t>14500898</t>
  </si>
  <si>
    <t>7e8dc170-f493-44af-b1eb-2a3c6cffff6e</t>
  </si>
  <si>
    <t>EMMA</t>
  </si>
  <si>
    <t>STAVRAKIS</t>
  </si>
  <si>
    <t>2026-06-02 09:31:57</t>
  </si>
  <si>
    <t>27824122003</t>
  </si>
  <si>
    <t>14500899</t>
  </si>
  <si>
    <t>673916bb-584d-478b-8e17-3da7cf227ac2</t>
  </si>
  <si>
    <t>MAMOLOGADI</t>
  </si>
  <si>
    <t>MOTAU</t>
  </si>
  <si>
    <t>27768762152</t>
  </si>
  <si>
    <t>14500900</t>
  </si>
  <si>
    <t>94f09f1c-0722-4ebe-8221-5c3a072497e7</t>
  </si>
  <si>
    <t>DIKETSO</t>
  </si>
  <si>
    <t>SENYANE</t>
  </si>
  <si>
    <t>27769893159</t>
  </si>
  <si>
    <t>14500885</t>
  </si>
  <si>
    <t>9930cb60-6d2e-40a4-a948-eb382f01e088</t>
  </si>
  <si>
    <t>SADE</t>
  </si>
  <si>
    <t>2026-06-02 09:31:54</t>
  </si>
  <si>
    <t>27662965724</t>
  </si>
  <si>
    <t>14500884</t>
  </si>
  <si>
    <t>9e1fa820-1e84-47a6-bcbd-352440c1a68a</t>
  </si>
  <si>
    <t>SUSARA</t>
  </si>
  <si>
    <t>2026-06-02 09:31:53</t>
  </si>
  <si>
    <t>27823204766</t>
  </si>
  <si>
    <t>14500883</t>
  </si>
  <si>
    <t>13c34b36-6798-4b9d-a206-03e0a165199f</t>
  </si>
  <si>
    <t>NGWANATHEKO</t>
  </si>
  <si>
    <t>NKOPODI</t>
  </si>
  <si>
    <t>2026-06-02 09:31:50</t>
  </si>
  <si>
    <t>27761295870</t>
  </si>
  <si>
    <t>14500882</t>
  </si>
  <si>
    <t>7475184a-264f-4cf4-b9b4-5a1a868e75b0</t>
  </si>
  <si>
    <t>ELSIE</t>
  </si>
  <si>
    <t>2026-06-02 09:31:46</t>
  </si>
  <si>
    <t>27662510206</t>
  </si>
  <si>
    <t>14500881</t>
  </si>
  <si>
    <t>f1b76e6a-d123-4bdc-b9fd-4540ab736782</t>
  </si>
  <si>
    <t>AUDREY</t>
  </si>
  <si>
    <t>2026-06-02 09:31:45</t>
  </si>
  <si>
    <t>27828261079</t>
  </si>
  <si>
    <t>14500880</t>
  </si>
  <si>
    <t>329e253f-b253-40e3-b1e5-5d142d62e50f</t>
  </si>
  <si>
    <t>ROBYN</t>
  </si>
  <si>
    <t>BUNT</t>
  </si>
  <si>
    <t>2026-06-02 09:31:44</t>
  </si>
  <si>
    <t>27720880188</t>
  </si>
  <si>
    <t>14501638</t>
  </si>
  <si>
    <t>1ed4f899-80c0-4a42-a329-fdf3f2f123e7</t>
  </si>
  <si>
    <t>SITHEMBILE</t>
  </si>
  <si>
    <t>2026-06-02 09:31:36</t>
  </si>
  <si>
    <t>27636578926</t>
  </si>
  <si>
    <t>14500714</t>
  </si>
  <si>
    <t>c4711de9-8aa1-4ad0-a7bd-822f83f87019</t>
  </si>
  <si>
    <t>JOSE</t>
  </si>
  <si>
    <t>CAMACHO</t>
  </si>
  <si>
    <t>2026-06-02 09:30:26</t>
  </si>
  <si>
    <t>27716083300</t>
  </si>
  <si>
    <t>14500712</t>
  </si>
  <si>
    <t>961d2f96-92d8-4e45-8381-1f6c9e865d39</t>
  </si>
  <si>
    <t>PHASHA</t>
  </si>
  <si>
    <t>2026-06-02 09:30:25</t>
  </si>
  <si>
    <t>27712584510</t>
  </si>
  <si>
    <t>14500711</t>
  </si>
  <si>
    <t>8c659e77-5d0c-4d5b-af93-185afa4f40c1</t>
  </si>
  <si>
    <t>2026-06-02 09:30:24</t>
  </si>
  <si>
    <t>27739092679</t>
  </si>
  <si>
    <t>14500710</t>
  </si>
  <si>
    <t>03b188f8-f726-4c50-abab-ea85522beeed</t>
  </si>
  <si>
    <t>2026-06-02 09:30:21</t>
  </si>
  <si>
    <t>27646827464</t>
  </si>
  <si>
    <t>14500708</t>
  </si>
  <si>
    <t>9b3de66e-d8ac-43a3-96b0-fead419e2f0e</t>
  </si>
  <si>
    <t>EDWIN</t>
  </si>
  <si>
    <t>SEKGODIANA</t>
  </si>
  <si>
    <t>2026-06-02 09:30:20</t>
  </si>
  <si>
    <t>27711443952</t>
  </si>
  <si>
    <t>14500704</t>
  </si>
  <si>
    <t>f555de52-5879-44e8-9ad7-392897457989</t>
  </si>
  <si>
    <t>AMOS</t>
  </si>
  <si>
    <t>MAZABANE</t>
  </si>
  <si>
    <t>2026-06-02 09:30:16</t>
  </si>
  <si>
    <t>27723491281</t>
  </si>
  <si>
    <t>14500705</t>
  </si>
  <si>
    <t>9e34a7aa-2d01-4341-9419-cd71a1c60d1d</t>
  </si>
  <si>
    <t>NOMPUMEZO</t>
  </si>
  <si>
    <t>MDENA</t>
  </si>
  <si>
    <t>27609023573</t>
  </si>
  <si>
    <t>14500706</t>
  </si>
  <si>
    <t>92a21c5e-748a-40f2-8862-073ac4e785e4</t>
  </si>
  <si>
    <t>MATHYS</t>
  </si>
  <si>
    <t>ENSLIN</t>
  </si>
  <si>
    <t>27795272480</t>
  </si>
  <si>
    <t>14501726</t>
  </si>
  <si>
    <t>d846fb16-e2a1-4fa7-bf9d-260e1011b432</t>
  </si>
  <si>
    <t>PINKIE</t>
  </si>
  <si>
    <t>GAJU</t>
  </si>
  <si>
    <t>27716027375</t>
  </si>
  <si>
    <t>14500703</t>
  </si>
  <si>
    <t>9192d79b-efdf-4ea5-b361-d81fbab6fd8e</t>
  </si>
  <si>
    <t>JENNY</t>
  </si>
  <si>
    <t>LILL</t>
  </si>
  <si>
    <t>2026-06-02 09:30:15</t>
  </si>
  <si>
    <t>27741146492</t>
  </si>
  <si>
    <t>14500702</t>
  </si>
  <si>
    <t>732e69c7-0751-4bd3-b3be-3dc941bfa5a0</t>
  </si>
  <si>
    <t>ZAINAP</t>
  </si>
  <si>
    <t>JESMINE</t>
  </si>
  <si>
    <t>2026-06-02 09:30:13</t>
  </si>
  <si>
    <t>27664736603</t>
  </si>
  <si>
    <t>14500912</t>
  </si>
  <si>
    <t>4d997cb9-4a93-4954-98bb-d458ca52ec44</t>
  </si>
  <si>
    <t>LIVHUWANI</t>
  </si>
  <si>
    <t>27606571059</t>
  </si>
  <si>
    <t>14500911</t>
  </si>
  <si>
    <t>e600b331-43d9-4ebf-9a87-95df16960852</t>
  </si>
  <si>
    <t>VAN TONDER</t>
  </si>
  <si>
    <t>2026-06-02 09:30:12</t>
  </si>
  <si>
    <t>27828040735</t>
  </si>
  <si>
    <t>14500910</t>
  </si>
  <si>
    <t>dce2c1c5-d0dc-47dc-9330-9f878dda70ac</t>
  </si>
  <si>
    <t>VERNON</t>
  </si>
  <si>
    <t>JOUBERT</t>
  </si>
  <si>
    <t>2026-06-02 09:29:37</t>
  </si>
  <si>
    <t>27674067363</t>
  </si>
  <si>
    <t>14500907</t>
  </si>
  <si>
    <t>541b13f7-f942-418e-b395-97df2554b9c5</t>
  </si>
  <si>
    <t>CHERYL</t>
  </si>
  <si>
    <t>KNIGHT</t>
  </si>
  <si>
    <t>2026-06-02 09:29:33</t>
  </si>
  <si>
    <t>27824381641</t>
  </si>
  <si>
    <t>14500901</t>
  </si>
  <si>
    <t>ea6925d8-fe12-462d-a527-e0ca73ab2754</t>
  </si>
  <si>
    <t>ROLEAN</t>
  </si>
  <si>
    <t>2026-06-02 09:29:25</t>
  </si>
  <si>
    <t>27714200953</t>
  </si>
  <si>
    <t>14500903</t>
  </si>
  <si>
    <t>a668b05f-736e-4c51-a518-adb1450d85f6</t>
  </si>
  <si>
    <t>EMERALD</t>
  </si>
  <si>
    <t>27822911333</t>
  </si>
  <si>
    <t>14500904</t>
  </si>
  <si>
    <t>766fc34b-6670-427a-997c-0e9ff8e980b5</t>
  </si>
  <si>
    <t>RADZILANI</t>
  </si>
  <si>
    <t>27720195850</t>
  </si>
  <si>
    <t>14500905</t>
  </si>
  <si>
    <t>6b17ce56-b1ea-4f3c-ae2f-edb6dd92323a</t>
  </si>
  <si>
    <t>TSHEPHO</t>
  </si>
  <si>
    <t>27768001609</t>
  </si>
  <si>
    <t>14501004</t>
  </si>
  <si>
    <t>1aed0d45-a1f8-4b0c-aa93-06f4f7d891e2</t>
  </si>
  <si>
    <t>2026-06-02 09:29:12</t>
  </si>
  <si>
    <t>27823704284</t>
  </si>
  <si>
    <t>14501005</t>
  </si>
  <si>
    <t>affeebce-da6f-46fd-9892-ac7ca5024e6d</t>
  </si>
  <si>
    <t>SAUL</t>
  </si>
  <si>
    <t>PAULSEN</t>
  </si>
  <si>
    <t>27725870793</t>
  </si>
  <si>
    <t>14501003</t>
  </si>
  <si>
    <t>38872beb-853d-4247-b1eb-1d6f827b399c</t>
  </si>
  <si>
    <t>GLORY</t>
  </si>
  <si>
    <t>MOKOBAKI</t>
  </si>
  <si>
    <t>2026-06-02 09:29:10</t>
  </si>
  <si>
    <t>27828367495</t>
  </si>
  <si>
    <t>14500998</t>
  </si>
  <si>
    <t>5592fde3-474f-4e62-a6d0-d4cf04d94032</t>
  </si>
  <si>
    <t>DANBRI</t>
  </si>
  <si>
    <t>2026-06-02 09:29:07</t>
  </si>
  <si>
    <t>27607573928</t>
  </si>
  <si>
    <t>14500999</t>
  </si>
  <si>
    <t>e8cbd442-147f-4b56-88a8-e372cc2fa72d</t>
  </si>
  <si>
    <t>WIEDAAH</t>
  </si>
  <si>
    <t>FISHER</t>
  </si>
  <si>
    <t>27662415575</t>
  </si>
  <si>
    <t>14501002</t>
  </si>
  <si>
    <t>d48fa536-e881-4cc9-8f5e-b83ff84e1c6d</t>
  </si>
  <si>
    <t>DOREEN</t>
  </si>
  <si>
    <t>RAMOKOKA</t>
  </si>
  <si>
    <t>27712755053</t>
  </si>
  <si>
    <t>14500997</t>
  </si>
  <si>
    <t>760edccc-3da4-4499-ab25-ecb88dc2785b</t>
  </si>
  <si>
    <t>KUBENTHREE</t>
  </si>
  <si>
    <t>GANESS</t>
  </si>
  <si>
    <t>2026-06-02 09:29:06</t>
  </si>
  <si>
    <t>27610198335</t>
  </si>
  <si>
    <t>14500996</t>
  </si>
  <si>
    <t>6e49851f-78d8-4590-baf0-e65b10a2026d</t>
  </si>
  <si>
    <t>RUTH</t>
  </si>
  <si>
    <t>ABRAHAMS</t>
  </si>
  <si>
    <t>2026-06-02 09:28:45</t>
  </si>
  <si>
    <t>27827835137</t>
  </si>
  <si>
    <t>14500995</t>
  </si>
  <si>
    <t>88790f6c-75bb-4c5f-b7e8-85fe3dc22926</t>
  </si>
  <si>
    <t>MNQONYWA</t>
  </si>
  <si>
    <t>2026-06-02 09:28:08</t>
  </si>
  <si>
    <t>27662016915</t>
  </si>
  <si>
    <t>14500994</t>
  </si>
  <si>
    <t>250d46dc-de9d-45d4-bafc-0fe06a011030</t>
  </si>
  <si>
    <t>NICOLAS</t>
  </si>
  <si>
    <t>VAN VUUREN</t>
  </si>
  <si>
    <t>2026-06-02 09:28:04</t>
  </si>
  <si>
    <t>27728871245</t>
  </si>
  <si>
    <t>14502009</t>
  </si>
  <si>
    <t>cf7b744a-5a83-4475-a9fa-a60c2ea2d290</t>
  </si>
  <si>
    <t>27764192211</t>
  </si>
  <si>
    <t>14500993</t>
  </si>
  <si>
    <t>48a7867f-9353-4101-8ae6-1230d9d2c7ec</t>
  </si>
  <si>
    <t>SETSHOGOE</t>
  </si>
  <si>
    <t>2026-06-02 09:28:00</t>
  </si>
  <si>
    <t>27823064745</t>
  </si>
  <si>
    <t>14500989</t>
  </si>
  <si>
    <t>d50684aa-8f27-45a7-96ff-5957ca584d97</t>
  </si>
  <si>
    <t>CYNTHIA</t>
  </si>
  <si>
    <t>SELEKE</t>
  </si>
  <si>
    <t>2026-06-02 09:27:53</t>
  </si>
  <si>
    <t>27713644904</t>
  </si>
  <si>
    <t>14500990</t>
  </si>
  <si>
    <t>7f1c752a-04d8-4844-a387-dc31fad2ff18</t>
  </si>
  <si>
    <t>DERON</t>
  </si>
  <si>
    <t>AANTHONY</t>
  </si>
  <si>
    <t>27768279145</t>
  </si>
  <si>
    <t>14500991</t>
  </si>
  <si>
    <t>2ac2772e-5e88-40aa-aca2-1acd1ed60ed5</t>
  </si>
  <si>
    <t>27795354454</t>
  </si>
  <si>
    <t>14500992</t>
  </si>
  <si>
    <t>ebff3211-3c9b-498c-b7e2-bf3b891d170c</t>
  </si>
  <si>
    <t>QUINTON</t>
  </si>
  <si>
    <t>THOMAS</t>
  </si>
  <si>
    <t>27716710504</t>
  </si>
  <si>
    <t>14500988</t>
  </si>
  <si>
    <t>a727906a-6dad-4deb-ae39-b24bc3721846</t>
  </si>
  <si>
    <t>KGANYA</t>
  </si>
  <si>
    <t>CHABA</t>
  </si>
  <si>
    <t>2026-06-02 09:27:51</t>
  </si>
  <si>
    <t>27727266418</t>
  </si>
  <si>
    <t>14500987</t>
  </si>
  <si>
    <t>a81863b4-3568-4e91-8a9d-ad6cff4243dc</t>
  </si>
  <si>
    <t>KAFUREEKA</t>
  </si>
  <si>
    <t>2026-06-02 09:27:47</t>
  </si>
  <si>
    <t>27727030025</t>
  </si>
  <si>
    <t>14500986</t>
  </si>
  <si>
    <t>b78dbcbd-9ea1-4a67-8b1f-bbc23b4af4df</t>
  </si>
  <si>
    <t>JOHAN</t>
  </si>
  <si>
    <t>2026-06-02 09:27:46</t>
  </si>
  <si>
    <t>27642414198</t>
  </si>
  <si>
    <t>14500985</t>
  </si>
  <si>
    <t>1bfcd111-24b6-490a-88b0-96d7e28f8ee4</t>
  </si>
  <si>
    <t>JOHANETTE</t>
  </si>
  <si>
    <t>DE JAGER</t>
  </si>
  <si>
    <t>2026-06-02 09:27:44</t>
  </si>
  <si>
    <t>27828764701</t>
  </si>
  <si>
    <t>14500981</t>
  </si>
  <si>
    <t>b3d75558-1ddc-44a5-9fb4-e2697f1f9e13</t>
  </si>
  <si>
    <t>SHUDUFHADZA</t>
  </si>
  <si>
    <t>MAGWABENI</t>
  </si>
  <si>
    <t>2026-06-02 09:27:43</t>
  </si>
  <si>
    <t>27823362001</t>
  </si>
  <si>
    <t>14500982</t>
  </si>
  <si>
    <t>ee096d31-9e82-4dce-b3b8-a7803716ac07</t>
  </si>
  <si>
    <t>MAZIBUKO</t>
  </si>
  <si>
    <t>27713448797</t>
  </si>
  <si>
    <t>14500983</t>
  </si>
  <si>
    <t>b7bf920e-cfde-4fa3-9006-2c2705454924</t>
  </si>
  <si>
    <t>MOTHIBI</t>
  </si>
  <si>
    <t>MOTITSWANE</t>
  </si>
  <si>
    <t>27764401653</t>
  </si>
  <si>
    <t>14500979</t>
  </si>
  <si>
    <t>beb405de-84f9-4598-b528-d43d27402a6f</t>
  </si>
  <si>
    <t>O</t>
  </si>
  <si>
    <t>THORPE</t>
  </si>
  <si>
    <t>2026-06-02 09:27:42</t>
  </si>
  <si>
    <t>27662246654</t>
  </si>
  <si>
    <t>14501445</t>
  </si>
  <si>
    <t>70b091d1-93eb-4c72-b213-4c94b0ce2a44</t>
  </si>
  <si>
    <t>SYLVIA</t>
  </si>
  <si>
    <t>NDLOVU</t>
  </si>
  <si>
    <t>2026-06-02 09:27:14</t>
  </si>
  <si>
    <t>27767370438</t>
  </si>
  <si>
    <t>14501443</t>
  </si>
  <si>
    <t>6083f96a-793f-45f5-9acc-dbe42f4b89b2</t>
  </si>
  <si>
    <t>2026-06-02 09:27:10</t>
  </si>
  <si>
    <t>27796779481</t>
  </si>
  <si>
    <t>14501440</t>
  </si>
  <si>
    <t>9311b1ff-7bb8-472c-9569-9669f9d58df4</t>
  </si>
  <si>
    <t>NELLY</t>
  </si>
  <si>
    <t>MOITSE</t>
  </si>
  <si>
    <t>2026-06-02 09:27:05</t>
  </si>
  <si>
    <t>27714086228</t>
  </si>
  <si>
    <t>14501441</t>
  </si>
  <si>
    <t>f6ba7421-be8b-40a5-b446-49999420790e</t>
  </si>
  <si>
    <t>ELMARE</t>
  </si>
  <si>
    <t>27637720344</t>
  </si>
  <si>
    <t>14501442</t>
  </si>
  <si>
    <t>c965c512-8ea5-41e4-82dd-55482533c167</t>
  </si>
  <si>
    <t>JAKO</t>
  </si>
  <si>
    <t>27767922799</t>
  </si>
  <si>
    <t>14501394</t>
  </si>
  <si>
    <t>42e8e03c-9373-4705-8def-8b9688c75910</t>
  </si>
  <si>
    <t>SETTY</t>
  </si>
  <si>
    <t>2026-06-02 09:26:31</t>
  </si>
  <si>
    <t>27818806907</t>
  </si>
  <si>
    <t>14501408</t>
  </si>
  <si>
    <t>7c4d1cba-2193-4ba3-a9a0-13abb4c3fbd5</t>
  </si>
  <si>
    <t>PUMEZA</t>
  </si>
  <si>
    <t>MNGONYAMA</t>
  </si>
  <si>
    <t>2026-06-02 09:26:16</t>
  </si>
  <si>
    <t>27823031701</t>
  </si>
  <si>
    <t>14501409</t>
  </si>
  <si>
    <t>e865169b-95ef-488b-a22b-d1154f5b077d</t>
  </si>
  <si>
    <t>27796506250</t>
  </si>
  <si>
    <t>14501170</t>
  </si>
  <si>
    <t>ba5407f3-ea8a-495d-a9e1-cee90c13cc31</t>
  </si>
  <si>
    <t>SIMELANE</t>
  </si>
  <si>
    <t>2026-06-02 09:25:48</t>
  </si>
  <si>
    <t>27824252530</t>
  </si>
  <si>
    <t>14501405</t>
  </si>
  <si>
    <t>405b8047-aaba-4332-95df-1fc15263e099</t>
  </si>
  <si>
    <t>27769816766</t>
  </si>
  <si>
    <t>14501404</t>
  </si>
  <si>
    <t>248dc797-de4f-4110-81f3-2ab67fb3f478</t>
  </si>
  <si>
    <t>VAN ASSCHE</t>
  </si>
  <si>
    <t>2026-06-02 09:25:40</t>
  </si>
  <si>
    <t>27711304704</t>
  </si>
  <si>
    <t>14501403</t>
  </si>
  <si>
    <t>a819b22b-8cc2-4e7a-b02b-73450891672e</t>
  </si>
  <si>
    <t>JAUN-RE</t>
  </si>
  <si>
    <t>2026-06-02 09:25:37</t>
  </si>
  <si>
    <t>27725425872</t>
  </si>
  <si>
    <t>14501402</t>
  </si>
  <si>
    <t>1b973391-d873-4920-8126-377b9924a8fd</t>
  </si>
  <si>
    <t>BONISWA</t>
  </si>
  <si>
    <t>MASHILOANE</t>
  </si>
  <si>
    <t>2026-06-02 09:25:25</t>
  </si>
  <si>
    <t>27798628409</t>
  </si>
  <si>
    <t>14501401</t>
  </si>
  <si>
    <t>49c60a45-2184-468f-9362-70d0d9c66fae</t>
  </si>
  <si>
    <t>2026-06-02 09:25:24</t>
  </si>
  <si>
    <t>27797120202</t>
  </si>
  <si>
    <t>14501399</t>
  </si>
  <si>
    <t>6b409dd9-0d2f-4108-887c-0b7ddea00c88</t>
  </si>
  <si>
    <t>SOEKOE</t>
  </si>
  <si>
    <t>2026-06-02 09:25:23</t>
  </si>
  <si>
    <t>27764344362</t>
  </si>
  <si>
    <t>14501396</t>
  </si>
  <si>
    <t>6247743d-07f1-4cd9-9b53-372a050c04b2</t>
  </si>
  <si>
    <t>JOLANDE</t>
  </si>
  <si>
    <t>2026-06-02 09:25:22</t>
  </si>
  <si>
    <t>27792454869</t>
  </si>
  <si>
    <t>14501397</t>
  </si>
  <si>
    <t>caa6cb1e-8e52-4745-9d5e-0182981b7279</t>
  </si>
  <si>
    <t>EKRON</t>
  </si>
  <si>
    <t>27649032622</t>
  </si>
  <si>
    <t>14501393</t>
  </si>
  <si>
    <t>82a39f39-2e2d-4f0e-9dba-3472e62d4c46</t>
  </si>
  <si>
    <t>MAHLAGAUME</t>
  </si>
  <si>
    <t>2026-06-02 09:25:21</t>
  </si>
  <si>
    <t>27825584074</t>
  </si>
  <si>
    <t>14500830</t>
  </si>
  <si>
    <t>8e39a773-2fc0-411e-9f5e-69671d9309dc</t>
  </si>
  <si>
    <t>COLLEN</t>
  </si>
  <si>
    <t>2026-06-02 09:25:13</t>
  </si>
  <si>
    <t>27766475901</t>
  </si>
  <si>
    <t>14500829</t>
  </si>
  <si>
    <t>73e526dd-258d-4f98-b908-6e4e14b66acb</t>
  </si>
  <si>
    <t>2026-06-02 09:25:01</t>
  </si>
  <si>
    <t>27726420613</t>
  </si>
  <si>
    <t>14500828</t>
  </si>
  <si>
    <t>93ce70d8-847c-4706-93e7-b0f21ed62c92</t>
  </si>
  <si>
    <t>2026-06-02 09:24:59</t>
  </si>
  <si>
    <t>27793317886</t>
  </si>
  <si>
    <t>14500841</t>
  </si>
  <si>
    <t>db6ae21e-7a90-4607-83b1-35e823969b44</t>
  </si>
  <si>
    <t>MAMFIKILA</t>
  </si>
  <si>
    <t>2026-06-02 09:24:32</t>
  </si>
  <si>
    <t>27607478665</t>
  </si>
  <si>
    <t>14500826</t>
  </si>
  <si>
    <t>ec6f7128-f4fe-4a98-80f0-7b2e42f8ee0a</t>
  </si>
  <si>
    <t>GAAMANGWE</t>
  </si>
  <si>
    <t>GAOTSENWE</t>
  </si>
  <si>
    <t>2026-06-02 09:24:29</t>
  </si>
  <si>
    <t>27825745902</t>
  </si>
  <si>
    <t>14500827</t>
  </si>
  <si>
    <t>a56db502-318a-4ecf-b7ee-4bbc9bf27556</t>
  </si>
  <si>
    <t>ABIGAIL</t>
  </si>
  <si>
    <t>27790199148</t>
  </si>
  <si>
    <t>14501043</t>
  </si>
  <si>
    <t>4525ddac-3401-4ef5-8096-c59721d008fc</t>
  </si>
  <si>
    <t>ERHRAIM</t>
  </si>
  <si>
    <t>27662569988</t>
  </si>
  <si>
    <t>14501392</t>
  </si>
  <si>
    <t>fede7281-8010-4171-8e9e-5079f79a18fc</t>
  </si>
  <si>
    <t>LIZEL</t>
  </si>
  <si>
    <t>2026-06-02 09:23:56</t>
  </si>
  <si>
    <t>27827600520</t>
  </si>
  <si>
    <t>14501388</t>
  </si>
  <si>
    <t>ab6631e8-7a57-4634-824a-8826f2c556df</t>
  </si>
  <si>
    <t>2026-06-02 09:23:53</t>
  </si>
  <si>
    <t>27662669589</t>
  </si>
  <si>
    <t>14501389</t>
  </si>
  <si>
    <t>bb47bce2-28fa-4d06-a765-432f680dc9cd</t>
  </si>
  <si>
    <t>MBALENTLE</t>
  </si>
  <si>
    <t>NOMANKONYANE</t>
  </si>
  <si>
    <t>27799350570</t>
  </si>
  <si>
    <t>14501390</t>
  </si>
  <si>
    <t>4d7c9517-3c57-4af3-bbc5-a3a1ad0ca001</t>
  </si>
  <si>
    <t>MATRON</t>
  </si>
  <si>
    <t>MONARENG</t>
  </si>
  <si>
    <t>27660930840</t>
  </si>
  <si>
    <t>14501391</t>
  </si>
  <si>
    <t>45ab75ad-f548-454c-9aac-2294e23668b8</t>
  </si>
  <si>
    <t>BARRY</t>
  </si>
  <si>
    <t>SAUNDERS</t>
  </si>
  <si>
    <t>27827730400</t>
  </si>
  <si>
    <t>14501387</t>
  </si>
  <si>
    <t>4a21d380-9455-4ad3-a66b-973acae0c6c4</t>
  </si>
  <si>
    <t>MEMORIA</t>
  </si>
  <si>
    <t>GODI</t>
  </si>
  <si>
    <t>2026-06-02 09:23:51</t>
  </si>
  <si>
    <t>27728913999</t>
  </si>
  <si>
    <t>14501386</t>
  </si>
  <si>
    <t>f5040129-4bec-497f-9c92-ce3c321ec749</t>
  </si>
  <si>
    <t>NOMBULELO</t>
  </si>
  <si>
    <t>THUSI</t>
  </si>
  <si>
    <t>2026-06-02 09:23:49</t>
  </si>
  <si>
    <t>27711912288</t>
  </si>
  <si>
    <t>14501381</t>
  </si>
  <si>
    <t>4ab7b01e-783c-432b-9c7d-3748f48526e0</t>
  </si>
  <si>
    <t>SIDUDUZO</t>
  </si>
  <si>
    <t>NTSHINGILA</t>
  </si>
  <si>
    <t>2026-06-02 09:23:46</t>
  </si>
  <si>
    <t>27662544889</t>
  </si>
  <si>
    <t>14501379</t>
  </si>
  <si>
    <t>987f0275-74ad-4726-a86d-34331e0b2399</t>
  </si>
  <si>
    <t>2026-06-02 09:23:42</t>
  </si>
  <si>
    <t>27766180899</t>
  </si>
  <si>
    <t>14501378</t>
  </si>
  <si>
    <t>a72e31ad-75ea-4528-a0c2-907c265fb556</t>
  </si>
  <si>
    <t>DARRYN</t>
  </si>
  <si>
    <t>SHEWITZ</t>
  </si>
  <si>
    <t>2026-06-02 09:23:40</t>
  </si>
  <si>
    <t>27721304489</t>
  </si>
  <si>
    <t>14501377</t>
  </si>
  <si>
    <t>e136db9f-4551-4126-b60a-8b465813f178</t>
  </si>
  <si>
    <t>XOTONGO</t>
  </si>
  <si>
    <t>2026-06-02 09:23:37</t>
  </si>
  <si>
    <t>27793586099</t>
  </si>
  <si>
    <t>14501364</t>
  </si>
  <si>
    <t>a0feb51a-f683-45ea-ae5d-b7c879cb1151</t>
  </si>
  <si>
    <t>VYFER</t>
  </si>
  <si>
    <t>2026-06-02 09:23:36</t>
  </si>
  <si>
    <t>27826139835</t>
  </si>
  <si>
    <t>14501365</t>
  </si>
  <si>
    <t>c370d35e-d65a-4668-9311-8c5af5353743</t>
  </si>
  <si>
    <t>SANET</t>
  </si>
  <si>
    <t>27839570195</t>
  </si>
  <si>
    <t>14501728</t>
  </si>
  <si>
    <t>e99d6450-aca9-4b7d-94dc-564f20e43272</t>
  </si>
  <si>
    <t>ASNATH</t>
  </si>
  <si>
    <t>27721895746</t>
  </si>
  <si>
    <t>14500839</t>
  </si>
  <si>
    <t>8a6a3af7-be32-46f0-b686-a5f6cc66b3d7</t>
  </si>
  <si>
    <t>ANNE-MARIE</t>
  </si>
  <si>
    <t>KLINK</t>
  </si>
  <si>
    <t>2026-06-02 09:22:19</t>
  </si>
  <si>
    <t>27832317734</t>
  </si>
  <si>
    <t>14500837</t>
  </si>
  <si>
    <t>7f887063-9a3f-4369-8567-9121c282cd28</t>
  </si>
  <si>
    <t>WILHELMINA</t>
  </si>
  <si>
    <t>2026-06-02 09:22:18</t>
  </si>
  <si>
    <t>27674067080</t>
  </si>
  <si>
    <t>14500838</t>
  </si>
  <si>
    <t>67333a4c-cf52-400b-b831-be86ae82f34d</t>
  </si>
  <si>
    <t>HENK</t>
  </si>
  <si>
    <t>BOOYSEN</t>
  </si>
  <si>
    <t>27724197370</t>
  </si>
  <si>
    <t>14501044</t>
  </si>
  <si>
    <t>4fb42657-bfae-413a-98b5-b7b578d50c50</t>
  </si>
  <si>
    <t>QUEEN</t>
  </si>
  <si>
    <t>2026-06-02 09:22:17</t>
  </si>
  <si>
    <t>27796346217</t>
  </si>
  <si>
    <t>14501046</t>
  </si>
  <si>
    <t>aa4dfc01-baac-4e12-b8a5-017e6e71f6f0</t>
  </si>
  <si>
    <t>LETIA</t>
  </si>
  <si>
    <t>27649064908</t>
  </si>
  <si>
    <t>14501347</t>
  </si>
  <si>
    <t>b5e216df-d763-4644-af28-8d6f1cea476b</t>
  </si>
  <si>
    <t>PUSELETSO</t>
  </si>
  <si>
    <t>MPHENDU</t>
  </si>
  <si>
    <t>2026-06-02 09:18:29</t>
  </si>
  <si>
    <t>27767106851</t>
  </si>
  <si>
    <t>14501344</t>
  </si>
  <si>
    <t>1fb8bd01-3ef9-4f8a-92c5-1d0b6ca522c9</t>
  </si>
  <si>
    <t>JABULANI</t>
  </si>
  <si>
    <t>HLUNGWANI</t>
  </si>
  <si>
    <t>2026-06-02 09:18:20</t>
  </si>
  <si>
    <t>27792701461</t>
  </si>
  <si>
    <t>14501731</t>
  </si>
  <si>
    <t>5dda88e7-7904-41cd-80a3-ea12a0622c41</t>
  </si>
  <si>
    <t>SHAAMEYAH</t>
  </si>
  <si>
    <t>2026-06-02 09:18:17</t>
  </si>
  <si>
    <t>27818799292</t>
  </si>
  <si>
    <t>14501376</t>
  </si>
  <si>
    <t>74188897-ded6-4abd-bff8-20235f17e0cd</t>
  </si>
  <si>
    <t>2026-06-02 09:18:12</t>
  </si>
  <si>
    <t>27825652886</t>
  </si>
  <si>
    <t>14501374</t>
  </si>
  <si>
    <t>37cd65c3-41c6-4b45-8f63-a36a30a1e9e5</t>
  </si>
  <si>
    <t>EDENIA</t>
  </si>
  <si>
    <t>MHLANGA</t>
  </si>
  <si>
    <t>2026-06-02 09:18:09</t>
  </si>
  <si>
    <t>27796247032</t>
  </si>
  <si>
    <t>14501375</t>
  </si>
  <si>
    <t>233dd548-25f0-4252-8525-f58ad0bed5c9</t>
  </si>
  <si>
    <t>MARIO</t>
  </si>
  <si>
    <t>27762606772</t>
  </si>
  <si>
    <t>14501373</t>
  </si>
  <si>
    <t>456f0168-92e7-49a5-af15-8178a2bcbf02</t>
  </si>
  <si>
    <t>HELLEN</t>
  </si>
  <si>
    <t>NGEDE</t>
  </si>
  <si>
    <t>2026-06-02 09:18:07</t>
  </si>
  <si>
    <t>27662033583</t>
  </si>
  <si>
    <t>14501372</t>
  </si>
  <si>
    <t>32ebaa72-9a93-4d29-a654-7c443c74a2e1</t>
  </si>
  <si>
    <t>APHIWE</t>
  </si>
  <si>
    <t>BANGISO</t>
  </si>
  <si>
    <t>2026-06-02 09:18:02</t>
  </si>
  <si>
    <t>27712214372</t>
  </si>
  <si>
    <t>14501371</t>
  </si>
  <si>
    <t>ef41a16e-9df1-4332-864d-623faed53fe5</t>
  </si>
  <si>
    <t>2026-06-02 09:17:57</t>
  </si>
  <si>
    <t>27724626350</t>
  </si>
  <si>
    <t>14501366</t>
  </si>
  <si>
    <t>5c6a2af6-bac4-4207-b8a1-07240d45cd12</t>
  </si>
  <si>
    <t>NOKUKHANYA</t>
  </si>
  <si>
    <t>CHAUKE</t>
  </si>
  <si>
    <t>2026-06-02 09:17:48</t>
  </si>
  <si>
    <t>27726960608</t>
  </si>
  <si>
    <t>14501368</t>
  </si>
  <si>
    <t>e0a50901-915b-48e8-b68e-5a4fad3a3276</t>
  </si>
  <si>
    <t>27728824716</t>
  </si>
  <si>
    <t>14501370</t>
  </si>
  <si>
    <t>7aaeeb3c-4180-4235-8667-3ad64a4c47f3</t>
  </si>
  <si>
    <t>PENUEL</t>
  </si>
  <si>
    <t>27763478016</t>
  </si>
  <si>
    <t>14501775</t>
  </si>
  <si>
    <t>a9d7d1d3-d2f4-403d-9469-661fad512cfa</t>
  </si>
  <si>
    <t>VAN DEVENTER</t>
  </si>
  <si>
    <t>27824940935</t>
  </si>
  <si>
    <t>14501367</t>
  </si>
  <si>
    <t>4fc88c19-335e-41c9-8355-f403026f9332</t>
  </si>
  <si>
    <t>COLLETTE</t>
  </si>
  <si>
    <t>2026-06-02 09:16:21</t>
  </si>
  <si>
    <t>27716892383</t>
  </si>
  <si>
    <t>14500878</t>
  </si>
  <si>
    <t>e7f6fb27-74c8-4e7d-95a9-f6edcce797e4</t>
  </si>
  <si>
    <t>NONTOKOZO</t>
  </si>
  <si>
    <t>2026-06-02 09:16:12</t>
  </si>
  <si>
    <t>27764978410</t>
  </si>
  <si>
    <t>14500877</t>
  </si>
  <si>
    <t>e5eb17ea-cd00-42de-a3e9-bcb6ea2a0929</t>
  </si>
  <si>
    <t>RACHEL</t>
  </si>
  <si>
    <t>MKHONTO</t>
  </si>
  <si>
    <t>2026-06-02 09:16:09</t>
  </si>
  <si>
    <t>27827663822</t>
  </si>
  <si>
    <t>14501729</t>
  </si>
  <si>
    <t>ebc2f1a0-68c0-45ab-8a85-0c65fa27e143</t>
  </si>
  <si>
    <t>HALALISANI</t>
  </si>
  <si>
    <t>BHENGU</t>
  </si>
  <si>
    <t>27815780659</t>
  </si>
  <si>
    <t>14500876</t>
  </si>
  <si>
    <t>4bc742c5-1bb8-4a29-abbb-e7a49caffc16</t>
  </si>
  <si>
    <t>2026-06-02 09:15:43</t>
  </si>
  <si>
    <t>27724705231</t>
  </si>
  <si>
    <t>14501361</t>
  </si>
  <si>
    <t>2ce27ebd-f0af-45cb-ac8c-4bfa41444011</t>
  </si>
  <si>
    <t>RINESH</t>
  </si>
  <si>
    <t>GAREEB</t>
  </si>
  <si>
    <t>2026-06-02 09:15:42</t>
  </si>
  <si>
    <t>27837093966</t>
  </si>
  <si>
    <t>14500875</t>
  </si>
  <si>
    <t>62f07a34-5476-4d13-aeb8-d4bcee45d62e</t>
  </si>
  <si>
    <t>SIYANDA</t>
  </si>
  <si>
    <t>2026-06-02 09:15:41</t>
  </si>
  <si>
    <t>27674086046</t>
  </si>
  <si>
    <t>14500873</t>
  </si>
  <si>
    <t>b1228831-2fe0-4240-9661-bf89abcae88e</t>
  </si>
  <si>
    <t>DANDRE</t>
  </si>
  <si>
    <t>MITCHELL</t>
  </si>
  <si>
    <t>2026-06-02 09:15:40</t>
  </si>
  <si>
    <t>27720754992</t>
  </si>
  <si>
    <t>14501644</t>
  </si>
  <si>
    <t>279cdf9d-bca7-4916-9fee-a407952e65f9</t>
  </si>
  <si>
    <t>DIEDERICKS</t>
  </si>
  <si>
    <t>27826587630</t>
  </si>
  <si>
    <t>14500872</t>
  </si>
  <si>
    <t>1a6714a4-1797-498e-b051-aef5bd124ce2</t>
  </si>
  <si>
    <t>HLENGIWE</t>
  </si>
  <si>
    <t>2026-06-02 09:15:36</t>
  </si>
  <si>
    <t>27662540091</t>
  </si>
  <si>
    <t>14500871</t>
  </si>
  <si>
    <t>a6009431-3fa4-43c1-aec3-a82417861f2e</t>
  </si>
  <si>
    <t>LINDOKUHLE</t>
  </si>
  <si>
    <t>2026-06-02 09:15:34</t>
  </si>
  <si>
    <t>27715494540</t>
  </si>
  <si>
    <t>14501730</t>
  </si>
  <si>
    <t>1dc24b85-eba5-42a3-9472-a34629ee43e8</t>
  </si>
  <si>
    <t>ARCHIBALD</t>
  </si>
  <si>
    <t>MARINCOWITZ</t>
  </si>
  <si>
    <t>27662303319</t>
  </si>
  <si>
    <t>14500870</t>
  </si>
  <si>
    <t>da72b1b5-537b-4da2-a0f3-60b3b2dd5541</t>
  </si>
  <si>
    <t>MARILDA</t>
  </si>
  <si>
    <t>SCOTT</t>
  </si>
  <si>
    <t>2026-06-02 09:15:32</t>
  </si>
  <si>
    <t>27662167742</t>
  </si>
  <si>
    <t>14500868</t>
  </si>
  <si>
    <t>c7d74c4e-ad81-4cb8-8985-d1c4411c5258</t>
  </si>
  <si>
    <t>AYGERIN</t>
  </si>
  <si>
    <t>2026-06-02 09:15:29</t>
  </si>
  <si>
    <t>27662772674</t>
  </si>
  <si>
    <t>14500867</t>
  </si>
  <si>
    <t>40adea86-25f7-4832-a446-b553e910964d</t>
  </si>
  <si>
    <t>FERNANDO</t>
  </si>
  <si>
    <t>SEIROS</t>
  </si>
  <si>
    <t>2026-06-02 09:15:27</t>
  </si>
  <si>
    <t>27726248248</t>
  </si>
  <si>
    <t>14500727</t>
  </si>
  <si>
    <t>a5dbbce9-76e3-4489-8751-410ca8d80e9a</t>
  </si>
  <si>
    <t>MARCO</t>
  </si>
  <si>
    <t>COELHO</t>
  </si>
  <si>
    <t>2026-06-02 09:15:24</t>
  </si>
  <si>
    <t>27646088671</t>
  </si>
  <si>
    <t>14501363</t>
  </si>
  <si>
    <t>e7ff7acb-eb7f-49ac-88aa-4a51b83fa5e2</t>
  </si>
  <si>
    <t>THEO</t>
  </si>
  <si>
    <t>NYOKA</t>
  </si>
  <si>
    <t>2026-06-02 09:15:17</t>
  </si>
  <si>
    <t>27761810725</t>
  </si>
  <si>
    <t>14501362</t>
  </si>
  <si>
    <t>f6f1b400-1b05-4110-bf4a-790b1400faad</t>
  </si>
  <si>
    <t>REFENTSE</t>
  </si>
  <si>
    <t>LAMOLA</t>
  </si>
  <si>
    <t>2026-06-02 09:15:16</t>
  </si>
  <si>
    <t>27727339183</t>
  </si>
  <si>
    <t>14501356</t>
  </si>
  <si>
    <t>f5614689-95cc-4a68-92a1-7e33cf6c64c4</t>
  </si>
  <si>
    <t>ANDILE</t>
  </si>
  <si>
    <t>MOKGATLE</t>
  </si>
  <si>
    <t>2026-06-02 09:15:15</t>
  </si>
  <si>
    <t>27716060711</t>
  </si>
  <si>
    <t>14501358</t>
  </si>
  <si>
    <t>d5593eb2-f93b-4c95-88b2-0312ab8b6d9a</t>
  </si>
  <si>
    <t>SHAIKHNAG</t>
  </si>
  <si>
    <t>27734800941</t>
  </si>
  <si>
    <t>14501360</t>
  </si>
  <si>
    <t>fcd6892b-76c0-4aa2-b5fc-44dbaa3c2380</t>
  </si>
  <si>
    <t>JOHN-BEATTIE</t>
  </si>
  <si>
    <t>PATERSON</t>
  </si>
  <si>
    <t>27829258741</t>
  </si>
  <si>
    <t>14501355</t>
  </si>
  <si>
    <t>9b13e51e-3f34-4a53-8c51-1d2488c55f14</t>
  </si>
  <si>
    <t>FRANK</t>
  </si>
  <si>
    <t>NTEDISANG</t>
  </si>
  <si>
    <t>2026-06-02 09:15:06</t>
  </si>
  <si>
    <t>27662296378</t>
  </si>
  <si>
    <t>14501353</t>
  </si>
  <si>
    <t>9e134a9d-fc8a-40c7-a2d9-af0dc5778ccc</t>
  </si>
  <si>
    <t>LINDIWE</t>
  </si>
  <si>
    <t>MPANZA</t>
  </si>
  <si>
    <t>2026-06-02 09:15:05</t>
  </si>
  <si>
    <t>27729062939</t>
  </si>
  <si>
    <t>14501352</t>
  </si>
  <si>
    <t>4019c757-964f-4c24-ac3c-8ec935ddf697</t>
  </si>
  <si>
    <t>MOLEFI</t>
  </si>
  <si>
    <t>SEAKHOA</t>
  </si>
  <si>
    <t>2026-06-02 09:15:02</t>
  </si>
  <si>
    <t>27766808908</t>
  </si>
  <si>
    <t>14501349</t>
  </si>
  <si>
    <t>3b5dfb2c-bc32-4dbd-be15-817eb6a0e90e</t>
  </si>
  <si>
    <t>FAIEQ</t>
  </si>
  <si>
    <t>SYED</t>
  </si>
  <si>
    <t>2026-06-02 09:14:59</t>
  </si>
  <si>
    <t>27662926220</t>
  </si>
  <si>
    <t>14501351</t>
  </si>
  <si>
    <t>acf2a945-987c-465b-a37a-beec73a87836</t>
  </si>
  <si>
    <t>NGWAKETSE</t>
  </si>
  <si>
    <t>MAKWANA</t>
  </si>
  <si>
    <t>27827989302</t>
  </si>
  <si>
    <t>14501048</t>
  </si>
  <si>
    <t>56bc10ec-ffa5-44bd-8956-1bf4988fe4fa</t>
  </si>
  <si>
    <t>SUBETHRI</t>
  </si>
  <si>
    <t>2026-06-02 09:14:30</t>
  </si>
  <si>
    <t>27824047684</t>
  </si>
  <si>
    <t>14501348</t>
  </si>
  <si>
    <t>2e33c9cb-1511-42f7-a03a-133a59ee53fe</t>
  </si>
  <si>
    <t>CHRISTO</t>
  </si>
  <si>
    <t>MINNIE</t>
  </si>
  <si>
    <t>2026-06-02 09:14:19</t>
  </si>
  <si>
    <t>27649028399</t>
  </si>
  <si>
    <t>14501840</t>
  </si>
  <si>
    <t>5c46ed27-1f9d-46bb-96de-8cfde0af1910</t>
  </si>
  <si>
    <t>LINDA</t>
  </si>
  <si>
    <t>27827841779</t>
  </si>
  <si>
    <t>14501328</t>
  </si>
  <si>
    <t>170d3bcf-fcd5-4482-9ba1-7ecb65a0420d</t>
  </si>
  <si>
    <t>SFISO</t>
  </si>
  <si>
    <t>MOTHA</t>
  </si>
  <si>
    <t>2026-06-02 09:14:06</t>
  </si>
  <si>
    <t>27725398493</t>
  </si>
  <si>
    <t>14500896</t>
  </si>
  <si>
    <t>3f02d771-7496-4277-b882-273c2cabd9ec</t>
  </si>
  <si>
    <t>QABA</t>
  </si>
  <si>
    <t>MAFA</t>
  </si>
  <si>
    <t>2026-06-02 09:13:49</t>
  </si>
  <si>
    <t>27724512573</t>
  </si>
  <si>
    <t>14500892</t>
  </si>
  <si>
    <t>0e02fe67-a07b-484b-a581-50edb0b51689</t>
  </si>
  <si>
    <t>SUMAYA</t>
  </si>
  <si>
    <t>ALLI</t>
  </si>
  <si>
    <t>2026-06-02 09:13:48</t>
  </si>
  <si>
    <t>27792267639</t>
  </si>
  <si>
    <t>14500893</t>
  </si>
  <si>
    <t>bfb7d213-e3dd-4617-9319-070a12a7f2d7</t>
  </si>
  <si>
    <t>ABRIE</t>
  </si>
  <si>
    <t>27661810193</t>
  </si>
  <si>
    <t>14500894</t>
  </si>
  <si>
    <t>ad3f3384-e1ea-48ea-8256-a5184dd0926a</t>
  </si>
  <si>
    <t>CIKIZWA</t>
  </si>
  <si>
    <t>MPAPAMA</t>
  </si>
  <si>
    <t>27824248308</t>
  </si>
  <si>
    <t>14500895</t>
  </si>
  <si>
    <t>07c7c1b6-4a0b-4077-80d4-b70e7338d6a5</t>
  </si>
  <si>
    <t>BUKHOSIBAKHE</t>
  </si>
  <si>
    <t>XABENDLINI</t>
  </si>
  <si>
    <t>27794851180</t>
  </si>
  <si>
    <t>14500889</t>
  </si>
  <si>
    <t>2afd3bd9-de08-4156-8397-08c58b21f007</t>
  </si>
  <si>
    <t>SANDRA</t>
  </si>
  <si>
    <t>BATSCHER</t>
  </si>
  <si>
    <t>2026-06-02 09:13:47</t>
  </si>
  <si>
    <t>27722307810</t>
  </si>
  <si>
    <t>14500890</t>
  </si>
  <si>
    <t>2f48004f-f606-4571-9f1a-9bddea836696</t>
  </si>
  <si>
    <t>27722383749</t>
  </si>
  <si>
    <t>14500887</t>
  </si>
  <si>
    <t>d268f485-6849-49ad-b83c-cd7b942a766d</t>
  </si>
  <si>
    <t>NARE</t>
  </si>
  <si>
    <t>KGOMO</t>
  </si>
  <si>
    <t>2026-06-02 09:13:46</t>
  </si>
  <si>
    <t>27726222234</t>
  </si>
  <si>
    <t>14500888</t>
  </si>
  <si>
    <t>78863171-02c6-43bf-bcbb-dc30ef019793</t>
  </si>
  <si>
    <t>27726334657</t>
  </si>
  <si>
    <t>14500891</t>
  </si>
  <si>
    <t>d4cf2957-9a2b-4343-918d-bb58f9cd5342</t>
  </si>
  <si>
    <t>RAMANO</t>
  </si>
  <si>
    <t>27721905734</t>
  </si>
  <si>
    <t>14501732</t>
  </si>
  <si>
    <t>931a3dc8-20aa-43a2-b6df-ac16947f7bbb</t>
  </si>
  <si>
    <t>BEN</t>
  </si>
  <si>
    <t>2026-06-02 09:13:39</t>
  </si>
  <si>
    <t>27674067328</t>
  </si>
  <si>
    <t>14500886</t>
  </si>
  <si>
    <t>1c1b5090-b2ef-4f03-b00e-23d3eb7cde17</t>
  </si>
  <si>
    <t>DORCUS</t>
  </si>
  <si>
    <t>MAEMA</t>
  </si>
  <si>
    <t>2026-06-02 09:13:38</t>
  </si>
  <si>
    <t>27792474798</t>
  </si>
  <si>
    <t>14501056</t>
  </si>
  <si>
    <t>ecf13f10-28de-4a21-ab95-3917ffb04faf</t>
  </si>
  <si>
    <t>CHABALALA</t>
  </si>
  <si>
    <t>2026-06-02 09:13:36</t>
  </si>
  <si>
    <t>27662926656</t>
  </si>
  <si>
    <t>14501055</t>
  </si>
  <si>
    <t>59962e87-ea3d-49c2-9e46-faff2e21030d</t>
  </si>
  <si>
    <t>LETUMELE</t>
  </si>
  <si>
    <t>MOMPATI</t>
  </si>
  <si>
    <t>2026-06-02 09:13:31</t>
  </si>
  <si>
    <t>27828558361</t>
  </si>
  <si>
    <t>14501052</t>
  </si>
  <si>
    <t>d46f3cdc-9226-43d8-8717-291b67ede4a5</t>
  </si>
  <si>
    <t>TERSIA</t>
  </si>
  <si>
    <t>2026-06-02 09:13:27</t>
  </si>
  <si>
    <t>27823065838</t>
  </si>
  <si>
    <t>14501051</t>
  </si>
  <si>
    <t>af3e4972-4e3a-4902-b432-6851a2d52d4b</t>
  </si>
  <si>
    <t>HLOLISILE</t>
  </si>
  <si>
    <t>2026-06-02 09:13:25</t>
  </si>
  <si>
    <t>27797192032</t>
  </si>
  <si>
    <t>14501047</t>
  </si>
  <si>
    <t>7f50e461-7ea3-49f8-b575-3a0a347fec5a</t>
  </si>
  <si>
    <t>SHAUN</t>
  </si>
  <si>
    <t>HEEGER</t>
  </si>
  <si>
    <t>2026-06-02 09:13:19</t>
  </si>
  <si>
    <t>27818165380</t>
  </si>
  <si>
    <t>14501050</t>
  </si>
  <si>
    <t>da8d7aa9-401c-4f62-878c-cf3326c9d3e3</t>
  </si>
  <si>
    <t>LOFTIE-EATON</t>
  </si>
  <si>
    <t>27726222845</t>
  </si>
  <si>
    <t>14501842</t>
  </si>
  <si>
    <t>4cd8728d-a867-42e9-994d-200d3956f1a4</t>
  </si>
  <si>
    <t>ASHOKUMAR</t>
  </si>
  <si>
    <t>SEWNARAIN</t>
  </si>
  <si>
    <t>2026-06-02 09:13:18</t>
  </si>
  <si>
    <t>27714764002</t>
  </si>
  <si>
    <t>14501343</t>
  </si>
  <si>
    <t>95e407d3-6a1b-4225-a935-7ee2af181b1b</t>
  </si>
  <si>
    <t>ELS</t>
  </si>
  <si>
    <t>2026-06-02 09:12:14</t>
  </si>
  <si>
    <t>27824575324</t>
  </si>
  <si>
    <t>14501340</t>
  </si>
  <si>
    <t>eab7de3c-5c73-4b2b-b6b7-14612651fc94</t>
  </si>
  <si>
    <t>NDALA</t>
  </si>
  <si>
    <t>MDHLULI</t>
  </si>
  <si>
    <t>2026-06-02 09:12:07</t>
  </si>
  <si>
    <t>27827798001</t>
  </si>
  <si>
    <t>14501342</t>
  </si>
  <si>
    <t>6c6b2090-aac9-40c1-8a4f-1de2dad2b071</t>
  </si>
  <si>
    <t>MAPHEFO</t>
  </si>
  <si>
    <t>27662681484</t>
  </si>
  <si>
    <t>14501336</t>
  </si>
  <si>
    <t>bb62fd16-2d17-4dae-a619-44473a09d942</t>
  </si>
  <si>
    <t>BAGINILE</t>
  </si>
  <si>
    <t>NTULI</t>
  </si>
  <si>
    <t>2026-06-02 09:11:40</t>
  </si>
  <si>
    <t>27724531075</t>
  </si>
  <si>
    <t>14501337</t>
  </si>
  <si>
    <t>74082f85-15f4-403c-9edb-998f4a0b6e83</t>
  </si>
  <si>
    <t>MOHLOMI</t>
  </si>
  <si>
    <t>27736002451</t>
  </si>
  <si>
    <t>14501338</t>
  </si>
  <si>
    <t>7f34f884-8f4c-4585-83b9-7447932f4e6a</t>
  </si>
  <si>
    <t>MARUPENG</t>
  </si>
  <si>
    <t>RATOPOLA</t>
  </si>
  <si>
    <t>27716725740</t>
  </si>
  <si>
    <t>14501339</t>
  </si>
  <si>
    <t>a6748950-31c7-4cce-ab61-a08fd9202412</t>
  </si>
  <si>
    <t>27798801030</t>
  </si>
  <si>
    <t>14501335</t>
  </si>
  <si>
    <t>1357720f-f3c7-4a44-ae5a-8c5cc5252e99</t>
  </si>
  <si>
    <t>BAFANA</t>
  </si>
  <si>
    <t>2026-06-02 09:11:26</t>
  </si>
  <si>
    <t>27825609392</t>
  </si>
  <si>
    <t>14501334</t>
  </si>
  <si>
    <t>d94dc4e3-6068-4ce4-9994-aead10a17d3a</t>
  </si>
  <si>
    <t>2026-06-02 09:11:16</t>
  </si>
  <si>
    <t>27763984839</t>
  </si>
  <si>
    <t>14501332</t>
  </si>
  <si>
    <t>35558e15-3ce6-40d1-bedf-74fcd6a67358</t>
  </si>
  <si>
    <t>2026-06-02 09:11:15</t>
  </si>
  <si>
    <t>27764120273</t>
  </si>
  <si>
    <t>14501331</t>
  </si>
  <si>
    <t>a769879d-0fb9-4e8d-8b57-cb6bbb0f67cb</t>
  </si>
  <si>
    <t>DIESEL</t>
  </si>
  <si>
    <t>MASIA</t>
  </si>
  <si>
    <t>2026-06-02 09:11:10</t>
  </si>
  <si>
    <t>27725654487</t>
  </si>
  <si>
    <t>14501330</t>
  </si>
  <si>
    <t>06e5a00b-786f-468b-af88-2965b7dac3c7</t>
  </si>
  <si>
    <t>NKUKHU</t>
  </si>
  <si>
    <t>2026-06-02 09:11:08</t>
  </si>
  <si>
    <t>27793786882</t>
  </si>
  <si>
    <t>14501329</t>
  </si>
  <si>
    <t>b3799fb6-a7f7-4a47-9aaa-15d36bf8675c</t>
  </si>
  <si>
    <t>PHADIME</t>
  </si>
  <si>
    <t>THOBEJANE</t>
  </si>
  <si>
    <t>2026-06-02 09:11:07</t>
  </si>
  <si>
    <t>27763146038</t>
  </si>
  <si>
    <t>14501327</t>
  </si>
  <si>
    <t>348ee941-9e17-4037-8205-1a6dd80ad743</t>
  </si>
  <si>
    <t>2026-06-02 09:10:57</t>
  </si>
  <si>
    <t>27767927738</t>
  </si>
  <si>
    <t>14501326</t>
  </si>
  <si>
    <t>9a91ab92-e81e-40a2-bf93-d30f6fb771fa</t>
  </si>
  <si>
    <t>MALEKA</t>
  </si>
  <si>
    <t>2026-06-02 09:10:55</t>
  </si>
  <si>
    <t>27828427807</t>
  </si>
  <si>
    <t>14501322</t>
  </si>
  <si>
    <t>05ff30dc-bf78-41c1-9be5-f3a4654a865d</t>
  </si>
  <si>
    <t>GOSEKWANG</t>
  </si>
  <si>
    <t>MOHLAHLO</t>
  </si>
  <si>
    <t>2026-06-02 09:10:53</t>
  </si>
  <si>
    <t>27769035960</t>
  </si>
  <si>
    <t>14501325</t>
  </si>
  <si>
    <t>906c28de-7697-47f6-bfb2-aca75c7ab91e</t>
  </si>
  <si>
    <t>FREEMANTLE</t>
  </si>
  <si>
    <t>27797360799</t>
  </si>
  <si>
    <t>14500959</t>
  </si>
  <si>
    <t>671d6ff0-8438-40ca-846a-c8a3675d8111</t>
  </si>
  <si>
    <t>THABITHA</t>
  </si>
  <si>
    <t>KGOPANE</t>
  </si>
  <si>
    <t>2026-06-02 09:10:44</t>
  </si>
  <si>
    <t>27727569365</t>
  </si>
  <si>
    <t>14501321</t>
  </si>
  <si>
    <t>b562cb6a-6250-482f-8156-a3a38566b7c7</t>
  </si>
  <si>
    <t>LUBABALO</t>
  </si>
  <si>
    <t>TSENDZE</t>
  </si>
  <si>
    <t>27721188563</t>
  </si>
  <si>
    <t>14501320</t>
  </si>
  <si>
    <t>8a444fc7-46f5-4bb3-a246-d5aafba65eb8</t>
  </si>
  <si>
    <t>CHRISTIAAN</t>
  </si>
  <si>
    <t>LIEBENBERG</t>
  </si>
  <si>
    <t>2026-06-02 09:10:41</t>
  </si>
  <si>
    <t>27609035325</t>
  </si>
  <si>
    <t>14501300</t>
  </si>
  <si>
    <t>e5553273-7745-4703-842c-3f86e982809c</t>
  </si>
  <si>
    <t>AVENANT</t>
  </si>
  <si>
    <t>2026-06-02 09:10:38</t>
  </si>
  <si>
    <t>27662696604</t>
  </si>
  <si>
    <t>14501303</t>
  </si>
  <si>
    <t>6cac9534-fd0a-4e89-bafe-d0cf24b7e125</t>
  </si>
  <si>
    <t>LEROY</t>
  </si>
  <si>
    <t>WILTSHIRE</t>
  </si>
  <si>
    <t>27662276158</t>
  </si>
  <si>
    <t>14502027</t>
  </si>
  <si>
    <t>f7c5ba6b-ff1d-4b3b-874e-8727cebbb54f</t>
  </si>
  <si>
    <t>2026-06-02 09:10:22</t>
  </si>
  <si>
    <t>27729802908</t>
  </si>
  <si>
    <t>14501843</t>
  </si>
  <si>
    <t>c0604012-8f38-4129-8045-faa241d1f0e4</t>
  </si>
  <si>
    <t>MOOSA</t>
  </si>
  <si>
    <t>2026-06-02 09:10:20</t>
  </si>
  <si>
    <t>27641875978</t>
  </si>
  <si>
    <t>14501850</t>
  </si>
  <si>
    <t>a8f65349-baf5-46d1-91b1-5a7d560790fd</t>
  </si>
  <si>
    <t>MARIETA</t>
  </si>
  <si>
    <t>2026-06-02 09:10:16</t>
  </si>
  <si>
    <t>27823973275</t>
  </si>
  <si>
    <t>14500927</t>
  </si>
  <si>
    <t>d61a8465-4e82-471c-bef8-6bb720ee8a23</t>
  </si>
  <si>
    <t>WAYNE</t>
  </si>
  <si>
    <t>GREYLING</t>
  </si>
  <si>
    <t>2026-06-02 09:10:13</t>
  </si>
  <si>
    <t>27823400660</t>
  </si>
  <si>
    <t>14500922</t>
  </si>
  <si>
    <t>fed20cf2-984b-4553-8d60-aa8bff0eb512</t>
  </si>
  <si>
    <t>YASMIN</t>
  </si>
  <si>
    <t>ALLIE</t>
  </si>
  <si>
    <t>2026-06-02 09:10:12</t>
  </si>
  <si>
    <t>27609759951</t>
  </si>
  <si>
    <t>14500921</t>
  </si>
  <si>
    <t>28593ee0-9bef-4e0c-a28e-372046114782</t>
  </si>
  <si>
    <t>TEDROS</t>
  </si>
  <si>
    <t>AMHA</t>
  </si>
  <si>
    <t>2026-06-02 09:09:57</t>
  </si>
  <si>
    <t>27721886951</t>
  </si>
  <si>
    <t>14500920</t>
  </si>
  <si>
    <t>f969eb14-7104-42f7-b300-39d7ede25e34</t>
  </si>
  <si>
    <t>2026-06-02 09:09:54</t>
  </si>
  <si>
    <t>27723256732</t>
  </si>
  <si>
    <t>14500919</t>
  </si>
  <si>
    <t>fb2fda7c-cd8a-4a9d-9f23-9918b65a5b24</t>
  </si>
  <si>
    <t>CATHARINA</t>
  </si>
  <si>
    <t>2026-06-02 09:09:51</t>
  </si>
  <si>
    <t>27662448572</t>
  </si>
  <si>
    <t>14500917</t>
  </si>
  <si>
    <t>248350db-3ec5-491e-9414-6d212b955bd2</t>
  </si>
  <si>
    <t>BARENDS</t>
  </si>
  <si>
    <t>2026-06-02 09:09:48</t>
  </si>
  <si>
    <t>27721866526</t>
  </si>
  <si>
    <t>14501077</t>
  </si>
  <si>
    <t>92ef01c8-f173-4261-a217-328f301dc300</t>
  </si>
  <si>
    <t>CORLIA</t>
  </si>
  <si>
    <t>BEUKES</t>
  </si>
  <si>
    <t>27720317648</t>
  </si>
  <si>
    <t>14501078</t>
  </si>
  <si>
    <t>cf77ecbc-8616-4022-aaac-ff2f2c2d111b</t>
  </si>
  <si>
    <t>CAMDEN</t>
  </si>
  <si>
    <t>CHENGADU</t>
  </si>
  <si>
    <t>27716826314</t>
  </si>
  <si>
    <t>14501849</t>
  </si>
  <si>
    <t>9ca09b26-a5db-4d21-92e4-edece18e79ac</t>
  </si>
  <si>
    <t>TSHOLANANG</t>
  </si>
  <si>
    <t>MAKAMOLA</t>
  </si>
  <si>
    <t>27826407108</t>
  </si>
  <si>
    <t>14500926</t>
  </si>
  <si>
    <t>b4c8f3b1-ccb1-4535-a5a2-70debc7d5c72</t>
  </si>
  <si>
    <t>WIID</t>
  </si>
  <si>
    <t>2026-06-02 09:09:08</t>
  </si>
  <si>
    <t>27722259000</t>
  </si>
  <si>
    <t>14501864</t>
  </si>
  <si>
    <t>f1e23553-e040-4407-a125-3b882a46f207</t>
  </si>
  <si>
    <t>DLAMANDLA</t>
  </si>
  <si>
    <t>2026-06-02 09:08:59</t>
  </si>
  <si>
    <t>27825287968</t>
  </si>
  <si>
    <t>14500925</t>
  </si>
  <si>
    <t>8f38b3b0-5c3e-40e9-a3b8-6ac8e8cdbed1</t>
  </si>
  <si>
    <t>LUVO</t>
  </si>
  <si>
    <t>SILWANA</t>
  </si>
  <si>
    <t>2026-06-02 09:08:58</t>
  </si>
  <si>
    <t>27826467515</t>
  </si>
  <si>
    <t>14500923</t>
  </si>
  <si>
    <t>f0cb4ff7-73f2-4549-9804-73e53c8b53b2</t>
  </si>
  <si>
    <t>2026-06-02 09:08:53</t>
  </si>
  <si>
    <t>27724052385</t>
  </si>
  <si>
    <t>14500924</t>
  </si>
  <si>
    <t>fd2d60c2-2d56-4274-9132-312242d304f7</t>
  </si>
  <si>
    <t>SHIRLEM</t>
  </si>
  <si>
    <t>PASSMORE</t>
  </si>
  <si>
    <t>27824008126</t>
  </si>
  <si>
    <t>14501062</t>
  </si>
  <si>
    <t>2d09af36-23b9-44f9-af72-b24a2df27616</t>
  </si>
  <si>
    <t>MBULELO</t>
  </si>
  <si>
    <t>KLASS</t>
  </si>
  <si>
    <t>27636895729</t>
  </si>
  <si>
    <t>14501851</t>
  </si>
  <si>
    <t>251658d3-ddeb-4b11-9c71-15c3a7019a9f</t>
  </si>
  <si>
    <t>27724891488</t>
  </si>
  <si>
    <t>14501060</t>
  </si>
  <si>
    <t>37be4e37-6f5d-4079-a480-2f61df0356d8</t>
  </si>
  <si>
    <t>OBAKENG</t>
  </si>
  <si>
    <t>2026-06-02 09:08:03</t>
  </si>
  <si>
    <t>27713648390</t>
  </si>
  <si>
    <t>14501059</t>
  </si>
  <si>
    <t>91a6c99c-eed7-4334-8951-d19629de29d8</t>
  </si>
  <si>
    <t>NOMZAMO</t>
  </si>
  <si>
    <t>BUTHELEZI</t>
  </si>
  <si>
    <t>2026-06-02 09:07:51</t>
  </si>
  <si>
    <t>27646854181</t>
  </si>
  <si>
    <t>14501057</t>
  </si>
  <si>
    <t>34fb29f8-14ad-4cb7-992b-b8d95cf0bcd5</t>
  </si>
  <si>
    <t>PHILLIP</t>
  </si>
  <si>
    <t>LUDICK</t>
  </si>
  <si>
    <t>2026-06-02 09:07:49</t>
  </si>
  <si>
    <t>27720576222</t>
  </si>
  <si>
    <t>14501852</t>
  </si>
  <si>
    <t>80ccc25c-ad0f-4df5-9294-1853402936d6</t>
  </si>
  <si>
    <t>27769816808</t>
  </si>
  <si>
    <t>14501084</t>
  </si>
  <si>
    <t>6b65b0e7-2f1d-42f4-94e0-6df3f1fad29e</t>
  </si>
  <si>
    <t>MATIBIDI</t>
  </si>
  <si>
    <t>2026-06-02 09:06:37</t>
  </si>
  <si>
    <t>27662199451</t>
  </si>
  <si>
    <t>14501083</t>
  </si>
  <si>
    <t>71341e7c-735a-4206-b942-f7c9afcf56e0</t>
  </si>
  <si>
    <t>MDLANKOMO</t>
  </si>
  <si>
    <t>2026-06-02 09:06:34</t>
  </si>
  <si>
    <t>27662147435</t>
  </si>
  <si>
    <t>14501082</t>
  </si>
  <si>
    <t>6e7de1ed-2cc1-4230-b8d9-61b606191051</t>
  </si>
  <si>
    <t>RAMEEZ</t>
  </si>
  <si>
    <t>2026-06-02 09:06:31</t>
  </si>
  <si>
    <t>27820580551</t>
  </si>
  <si>
    <t>14501079</t>
  </si>
  <si>
    <t>7728c52c-6155-49ee-9f5a-189d06e1840e</t>
  </si>
  <si>
    <t>2026-06-02 09:06:22</t>
  </si>
  <si>
    <t>27764098694</t>
  </si>
  <si>
    <t>14501080</t>
  </si>
  <si>
    <t>985cef74-b9ba-4663-a54d-fa2db0a1c09a</t>
  </si>
  <si>
    <t>SINEGUGU</t>
  </si>
  <si>
    <t>27791412432</t>
  </si>
  <si>
    <t>14501081</t>
  </si>
  <si>
    <t>f2f971a0-5dac-406b-8e0e-31e4a184474f</t>
  </si>
  <si>
    <t>NOMFUNDO</t>
  </si>
  <si>
    <t>27829726433</t>
  </si>
  <si>
    <t>14501853</t>
  </si>
  <si>
    <t>0c54352f-f11c-43ec-a497-99d29d9c3820</t>
  </si>
  <si>
    <t>NOBESUTHU</t>
  </si>
  <si>
    <t>MILE</t>
  </si>
  <si>
    <t>27791000693</t>
  </si>
  <si>
    <t>14501140</t>
  </si>
  <si>
    <t>03a2eb8b-bfeb-434d-95d0-43a14a4aa5e7</t>
  </si>
  <si>
    <t>2026-06-02 09:05:25</t>
  </si>
  <si>
    <t>27662550963</t>
  </si>
  <si>
    <t>14501136</t>
  </si>
  <si>
    <t>20a5d136-c7b2-465e-a3ac-12bec15da704</t>
  </si>
  <si>
    <t>EVERT</t>
  </si>
  <si>
    <t>GROBBELAAR</t>
  </si>
  <si>
    <t>2026-06-02 09:05:24</t>
  </si>
  <si>
    <t>27797858331</t>
  </si>
  <si>
    <t>14501137</t>
  </si>
  <si>
    <t>ff091f56-ba83-4974-b829-9bba00502dd2</t>
  </si>
  <si>
    <t>MOTLATJO</t>
  </si>
  <si>
    <t>27723428518</t>
  </si>
  <si>
    <t>14501138</t>
  </si>
  <si>
    <t>72812340-526d-4819-b3f1-3b6eda089628</t>
  </si>
  <si>
    <t>GALALETSANG</t>
  </si>
  <si>
    <t>MOGWERA</t>
  </si>
  <si>
    <t>27713625837</t>
  </si>
  <si>
    <t>14501085</t>
  </si>
  <si>
    <t>983d78f0-e547-4fbb-954f-cbd772b4a1f5</t>
  </si>
  <si>
    <t>SANDRO</t>
  </si>
  <si>
    <t>TINELLI</t>
  </si>
  <si>
    <t>2026-06-02 09:03:30</t>
  </si>
  <si>
    <t>27727771888</t>
  </si>
  <si>
    <t>14501096</t>
  </si>
  <si>
    <t>2990be9c-7878-4609-b23d-00a4e31bd61b</t>
  </si>
  <si>
    <t>THELMA</t>
  </si>
  <si>
    <t>MAKATINI</t>
  </si>
  <si>
    <t>27820439097</t>
  </si>
  <si>
    <t>14501854</t>
  </si>
  <si>
    <t>89631806-4c71-4156-a7fd-0fa0be53e3cd</t>
  </si>
  <si>
    <t>EDITH</t>
  </si>
  <si>
    <t>MARX</t>
  </si>
  <si>
    <t>27825663290</t>
  </si>
  <si>
    <t>14501135</t>
  </si>
  <si>
    <t>2998ed4a-7f10-46d9-89f2-bf508e768b87</t>
  </si>
  <si>
    <t>GESINA</t>
  </si>
  <si>
    <t>2026-06-02 09:02:35</t>
  </si>
  <si>
    <t>27723808261</t>
  </si>
  <si>
    <t>14501134</t>
  </si>
  <si>
    <t>73a0bf2c-2986-468c-afad-e192e68c2b33</t>
  </si>
  <si>
    <t>SIBULELE</t>
  </si>
  <si>
    <t>MASIZA</t>
  </si>
  <si>
    <t>2026-06-02 09:02:33</t>
  </si>
  <si>
    <t>27790200099</t>
  </si>
  <si>
    <t>14501133</t>
  </si>
  <si>
    <t>f14f1c37-9f46-4501-a4ea-572900c26a6c</t>
  </si>
  <si>
    <t>VAMUMUSA</t>
  </si>
  <si>
    <t>SHANDU</t>
  </si>
  <si>
    <t>2026-06-02 09:02:31</t>
  </si>
  <si>
    <t>27823021606</t>
  </si>
  <si>
    <t>14501131</t>
  </si>
  <si>
    <t>eb86df3a-7caf-4e29-b501-12296e907a4d</t>
  </si>
  <si>
    <t>2026-06-02 09:02:30</t>
  </si>
  <si>
    <t>27825913922</t>
  </si>
  <si>
    <t>14501132</t>
  </si>
  <si>
    <t>9196657c-b43d-46b9-9baf-fbe5d725b46e</t>
  </si>
  <si>
    <t>MVUMENI</t>
  </si>
  <si>
    <t>27827365136</t>
  </si>
  <si>
    <t>14501127</t>
  </si>
  <si>
    <t>0717257a-70ba-4338-b925-fdaedbf15db6</t>
  </si>
  <si>
    <t>DESMOND</t>
  </si>
  <si>
    <t>KLAASEN</t>
  </si>
  <si>
    <t>2026-06-02 09:02:22</t>
  </si>
  <si>
    <t>27662283251</t>
  </si>
  <si>
    <t>14501128</t>
  </si>
  <si>
    <t>f4b0b20a-ddf3-49a1-9066-05063495d0fa</t>
  </si>
  <si>
    <t>MANAMELA</t>
  </si>
  <si>
    <t>27649073171</t>
  </si>
  <si>
    <t>14501129</t>
  </si>
  <si>
    <t>9a59f70b-2524-43d6-950b-60104ab84e17</t>
  </si>
  <si>
    <t>27723897968</t>
  </si>
  <si>
    <t>14501130</t>
  </si>
  <si>
    <t>b4205db0-eea9-43a5-b56f-23052e753dea</t>
  </si>
  <si>
    <t>MALCOLN</t>
  </si>
  <si>
    <t>LEONARD</t>
  </si>
  <si>
    <t>27726035914</t>
  </si>
  <si>
    <t>14501126</t>
  </si>
  <si>
    <t>376a74b9-4d7b-4259-98fa-3ba64aa1a23b</t>
  </si>
  <si>
    <t>MONAMA</t>
  </si>
  <si>
    <t>2026-06-02 09:02:20</t>
  </si>
  <si>
    <t>27826894951</t>
  </si>
  <si>
    <t>14501123</t>
  </si>
  <si>
    <t>7eda92e6-2b28-4611-8ef4-349bbd6811d8</t>
  </si>
  <si>
    <t>XATYISWA</t>
  </si>
  <si>
    <t>MANANGA</t>
  </si>
  <si>
    <t>2026-06-02 09:02:16</t>
  </si>
  <si>
    <t>27768970264</t>
  </si>
  <si>
    <t>14501124</t>
  </si>
  <si>
    <t>184139d5-af6c-46e3-b8e4-db2a108e9180</t>
  </si>
  <si>
    <t>JULIEHANA</t>
  </si>
  <si>
    <t>HARMSE</t>
  </si>
  <si>
    <t>27716224483</t>
  </si>
  <si>
    <t>14501855</t>
  </si>
  <si>
    <t>b3868af1-8c25-499c-b85c-971ee8e780f1</t>
  </si>
  <si>
    <t>MASELEBALO</t>
  </si>
  <si>
    <t>DEBEILA</t>
  </si>
  <si>
    <t>27660503091</t>
  </si>
  <si>
    <t>14501291</t>
  </si>
  <si>
    <t>7a9d75d6-a258-48ed-b114-600314ee7cee</t>
  </si>
  <si>
    <t>THANDAZANI</t>
  </si>
  <si>
    <t>BIYELA</t>
  </si>
  <si>
    <t>2026-06-02 09:01:35</t>
  </si>
  <si>
    <t>27722667983</t>
  </si>
  <si>
    <t>14501122</t>
  </si>
  <si>
    <t>4454d8e9-be23-48b4-9e47-689a27d8554c</t>
  </si>
  <si>
    <t>2026-06-02 09:00:53</t>
  </si>
  <si>
    <t>27823857540</t>
  </si>
  <si>
    <t>14501120</t>
  </si>
  <si>
    <t>102c7091-8ecc-4091-b392-d346978c2c4f</t>
  </si>
  <si>
    <t>EXCELLENT</t>
  </si>
  <si>
    <t>NDHLOVU</t>
  </si>
  <si>
    <t>2026-06-02 09:00:48</t>
  </si>
  <si>
    <t>27607403503</t>
  </si>
  <si>
    <t>14501121</t>
  </si>
  <si>
    <t>19e73b6d-d3df-48d7-b3e5-0ca86e0b113b</t>
  </si>
  <si>
    <t>MANDY</t>
  </si>
  <si>
    <t>SONDLO</t>
  </si>
  <si>
    <t>27661485124</t>
  </si>
  <si>
    <t>14501119</t>
  </si>
  <si>
    <t>c34b74f2-0740-4a74-a83d-58d0993d7716</t>
  </si>
  <si>
    <t>KALIL</t>
  </si>
  <si>
    <t>2026-06-02 09:00:47</t>
  </si>
  <si>
    <t>27724664555</t>
  </si>
  <si>
    <t>14501859</t>
  </si>
  <si>
    <t>f388b003-3903-4d1a-8ab5-9626e9b4f9c6</t>
  </si>
  <si>
    <t>KIDIBONE</t>
  </si>
  <si>
    <t>27724189555</t>
  </si>
  <si>
    <t>14501103</t>
  </si>
  <si>
    <t>5c56bcb7-3eeb-473f-9fd1-9a7265c64b17</t>
  </si>
  <si>
    <t>LOBI</t>
  </si>
  <si>
    <t>2026-06-02 08:58:15</t>
  </si>
  <si>
    <t>27792198075</t>
  </si>
  <si>
    <t>14501117</t>
  </si>
  <si>
    <t>3840433c-0c88-42ba-b674-eaef201372e3</t>
  </si>
  <si>
    <t>SABENG</t>
  </si>
  <si>
    <t>DIRAPEDI</t>
  </si>
  <si>
    <t>2026-06-02 08:57:50</t>
  </si>
  <si>
    <t>27662433400</t>
  </si>
  <si>
    <t>14501118</t>
  </si>
  <si>
    <t>56ab53cf-b48c-4183-82c7-d993b4a91884</t>
  </si>
  <si>
    <t>BONELWA</t>
  </si>
  <si>
    <t>MBOLENI</t>
  </si>
  <si>
    <t>27827550770</t>
  </si>
  <si>
    <t>14501116</t>
  </si>
  <si>
    <t>cd3cc146-3f9c-4d6c-9bab-e1ee0caae589</t>
  </si>
  <si>
    <t>COLBEN</t>
  </si>
  <si>
    <t>SAKUNEKA</t>
  </si>
  <si>
    <t>2026-06-02 08:57:49</t>
  </si>
  <si>
    <t>27828874613</t>
  </si>
  <si>
    <t>14501114</t>
  </si>
  <si>
    <t>5824ae96-112d-4f81-bd78-fad196150bfd</t>
  </si>
  <si>
    <t>NEZISWA</t>
  </si>
  <si>
    <t>LUNGWENGWE</t>
  </si>
  <si>
    <t>2026-06-02 08:57:12</t>
  </si>
  <si>
    <t>27712236267</t>
  </si>
  <si>
    <t>14501115</t>
  </si>
  <si>
    <t>2a911f79-b234-4bc6-a1fd-c42deef0a8c6</t>
  </si>
  <si>
    <t>AYANDA</t>
  </si>
  <si>
    <t>2026-06-02 08:57:11</t>
  </si>
  <si>
    <t>27792217744</t>
  </si>
  <si>
    <t>14501860</t>
  </si>
  <si>
    <t>3fcf3290-7f14-4fbf-b029-eff31cca2d18</t>
  </si>
  <si>
    <t>HERMAN</t>
  </si>
  <si>
    <t>REYNEKE</t>
  </si>
  <si>
    <t>2026-06-02 08:57:08</t>
  </si>
  <si>
    <t>27791869537</t>
  </si>
  <si>
    <t>14501113</t>
  </si>
  <si>
    <t>e9167793-e60a-41e5-adca-fb3fbd784dd5</t>
  </si>
  <si>
    <t>FREDERIK</t>
  </si>
  <si>
    <t>TRUTER</t>
  </si>
  <si>
    <t>2026-06-02 08:55:54</t>
  </si>
  <si>
    <t>27762665957</t>
  </si>
  <si>
    <t>14501112</t>
  </si>
  <si>
    <t>d9c4f050-f145-4724-89f6-0c90e7a9ea91</t>
  </si>
  <si>
    <t>NATALIE</t>
  </si>
  <si>
    <t>PIENAAR</t>
  </si>
  <si>
    <t>2026-06-02 08:55:53</t>
  </si>
  <si>
    <t>27823955254</t>
  </si>
  <si>
    <t>14501111</t>
  </si>
  <si>
    <t>58a410b1-451f-403a-8337-74ff0f1c0faf</t>
  </si>
  <si>
    <t>IAN</t>
  </si>
  <si>
    <t>BOTTOMLEY</t>
  </si>
  <si>
    <t>2026-06-02 08:55:52</t>
  </si>
  <si>
    <t>27720835258</t>
  </si>
  <si>
    <t>14501108</t>
  </si>
  <si>
    <t>ad3e1bf9-85ec-4d38-98e6-a30c6dcfdd35</t>
  </si>
  <si>
    <t>MABOTJA</t>
  </si>
  <si>
    <t>2026-06-02 08:55:49</t>
  </si>
  <si>
    <t>27790124060</t>
  </si>
  <si>
    <t>14501109</t>
  </si>
  <si>
    <t>7514a9a3-9aec-474b-a686-cb71fee9a04b</t>
  </si>
  <si>
    <t>JACQUELINE</t>
  </si>
  <si>
    <t>PORTEOUS</t>
  </si>
  <si>
    <t>27848256123</t>
  </si>
  <si>
    <t>14501107</t>
  </si>
  <si>
    <t>c65f69d9-5cde-42d0-bef7-1ed0fb6622a9</t>
  </si>
  <si>
    <t>MAGDALENA</t>
  </si>
  <si>
    <t>STEYN</t>
  </si>
  <si>
    <t>2026-06-02 08:55:43</t>
  </si>
  <si>
    <t>27724646172</t>
  </si>
  <si>
    <t>14501101</t>
  </si>
  <si>
    <t>2569e26a-9a10-4778-9c68-33d07a292622</t>
  </si>
  <si>
    <t>CHRISTI</t>
  </si>
  <si>
    <t>DOS SANTOS</t>
  </si>
  <si>
    <t>2026-06-02 08:55:42</t>
  </si>
  <si>
    <t>27662271517</t>
  </si>
  <si>
    <t>14501105</t>
  </si>
  <si>
    <t>8ced6c66-7f44-483d-8529-a7571b4e8846</t>
  </si>
  <si>
    <t>PHILLIPUS</t>
  </si>
  <si>
    <t>BANTJES</t>
  </si>
  <si>
    <t>27727605864</t>
  </si>
  <si>
    <t>14501100</t>
  </si>
  <si>
    <t>4205b773-f818-4fbd-a48a-740b9fc09049</t>
  </si>
  <si>
    <t>TRESHIKA</t>
  </si>
  <si>
    <t>SIMHADRI</t>
  </si>
  <si>
    <t>2026-06-02 08:55:38</t>
  </si>
  <si>
    <t>27798927763</t>
  </si>
  <si>
    <t>14501099</t>
  </si>
  <si>
    <t>44772302-f7a8-4abc-a92e-ccefd75bf886</t>
  </si>
  <si>
    <t>THALUKANYO</t>
  </si>
  <si>
    <t>MUTEPE</t>
  </si>
  <si>
    <t>2026-06-02 08:55:28</t>
  </si>
  <si>
    <t>27662503087</t>
  </si>
  <si>
    <t>14501097</t>
  </si>
  <si>
    <t>b05861f4-e33e-43a2-a82a-62f085bee5cb</t>
  </si>
  <si>
    <t>SONJA</t>
  </si>
  <si>
    <t>SCHOLTEMEYER</t>
  </si>
  <si>
    <t>2026-06-02 08:55:27</t>
  </si>
  <si>
    <t>27828903911</t>
  </si>
  <si>
    <t>14501861</t>
  </si>
  <si>
    <t>71e81dbc-d76b-4eed-bc67-002d0dd1e70c</t>
  </si>
  <si>
    <t>ERNEST</t>
  </si>
  <si>
    <t>2026-06-02 08:54:46</t>
  </si>
  <si>
    <t>27793204717</t>
  </si>
  <si>
    <t>14500972</t>
  </si>
  <si>
    <t>4609af9c-9674-4a9a-b2f0-9af57ddaa67b</t>
  </si>
  <si>
    <t>27767773280</t>
  </si>
  <si>
    <t>2026-06-02 08:54:14</t>
  </si>
  <si>
    <t>14500971</t>
  </si>
  <si>
    <t>ee11809a-d9dd-425c-bfea-c428a88d85ac</t>
  </si>
  <si>
    <t>OKKERT</t>
  </si>
  <si>
    <t>GELDENHUYS</t>
  </si>
  <si>
    <t>2026-06-02 08:54:13</t>
  </si>
  <si>
    <t>27844748927</t>
  </si>
  <si>
    <t>14500969</t>
  </si>
  <si>
    <t>b9b60349-8291-4ed6-8a11-37f90147c25b</t>
  </si>
  <si>
    <t>2026-06-02 08:54:11</t>
  </si>
  <si>
    <t>27723430912</t>
  </si>
  <si>
    <t>14500970</t>
  </si>
  <si>
    <t>6c7e7578-145c-4d13-af69-0c166c22eccd</t>
  </si>
  <si>
    <t>27822215015</t>
  </si>
  <si>
    <t>14500968</t>
  </si>
  <si>
    <t>869b9c4f-b690-4707-9292-22dfb2b9bdc5</t>
  </si>
  <si>
    <t>NGUNDZE</t>
  </si>
  <si>
    <t>2026-06-02 08:54:08</t>
  </si>
  <si>
    <t>27710828689</t>
  </si>
  <si>
    <t>14500967</t>
  </si>
  <si>
    <t>ddc20509-b3b4-49b7-a9c5-f6dfef909f44</t>
  </si>
  <si>
    <t>HOFFMANN</t>
  </si>
  <si>
    <t>2026-06-02 08:54:05</t>
  </si>
  <si>
    <t>27824654484</t>
  </si>
  <si>
    <t>14500966</t>
  </si>
  <si>
    <t>6008aa3f-e84e-4875-b1c2-cf673de419c0</t>
  </si>
  <si>
    <t>CHUENE</t>
  </si>
  <si>
    <t>SETATI</t>
  </si>
  <si>
    <t>2026-06-02 08:54:04</t>
  </si>
  <si>
    <t>27826140859</t>
  </si>
  <si>
    <t>14500963</t>
  </si>
  <si>
    <t>eef0804d-9539-46cc-9b41-c9d1055f82ff</t>
  </si>
  <si>
    <t>JUSTIN</t>
  </si>
  <si>
    <t>MACKAY</t>
  </si>
  <si>
    <t>2026-06-02 08:54:01</t>
  </si>
  <si>
    <t>27828905256</t>
  </si>
  <si>
    <t>14500960</t>
  </si>
  <si>
    <t>ecac8b85-2f9b-4367-90f5-0cc429a7fae0</t>
  </si>
  <si>
    <t>CHANTEL</t>
  </si>
  <si>
    <t>FOXCROFT</t>
  </si>
  <si>
    <t>2026-06-02 08:54:00</t>
  </si>
  <si>
    <t>27662526163</t>
  </si>
  <si>
    <t>14500961</t>
  </si>
  <si>
    <t>c5b2c4c5-9042-4579-aea6-156dc94af775</t>
  </si>
  <si>
    <t>APPEL</t>
  </si>
  <si>
    <t>27796934882</t>
  </si>
  <si>
    <t>14500964</t>
  </si>
  <si>
    <t>4d02bbe7-db2c-4830-b6e2-530c51cd3dc2</t>
  </si>
  <si>
    <t>BRAND</t>
  </si>
  <si>
    <t>27824016628</t>
  </si>
  <si>
    <t>14501074</t>
  </si>
  <si>
    <t>ffe31775-d21a-4542-885c-bfd3d7275233</t>
  </si>
  <si>
    <t>LORELLE</t>
  </si>
  <si>
    <t>VISSER</t>
  </si>
  <si>
    <t>2026-06-02 08:53:58</t>
  </si>
  <si>
    <t>27674081363</t>
  </si>
  <si>
    <t>14501301</t>
  </si>
  <si>
    <t>44174651-524e-4aff-82d5-a16e9bf06a5e</t>
  </si>
  <si>
    <t>MILTON</t>
  </si>
  <si>
    <t>ARENDZE</t>
  </si>
  <si>
    <t>2026-06-02 08:53:20</t>
  </si>
  <si>
    <t>27725612868</t>
  </si>
  <si>
    <t>14501063</t>
  </si>
  <si>
    <t>abe672b9-7b82-43c9-be90-ea3029103db4</t>
  </si>
  <si>
    <t>HARDIK</t>
  </si>
  <si>
    <t>JOSHI</t>
  </si>
  <si>
    <t>2026-06-02 08:53:17</t>
  </si>
  <si>
    <t>27662300999</t>
  </si>
  <si>
    <t>14501072</t>
  </si>
  <si>
    <t>8e2c21a4-b688-41cd-8532-3fb3b97c7501</t>
  </si>
  <si>
    <t>27844012327</t>
  </si>
  <si>
    <t>14501073</t>
  </si>
  <si>
    <t>45925c9b-e41e-4fde-b2c9-7207166cc23b</t>
  </si>
  <si>
    <t>CLIFF</t>
  </si>
  <si>
    <t>WIGGILL</t>
  </si>
  <si>
    <t>27769021700</t>
  </si>
  <si>
    <t>14501316</t>
  </si>
  <si>
    <t>5efe7c93-753c-41d0-8adb-b05691a4abd1</t>
  </si>
  <si>
    <t>ELMARIE</t>
  </si>
  <si>
    <t>2026-06-02 08:53:16</t>
  </si>
  <si>
    <t>27829715939</t>
  </si>
  <si>
    <t>14501862</t>
  </si>
  <si>
    <t>bad75f70-a35d-4be3-bf39-26f327149f11</t>
  </si>
  <si>
    <t>GONASEELAN</t>
  </si>
  <si>
    <t>CHETTY</t>
  </si>
  <si>
    <t>27829739387</t>
  </si>
  <si>
    <t>14501069</t>
  </si>
  <si>
    <t>f035c79a-2136-472b-b07c-0bfefd2a17bf</t>
  </si>
  <si>
    <t>HORN</t>
  </si>
  <si>
    <t>2026-06-02 08:53:02</t>
  </si>
  <si>
    <t>27825457594</t>
  </si>
  <si>
    <t>14501068</t>
  </si>
  <si>
    <t>69fc4ed4-1ac7-4436-bcfc-a13687951604</t>
  </si>
  <si>
    <t>MAFOKO</t>
  </si>
  <si>
    <t>2026-06-02 08:52:45</t>
  </si>
  <si>
    <t>27663188467</t>
  </si>
  <si>
    <t>14501067</t>
  </si>
  <si>
    <t>85ad2df5-64ab-41b5-a4d3-cd9258d79680</t>
  </si>
  <si>
    <t>2026-06-02 08:52:42</t>
  </si>
  <si>
    <t>27818335228</t>
  </si>
  <si>
    <t>14501066</t>
  </si>
  <si>
    <t>759cffb2-dd93-4add-a874-ffa0494068e3</t>
  </si>
  <si>
    <t>LIZANNE</t>
  </si>
  <si>
    <t>LUBBE</t>
  </si>
  <si>
    <t>2026-06-02 08:52:33</t>
  </si>
  <si>
    <t>27798774002</t>
  </si>
  <si>
    <t>14501064</t>
  </si>
  <si>
    <t>cef9a3a5-bcf3-4c57-868e-ff63aca28b5f</t>
  </si>
  <si>
    <t>2026-06-02 08:52:30</t>
  </si>
  <si>
    <t>27726439328</t>
  </si>
  <si>
    <t>14501065</t>
  </si>
  <si>
    <t>2f1a069b-8f21-4ce2-a0c5-f4576e62dbe6</t>
  </si>
  <si>
    <t>KHOMOTSO</t>
  </si>
  <si>
    <t>LEBEPE</t>
  </si>
  <si>
    <t>27728839709</t>
  </si>
  <si>
    <t>14501863</t>
  </si>
  <si>
    <t>ccd0a0c4-3a32-4417-bafc-ab84ed77d92d</t>
  </si>
  <si>
    <t>BOKANG</t>
  </si>
  <si>
    <t>MOSIMANYANE</t>
  </si>
  <si>
    <t>27823039118</t>
  </si>
  <si>
    <t>14501315</t>
  </si>
  <si>
    <t>03ef1015-c5dc-4a2d-8567-9fffe78fcec0</t>
  </si>
  <si>
    <t>GERHARDUS</t>
  </si>
  <si>
    <t>KOEN</t>
  </si>
  <si>
    <t>2026-06-02 08:51:51</t>
  </si>
  <si>
    <t>27713879481</t>
  </si>
  <si>
    <t>14501317</t>
  </si>
  <si>
    <t>de7ecbef-bd8f-4eef-8b45-982508c70d9b</t>
  </si>
  <si>
    <t>FEROSA</t>
  </si>
  <si>
    <t>KIRSTEN</t>
  </si>
  <si>
    <t>27827095814</t>
  </si>
  <si>
    <t>14501318</t>
  </si>
  <si>
    <t>a7c150be-fa75-437a-b67f-837c5ef05206</t>
  </si>
  <si>
    <t>27767096639</t>
  </si>
  <si>
    <t>14501313</t>
  </si>
  <si>
    <t>06f3ddc0-a645-4ba6-9d0f-33035417706e</t>
  </si>
  <si>
    <t>XOLA</t>
  </si>
  <si>
    <t>HLOMENDLINI</t>
  </si>
  <si>
    <t>2026-06-02 08:51:49</t>
  </si>
  <si>
    <t>27823214032</t>
  </si>
  <si>
    <t>14501314</t>
  </si>
  <si>
    <t>edf45b06-6f25-405b-90b8-bbbc3d8639a4</t>
  </si>
  <si>
    <t>LOYISA</t>
  </si>
  <si>
    <t>DAYIMANE</t>
  </si>
  <si>
    <t>27662501779</t>
  </si>
  <si>
    <t>14501310</t>
  </si>
  <si>
    <t>a9769327-5a85-4daa-be6b-0e9aa4633d86</t>
  </si>
  <si>
    <t>NELSON</t>
  </si>
  <si>
    <t>MATSAFU</t>
  </si>
  <si>
    <t>2026-06-02 08:51:39</t>
  </si>
  <si>
    <t>27824295277</t>
  </si>
  <si>
    <t>14501312</t>
  </si>
  <si>
    <t>9f6c6bd1-f4f8-4116-92b7-2af2c017c75f</t>
  </si>
  <si>
    <t>NOBOTHWE</t>
  </si>
  <si>
    <t>MUGERI</t>
  </si>
  <si>
    <t>27825798550</t>
  </si>
  <si>
    <t>14501309</t>
  </si>
  <si>
    <t>0dca17de-903b-44dc-b205-2678e99bda16</t>
  </si>
  <si>
    <t>DAPHNEY</t>
  </si>
  <si>
    <t>MAMABOLO</t>
  </si>
  <si>
    <t>2026-06-02 08:51:38</t>
  </si>
  <si>
    <t>27761912094</t>
  </si>
  <si>
    <t>14501307</t>
  </si>
  <si>
    <t>26083356-b886-4eaf-a9b9-66bce9d0d743</t>
  </si>
  <si>
    <t>THIFHELIMBILU</t>
  </si>
  <si>
    <t>MAKHADO</t>
  </si>
  <si>
    <t>2026-06-02 08:50:52</t>
  </si>
  <si>
    <t>27724887735</t>
  </si>
  <si>
    <t>14501308</t>
  </si>
  <si>
    <t>e14e7916-aaa2-407e-a43a-c09f4d422184</t>
  </si>
  <si>
    <t>BRIAN</t>
  </si>
  <si>
    <t>JOLLIFFE</t>
  </si>
  <si>
    <t>27820594695</t>
  </si>
  <si>
    <t>14501305</t>
  </si>
  <si>
    <t>b1ddf26e-4192-4bec-b188-3a5c7f426876</t>
  </si>
  <si>
    <t>SANDY</t>
  </si>
  <si>
    <t>AMBROSS</t>
  </si>
  <si>
    <t>2026-06-02 08:50:51</t>
  </si>
  <si>
    <t>27761809551</t>
  </si>
  <si>
    <t>14501306</t>
  </si>
  <si>
    <t>f3cba092-52d7-4808-a009-4c0367a75130</t>
  </si>
  <si>
    <t>MANASE</t>
  </si>
  <si>
    <t>RAMOKGADI</t>
  </si>
  <si>
    <t>27648737486</t>
  </si>
  <si>
    <t>14501039</t>
  </si>
  <si>
    <t>cff52c71-bb02-44b1-b1fd-d026e5e5c3d0</t>
  </si>
  <si>
    <t>CHARMAIN</t>
  </si>
  <si>
    <t>DE AMEIDA</t>
  </si>
  <si>
    <t>2026-06-02 08:50:27</t>
  </si>
  <si>
    <t>27828520787</t>
  </si>
  <si>
    <t>14501040</t>
  </si>
  <si>
    <t>179bbdf8-1707-4aba-a402-2ed87e9135ef</t>
  </si>
  <si>
    <t>MPFUNZENI</t>
  </si>
  <si>
    <t>LUDERE</t>
  </si>
  <si>
    <t>27723341025</t>
  </si>
  <si>
    <t>14501042</t>
  </si>
  <si>
    <t>24651c39-bb4f-4de8-934c-e8d3c769f9e3</t>
  </si>
  <si>
    <t>DYKEMA</t>
  </si>
  <si>
    <t>27795273825</t>
  </si>
  <si>
    <t>14501038</t>
  </si>
  <si>
    <t>eeba5cd3-19b3-490f-8d79-2b04194b1639</t>
  </si>
  <si>
    <t>2026-06-02 08:50:10</t>
  </si>
  <si>
    <t>27835636336</t>
  </si>
  <si>
    <t>14501165</t>
  </si>
  <si>
    <t>c065d667-cf43-4867-91b4-091df73db095</t>
  </si>
  <si>
    <t>TERTIA</t>
  </si>
  <si>
    <t>MAWAYI</t>
  </si>
  <si>
    <t>2026-06-02 08:49:58</t>
  </si>
  <si>
    <t>27720524779</t>
  </si>
  <si>
    <t>14501147</t>
  </si>
  <si>
    <t>95f2ab6c-0a09-437b-8c71-2ef530b7c92f</t>
  </si>
  <si>
    <t>2026-06-02 08:49:57</t>
  </si>
  <si>
    <t>27731227153</t>
  </si>
  <si>
    <t>14501146</t>
  </si>
  <si>
    <t>13e65802-b613-47fc-a0ae-c9be476b9d57</t>
  </si>
  <si>
    <t>2026-06-02 08:49:52</t>
  </si>
  <si>
    <t>27662985599</t>
  </si>
  <si>
    <t>14501145</t>
  </si>
  <si>
    <t>59aea219-99f3-4588-9bd2-09b4ef1d414f</t>
  </si>
  <si>
    <t>BAARDMAN</t>
  </si>
  <si>
    <t>2026-06-02 08:49:51</t>
  </si>
  <si>
    <t>27767694609</t>
  </si>
  <si>
    <t>14501144</t>
  </si>
  <si>
    <t>68a310f6-c2b0-4986-be22-47139c54f6e5</t>
  </si>
  <si>
    <t>PATIENCE</t>
  </si>
  <si>
    <t>MOKGAUTSI</t>
  </si>
  <si>
    <t>2026-06-02 08:49:41</t>
  </si>
  <si>
    <t>27662009103</t>
  </si>
  <si>
    <t>14501143</t>
  </si>
  <si>
    <t>f202e20f-1e66-4559-8fca-208cad3ff9de</t>
  </si>
  <si>
    <t>NORTJE</t>
  </si>
  <si>
    <t>2026-06-02 08:49:38</t>
  </si>
  <si>
    <t>27607410258</t>
  </si>
  <si>
    <t>14501142</t>
  </si>
  <si>
    <t>f8ada368-3ace-45a7-9823-3129e65bc928</t>
  </si>
  <si>
    <t>MASOETSA</t>
  </si>
  <si>
    <t>2026-06-02 08:49:00</t>
  </si>
  <si>
    <t>27827690266</t>
  </si>
  <si>
    <t>14501141</t>
  </si>
  <si>
    <t>de117795-4b75-4416-b4cd-c34d6fac22d5</t>
  </si>
  <si>
    <t>LETHABO</t>
  </si>
  <si>
    <t>MABILETSA</t>
  </si>
  <si>
    <t>2026-06-02 08:48:58</t>
  </si>
  <si>
    <t>27793194875</t>
  </si>
  <si>
    <t>14501287</t>
  </si>
  <si>
    <t>a1be2791-55bd-4e87-a447-a00021d1fb39</t>
  </si>
  <si>
    <t>RIANA</t>
  </si>
  <si>
    <t>GADNEY</t>
  </si>
  <si>
    <t>27729392389</t>
  </si>
  <si>
    <t>14501139</t>
  </si>
  <si>
    <t>426b17e3-387c-44b8-8c4c-57eaa82cf47c</t>
  </si>
  <si>
    <t>2026-06-02 08:48:44</t>
  </si>
  <si>
    <t>27825325211</t>
  </si>
  <si>
    <t>14501298</t>
  </si>
  <si>
    <t>d3c8d187-9b36-45f7-99f2-15e50a34f3c0</t>
  </si>
  <si>
    <t>MADIBUSENG</t>
  </si>
  <si>
    <t>TLHATLOSI</t>
  </si>
  <si>
    <t>2026-06-02 08:48:28</t>
  </si>
  <si>
    <t>27762254454</t>
  </si>
  <si>
    <t>14501297</t>
  </si>
  <si>
    <t>0ed85067-98e6-4784-996a-c84bdcc7a636</t>
  </si>
  <si>
    <t>ELIOT</t>
  </si>
  <si>
    <t>2026-06-02 08:48:23</t>
  </si>
  <si>
    <t>27797752166</t>
  </si>
  <si>
    <t>14501296</t>
  </si>
  <si>
    <t>9eb4c0af-869c-4528-b538-52269c935fcd</t>
  </si>
  <si>
    <t>THOLAKELE</t>
  </si>
  <si>
    <t>MOJAKIONE</t>
  </si>
  <si>
    <t>2026-06-02 08:48:20</t>
  </si>
  <si>
    <t>27646869230</t>
  </si>
  <si>
    <t>14501295</t>
  </si>
  <si>
    <t>93e78847-d315-463e-af33-795156375b28</t>
  </si>
  <si>
    <t>VESHNEE</t>
  </si>
  <si>
    <t>ZILL</t>
  </si>
  <si>
    <t>2026-06-02 08:48:16</t>
  </si>
  <si>
    <t>27722616155</t>
  </si>
  <si>
    <t>14501292</t>
  </si>
  <si>
    <t>afbe399c-f640-464e-be07-fa8e5d123111</t>
  </si>
  <si>
    <t>MARIANNA</t>
  </si>
  <si>
    <t>2026-06-02 08:48:12</t>
  </si>
  <si>
    <t>27662951365</t>
  </si>
  <si>
    <t>14501294</t>
  </si>
  <si>
    <t>2c6f376e-0e89-4d20-86ab-6fbcc3e55289</t>
  </si>
  <si>
    <t>GERALDINE</t>
  </si>
  <si>
    <t>CLULEE</t>
  </si>
  <si>
    <t>27717650939</t>
  </si>
  <si>
    <t>14501290</t>
  </si>
  <si>
    <t>253d6597-fefb-40dd-bf1c-7096b74e144a</t>
  </si>
  <si>
    <t>TSHEPISO</t>
  </si>
  <si>
    <t>SEOBI</t>
  </si>
  <si>
    <t>2026-06-02 08:48:09</t>
  </si>
  <si>
    <t>27716824072</t>
  </si>
  <si>
    <t>14501283</t>
  </si>
  <si>
    <t>b85cd073-2dbc-4285-a7c4-a5b2d59ed451</t>
  </si>
  <si>
    <t>ADAM</t>
  </si>
  <si>
    <t>MATLOLELA</t>
  </si>
  <si>
    <t>2026-06-02 08:47:55</t>
  </si>
  <si>
    <t>27793233146</t>
  </si>
  <si>
    <t>14501284</t>
  </si>
  <si>
    <t>5552daa3-8181-48f2-9ff6-23b1ff183cc8</t>
  </si>
  <si>
    <t>NICOLE</t>
  </si>
  <si>
    <t>JOSHUA</t>
  </si>
  <si>
    <t>27662105439</t>
  </si>
  <si>
    <t>14501288</t>
  </si>
  <si>
    <t>fe22d52e-c436-4f3f-b177-63f1e2a4627d</t>
  </si>
  <si>
    <t>RHULANE</t>
  </si>
  <si>
    <t>RAMASOGI</t>
  </si>
  <si>
    <t>27674010542</t>
  </si>
  <si>
    <t>14501289</t>
  </si>
  <si>
    <t>c76e9b47-f9c9-4aeb-b573-3d6c28f52421</t>
  </si>
  <si>
    <t>MARINDA</t>
  </si>
  <si>
    <t>27662661086</t>
  </si>
  <si>
    <t>14501282</t>
  </si>
  <si>
    <t>f232fa2b-a20e-4997-840c-661a9f502ca2</t>
  </si>
  <si>
    <t>RITA</t>
  </si>
  <si>
    <t>VAN STADEN</t>
  </si>
  <si>
    <t>2026-06-02 08:47:37</t>
  </si>
  <si>
    <t>27662431618</t>
  </si>
  <si>
    <t>14501281</t>
  </si>
  <si>
    <t>7e10b554-628f-488a-99cd-8eb5033eb1e2</t>
  </si>
  <si>
    <t>SEABELA</t>
  </si>
  <si>
    <t>2026-06-02 08:47:32</t>
  </si>
  <si>
    <t>27649764469</t>
  </si>
  <si>
    <t>14501278</t>
  </si>
  <si>
    <t>e070d9fa-c6b3-46d2-befc-56effdb5d2df</t>
  </si>
  <si>
    <t>GOITSEMANG</t>
  </si>
  <si>
    <t>GASEROTSE</t>
  </si>
  <si>
    <t>2026-06-02 08:47:31</t>
  </si>
  <si>
    <t>27662984514</t>
  </si>
  <si>
    <t>14501280</t>
  </si>
  <si>
    <t>d31cab7c-6aee-4e71-9f1a-cc5e670a9021</t>
  </si>
  <si>
    <t>27636830879</t>
  </si>
  <si>
    <t>14501254</t>
  </si>
  <si>
    <t>add1976a-6da4-4cca-bae5-3b9bda983716</t>
  </si>
  <si>
    <t>RA</t>
  </si>
  <si>
    <t>STROH</t>
  </si>
  <si>
    <t>2026-06-02 08:47:29</t>
  </si>
  <si>
    <t>27647485808</t>
  </si>
  <si>
    <t>14501275</t>
  </si>
  <si>
    <t>b0b30a5b-5e9f-4a7c-80c8-add63fe4dc3d</t>
  </si>
  <si>
    <t>JOY</t>
  </si>
  <si>
    <t>SEKWATI</t>
  </si>
  <si>
    <t>27796756903</t>
  </si>
  <si>
    <t>14501276</t>
  </si>
  <si>
    <t>95e87a5b-7516-4bc0-81c0-b8629a781026</t>
  </si>
  <si>
    <t>BONI</t>
  </si>
  <si>
    <t>27649051599</t>
  </si>
  <si>
    <t>14501277</t>
  </si>
  <si>
    <t>6f7daf66-4879-47bc-82fa-841175de1e7f</t>
  </si>
  <si>
    <t>MODIBA</t>
  </si>
  <si>
    <t>27646591027</t>
  </si>
  <si>
    <t>14501739</t>
  </si>
  <si>
    <t>43bdc1e5-dad8-468a-952f-7575ece5958f</t>
  </si>
  <si>
    <t>2026-06-02 08:46:28</t>
  </si>
  <si>
    <t>27712361658</t>
  </si>
  <si>
    <t>14501238</t>
  </si>
  <si>
    <t>eaf63cd8-3bce-4104-b791-ba5b03de72c5</t>
  </si>
  <si>
    <t>27665714347</t>
  </si>
  <si>
    <t>14501240</t>
  </si>
  <si>
    <t>3321ffef-0f19-4f2c-84ea-9739d28f25d2</t>
  </si>
  <si>
    <t>27826696806</t>
  </si>
  <si>
    <t>14501054</t>
  </si>
  <si>
    <t>e0779020-17e7-4a93-baa4-9027bb32294c</t>
  </si>
  <si>
    <t>AVIWE</t>
  </si>
  <si>
    <t>TAFENI</t>
  </si>
  <si>
    <t>2026-06-02 08:46:09</t>
  </si>
  <si>
    <t>27723748231</t>
  </si>
  <si>
    <t>14501053</t>
  </si>
  <si>
    <t>60f7ca9c-4fc0-44ed-9af6-39f9cc64a2f6</t>
  </si>
  <si>
    <t>HENNIE</t>
  </si>
  <si>
    <t>2026-06-02 08:46:06</t>
  </si>
  <si>
    <t>27796844630</t>
  </si>
  <si>
    <t>14501175</t>
  </si>
  <si>
    <t>b07a24b0-7de3-4131-ab53-3684c250e736</t>
  </si>
  <si>
    <t>STENLEY</t>
  </si>
  <si>
    <t>TOWEEL</t>
  </si>
  <si>
    <t>2026-06-02 08:46:02</t>
  </si>
  <si>
    <t>27732085968</t>
  </si>
  <si>
    <t>14501172</t>
  </si>
  <si>
    <t>17a8c4ba-d759-4cb7-aa1c-219fdb8125c1</t>
  </si>
  <si>
    <t>KEMISETSO</t>
  </si>
  <si>
    <t>PHAKATHI</t>
  </si>
  <si>
    <t>2026-06-02 08:45:56</t>
  </si>
  <si>
    <t>27714111544</t>
  </si>
  <si>
    <t>14501171</t>
  </si>
  <si>
    <t>7443a45e-6cd1-48a3-b159-086ceb8cb73f</t>
  </si>
  <si>
    <t>JEANET</t>
  </si>
  <si>
    <t>MALEBYE</t>
  </si>
  <si>
    <t>2026-06-02 08:45:53</t>
  </si>
  <si>
    <t>27662198694</t>
  </si>
  <si>
    <t>14501166</t>
  </si>
  <si>
    <t>de4c52b7-1960-4cf4-bdce-458c1483a187</t>
  </si>
  <si>
    <t>MABLE</t>
  </si>
  <si>
    <t>KAMUSOKO</t>
  </si>
  <si>
    <t>2026-06-02 08:45:44</t>
  </si>
  <si>
    <t>27791821786</t>
  </si>
  <si>
    <t>14501169</t>
  </si>
  <si>
    <t>2f28e1ae-4f8d-4de5-aeec-163e0d4714cd</t>
  </si>
  <si>
    <t>27716739964</t>
  </si>
  <si>
    <t>14501149</t>
  </si>
  <si>
    <t>6d492355-d1d5-4d08-8b03-790b38520255</t>
  </si>
  <si>
    <t>KATHLEEN</t>
  </si>
  <si>
    <t>POGGENPOEL</t>
  </si>
  <si>
    <t>2026-06-02 08:45:43</t>
  </si>
  <si>
    <t>27762003339</t>
  </si>
  <si>
    <t>14501154</t>
  </si>
  <si>
    <t>1889fe3f-ba38-4cfc-87a1-3614a219e6c5</t>
  </si>
  <si>
    <t>2026-06-02 08:44:29</t>
  </si>
  <si>
    <t>27824607810</t>
  </si>
  <si>
    <t>14501162</t>
  </si>
  <si>
    <t>b2386278-fa02-4f50-830f-93d7af97ea79</t>
  </si>
  <si>
    <t>RAE</t>
  </si>
  <si>
    <t>OSBORN</t>
  </si>
  <si>
    <t>2026-06-02 08:44:28</t>
  </si>
  <si>
    <t>27724916654</t>
  </si>
  <si>
    <t>14501163</t>
  </si>
  <si>
    <t>0033d814-1251-442b-ba89-3c10851cc3e2</t>
  </si>
  <si>
    <t>SUSARAH</t>
  </si>
  <si>
    <t>27798314269</t>
  </si>
  <si>
    <t>14501160</t>
  </si>
  <si>
    <t>1b4a47d6-05e2-421d-9d13-3009f9e53584</t>
  </si>
  <si>
    <t>AMY</t>
  </si>
  <si>
    <t>WILMOT</t>
  </si>
  <si>
    <t>2026-06-02 08:44:27</t>
  </si>
  <si>
    <t>27829272808</t>
  </si>
  <si>
    <t>14501161</t>
  </si>
  <si>
    <t>6802167b-d373-4e0a-8a23-0ed665c78da8</t>
  </si>
  <si>
    <t>GRIESEL</t>
  </si>
  <si>
    <t>27714015085</t>
  </si>
  <si>
    <t>14501148</t>
  </si>
  <si>
    <t>93cd7abf-afe8-4f83-b070-596a9ec8221a</t>
  </si>
  <si>
    <t>SPHAMANDLA</t>
  </si>
  <si>
    <t>NXUMALO</t>
  </si>
  <si>
    <t>NIUP</t>
  </si>
  <si>
    <t>Not Interested Upfront</t>
  </si>
  <si>
    <t>2026-06-02 08:44:26</t>
  </si>
  <si>
    <t>27726590717</t>
  </si>
  <si>
    <t>14501158</t>
  </si>
  <si>
    <t>9c132cca-e1d9-42cf-b6e7-e12c671180c6</t>
  </si>
  <si>
    <t>NJABULO</t>
  </si>
  <si>
    <t>NDWANDWE</t>
  </si>
  <si>
    <t>2026-06-02 08:44:23</t>
  </si>
  <si>
    <t>27714200089</t>
  </si>
  <si>
    <t>14501159</t>
  </si>
  <si>
    <t>2925ae67-a9a1-4ded-b3a1-1990959fca26</t>
  </si>
  <si>
    <t>SNYDERS</t>
  </si>
  <si>
    <t>27824000040</t>
  </si>
  <si>
    <t>14501152</t>
  </si>
  <si>
    <t>35cbee89-a906-41cb-af3b-f15f38c75a8f</t>
  </si>
  <si>
    <t>NELISIWE</t>
  </si>
  <si>
    <t>2026-06-02 08:43:58</t>
  </si>
  <si>
    <t>27647385962</t>
  </si>
  <si>
    <t>14501155</t>
  </si>
  <si>
    <t>c9e3b171-944b-40d6-af03-c21e54b476ff</t>
  </si>
  <si>
    <t>MOTLAKADIBE</t>
  </si>
  <si>
    <t>SEKUTE</t>
  </si>
  <si>
    <t>27662542453</t>
  </si>
  <si>
    <t>14501150</t>
  </si>
  <si>
    <t>7b0c9329-46f7-41d8-9691-79304ac5e1aa</t>
  </si>
  <si>
    <t>NOLEN</t>
  </si>
  <si>
    <t>KLEYN</t>
  </si>
  <si>
    <t>2026-06-02 08:42:47</t>
  </si>
  <si>
    <t>27761519203</t>
  </si>
  <si>
    <t>14501151</t>
  </si>
  <si>
    <t>7bf09bdc-72f3-4fb6-a407-6d94c9142054</t>
  </si>
  <si>
    <t>SIYETHEMBA</t>
  </si>
  <si>
    <t>HLONGWA</t>
  </si>
  <si>
    <t>27790122511</t>
  </si>
  <si>
    <t>14501273</t>
  </si>
  <si>
    <t>32b3ca54-a52d-41be-a394-9d907df2a9d3</t>
  </si>
  <si>
    <t>JOEL</t>
  </si>
  <si>
    <t>2026-06-02 08:41:49</t>
  </si>
  <si>
    <t>27646402276</t>
  </si>
  <si>
    <t>14501272</t>
  </si>
  <si>
    <t>720e11a3-1d0c-49b7-b10f-34b222110e6e</t>
  </si>
  <si>
    <t>POLLY</t>
  </si>
  <si>
    <t>2026-06-02 08:41:47</t>
  </si>
  <si>
    <t>27726681550</t>
  </si>
  <si>
    <t>14501268</t>
  </si>
  <si>
    <t>b8967e98-9c4f-4798-91fc-aa61209a64d0</t>
  </si>
  <si>
    <t>SNETHEMBA</t>
  </si>
  <si>
    <t>2026-06-02 08:41:45</t>
  </si>
  <si>
    <t>27822653302</t>
  </si>
  <si>
    <t>14501269</t>
  </si>
  <si>
    <t>b0b5074f-4963-4a87-9ed1-a3b2f30d1eed</t>
  </si>
  <si>
    <t>27827822099</t>
  </si>
  <si>
    <t>14501270</t>
  </si>
  <si>
    <t>a6787f6d-f46d-4fc7-bd00-8eb2ed92571b</t>
  </si>
  <si>
    <t>MOIPONENYANA</t>
  </si>
  <si>
    <t>TAMANE</t>
  </si>
  <si>
    <t>27829514986</t>
  </si>
  <si>
    <t>14501271</t>
  </si>
  <si>
    <t>f371737d-4604-4065-b3cc-98326349938a</t>
  </si>
  <si>
    <t>SUZAN</t>
  </si>
  <si>
    <t>27607108847</t>
  </si>
  <si>
    <t>14501266</t>
  </si>
  <si>
    <t>e818c5c2-5d75-4c6d-bbe4-e1055f5bbd8d</t>
  </si>
  <si>
    <t>LINDELWA</t>
  </si>
  <si>
    <t>JELE</t>
  </si>
  <si>
    <t>2026-06-02 08:41:38</t>
  </si>
  <si>
    <t>27766568694</t>
  </si>
  <si>
    <t>14501262</t>
  </si>
  <si>
    <t>f5bd21ca-db74-406f-b287-256acfa299f8</t>
  </si>
  <si>
    <t>SHARLOTTE</t>
  </si>
  <si>
    <t>NAIDU</t>
  </si>
  <si>
    <t>2026-06-02 08:41:37</t>
  </si>
  <si>
    <t>27790893710</t>
  </si>
  <si>
    <t>14501263</t>
  </si>
  <si>
    <t>c82205b0-0e05-480e-b91e-6e35eed94214</t>
  </si>
  <si>
    <t>ELIAS</t>
  </si>
  <si>
    <t>PHALE</t>
  </si>
  <si>
    <t>27824825384</t>
  </si>
  <si>
    <t>14501261</t>
  </si>
  <si>
    <t>1cc6570a-5e8f-49a7-b763-188520fc3a10</t>
  </si>
  <si>
    <t>KOLOBE</t>
  </si>
  <si>
    <t>KGANYAGO</t>
  </si>
  <si>
    <t>2026-06-02 08:41:36</t>
  </si>
  <si>
    <t>27768618004</t>
  </si>
  <si>
    <t>14501260</t>
  </si>
  <si>
    <t>9441ec9e-81c9-47b4-909d-d1d311d782f0</t>
  </si>
  <si>
    <t>BASEBI</t>
  </si>
  <si>
    <t>TANGOANE</t>
  </si>
  <si>
    <t>2026-06-02 08:40:49</t>
  </si>
  <si>
    <t>27825656321</t>
  </si>
  <si>
    <t>14501257</t>
  </si>
  <si>
    <t>c5d011f1-8752-4588-8706-a811f203c11a</t>
  </si>
  <si>
    <t>NOBA</t>
  </si>
  <si>
    <t>2026-06-02 08:40:48</t>
  </si>
  <si>
    <t>27826766301</t>
  </si>
  <si>
    <t>14501258</t>
  </si>
  <si>
    <t>bbfaa167-0f80-4fe4-9662-36bfe3d2c335</t>
  </si>
  <si>
    <t>KARIN</t>
  </si>
  <si>
    <t>27662226240</t>
  </si>
  <si>
    <t>14501255</t>
  </si>
  <si>
    <t>1d135aa4-8094-4402-8f5a-85bfafc0fd61</t>
  </si>
  <si>
    <t>SHARMAINE</t>
  </si>
  <si>
    <t>2026-06-02 08:40:47</t>
  </si>
  <si>
    <t>27825694350</t>
  </si>
  <si>
    <t>14501256</t>
  </si>
  <si>
    <t>438e5538-9bc6-4df8-8a48-d34f97ba2bad</t>
  </si>
  <si>
    <t>27726295161</t>
  </si>
  <si>
    <t>14501664</t>
  </si>
  <si>
    <t>ac78c584-73e6-4b75-9646-b25bffdd036a</t>
  </si>
  <si>
    <t>2026-06-02 08:40:23</t>
  </si>
  <si>
    <t>27723171189</t>
  </si>
  <si>
    <t>14501095</t>
  </si>
  <si>
    <t>72239176-7e73-474c-b422-cc6ad2051fab</t>
  </si>
  <si>
    <t>DANELLE</t>
  </si>
  <si>
    <t>2026-06-02 08:40:17</t>
  </si>
  <si>
    <t>27724672737</t>
  </si>
  <si>
    <t>14501093</t>
  </si>
  <si>
    <t>30ff9ad0-f5eb-4ae1-9aef-a83f6465c4d7</t>
  </si>
  <si>
    <t>NOSIPHIWO</t>
  </si>
  <si>
    <t>DNQS</t>
  </si>
  <si>
    <t>Does Not Qualify</t>
  </si>
  <si>
    <t>2026-06-02 08:40:09</t>
  </si>
  <si>
    <t>27662039429</t>
  </si>
  <si>
    <t>14501092</t>
  </si>
  <si>
    <t>7d0882d3-00de-47e1-a41d-508877efb563</t>
  </si>
  <si>
    <t>2026-06-02 08:39:58</t>
  </si>
  <si>
    <t>27662129364</t>
  </si>
  <si>
    <t>14501089</t>
  </si>
  <si>
    <t>cd79f7bd-0d62-464b-ae2f-b71750347fe7</t>
  </si>
  <si>
    <t>MATHEKO</t>
  </si>
  <si>
    <t>MAFOKWANE</t>
  </si>
  <si>
    <t>2026-06-02 08:39:57</t>
  </si>
  <si>
    <t>27728342337</t>
  </si>
  <si>
    <t>14501090</t>
  </si>
  <si>
    <t>6a34cc3a-6b4f-492c-84a6-88203a563250</t>
  </si>
  <si>
    <t>WITNESS</t>
  </si>
  <si>
    <t>MUSISIDWA</t>
  </si>
  <si>
    <t>27765649799</t>
  </si>
  <si>
    <t>14501088</t>
  </si>
  <si>
    <t>eec8b682-b102-49c3-b746-1214d2ad9588</t>
  </si>
  <si>
    <t>FAWZIA</t>
  </si>
  <si>
    <t>OSMAN</t>
  </si>
  <si>
    <t>2026-06-02 08:39:52</t>
  </si>
  <si>
    <t>27786358776</t>
  </si>
  <si>
    <t>14501087</t>
  </si>
  <si>
    <t>d93fd4d6-870e-48c4-8da1-e3b34b1265e6</t>
  </si>
  <si>
    <t>MATIBATIBE</t>
  </si>
  <si>
    <t>MATSEBA</t>
  </si>
  <si>
    <t>2026-06-02 08:39:49</t>
  </si>
  <si>
    <t>27662094059</t>
  </si>
  <si>
    <t>14501086</t>
  </si>
  <si>
    <t>483f7ef8-101a-4b91-a323-74628d4c6fa4</t>
  </si>
  <si>
    <t>BENETICIA</t>
  </si>
  <si>
    <t>HLENGANI</t>
  </si>
  <si>
    <t>2026-06-02 08:39:38</t>
  </si>
  <si>
    <t>27827553955</t>
  </si>
  <si>
    <t>14501177</t>
  </si>
  <si>
    <t>a9cb10e6-8601-40db-9db4-4c94ec5b16a4</t>
  </si>
  <si>
    <t>27721136375</t>
  </si>
  <si>
    <t>14501236</t>
  </si>
  <si>
    <t>39fa2f83-3918-4e10-b8d5-b3e2b47d4403</t>
  </si>
  <si>
    <t>LEBOGANG</t>
  </si>
  <si>
    <t>NTHUPING</t>
  </si>
  <si>
    <t>27727476307</t>
  </si>
  <si>
    <t>14501658</t>
  </si>
  <si>
    <t>506563c6-d54c-4638-8f44-356b2a0dbdd1</t>
  </si>
  <si>
    <t>KADI</t>
  </si>
  <si>
    <t>27609616978</t>
  </si>
  <si>
    <t>14502783</t>
  </si>
  <si>
    <t>2663f36f-1e0a-41a4-b382-595fde01bf12</t>
  </si>
  <si>
    <t>27798334744</t>
  </si>
  <si>
    <t>2026-06-02 08:39:15</t>
  </si>
  <si>
    <t>14502668</t>
  </si>
  <si>
    <t>9e6e6e97-03cb-4bc7-ad0b-1a2076a04b56</t>
  </si>
  <si>
    <t>27761489646</t>
  </si>
  <si>
    <t>2026-06-02 08:38:06</t>
  </si>
  <si>
    <t>14501235</t>
  </si>
  <si>
    <t>d86bcbbc-2787-4aa0-8e47-acd8fd34e1b4</t>
  </si>
  <si>
    <t>MUSTAQEEM</t>
  </si>
  <si>
    <t>JANUARY</t>
  </si>
  <si>
    <t>2026-06-02 08:37:15</t>
  </si>
  <si>
    <t>27608547111</t>
  </si>
  <si>
    <t>14501234</t>
  </si>
  <si>
    <t>ff5f5eff-1caf-4128-8f30-983c94cde70e</t>
  </si>
  <si>
    <t>MLAMLI</t>
  </si>
  <si>
    <t>MNAKANISO</t>
  </si>
  <si>
    <t>2026-06-02 08:37:14</t>
  </si>
  <si>
    <t>27609266291</t>
  </si>
  <si>
    <t>14501230</t>
  </si>
  <si>
    <t>062b12af-8e6b-4b2c-8db9-b930d29b2fab</t>
  </si>
  <si>
    <t>2026-06-02 08:37:11</t>
  </si>
  <si>
    <t>27827807765</t>
  </si>
  <si>
    <t>14501231</t>
  </si>
  <si>
    <t>06a70e28-1143-4f2f-8ce3-b0c50e1eef09</t>
  </si>
  <si>
    <t>VIDETTE</t>
  </si>
  <si>
    <t>COETSEE</t>
  </si>
  <si>
    <t>27849226644</t>
  </si>
  <si>
    <t>14501232</t>
  </si>
  <si>
    <t>73411416-d0ec-4d69-9140-5aab8394da79</t>
  </si>
  <si>
    <t>NQEVU</t>
  </si>
  <si>
    <t>27822122981</t>
  </si>
  <si>
    <t>14501233</t>
  </si>
  <si>
    <t>24f8d08f-565d-4dfb-b25f-94a216cc6657</t>
  </si>
  <si>
    <t>TSHOSE</t>
  </si>
  <si>
    <t>27827251280</t>
  </si>
  <si>
    <t>14501227</t>
  </si>
  <si>
    <t>67ebb055-b3f1-4778-baf0-9a32ab1164d9</t>
  </si>
  <si>
    <t>MPHUMI</t>
  </si>
  <si>
    <t>SHAKWANE</t>
  </si>
  <si>
    <t>2026-06-02 08:37:09</t>
  </si>
  <si>
    <t>27718165739</t>
  </si>
  <si>
    <t>14501229</t>
  </si>
  <si>
    <t>bfc80e74-d9c6-422c-8b41-a99144abffc3</t>
  </si>
  <si>
    <t>NOKUBONGA</t>
  </si>
  <si>
    <t>JUKUMBA</t>
  </si>
  <si>
    <t>27828926029</t>
  </si>
  <si>
    <t>14501226</t>
  </si>
  <si>
    <t>a6ca75c2-f516-4502-9bad-b1553609246c</t>
  </si>
  <si>
    <t>MOSTERT</t>
  </si>
  <si>
    <t>2026-06-02 08:36:57</t>
  </si>
  <si>
    <t>27822209588</t>
  </si>
  <si>
    <t>14501225</t>
  </si>
  <si>
    <t>79661368-07dd-428a-ad14-2f85c1894cc4</t>
  </si>
  <si>
    <t>NSINDISO</t>
  </si>
  <si>
    <t>2026-06-02 08:36:56</t>
  </si>
  <si>
    <t>27729132180</t>
  </si>
  <si>
    <t>14501176</t>
  </si>
  <si>
    <t>6311c1d5-7406-4d25-a601-811298fc3178</t>
  </si>
  <si>
    <t>HEILETJIE</t>
  </si>
  <si>
    <t>KNOESEN</t>
  </si>
  <si>
    <t>2026-06-02 08:36:51</t>
  </si>
  <si>
    <t>27768332691</t>
  </si>
  <si>
    <t>14501178</t>
  </si>
  <si>
    <t>3f1a587f-e1f9-464d-9eac-67b965cdf076</t>
  </si>
  <si>
    <t>WROTH</t>
  </si>
  <si>
    <t>27761112779</t>
  </si>
  <si>
    <t>14501210</t>
  </si>
  <si>
    <t>51b70ac2-a033-4920-aa73-751340b2c7df</t>
  </si>
  <si>
    <t>RASIVHETSHELE</t>
  </si>
  <si>
    <t>27634933235</t>
  </si>
  <si>
    <t>14501224</t>
  </si>
  <si>
    <t>64aa6874-a1cc-40d8-a83d-138b59acb144</t>
  </si>
  <si>
    <t>SEKWANE</t>
  </si>
  <si>
    <t>27646823899</t>
  </si>
  <si>
    <t>14502515</t>
  </si>
  <si>
    <t>7464653d-d555-4568-815c-01c41412dd6f</t>
  </si>
  <si>
    <t>27716683315</t>
  </si>
  <si>
    <t>2026-06-02 08:36:21</t>
  </si>
  <si>
    <t>14502729</t>
  </si>
  <si>
    <t>df43d4e0-e37d-43ef-983c-0b3b4d105232</t>
  </si>
  <si>
    <t>27647756664</t>
  </si>
  <si>
    <t>2026-06-02 08:34:20</t>
  </si>
  <si>
    <t>14501946</t>
  </si>
  <si>
    <t>29c39aab-6ce6-4dd0-8a40-a3f80668a43b</t>
  </si>
  <si>
    <t>27673753157</t>
  </si>
  <si>
    <t>2026-06-02 08:34:01</t>
  </si>
  <si>
    <t>14501223</t>
  </si>
  <si>
    <t>773b8f07-6dfd-4a64-8745-926febb039a4</t>
  </si>
  <si>
    <t>LOYISO</t>
  </si>
  <si>
    <t>MAXAULANA</t>
  </si>
  <si>
    <t>2026-06-02 08:33:56</t>
  </si>
  <si>
    <t>27646562254</t>
  </si>
  <si>
    <t>14501222</t>
  </si>
  <si>
    <t>acb0a143-b896-40ae-9bf6-803845199db5</t>
  </si>
  <si>
    <t>THEMBENI</t>
  </si>
  <si>
    <t>NGUBENI</t>
  </si>
  <si>
    <t>2026-06-02 08:33:54</t>
  </si>
  <si>
    <t>27714611546</t>
  </si>
  <si>
    <t>14501221</t>
  </si>
  <si>
    <t>a8f2cf48-cc81-43f1-a3fd-80172731e2f2</t>
  </si>
  <si>
    <t>KANYA</t>
  </si>
  <si>
    <t>GANCA</t>
  </si>
  <si>
    <t>2026-06-02 08:33:52</t>
  </si>
  <si>
    <t>27646536247</t>
  </si>
  <si>
    <t>14501217</t>
  </si>
  <si>
    <t>3e8cfabe-e36b-4426-8d3c-bdd35fc46e68</t>
  </si>
  <si>
    <t>PENELOPE</t>
  </si>
  <si>
    <t>DIKOBE</t>
  </si>
  <si>
    <t>2026-06-02 08:33:50</t>
  </si>
  <si>
    <t>27796728386</t>
  </si>
  <si>
    <t>14501218</t>
  </si>
  <si>
    <t>f6325730-cc5c-4d99-9259-36800ec8b85c</t>
  </si>
  <si>
    <t>MABITSELA</t>
  </si>
  <si>
    <t>27662986057</t>
  </si>
  <si>
    <t>14501219</t>
  </si>
  <si>
    <t>967ff82f-e00a-463c-955a-9f8f50008355</t>
  </si>
  <si>
    <t>27662606550</t>
  </si>
  <si>
    <t>14501220</t>
  </si>
  <si>
    <t>efad8fb6-0754-47e7-9bc8-79349b90ff73</t>
  </si>
  <si>
    <t>PHINDIWE</t>
  </si>
  <si>
    <t>MAKWA-RAKHOALE</t>
  </si>
  <si>
    <t>27797828530</t>
  </si>
  <si>
    <t>14501216</t>
  </si>
  <si>
    <t>0275373d-f44e-40ea-aef0-832e69a9592c</t>
  </si>
  <si>
    <t>TIISETSO</t>
  </si>
  <si>
    <t>MOLOTO</t>
  </si>
  <si>
    <t>2026-06-02 08:33:43</t>
  </si>
  <si>
    <t>27730693785</t>
  </si>
  <si>
    <t>14501214</t>
  </si>
  <si>
    <t>f969f8c1-7b44-42a7-9f50-aebe2b313b26</t>
  </si>
  <si>
    <t>SMANGELE</t>
  </si>
  <si>
    <t>LONGWE</t>
  </si>
  <si>
    <t>2026-06-02 08:33:42</t>
  </si>
  <si>
    <t>27794779787</t>
  </si>
  <si>
    <t>14501215</t>
  </si>
  <si>
    <t>75db13be-c4c9-4987-930e-4eef0f6f7ff6</t>
  </si>
  <si>
    <t>27662331174</t>
  </si>
  <si>
    <t>14500507</t>
  </si>
  <si>
    <t>1b7d2800-1a06-4aaa-896a-f80817a150fa</t>
  </si>
  <si>
    <t>2026-06-02 08:33:13</t>
  </si>
  <si>
    <t>27765103567</t>
  </si>
  <si>
    <t>14501181</t>
  </si>
  <si>
    <t>80747646-5fd5-41d5-94f1-ba0c2b37b8f8</t>
  </si>
  <si>
    <t>BROOKES</t>
  </si>
  <si>
    <t>2026-06-02 08:33:10</t>
  </si>
  <si>
    <t>27832322203</t>
  </si>
  <si>
    <t>14501211</t>
  </si>
  <si>
    <t>e5b0355b-4d49-418e-9960-9f0867d1db06</t>
  </si>
  <si>
    <t>DALE</t>
  </si>
  <si>
    <t>MORTON</t>
  </si>
  <si>
    <t>27836451382</t>
  </si>
  <si>
    <t>14501212</t>
  </si>
  <si>
    <t>e3ebcb03-7557-4356-b236-bd8ad7528906</t>
  </si>
  <si>
    <t>NAUMAN</t>
  </si>
  <si>
    <t>ALVIE</t>
  </si>
  <si>
    <t>27723765644</t>
  </si>
  <si>
    <t>14501213</t>
  </si>
  <si>
    <t>3d670c7c-22be-47f1-8c6b-6378cb7e3494</t>
  </si>
  <si>
    <t>27832924895</t>
  </si>
  <si>
    <t>14501110</t>
  </si>
  <si>
    <t>0435377c-9ab6-4fb5-9764-1b111d3312af</t>
  </si>
  <si>
    <t>ANELISA</t>
  </si>
  <si>
    <t>SINQE</t>
  </si>
  <si>
    <t>EC</t>
  </si>
  <si>
    <t>Existing Client</t>
  </si>
  <si>
    <t>2026-06-02 08:31:59</t>
  </si>
  <si>
    <t>27616109807</t>
  </si>
  <si>
    <t>14501208</t>
  </si>
  <si>
    <t>d1f8c520-55b6-4765-851a-cb86495782fb</t>
  </si>
  <si>
    <t>ZACHARY</t>
  </si>
  <si>
    <t>KINGSTON</t>
  </si>
  <si>
    <t>2026-06-02 08:31:58</t>
  </si>
  <si>
    <t>27798561941</t>
  </si>
  <si>
    <t>14501209</t>
  </si>
  <si>
    <t>3d4de1d4-f1b6-42c9-8967-c48423432c42</t>
  </si>
  <si>
    <t>PANI</t>
  </si>
  <si>
    <t>27715585480</t>
  </si>
  <si>
    <t>14501207</t>
  </si>
  <si>
    <t>967de772-ee4e-4269-aafb-f3675e0f8b8d</t>
  </si>
  <si>
    <t>MOLEYA</t>
  </si>
  <si>
    <t>2026-06-02 08:31:55</t>
  </si>
  <si>
    <t>27712873758</t>
  </si>
  <si>
    <t>14501201</t>
  </si>
  <si>
    <t>52adfc11-8d6e-4187-a178-57a590363afc</t>
  </si>
  <si>
    <t>JETHRO</t>
  </si>
  <si>
    <t>MOLAPISI</t>
  </si>
  <si>
    <t>2026-06-02 08:31:52</t>
  </si>
  <si>
    <t>27662569286</t>
  </si>
  <si>
    <t>14501202</t>
  </si>
  <si>
    <t>de4075a0-c7b2-4b31-bb6e-ded3fa3689ff</t>
  </si>
  <si>
    <t>SHAVARNE</t>
  </si>
  <si>
    <t>BARENDSE</t>
  </si>
  <si>
    <t>27795917593</t>
  </si>
  <si>
    <t>14501203</t>
  </si>
  <si>
    <t>a6657144-1434-4cf3-8a67-a2f030aeb0c0</t>
  </si>
  <si>
    <t>THABANI</t>
  </si>
  <si>
    <t>27713112441</t>
  </si>
  <si>
    <t>14501204</t>
  </si>
  <si>
    <t>70e10c75-833a-4f5b-85fc-d8a986e25f94</t>
  </si>
  <si>
    <t>MQAZA</t>
  </si>
  <si>
    <t>27721702042</t>
  </si>
  <si>
    <t>14501206</t>
  </si>
  <si>
    <t>7809aabb-949f-48d4-8e82-231bbe702dcc</t>
  </si>
  <si>
    <t>MATLHAFUNYA</t>
  </si>
  <si>
    <t>27649047215</t>
  </si>
  <si>
    <t>14501168</t>
  </si>
  <si>
    <t>f72e0137-58e9-4a5b-b8e7-06c0219194d1</t>
  </si>
  <si>
    <t>TLODIPJANE</t>
  </si>
  <si>
    <t>MASHAMAITE</t>
  </si>
  <si>
    <t>2026-06-02 08:31:34</t>
  </si>
  <si>
    <t>27794401587</t>
  </si>
  <si>
    <t>14501200</t>
  </si>
  <si>
    <t>77a15276-40d4-4cef-8364-2b104bd58434</t>
  </si>
  <si>
    <t>LANDSBERG</t>
  </si>
  <si>
    <t>2026-06-02 08:31:33</t>
  </si>
  <si>
    <t>27834600388</t>
  </si>
  <si>
    <t>14501195</t>
  </si>
  <si>
    <t>020d46d7-0e6f-4b14-b716-b775951d7845</t>
  </si>
  <si>
    <t>MPUNGOSE</t>
  </si>
  <si>
    <t>2026-06-02 08:31:32</t>
  </si>
  <si>
    <t>27822604628</t>
  </si>
  <si>
    <t>14501197</t>
  </si>
  <si>
    <t>56e2d427-a551-4e79-a94c-37a4e95b6d0d</t>
  </si>
  <si>
    <t>FF</t>
  </si>
  <si>
    <t>27824628780</t>
  </si>
  <si>
    <t>14501198</t>
  </si>
  <si>
    <t>f2380c5b-a790-43cc-a6a5-1542c94e0448</t>
  </si>
  <si>
    <t>TEBELLO</t>
  </si>
  <si>
    <t>27829634209</t>
  </si>
  <si>
    <t>14501194</t>
  </si>
  <si>
    <t>7b5e29c7-768e-459d-b34c-4dd6574506a6</t>
  </si>
  <si>
    <t>MASANDE</t>
  </si>
  <si>
    <t>MCWERA</t>
  </si>
  <si>
    <t>2026-06-02 08:31:28</t>
  </si>
  <si>
    <t>27760706337</t>
  </si>
  <si>
    <t>14501193</t>
  </si>
  <si>
    <t>e6329878-ed52-48d7-bcd1-3fb40b45a5fc</t>
  </si>
  <si>
    <t>JEAN</t>
  </si>
  <si>
    <t>GEMISHUIZEN</t>
  </si>
  <si>
    <t>2026-06-02 08:31:27</t>
  </si>
  <si>
    <t>27845304331</t>
  </si>
  <si>
    <t>14501192</t>
  </si>
  <si>
    <t>15a30027-1df9-406c-bbda-be64713a17fc</t>
  </si>
  <si>
    <t>MAPHELO</t>
  </si>
  <si>
    <t>MPOFU</t>
  </si>
  <si>
    <t>2026-06-02 08:31:25</t>
  </si>
  <si>
    <t>27835108666</t>
  </si>
  <si>
    <t>14501189</t>
  </si>
  <si>
    <t>3cbf53c0-061b-41c6-a13f-df92fc7fff89</t>
  </si>
  <si>
    <t>KATHEHO</t>
  </si>
  <si>
    <t>2026-06-02 08:31:22</t>
  </si>
  <si>
    <t>27718509446</t>
  </si>
  <si>
    <t>14501191</t>
  </si>
  <si>
    <t>480f0f29-52d8-4f72-8513-32295b23f9e6</t>
  </si>
  <si>
    <t>27674061078</t>
  </si>
  <si>
    <t>14501188</t>
  </si>
  <si>
    <t>29f2d09f-4116-4a8b-9670-9ae3f68ab5c0</t>
  </si>
  <si>
    <t>ALEXIS</t>
  </si>
  <si>
    <t>LE BRETON</t>
  </si>
  <si>
    <t>2026-06-02 08:31:07</t>
  </si>
  <si>
    <t>27724732129</t>
  </si>
  <si>
    <t>14501187</t>
  </si>
  <si>
    <t>5ba8d918-b435-4ed6-942c-6c99140c39cc</t>
  </si>
  <si>
    <t>SIYABONGA</t>
  </si>
  <si>
    <t>SIKAFUNGANA</t>
  </si>
  <si>
    <t>2026-06-02 08:31:04</t>
  </si>
  <si>
    <t>27827386316</t>
  </si>
  <si>
    <t>14501186</t>
  </si>
  <si>
    <t>56785c19-e706-4f4e-b39a-629e3d823bc7</t>
  </si>
  <si>
    <t>HEATHER</t>
  </si>
  <si>
    <t>2026-06-02 08:31:03</t>
  </si>
  <si>
    <t>27827997859</t>
  </si>
  <si>
    <t>14501185</t>
  </si>
  <si>
    <t>b31e4425-7bc1-4621-b0d9-de249af4e448</t>
  </si>
  <si>
    <t>SELAELO</t>
  </si>
  <si>
    <t>MOLEKOANE</t>
  </si>
  <si>
    <t>2026-06-02 08:30:34</t>
  </si>
  <si>
    <t>27713188931</t>
  </si>
  <si>
    <t>14501180</t>
  </si>
  <si>
    <t>3675dc06-e654-4c14-9eb9-f804aad75b9e</t>
  </si>
  <si>
    <t>2026-06-02 08:30:33</t>
  </si>
  <si>
    <t>27607072778</t>
  </si>
  <si>
    <t>14501182</t>
  </si>
  <si>
    <t>7b415eea-ec08-48f7-b87b-c6ec3f09f7d3</t>
  </si>
  <si>
    <t>RAKGOALE</t>
  </si>
  <si>
    <t>27843955754</t>
  </si>
  <si>
    <t>14501183</t>
  </si>
  <si>
    <t>137de69d-3130-47c3-8b92-af595cc1f7b4</t>
  </si>
  <si>
    <t>PULENG</t>
  </si>
  <si>
    <t>TSOAELI</t>
  </si>
  <si>
    <t>27794930802</t>
  </si>
  <si>
    <t>14501857</t>
  </si>
  <si>
    <t>c99cc0f9-1eb4-450a-98eb-ae335206ad57</t>
  </si>
  <si>
    <t>2026-06-02 08:29:14</t>
  </si>
  <si>
    <t>27648582199</t>
  </si>
  <si>
    <t>14501858</t>
  </si>
  <si>
    <t>765efb4a-1ba1-4c84-82b2-604884c94385</t>
  </si>
  <si>
    <t>TLHAPANE</t>
  </si>
  <si>
    <t>2026-06-02 08:29:11</t>
  </si>
  <si>
    <t>27724673247</t>
  </si>
  <si>
    <t>14501746</t>
  </si>
  <si>
    <t>c1b3fb06-f1c1-40b6-81ef-537d08aba847</t>
  </si>
  <si>
    <t>KLEINGELD</t>
  </si>
  <si>
    <t>2026-06-02 08:29:06</t>
  </si>
  <si>
    <t>27829006341</t>
  </si>
  <si>
    <t>14501747</t>
  </si>
  <si>
    <t>fd033e7b-29a5-4096-afd1-fe5fbaad761a</t>
  </si>
  <si>
    <t>NAOMI</t>
  </si>
  <si>
    <t>AFRIKANER</t>
  </si>
  <si>
    <t>2026-06-02 08:29:05</t>
  </si>
  <si>
    <t>27827320049</t>
  </si>
  <si>
    <t>14501748</t>
  </si>
  <si>
    <t>003335e8-5440-49c1-a215-a8086f1f37ae</t>
  </si>
  <si>
    <t>LETTIA</t>
  </si>
  <si>
    <t>MAKWESI</t>
  </si>
  <si>
    <t>2026-06-02 08:28:58</t>
  </si>
  <si>
    <t>27820401816</t>
  </si>
  <si>
    <t>14501670</t>
  </si>
  <si>
    <t>1e51dc8f-9cb0-4c4b-b8dd-7771f0b3ace5</t>
  </si>
  <si>
    <t>SAKEENAH</t>
  </si>
  <si>
    <t>PARKER</t>
  </si>
  <si>
    <t>2026-06-02 08:28:57</t>
  </si>
  <si>
    <t>27662663414</t>
  </si>
  <si>
    <t>14501749</t>
  </si>
  <si>
    <t>78a15400-397f-437f-8e8a-853240f21eda</t>
  </si>
  <si>
    <t>BEKKER</t>
  </si>
  <si>
    <t>27723917010</t>
  </si>
  <si>
    <t>14501750</t>
  </si>
  <si>
    <t>caec0960-4d70-4c44-ba44-6cb57fa70a29</t>
  </si>
  <si>
    <t>HAJIERA</t>
  </si>
  <si>
    <t>27711731144</t>
  </si>
  <si>
    <t>14501253</t>
  </si>
  <si>
    <t>49fcdb69-fae7-4fe7-a8af-d6475b246943</t>
  </si>
  <si>
    <t>TOKELO</t>
  </si>
  <si>
    <t>MPETE</t>
  </si>
  <si>
    <t>2026-06-02 08:24:44</t>
  </si>
  <si>
    <t>27814970935</t>
  </si>
  <si>
    <t>14501239</t>
  </si>
  <si>
    <t>eef2ff77-0afc-4bbe-9c26-bccb0c02b48d</t>
  </si>
  <si>
    <t>FARHAAD</t>
  </si>
  <si>
    <t>AMEER</t>
  </si>
  <si>
    <t>2026-06-02 08:24:40</t>
  </si>
  <si>
    <t>27721514783</t>
  </si>
  <si>
    <t>14501241</t>
  </si>
  <si>
    <t>9fba5248-6deb-4ba5-a648-72d540b08c35</t>
  </si>
  <si>
    <t>SEBAKA</t>
  </si>
  <si>
    <t>27728299699</t>
  </si>
  <si>
    <t>14501248</t>
  </si>
  <si>
    <t>b4edcbe3-ce66-4270-98f3-be2a9f122715</t>
  </si>
  <si>
    <t>27713617679</t>
  </si>
  <si>
    <t>14501252</t>
  </si>
  <si>
    <t>ab9c6b7e-7d27-40ca-bd8d-893efa4077db</t>
  </si>
  <si>
    <t>FIKILE</t>
  </si>
  <si>
    <t>MASILELA</t>
  </si>
  <si>
    <t>27662470864</t>
  </si>
  <si>
    <t>14501945</t>
  </si>
  <si>
    <t>e10d65fe-82a2-4442-aff0-ffcd1de9b56c</t>
  </si>
  <si>
    <t>27712932327</t>
  </si>
  <si>
    <t>2026-06-02 08:23:35</t>
  </si>
  <si>
    <t>14501438</t>
  </si>
  <si>
    <t>a149c919-5960-415c-a8ab-39773bea4d92</t>
  </si>
  <si>
    <t>RAMUSHU</t>
  </si>
  <si>
    <t>2026-06-02 08:15:50</t>
  </si>
  <si>
    <t>27827859467</t>
  </si>
  <si>
    <t>14501243</t>
  </si>
  <si>
    <t>e221c94a-dfcc-4de7-b1b5-bf8d7f47b5d2</t>
  </si>
  <si>
    <t>ANTOINETTE</t>
  </si>
  <si>
    <t>2026-06-02 08:08:56</t>
  </si>
  <si>
    <t>27793758381</t>
  </si>
  <si>
    <t>14501249</t>
  </si>
  <si>
    <t>941bb8de-a648-473b-9d39-5de9659ba2c3</t>
  </si>
  <si>
    <t>PANKY</t>
  </si>
  <si>
    <t>MBHALATI</t>
  </si>
  <si>
    <t>27797203809</t>
  </si>
  <si>
    <t>14501250</t>
  </si>
  <si>
    <t>f0149e26-8e8d-46f1-8b16-adb63d6d3e69</t>
  </si>
  <si>
    <t>NURAAN</t>
  </si>
  <si>
    <t>27768708267</t>
  </si>
  <si>
    <t>14501251</t>
  </si>
  <si>
    <t>01de0ada-79bf-437f-a395-b9ae504893ad</t>
  </si>
  <si>
    <t>27726918545</t>
  </si>
  <si>
    <t>14502548</t>
  </si>
  <si>
    <t>89facd61-e664-42b9-b5a0-0dbb067caeed</t>
  </si>
  <si>
    <t>27713724094</t>
  </si>
  <si>
    <t>2026-06-02 08:07:24</t>
  </si>
  <si>
    <t>14501247</t>
  </si>
  <si>
    <t>03017fd7-7773-47c0-85e4-b9605c375df6</t>
  </si>
  <si>
    <t>NTOMBIKAYISE</t>
  </si>
  <si>
    <t>2026-06-02 08:07:21</t>
  </si>
  <si>
    <t>27721150821</t>
  </si>
  <si>
    <t>14501242</t>
  </si>
  <si>
    <t>643dd4e4-d9c1-4cc9-ad82-cde5d93e1771</t>
  </si>
  <si>
    <t>SITHANDIWE</t>
  </si>
  <si>
    <t>MAQUBELA</t>
  </si>
  <si>
    <t>2026-06-02 08:07:18</t>
  </si>
  <si>
    <t>27796450349</t>
  </si>
  <si>
    <t>14501244</t>
  </si>
  <si>
    <t>c680299b-a344-4d4d-82e6-b8bb18cf829f</t>
  </si>
  <si>
    <t>AIFHELI</t>
  </si>
  <si>
    <t>RAMATHAVHANA</t>
  </si>
  <si>
    <t>2026-06-02 08:07:04</t>
  </si>
  <si>
    <t>27795768153</t>
  </si>
  <si>
    <t>14501245</t>
  </si>
  <si>
    <t>604c4584-1f58-48c7-9d12-b2c3b474b501</t>
  </si>
  <si>
    <t>SANVIR</t>
  </si>
  <si>
    <t>SIRRIRAM</t>
  </si>
  <si>
    <t>27792358969</t>
  </si>
  <si>
    <t>14501674</t>
  </si>
  <si>
    <t>380b77d3-3176-4776-821e-cc99b3fc6290</t>
  </si>
  <si>
    <t>PEET</t>
  </si>
  <si>
    <t>HAVENGA</t>
  </si>
  <si>
    <t>2026-06-02 08:07:03</t>
  </si>
  <si>
    <t>27828505872</t>
  </si>
  <si>
    <t>14502060</t>
  </si>
  <si>
    <t>d940b8ad-1e0d-4bc3-b5fa-4746ecefd5e3</t>
  </si>
  <si>
    <t>27665765200</t>
  </si>
  <si>
    <t>2026-06-02 08:06:58</t>
  </si>
  <si>
    <t>14501385</t>
  </si>
  <si>
    <t>b3de1bbe-1377-49d7-8bce-fc5f44a56e7a</t>
  </si>
  <si>
    <t>ZENDA</t>
  </si>
  <si>
    <t>VAN DEN BERG</t>
  </si>
  <si>
    <t>2026-06-02 08:05:59</t>
  </si>
  <si>
    <t>27662111111</t>
  </si>
  <si>
    <t>14501382</t>
  </si>
  <si>
    <t>f81926ac-048b-436a-b0a5-afe2eb02a79a</t>
  </si>
  <si>
    <t>B</t>
  </si>
  <si>
    <t>PARSONS</t>
  </si>
  <si>
    <t>2026-06-02 08:05:57</t>
  </si>
  <si>
    <t>27818248863</t>
  </si>
  <si>
    <t>14501383</t>
  </si>
  <si>
    <t>7e87f828-696c-449c-a122-330fb7d2ce91</t>
  </si>
  <si>
    <t>JACOUBS</t>
  </si>
  <si>
    <t>PIETERSE</t>
  </si>
  <si>
    <t>27796914867</t>
  </si>
  <si>
    <t>14501384</t>
  </si>
  <si>
    <t>709bf178-6d40-4ada-b06f-9161046b1947</t>
  </si>
  <si>
    <t>MTAU</t>
  </si>
  <si>
    <t>27720617684</t>
  </si>
  <si>
    <t>14501380</t>
  </si>
  <si>
    <t>56b3d977-96e5-4a6e-9bed-6855dc4c9a3e</t>
  </si>
  <si>
    <t>27767034289</t>
  </si>
  <si>
    <t>2026-06-02 08:05:56</t>
  </si>
  <si>
    <t>14501439</t>
  </si>
  <si>
    <t>84df7422-b5e5-4e7a-9e2f-6dda43fa764f</t>
  </si>
  <si>
    <t>KINGHORN</t>
  </si>
  <si>
    <t>2026-06-02 08:03:53</t>
  </si>
  <si>
    <t>27824931046</t>
  </si>
  <si>
    <t>14501436</t>
  </si>
  <si>
    <t>f07cd941-d12c-47e7-920b-29dd8d44b224</t>
  </si>
  <si>
    <t>SHARIFF</t>
  </si>
  <si>
    <t>LALLA</t>
  </si>
  <si>
    <t>2026-06-02 08:03:43</t>
  </si>
  <si>
    <t>27661023352</t>
  </si>
  <si>
    <t>14501435</t>
  </si>
  <si>
    <t>970677eb-af77-49d6-9495-9b67b3d0d499</t>
  </si>
  <si>
    <t>MABE</t>
  </si>
  <si>
    <t>2026-06-02 08:03:27</t>
  </si>
  <si>
    <t>27715402685</t>
  </si>
  <si>
    <t>14501434</t>
  </si>
  <si>
    <t>c5d739c6-4545-4ade-98d7-96363aa5d8f0</t>
  </si>
  <si>
    <t>2026-06-02 08:03:22</t>
  </si>
  <si>
    <t>27714972345</t>
  </si>
  <si>
    <t>14501432</t>
  </si>
  <si>
    <t>6e582fdb-6249-40c0-b328-8efd065e2655</t>
  </si>
  <si>
    <t>2026-06-02 08:03:21</t>
  </si>
  <si>
    <t>27722904833</t>
  </si>
  <si>
    <t>14501433</t>
  </si>
  <si>
    <t>b973b92b-b631-4042-a2a8-204a0d620cf8</t>
  </si>
  <si>
    <t>SHUMANI</t>
  </si>
  <si>
    <t>MUSHANDANA</t>
  </si>
  <si>
    <t>27722807243</t>
  </si>
  <si>
    <t>14501429</t>
  </si>
  <si>
    <t>5b2aa545-74d9-44ca-9202-949f02f45a91</t>
  </si>
  <si>
    <t>NS</t>
  </si>
  <si>
    <t>2026-06-02 08:03:02</t>
  </si>
  <si>
    <t>27820718645</t>
  </si>
  <si>
    <t>14501430</t>
  </si>
  <si>
    <t>020149a9-a72d-462c-8001-0b3379461bcf</t>
  </si>
  <si>
    <t>SONETTE</t>
  </si>
  <si>
    <t>27825608021</t>
  </si>
  <si>
    <t>14501431</t>
  </si>
  <si>
    <t>1d61a869-fcbf-4f0c-8e65-27317d3a5653</t>
  </si>
  <si>
    <t>BONNIE</t>
  </si>
  <si>
    <t>TUBBS</t>
  </si>
  <si>
    <t>27725608236</t>
  </si>
  <si>
    <t>14501428</t>
  </si>
  <si>
    <t>be3dc4d9-9799-4686-b6f4-6bd3827985dd</t>
  </si>
  <si>
    <t>LUZETTE</t>
  </si>
  <si>
    <t>WESSELS</t>
  </si>
  <si>
    <t>2026-06-02 08:03:01</t>
  </si>
  <si>
    <t>27824469579</t>
  </si>
  <si>
    <t>14501425</t>
  </si>
  <si>
    <t>6776e980-bc3c-4625-9c55-8ae31982d246</t>
  </si>
  <si>
    <t>2026-06-02 08:02:10</t>
  </si>
  <si>
    <t>27818719342</t>
  </si>
  <si>
    <t>14501410</t>
  </si>
  <si>
    <t>2671870c-a60f-4eb5-a995-4d51d8ba75d3</t>
  </si>
  <si>
    <t>EUNICE</t>
  </si>
  <si>
    <t>2026-06-02 08:02:08</t>
  </si>
  <si>
    <t>27765501927</t>
  </si>
  <si>
    <t>14501423</t>
  </si>
  <si>
    <t>adc04f75-35b6-4648-bcbc-ae047b8b867a</t>
  </si>
  <si>
    <t>MPUMELELO</t>
  </si>
  <si>
    <t>27714315114</t>
  </si>
  <si>
    <t>14501424</t>
  </si>
  <si>
    <t>e2218265-f630-4fd4-9e20-5c68adac3c55</t>
  </si>
  <si>
    <t>27829395331</t>
  </si>
  <si>
    <t>14501418</t>
  </si>
  <si>
    <t>b8c4d879-72d3-4224-a9d3-5f299fd89c44</t>
  </si>
  <si>
    <t>MAPHALANE</t>
  </si>
  <si>
    <t>MONYEKI</t>
  </si>
  <si>
    <t>2026-06-02 08:01:47</t>
  </si>
  <si>
    <t>27636017822</t>
  </si>
  <si>
    <t>14501419</t>
  </si>
  <si>
    <t>70169dd5-516d-4fe2-abf7-577514a9a654</t>
  </si>
  <si>
    <t>ZILILO</t>
  </si>
  <si>
    <t>27829238613</t>
  </si>
  <si>
    <t>14501420</t>
  </si>
  <si>
    <t>8b23bb46-b7f2-4dc6-8caf-daddeba3e392</t>
  </si>
  <si>
    <t>MATJEKA</t>
  </si>
  <si>
    <t>27662927084</t>
  </si>
  <si>
    <t>14501421</t>
  </si>
  <si>
    <t>30390895-5c73-42ed-9b20-14e91c7b1393</t>
  </si>
  <si>
    <t>TSHISAPHUNGO</t>
  </si>
  <si>
    <t>REGI</t>
  </si>
  <si>
    <t>27824629824</t>
  </si>
  <si>
    <t>14501413</t>
  </si>
  <si>
    <t>d56104f8-21d8-4c8c-86ea-41518ef09a99</t>
  </si>
  <si>
    <t>LINDI</t>
  </si>
  <si>
    <t>EDWARDS</t>
  </si>
  <si>
    <t>2026-06-02 08:01:36</t>
  </si>
  <si>
    <t>27662314360</t>
  </si>
  <si>
    <t>14501414</t>
  </si>
  <si>
    <t>9003d8d4-7131-4136-82b4-9451341101a8</t>
  </si>
  <si>
    <t>LORRAINE</t>
  </si>
  <si>
    <t>JELLEN</t>
  </si>
  <si>
    <t>27825116226</t>
  </si>
  <si>
    <t>14501415</t>
  </si>
  <si>
    <t>aa808576-c35e-440a-ad8f-36189aedb258</t>
  </si>
  <si>
    <t>ANNE</t>
  </si>
  <si>
    <t>JERLING</t>
  </si>
  <si>
    <t>27794821809</t>
  </si>
  <si>
    <t>14501416</t>
  </si>
  <si>
    <t>e444db1b-c1e1-47dd-bd09-3f0967a2bbda</t>
  </si>
  <si>
    <t>SEKHWELA</t>
  </si>
  <si>
    <t>27722509880</t>
  </si>
  <si>
    <t>14501411</t>
  </si>
  <si>
    <t>d3c8a9a9-fcda-420e-9012-8dbaf62f1bc2</t>
  </si>
  <si>
    <t>27792513254</t>
  </si>
  <si>
    <t>2026-06-02 08:01:12</t>
  </si>
  <si>
    <t>14501412</t>
  </si>
  <si>
    <t>a405cbd4-5850-43f0-9224-dc98f16da273</t>
  </si>
  <si>
    <t>27721290815</t>
  </si>
  <si>
    <t>14502522</t>
  </si>
  <si>
    <t>0e7cb435-6d51-4c36-8708-f5ac0c743f62</t>
  </si>
  <si>
    <t>2026-06-02 08:00:57</t>
  </si>
  <si>
    <t>27825614338</t>
  </si>
  <si>
    <t>14502523</t>
  </si>
  <si>
    <t>ea8c64f9-6149-4737-ba31-9b9c195943aa</t>
  </si>
  <si>
    <t>27823581309</t>
  </si>
  <si>
    <t>14502524</t>
  </si>
  <si>
    <t>e3ab7c82-f380-40b4-907b-6e368b1408b3</t>
  </si>
  <si>
    <t>27661688639</t>
  </si>
  <si>
    <t>14502525</t>
  </si>
  <si>
    <t>0abc540b-0e46-4d54-8f2b-c6b94bffdbe8</t>
  </si>
  <si>
    <t>27609219366</t>
  </si>
  <si>
    <t>14502526</t>
  </si>
  <si>
    <t>d0d124d1-d22a-4ce6-909c-56ac8213501c</t>
  </si>
  <si>
    <t>2026-06-02 08:00:47</t>
  </si>
  <si>
    <t>27763761111</t>
  </si>
  <si>
    <t>14502527</t>
  </si>
  <si>
    <t>a74c8dc8-7b2a-44b9-b1a1-d3d5122c9602</t>
  </si>
  <si>
    <t>27794703367</t>
  </si>
  <si>
    <t>14502543</t>
  </si>
  <si>
    <t>0f100401-d1e5-443c-a266-869dce62b513</t>
  </si>
  <si>
    <t>27715086052</t>
  </si>
  <si>
    <t>2026-06-02 08:00:36</t>
  </si>
  <si>
    <t>14502544</t>
  </si>
  <si>
    <t>56a86ea4-dc48-457a-8cc5-90956fb013e1</t>
  </si>
  <si>
    <t>CB</t>
  </si>
  <si>
    <t>Busy Tone</t>
  </si>
  <si>
    <t>2026-06-02 08:00:16</t>
  </si>
  <si>
    <t>27711439861</t>
  </si>
  <si>
    <t>14502528</t>
  </si>
  <si>
    <t>5cb7930a-7a18-4291-8e8a-089f4b9f57fd</t>
  </si>
  <si>
    <t>2026-06-02 08:00:13</t>
  </si>
  <si>
    <t>27792391705</t>
  </si>
  <si>
    <t>14502536</t>
  </si>
  <si>
    <t>b8cf92a5-26ab-4295-9a4d-6d9f11957bab</t>
  </si>
  <si>
    <t>27769795495</t>
  </si>
  <si>
    <t>14502529</t>
  </si>
  <si>
    <t>0e768cb1-cf17-4203-a5ed-c13c25e968a1</t>
  </si>
  <si>
    <t>2026-06-02 08:00:12</t>
  </si>
  <si>
    <t>27720974156</t>
  </si>
  <si>
    <t>14502530</t>
  </si>
  <si>
    <t>4bedcc3a-5d99-4b70-971c-81b5223a9b57</t>
  </si>
  <si>
    <t>27792453646</t>
  </si>
  <si>
    <t>14502531</t>
  </si>
  <si>
    <t>a782a6b6-f770-4394-8552-13379b7bc391</t>
  </si>
  <si>
    <t>27818075820</t>
  </si>
  <si>
    <t>14502532</t>
  </si>
  <si>
    <t>689ed46b-2ca4-4524-8052-dbf648761d91</t>
  </si>
  <si>
    <t>27791619024</t>
  </si>
  <si>
    <t>14502533</t>
  </si>
  <si>
    <t>a62c372d-2c4d-41d4-85d4-ee9dd5df06f0</t>
  </si>
  <si>
    <t>27715740703</t>
  </si>
  <si>
    <t>14502538</t>
  </si>
  <si>
    <t>c8b56a8d-3e41-4afd-974a-b07ffd18887a</t>
  </si>
  <si>
    <t>27822025858</t>
  </si>
  <si>
    <t>14502539</t>
  </si>
  <si>
    <t>1edc2078-a2b2-4bac-94b5-e35d40decf7d</t>
  </si>
  <si>
    <t>2026-06-02 08:00:07</t>
  </si>
  <si>
    <t>27711949553</t>
  </si>
  <si>
    <t>14502541</t>
  </si>
  <si>
    <t>525f7024-6df9-4c1a-9951-ae3bc5e96362</t>
  </si>
  <si>
    <t>27765692505</t>
  </si>
  <si>
    <t>14502545</t>
  </si>
  <si>
    <t>9ba8342c-6131-4234-8cdb-56fbc45c8f18</t>
  </si>
  <si>
    <t>27797301558</t>
  </si>
  <si>
    <t>14502534</t>
  </si>
  <si>
    <t>8e70142f-f297-470b-bc46-867ac1180bf0</t>
  </si>
  <si>
    <t>27794351264</t>
  </si>
  <si>
    <t>2026-06-02 07:59:17</t>
  </si>
  <si>
    <t>14502535</t>
  </si>
  <si>
    <t>2a32aaae-b3a4-4cd1-a9b3-8b19b13aecb7</t>
  </si>
  <si>
    <t>27761014126</t>
  </si>
  <si>
    <t>14502542</t>
  </si>
  <si>
    <t>1aeaaffb-070f-4ccd-8ff6-dca77f1c871a</t>
  </si>
  <si>
    <t>27822202102</t>
  </si>
  <si>
    <t>14502546</t>
  </si>
  <si>
    <t>c3ae209b-cb2f-40a1-993c-f68dc71d67ee</t>
  </si>
  <si>
    <t>2026-06-02 07:58:23</t>
  </si>
  <si>
    <t>27726081903</t>
  </si>
  <si>
    <t>14502547</t>
  </si>
  <si>
    <t>5a7473d7-48b4-4b70-b95c-098e8b071dd0</t>
  </si>
  <si>
    <t>2026-06-02 07:58:20</t>
  </si>
  <si>
    <t>27648834245</t>
  </si>
  <si>
    <t>14502549</t>
  </si>
  <si>
    <t>969c045d-7e34-4b2b-af50-079a12ac0b06</t>
  </si>
  <si>
    <t>2026-06-02 07:58:04</t>
  </si>
  <si>
    <t>27661245563</t>
  </si>
  <si>
    <t>14502551</t>
  </si>
  <si>
    <t>70d8525a-dc71-48c1-984e-2677ad14080a</t>
  </si>
  <si>
    <t>27762649407</t>
  </si>
  <si>
    <t>2026-06-02 07:58:01</t>
  </si>
  <si>
    <t>14502552</t>
  </si>
  <si>
    <t>dd83a00a-4398-4b73-b6e3-c5b8533895fc</t>
  </si>
  <si>
    <t>2026-06-02 07:57:51</t>
  </si>
  <si>
    <t>27673032864</t>
  </si>
  <si>
    <t>14502553</t>
  </si>
  <si>
    <t>cf8749f3-f95a-4844-ab09-bf5693484e91</t>
  </si>
  <si>
    <t>2026-06-02 07:57:50</t>
  </si>
  <si>
    <t>27799357320</t>
  </si>
  <si>
    <t>14502554</t>
  </si>
  <si>
    <t>226d36f9-1e73-416c-8ed4-4db14f86b637</t>
  </si>
  <si>
    <t>2026-06-02 07:57:48</t>
  </si>
  <si>
    <t>27822139897</t>
  </si>
  <si>
    <t>14502556</t>
  </si>
  <si>
    <t>8d65a520-ed8c-49a3-b33a-b137f77a807f</t>
  </si>
  <si>
    <t>2026-06-02 07:57:37</t>
  </si>
  <si>
    <t>27649739607</t>
  </si>
  <si>
    <t>14502555</t>
  </si>
  <si>
    <t>0542b999-2851-40f4-8b33-6495fb8fd2c7</t>
  </si>
  <si>
    <t>2026-06-02 07:57:36</t>
  </si>
  <si>
    <t>27833580338</t>
  </si>
  <si>
    <t>14502557</t>
  </si>
  <si>
    <t>74eda7cc-1d62-43c4-8192-e62f0fab778a</t>
  </si>
  <si>
    <t>2026-06-02 07:57:34</t>
  </si>
  <si>
    <t>27796097112</t>
  </si>
  <si>
    <t>14502558</t>
  </si>
  <si>
    <t>a9ea9c04-02d1-4f8e-b27a-65e71817317c</t>
  </si>
  <si>
    <t>27767114344</t>
  </si>
  <si>
    <t>2026-06-02 07:57:31</t>
  </si>
  <si>
    <t>14502598</t>
  </si>
  <si>
    <t>30ba1c1c-873d-4935-9949-3525bbdff590</t>
  </si>
  <si>
    <t>2026-06-02 07:57:22</t>
  </si>
  <si>
    <t>27648696892</t>
  </si>
  <si>
    <t>14502560</t>
  </si>
  <si>
    <t>55f89572-69ff-4800-aad3-8f3e153afc78</t>
  </si>
  <si>
    <t>27796570512</t>
  </si>
  <si>
    <t>2026-06-02 07:57:21</t>
  </si>
  <si>
    <t>14502561</t>
  </si>
  <si>
    <t>cc8f6262-00d0-4aba-914b-cca80db6cde4</t>
  </si>
  <si>
    <t>2026-06-02 07:56:44</t>
  </si>
  <si>
    <t>27764216943</t>
  </si>
  <si>
    <t>14502562</t>
  </si>
  <si>
    <t>766c2ab9-3ec5-48dd-964e-0cedac99ea69</t>
  </si>
  <si>
    <t>2026-06-02 07:56:40</t>
  </si>
  <si>
    <t>27790901953</t>
  </si>
  <si>
    <t>14502563</t>
  </si>
  <si>
    <t>fd582218-0268-44d9-a22d-7bb57e3d4513</t>
  </si>
  <si>
    <t>2026-06-02 07:56:34</t>
  </si>
  <si>
    <t>27760270113</t>
  </si>
  <si>
    <t>14502564</t>
  </si>
  <si>
    <t>8d4d9c1a-4659-4c10-91bf-d4d093be3e00</t>
  </si>
  <si>
    <t>2026-06-02 07:56:20</t>
  </si>
  <si>
    <t>27730394465</t>
  </si>
  <si>
    <t>14502602</t>
  </si>
  <si>
    <t>554bce6e-fb1a-4fed-8d5f-daddbe57bfa2</t>
  </si>
  <si>
    <t>2026-06-02 07:56:07</t>
  </si>
  <si>
    <t>27826825912</t>
  </si>
  <si>
    <t>14502565</t>
  </si>
  <si>
    <t>750a5708-7c68-40fb-b849-17ac67c9f153</t>
  </si>
  <si>
    <t>27721531900</t>
  </si>
  <si>
    <t>14502599</t>
  </si>
  <si>
    <t>badeec93-b7eb-4be3-bc55-ba694fa3c57b</t>
  </si>
  <si>
    <t>2026-06-02 07:56:02</t>
  </si>
  <si>
    <t>27795725151</t>
  </si>
  <si>
    <t>14502593</t>
  </si>
  <si>
    <t>0076f7f3-31cf-4ecb-b888-4d840f1be798</t>
  </si>
  <si>
    <t>2026-06-02 07:56:00</t>
  </si>
  <si>
    <t>27649415306</t>
  </si>
  <si>
    <t>14502596</t>
  </si>
  <si>
    <t>2eecc5b6-a23f-414b-8ca2-99f7fa84d96e</t>
  </si>
  <si>
    <t>27761650602</t>
  </si>
  <si>
    <t>14502597</t>
  </si>
  <si>
    <t>6f22b09f-85e4-4785-86d5-de8cab9431e8</t>
  </si>
  <si>
    <t>27827378597</t>
  </si>
  <si>
    <t>14502601</t>
  </si>
  <si>
    <t>d8075939-da7a-45cd-a52e-0c046e61dfd1</t>
  </si>
  <si>
    <t>27790454416</t>
  </si>
  <si>
    <t>14502594</t>
  </si>
  <si>
    <t>93eeacd8-427a-44dd-8765-334c8290c97c</t>
  </si>
  <si>
    <t>2026-06-02 07:55:57</t>
  </si>
  <si>
    <t>27760854135</t>
  </si>
  <si>
    <t>14502595</t>
  </si>
  <si>
    <t>6684f483-53a9-4bfb-9a6c-97cccbe4df54</t>
  </si>
  <si>
    <t>27797612728</t>
  </si>
  <si>
    <t>14502600</t>
  </si>
  <si>
    <t>63db14cf-951f-4c60-9234-e1158dcb8d2c</t>
  </si>
  <si>
    <t>2026-06-02 07:55:42</t>
  </si>
  <si>
    <t>27796455255</t>
  </si>
  <si>
    <t>14502604</t>
  </si>
  <si>
    <t>d7eab802-4d9a-42c8-84f6-e58916b04aac</t>
  </si>
  <si>
    <t>27607093904</t>
  </si>
  <si>
    <t>2026-06-02 07:55:15</t>
  </si>
  <si>
    <t>14502605</t>
  </si>
  <si>
    <t>dba790dd-2147-4e47-9373-624c4a030fb7</t>
  </si>
  <si>
    <t>27606684037</t>
  </si>
  <si>
    <t>14502606</t>
  </si>
  <si>
    <t>739ab747-d381-4ab4-bda5-6de121cb94ec</t>
  </si>
  <si>
    <t>27790364636</t>
  </si>
  <si>
    <t>14502608</t>
  </si>
  <si>
    <t>6c4e773a-10fe-427a-8ea9-86016829f487</t>
  </si>
  <si>
    <t>2026-06-02 07:55:14</t>
  </si>
  <si>
    <t>27722160699</t>
  </si>
  <si>
    <t>14502610</t>
  </si>
  <si>
    <t>72518ce1-e57d-47a4-8920-8b4158d0748d</t>
  </si>
  <si>
    <t>27796124857</t>
  </si>
  <si>
    <t>14502616</t>
  </si>
  <si>
    <t>12628ec5-81fb-40f2-92cb-5a8e4b03b71b</t>
  </si>
  <si>
    <t>2026-06-02 07:55:06</t>
  </si>
  <si>
    <t>27774428935</t>
  </si>
  <si>
    <t>14502617</t>
  </si>
  <si>
    <t>985463ba-df55-41c3-aaf8-b7cb9b29dd9e</t>
  </si>
  <si>
    <t>27791396682</t>
  </si>
  <si>
    <t>2026-06-02 07:55:00</t>
  </si>
  <si>
    <t>14502618</t>
  </si>
  <si>
    <t>394cbf60-7cd4-4016-b87a-3aae7afdc4cc</t>
  </si>
  <si>
    <t>2026-06-02 07:54:59</t>
  </si>
  <si>
    <t>27799433551</t>
  </si>
  <si>
    <t>14502619</t>
  </si>
  <si>
    <t>3d054147-aece-471e-82a2-632efc879019</t>
  </si>
  <si>
    <t>27721193496</t>
  </si>
  <si>
    <t>14502620</t>
  </si>
  <si>
    <t>3e990ae0-bce7-44ce-abd2-042f6b1d442c</t>
  </si>
  <si>
    <t>27823977815</t>
  </si>
  <si>
    <t>14502621</t>
  </si>
  <si>
    <t>c6e89735-a189-47c5-9ac6-843ba0e85341</t>
  </si>
  <si>
    <t>2026-06-02 07:54:58</t>
  </si>
  <si>
    <t>27722757246</t>
  </si>
  <si>
    <t>14502622</t>
  </si>
  <si>
    <t>bba9d1c1-6a6f-4243-87ed-3022e7f33911</t>
  </si>
  <si>
    <t>2026-06-02 07:54:25</t>
  </si>
  <si>
    <t>27649635526</t>
  </si>
  <si>
    <t>14502624</t>
  </si>
  <si>
    <t>fd4f7d5c-9be3-4de5-947e-f2c314ce1503</t>
  </si>
  <si>
    <t>2026-06-02 07:54:13</t>
  </si>
  <si>
    <t>27729621226</t>
  </si>
  <si>
    <t>14502625</t>
  </si>
  <si>
    <t>8102e348-2393-4128-9dc1-4d8862f92de0</t>
  </si>
  <si>
    <t>2026-06-02 07:54:04</t>
  </si>
  <si>
    <t>27637904241</t>
  </si>
  <si>
    <t>14502628</t>
  </si>
  <si>
    <t>9ee727eb-dfde-444b-8cd6-04aff9209dea</t>
  </si>
  <si>
    <t>27725482503</t>
  </si>
  <si>
    <t>2026-06-02 07:54:02</t>
  </si>
  <si>
    <t>14502626</t>
  </si>
  <si>
    <t>a9f22ceb-db34-413b-978a-46ccd65e5384</t>
  </si>
  <si>
    <t>2026-06-02 07:53:59</t>
  </si>
  <si>
    <t>27747041361</t>
  </si>
  <si>
    <t>14502636</t>
  </si>
  <si>
    <t>77dee876-d4ce-4766-8319-33658571f16c</t>
  </si>
  <si>
    <t>2026-06-02 07:53:30</t>
  </si>
  <si>
    <t>27826585078</t>
  </si>
  <si>
    <t>14502631</t>
  </si>
  <si>
    <t>a4f68005-4038-4df8-bc55-2b9db659c5d4</t>
  </si>
  <si>
    <t>27795759311</t>
  </si>
  <si>
    <t>2026-06-02 07:53:29</t>
  </si>
  <si>
    <t>14502629</t>
  </si>
  <si>
    <t>7b70818c-b25c-404e-8b5e-79ad61d8a5a0</t>
  </si>
  <si>
    <t>27760367307</t>
  </si>
  <si>
    <t>2026-06-02 07:53:27</t>
  </si>
  <si>
    <t>14502633</t>
  </si>
  <si>
    <t>e9fa6f9e-d5d4-4ec7-b94c-12ca531de8e0</t>
  </si>
  <si>
    <t>27769322383</t>
  </si>
  <si>
    <t>2026-06-02 07:53:08</t>
  </si>
  <si>
    <t>14502634</t>
  </si>
  <si>
    <t>6d1e550b-bbb6-4cf9-be49-8f128e1d7e4c</t>
  </si>
  <si>
    <t>27608505820</t>
  </si>
  <si>
    <t>14502630</t>
  </si>
  <si>
    <t>0dfed21f-b55e-4355-87db-476f43673207</t>
  </si>
  <si>
    <t>27727226573</t>
  </si>
  <si>
    <t>2026-06-02 07:53:04</t>
  </si>
  <si>
    <t>14502658</t>
  </si>
  <si>
    <t>80bc35da-37e3-445b-9132-bf342ae39757</t>
  </si>
  <si>
    <t>2026-06-02 07:53:00</t>
  </si>
  <si>
    <t>27763661539</t>
  </si>
  <si>
    <t>14502672</t>
  </si>
  <si>
    <t>5eac2f5e-3204-4aab-8553-fcf1d03cd195</t>
  </si>
  <si>
    <t>2026-06-02 07:52:57</t>
  </si>
  <si>
    <t>27609611003</t>
  </si>
  <si>
    <t>14502638</t>
  </si>
  <si>
    <t>c2d101d9-ce48-4b96-ac74-053304177570</t>
  </si>
  <si>
    <t>27720944140</t>
  </si>
  <si>
    <t>14502639</t>
  </si>
  <si>
    <t>454139cd-92f8-4374-80c0-5cb454660ec5</t>
  </si>
  <si>
    <t>27724012616</t>
  </si>
  <si>
    <t>14502655</t>
  </si>
  <si>
    <t>33238b49-9ac5-4837-8dbf-8b8845a49071</t>
  </si>
  <si>
    <t>27797081901</t>
  </si>
  <si>
    <t>14502704</t>
  </si>
  <si>
    <t>d368eb84-df22-4a06-a963-7a6c57f77d91</t>
  </si>
  <si>
    <t>2026-06-02 07:52:55</t>
  </si>
  <si>
    <t>27760332768</t>
  </si>
  <si>
    <t>14502635</t>
  </si>
  <si>
    <t>5a12bf3f-742e-4b83-9dac-60305ae3f50c</t>
  </si>
  <si>
    <t>27794079844</t>
  </si>
  <si>
    <t>14502656</t>
  </si>
  <si>
    <t>ba205f96-b9d3-4287-b6b5-c4fe5e9e7e26</t>
  </si>
  <si>
    <t>27798091929</t>
  </si>
  <si>
    <t>14502659</t>
  </si>
  <si>
    <t>c97955f3-7379-4171-a07a-e9e17b59d1d1</t>
  </si>
  <si>
    <t>27723127606</t>
  </si>
  <si>
    <t>14502640</t>
  </si>
  <si>
    <t>c9fb9ab8-af5a-45c3-8ddf-4a4074e5792a</t>
  </si>
  <si>
    <t>2026-06-02 07:52:18</t>
  </si>
  <si>
    <t>27723965120</t>
  </si>
  <si>
    <t>14502641</t>
  </si>
  <si>
    <t>15be8752-26a8-43a4-be78-086ee25142c6</t>
  </si>
  <si>
    <t>27833737449</t>
  </si>
  <si>
    <t>14502642</t>
  </si>
  <si>
    <t>9268296e-687f-4bc4-9d32-e61479502100</t>
  </si>
  <si>
    <t>2026-06-02 07:51:56</t>
  </si>
  <si>
    <t>27794178491</t>
  </si>
  <si>
    <t>14502643</t>
  </si>
  <si>
    <t>33b27380-3653-4252-92da-bfd75cab9e71</t>
  </si>
  <si>
    <t>2026-06-02 07:51:53</t>
  </si>
  <si>
    <t>27792655371</t>
  </si>
  <si>
    <t>14502644</t>
  </si>
  <si>
    <t>baecaefb-ef90-4400-a7ba-5369748360ca</t>
  </si>
  <si>
    <t>2026-06-02 07:51:52</t>
  </si>
  <si>
    <t>27712310755</t>
  </si>
  <si>
    <t>14502645</t>
  </si>
  <si>
    <t>7c75fb69-993a-4c91-819c-ac7b390c67f1</t>
  </si>
  <si>
    <t>2026-06-02 07:51:51</t>
  </si>
  <si>
    <t>27715475723</t>
  </si>
  <si>
    <t>14502648</t>
  </si>
  <si>
    <t>5f5ce589-ac39-4f9f-9aa8-ebb1075b1158</t>
  </si>
  <si>
    <t>2026-06-02 07:51:21</t>
  </si>
  <si>
    <t>27795739819</t>
  </si>
  <si>
    <t>14502649</t>
  </si>
  <si>
    <t>142eb35e-59fd-41bb-b7ef-44652718bfbb</t>
  </si>
  <si>
    <t>27724409974</t>
  </si>
  <si>
    <t>14502650</t>
  </si>
  <si>
    <t>f48420b3-c899-4b2b-98d4-4dba9b2f2c2f</t>
  </si>
  <si>
    <t>27826824950</t>
  </si>
  <si>
    <t>14501901</t>
  </si>
  <si>
    <t>7fc058c0-7090-489a-b97f-74f5722e3749</t>
  </si>
  <si>
    <t>27767705692</t>
  </si>
  <si>
    <t>2026-06-02 07:51:05</t>
  </si>
  <si>
    <t>14502651</t>
  </si>
  <si>
    <t>aba0c810-df8c-479a-b3ba-add628a1dfcb</t>
  </si>
  <si>
    <t>2026-06-02 07:51:01</t>
  </si>
  <si>
    <t>27637354556</t>
  </si>
  <si>
    <t>14502794</t>
  </si>
  <si>
    <t>e7585dfb-58a0-4740-9f43-cd9075309838</t>
  </si>
  <si>
    <t>27608813993</t>
  </si>
  <si>
    <t>14502652</t>
  </si>
  <si>
    <t>03957209-e6a1-4a46-9265-d1e1083ffe09</t>
  </si>
  <si>
    <t>2026-06-02 07:50:59</t>
  </si>
  <si>
    <t>27790165619</t>
  </si>
  <si>
    <t>14502513</t>
  </si>
  <si>
    <t>34a6d38a-b990-4127-90dd-e8b326445b48</t>
  </si>
  <si>
    <t>27796477741</t>
  </si>
  <si>
    <t>2026-06-02 07:50:58</t>
  </si>
  <si>
    <t>14502653</t>
  </si>
  <si>
    <t>ac60733b-d66f-41c3-83b7-667d8cc24a82</t>
  </si>
  <si>
    <t>27649744764</t>
  </si>
  <si>
    <t>14502654</t>
  </si>
  <si>
    <t>40deb86f-6e3e-40df-819f-ea7d17c81f96</t>
  </si>
  <si>
    <t>27768920384</t>
  </si>
  <si>
    <t>14502514</t>
  </si>
  <si>
    <t>e3bde5c0-f9f7-4a23-84d5-bd920107f55c</t>
  </si>
  <si>
    <t>2026-06-02 07:50:57</t>
  </si>
  <si>
    <t>27762694580</t>
  </si>
  <si>
    <t>14502516</t>
  </si>
  <si>
    <t>34a6dbb9-4cd9-4b99-b740-8cfe2c09d300</t>
  </si>
  <si>
    <t>2026-06-02 07:50:44</t>
  </si>
  <si>
    <t>27767581929</t>
  </si>
  <si>
    <t>14502517</t>
  </si>
  <si>
    <t>7eebe165-a555-407c-ac9a-0c101ef4543c</t>
  </si>
  <si>
    <t>27818647692</t>
  </si>
  <si>
    <t>14502519</t>
  </si>
  <si>
    <t>ed5d372f-93e2-494a-a1f8-1974ee648389</t>
  </si>
  <si>
    <t>2026-06-02 07:50:43</t>
  </si>
  <si>
    <t>27762323691</t>
  </si>
  <si>
    <t>14502520</t>
  </si>
  <si>
    <t>bd8cb9ad-e0e8-442a-a865-2d4dba9d671a</t>
  </si>
  <si>
    <t>27711986046</t>
  </si>
  <si>
    <t>14502521</t>
  </si>
  <si>
    <t>4b368cc6-17b4-46c4-8d2b-0a0f77360215</t>
  </si>
  <si>
    <t>2026-06-02 07:50:35</t>
  </si>
  <si>
    <t>27798640679</t>
  </si>
  <si>
    <t>14502660</t>
  </si>
  <si>
    <t>ad96eaca-2ad6-48bf-b1a8-f409c202fd50</t>
  </si>
  <si>
    <t>2026-06-02 07:50:26</t>
  </si>
  <si>
    <t>27647746034</t>
  </si>
  <si>
    <t>14502661</t>
  </si>
  <si>
    <t>33023ed0-673b-40ac-b593-80218ed579c3</t>
  </si>
  <si>
    <t>2026-06-02 07:50:14</t>
  </si>
  <si>
    <t>27727030682</t>
  </si>
  <si>
    <t>14502674</t>
  </si>
  <si>
    <t>5c8a7e70-095f-40fb-90f9-8cbd08fc3391</t>
  </si>
  <si>
    <t>27824402791</t>
  </si>
  <si>
    <t>2026-06-02 07:50:10</t>
  </si>
  <si>
    <t>14502662</t>
  </si>
  <si>
    <t>a22bd471-21f4-455f-83b5-ef51fae38b2a</t>
  </si>
  <si>
    <t>2026-06-02 07:50:08</t>
  </si>
  <si>
    <t>27763346847</t>
  </si>
  <si>
    <t>14502663</t>
  </si>
  <si>
    <t>6e254e3a-92f6-434b-8956-553d57dfc8b9</t>
  </si>
  <si>
    <t>27727859058</t>
  </si>
  <si>
    <t>14502664</t>
  </si>
  <si>
    <t>25c4cf38-3f7f-4ad3-8978-57e58f48a487</t>
  </si>
  <si>
    <t>27798064868</t>
  </si>
  <si>
    <t>14502682</t>
  </si>
  <si>
    <t>29e00d8f-d711-4830-a227-c38afdb07617</t>
  </si>
  <si>
    <t>27799297258</t>
  </si>
  <si>
    <t>2026-06-02 07:50:01</t>
  </si>
  <si>
    <t>14502665</t>
  </si>
  <si>
    <t>b0f79b3a-b7fd-49ee-b616-7e6398659d93</t>
  </si>
  <si>
    <t>2026-06-02 07:49:34</t>
  </si>
  <si>
    <t>27663357693</t>
  </si>
  <si>
    <t>14502667</t>
  </si>
  <si>
    <t>4c1a802d-4f63-409d-a864-9df0e0f0bd85</t>
  </si>
  <si>
    <t>2026-06-02 07:49:26</t>
  </si>
  <si>
    <t>27798975517</t>
  </si>
  <si>
    <t>14502774</t>
  </si>
  <si>
    <t>7ed33dd2-fd46-4ef7-9e0e-0f84823447fa</t>
  </si>
  <si>
    <t>27607541762</t>
  </si>
  <si>
    <t>2026-06-02 07:49:25</t>
  </si>
  <si>
    <t>14502675</t>
  </si>
  <si>
    <t>39edd575-1ef9-45d9-a8eb-2dd295979500</t>
  </si>
  <si>
    <t>2026-06-02 07:49:22</t>
  </si>
  <si>
    <t>27645443850</t>
  </si>
  <si>
    <t>14502724</t>
  </si>
  <si>
    <t>f5d794cf-b071-4fe0-b7ac-6e8f14d822e4</t>
  </si>
  <si>
    <t>27716465992</t>
  </si>
  <si>
    <t>2026-06-02 07:49:06</t>
  </si>
  <si>
    <t>14502669</t>
  </si>
  <si>
    <t>9853871f-c40b-43ce-9e2d-b7bd58558448</t>
  </si>
  <si>
    <t>2026-06-02 07:49:01</t>
  </si>
  <si>
    <t>27794658364</t>
  </si>
  <si>
    <t>14502670</t>
  </si>
  <si>
    <t>c400f6ff-df0a-4ade-ac94-44c26bf3a4da</t>
  </si>
  <si>
    <t>27825860341</t>
  </si>
  <si>
    <t>14502676</t>
  </si>
  <si>
    <t>8109cbe3-335f-4309-8106-ad0fd8305ad5</t>
  </si>
  <si>
    <t>27636202227</t>
  </si>
  <si>
    <t>14502673</t>
  </si>
  <si>
    <t>6c8a956b-2933-49ca-83f0-6595afeab524</t>
  </si>
  <si>
    <t>2026-06-02 07:49:00</t>
  </si>
  <si>
    <t>27649375428</t>
  </si>
  <si>
    <t>14502721</t>
  </si>
  <si>
    <t>94bd1965-92d9-4696-9da6-a9494d73d1c0</t>
  </si>
  <si>
    <t>27637845781</t>
  </si>
  <si>
    <t>2026-06-02 07:48:49</t>
  </si>
  <si>
    <t>14502677</t>
  </si>
  <si>
    <t>50ebb865-bc76-47f8-8f06-e4249d4b962f</t>
  </si>
  <si>
    <t>2026-06-02 07:48:07</t>
  </si>
  <si>
    <t>27795494220</t>
  </si>
  <si>
    <t>14502678</t>
  </si>
  <si>
    <t>32b6ec29-77be-4f6d-93b0-4ca8ea84cb59</t>
  </si>
  <si>
    <t>2026-06-02 07:48:06</t>
  </si>
  <si>
    <t>27664965871</t>
  </si>
  <si>
    <t>14502679</t>
  </si>
  <si>
    <t>90672f37-0383-4975-a5b3-0b6aa3a0b487</t>
  </si>
  <si>
    <t>2026-06-02 07:48:04</t>
  </si>
  <si>
    <t>27723051769</t>
  </si>
  <si>
    <t>14502680</t>
  </si>
  <si>
    <t>7728134a-ca88-4769-b119-84ab6d6e1003</t>
  </si>
  <si>
    <t>27763369878</t>
  </si>
  <si>
    <t>14502683</t>
  </si>
  <si>
    <t>f1d68e83-b191-42a2-b12f-78941de5da40</t>
  </si>
  <si>
    <t>2026-06-02 07:48:03</t>
  </si>
  <si>
    <t>27765496090</t>
  </si>
  <si>
    <t>14502687</t>
  </si>
  <si>
    <t>e4ab4472-0dcc-49e1-ade0-d99e5b57cd48</t>
  </si>
  <si>
    <t>2026-06-02 07:48:01</t>
  </si>
  <si>
    <t>27767929762</t>
  </si>
  <si>
    <t>14502688</t>
  </si>
  <si>
    <t>fa111541-8546-45a8-b124-b86557c636ac</t>
  </si>
  <si>
    <t>27721239227</t>
  </si>
  <si>
    <t>14502690</t>
  </si>
  <si>
    <t>852e2e30-db77-4c28-8bc3-24fa2f9c7f0b</t>
  </si>
  <si>
    <t>27744776050</t>
  </si>
  <si>
    <t>14502705</t>
  </si>
  <si>
    <t>47cbffe4-faa2-43c0-8658-56e3dedca3fc</t>
  </si>
  <si>
    <t>27637088907</t>
  </si>
  <si>
    <t>14502685</t>
  </si>
  <si>
    <t>c96ea61c-105f-4dd2-b4e2-232e889ad75d</t>
  </si>
  <si>
    <t>2026-06-02 07:48:00</t>
  </si>
  <si>
    <t>27792408015</t>
  </si>
  <si>
    <t>14502691</t>
  </si>
  <si>
    <t>a4c36cb3-174c-445a-88ac-7e12fdb09ff7</t>
  </si>
  <si>
    <t>2026-06-02 07:47:53</t>
  </si>
  <si>
    <t>27768730687</t>
  </si>
  <si>
    <t>14502693</t>
  </si>
  <si>
    <t>742f010d-6082-46dc-a6d4-4a3d313e0b2e</t>
  </si>
  <si>
    <t>27767637463</t>
  </si>
  <si>
    <t>14502694</t>
  </si>
  <si>
    <t>6a901c3c-3d9c-45f1-9a60-fb0125dfa537</t>
  </si>
  <si>
    <t>27664980415</t>
  </si>
  <si>
    <t>14502695</t>
  </si>
  <si>
    <t>86394a08-09b6-4b81-a193-156542930d16</t>
  </si>
  <si>
    <t>2026-06-02 07:47:52</t>
  </si>
  <si>
    <t>27609245948</t>
  </si>
  <si>
    <t>14502696</t>
  </si>
  <si>
    <t>22a940df-f871-420d-99c7-fda68f16a397</t>
  </si>
  <si>
    <t>2026-06-02 07:47:10</t>
  </si>
  <si>
    <t>27795337732</t>
  </si>
  <si>
    <t>14502697</t>
  </si>
  <si>
    <t>782e9757-68f8-41a3-8e97-fc634e3562e2</t>
  </si>
  <si>
    <t>2026-06-02 07:47:08</t>
  </si>
  <si>
    <t>27739061596</t>
  </si>
  <si>
    <t>14502702</t>
  </si>
  <si>
    <t>7f968f23-d9b7-4f57-b558-49c3209e29c0</t>
  </si>
  <si>
    <t>2026-06-02 07:47:02</t>
  </si>
  <si>
    <t>27665943615</t>
  </si>
  <si>
    <t>14502700</t>
  </si>
  <si>
    <t>333c1d5c-e0db-4b29-bba8-0e392613166d</t>
  </si>
  <si>
    <t>2026-06-02 07:47:00</t>
  </si>
  <si>
    <t>27724545446</t>
  </si>
  <si>
    <t>14502698</t>
  </si>
  <si>
    <t>0c0ac9f6-57b5-4230-9024-94fcee9c87af</t>
  </si>
  <si>
    <t>2026-06-02 07:46:59</t>
  </si>
  <si>
    <t>27790232287</t>
  </si>
  <si>
    <t>14502699</t>
  </si>
  <si>
    <t>6e924532-90a8-4748-9b2a-efcb24d9041b</t>
  </si>
  <si>
    <t>27739127258</t>
  </si>
  <si>
    <t>14502722</t>
  </si>
  <si>
    <t>060d36c3-8d67-4693-84ed-f2916e88c1eb</t>
  </si>
  <si>
    <t>27766070715</t>
  </si>
  <si>
    <t>14502701</t>
  </si>
  <si>
    <t>b01a736a-b616-463c-b5fd-c94bb81e925b</t>
  </si>
  <si>
    <t>2026-06-02 07:46:30</t>
  </si>
  <si>
    <t>27761672268</t>
  </si>
  <si>
    <t>14502708</t>
  </si>
  <si>
    <t>f4d7d8c0-6a73-41d5-9b61-372a7de62483</t>
  </si>
  <si>
    <t>2026-06-02 07:45:59</t>
  </si>
  <si>
    <t>27649673204</t>
  </si>
  <si>
    <t>14502709</t>
  </si>
  <si>
    <t>a1aa66d9-2b60-48ca-bcb7-0bfb9d325544</t>
  </si>
  <si>
    <t>2026-06-02 07:45:57</t>
  </si>
  <si>
    <t>27825377703</t>
  </si>
  <si>
    <t>14502710</t>
  </si>
  <si>
    <t>9e74fbb1-acb6-4e40-82e0-c178401de81d</t>
  </si>
  <si>
    <t>2026-06-02 07:45:54</t>
  </si>
  <si>
    <t>27769195789</t>
  </si>
  <si>
    <t>14502711</t>
  </si>
  <si>
    <t>268b4b58-3acf-4b9e-a0c6-4babf9e88768</t>
  </si>
  <si>
    <t>2026-06-02 07:45:53</t>
  </si>
  <si>
    <t>27799604697</t>
  </si>
  <si>
    <t>14502793</t>
  </si>
  <si>
    <t>8f81c5af-698a-40c6-bd70-6af5cac18f73</t>
  </si>
  <si>
    <t>27724097963</t>
  </si>
  <si>
    <t>14502713</t>
  </si>
  <si>
    <t>d9141e69-cbbe-4af9-a07c-860ae9ea1ee6</t>
  </si>
  <si>
    <t>2026-06-02 07:45:52</t>
  </si>
  <si>
    <t>27766219944</t>
  </si>
  <si>
    <t>14502715</t>
  </si>
  <si>
    <t>7297319e-b353-4620-ad0e-ee039f2dbde0</t>
  </si>
  <si>
    <t>27764815529</t>
  </si>
  <si>
    <t>14502716</t>
  </si>
  <si>
    <t>73c7d490-ab27-42f2-8fd3-c55bf5e6e1d4</t>
  </si>
  <si>
    <t>27606993651</t>
  </si>
  <si>
    <t>14502717</t>
  </si>
  <si>
    <t>82d5d7b3-a53a-46d5-a194-ba6b54c18436</t>
  </si>
  <si>
    <t>27636080818</t>
  </si>
  <si>
    <t>14502723</t>
  </si>
  <si>
    <t>603fcdf4-d71b-41a2-aa95-12d037d638d2</t>
  </si>
  <si>
    <t>2026-06-02 07:45:51</t>
  </si>
  <si>
    <t>27791091150</t>
  </si>
  <si>
    <t>14502719</t>
  </si>
  <si>
    <t>521f9866-4528-4039-ab1e-fff3193c68be</t>
  </si>
  <si>
    <t>2026-06-02 07:45:47</t>
  </si>
  <si>
    <t>27761291742</t>
  </si>
  <si>
    <t>14502718</t>
  </si>
  <si>
    <t>a81d4a11-bc84-4019-b1cd-7679c7352bfc</t>
  </si>
  <si>
    <t>2026-06-02 07:45:40</t>
  </si>
  <si>
    <t>27763776152</t>
  </si>
  <si>
    <t>14502742</t>
  </si>
  <si>
    <t>f489f353-6a30-495f-8c4a-db38f9bdc482</t>
  </si>
  <si>
    <t>27793964654</t>
  </si>
  <si>
    <t>14502739</t>
  </si>
  <si>
    <t>061f43a7-500a-43c4-a35d-3bfb90441ff7</t>
  </si>
  <si>
    <t>2026-06-02 07:45:39</t>
  </si>
  <si>
    <t>27818485560</t>
  </si>
  <si>
    <t>14502795</t>
  </si>
  <si>
    <t>e8783822-c438-49cf-b26d-407fb8cf2a50</t>
  </si>
  <si>
    <t>27794508463</t>
  </si>
  <si>
    <t>14502725</t>
  </si>
  <si>
    <t>11e6b6a2-5c8e-44d0-a60f-62cbafd43a48</t>
  </si>
  <si>
    <t>2026-06-02 07:42:25</t>
  </si>
  <si>
    <t>27724337631</t>
  </si>
  <si>
    <t>14502726</t>
  </si>
  <si>
    <t>e81fcb67-db00-4372-bf80-e5a06a37376e</t>
  </si>
  <si>
    <t>2026-06-02 07:42:21</t>
  </si>
  <si>
    <t>27637909027</t>
  </si>
  <si>
    <t>14502727</t>
  </si>
  <si>
    <t>10c411f8-2ba4-420e-a8d0-081b72fbc2e6</t>
  </si>
  <si>
    <t>27729653034</t>
  </si>
  <si>
    <t>2026-06-02 07:42:20</t>
  </si>
  <si>
    <t>14502738</t>
  </si>
  <si>
    <t>048443b3-4f09-4d5d-afeb-75ef220e03fb</t>
  </si>
  <si>
    <t>2026-06-02 07:42:19</t>
  </si>
  <si>
    <t>27647773860</t>
  </si>
  <si>
    <t>14501953</t>
  </si>
  <si>
    <t>c949b298-00cc-4dc4-bafe-e68b3cba3ad7</t>
  </si>
  <si>
    <t>2026-06-02 07:42:16</t>
  </si>
  <si>
    <t>27828634927</t>
  </si>
  <si>
    <t>14501954</t>
  </si>
  <si>
    <t>05cb94b4-d7a0-4403-9a2a-31d620b2a1f1</t>
  </si>
  <si>
    <t>27828620949</t>
  </si>
  <si>
    <t>14502728</t>
  </si>
  <si>
    <t>d4db54cd-d42e-4be1-8bef-dae4aee9dc86</t>
  </si>
  <si>
    <t>27797125903</t>
  </si>
  <si>
    <t>14501952</t>
  </si>
  <si>
    <t>524961ed-d0ce-4976-a3d9-7c6f017d0d99</t>
  </si>
  <si>
    <t>2026-06-02 07:42:15</t>
  </si>
  <si>
    <t>27712224896</t>
  </si>
  <si>
    <t>14501951</t>
  </si>
  <si>
    <t>d4410494-12c4-4c41-85f3-fc26f5f0a1b6</t>
  </si>
  <si>
    <t>27822626149</t>
  </si>
  <si>
    <t>2026-06-02 07:42:11</t>
  </si>
  <si>
    <t>14501924</t>
  </si>
  <si>
    <t>af032da0-6c79-4772-9bc3-3ef17b268734</t>
  </si>
  <si>
    <t>27795912512</t>
  </si>
  <si>
    <t>2026-06-02 07:42:10</t>
  </si>
  <si>
    <t>14501950</t>
  </si>
  <si>
    <t>0274b0a9-fbb3-45ba-8777-b2d95974b240</t>
  </si>
  <si>
    <t>27714685935</t>
  </si>
  <si>
    <t>14501922</t>
  </si>
  <si>
    <t>531d3642-5e12-4ebb-a6e1-80d052722ee6</t>
  </si>
  <si>
    <t>2026-06-02 07:42:09</t>
  </si>
  <si>
    <t>27637636303</t>
  </si>
  <si>
    <t>14501923</t>
  </si>
  <si>
    <t>aa8d0088-0c75-4661-9b64-5f0abe5d26ac</t>
  </si>
  <si>
    <t>27826738411</t>
  </si>
  <si>
    <t>14501920</t>
  </si>
  <si>
    <t>a044623d-c51c-44f9-8839-01933fa82584</t>
  </si>
  <si>
    <t>2026-06-02 07:41:26</t>
  </si>
  <si>
    <t>27716324938</t>
  </si>
  <si>
    <t>14501919</t>
  </si>
  <si>
    <t>2a16c3cd-8642-4c73-a171-8fd8c4eab101</t>
  </si>
  <si>
    <t>2026-06-02 07:41:19</t>
  </si>
  <si>
    <t>27793327748</t>
  </si>
  <si>
    <t>14501918</t>
  </si>
  <si>
    <t>ac8196a4-514a-485f-a4b7-ac7242397ec7</t>
  </si>
  <si>
    <t>2026-06-02 07:41:18</t>
  </si>
  <si>
    <t>27761977814</t>
  </si>
  <si>
    <t>14501916</t>
  </si>
  <si>
    <t>af1b2d42-7fa2-4ec8-a317-151ec46a412c</t>
  </si>
  <si>
    <t>2026-06-02 07:41:16</t>
  </si>
  <si>
    <t>27763381716</t>
  </si>
  <si>
    <t>14501914</t>
  </si>
  <si>
    <t>e865461b-2995-4a87-8dd5-cce53ed796f5</t>
  </si>
  <si>
    <t>2026-06-02 07:41:14</t>
  </si>
  <si>
    <t>27766099349</t>
  </si>
  <si>
    <t>14501902</t>
  </si>
  <si>
    <t>6efff20d-6fdf-4cea-8bdb-62c9ff25b015</t>
  </si>
  <si>
    <t>27827141665</t>
  </si>
  <si>
    <t>2026-06-02 07:41:13</t>
  </si>
  <si>
    <t>14501912</t>
  </si>
  <si>
    <t>f9e44d4d-9af8-45a9-a666-d40acbeae37d</t>
  </si>
  <si>
    <t>27796897754</t>
  </si>
  <si>
    <t>14501913</t>
  </si>
  <si>
    <t>f0562abe-aa2e-4d07-8b72-3e390562e863</t>
  </si>
  <si>
    <t>27829522645</t>
  </si>
  <si>
    <t>14501911</t>
  </si>
  <si>
    <t>aae31dfe-e718-4211-bc9b-09868e0c4e37</t>
  </si>
  <si>
    <t>2026-06-02 07:41:12</t>
  </si>
  <si>
    <t>27796867680</t>
  </si>
  <si>
    <t>14501910</t>
  </si>
  <si>
    <t>63e16213-feb3-42cc-821d-f43a63fab026</t>
  </si>
  <si>
    <t>2026-06-02 07:41:09</t>
  </si>
  <si>
    <t>27798311307</t>
  </si>
  <si>
    <t>14501908</t>
  </si>
  <si>
    <t>d009729b-a5ca-4976-9873-368498f265eb</t>
  </si>
  <si>
    <t>2026-06-02 07:41:08</t>
  </si>
  <si>
    <t>27712282443</t>
  </si>
  <si>
    <t>14501907</t>
  </si>
  <si>
    <t>69c8a6d0-0ce6-4bfa-8974-b86f0fc78ea2</t>
  </si>
  <si>
    <t>2026-06-02 07:41:06</t>
  </si>
  <si>
    <t>27791989471</t>
  </si>
  <si>
    <t>14502730</t>
  </si>
  <si>
    <t>b023ed18-c47a-461c-9a98-75102a964a41</t>
  </si>
  <si>
    <t>27766717149</t>
  </si>
  <si>
    <t>14502731</t>
  </si>
  <si>
    <t>9b4a45b2-72c9-40a6-a82c-7b9d4bcacebf</t>
  </si>
  <si>
    <t>2026-06-02 07:41:05</t>
  </si>
  <si>
    <t>27722544820</t>
  </si>
  <si>
    <t>14502732</t>
  </si>
  <si>
    <t>64d2a4e3-840c-4981-bff0-05466d9287e9</t>
  </si>
  <si>
    <t>27761456886</t>
  </si>
  <si>
    <t>14502733</t>
  </si>
  <si>
    <t>11449048-61f2-4a90-8104-50fdce44f674</t>
  </si>
  <si>
    <t>27636650638</t>
  </si>
  <si>
    <t>14502734</t>
  </si>
  <si>
    <t>2dbae915-50a8-45f4-944c-27ab483ae4cc</t>
  </si>
  <si>
    <t>27825515591</t>
  </si>
  <si>
    <t>14502737</t>
  </si>
  <si>
    <t>5400ec02-1f20-4638-95c6-c72f4c559b24</t>
  </si>
  <si>
    <t>27660170726</t>
  </si>
  <si>
    <t>BLQ</t>
  </si>
  <si>
    <t>Bad Line Quality</t>
  </si>
  <si>
    <t>14502740</t>
  </si>
  <si>
    <t>f944d5d7-7dec-4ee8-addc-ea2b299f96bd</t>
  </si>
  <si>
    <t>27818468407</t>
  </si>
  <si>
    <t>2026-06-02 07:40:52</t>
  </si>
  <si>
    <t>14502796</t>
  </si>
  <si>
    <t>f3b2a49a-aff8-4b6e-bd3f-2c6e2b9dc974</t>
  </si>
  <si>
    <t>27769949646</t>
  </si>
  <si>
    <t>14502797</t>
  </si>
  <si>
    <t>e74be90c-6f90-45f5-85d7-4f5a3f733ae8</t>
  </si>
  <si>
    <t>27760666520</t>
  </si>
  <si>
    <t>14502848</t>
  </si>
  <si>
    <t>bd5e8f10-9ae3-4947-9cf7-79d9be75b02f</t>
  </si>
  <si>
    <t>27728781620</t>
  </si>
  <si>
    <t>14502743</t>
  </si>
  <si>
    <t>475f8c6d-5596-464e-9f08-f40da58fdfe2</t>
  </si>
  <si>
    <t>27673408870</t>
  </si>
  <si>
    <t>2026-06-02 07:39:59</t>
  </si>
  <si>
    <t>14502744</t>
  </si>
  <si>
    <t>36dd7018-b043-4e8b-a728-0eae595e55b2</t>
  </si>
  <si>
    <t>2026-06-02 07:39:55</t>
  </si>
  <si>
    <t>27712724765</t>
  </si>
  <si>
    <t>14502745</t>
  </si>
  <si>
    <t>1f08284b-c959-442e-805a-9e109e789eb1</t>
  </si>
  <si>
    <t>2026-06-02 07:39:52</t>
  </si>
  <si>
    <t>27822673048</t>
  </si>
  <si>
    <t>14502746</t>
  </si>
  <si>
    <t>899d828d-03c3-4228-98e0-10ac1febdf97</t>
  </si>
  <si>
    <t>2026-06-02 07:39:49</t>
  </si>
  <si>
    <t>27767548328</t>
  </si>
  <si>
    <t>14502798</t>
  </si>
  <si>
    <t>887d1fa2-3001-48b5-a179-345f9f9cd8b8</t>
  </si>
  <si>
    <t>27763847542</t>
  </si>
  <si>
    <t>14502799</t>
  </si>
  <si>
    <t>8265a9b5-6d2b-45da-ab50-0ba62457132b</t>
  </si>
  <si>
    <t>27723443058</t>
  </si>
  <si>
    <t>14502748</t>
  </si>
  <si>
    <t>8011fcfa-8502-4c71-b6c8-cd34d9f5221d</t>
  </si>
  <si>
    <t>2026-06-02 07:38:35</t>
  </si>
  <si>
    <t>27725854935</t>
  </si>
  <si>
    <t>14502749</t>
  </si>
  <si>
    <t>8ec10704-d1a7-42e7-bc6a-3c50b467b8fc</t>
  </si>
  <si>
    <t>27727979742</t>
  </si>
  <si>
    <t>2026-06-02 07:38:32</t>
  </si>
  <si>
    <t>14502750</t>
  </si>
  <si>
    <t>82d0ef7e-6e47-426b-ab49-773c4ab35433</t>
  </si>
  <si>
    <t>2026-06-02 07:38:29</t>
  </si>
  <si>
    <t>27647849186</t>
  </si>
  <si>
    <t>14502853</t>
  </si>
  <si>
    <t>4a692051-3120-48b8-b765-098b80084827</t>
  </si>
  <si>
    <t>27724335585</t>
  </si>
  <si>
    <t>14502751</t>
  </si>
  <si>
    <t>1b804dee-084b-4336-9b64-ffe4e53e4e8b</t>
  </si>
  <si>
    <t>2026-06-02 07:38:00</t>
  </si>
  <si>
    <t>27766043980</t>
  </si>
  <si>
    <t>14502287</t>
  </si>
  <si>
    <t>0935f8ee-cc7e-47dc-bae3-6162f5a7eacf</t>
  </si>
  <si>
    <t>27729963396</t>
  </si>
  <si>
    <t>2026-06-02 07:37:59</t>
  </si>
  <si>
    <t>14502752</t>
  </si>
  <si>
    <t>0bd5a94b-c6fc-47cb-bd22-087fa8ab322d</t>
  </si>
  <si>
    <t>2026-06-02 07:37:57</t>
  </si>
  <si>
    <t>27636260390</t>
  </si>
  <si>
    <t>14502753</t>
  </si>
  <si>
    <t>ca4f185f-a5bb-4f05-ab15-e0c58a80532c</t>
  </si>
  <si>
    <t>27768114993</t>
  </si>
  <si>
    <t>2026-06-02 07:37:56</t>
  </si>
  <si>
    <t>14502784</t>
  </si>
  <si>
    <t>089f9c6c-b392-4386-a26a-f4c0f5a09b47</t>
  </si>
  <si>
    <t>27766698939</t>
  </si>
  <si>
    <t>14502787</t>
  </si>
  <si>
    <t>5074e0da-7984-4561-9050-b513ccecc91d</t>
  </si>
  <si>
    <t>2026-06-02 07:37:53</t>
  </si>
  <si>
    <t>27793146927</t>
  </si>
  <si>
    <t>14501881</t>
  </si>
  <si>
    <t>e57bcac6-4438-48ee-913e-a5238528b0f2</t>
  </si>
  <si>
    <t>2026-06-02 07:37:51</t>
  </si>
  <si>
    <t>27665990975</t>
  </si>
  <si>
    <t>14501886</t>
  </si>
  <si>
    <t>e8cfaa34-cf94-4936-aa16-d90d0c08839b</t>
  </si>
  <si>
    <t>27760278253</t>
  </si>
  <si>
    <t>14502861</t>
  </si>
  <si>
    <t>8a0886d0-d6b6-426f-ba8b-3411d7ee797c</t>
  </si>
  <si>
    <t>27791801780</t>
  </si>
  <si>
    <t>14501892</t>
  </si>
  <si>
    <t>c2c628c7-ea0a-4f0a-893c-bd301c37f696</t>
  </si>
  <si>
    <t>2026-06-02 07:37:50</t>
  </si>
  <si>
    <t>27720247134</t>
  </si>
  <si>
    <t>14501895</t>
  </si>
  <si>
    <t>382631f3-a440-40fb-90a3-1ff97e61c87b</t>
  </si>
  <si>
    <t>2026-06-02 07:37:46</t>
  </si>
  <si>
    <t>27722379332</t>
  </si>
  <si>
    <t>14501897</t>
  </si>
  <si>
    <t>224aa744-a168-449a-ae14-54106e5cb8bd</t>
  </si>
  <si>
    <t>2026-06-02 07:37:43</t>
  </si>
  <si>
    <t>27766433311</t>
  </si>
  <si>
    <t>14501899</t>
  </si>
  <si>
    <t>82eb1f21-5f7d-4f80-8397-10fa03ef6e58</t>
  </si>
  <si>
    <t>2026-06-02 07:37:40</t>
  </si>
  <si>
    <t>27827330155</t>
  </si>
  <si>
    <t>14501900</t>
  </si>
  <si>
    <t>1f7cd67e-b3c6-414c-a858-ddfbb32667d4</t>
  </si>
  <si>
    <t>27728263120</t>
  </si>
  <si>
    <t>2026-06-02 07:37:07</t>
  </si>
  <si>
    <t>14502777</t>
  </si>
  <si>
    <t>b69c8a33-cacd-4591-8e2b-061b75d8a2ea</t>
  </si>
  <si>
    <t>27825446019</t>
  </si>
  <si>
    <t>2026-06-02 07:37:04</t>
  </si>
  <si>
    <t>14501903</t>
  </si>
  <si>
    <t>7bad8744-751b-4a6e-bfd8-f07c82da7d88</t>
  </si>
  <si>
    <t>2026-06-02 07:37:03</t>
  </si>
  <si>
    <t>27713493312</t>
  </si>
  <si>
    <t>14502791</t>
  </si>
  <si>
    <t>90f0c163-449f-486b-bcf9-a5249b9f7101</t>
  </si>
  <si>
    <t>27769956959</t>
  </si>
  <si>
    <t>14501905</t>
  </si>
  <si>
    <t>85a489cf-5b3e-448e-8cde-8bde6562f5eb</t>
  </si>
  <si>
    <t>2026-06-02 07:37:02</t>
  </si>
  <si>
    <t>27820541226</t>
  </si>
  <si>
    <t>14502754</t>
  </si>
  <si>
    <t>5ea3d3fc-13b2-4ed2-a684-3cd7a3865ba8</t>
  </si>
  <si>
    <t>2026-06-02 07:36:17</t>
  </si>
  <si>
    <t>27820828868</t>
  </si>
  <si>
    <t>14502755</t>
  </si>
  <si>
    <t>7391f2b5-228c-45c4-b385-72714c35e527</t>
  </si>
  <si>
    <t>2026-06-02 07:36:13</t>
  </si>
  <si>
    <t>27794000690</t>
  </si>
  <si>
    <t>14502756</t>
  </si>
  <si>
    <t>94a4c282-055c-4ad1-801e-c8e169a32e17</t>
  </si>
  <si>
    <t>2026-06-02 07:36:07</t>
  </si>
  <si>
    <t>27712106009</t>
  </si>
  <si>
    <t>14502758</t>
  </si>
  <si>
    <t>7a374cfe-5e3c-4558-9dce-1a17429f2c77</t>
  </si>
  <si>
    <t>2026-06-02 07:36:04</t>
  </si>
  <si>
    <t>27826882663</t>
  </si>
  <si>
    <t>14502759</t>
  </si>
  <si>
    <t>d8bc089c-334a-47d0-9227-4c8463aadf49</t>
  </si>
  <si>
    <t>27646246833</t>
  </si>
  <si>
    <t>14502760</t>
  </si>
  <si>
    <t>016cdce5-672c-4f4b-a6f9-4c4de9d0e89f</t>
  </si>
  <si>
    <t>2026-06-02 07:36:00</t>
  </si>
  <si>
    <t>27607342525</t>
  </si>
  <si>
    <t>14502761</t>
  </si>
  <si>
    <t>5530cd1d-c441-4bbc-a480-ec3db3e2abfb</t>
  </si>
  <si>
    <t>2026-06-02 07:35:57</t>
  </si>
  <si>
    <t>27766292818</t>
  </si>
  <si>
    <t>14502762</t>
  </si>
  <si>
    <t>019801ac-cd19-4e0d-8af5-ac2bc223987f</t>
  </si>
  <si>
    <t>2026-06-02 07:35:55</t>
  </si>
  <si>
    <t>27721752531</t>
  </si>
  <si>
    <t>14502763</t>
  </si>
  <si>
    <t>550c073d-6fa8-4c63-88bf-24ded7a7d568</t>
  </si>
  <si>
    <t>27765777207</t>
  </si>
  <si>
    <t>2026-06-02 07:35:53</t>
  </si>
  <si>
    <t>14502764</t>
  </si>
  <si>
    <t>58987ace-3085-4ff0-b380-752f478d8559</t>
  </si>
  <si>
    <t>2026-06-02 07:35:51</t>
  </si>
  <si>
    <t>27822239251</t>
  </si>
  <si>
    <t>14502765</t>
  </si>
  <si>
    <t>77959392-bac1-47c3-9107-914e212435a7</t>
  </si>
  <si>
    <t>2026-06-02 07:35:39</t>
  </si>
  <si>
    <t>27824598185</t>
  </si>
  <si>
    <t>14502769</t>
  </si>
  <si>
    <t>823e4a69-6c86-4561-ad71-f3736961988a</t>
  </si>
  <si>
    <t>27766184672</t>
  </si>
  <si>
    <t>2026-06-02 07:35:38</t>
  </si>
  <si>
    <t>14502770</t>
  </si>
  <si>
    <t>c35f4a89-5610-4947-b58b-ef30bd3ee469</t>
  </si>
  <si>
    <t>27799379262</t>
  </si>
  <si>
    <t>14502771</t>
  </si>
  <si>
    <t>53a0152b-5aa3-407b-a2a7-169bfe27845a</t>
  </si>
  <si>
    <t>27665371517</t>
  </si>
  <si>
    <t>14502775</t>
  </si>
  <si>
    <t>c739515b-0e9f-41b1-b09c-4ecd5de559f6</t>
  </si>
  <si>
    <t>2026-06-02 07:35:32</t>
  </si>
  <si>
    <t>27794052201</t>
  </si>
  <si>
    <t>14502776</t>
  </si>
  <si>
    <t>c5a181bf-134f-4e7c-a1d3-2c11c75d6bad</t>
  </si>
  <si>
    <t>27760297895</t>
  </si>
  <si>
    <t>14502778</t>
  </si>
  <si>
    <t>ae4405c9-0066-4d5f-ae9b-05fbf4dbebbd</t>
  </si>
  <si>
    <t>2026-06-02 07:35:31</t>
  </si>
  <si>
    <t>27637515607</t>
  </si>
  <si>
    <t>14502860</t>
  </si>
  <si>
    <t>36e37f74-ed5c-4bed-b0bf-a212197da9f2</t>
  </si>
  <si>
    <t>27768093008</t>
  </si>
  <si>
    <t>2026-06-02 07:34:51</t>
  </si>
  <si>
    <t>14502779</t>
  </si>
  <si>
    <t>69a767fb-6186-4cc2-be1e-11ff75c9c2f8</t>
  </si>
  <si>
    <t>27798394536</t>
  </si>
  <si>
    <t>14502780</t>
  </si>
  <si>
    <t>548c66ae-447e-4a16-b4c1-3e119cd867ef</t>
  </si>
  <si>
    <t>27762600524</t>
  </si>
  <si>
    <t>2026-06-02 07:34:23</t>
  </si>
  <si>
    <t>14502355</t>
  </si>
  <si>
    <t>5cac435c-e163-4d57-a0db-0a94e5aeab17</t>
  </si>
  <si>
    <t>2026-06-02 07:34:22</t>
  </si>
  <si>
    <t>27827335135</t>
  </si>
  <si>
    <t>14502354</t>
  </si>
  <si>
    <t>798383a7-f35b-484c-8477-2f0b9c4a4aa1</t>
  </si>
  <si>
    <t>2026-06-02 07:34:16</t>
  </si>
  <si>
    <t>27790167486</t>
  </si>
  <si>
    <t>14502353</t>
  </si>
  <si>
    <t>b9aa8b7d-918e-46e4-99d2-af0e7eaff85a</t>
  </si>
  <si>
    <t>27765831143</t>
  </si>
  <si>
    <t>2026-06-02 07:34:15</t>
  </si>
  <si>
    <t>14502352</t>
  </si>
  <si>
    <t>bf13fb8c-2533-4ea0-960a-2b4372e8cfcf</t>
  </si>
  <si>
    <t>27769721354</t>
  </si>
  <si>
    <t>2026-06-02 07:34:02</t>
  </si>
  <si>
    <t>14502351</t>
  </si>
  <si>
    <t>e4aad40c-f098-4bda-be69-2a4ec4bd0679</t>
  </si>
  <si>
    <t>2026-06-02 07:33:59</t>
  </si>
  <si>
    <t>27826237873</t>
  </si>
  <si>
    <t>14502350</t>
  </si>
  <si>
    <t>50d95421-723c-4570-abc6-aecc70a0375c</t>
  </si>
  <si>
    <t>2026-06-02 07:33:56</t>
  </si>
  <si>
    <t>27825046341</t>
  </si>
  <si>
    <t>14502349</t>
  </si>
  <si>
    <t>c7346384-388d-4c2e-84ed-baa928854ff0</t>
  </si>
  <si>
    <t>2026-06-02 07:33:46</t>
  </si>
  <si>
    <t>27790519671</t>
  </si>
  <si>
    <t>14502347</t>
  </si>
  <si>
    <t>a1241705-a0dd-45da-a319-16100eab0487</t>
  </si>
  <si>
    <t>2026-06-02 07:33:42</t>
  </si>
  <si>
    <t>27723340559</t>
  </si>
  <si>
    <t>14502348</t>
  </si>
  <si>
    <t>5e9c7d91-32e6-46c4-99ac-fbc183ece7cc</t>
  </si>
  <si>
    <t>27790262172</t>
  </si>
  <si>
    <t>14502345</t>
  </si>
  <si>
    <t>8aaf2acc-7f26-4900-b248-5cfbc17f5a9c</t>
  </si>
  <si>
    <t>2026-06-02 07:33:41</t>
  </si>
  <si>
    <t>27837852106</t>
  </si>
  <si>
    <t>14502346</t>
  </si>
  <si>
    <t>717ac940-a073-4939-9c18-2bb44384d966</t>
  </si>
  <si>
    <t>27793811110</t>
  </si>
  <si>
    <t>14502344</t>
  </si>
  <si>
    <t>c108d151-85bb-4a9d-9fd4-88d7fb8bf0f2</t>
  </si>
  <si>
    <t>2026-06-02 07:33:40</t>
  </si>
  <si>
    <t>27828091404</t>
  </si>
  <si>
    <t>14502343</t>
  </si>
  <si>
    <t>f4486437-3654-4827-95ea-0a0cea664fc0</t>
  </si>
  <si>
    <t>2026-06-02 07:33:39</t>
  </si>
  <si>
    <t>27762624346</t>
  </si>
  <si>
    <t>14502341</t>
  </si>
  <si>
    <t>44e6ab2f-388d-4edc-a8f7-096c0bc6d357</t>
  </si>
  <si>
    <t>2026-06-02 07:33:33</t>
  </si>
  <si>
    <t>27818793132</t>
  </si>
  <si>
    <t>14502781</t>
  </si>
  <si>
    <t>274a6335-10e2-4504-be4d-2e061d040c2a</t>
  </si>
  <si>
    <t>27662014001</t>
  </si>
  <si>
    <t>2026-06-02 07:33:13</t>
  </si>
  <si>
    <t>14502782</t>
  </si>
  <si>
    <t>3d063435-d250-4243-b8fb-e927490da781</t>
  </si>
  <si>
    <t>27719658357</t>
  </si>
  <si>
    <t>2026-06-02 07:33:12</t>
  </si>
  <si>
    <t>14502185</t>
  </si>
  <si>
    <t>081efcd7-b6f6-4bf3-b6be-ddb61b23af66</t>
  </si>
  <si>
    <t>27765750217</t>
  </si>
  <si>
    <t>2026-06-02 07:33:06</t>
  </si>
  <si>
    <t>14502186</t>
  </si>
  <si>
    <t>756bd231-844c-4c70-9cb0-50dea8214821</t>
  </si>
  <si>
    <t>27722063692</t>
  </si>
  <si>
    <t>14502800</t>
  </si>
  <si>
    <t>cc9a1299-d866-40e7-8c3d-b44f38f88cb6</t>
  </si>
  <si>
    <t>27723938329</t>
  </si>
  <si>
    <t>14501957</t>
  </si>
  <si>
    <t>baed5bbb-3aec-45d0-9f15-deca7e0aa884</t>
  </si>
  <si>
    <t>2026-06-02 07:32:53</t>
  </si>
  <si>
    <t>27764994855</t>
  </si>
  <si>
    <t>14501955</t>
  </si>
  <si>
    <t>d20eaee0-01cd-4d8d-8c1e-38a628c9f18b</t>
  </si>
  <si>
    <t>2026-06-02 07:32:38</t>
  </si>
  <si>
    <t>27762191534</t>
  </si>
  <si>
    <t>14501956</t>
  </si>
  <si>
    <t>8528e82d-b02d-488f-ace9-7db9cea738cd</t>
  </si>
  <si>
    <t>27728343613</t>
  </si>
  <si>
    <t>14502834</t>
  </si>
  <si>
    <t>83660547-8180-48ca-bb4b-e22092def04d</t>
  </si>
  <si>
    <t>27794556716</t>
  </si>
  <si>
    <t>2026-06-02 07:32:09</t>
  </si>
  <si>
    <t>14502181</t>
  </si>
  <si>
    <t>a13ab4cf-f5f3-4e84-b7d8-39368facc588</t>
  </si>
  <si>
    <t>27713772928</t>
  </si>
  <si>
    <t>2026-06-02 07:31:59</t>
  </si>
  <si>
    <t>14502182</t>
  </si>
  <si>
    <t>5bedff5e-72d3-41dc-a302-0170c6d231da</t>
  </si>
  <si>
    <t>27649493832</t>
  </si>
  <si>
    <t>14502183</t>
  </si>
  <si>
    <t>56fa113f-b1ae-4dbb-a7c7-d86b043ad956</t>
  </si>
  <si>
    <t>27665430135</t>
  </si>
  <si>
    <t>14502184</t>
  </si>
  <si>
    <t>dd572f6e-7b9c-46f6-b372-d9efaeae3966</t>
  </si>
  <si>
    <t>27766082370</t>
  </si>
  <si>
    <t>14502180</t>
  </si>
  <si>
    <t>f2cb325f-b53c-4b93-8232-ef19c0140c75</t>
  </si>
  <si>
    <t>2026-06-02 07:31:45</t>
  </si>
  <si>
    <t>27661381121</t>
  </si>
  <si>
    <t>14502178</t>
  </si>
  <si>
    <t>62387d52-d2f9-49b0-9584-b7fcf2ce2b13</t>
  </si>
  <si>
    <t>27721581967</t>
  </si>
  <si>
    <t>2026-06-02 07:31:43</t>
  </si>
  <si>
    <t>14502179</t>
  </si>
  <si>
    <t>2f157a90-8a64-4599-a48c-1a69e7e8e038</t>
  </si>
  <si>
    <t>27797532978</t>
  </si>
  <si>
    <t>14501973</t>
  </si>
  <si>
    <t>8ab41859-5709-42bc-b2e6-e3e4b3ac41fe</t>
  </si>
  <si>
    <t>2026-06-02 07:31:08</t>
  </si>
  <si>
    <t>27824019500</t>
  </si>
  <si>
    <t>14502785</t>
  </si>
  <si>
    <t>5ac60ff0-b2bb-4eb9-86a6-1f455a5b37d0</t>
  </si>
  <si>
    <t>27762245673</t>
  </si>
  <si>
    <t>14501972</t>
  </si>
  <si>
    <t>5e675c14-0481-44af-b4d9-aa3e7ee42c0e</t>
  </si>
  <si>
    <t>27727607303</t>
  </si>
  <si>
    <t>2026-06-02 07:31:05</t>
  </si>
  <si>
    <t>14502362</t>
  </si>
  <si>
    <t>9833a25a-abd1-4554-a30e-0c9526031e55</t>
  </si>
  <si>
    <t>2026-06-02 07:30:47</t>
  </si>
  <si>
    <t>27714922822</t>
  </si>
  <si>
    <t>14501968</t>
  </si>
  <si>
    <t>71e76ee6-c62d-4bfc-8be8-4bd8ab63fb70</t>
  </si>
  <si>
    <t>2026-06-02 07:30:40</t>
  </si>
  <si>
    <t>27637576362</t>
  </si>
  <si>
    <t>14501969</t>
  </si>
  <si>
    <t>7650824f-009e-4336-b2fa-d1cfac1245dc</t>
  </si>
  <si>
    <t>27637006546</t>
  </si>
  <si>
    <t>14501970</t>
  </si>
  <si>
    <t>3e1aae86-9e2b-484f-9d60-38238dda76fb</t>
  </si>
  <si>
    <t>27766332954</t>
  </si>
  <si>
    <t>14501971</t>
  </si>
  <si>
    <t>bfc2ebdb-dde6-49f9-ac38-e9762b97f724</t>
  </si>
  <si>
    <t>27727872694</t>
  </si>
  <si>
    <t>14501967</t>
  </si>
  <si>
    <t>cced9b83-4748-42b8-82bd-f7bed5e1c0c4</t>
  </si>
  <si>
    <t>2026-06-02 07:30:34</t>
  </si>
  <si>
    <t>27825530184</t>
  </si>
  <si>
    <t>14501963</t>
  </si>
  <si>
    <t>7251c60a-7d95-4a48-a1b3-68f1ee1640a5</t>
  </si>
  <si>
    <t>2026-06-02 07:30:33</t>
  </si>
  <si>
    <t>27673075363</t>
  </si>
  <si>
    <t>14501964</t>
  </si>
  <si>
    <t>a6178446-d598-4597-911c-691088ab0e45</t>
  </si>
  <si>
    <t>27713172210</t>
  </si>
  <si>
    <t>14501965</t>
  </si>
  <si>
    <t>d19cbe8d-1d9e-4f98-a230-6ba7e2ec92b8</t>
  </si>
  <si>
    <t>27607585320</t>
  </si>
  <si>
    <t>14501962</t>
  </si>
  <si>
    <t>7e767a39-ae25-4a91-a7ca-8912fe70bb8f</t>
  </si>
  <si>
    <t>2026-06-02 07:30:08</t>
  </si>
  <si>
    <t>27799598661</t>
  </si>
  <si>
    <t>14501959</t>
  </si>
  <si>
    <t>f8283cbf-76ab-44b4-8ac4-a351ec626b0b</t>
  </si>
  <si>
    <t>2026-06-02 07:29:55</t>
  </si>
  <si>
    <t>27715301569</t>
  </si>
  <si>
    <t>14501960</t>
  </si>
  <si>
    <t>8f958bd7-9b6a-4305-a8e7-da2e28241c73</t>
  </si>
  <si>
    <t>27608809809</t>
  </si>
  <si>
    <t>14501961</t>
  </si>
  <si>
    <t>6876784d-09c0-4cc8-a6e5-ecb95bf5de26</t>
  </si>
  <si>
    <t>27792420194</t>
  </si>
  <si>
    <t>14501958</t>
  </si>
  <si>
    <t>afb7e856-8ff2-4631-ad59-bdbf8e08791e</t>
  </si>
  <si>
    <t>2026-06-02 07:29:54</t>
  </si>
  <si>
    <t>27793545271</t>
  </si>
  <si>
    <t>14502177</t>
  </si>
  <si>
    <t>595442b1-7a37-4608-be76-9089c2d6050d</t>
  </si>
  <si>
    <t>2026-06-02 07:28:53</t>
  </si>
  <si>
    <t>27825637180</t>
  </si>
  <si>
    <t>14502176</t>
  </si>
  <si>
    <t>45812808-78a1-4f49-b398-356e43512ca4</t>
  </si>
  <si>
    <t>2026-06-02 07:28:51</t>
  </si>
  <si>
    <t>27823509445</t>
  </si>
  <si>
    <t>14502175</t>
  </si>
  <si>
    <t>0db657bd-4901-4a6c-b4b8-af931e674ef6</t>
  </si>
  <si>
    <t>2026-06-02 07:28:50</t>
  </si>
  <si>
    <t>27795508056</t>
  </si>
  <si>
    <t>14502173</t>
  </si>
  <si>
    <t>baccc9b5-f0e5-4be9-8dad-0a8f547fc334</t>
  </si>
  <si>
    <t>2026-06-02 07:28:42</t>
  </si>
  <si>
    <t>27606183688</t>
  </si>
  <si>
    <t>14502174</t>
  </si>
  <si>
    <t>0d4e53c0-a0b9-49c5-9110-5b36d7b62afc</t>
  </si>
  <si>
    <t>27725481701</t>
  </si>
  <si>
    <t>14502171</t>
  </si>
  <si>
    <t>1a604ea6-cdb8-4837-b912-252d0e8b091a</t>
  </si>
  <si>
    <t>2026-06-02 07:28:39</t>
  </si>
  <si>
    <t>27720756408</t>
  </si>
  <si>
    <t>14502166</t>
  </si>
  <si>
    <t>6cd5ea7b-56ac-4627-8adf-8e4d83fb1d0e</t>
  </si>
  <si>
    <t>27726888171</t>
  </si>
  <si>
    <t>2026-06-02 07:28:37</t>
  </si>
  <si>
    <t>14502167</t>
  </si>
  <si>
    <t>6fd56e32-2cc6-4bd1-8333-6122b776efef</t>
  </si>
  <si>
    <t>27609208464</t>
  </si>
  <si>
    <t>14502169</t>
  </si>
  <si>
    <t>77e55314-1137-40e8-b80d-fd7641404ff9</t>
  </si>
  <si>
    <t>27797187203</t>
  </si>
  <si>
    <t>14502788</t>
  </si>
  <si>
    <t>48c611b8-bd2e-4896-b3cf-d3c8d0423822</t>
  </si>
  <si>
    <t>27724129205</t>
  </si>
  <si>
    <t>14502852</t>
  </si>
  <si>
    <t>4e109ab5-19ba-4b95-92a0-55f45fe3d6aa</t>
  </si>
  <si>
    <t>27673105916</t>
  </si>
  <si>
    <t>2026-06-02 07:28:34</t>
  </si>
  <si>
    <t>14501992</t>
  </si>
  <si>
    <t>8583bd79-8d4b-4d7f-8c19-f9a5b7568340</t>
  </si>
  <si>
    <t>2026-06-02 07:28:31</t>
  </si>
  <si>
    <t>27664752360</t>
  </si>
  <si>
    <t>14501974</t>
  </si>
  <si>
    <t>37eed257-0eca-47fd-8b01-94fb102e8db1</t>
  </si>
  <si>
    <t>2026-06-02 07:27:47</t>
  </si>
  <si>
    <t>27823519198</t>
  </si>
  <si>
    <t>14501975</t>
  </si>
  <si>
    <t>914355da-c79b-425c-8e65-15f0a2c8923a</t>
  </si>
  <si>
    <t>27607167183</t>
  </si>
  <si>
    <t>14502790</t>
  </si>
  <si>
    <t>7f22c941-1307-4941-9d49-4ca55d4954bf</t>
  </si>
  <si>
    <t>27646160723</t>
  </si>
  <si>
    <t>14501991</t>
  </si>
  <si>
    <t>940bad82-482c-4c03-be48-5f385c6c9713</t>
  </si>
  <si>
    <t>27729318480</t>
  </si>
  <si>
    <t>2026-06-02 07:27:10</t>
  </si>
  <si>
    <t>14501988</t>
  </si>
  <si>
    <t>1762848a-30cf-4676-b499-09c3572616ae</t>
  </si>
  <si>
    <t>2026-06-02 07:27:09</t>
  </si>
  <si>
    <t>27721683185</t>
  </si>
  <si>
    <t>14501989</t>
  </si>
  <si>
    <t>1bd2f7c6-74ea-41d2-99fc-c07922c03c1f</t>
  </si>
  <si>
    <t>27608489415</t>
  </si>
  <si>
    <t>14501990</t>
  </si>
  <si>
    <t>7916a359-484a-48e6-9b9b-1e468386b8fe</t>
  </si>
  <si>
    <t>27647925766</t>
  </si>
  <si>
    <t>14502025</t>
  </si>
  <si>
    <t>b88b98c6-9eec-4e3b-aa94-bac6d076b36c</t>
  </si>
  <si>
    <t>27722125511</t>
  </si>
  <si>
    <t>2026-06-02 07:26:29</t>
  </si>
  <si>
    <t>14501987</t>
  </si>
  <si>
    <t>4b9c7a68-2e9e-4397-bd2e-6c60146c04db</t>
  </si>
  <si>
    <t>2026-06-02 07:26:20</t>
  </si>
  <si>
    <t>27725610821</t>
  </si>
  <si>
    <t>14501986</t>
  </si>
  <si>
    <t>eeca9306-a2f9-4897-8cb1-de283925a8f5</t>
  </si>
  <si>
    <t>2026-06-02 07:26:08</t>
  </si>
  <si>
    <t>27725966511</t>
  </si>
  <si>
    <t>14502789</t>
  </si>
  <si>
    <t>0369fe51-010b-4140-a589-003ee938c212</t>
  </si>
  <si>
    <t>2026-06-02 07:26:00</t>
  </si>
  <si>
    <t>27648680036</t>
  </si>
  <si>
    <t>14501985</t>
  </si>
  <si>
    <t>63b253fe-0f85-4264-a4e8-28fe28c240c2</t>
  </si>
  <si>
    <t>27818220952</t>
  </si>
  <si>
    <t>2026-06-02 07:25:57</t>
  </si>
  <si>
    <t>14501984</t>
  </si>
  <si>
    <t>298bdf4f-7c5b-4f3f-acd5-192a2aabbaed</t>
  </si>
  <si>
    <t>2026-06-02 07:25:54</t>
  </si>
  <si>
    <t>27839686506</t>
  </si>
  <si>
    <t>14501980</t>
  </si>
  <si>
    <t>aa35b99d-4fc1-4ed4-8026-a4399ff0342a</t>
  </si>
  <si>
    <t>2026-06-02 07:25:53</t>
  </si>
  <si>
    <t>27636068842</t>
  </si>
  <si>
    <t>14501982</t>
  </si>
  <si>
    <t>d75fff6f-cc9b-4e3c-8f2b-966b2dc5bc0f</t>
  </si>
  <si>
    <t>27797007425</t>
  </si>
  <si>
    <t>14501983</t>
  </si>
  <si>
    <t>90abdff6-08ef-4e40-ad55-02a11635cb71</t>
  </si>
  <si>
    <t>27606050616</t>
  </si>
  <si>
    <t>14501978</t>
  </si>
  <si>
    <t>85b2e9c7-ebfd-424f-895a-b936df8844b0</t>
  </si>
  <si>
    <t>2026-06-02 07:25:39</t>
  </si>
  <si>
    <t>27637095739</t>
  </si>
  <si>
    <t>14502082</t>
  </si>
  <si>
    <t>38101fb1-bd74-4178-852b-663b07f9b48f</t>
  </si>
  <si>
    <t>27712837088</t>
  </si>
  <si>
    <t>2026-06-02 07:25:14</t>
  </si>
  <si>
    <t>14502090</t>
  </si>
  <si>
    <t>b7c98b9d-3025-41d8-9859-daae4648b86b</t>
  </si>
  <si>
    <t>2026-06-02 07:25:08</t>
  </si>
  <si>
    <t>27729772096</t>
  </si>
  <si>
    <t>14502087</t>
  </si>
  <si>
    <t>f0829cd6-ee7e-454b-a7c0-b6cafcb3d69b</t>
  </si>
  <si>
    <t>27769747466</t>
  </si>
  <si>
    <t>2026-06-02 07:25:07</t>
  </si>
  <si>
    <t>14502088</t>
  </si>
  <si>
    <t>b51f2177-bd0a-47e9-9f90-08c01d20c3f6</t>
  </si>
  <si>
    <t>27765483661</t>
  </si>
  <si>
    <t>14502089</t>
  </si>
  <si>
    <t>9a57350a-a03f-46a2-92a1-fe1c078cb51d</t>
  </si>
  <si>
    <t>27663724173</t>
  </si>
  <si>
    <t>14502086</t>
  </si>
  <si>
    <t>32f6ee7f-a166-41c3-969d-42fd3baf8b52</t>
  </si>
  <si>
    <t>2026-06-02 07:25:06</t>
  </si>
  <si>
    <t>27716536457</t>
  </si>
  <si>
    <t>14502085</t>
  </si>
  <si>
    <t>588f7c83-f3a5-4017-a4ad-75deabdf4a1b</t>
  </si>
  <si>
    <t>2026-06-02 07:25:05</t>
  </si>
  <si>
    <t>27827331128</t>
  </si>
  <si>
    <t>14502084</t>
  </si>
  <si>
    <t>0826b22c-2a27-450c-b716-3a26291d364e</t>
  </si>
  <si>
    <t>2026-06-02 07:24:52</t>
  </si>
  <si>
    <t>27609096530</t>
  </si>
  <si>
    <t>14502083</t>
  </si>
  <si>
    <t>6af20258-37bc-4f69-816b-b0da75cf6459</t>
  </si>
  <si>
    <t>2026-06-02 07:24:51</t>
  </si>
  <si>
    <t>27761177658</t>
  </si>
  <si>
    <t>14502080</t>
  </si>
  <si>
    <t>0dfa3d97-de00-4cc8-b48b-917171bbe8c9</t>
  </si>
  <si>
    <t>27647970597</t>
  </si>
  <si>
    <t>2026-06-02 07:24:46</t>
  </si>
  <si>
    <t>14502078</t>
  </si>
  <si>
    <t>da5d6039-9cfc-4e60-a36f-38b1a6c9327c</t>
  </si>
  <si>
    <t>2026-06-02 07:24:45</t>
  </si>
  <si>
    <t>27793935715</t>
  </si>
  <si>
    <t>14502079</t>
  </si>
  <si>
    <t>fa12c6b2-894d-4893-b782-53c307c548b8</t>
  </si>
  <si>
    <t>27727636540</t>
  </si>
  <si>
    <t>14502077</t>
  </si>
  <si>
    <t>1bf4fb2a-7468-419a-bb2b-8cf54dd1708c</t>
  </si>
  <si>
    <t>2026-06-02 07:24:19</t>
  </si>
  <si>
    <t>27822553041</t>
  </si>
  <si>
    <t>14502076</t>
  </si>
  <si>
    <t>9d4dcc60-a85d-4d7c-8fd3-8b59e6b20245</t>
  </si>
  <si>
    <t>27722880542</t>
  </si>
  <si>
    <t>2026-06-02 07:24:06</t>
  </si>
  <si>
    <t>14502074</t>
  </si>
  <si>
    <t>9747347f-fc69-4b99-a522-c6d0868c6b96</t>
  </si>
  <si>
    <t>27760709980</t>
  </si>
  <si>
    <t>2026-06-02 07:24:03</t>
  </si>
  <si>
    <t>14502075</t>
  </si>
  <si>
    <t>ff47a1f1-a223-45a5-9c5e-dc541a04511d</t>
  </si>
  <si>
    <t>27716141025</t>
  </si>
  <si>
    <t>14502069</t>
  </si>
  <si>
    <t>4da4268c-abab-4f0a-adf1-96319ea7ce12</t>
  </si>
  <si>
    <t>27712916699</t>
  </si>
  <si>
    <t>2026-06-02 07:23:33</t>
  </si>
  <si>
    <t>14502073</t>
  </si>
  <si>
    <t>5d30de31-e393-44af-9b2e-e7134ac24326</t>
  </si>
  <si>
    <t>27673910604</t>
  </si>
  <si>
    <t>2026-06-02 07:23:23</t>
  </si>
  <si>
    <t>14502072</t>
  </si>
  <si>
    <t>abe47fbe-9cab-42c2-bd0e-d1afb80f0215</t>
  </si>
  <si>
    <t>2026-06-02 07:23:19</t>
  </si>
  <si>
    <t>27788000150</t>
  </si>
  <si>
    <t>14502071</t>
  </si>
  <si>
    <t>bc6623de-7d30-4aaa-ba7b-0f2d8fc81a60</t>
  </si>
  <si>
    <t>2026-06-02 07:23:18</t>
  </si>
  <si>
    <t>27637590019</t>
  </si>
  <si>
    <t>14502056</t>
  </si>
  <si>
    <t>d9b0f716-55df-4dba-a8a0-67638552289d</t>
  </si>
  <si>
    <t>27791530604</t>
  </si>
  <si>
    <t>2026-06-02 07:23:13</t>
  </si>
  <si>
    <t>14502067</t>
  </si>
  <si>
    <t>4bc1735b-b253-4825-8b7c-1c7369fc4a7a</t>
  </si>
  <si>
    <t>2026-06-02 07:23:09</t>
  </si>
  <si>
    <t>27793501814</t>
  </si>
  <si>
    <t>14502068</t>
  </si>
  <si>
    <t>53d0272f-2f9a-46fb-ba56-ccc05dca8e9e</t>
  </si>
  <si>
    <t>27790276462</t>
  </si>
  <si>
    <t>14502065</t>
  </si>
  <si>
    <t>d5f0761c-2d58-4def-a533-0821912289d1</t>
  </si>
  <si>
    <t>2026-06-02 07:23:08</t>
  </si>
  <si>
    <t>27827361677</t>
  </si>
  <si>
    <t>14502066</t>
  </si>
  <si>
    <t>3d5c6421-db00-448a-b1ac-b372e3960cd7</t>
  </si>
  <si>
    <t>27792736882</t>
  </si>
  <si>
    <t>14502064</t>
  </si>
  <si>
    <t>34c2529e-b94d-46f1-96b2-d340baca7c99</t>
  </si>
  <si>
    <t>2026-06-02 07:23:00</t>
  </si>
  <si>
    <t>27762145054</t>
  </si>
  <si>
    <t>14502062</t>
  </si>
  <si>
    <t>52612172-8bf8-4092-8f09-f0b0084d5049</t>
  </si>
  <si>
    <t>2026-06-02 07:22:46</t>
  </si>
  <si>
    <t>27664099973</t>
  </si>
  <si>
    <t>14502061</t>
  </si>
  <si>
    <t>e6190613-cd7d-4ab8-9580-31ae380114c2</t>
  </si>
  <si>
    <t>2026-06-02 07:22:30</t>
  </si>
  <si>
    <t>27766700890</t>
  </si>
  <si>
    <t>14502059</t>
  </si>
  <si>
    <t>7a0ffa11-3688-4b69-87e9-b076fa93a4ec</t>
  </si>
  <si>
    <t>2026-06-02 07:22:23</t>
  </si>
  <si>
    <t>27828170988</t>
  </si>
  <si>
    <t>14502058</t>
  </si>
  <si>
    <t>7935e7dc-ab02-4c00-9f3b-047e4dbaa6cf</t>
  </si>
  <si>
    <t>2026-06-02 07:22:11</t>
  </si>
  <si>
    <t>27798491182</t>
  </si>
  <si>
    <t>14502057</t>
  </si>
  <si>
    <t>534ea048-9119-44b8-b88b-c28c4e0fe85e</t>
  </si>
  <si>
    <t>2026-06-02 07:21:50</t>
  </si>
  <si>
    <t>27661858796</t>
  </si>
  <si>
    <t>14502870</t>
  </si>
  <si>
    <t>efe384db-c052-4dad-97ee-c0e9ad146bab</t>
  </si>
  <si>
    <t>27796972749</t>
  </si>
  <si>
    <t>2026-06-02 07:21:37</t>
  </si>
  <si>
    <t>14502055</t>
  </si>
  <si>
    <t>5a6f2097-d97d-44a7-92a2-acff903b7fc2</t>
  </si>
  <si>
    <t>2026-06-02 07:21:13</t>
  </si>
  <si>
    <t>27823551351</t>
  </si>
  <si>
    <t>14502040</t>
  </si>
  <si>
    <t>34e79482-adc1-4ab6-a0ef-f7bc91e1a809</t>
  </si>
  <si>
    <t>2026-06-02 07:21:07</t>
  </si>
  <si>
    <t>27713368041</t>
  </si>
  <si>
    <t>14502039</t>
  </si>
  <si>
    <t>0326d685-8f52-42e4-a62a-f19def45b0a1</t>
  </si>
  <si>
    <t>2026-06-02 07:21:05</t>
  </si>
  <si>
    <t>27606675066</t>
  </si>
  <si>
    <t>14501993</t>
  </si>
  <si>
    <t>5ea720b0-cecd-403a-af36-bb3e847c1489</t>
  </si>
  <si>
    <t>27796310181</t>
  </si>
  <si>
    <t>2026-06-02 07:21:01</t>
  </si>
  <si>
    <t>14502033</t>
  </si>
  <si>
    <t>78bb410a-87bc-4117-839f-254854aa3872</t>
  </si>
  <si>
    <t>27764783424</t>
  </si>
  <si>
    <t>14502034</t>
  </si>
  <si>
    <t>c4b265d4-cf88-4a88-8eeb-15fb4c6d190a</t>
  </si>
  <si>
    <t>27793794549</t>
  </si>
  <si>
    <t>14502036</t>
  </si>
  <si>
    <t>36a2d3e9-b0f1-452c-845e-8fe6bc8c9069</t>
  </si>
  <si>
    <t>27767311803</t>
  </si>
  <si>
    <t>14502037</t>
  </si>
  <si>
    <t>48a5bcd6-4a3c-4210-ae29-074776be510f</t>
  </si>
  <si>
    <t>27648314967</t>
  </si>
  <si>
    <t>14502038</t>
  </si>
  <si>
    <t>d4919214-b0d5-4e29-8a19-87e5c1fa60f8</t>
  </si>
  <si>
    <t>27825118598</t>
  </si>
  <si>
    <t>14502035</t>
  </si>
  <si>
    <t>6e3a3f55-af7f-4b6b-af1d-c45774471c7f</t>
  </si>
  <si>
    <t>2026-06-02 07:21:00</t>
  </si>
  <si>
    <t>27766438494</t>
  </si>
  <si>
    <t>14502023</t>
  </si>
  <si>
    <t>d82878b3-0d02-45ff-974f-b1339da6cf67</t>
  </si>
  <si>
    <t>27606102718</t>
  </si>
  <si>
    <t>2026-06-02 07:20:27</t>
  </si>
  <si>
    <t>14502021</t>
  </si>
  <si>
    <t>a419bc05-bbae-4d90-a6d2-35a31eaba158</t>
  </si>
  <si>
    <t>27844166252</t>
  </si>
  <si>
    <t>2026-06-02 07:20:14</t>
  </si>
  <si>
    <t>14502029</t>
  </si>
  <si>
    <t>8cce82f7-d7e4-42f3-8498-1ac456e0e95b</t>
  </si>
  <si>
    <t>27729909718</t>
  </si>
  <si>
    <t>2026-06-02 07:19:59</t>
  </si>
  <si>
    <t>14502030</t>
  </si>
  <si>
    <t>f4e314a1-86ad-4272-bc27-d819c89ce0b2</t>
  </si>
  <si>
    <t>27823697322</t>
  </si>
  <si>
    <t>14502024</t>
  </si>
  <si>
    <t>b7cb8d04-ac5e-467a-a5f0-e7d48a97811e</t>
  </si>
  <si>
    <t>2026-06-02 07:19:58</t>
  </si>
  <si>
    <t>27726762269</t>
  </si>
  <si>
    <t>14502028</t>
  </si>
  <si>
    <t>bbc9ce90-6e0c-4315-8182-9dc935ddad37</t>
  </si>
  <si>
    <t>27762263794</t>
  </si>
  <si>
    <t>14502022</t>
  </si>
  <si>
    <t>9e6d0b6f-f049-4862-ad23-70648467a3ff</t>
  </si>
  <si>
    <t>2026-06-02 07:19:57</t>
  </si>
  <si>
    <t>27791041850</t>
  </si>
  <si>
    <t>14502031</t>
  </si>
  <si>
    <t>b7f5c917-ea0d-4f25-9b21-bb861878f797</t>
  </si>
  <si>
    <t>2026-06-02 07:19:56</t>
  </si>
  <si>
    <t>27783851350</t>
  </si>
  <si>
    <t>14502020</t>
  </si>
  <si>
    <t>2cdf33ec-02fd-4199-80d2-21cea5a66606</t>
  </si>
  <si>
    <t>2026-06-02 07:19:45</t>
  </si>
  <si>
    <t>27724430553</t>
  </si>
  <si>
    <t>14502018</t>
  </si>
  <si>
    <t>78f1741a-7692-41d2-907a-5edca0be053e</t>
  </si>
  <si>
    <t>2026-06-02 07:19:42</t>
  </si>
  <si>
    <t>27715087440</t>
  </si>
  <si>
    <t>14502017</t>
  </si>
  <si>
    <t>c05b47c3-f086-4e36-a095-d5438bdd0480</t>
  </si>
  <si>
    <t>2026-06-02 07:19:37</t>
  </si>
  <si>
    <t>27724962748</t>
  </si>
  <si>
    <t>14502012</t>
  </si>
  <si>
    <t>b4fab630-ea13-43a2-8936-91f604f1aebe</t>
  </si>
  <si>
    <t>27796882315</t>
  </si>
  <si>
    <t>2026-06-02 07:19:24</t>
  </si>
  <si>
    <t>14502013</t>
  </si>
  <si>
    <t>e2eada6c-1b14-44f9-8b4d-a8f79315d1ef</t>
  </si>
  <si>
    <t>27637586480</t>
  </si>
  <si>
    <t>14502014</t>
  </si>
  <si>
    <t>4564a352-09f6-420b-948d-4f22aa45375c</t>
  </si>
  <si>
    <t>27711109227</t>
  </si>
  <si>
    <t>14502011</t>
  </si>
  <si>
    <t>9d23db70-eb37-4915-9acb-3218347ccc4f</t>
  </si>
  <si>
    <t>2026-06-02 07:18:30</t>
  </si>
  <si>
    <t>27649888530</t>
  </si>
  <si>
    <t>14502008</t>
  </si>
  <si>
    <t>471ec34f-2120-4ab9-82fe-0398a412bce0</t>
  </si>
  <si>
    <t>2026-06-02 07:18:08</t>
  </si>
  <si>
    <t>27762956089</t>
  </si>
  <si>
    <t>14502010</t>
  </si>
  <si>
    <t>4decbd8c-4ed6-4ae1-b66d-621dbb310e41</t>
  </si>
  <si>
    <t>27725981001</t>
  </si>
  <si>
    <t>14502007</t>
  </si>
  <si>
    <t>6b9f9dd1-a794-4bb2-bb1d-60408d90496f</t>
  </si>
  <si>
    <t>27818436277</t>
  </si>
  <si>
    <t>2026-06-02 07:17:40</t>
  </si>
  <si>
    <t>14502006</t>
  </si>
  <si>
    <t>bad04a34-ecd0-4351-b9fb-7ded9835426a</t>
  </si>
  <si>
    <t>27711965351</t>
  </si>
  <si>
    <t>2026-06-02 07:17:33</t>
  </si>
  <si>
    <t>14502004</t>
  </si>
  <si>
    <t>33f1897e-ea82-4068-8ba0-7e625380b2eb</t>
  </si>
  <si>
    <t>2026-06-02 07:17:16</t>
  </si>
  <si>
    <t>27766933131</t>
  </si>
  <si>
    <t>14502005</t>
  </si>
  <si>
    <t>5203b225-5742-4ab2-90c7-cffca3b4c975</t>
  </si>
  <si>
    <t>27711453130</t>
  </si>
  <si>
    <t>14502003</t>
  </si>
  <si>
    <t>5db72732-20c9-486e-b731-22cf5c1c0384</t>
  </si>
  <si>
    <t>2026-06-02 07:17:11</t>
  </si>
  <si>
    <t>27725579771</t>
  </si>
  <si>
    <t>14502002</t>
  </si>
  <si>
    <t>ad0ce5f8-4649-4949-bd34-91468640fd26</t>
  </si>
  <si>
    <t>2026-06-02 07:17:07</t>
  </si>
  <si>
    <t>27769708695</t>
  </si>
  <si>
    <t>14502000</t>
  </si>
  <si>
    <t>7f86bc51-6d7f-4c9f-8971-f9d2641710ad</t>
  </si>
  <si>
    <t>2026-06-02 07:17:01</t>
  </si>
  <si>
    <t>27760958353</t>
  </si>
  <si>
    <t>14501997</t>
  </si>
  <si>
    <t>1a0a1136-77e7-4dec-881d-b6de5ffb640e</t>
  </si>
  <si>
    <t>2026-06-02 07:17:00</t>
  </si>
  <si>
    <t>27712767803</t>
  </si>
  <si>
    <t>14501998</t>
  </si>
  <si>
    <t>c35b90c4-f2af-4b1b-860e-e8dec6bf9170</t>
  </si>
  <si>
    <t>27795446506</t>
  </si>
  <si>
    <t>14501999</t>
  </si>
  <si>
    <t>b8c63af4-f8ad-4cf3-bedf-632af0dd2cd0</t>
  </si>
  <si>
    <t>27796552972</t>
  </si>
  <si>
    <t>14501996</t>
  </si>
  <si>
    <t>0fe88f82-4683-4d12-925e-afd8091035dd</t>
  </si>
  <si>
    <t>2026-06-02 07:16:50</t>
  </si>
  <si>
    <t>27716533176</t>
  </si>
  <si>
    <t>14501994</t>
  </si>
  <si>
    <t>263f0bc4-132e-4b79-9dff-25ddc8e130a3</t>
  </si>
  <si>
    <t>2026-06-02 07:16:42</t>
  </si>
  <si>
    <t>27729688954</t>
  </si>
  <si>
    <t>14501995</t>
  </si>
  <si>
    <t>a3b308bb-e9cb-4dc1-a00f-771bbd2877c3</t>
  </si>
  <si>
    <t>27726500721</t>
  </si>
  <si>
    <t>14502054</t>
  </si>
  <si>
    <t>8790d400-f6a3-4da3-b60a-2887a7c652b8</t>
  </si>
  <si>
    <t>2026-06-02 07:16:11</t>
  </si>
  <si>
    <t>27761068292</t>
  </si>
  <si>
    <t>14502052</t>
  </si>
  <si>
    <t>53e480a2-bc54-493b-8bf7-e4f067dc56e3</t>
  </si>
  <si>
    <t>2026-06-02 07:15:55</t>
  </si>
  <si>
    <t>27722989588</t>
  </si>
  <si>
    <t>14502053</t>
  </si>
  <si>
    <t>c0c63057-5c9d-4f15-ba25-6fa93f4aea8a</t>
  </si>
  <si>
    <t>27649903499</t>
  </si>
  <si>
    <t>14502801</t>
  </si>
  <si>
    <t>722c6970-c3fb-469d-91cc-e619550ae51b</t>
  </si>
  <si>
    <t>27729201627</t>
  </si>
  <si>
    <t>2026-06-02 07:15:42</t>
  </si>
  <si>
    <t>14502051</t>
  </si>
  <si>
    <t>65aba63b-38da-43bc-bc0b-bb27c3df2385</t>
  </si>
  <si>
    <t>27848242913</t>
  </si>
  <si>
    <t>2026-06-02 07:15:25</t>
  </si>
  <si>
    <t>14502050</t>
  </si>
  <si>
    <t>9815c40f-f69b-43f6-bc5c-8482eb07494d</t>
  </si>
  <si>
    <t>2026-06-02 07:15:24</t>
  </si>
  <si>
    <t>27661705733</t>
  </si>
  <si>
    <t>14502048</t>
  </si>
  <si>
    <t>5cb003e7-8993-42b2-9e96-10d895ea5086</t>
  </si>
  <si>
    <t>2026-06-02 07:15:23</t>
  </si>
  <si>
    <t>27799614420</t>
  </si>
  <si>
    <t>14502045</t>
  </si>
  <si>
    <t>d8c177e4-38bc-4496-9d97-9ac59dad8ce7</t>
  </si>
  <si>
    <t>2026-06-02 07:15:21</t>
  </si>
  <si>
    <t>27790834213</t>
  </si>
  <si>
    <t>14502046</t>
  </si>
  <si>
    <t>5c7a63b3-32c7-4303-b5ca-24218c1bb43a</t>
  </si>
  <si>
    <t>27790452295</t>
  </si>
  <si>
    <t>14502047</t>
  </si>
  <si>
    <t>0edf0074-448c-412e-b7c5-c5cce1cbb614</t>
  </si>
  <si>
    <t>27799281507</t>
  </si>
  <si>
    <t>14502043</t>
  </si>
  <si>
    <t>926d24cd-5751-447f-b52e-8a5797783911</t>
  </si>
  <si>
    <t>2026-06-02 07:15:18</t>
  </si>
  <si>
    <t>27607326344</t>
  </si>
  <si>
    <t>14502044</t>
  </si>
  <si>
    <t>02351463-b1f8-4e1a-b0cf-f79f3b79047e</t>
  </si>
  <si>
    <t>27826472920</t>
  </si>
  <si>
    <t>14502042</t>
  </si>
  <si>
    <t>56fdb3b3-1153-4b69-8dce-e4da8d06cd34</t>
  </si>
  <si>
    <t>2026-06-02 07:15:02</t>
  </si>
  <si>
    <t>27794256068</t>
  </si>
  <si>
    <t>14502041</t>
  </si>
  <si>
    <t>390747d6-0294-455b-993e-e0631df27ad1</t>
  </si>
  <si>
    <t>2026-06-02 07:15:01</t>
  </si>
  <si>
    <t>27728871511</t>
  </si>
  <si>
    <t>14502154</t>
  </si>
  <si>
    <t>7702d8a5-7ea9-4924-afc0-93bb6ed75ca7</t>
  </si>
  <si>
    <t>27660064655</t>
  </si>
  <si>
    <t>2026-06-02 07:14:53</t>
  </si>
  <si>
    <t>14502161</t>
  </si>
  <si>
    <t>f7573f06-d314-4d59-a2e4-e09bdeffa73d</t>
  </si>
  <si>
    <t>2026-06-02 07:14:20</t>
  </si>
  <si>
    <t>27724809350</t>
  </si>
  <si>
    <t>14502164</t>
  </si>
  <si>
    <t>c0e542d2-bc98-41f1-bc91-eb8b268ec57f</t>
  </si>
  <si>
    <t>27795679332</t>
  </si>
  <si>
    <t>14502160</t>
  </si>
  <si>
    <t>ed6b1801-7161-4b82-8746-3a81186c07bb</t>
  </si>
  <si>
    <t>27724239264</t>
  </si>
  <si>
    <t>2026-06-02 07:14:09</t>
  </si>
  <si>
    <t>14502158</t>
  </si>
  <si>
    <t>8fcc04f1-0514-4e74-9d95-91c7fa4b1220</t>
  </si>
  <si>
    <t>2026-06-02 07:14:05</t>
  </si>
  <si>
    <t>27761979429</t>
  </si>
  <si>
    <t>14502157</t>
  </si>
  <si>
    <t>0e259822-6743-4cd4-abb9-09754b582ba7</t>
  </si>
  <si>
    <t>27843580696</t>
  </si>
  <si>
    <t>2026-06-02 07:13:56</t>
  </si>
  <si>
    <t>14502155</t>
  </si>
  <si>
    <t>132e95a0-c9f7-486d-8b12-a23bc36d8d99</t>
  </si>
  <si>
    <t>27716199576</t>
  </si>
  <si>
    <t>2026-06-02 07:13:51</t>
  </si>
  <si>
    <t>14502156</t>
  </si>
  <si>
    <t>acd92787-eff3-4af0-84f5-da95565652e1</t>
  </si>
  <si>
    <t>27790464634</t>
  </si>
  <si>
    <t>14502849</t>
  </si>
  <si>
    <t>6df7d90f-78d8-4ff4-a69f-e574ce53ac8e</t>
  </si>
  <si>
    <t>27767305443</t>
  </si>
  <si>
    <t>2026-06-02 07:13:19</t>
  </si>
  <si>
    <t>14502151</t>
  </si>
  <si>
    <t>776976e7-4f21-4ad1-a1c6-e8b33e950ca1</t>
  </si>
  <si>
    <t>27796646338</t>
  </si>
  <si>
    <t>2026-06-02 07:13:02</t>
  </si>
  <si>
    <t>14502152</t>
  </si>
  <si>
    <t>c1e61b7f-2492-4608-886b-ff77ec85497a</t>
  </si>
  <si>
    <t>27722944700</t>
  </si>
  <si>
    <t>14502153</t>
  </si>
  <si>
    <t>ef7ad5c9-98c6-46ba-b628-899b1a22d158</t>
  </si>
  <si>
    <t>27660800611</t>
  </si>
  <si>
    <t>14502863</t>
  </si>
  <si>
    <t>6f434b03-5d35-43df-93ef-64ce4d18c8bb</t>
  </si>
  <si>
    <t>27648320763</t>
  </si>
  <si>
    <t>14502149</t>
  </si>
  <si>
    <t>2511b7d0-ecd1-41a4-94fa-6fec112e50c6</t>
  </si>
  <si>
    <t>2026-06-02 07:13:01</t>
  </si>
  <si>
    <t>27795071704</t>
  </si>
  <si>
    <t>14502148</t>
  </si>
  <si>
    <t>d124ef1e-6a68-4eab-afff-b9ab9d614c0a</t>
  </si>
  <si>
    <t>27791880689</t>
  </si>
  <si>
    <t>2026-06-02 07:12:53</t>
  </si>
  <si>
    <t>14502147</t>
  </si>
  <si>
    <t>2a6c57a7-f5f5-4388-a140-19ecb8aa90fd</t>
  </si>
  <si>
    <t>2026-06-02 07:12:47</t>
  </si>
  <si>
    <t>27711523293</t>
  </si>
  <si>
    <t>14502146</t>
  </si>
  <si>
    <t>c5388ef6-8fb4-4b99-b22f-c0c581dd8324</t>
  </si>
  <si>
    <t>2026-06-02 07:12:46</t>
  </si>
  <si>
    <t>27764708890</t>
  </si>
  <si>
    <t>14502143</t>
  </si>
  <si>
    <t>44b6ccd2-25c2-41c4-8b72-0fbd99013f48</t>
  </si>
  <si>
    <t>2026-06-02 07:12:41</t>
  </si>
  <si>
    <t>27765687907</t>
  </si>
  <si>
    <t>14502144</t>
  </si>
  <si>
    <t>f440620c-5e3c-445d-a392-1fb63959deeb</t>
  </si>
  <si>
    <t>27729332016</t>
  </si>
  <si>
    <t>14502138</t>
  </si>
  <si>
    <t>2a34446c-ffde-4733-bb88-488d95f2edf5</t>
  </si>
  <si>
    <t>2026-06-02 07:12:40</t>
  </si>
  <si>
    <t>27732855598</t>
  </si>
  <si>
    <t>14502140</t>
  </si>
  <si>
    <t>507bdcf7-c81b-43b3-a9ae-4fdab7df15d7</t>
  </si>
  <si>
    <t>27725679952</t>
  </si>
  <si>
    <t>14502141</t>
  </si>
  <si>
    <t>eec34d84-cf73-4f66-abe3-0e5a6c9774fe</t>
  </si>
  <si>
    <t>27715697490</t>
  </si>
  <si>
    <t>14502142</t>
  </si>
  <si>
    <t>db7831a0-fd14-48c9-8690-6e4feb9030ef</t>
  </si>
  <si>
    <t>27661543243</t>
  </si>
  <si>
    <t>14502838</t>
  </si>
  <si>
    <t>b1a593e0-ee3c-4528-9dc6-0c027548ff0f</t>
  </si>
  <si>
    <t>27766009315</t>
  </si>
  <si>
    <t>14502091</t>
  </si>
  <si>
    <t>aea7e455-8185-4ce7-ad7e-454d12ce6fd9</t>
  </si>
  <si>
    <t>2026-06-02 07:12:36</t>
  </si>
  <si>
    <t>27773722323</t>
  </si>
  <si>
    <t>14502092</t>
  </si>
  <si>
    <t>1c83b909-436b-40de-a378-ad765bd3c9ff</t>
  </si>
  <si>
    <t>27661172734</t>
  </si>
  <si>
    <t>2026-06-02 07:11:21</t>
  </si>
  <si>
    <t>14502847</t>
  </si>
  <si>
    <t>1528574d-a1a6-42ef-9a2b-986a738da864</t>
  </si>
  <si>
    <t>27673874211</t>
  </si>
  <si>
    <t>14502134</t>
  </si>
  <si>
    <t>8da30f35-0a85-44af-80f3-c6b1176e63f2</t>
  </si>
  <si>
    <t>2026-06-02 07:11:08</t>
  </si>
  <si>
    <t>27728398494</t>
  </si>
  <si>
    <t>14502135</t>
  </si>
  <si>
    <t>9c79ff3d-ad2a-48e6-a8d0-d701bab7d1e7</t>
  </si>
  <si>
    <t>27716564026</t>
  </si>
  <si>
    <t>14502136</t>
  </si>
  <si>
    <t>d3cb641a-155d-4b3f-bb0a-1993f1d780f1</t>
  </si>
  <si>
    <t>27794359002</t>
  </si>
  <si>
    <t>14502130</t>
  </si>
  <si>
    <t>d5f63bdf-247b-4208-b6ca-5f29ceeda35c</t>
  </si>
  <si>
    <t>2026-06-02 07:11:07</t>
  </si>
  <si>
    <t>27818015816</t>
  </si>
  <si>
    <t>14502131</t>
  </si>
  <si>
    <t>09df1dde-34a0-4fb8-9197-1e33b5706f8d</t>
  </si>
  <si>
    <t>27637283328</t>
  </si>
  <si>
    <t>14502132</t>
  </si>
  <si>
    <t>b8395c02-3e83-4a89-af9a-5de42bcf8788</t>
  </si>
  <si>
    <t>27726881534</t>
  </si>
  <si>
    <t>14502133</t>
  </si>
  <si>
    <t>c9f78e78-2da0-4fcd-aa75-1722c2c80589</t>
  </si>
  <si>
    <t>27760722966</t>
  </si>
  <si>
    <t>14502094</t>
  </si>
  <si>
    <t>80060bd1-3f30-46d0-8b5b-b4fd92d8597c</t>
  </si>
  <si>
    <t>2026-06-02 07:11:06</t>
  </si>
  <si>
    <t>27826338136</t>
  </si>
  <si>
    <t>14502095</t>
  </si>
  <si>
    <t>66e30716-4ff0-4412-9125-7540e55b20a3</t>
  </si>
  <si>
    <t>27822296794</t>
  </si>
  <si>
    <t>14502866</t>
  </si>
  <si>
    <t>7eea4f13-cd07-498b-a54c-68a11b07f77d</t>
  </si>
  <si>
    <t>27766771664</t>
  </si>
  <si>
    <t>2026-06-02 07:11:00</t>
  </si>
  <si>
    <t>14502103</t>
  </si>
  <si>
    <t>0d420396-b350-4008-9569-6e0ebc405b65</t>
  </si>
  <si>
    <t>2026-06-02 07:01:51</t>
  </si>
  <si>
    <t>27797212346</t>
  </si>
  <si>
    <t>14502851</t>
  </si>
  <si>
    <t>3ebe001d-9eaa-4668-bfe1-7b13fbfa7133</t>
  </si>
  <si>
    <t>27646990297</t>
  </si>
  <si>
    <t>14502101</t>
  </si>
  <si>
    <t>67ab8212-a6b9-4e40-9699-b4b4ff9eea1f</t>
  </si>
  <si>
    <t>27665172385</t>
  </si>
  <si>
    <t>2026-06-02 07:01:50</t>
  </si>
  <si>
    <t>14502102</t>
  </si>
  <si>
    <t>731a496d-b219-48e3-967f-b4fd6222f1de</t>
  </si>
  <si>
    <t>27822934407</t>
  </si>
  <si>
    <t>14502098</t>
  </si>
  <si>
    <t>c4a26618-4029-4a5d-b2d0-86bf16c1f641</t>
  </si>
  <si>
    <t>2026-06-02 07:01:41</t>
  </si>
  <si>
    <t>27820584472</t>
  </si>
  <si>
    <t>14502099</t>
  </si>
  <si>
    <t>7c409e62-e120-4d1d-adbc-544ac4f0145a</t>
  </si>
  <si>
    <t>27722932841</t>
  </si>
  <si>
    <t>14502096</t>
  </si>
  <si>
    <t>43da113b-c7a3-46d0-8a8b-e713c02da843</t>
  </si>
  <si>
    <t>2026-06-02 07:01:40</t>
  </si>
  <si>
    <t>27794806757</t>
  </si>
  <si>
    <t>14502097</t>
  </si>
  <si>
    <t>10b412a7-ab4c-464a-b72c-35b8bc84d1e5</t>
  </si>
  <si>
    <t>27726437120</t>
  </si>
  <si>
    <t>14502110</t>
  </si>
  <si>
    <t>2abd2abd-2791-405a-a00d-75b19b1d92e2</t>
  </si>
  <si>
    <t>27766548438</t>
  </si>
  <si>
    <t>2026-06-02 07:01:20</t>
  </si>
  <si>
    <t>14502129</t>
  </si>
  <si>
    <t>44ec9030-064d-4e84-985c-8b427fd59086</t>
  </si>
  <si>
    <t>27796264302</t>
  </si>
  <si>
    <t>2026-06-02 07:01:02</t>
  </si>
  <si>
    <t>14502128</t>
  </si>
  <si>
    <t>ae4b39b5-3152-4eab-92cc-cdb9a6d3e543</t>
  </si>
  <si>
    <t>2026-06-02 07:00:49</t>
  </si>
  <si>
    <t>27763696463</t>
  </si>
  <si>
    <t>14502127</t>
  </si>
  <si>
    <t>592a4d8b-32f0-4fd9-a2b9-8810ca158fdb</t>
  </si>
  <si>
    <t>2026-06-02 07:00:48</t>
  </si>
  <si>
    <t>27799088723</t>
  </si>
  <si>
    <t>14502123</t>
  </si>
  <si>
    <t>9256e342-39a8-4f7a-8f8d-b28605650b64</t>
  </si>
  <si>
    <t>2026-06-02 07:00:46</t>
  </si>
  <si>
    <t>27795512616</t>
  </si>
  <si>
    <t>14502124</t>
  </si>
  <si>
    <t>4df5a4d3-796d-40b3-9e1c-7aeec5c5c455</t>
  </si>
  <si>
    <t>27727478733</t>
  </si>
  <si>
    <t>14502122</t>
  </si>
  <si>
    <t>a6caee6e-5e3c-490b-8eed-40612bb61cb3</t>
  </si>
  <si>
    <t>2026-06-02 07:00:45</t>
  </si>
  <si>
    <t>27762544638</t>
  </si>
  <si>
    <t>14502120</t>
  </si>
  <si>
    <t>2e87d7f2-aea4-4fb0-aa14-0d000a045e12</t>
  </si>
  <si>
    <t>2026-06-02 07:00:30</t>
  </si>
  <si>
    <t>27774365300</t>
  </si>
  <si>
    <t>14502117</t>
  </si>
  <si>
    <t>fa6266ae-f26f-4cb8-b0b5-77cb6eb10829</t>
  </si>
  <si>
    <t>27761303370</t>
  </si>
  <si>
    <t>2026-06-02 07:00:27</t>
  </si>
  <si>
    <t>14502107</t>
  </si>
  <si>
    <t>5cfbf2a7-24d1-4c91-a791-6a9c7d9fc1ea</t>
  </si>
  <si>
    <t>27761371601</t>
  </si>
  <si>
    <t>2026-06-02 07:00:10</t>
  </si>
  <si>
    <t>14502119</t>
  </si>
  <si>
    <t>3d94b8ca-1850-4e07-8fca-82183bc68c7f</t>
  </si>
  <si>
    <t>27720758360</t>
  </si>
  <si>
    <t>2026-06-02 07:00:02</t>
  </si>
  <si>
    <t>14502854</t>
  </si>
  <si>
    <t>4ccca494-a006-4320-8865-595cbd992b00</t>
  </si>
  <si>
    <t>27727287173</t>
  </si>
  <si>
    <t>14502115</t>
  </si>
  <si>
    <t>1a110dfe-8ba3-48c0-9bb0-ad11c36f54cb</t>
  </si>
  <si>
    <t>2026-06-02 06:59:44</t>
  </si>
  <si>
    <t>27797327612</t>
  </si>
  <si>
    <t>14502116</t>
  </si>
  <si>
    <t>4b75c0c3-8bda-4ed2-be03-098e745e961e</t>
  </si>
  <si>
    <t>2026-06-02 06:59:43</t>
  </si>
  <si>
    <t>27797504407</t>
  </si>
  <si>
    <t>14502114</t>
  </si>
  <si>
    <t>806c1bde-555d-4a1e-bdba-f0eeabb3ad73</t>
  </si>
  <si>
    <t>27711625795</t>
  </si>
  <si>
    <t>2026-06-02 06:59:23</t>
  </si>
  <si>
    <t>14502112</t>
  </si>
  <si>
    <t>dc5009d6-45eb-46ee-b1a5-2fd1dbdf29d5</t>
  </si>
  <si>
    <t>27826785400</t>
  </si>
  <si>
    <t>2026-06-02 06:59:19</t>
  </si>
  <si>
    <t>14502113</t>
  </si>
  <si>
    <t>3730f319-73ae-4039-a1ad-d666376bdbb3</t>
  </si>
  <si>
    <t>27822105163</t>
  </si>
  <si>
    <t>14502111</t>
  </si>
  <si>
    <t>bad63610-2571-4c69-beb8-10e8c89a58fc</t>
  </si>
  <si>
    <t>2026-06-02 06:59:12</t>
  </si>
  <si>
    <t>27732365635</t>
  </si>
  <si>
    <t>14502109</t>
  </si>
  <si>
    <t>725e89d7-10f4-46b0-8104-9c8d65662671</t>
  </si>
  <si>
    <t>2026-06-02 06:59:03</t>
  </si>
  <si>
    <t>27713237026</t>
  </si>
  <si>
    <t>14502105</t>
  </si>
  <si>
    <t>2939ed8d-ccac-446e-906b-9d10cc3c7d82</t>
  </si>
  <si>
    <t>27826066316</t>
  </si>
  <si>
    <t>2026-06-02 06:58:59</t>
  </si>
  <si>
    <t>14502106</t>
  </si>
  <si>
    <t>fb02f9a0-685e-4649-9a65-3118e3fb4e05</t>
  </si>
  <si>
    <t>27824773515</t>
  </si>
  <si>
    <t>14502862</t>
  </si>
  <si>
    <t>b25c93e0-e6d9-43e8-8048-d849f5c158d4</t>
  </si>
  <si>
    <t>27714687766</t>
  </si>
  <si>
    <t>14502165</t>
  </si>
  <si>
    <t>7e09de71-3f59-4c7b-9093-66566942ec9f</t>
  </si>
  <si>
    <t>27799263771</t>
  </si>
  <si>
    <t>2026-06-02 06:58:14</t>
  </si>
  <si>
    <t>14502104</t>
  </si>
  <si>
    <t>f2622813-378c-4d53-b974-222f3c8c9034</t>
  </si>
  <si>
    <t>27609393575</t>
  </si>
  <si>
    <t>2026-06-02 06:57:58</t>
  </si>
  <si>
    <t>14502340</t>
  </si>
  <si>
    <t>02c2cb46-9e14-4c4f-914b-95914f9106d0</t>
  </si>
  <si>
    <t>2026-06-02 06:57:25</t>
  </si>
  <si>
    <t>27713290982</t>
  </si>
  <si>
    <t>14502868</t>
  </si>
  <si>
    <t>51cf0c7a-e839-4707-a892-a835c99d2680</t>
  </si>
  <si>
    <t>27724161756</t>
  </si>
  <si>
    <t>14502336</t>
  </si>
  <si>
    <t>ea65c899-8a74-4e81-b983-cb4e0f65dc87</t>
  </si>
  <si>
    <t>2026-06-02 06:57:11</t>
  </si>
  <si>
    <t>27762189474</t>
  </si>
  <si>
    <t>14502337</t>
  </si>
  <si>
    <t>6ba2e9ee-3b48-4e2d-b995-6273e9e0eeb5</t>
  </si>
  <si>
    <t>27731710271</t>
  </si>
  <si>
    <t>14502339</t>
  </si>
  <si>
    <t>99e91556-2936-494a-9bce-a635fab24a67</t>
  </si>
  <si>
    <t>27818260996</t>
  </si>
  <si>
    <t>14502334</t>
  </si>
  <si>
    <t>012e2132-6398-47c1-8808-22e330152b05</t>
  </si>
  <si>
    <t>2026-06-02 06:57:10</t>
  </si>
  <si>
    <t>27716194847</t>
  </si>
  <si>
    <t>14502335</t>
  </si>
  <si>
    <t>3e78a40b-1c1b-4e6b-80ff-1db08aedc9af</t>
  </si>
  <si>
    <t>27727182875</t>
  </si>
  <si>
    <t>14502333</t>
  </si>
  <si>
    <t>6224d1a4-8b80-4f54-9537-dec664afe5b9</t>
  </si>
  <si>
    <t>27673549693</t>
  </si>
  <si>
    <t>2026-06-02 06:57:03</t>
  </si>
  <si>
    <t>14502328</t>
  </si>
  <si>
    <t>ad5ce5c1-0697-454a-a694-1621adebc479</t>
  </si>
  <si>
    <t>2026-06-02 06:56:48</t>
  </si>
  <si>
    <t>27793138840</t>
  </si>
  <si>
    <t>14502329</t>
  </si>
  <si>
    <t>f03a837e-028e-453f-a582-e2d12b15114a</t>
  </si>
  <si>
    <t>27714058855</t>
  </si>
  <si>
    <t>14502331</t>
  </si>
  <si>
    <t>acaab115-0ab7-4530-aeed-fe6600087d76</t>
  </si>
  <si>
    <t>27712434923</t>
  </si>
  <si>
    <t>14502332</t>
  </si>
  <si>
    <t>85d290ae-ea7f-42b7-8aa0-40af7d1f67ac</t>
  </si>
  <si>
    <t>27762936512</t>
  </si>
  <si>
    <t>14502229</t>
  </si>
  <si>
    <t>c19b771c-c2eb-4c99-803a-d24b693fa25e</t>
  </si>
  <si>
    <t>27726091664</t>
  </si>
  <si>
    <t>2026-06-02 06:56:12</t>
  </si>
  <si>
    <t>14502327</t>
  </si>
  <si>
    <t>ffb2c433-0a29-4d9d-bb2d-3f20d8735be5</t>
  </si>
  <si>
    <t>2026-06-02 06:55:48</t>
  </si>
  <si>
    <t>27829333370</t>
  </si>
  <si>
    <t>14502326</t>
  </si>
  <si>
    <t>cb6eca2a-16b4-4da6-b4d9-d68d1f09a178</t>
  </si>
  <si>
    <t>2026-06-02 06:55:45</t>
  </si>
  <si>
    <t>27761440722</t>
  </si>
  <si>
    <t>14502314</t>
  </si>
  <si>
    <t>03180d23-7992-4c95-be46-1dd6436aa368</t>
  </si>
  <si>
    <t>2026-06-02 06:55:42</t>
  </si>
  <si>
    <t>27606339082</t>
  </si>
  <si>
    <t>14502313</t>
  </si>
  <si>
    <t>e0d16841-5430-4cde-81db-01f8a5a5c435</t>
  </si>
  <si>
    <t>27812565525</t>
  </si>
  <si>
    <t>2026-06-02 06:55:41</t>
  </si>
  <si>
    <t>14502312</t>
  </si>
  <si>
    <t>f85ffc6b-ff40-43ad-9e8c-59b0f5417884</t>
  </si>
  <si>
    <t>2026-06-02 06:55:40</t>
  </si>
  <si>
    <t>27798038690</t>
  </si>
  <si>
    <t>14502802</t>
  </si>
  <si>
    <t>c1d1cb07-ce9b-476a-84a0-01d17763bc89</t>
  </si>
  <si>
    <t>2026-06-02 06:55:31</t>
  </si>
  <si>
    <t>27790714615</t>
  </si>
  <si>
    <t>14502803</t>
  </si>
  <si>
    <t>b7fc9421-ccaf-45dd-9b02-bd13bdb032b1</t>
  </si>
  <si>
    <t>2026-06-02 06:55:30</t>
  </si>
  <si>
    <t>27715228417</t>
  </si>
  <si>
    <t>14502804</t>
  </si>
  <si>
    <t>15519aae-a4f2-44c2-96cb-9b387e87fdce</t>
  </si>
  <si>
    <t>27827407499</t>
  </si>
  <si>
    <t>2026-06-02 06:54:43</t>
  </si>
  <si>
    <t>14502308</t>
  </si>
  <si>
    <t>bba5328f-b6fc-4af2-b9c9-cc1f323c5992</t>
  </si>
  <si>
    <t>27726848058</t>
  </si>
  <si>
    <t>2026-06-02 06:54:31</t>
  </si>
  <si>
    <t>14502307</t>
  </si>
  <si>
    <t>09a38bbc-aeee-4d4d-8890-dcb988c89140</t>
  </si>
  <si>
    <t>2026-06-02 06:54:11</t>
  </si>
  <si>
    <t>27725643384</t>
  </si>
  <si>
    <t>14502309</t>
  </si>
  <si>
    <t>dd9c4f68-028b-449f-b808-258b7535a0e0</t>
  </si>
  <si>
    <t>27762153090</t>
  </si>
  <si>
    <t>14502311</t>
  </si>
  <si>
    <t>b620ca6c-c5f1-4eca-8f91-2f65c15d33b9</t>
  </si>
  <si>
    <t>27716115675</t>
  </si>
  <si>
    <t>14502302</t>
  </si>
  <si>
    <t>f098fb6f-9bcf-4b22-94cb-bc5ab3c1d4f1</t>
  </si>
  <si>
    <t>2026-06-02 06:54:08</t>
  </si>
  <si>
    <t>27665892977</t>
  </si>
  <si>
    <t>14502209</t>
  </si>
  <si>
    <t>cfdd699d-b874-4b9f-b3ae-12ee38ec5a2f</t>
  </si>
  <si>
    <t>27824977518</t>
  </si>
  <si>
    <t>2026-06-02 06:54:02</t>
  </si>
  <si>
    <t>14502208</t>
  </si>
  <si>
    <t>9fb610d8-0a44-47cf-9556-3e836831266d</t>
  </si>
  <si>
    <t>2026-06-02 06:54:01</t>
  </si>
  <si>
    <t>27795981263</t>
  </si>
  <si>
    <t>14502206</t>
  </si>
  <si>
    <t>bddd2dda-799e-491c-8443-46df67d8916a</t>
  </si>
  <si>
    <t>2026-06-02 06:53:50</t>
  </si>
  <si>
    <t>27826267739</t>
  </si>
  <si>
    <t>14502207</t>
  </si>
  <si>
    <t>7b8f2ce4-a491-4653-906c-beb63f9ca450</t>
  </si>
  <si>
    <t>27793442978</t>
  </si>
  <si>
    <t>14502190</t>
  </si>
  <si>
    <t>c935208b-0de4-4591-ac1d-bfdc12aadb63</t>
  </si>
  <si>
    <t>2026-06-02 06:53:36</t>
  </si>
  <si>
    <t>27716480484</t>
  </si>
  <si>
    <t>14502189</t>
  </si>
  <si>
    <t>f5192dac-b1f9-4d32-bb31-34df1f917b10</t>
  </si>
  <si>
    <t>27828360156</t>
  </si>
  <si>
    <t>2026-06-02 06:53:31</t>
  </si>
  <si>
    <t>14502188</t>
  </si>
  <si>
    <t>15dfad2e-9ef3-45e2-a620-8d36fb5cf322</t>
  </si>
  <si>
    <t>2026-06-02 06:53:27</t>
  </si>
  <si>
    <t>27769940756</t>
  </si>
  <si>
    <t>14502805</t>
  </si>
  <si>
    <t>998813bf-599b-4353-9ff3-fa35b4a79177</t>
  </si>
  <si>
    <t>2026-06-02 06:53:22</t>
  </si>
  <si>
    <t>27792728383</t>
  </si>
  <si>
    <t>14502187</t>
  </si>
  <si>
    <t>beb17ce3-8a73-42b7-9506-6a0b18707335</t>
  </si>
  <si>
    <t>27722442665</t>
  </si>
  <si>
    <t>2026-06-02 06:53:20</t>
  </si>
  <si>
    <t>14502301</t>
  </si>
  <si>
    <t>17129559-f028-4987-85c8-ed64f820e8b6</t>
  </si>
  <si>
    <t>27715832139</t>
  </si>
  <si>
    <t>2026-06-02 06:53:15</t>
  </si>
  <si>
    <t>14502298</t>
  </si>
  <si>
    <t>ffdaa86f-5491-4ed9-9458-4edb9a9c7bc5</t>
  </si>
  <si>
    <t>2026-06-02 06:53:07</t>
  </si>
  <si>
    <t>27825160505</t>
  </si>
  <si>
    <t>14502300</t>
  </si>
  <si>
    <t>e6d1dd29-3a5e-40c3-ad8b-e1bba2a37b49</t>
  </si>
  <si>
    <t>27792698639</t>
  </si>
  <si>
    <t>14502297</t>
  </si>
  <si>
    <t>e9b38687-65d5-4733-a795-15a4735a3faa</t>
  </si>
  <si>
    <t>2026-06-02 06:52:29</t>
  </si>
  <si>
    <t>27797140062</t>
  </si>
  <si>
    <t>14502296</t>
  </si>
  <si>
    <t>b78de6f7-c286-4d14-9f5b-09b858992881</t>
  </si>
  <si>
    <t>2026-06-02 06:52:26</t>
  </si>
  <si>
    <t>27663971996</t>
  </si>
  <si>
    <t>14502295</t>
  </si>
  <si>
    <t>f04f83dc-f02f-4b46-a74c-adbd3d4e805f</t>
  </si>
  <si>
    <t>27636706175</t>
  </si>
  <si>
    <t>2026-06-02 06:52:25</t>
  </si>
  <si>
    <t>14502293</t>
  </si>
  <si>
    <t>7a43c20e-8313-4e4d-8ff0-ba4b4045ec9d</t>
  </si>
  <si>
    <t>2026-06-02 06:52:24</t>
  </si>
  <si>
    <t>27606584743</t>
  </si>
  <si>
    <t>14502290</t>
  </si>
  <si>
    <t>99606a4b-7c6d-45bd-8a23-b20eca0726f1</t>
  </si>
  <si>
    <t>2026-06-02 06:52:23</t>
  </si>
  <si>
    <t>27774118953</t>
  </si>
  <si>
    <t>14502291</t>
  </si>
  <si>
    <t>3b3df2f1-9831-4049-90a1-600e3b515103</t>
  </si>
  <si>
    <t>27799248610</t>
  </si>
  <si>
    <t>14502292</t>
  </si>
  <si>
    <t>878e141f-7202-46f2-a562-bf3da5a40116</t>
  </si>
  <si>
    <t>27712430087</t>
  </si>
  <si>
    <t>14502867</t>
  </si>
  <si>
    <t>9e44c718-a7bd-4997-97e9-fa7b0bffe5d1</t>
  </si>
  <si>
    <t>2026-06-02 06:51:58</t>
  </si>
  <si>
    <t>27794601284</t>
  </si>
  <si>
    <t>14502289</t>
  </si>
  <si>
    <t>d7650a32-2e19-44e8-b99f-c305cd094b39</t>
  </si>
  <si>
    <t>2026-06-02 06:51:56</t>
  </si>
  <si>
    <t>27727602421</t>
  </si>
  <si>
    <t>14502288</t>
  </si>
  <si>
    <t>8c605a5b-c812-4806-ac14-15fd54c3edcb</t>
  </si>
  <si>
    <t>2026-06-02 06:51:55</t>
  </si>
  <si>
    <t>27664905503</t>
  </si>
  <si>
    <t>14502286</t>
  </si>
  <si>
    <t>df776235-b826-4c68-94a9-e49e9a7c295b</t>
  </si>
  <si>
    <t>2026-06-02 06:51:53</t>
  </si>
  <si>
    <t>27637847612</t>
  </si>
  <si>
    <t>14502283</t>
  </si>
  <si>
    <t>59615639-f6a3-4d03-9e3d-4fb352734e12</t>
  </si>
  <si>
    <t>2026-06-02 06:51:52</t>
  </si>
  <si>
    <t>27608213931</t>
  </si>
  <si>
    <t>14502284</t>
  </si>
  <si>
    <t>8f4a68ba-9540-4ca6-a599-0212a6151454</t>
  </si>
  <si>
    <t>27665749010</t>
  </si>
  <si>
    <t>14502282</t>
  </si>
  <si>
    <t>40b5976e-5c4e-4141-8d3c-01958533d07f</t>
  </si>
  <si>
    <t>2026-06-02 06:51:50</t>
  </si>
  <si>
    <t>27617260477</t>
  </si>
  <si>
    <t>14502281</t>
  </si>
  <si>
    <t>f47e164b-1aba-4024-9bdd-a2abc2bb4d8f</t>
  </si>
  <si>
    <t>2026-06-02 06:51:41</t>
  </si>
  <si>
    <t>27722457858</t>
  </si>
  <si>
    <t>14502806</t>
  </si>
  <si>
    <t>58da97e8-93c4-44e1-8643-961a424dc54c</t>
  </si>
  <si>
    <t>27664381433</t>
  </si>
  <si>
    <t>14502279</t>
  </si>
  <si>
    <t>3fe3904f-8c2b-4327-821e-91cac5630526</t>
  </si>
  <si>
    <t>2026-06-02 06:51:03</t>
  </si>
  <si>
    <t>27606185778</t>
  </si>
  <si>
    <t>14502280</t>
  </si>
  <si>
    <t>f1c90eca-4891-4482-9846-30f023a47eb7</t>
  </si>
  <si>
    <t>2026-06-02 06:51:02</t>
  </si>
  <si>
    <t>27766127275</t>
  </si>
  <si>
    <t>14502278</t>
  </si>
  <si>
    <t>4336db68-cba5-46e5-963f-a181aa7adfe7</t>
  </si>
  <si>
    <t>2026-06-02 06:50:28</t>
  </si>
  <si>
    <t>27792490254</t>
  </si>
  <si>
    <t>14502275</t>
  </si>
  <si>
    <t>a80383cb-cdce-4d4d-a407-8e589aa10eec</t>
  </si>
  <si>
    <t>27711261609</t>
  </si>
  <si>
    <t>2026-06-02 06:50:27</t>
  </si>
  <si>
    <t>14502276</t>
  </si>
  <si>
    <t>e797a23c-9263-4901-add8-def885c9687a</t>
  </si>
  <si>
    <t>27762361683</t>
  </si>
  <si>
    <t>14502807</t>
  </si>
  <si>
    <t>c1dbe042-65d4-47ec-add3-91dee4e6cfb9</t>
  </si>
  <si>
    <t>2026-06-02 06:50:26</t>
  </si>
  <si>
    <t>27794209245</t>
  </si>
  <si>
    <t>14502233</t>
  </si>
  <si>
    <t>f9313276-73e4-4732-b75c-a0dff7757928</t>
  </si>
  <si>
    <t>2026-06-02 06:49:34</t>
  </si>
  <si>
    <t>27673967011</t>
  </si>
  <si>
    <t>14502234</t>
  </si>
  <si>
    <t>643e2cf3-150f-420f-96f9-e9e01cbceac7</t>
  </si>
  <si>
    <t>27606807230</t>
  </si>
  <si>
    <t>14502230</t>
  </si>
  <si>
    <t>f75f5206-c9fd-4179-809e-a1952ebba679</t>
  </si>
  <si>
    <t>27674353460</t>
  </si>
  <si>
    <t>2026-06-02 06:49:23</t>
  </si>
  <si>
    <t>14502228</t>
  </si>
  <si>
    <t>e198903d-0b31-4990-b7b4-e388a0a17573</t>
  </si>
  <si>
    <t>2026-06-02 06:49:02</t>
  </si>
  <si>
    <t>27724208648</t>
  </si>
  <si>
    <t>14502210</t>
  </si>
  <si>
    <t>14fa7486-8ff6-48ff-89b7-3c8a76f94551</t>
  </si>
  <si>
    <t>2026-06-02 06:49:00</t>
  </si>
  <si>
    <t>27726362136</t>
  </si>
  <si>
    <t>14502211</t>
  </si>
  <si>
    <t>6717443b-13c0-4f63-ac57-365790d226f5</t>
  </si>
  <si>
    <t>27720364809</t>
  </si>
  <si>
    <t>14502216</t>
  </si>
  <si>
    <t>d402a116-c80c-444c-b2de-7eb79b4d8b92</t>
  </si>
  <si>
    <t>2026-06-02 06:47:58</t>
  </si>
  <si>
    <t>27637469944</t>
  </si>
  <si>
    <t>14502225</t>
  </si>
  <si>
    <t>ad614173-b31b-4e43-9d3f-8fb14339e928</t>
  </si>
  <si>
    <t>2026-06-02 06:47:54</t>
  </si>
  <si>
    <t>27797963288</t>
  </si>
  <si>
    <t>14502227</t>
  </si>
  <si>
    <t>da05fac5-f0d9-4cfb-89be-3872c9a2437a</t>
  </si>
  <si>
    <t>27741122611</t>
  </si>
  <si>
    <t>14502222</t>
  </si>
  <si>
    <t>79026c3f-f376-4147-896c-4d604bd8c150</t>
  </si>
  <si>
    <t>27763947691</t>
  </si>
  <si>
    <t>2026-06-02 06:47:53</t>
  </si>
  <si>
    <t>14502223</t>
  </si>
  <si>
    <t>a87c56fd-48ce-4ed0-bfad-c395817af92d</t>
  </si>
  <si>
    <t>27766501992</t>
  </si>
  <si>
    <t>14502226</t>
  </si>
  <si>
    <t>d0a3bf27-0568-48c3-833d-c84ad81ea6ce</t>
  </si>
  <si>
    <t>27761908385</t>
  </si>
  <si>
    <t>14502221</t>
  </si>
  <si>
    <t>2607c2ff-70e5-4356-992b-263c8827f43a</t>
  </si>
  <si>
    <t>2026-06-02 06:47:06</t>
  </si>
  <si>
    <t>27826786162</t>
  </si>
  <si>
    <t>14502865</t>
  </si>
  <si>
    <t>c2c3009a-0701-489f-8bea-890cd7638dd2</t>
  </si>
  <si>
    <t>2026-06-02 06:47:02</t>
  </si>
  <si>
    <t>27636543711</t>
  </si>
  <si>
    <t>14502220</t>
  </si>
  <si>
    <t>636bef03-e58d-452f-abb9-72a6b4bb513c</t>
  </si>
  <si>
    <t>2026-06-02 06:46:57</t>
  </si>
  <si>
    <t>27766953308</t>
  </si>
  <si>
    <t>14502217</t>
  </si>
  <si>
    <t>60cfbd02-e92b-4fa2-992d-051f27c813a9</t>
  </si>
  <si>
    <t>2026-06-02 06:46:56</t>
  </si>
  <si>
    <t>27723793831</t>
  </si>
  <si>
    <t>14502219</t>
  </si>
  <si>
    <t>fcbebbff-e743-47cb-a615-7b695768075d</t>
  </si>
  <si>
    <t>27648830277</t>
  </si>
  <si>
    <t>14502218</t>
  </si>
  <si>
    <t>0adb7c7c-1ab5-43f1-a8df-c7d4b3de9a33</t>
  </si>
  <si>
    <t>2026-06-02 06:46:55</t>
  </si>
  <si>
    <t>27763297735</t>
  </si>
  <si>
    <t>14502212</t>
  </si>
  <si>
    <t>73a14710-4daa-49eb-a234-996de78f924a</t>
  </si>
  <si>
    <t>2026-06-02 06:46:40</t>
  </si>
  <si>
    <t>27711342178</t>
  </si>
  <si>
    <t>14502213</t>
  </si>
  <si>
    <t>cc0392a8-a287-463b-93ab-831e29ff0326</t>
  </si>
  <si>
    <t>27721823092</t>
  </si>
  <si>
    <t>14502214</t>
  </si>
  <si>
    <t>d8b5bf30-8051-4b73-9f53-9ec7d997b6d0</t>
  </si>
  <si>
    <t>27818897023</t>
  </si>
  <si>
    <t>14502215</t>
  </si>
  <si>
    <t>bc275293-6ffe-4fde-9ae5-9c932cc70ab5</t>
  </si>
  <si>
    <t>27766394790</t>
  </si>
  <si>
    <t>14501949</t>
  </si>
  <si>
    <t>8af84414-dc01-4dbc-8ebd-727a4997d8f9</t>
  </si>
  <si>
    <t>27609401991</t>
  </si>
  <si>
    <t>2026-06-02 06:44:07</t>
  </si>
  <si>
    <t>14501925</t>
  </si>
  <si>
    <t>0d8fc797-c933-4de1-ad4f-9f6b8ea9997e</t>
  </si>
  <si>
    <t>2026-06-02 06:40:49</t>
  </si>
  <si>
    <t>27792908959</t>
  </si>
  <si>
    <t>14501926</t>
  </si>
  <si>
    <t>20ef9619-ae9d-4efb-a26a-f2f083ad2355</t>
  </si>
  <si>
    <t>2026-06-02 06:40:45</t>
  </si>
  <si>
    <t>27845060557</t>
  </si>
  <si>
    <t>14501927</t>
  </si>
  <si>
    <t>060135a2-82e9-4796-bc1d-96b98da14f2f</t>
  </si>
  <si>
    <t>27832790498</t>
  </si>
  <si>
    <t>14501948</t>
  </si>
  <si>
    <t>6eaaea04-5ff3-483d-bd16-c3056805c1b0</t>
  </si>
  <si>
    <t>27720608017</t>
  </si>
  <si>
    <t>14502202</t>
  </si>
  <si>
    <t>eb274188-fbc9-4747-aa10-6caaf676408d</t>
  </si>
  <si>
    <t>27827201527</t>
  </si>
  <si>
    <t>2026-06-02 06:38:31</t>
  </si>
  <si>
    <t>14501354</t>
  </si>
  <si>
    <t>7165b3c2-24fe-45cc-bc87-39816453cbce</t>
  </si>
  <si>
    <t>MAYA</t>
  </si>
  <si>
    <t>GWAGWA</t>
  </si>
  <si>
    <t>2026-06-02 06:38:07</t>
  </si>
  <si>
    <t>27742391987</t>
  </si>
  <si>
    <t>14502205</t>
  </si>
  <si>
    <t>9849f40b-e31a-4d56-884f-609b9ade07f4</t>
  </si>
  <si>
    <t>2026-06-02 06:38:06</t>
  </si>
  <si>
    <t>27764701232</t>
  </si>
  <si>
    <t>14502201</t>
  </si>
  <si>
    <t>ecc94cb5-323d-462a-ab08-48ce1eec2856</t>
  </si>
  <si>
    <t>2026-06-02 06:38:04</t>
  </si>
  <si>
    <t>27839793573</t>
  </si>
  <si>
    <t>14502204</t>
  </si>
  <si>
    <t>3451dced-796d-4ac7-bbb7-521842f4252b</t>
  </si>
  <si>
    <t>27723086952</t>
  </si>
  <si>
    <t>14502200</t>
  </si>
  <si>
    <t>d07b9db8-85a3-4281-b0ad-ec5b95bc9e60</t>
  </si>
  <si>
    <t>27793496778</t>
  </si>
  <si>
    <t>2026-06-02 06:38:03</t>
  </si>
  <si>
    <t>14502196</t>
  </si>
  <si>
    <t>e6198a90-a326-42a5-9fd3-57d0313f2330</t>
  </si>
  <si>
    <t>27724291854</t>
  </si>
  <si>
    <t>2026-06-02 06:36:20</t>
  </si>
  <si>
    <t>14502197</t>
  </si>
  <si>
    <t>7bb4f927-2490-450b-a97e-94684c95e2c1</t>
  </si>
  <si>
    <t>27764567850</t>
  </si>
  <si>
    <t>14502198</t>
  </si>
  <si>
    <t>c37736b5-352c-4ef9-b198-18e471ac5204</t>
  </si>
  <si>
    <t>27711104256</t>
  </si>
  <si>
    <t>14502199</t>
  </si>
  <si>
    <t>ca09e93d-dc6f-4ec0-9481-eeb79477c6df</t>
  </si>
  <si>
    <t>27766131914</t>
  </si>
  <si>
    <t>14502442</t>
  </si>
  <si>
    <t>566dd00d-a06c-4ac2-8d32-59dda82d96f7</t>
  </si>
  <si>
    <t>27723973471</t>
  </si>
  <si>
    <t>2026-06-02 06:35:32</t>
  </si>
  <si>
    <t>14502194</t>
  </si>
  <si>
    <t>de0d9c85-d0dc-4ae8-914f-d20077f656bc</t>
  </si>
  <si>
    <t>27768415853</t>
  </si>
  <si>
    <t>2026-06-02 06:35:11</t>
  </si>
  <si>
    <t>14502195</t>
  </si>
  <si>
    <t>ff8fcfc0-46d7-4478-918d-fb5b8495975a</t>
  </si>
  <si>
    <t>27793240275</t>
  </si>
  <si>
    <t>14502193</t>
  </si>
  <si>
    <t>d4ec4f1e-1465-4512-abb4-bc75ebecf373</t>
  </si>
  <si>
    <t>2026-06-02 06:34:49</t>
  </si>
  <si>
    <t>27729919235</t>
  </si>
  <si>
    <t>14502192</t>
  </si>
  <si>
    <t>c0444f2f-80bf-4830-b6cf-4bb41fce7250</t>
  </si>
  <si>
    <t>2026-06-02 06:34:44</t>
  </si>
  <si>
    <t>27794222066</t>
  </si>
  <si>
    <t>14502818</t>
  </si>
  <si>
    <t>47da5fc1-0b86-4f72-98ae-e1f035334311</t>
  </si>
  <si>
    <t>27828137467</t>
  </si>
  <si>
    <t>2026-06-02 06:34:34</t>
  </si>
  <si>
    <t>14502273</t>
  </si>
  <si>
    <t>10fc3a38-3b19-41a7-8f7f-e98e88e4b25f</t>
  </si>
  <si>
    <t>2026-06-02 06:34:29</t>
  </si>
  <si>
    <t>27762862568</t>
  </si>
  <si>
    <t>14502272</t>
  </si>
  <si>
    <t>216269b0-e40d-49f0-8914-310db6d20bdc</t>
  </si>
  <si>
    <t>2026-06-02 06:34:27</t>
  </si>
  <si>
    <t>27661413643</t>
  </si>
  <si>
    <t>14502271</t>
  </si>
  <si>
    <t>ee87536e-258a-4336-b294-0820981189bb</t>
  </si>
  <si>
    <t>2026-06-02 06:34:17</t>
  </si>
  <si>
    <t>27606182694</t>
  </si>
  <si>
    <t>14502270</t>
  </si>
  <si>
    <t>8cb2ae5f-48c1-4c1b-bba3-6876f06d63b1</t>
  </si>
  <si>
    <t>27760922320</t>
  </si>
  <si>
    <t>2026-06-02 06:34:12</t>
  </si>
  <si>
    <t>14501885</t>
  </si>
  <si>
    <t>65acff03-8c03-4d1e-9292-eaec75e6c6f1</t>
  </si>
  <si>
    <t>2026-06-02 06:34:11</t>
  </si>
  <si>
    <t>27797045300</t>
  </si>
  <si>
    <t>14502269</t>
  </si>
  <si>
    <t>9f1f3568-f9c3-467f-846e-6eb7dc11b0b2</t>
  </si>
  <si>
    <t>2026-06-02 06:34:01</t>
  </si>
  <si>
    <t>27714883341</t>
  </si>
  <si>
    <t>14501883</t>
  </si>
  <si>
    <t>f9cfe489-6b02-4ef6-99c8-1190493bb70f</t>
  </si>
  <si>
    <t>2026-06-02 06:33:39</t>
  </si>
  <si>
    <t>27826367088</t>
  </si>
  <si>
    <t>14502268</t>
  </si>
  <si>
    <t>9bc58270-ee08-4b67-a062-47738a71f738</t>
  </si>
  <si>
    <t>2026-06-02 06:33:38</t>
  </si>
  <si>
    <t>27649403084</t>
  </si>
  <si>
    <t>14502267</t>
  </si>
  <si>
    <t>96e78249-ba8e-4d29-b182-a22645bb5eca</t>
  </si>
  <si>
    <t>27793894668</t>
  </si>
  <si>
    <t>2026-06-02 06:33:28</t>
  </si>
  <si>
    <t>14502266</t>
  </si>
  <si>
    <t>b7b9ab1e-1c8c-479c-9180-d3e8475ea0dc</t>
  </si>
  <si>
    <t>2026-06-02 06:33:22</t>
  </si>
  <si>
    <t>27716392174</t>
  </si>
  <si>
    <t>14502265</t>
  </si>
  <si>
    <t>1a79442e-f1ba-4a3b-be49-4888496bd3e0</t>
  </si>
  <si>
    <t>2026-06-02 06:33:20</t>
  </si>
  <si>
    <t>27715097645</t>
  </si>
  <si>
    <t>14502264</t>
  </si>
  <si>
    <t>d5223ba8-5c83-407c-be8a-2d9d28b016a2</t>
  </si>
  <si>
    <t>2026-06-02 06:33:18</t>
  </si>
  <si>
    <t>27790730440</t>
  </si>
  <si>
    <t>14502262</t>
  </si>
  <si>
    <t>d8e8bb6c-dc40-469b-9b48-052daa8c5429</t>
  </si>
  <si>
    <t>2026-06-02 06:33:15</t>
  </si>
  <si>
    <t>27730218527</t>
  </si>
  <si>
    <t>14502261</t>
  </si>
  <si>
    <t>470c611e-d0b8-48d7-b6e8-db9ee8ffe1e7</t>
  </si>
  <si>
    <t>27608446415</t>
  </si>
  <si>
    <t>2026-06-02 06:33:13</t>
  </si>
  <si>
    <t>14502260</t>
  </si>
  <si>
    <t>eda5f34d-c89a-41d4-9736-2e10f08f778c</t>
  </si>
  <si>
    <t>2026-06-02 06:33:10</t>
  </si>
  <si>
    <t>27722128913</t>
  </si>
  <si>
    <t>14502257</t>
  </si>
  <si>
    <t>6b91bc8c-0bc5-4079-b02f-0897073770d8</t>
  </si>
  <si>
    <t>2026-06-02 06:33:07</t>
  </si>
  <si>
    <t>27797089194</t>
  </si>
  <si>
    <t>14502258</t>
  </si>
  <si>
    <t>bdd2e270-4950-465e-9e75-e44f7d4597d1</t>
  </si>
  <si>
    <t>27608258276</t>
  </si>
  <si>
    <t>14502256</t>
  </si>
  <si>
    <t>407b38f6-c282-4ad0-87c6-bd21ee541dd4</t>
  </si>
  <si>
    <t>2026-06-02 06:33:06</t>
  </si>
  <si>
    <t>27661530944</t>
  </si>
  <si>
    <t>14502254</t>
  </si>
  <si>
    <t>ff895883-2983-447b-a096-44ee58044910</t>
  </si>
  <si>
    <t>27724603739</t>
  </si>
  <si>
    <t>2026-06-02 06:31:57</t>
  </si>
  <si>
    <t>14502253</t>
  </si>
  <si>
    <t>35409da7-68d9-40ba-b34f-78ff8373a7c7</t>
  </si>
  <si>
    <t>2026-06-02 06:31:56</t>
  </si>
  <si>
    <t>27824252675</t>
  </si>
  <si>
    <t>14502251</t>
  </si>
  <si>
    <t>1eb165c4-6f84-47dc-a878-a27e6405b5a5</t>
  </si>
  <si>
    <t>2026-06-02 06:31:54</t>
  </si>
  <si>
    <t>27715091537</t>
  </si>
  <si>
    <t>14502252</t>
  </si>
  <si>
    <t>06720e34-0b15-46d1-a275-f47d48183657</t>
  </si>
  <si>
    <t>27715194358</t>
  </si>
  <si>
    <t>14502249</t>
  </si>
  <si>
    <t>3f2a2f1d-a32a-40bc-bda8-1e28c42fec9a</t>
  </si>
  <si>
    <t>2026-06-02 06:31:53</t>
  </si>
  <si>
    <t>27711061522</t>
  </si>
  <si>
    <t>14502250</t>
  </si>
  <si>
    <t>ae139c27-d082-46ae-abe7-4991a81d9d36</t>
  </si>
  <si>
    <t>27767602433</t>
  </si>
  <si>
    <t>14502248</t>
  </si>
  <si>
    <t>24152f16-dc07-471b-a253-19b7553fd5b3</t>
  </si>
  <si>
    <t>2026-06-02 06:31:51</t>
  </si>
  <si>
    <t>27729991777</t>
  </si>
  <si>
    <t>14502247</t>
  </si>
  <si>
    <t>2ed83c47-cdfd-4caa-a49f-b3bd5856792d</t>
  </si>
  <si>
    <t>2026-06-02 06:31:48</t>
  </si>
  <si>
    <t>27637262139</t>
  </si>
  <si>
    <t>14502245</t>
  </si>
  <si>
    <t>a5ee8734-ea8b-4956-b3a5-7c266646a8f7</t>
  </si>
  <si>
    <t>27713879793</t>
  </si>
  <si>
    <t>2026-06-02 06:31:47</t>
  </si>
  <si>
    <t>14502246</t>
  </si>
  <si>
    <t>0b49b64d-947b-4e24-a58a-b2b7d6978615</t>
  </si>
  <si>
    <t>27764486647</t>
  </si>
  <si>
    <t>14502244</t>
  </si>
  <si>
    <t>053e2fb2-2fd9-4f0d-89da-2801cae2a651</t>
  </si>
  <si>
    <t>2026-06-02 06:31:28</t>
  </si>
  <si>
    <t>27796567737</t>
  </si>
  <si>
    <t>14502241</t>
  </si>
  <si>
    <t>7e69f9be-8030-47ca-be54-ff5739695144</t>
  </si>
  <si>
    <t>2026-06-02 06:31:27</t>
  </si>
  <si>
    <t>27767461040</t>
  </si>
  <si>
    <t>14502242</t>
  </si>
  <si>
    <t>d0482cff-d10e-430f-8a6a-a13bb7ab2ceb</t>
  </si>
  <si>
    <t>27790251623</t>
  </si>
  <si>
    <t>14502243</t>
  </si>
  <si>
    <t>9e4329b6-d2d2-4185-9d49-46588a86d8fe</t>
  </si>
  <si>
    <t>27726535795</t>
  </si>
  <si>
    <t>14502239</t>
  </si>
  <si>
    <t>993a25ff-8cc0-4b66-b18e-4d94e48a5a60</t>
  </si>
  <si>
    <t>2026-06-02 06:31:01</t>
  </si>
  <si>
    <t>27796671325</t>
  </si>
  <si>
    <t>14502238</t>
  </si>
  <si>
    <t>63e62317-aab3-4882-b258-bbc853bde5cd</t>
  </si>
  <si>
    <t>27712005579</t>
  </si>
  <si>
    <t>2026-06-02 06:30:51</t>
  </si>
  <si>
    <t>14501882</t>
  </si>
  <si>
    <t>cc0d4c8a-8911-4665-b68b-c6398ac60ae7</t>
  </si>
  <si>
    <t>27660256883</t>
  </si>
  <si>
    <t>2026-06-02 06:30:50</t>
  </si>
  <si>
    <t>14502235</t>
  </si>
  <si>
    <t>388a269d-f93b-4e97-be80-a8beecab8b4f</t>
  </si>
  <si>
    <t>27648024469</t>
  </si>
  <si>
    <t>14502236</t>
  </si>
  <si>
    <t>1aecbb83-431c-453d-b2d9-0ebdd9a5beca</t>
  </si>
  <si>
    <t>27720853867</t>
  </si>
  <si>
    <t>14502325</t>
  </si>
  <si>
    <t>290113bc-0945-4bda-b367-4e3e3ed9adb7</t>
  </si>
  <si>
    <t>2026-06-02 06:29:09</t>
  </si>
  <si>
    <t>27711225317</t>
  </si>
  <si>
    <t>14502324</t>
  </si>
  <si>
    <t>91eec7aa-58c0-419d-b2c9-6949fcc35f6d</t>
  </si>
  <si>
    <t>2026-06-02 06:29:07</t>
  </si>
  <si>
    <t>27818787081</t>
  </si>
  <si>
    <t>14502322</t>
  </si>
  <si>
    <t>dd25f9dc-3336-4fd1-99c5-aac52e23b07a</t>
  </si>
  <si>
    <t>2026-06-02 06:28:58</t>
  </si>
  <si>
    <t>27820858079</t>
  </si>
  <si>
    <t>14502321</t>
  </si>
  <si>
    <t>94d0fc3a-e764-4305-8ef1-2e9ce22aa876</t>
  </si>
  <si>
    <t>27760577158</t>
  </si>
  <si>
    <t>2026-06-02 06:28:54</t>
  </si>
  <si>
    <t>14502320</t>
  </si>
  <si>
    <t>f3019b6e-91e6-46b6-a176-776d65c1ad7c</t>
  </si>
  <si>
    <t>2026-06-02 06:28:53</t>
  </si>
  <si>
    <t>27790196412</t>
  </si>
  <si>
    <t>14502319</t>
  </si>
  <si>
    <t>7917a927-1e69-4696-894c-2a7a744561d3</t>
  </si>
  <si>
    <t>2026-06-02 06:28:49</t>
  </si>
  <si>
    <t>27716101250</t>
  </si>
  <si>
    <t>14502318</t>
  </si>
  <si>
    <t>7f55bf90-940e-424f-bf3a-ebed0a6796f9</t>
  </si>
  <si>
    <t>2026-06-02 06:28:42</t>
  </si>
  <si>
    <t>27765035194</t>
  </si>
  <si>
    <t>14502316</t>
  </si>
  <si>
    <t>7b550dd2-b87c-4190-8e1e-8176cea3bc9b</t>
  </si>
  <si>
    <t>2026-06-02 06:28:35</t>
  </si>
  <si>
    <t>27726015961</t>
  </si>
  <si>
    <t>14502317</t>
  </si>
  <si>
    <t>0ea22f87-0229-4d2f-9824-6dd997c2ec61</t>
  </si>
  <si>
    <t>27768658807</t>
  </si>
  <si>
    <t>14502315</t>
  </si>
  <si>
    <t>56ba1509-795b-4868-bcfa-c91f1ebbe054</t>
  </si>
  <si>
    <t>2026-06-02 06:28:34</t>
  </si>
  <si>
    <t>27727792035</t>
  </si>
  <si>
    <t>14502808</t>
  </si>
  <si>
    <t>833b4e88-985f-4d93-8d62-6c2e26d37029</t>
  </si>
  <si>
    <t>2026-06-02 06:27:12</t>
  </si>
  <si>
    <t>27790892245</t>
  </si>
  <si>
    <t>14502809</t>
  </si>
  <si>
    <t>391f1e41-c062-4b3f-8058-93c77e018b02</t>
  </si>
  <si>
    <t>27796583489</t>
  </si>
  <si>
    <t>14502810</t>
  </si>
  <si>
    <t>cffcdb2b-2579-44c9-bde6-74d53cbe8e4c</t>
  </si>
  <si>
    <t>27768410508</t>
  </si>
  <si>
    <t>14502811</t>
  </si>
  <si>
    <t>6fdffb8b-feb6-45f0-86af-1188ebeacfca</t>
  </si>
  <si>
    <t>27726529495</t>
  </si>
  <si>
    <t>14502812</t>
  </si>
  <si>
    <t>3d9cffce-1825-4b9b-94c3-e2f3eb370b01</t>
  </si>
  <si>
    <t>2026-06-02 06:27:05</t>
  </si>
  <si>
    <t>27790974714</t>
  </si>
  <si>
    <t>14502813</t>
  </si>
  <si>
    <t>3bd90a1d-e5d8-42d2-9276-ecb270f497d8</t>
  </si>
  <si>
    <t>27726267270</t>
  </si>
  <si>
    <t>14502389</t>
  </si>
  <si>
    <t>0d94ab8a-81ea-48b2-8226-ea81ac3bb682</t>
  </si>
  <si>
    <t>27793504957</t>
  </si>
  <si>
    <t>2026-06-02 06:26:51</t>
  </si>
  <si>
    <t>14502814</t>
  </si>
  <si>
    <t>2b26b6f2-12e3-47ba-92bd-0f52c3ab643a</t>
  </si>
  <si>
    <t>2026-06-02 06:26:20</t>
  </si>
  <si>
    <t>27764936350</t>
  </si>
  <si>
    <t>14502815</t>
  </si>
  <si>
    <t>b2839567-d749-4125-ad79-61ee61f2469f</t>
  </si>
  <si>
    <t>2026-06-02 06:26:19</t>
  </si>
  <si>
    <t>27799442990</t>
  </si>
  <si>
    <t>14502816</t>
  </si>
  <si>
    <t>a0fa66b7-f26b-451e-aebd-7ab266140d5a</t>
  </si>
  <si>
    <t>27729247952</t>
  </si>
  <si>
    <t>14502817</t>
  </si>
  <si>
    <t>7fe92885-2e11-43b9-af0b-3890129ef9bf</t>
  </si>
  <si>
    <t>27711973967</t>
  </si>
  <si>
    <t>14502391</t>
  </si>
  <si>
    <t>09dda7ba-3078-4d1f-a32b-ec6eccf83155</t>
  </si>
  <si>
    <t>2026-06-02 06:26:14</t>
  </si>
  <si>
    <t>27649714638</t>
  </si>
  <si>
    <t>14502392</t>
  </si>
  <si>
    <t>a2180cfe-6cab-4235-80e9-94b098274901</t>
  </si>
  <si>
    <t>27723105142</t>
  </si>
  <si>
    <t>14502393</t>
  </si>
  <si>
    <t>b7b0765c-5a63-4c77-8a13-c0f5ff868337</t>
  </si>
  <si>
    <t>27715338809</t>
  </si>
  <si>
    <t>14502413</t>
  </si>
  <si>
    <t>7fd141f9-2e52-4d0f-abd2-0114766957f4</t>
  </si>
  <si>
    <t>27725621436</t>
  </si>
  <si>
    <t>14502390</t>
  </si>
  <si>
    <t>19b3b462-c652-49a4-9501-a9815c941940</t>
  </si>
  <si>
    <t>2026-06-02 06:24:28</t>
  </si>
  <si>
    <t>27646657138</t>
  </si>
  <si>
    <t>14502386</t>
  </si>
  <si>
    <t>8f6054c2-3251-4ed1-8e78-fe5110403d01</t>
  </si>
  <si>
    <t>2026-06-02 06:24:22</t>
  </si>
  <si>
    <t>27762162927</t>
  </si>
  <si>
    <t>14502385</t>
  </si>
  <si>
    <t>705769f5-1acc-4754-9c50-f577c1ae5935</t>
  </si>
  <si>
    <t>2026-06-02 06:24:07</t>
  </si>
  <si>
    <t>27714728919</t>
  </si>
  <si>
    <t>14502384</t>
  </si>
  <si>
    <t>8a74cd5a-1bc9-4284-bb9d-79dbddd6756a</t>
  </si>
  <si>
    <t>2026-06-02 06:24:06</t>
  </si>
  <si>
    <t>27790113301</t>
  </si>
  <si>
    <t>14502383</t>
  </si>
  <si>
    <t>64955353-390e-41e7-ab34-5b53fcef71c3</t>
  </si>
  <si>
    <t>27661654913</t>
  </si>
  <si>
    <t>2026-06-02 06:24:00</t>
  </si>
  <si>
    <t>14502380</t>
  </si>
  <si>
    <t>b389ee86-fbf4-4c97-9eef-9d0bb3bdaead</t>
  </si>
  <si>
    <t>2026-06-02 06:23:56</t>
  </si>
  <si>
    <t>27795964005</t>
  </si>
  <si>
    <t>14502382</t>
  </si>
  <si>
    <t>98328823-d25c-4267-889f-3b7b85723b36</t>
  </si>
  <si>
    <t>27663799953</t>
  </si>
  <si>
    <t>14502379</t>
  </si>
  <si>
    <t>a0a56424-d3b1-4edf-b17e-4d9c701f778a</t>
  </si>
  <si>
    <t>2026-06-02 06:23:38</t>
  </si>
  <si>
    <t>27823781933</t>
  </si>
  <si>
    <t>14502377</t>
  </si>
  <si>
    <t>5be4cd8d-c375-477c-a79c-dd335a493630</t>
  </si>
  <si>
    <t>2026-06-02 06:23:36</t>
  </si>
  <si>
    <t>27726872820</t>
  </si>
  <si>
    <t>14502378</t>
  </si>
  <si>
    <t>619b1a54-1389-420e-bbdf-864890e30e25</t>
  </si>
  <si>
    <t>27636877620</t>
  </si>
  <si>
    <t>14502376</t>
  </si>
  <si>
    <t>c376cd56-0af3-4f83-88b0-888aca73d754</t>
  </si>
  <si>
    <t>2026-06-02 06:23:30</t>
  </si>
  <si>
    <t>27762504846</t>
  </si>
  <si>
    <t>14502375</t>
  </si>
  <si>
    <t>210050ce-9dc2-44fd-b5e6-d1f15386c2c3</t>
  </si>
  <si>
    <t>2026-06-02 06:23:25</t>
  </si>
  <si>
    <t>27720749820</t>
  </si>
  <si>
    <t>14502374</t>
  </si>
  <si>
    <t>f4857055-2c87-43ea-9e0c-fa2d49b27421</t>
  </si>
  <si>
    <t>27766135171</t>
  </si>
  <si>
    <t>2026-06-02 06:23:16</t>
  </si>
  <si>
    <t>14502373</t>
  </si>
  <si>
    <t>f001d963-508c-4745-912b-f09995ec19a6</t>
  </si>
  <si>
    <t>27730662944</t>
  </si>
  <si>
    <t>2026-06-02 06:23:09</t>
  </si>
  <si>
    <t>14502372</t>
  </si>
  <si>
    <t>c8ba569a-f0bf-4c58-96c9-c470b4bca72d</t>
  </si>
  <si>
    <t>27720542264</t>
  </si>
  <si>
    <t>2026-06-02 06:22:45</t>
  </si>
  <si>
    <t>14502367</t>
  </si>
  <si>
    <t>7287796b-45dd-4f9c-94f2-dab198993ed4</t>
  </si>
  <si>
    <t>2026-06-02 06:22:37</t>
  </si>
  <si>
    <t>27637454429</t>
  </si>
  <si>
    <t>14502369</t>
  </si>
  <si>
    <t>ea6f6ed1-1a5d-4276-8b8b-c87e4b8de0e6</t>
  </si>
  <si>
    <t>27794001847</t>
  </si>
  <si>
    <t>14502370</t>
  </si>
  <si>
    <t>d733a69a-28ee-43e1-a211-95bf834dc08a</t>
  </si>
  <si>
    <t>27762754143</t>
  </si>
  <si>
    <t>14502371</t>
  </si>
  <si>
    <t>cd62ffc7-3ba5-4597-a57a-8cbdea823a47</t>
  </si>
  <si>
    <t>27713911879</t>
  </si>
  <si>
    <t>14502366</t>
  </si>
  <si>
    <t>67e7daee-e8dc-4edd-8836-3f4d3e54aa3d</t>
  </si>
  <si>
    <t>2026-06-02 06:19:41</t>
  </si>
  <si>
    <t>27790698922</t>
  </si>
  <si>
    <t>14502365</t>
  </si>
  <si>
    <t>98f12753-30a4-4e26-9198-272498ae7ddb</t>
  </si>
  <si>
    <t>2026-06-02 06:19:32</t>
  </si>
  <si>
    <t>27715176007</t>
  </si>
  <si>
    <t>14502363</t>
  </si>
  <si>
    <t>b86a4c8c-5d70-49c6-b08d-66ff8bca9faf</t>
  </si>
  <si>
    <t>27665616645</t>
  </si>
  <si>
    <t>2026-06-02 06:19:29</t>
  </si>
  <si>
    <t>14502361</t>
  </si>
  <si>
    <t>a8fd746a-5529-431c-8aaa-1ecc848dc51f</t>
  </si>
  <si>
    <t>2026-06-02 06:19:04</t>
  </si>
  <si>
    <t>27760630107</t>
  </si>
  <si>
    <t>14502825</t>
  </si>
  <si>
    <t>524f95ff-ffbf-47c8-b62e-3cb49600f64a</t>
  </si>
  <si>
    <t>2026-06-02 06:19:01</t>
  </si>
  <si>
    <t>27722066774</t>
  </si>
  <si>
    <t>14502357</t>
  </si>
  <si>
    <t>86a3e5cb-45a2-40ef-9a73-9344b4e08c36</t>
  </si>
  <si>
    <t>27791937065</t>
  </si>
  <si>
    <t>2026-06-02 06:18:58</t>
  </si>
  <si>
    <t>14502358</t>
  </si>
  <si>
    <t>71403294-f92d-43b1-b69e-c47bdc417247</t>
  </si>
  <si>
    <t>27609473205</t>
  </si>
  <si>
    <t>14502359</t>
  </si>
  <si>
    <t>8d16bda9-b5bc-413c-ad92-3a2e6709678a</t>
  </si>
  <si>
    <t>27762329772</t>
  </si>
  <si>
    <t>14502360</t>
  </si>
  <si>
    <t>97805948-84c5-4ea9-baaf-d866ac793c91</t>
  </si>
  <si>
    <t>27728381302</t>
  </si>
  <si>
    <t>14502356</t>
  </si>
  <si>
    <t>0456dcbe-7100-47fd-9ed0-a87f31b8e396</t>
  </si>
  <si>
    <t>27760196799</t>
  </si>
  <si>
    <t>2026-06-02 06:18:49</t>
  </si>
  <si>
    <t>14502821</t>
  </si>
  <si>
    <t>337a25a6-8bba-42bf-9adb-07cde5d844bc</t>
  </si>
  <si>
    <t>2026-06-02 06:18:17</t>
  </si>
  <si>
    <t>27723294071</t>
  </si>
  <si>
    <t>14502823</t>
  </si>
  <si>
    <t>66570549-5683-44c1-b15c-8b8622bee8ae</t>
  </si>
  <si>
    <t>2026-06-02 06:18:16</t>
  </si>
  <si>
    <t>27762888528</t>
  </si>
  <si>
    <t>14502826</t>
  </si>
  <si>
    <t>19364e14-2761-4161-8c1b-0459033c50d7</t>
  </si>
  <si>
    <t>2026-06-02 06:18:12</t>
  </si>
  <si>
    <t>27636623883</t>
  </si>
  <si>
    <t>14502500</t>
  </si>
  <si>
    <t>fcb12c64-3a1b-4bc2-bb53-4fff9beaa667</t>
  </si>
  <si>
    <t>2026-06-02 06:18:10</t>
  </si>
  <si>
    <t>27648373774</t>
  </si>
  <si>
    <t>14502499</t>
  </si>
  <si>
    <t>d2ebacda-de99-457e-ba98-86589bc910f3</t>
  </si>
  <si>
    <t>2026-06-02 06:18:09</t>
  </si>
  <si>
    <t>27716022255</t>
  </si>
  <si>
    <t>14502828</t>
  </si>
  <si>
    <t>3ff259fb-e380-40f5-9209-092bd4c83954</t>
  </si>
  <si>
    <t>2026-06-02 06:18:05</t>
  </si>
  <si>
    <t>27766735554</t>
  </si>
  <si>
    <t>14502829</t>
  </si>
  <si>
    <t>3166069e-e786-4ead-b4fb-30c8acd05304</t>
  </si>
  <si>
    <t>27660809342</t>
  </si>
  <si>
    <t>14502830</t>
  </si>
  <si>
    <t>7d8f6a7b-396f-4819-b6ae-d28caf2df829</t>
  </si>
  <si>
    <t>27729292459</t>
  </si>
  <si>
    <t>14502831</t>
  </si>
  <si>
    <t>5fa66874-cd6b-4fb7-a153-22fb0f4f8576</t>
  </si>
  <si>
    <t>27716184227</t>
  </si>
  <si>
    <t>14502855</t>
  </si>
  <si>
    <t>8c7b6d40-ba53-412f-9470-54b63a8e5024</t>
  </si>
  <si>
    <t>27646986018</t>
  </si>
  <si>
    <t>2026-06-02 06:18:03</t>
  </si>
  <si>
    <t>14502492</t>
  </si>
  <si>
    <t>da6b7d69-e507-4ebb-9a22-b242b81164ec</t>
  </si>
  <si>
    <t>27646711814</t>
  </si>
  <si>
    <t>2026-06-02 06:18:01</t>
  </si>
  <si>
    <t>14502491</t>
  </si>
  <si>
    <t>bff045db-025c-4c56-9dbf-6469ac692eae</t>
  </si>
  <si>
    <t>2026-06-02 06:18:00</t>
  </si>
  <si>
    <t>27767247414</t>
  </si>
  <si>
    <t>14502489</t>
  </si>
  <si>
    <t>293571c8-b091-4758-8790-608a9774bc56</t>
  </si>
  <si>
    <t>2026-06-02 06:17:56</t>
  </si>
  <si>
    <t>27796665512</t>
  </si>
  <si>
    <t>14502490</t>
  </si>
  <si>
    <t>63953c8c-3f2d-4cb9-83cf-905b82c9937b</t>
  </si>
  <si>
    <t>27824239687</t>
  </si>
  <si>
    <t>14502832</t>
  </si>
  <si>
    <t>515cf039-f029-48d3-b0ac-ac38262d52c1</t>
  </si>
  <si>
    <t>2026-06-02 06:17:54</t>
  </si>
  <si>
    <t>27712024265</t>
  </si>
  <si>
    <t>14502833</t>
  </si>
  <si>
    <t>9c75c79a-f56c-472e-8e9f-8082973d5d51</t>
  </si>
  <si>
    <t>2026-06-02 06:17:45</t>
  </si>
  <si>
    <t>27768716368</t>
  </si>
  <si>
    <t>14502488</t>
  </si>
  <si>
    <t>85fa8631-2c45-497b-b19e-bf126969cfce</t>
  </si>
  <si>
    <t>27822567142</t>
  </si>
  <si>
    <t>2026-06-02 06:16:40</t>
  </si>
  <si>
    <t>14502487</t>
  </si>
  <si>
    <t>e31bd10d-7eb4-4ce2-87b6-e1197c31537c</t>
  </si>
  <si>
    <t>2026-06-02 06:16:39</t>
  </si>
  <si>
    <t>27826052905</t>
  </si>
  <si>
    <t>14502486</t>
  </si>
  <si>
    <t>4efdb35b-60df-4316-9740-dac217a4a368</t>
  </si>
  <si>
    <t>2026-06-02 06:16:36</t>
  </si>
  <si>
    <t>27769325113</t>
  </si>
  <si>
    <t>14502485</t>
  </si>
  <si>
    <t>250d5b7d-437c-47e9-82d5-a5a063d04d62</t>
  </si>
  <si>
    <t>2026-06-02 06:16:35</t>
  </si>
  <si>
    <t>27726992916</t>
  </si>
  <si>
    <t>14502484</t>
  </si>
  <si>
    <t>bbb4b456-3bb2-476e-9f43-8b2568e48b4d</t>
  </si>
  <si>
    <t>2026-06-02 06:16:30</t>
  </si>
  <si>
    <t>27824361460</t>
  </si>
  <si>
    <t>14502483</t>
  </si>
  <si>
    <t>6bc65742-8e4e-46de-af2c-9f3929a1f4f4</t>
  </si>
  <si>
    <t>27764288751</t>
  </si>
  <si>
    <t>2026-06-02 06:16:29</t>
  </si>
  <si>
    <t>14502856</t>
  </si>
  <si>
    <t>bca7acbf-0873-4f91-8dcc-5369db7b6cb8</t>
  </si>
  <si>
    <t>27760816095</t>
  </si>
  <si>
    <t>2026-06-02 06:16:28</t>
  </si>
  <si>
    <t>14502481</t>
  </si>
  <si>
    <t>2ea2da47-45cf-4b9d-8602-004413c9d665</t>
  </si>
  <si>
    <t>27607410000</t>
  </si>
  <si>
    <t>2026-06-02 06:16:27</t>
  </si>
  <si>
    <t>14502482</t>
  </si>
  <si>
    <t>58ff53a9-4a9e-42eb-a8ea-6b6959fec6e3</t>
  </si>
  <si>
    <t>27728562479</t>
  </si>
  <si>
    <t>14502479</t>
  </si>
  <si>
    <t>4be8a193-729b-44f2-a4ee-6ea6b52ce7f8</t>
  </si>
  <si>
    <t>27728804115</t>
  </si>
  <si>
    <t>2026-06-02 06:16:25</t>
  </si>
  <si>
    <t>14502480</t>
  </si>
  <si>
    <t>422d95d9-467e-4ed4-b3b7-ed523c729aac</t>
  </si>
  <si>
    <t>27825803590</t>
  </si>
  <si>
    <t>14502835</t>
  </si>
  <si>
    <t>d723ca31-c435-4c17-9174-a95e8aaf8db3</t>
  </si>
  <si>
    <t>2026-06-02 06:16:22</t>
  </si>
  <si>
    <t>27762865483</t>
  </si>
  <si>
    <t>14502836</t>
  </si>
  <si>
    <t>08ae7667-6832-4b7c-b06e-120f6d341c17</t>
  </si>
  <si>
    <t>2026-06-02 06:16:19</t>
  </si>
  <si>
    <t>27764878999</t>
  </si>
  <si>
    <t>14502411</t>
  </si>
  <si>
    <t>4e8cb80c-096d-467e-944b-792872bf3d41</t>
  </si>
  <si>
    <t>27825855209</t>
  </si>
  <si>
    <t>2026-06-02 06:16:18</t>
  </si>
  <si>
    <t>14502408</t>
  </si>
  <si>
    <t>73031459-000a-417f-b9f1-9d7259b3f6a1</t>
  </si>
  <si>
    <t>2026-06-02 06:16:12</t>
  </si>
  <si>
    <t>27764251945</t>
  </si>
  <si>
    <t>14502409</t>
  </si>
  <si>
    <t>6a06af24-d9bf-4eb0-a517-09dc731518d2</t>
  </si>
  <si>
    <t>27765195118</t>
  </si>
  <si>
    <t>14502406</t>
  </si>
  <si>
    <t>53b895f2-99da-46b8-9862-a39ffbd67e0f</t>
  </si>
  <si>
    <t>2026-06-02 06:16:10</t>
  </si>
  <si>
    <t>27822030909</t>
  </si>
  <si>
    <t>14502404</t>
  </si>
  <si>
    <t>7c7cace5-3cd3-4dad-9eca-9be49ff0192c</t>
  </si>
  <si>
    <t>27765710330</t>
  </si>
  <si>
    <t>2026-06-02 06:16:07</t>
  </si>
  <si>
    <t>14502403</t>
  </si>
  <si>
    <t>f28ebc3f-efd5-40e7-8a74-8a3f57fea1a7</t>
  </si>
  <si>
    <t>2026-06-02 06:16:06</t>
  </si>
  <si>
    <t>27767281513</t>
  </si>
  <si>
    <t>14502402</t>
  </si>
  <si>
    <t>58952499-bcb9-467d-844d-ecc058dcbd0a</t>
  </si>
  <si>
    <t>2026-06-02 06:15:57</t>
  </si>
  <si>
    <t>27792079424</t>
  </si>
  <si>
    <t>14501887</t>
  </si>
  <si>
    <t>5b81d905-4319-40a6-b541-fcdd82c932b3</t>
  </si>
  <si>
    <t>2026-06-02 06:15:53</t>
  </si>
  <si>
    <t>27649881718</t>
  </si>
  <si>
    <t>14502400</t>
  </si>
  <si>
    <t>47462164-88c9-47d0-9ff4-fb3dfbab774a</t>
  </si>
  <si>
    <t>27826388521</t>
  </si>
  <si>
    <t>14502399</t>
  </si>
  <si>
    <t>4d1fb684-bc69-425d-9c80-648e409f5595</t>
  </si>
  <si>
    <t>2026-06-02 06:15:51</t>
  </si>
  <si>
    <t>27665399589</t>
  </si>
  <si>
    <t>14502396</t>
  </si>
  <si>
    <t>0ba4c59f-a313-440f-b1a0-7131482dc6b5</t>
  </si>
  <si>
    <t>2026-06-02 06:15:50</t>
  </si>
  <si>
    <t>27825787580</t>
  </si>
  <si>
    <t>14502397</t>
  </si>
  <si>
    <t>9bd880fe-335b-4fae-94de-c1fb21da5e6c</t>
  </si>
  <si>
    <t>27761872020</t>
  </si>
  <si>
    <t>14502398</t>
  </si>
  <si>
    <t>692e7144-7ebd-4d40-ac19-a26916194253</t>
  </si>
  <si>
    <t>27715681209</t>
  </si>
  <si>
    <t>14502395</t>
  </si>
  <si>
    <t>fa8dbbd8-c000-4ad4-8b40-847789ad4138</t>
  </si>
  <si>
    <t>2026-06-02 06:15:42</t>
  </si>
  <si>
    <t>27716158046</t>
  </si>
  <si>
    <t>14502394</t>
  </si>
  <si>
    <t>3868883f-3e83-41bc-990e-1b91a3032e75</t>
  </si>
  <si>
    <t>2026-06-02 06:15:34</t>
  </si>
  <si>
    <t>27796141329</t>
  </si>
  <si>
    <t>14502858</t>
  </si>
  <si>
    <t>34258f9a-28a4-4463-b0b7-1471cbfbf2bc</t>
  </si>
  <si>
    <t>27766487400</t>
  </si>
  <si>
    <t>2026-06-02 06:15:09</t>
  </si>
  <si>
    <t>14502478</t>
  </si>
  <si>
    <t>3f7d5bdc-c7d8-4bfe-ab11-b4ed795df0c3</t>
  </si>
  <si>
    <t>2026-06-02 06:14:56</t>
  </si>
  <si>
    <t>27827941556</t>
  </si>
  <si>
    <t>14502477</t>
  </si>
  <si>
    <t>d9edd288-9f06-462d-94bd-6ba9ae160f48</t>
  </si>
  <si>
    <t>2026-06-02 06:14:53</t>
  </si>
  <si>
    <t>27798693655</t>
  </si>
  <si>
    <t>14502475</t>
  </si>
  <si>
    <t>0a96895b-c5de-48b1-ac17-9622cfa7ba1c</t>
  </si>
  <si>
    <t>2026-06-02 06:14:52</t>
  </si>
  <si>
    <t>27825655498</t>
  </si>
  <si>
    <t>14502416</t>
  </si>
  <si>
    <t>9cf729f1-02d8-474a-9dbb-d055256e7b78</t>
  </si>
  <si>
    <t>27722207434</t>
  </si>
  <si>
    <t>2026-06-02 06:14:27</t>
  </si>
  <si>
    <t>14502473</t>
  </si>
  <si>
    <t>b57985fa-5574-4136-a630-cea0a40e3f0b</t>
  </si>
  <si>
    <t>27727781099</t>
  </si>
  <si>
    <t>14502472</t>
  </si>
  <si>
    <t>d3b66d85-c2f5-40db-bbe6-dfb15bb6b3ae</t>
  </si>
  <si>
    <t>2026-06-02 06:14:23</t>
  </si>
  <si>
    <t>27826571342</t>
  </si>
  <si>
    <t>14502469</t>
  </si>
  <si>
    <t>1c542c7f-a5a6-4151-a0f9-cc2dcd72c82b</t>
  </si>
  <si>
    <t>27674531295</t>
  </si>
  <si>
    <t>2026-06-02 06:14:20</t>
  </si>
  <si>
    <t>14502471</t>
  </si>
  <si>
    <t>067bb57a-a52a-4323-aade-0d1cd0990531</t>
  </si>
  <si>
    <t>27828101729</t>
  </si>
  <si>
    <t>14502468</t>
  </si>
  <si>
    <t>9b2646b1-6813-4988-aa90-034595748be4</t>
  </si>
  <si>
    <t>27664436454</t>
  </si>
  <si>
    <t>2026-06-02 06:14:15</t>
  </si>
  <si>
    <t>14502467</t>
  </si>
  <si>
    <t>d916d59a-95bd-439b-8263-02522ceb9167</t>
  </si>
  <si>
    <t>2026-06-02 06:14:13</t>
  </si>
  <si>
    <t>27721336897</t>
  </si>
  <si>
    <t>14502839</t>
  </si>
  <si>
    <t>376b0639-0866-4167-88ae-cb524ec69a3d</t>
  </si>
  <si>
    <t>27790300790</t>
  </si>
  <si>
    <t>14502840</t>
  </si>
  <si>
    <t>cc008a2b-731c-4cc8-9903-d7bcab9bbea3</t>
  </si>
  <si>
    <t>27636460385</t>
  </si>
  <si>
    <t>14502422</t>
  </si>
  <si>
    <t>bf9f3396-ad0a-4ee7-8eef-5f201bd1e320</t>
  </si>
  <si>
    <t>2026-06-02 06:13:58</t>
  </si>
  <si>
    <t>27726686880</t>
  </si>
  <si>
    <t>14502423</t>
  </si>
  <si>
    <t>844da770-e8f2-4c69-bc70-fe59aaf6a969</t>
  </si>
  <si>
    <t>27673899156</t>
  </si>
  <si>
    <t>14502426</t>
  </si>
  <si>
    <t>62003fdf-39be-49be-98f3-6816d1e5eccf</t>
  </si>
  <si>
    <t>27648529228</t>
  </si>
  <si>
    <t>14502434</t>
  </si>
  <si>
    <t>e9277b3e-1961-4472-963b-d1d55272ce1c</t>
  </si>
  <si>
    <t>27607685975</t>
  </si>
  <si>
    <t>14501896</t>
  </si>
  <si>
    <t>e460eede-e44a-4738-9e56-b3b7c724c5b0</t>
  </si>
  <si>
    <t>27725919872</t>
  </si>
  <si>
    <t>2026-06-02 06:13:57</t>
  </si>
  <si>
    <t>14502421</t>
  </si>
  <si>
    <t>7abb8177-8ea4-4c88-9f5b-05684feab23a</t>
  </si>
  <si>
    <t>27796893657</t>
  </si>
  <si>
    <t>14502841</t>
  </si>
  <si>
    <t>84958f36-48db-4d05-a663-56202fc2aa17</t>
  </si>
  <si>
    <t>27793407483</t>
  </si>
  <si>
    <t>14502419</t>
  </si>
  <si>
    <t>9c4c665a-d4c3-45e3-864f-29414d344911</t>
  </si>
  <si>
    <t>27715793343</t>
  </si>
  <si>
    <t>2026-06-02 06:13:27</t>
  </si>
  <si>
    <t>14502417</t>
  </si>
  <si>
    <t>f08fe0a9-b499-4cee-b14a-c0b702ee00b5</t>
  </si>
  <si>
    <t>2026-06-02 06:13:24</t>
  </si>
  <si>
    <t>27799634580</t>
  </si>
  <si>
    <t>14502418</t>
  </si>
  <si>
    <t>9672b6bd-d51d-4b62-90fa-9bd1030b16cc</t>
  </si>
  <si>
    <t>27790766591</t>
  </si>
  <si>
    <t>14502414</t>
  </si>
  <si>
    <t>4c7f2273-aa4c-46e8-9e77-380d3276dc22</t>
  </si>
  <si>
    <t>27765355462</t>
  </si>
  <si>
    <t>2026-06-02 06:13:23</t>
  </si>
  <si>
    <t>14502466</t>
  </si>
  <si>
    <t>fe3a6bfb-34d8-4f2b-ab96-b60a269cc1cb</t>
  </si>
  <si>
    <t>2026-06-02 06:13:03</t>
  </si>
  <si>
    <t>27824036271</t>
  </si>
  <si>
    <t>14502464</t>
  </si>
  <si>
    <t>095c14eb-63a0-493a-b6e1-e6078c5b0248</t>
  </si>
  <si>
    <t>2026-06-02 06:12:40</t>
  </si>
  <si>
    <t>27729488912</t>
  </si>
  <si>
    <t>14502463</t>
  </si>
  <si>
    <t>a9935e48-5c97-45d8-99df-8f36115d522a</t>
  </si>
  <si>
    <t>2026-06-02 06:12:37</t>
  </si>
  <si>
    <t>27720486415</t>
  </si>
  <si>
    <t>14502460</t>
  </si>
  <si>
    <t>54f5d4e1-a833-42a3-a563-6ff0ec54add8</t>
  </si>
  <si>
    <t>2026-06-02 06:12:30</t>
  </si>
  <si>
    <t>27766891568</t>
  </si>
  <si>
    <t>14502459</t>
  </si>
  <si>
    <t>e30c8f84-1ec4-470f-b4b5-d8007d1a8341</t>
  </si>
  <si>
    <t>LANG</t>
  </si>
  <si>
    <t>Language Barrier</t>
  </si>
  <si>
    <t>2026-06-02 06:12:27</t>
  </si>
  <si>
    <t>27797681492</t>
  </si>
  <si>
    <t>14502457</t>
  </si>
  <si>
    <t>c61f666c-9755-4861-9f31-b0817ca8505d</t>
  </si>
  <si>
    <t>2026-06-02 06:12:26</t>
  </si>
  <si>
    <t>27818000869</t>
  </si>
  <si>
    <t>14502458</t>
  </si>
  <si>
    <t>c9e1afbd-3251-4825-8904-4201329a550f</t>
  </si>
  <si>
    <t>27647758674</t>
  </si>
  <si>
    <t>14502456</t>
  </si>
  <si>
    <t>99ac2b8a-340c-4f45-9eee-6b04ed7267b9</t>
  </si>
  <si>
    <t>2026-06-02 06:12:24</t>
  </si>
  <si>
    <t>27711454982</t>
  </si>
  <si>
    <t>14502441</t>
  </si>
  <si>
    <t>dc159125-84b9-4de0-9643-444134aaebb4</t>
  </si>
  <si>
    <t>2026-06-02 06:12:21</t>
  </si>
  <si>
    <t>27722765026</t>
  </si>
  <si>
    <t>14502455</t>
  </si>
  <si>
    <t>d0b1bab4-9c8d-4d67-984b-d7307a21c512</t>
  </si>
  <si>
    <t>27713258506</t>
  </si>
  <si>
    <t>14502843</t>
  </si>
  <si>
    <t>b67ffcc6-f9e8-4a2e-a723-96cffa9e9237</t>
  </si>
  <si>
    <t>27728437819</t>
  </si>
  <si>
    <t>14502859</t>
  </si>
  <si>
    <t>f8d77aa2-59c5-492f-9f5f-869a52c1b7a2</t>
  </si>
  <si>
    <t>27663997441</t>
  </si>
  <si>
    <t>14502454</t>
  </si>
  <si>
    <t>aff78fe9-cb7d-4722-a8a7-761eb53278f5</t>
  </si>
  <si>
    <t>2026-06-02 06:12:10</t>
  </si>
  <si>
    <t>27820476321</t>
  </si>
  <si>
    <t>14502452</t>
  </si>
  <si>
    <t>d2f4b62b-acdc-48cd-bcbc-ea30d9e7098a</t>
  </si>
  <si>
    <t>2026-06-02 06:12:08</t>
  </si>
  <si>
    <t>27711428369</t>
  </si>
  <si>
    <t>14502453</t>
  </si>
  <si>
    <t>2a930a7b-cd31-46de-89e7-64e2bf8f506f</t>
  </si>
  <si>
    <t>27661695974</t>
  </si>
  <si>
    <t>14502450</t>
  </si>
  <si>
    <t>3c92dd9a-0c38-4505-a356-d01b97e491b2</t>
  </si>
  <si>
    <t>2026-06-02 06:12:05</t>
  </si>
  <si>
    <t>27608615264</t>
  </si>
  <si>
    <t>14502845</t>
  </si>
  <si>
    <t>a1d6e719-f1a3-4c12-8255-fd9cddd1e206</t>
  </si>
  <si>
    <t>27636249320</t>
  </si>
  <si>
    <t>14501890</t>
  </si>
  <si>
    <t>9f424b16-14bc-4aca-97e9-8b897d419c45</t>
  </si>
  <si>
    <t>2026-06-02 06:12:04</t>
  </si>
  <si>
    <t>27674739400</t>
  </si>
  <si>
    <t>14502448</t>
  </si>
  <si>
    <t>745ddc06-39fb-49e9-9225-1243dd7a0ddb</t>
  </si>
  <si>
    <t>27607583781</t>
  </si>
  <si>
    <t>14502440</t>
  </si>
  <si>
    <t>89886f22-e978-4fa9-b5ee-01949756c419</t>
  </si>
  <si>
    <t>2026-06-02 06:11:05</t>
  </si>
  <si>
    <t>27720823429</t>
  </si>
  <si>
    <t>14502439</t>
  </si>
  <si>
    <t>956058e0-9b5b-49e2-9005-b1d7b6fd2c0c</t>
  </si>
  <si>
    <t>2026-06-02 06:11:04</t>
  </si>
  <si>
    <t>27722909615</t>
  </si>
  <si>
    <t>14502438</t>
  </si>
  <si>
    <t>c2894b67-f603-4fde-9f0a-e02004faa0b3</t>
  </si>
  <si>
    <t>2026-06-02 06:10:50</t>
  </si>
  <si>
    <t>27728964527</t>
  </si>
  <si>
    <t>14501889</t>
  </si>
  <si>
    <t>ba0ece3a-a5a2-421a-8f95-a30a569dc990</t>
  </si>
  <si>
    <t>2026-06-02 06:10:33</t>
  </si>
  <si>
    <t>27729089710</t>
  </si>
  <si>
    <t>14502435</t>
  </si>
  <si>
    <t>3051e709-999f-4f0e-84cf-0758ebc869aa</t>
  </si>
  <si>
    <t>27768555862</t>
  </si>
  <si>
    <t>14502433</t>
  </si>
  <si>
    <t>0c16b2b9-0a58-45a0-9042-423ae19c4c8c</t>
  </si>
  <si>
    <t>27728413205</t>
  </si>
  <si>
    <t>2026-06-02 06:09:41</t>
  </si>
  <si>
    <t>14502432</t>
  </si>
  <si>
    <t>ce5a001c-27d9-4257-9b7b-8479aa5e00ce</t>
  </si>
  <si>
    <t>2026-06-02 06:09:40</t>
  </si>
  <si>
    <t>27837675141</t>
  </si>
  <si>
    <t>14502431</t>
  </si>
  <si>
    <t>540ffebc-ffdc-41f5-bd67-fea841f9ce94</t>
  </si>
  <si>
    <t>2026-06-02 06:09:38</t>
  </si>
  <si>
    <t>27765417188</t>
  </si>
  <si>
    <t>14502428</t>
  </si>
  <si>
    <t>97ff900d-079f-464c-977b-bb061a171801</t>
  </si>
  <si>
    <t>27637657466</t>
  </si>
  <si>
    <t>2026-06-02 06:09:36</t>
  </si>
  <si>
    <t>14502429</t>
  </si>
  <si>
    <t>67468a8b-3ef9-44f0-b765-d012120cc58d</t>
  </si>
  <si>
    <t>27799962009</t>
  </si>
  <si>
    <t>14501888</t>
  </si>
  <si>
    <t>75ca3ed1-50d1-47ec-b9d3-31cdfbe35e5a</t>
  </si>
  <si>
    <t>2026-06-02 06:09:35</t>
  </si>
  <si>
    <t>27760521571</t>
  </si>
  <si>
    <t>14502427</t>
  </si>
  <si>
    <t>60101ae8-e481-4bd2-b989-df06439aba96</t>
  </si>
  <si>
    <t>27794150320</t>
  </si>
  <si>
    <t>14502447</t>
  </si>
  <si>
    <t>f923df45-ddf0-4474-a815-34f149e46a7d</t>
  </si>
  <si>
    <t>2026-06-02 06:08:03</t>
  </si>
  <si>
    <t>27723521402</t>
  </si>
  <si>
    <t>14502444</t>
  </si>
  <si>
    <t>95e0f0cd-95cd-4381-b035-fbede591bd48</t>
  </si>
  <si>
    <t>2026-06-02 06:07:58</t>
  </si>
  <si>
    <t>27763709059</t>
  </si>
  <si>
    <t>14502445</t>
  </si>
  <si>
    <t>ffb40863-410f-4b8c-be2c-ddb02309206d</t>
  </si>
  <si>
    <t>27797707776</t>
  </si>
  <si>
    <t>14502446</t>
  </si>
  <si>
    <t>2b53c790-8f99-4623-a641-7dc1f2675fc1</t>
  </si>
  <si>
    <t>27825590681</t>
  </si>
  <si>
    <t>14502587</t>
  </si>
  <si>
    <t>aef9c479-dc4d-46fe-88c5-382d37783a87</t>
  </si>
  <si>
    <t>27767163593</t>
  </si>
  <si>
    <t>2026-06-02 06:07:17</t>
  </si>
  <si>
    <t>14502443</t>
  </si>
  <si>
    <t>2b1556c9-30b0-4357-b648-09fb664d1b82</t>
  </si>
  <si>
    <t>2026-06-02 06:07:16</t>
  </si>
  <si>
    <t>27714335724</t>
  </si>
  <si>
    <t>14502577</t>
  </si>
  <si>
    <t>c8216095-e7a6-42a0-9848-a98ff410b61c</t>
  </si>
  <si>
    <t>2026-06-02 06:07:14</t>
  </si>
  <si>
    <t>27824645553</t>
  </si>
  <si>
    <t>14502582</t>
  </si>
  <si>
    <t>59fa7d84-fc48-4389-8e63-9339ec873638</t>
  </si>
  <si>
    <t>27797270280</t>
  </si>
  <si>
    <t>14502590</t>
  </si>
  <si>
    <t>0f81844f-d23d-4090-abdf-1b720f12cc14</t>
  </si>
  <si>
    <t>27767330594</t>
  </si>
  <si>
    <t>14502591</t>
  </si>
  <si>
    <t>e8f1bfc6-913c-4938-b67b-3d65fa87ffe0</t>
  </si>
  <si>
    <t>27791599726</t>
  </si>
  <si>
    <t>14502575</t>
  </si>
  <si>
    <t>d1874fb2-5bb9-49cf-bb98-82cd7e348f24</t>
  </si>
  <si>
    <t>2026-06-02 06:07:13</t>
  </si>
  <si>
    <t>27729192666</t>
  </si>
  <si>
    <t>14502574</t>
  </si>
  <si>
    <t>84082f08-c08f-482d-8f69-5e97116daead</t>
  </si>
  <si>
    <t>2026-06-02 06:07:08</t>
  </si>
  <si>
    <t>27818565945</t>
  </si>
  <si>
    <t>14502573</t>
  </si>
  <si>
    <t>7c207af6-24a3-498b-9077-5157d8ccbef8</t>
  </si>
  <si>
    <t>27763287964</t>
  </si>
  <si>
    <t>2026-06-02 06:07:07</t>
  </si>
  <si>
    <t>14502824</t>
  </si>
  <si>
    <t>7793aa60-a6cf-4ba6-8832-52366ba450c9</t>
  </si>
  <si>
    <t>2026-06-02 06:07:04</t>
  </si>
  <si>
    <t>27714138430</t>
  </si>
  <si>
    <t>14502572</t>
  </si>
  <si>
    <t>d84d7e36-8720-4dc2-8215-2dc7ea0b762b</t>
  </si>
  <si>
    <t>2026-06-02 06:07:00</t>
  </si>
  <si>
    <t>27797823097</t>
  </si>
  <si>
    <t>14502570</t>
  </si>
  <si>
    <t>c55ee060-73b9-49aa-af76-8a8b2600ee20</t>
  </si>
  <si>
    <t>27761484269</t>
  </si>
  <si>
    <t>2026-06-02 06:06:58</t>
  </si>
  <si>
    <t>14502569</t>
  </si>
  <si>
    <t>1d47e7bf-28e3-4b97-ba7c-27eee4916e76</t>
  </si>
  <si>
    <t>2026-06-02 06:06:45</t>
  </si>
  <si>
    <t>27663345104</t>
  </si>
  <si>
    <t>14502568</t>
  </si>
  <si>
    <t>ffc220a7-61f2-49f6-88f9-b72dfae02360</t>
  </si>
  <si>
    <t>27609345222</t>
  </si>
  <si>
    <t>14502567</t>
  </si>
  <si>
    <t>452471ef-117e-45bd-a2cf-7225643425d3</t>
  </si>
  <si>
    <t>2026-06-02 06:06:39</t>
  </si>
  <si>
    <t>27765723936</t>
  </si>
  <si>
    <t>14502566</t>
  </si>
  <si>
    <t>46b31306-e77e-470f-93c5-3d218828fd47</t>
  </si>
  <si>
    <t>2026-06-02 06:06:18</t>
  </si>
  <si>
    <t>27713082349</t>
  </si>
  <si>
    <t>14502588</t>
  </si>
  <si>
    <t>f76723d9-7660-44b1-ba86-1765a82dc053</t>
  </si>
  <si>
    <t>27763331011</t>
  </si>
  <si>
    <t>2026-06-02 06:06:15</t>
  </si>
  <si>
    <t>14502589</t>
  </si>
  <si>
    <t>0413b46d-7109-406e-a12d-cf66edd78c38</t>
  </si>
  <si>
    <t>27760804840</t>
  </si>
  <si>
    <t>14502583</t>
  </si>
  <si>
    <t>66a0b552-1641-44f1-af45-fc6d4c1c1910</t>
  </si>
  <si>
    <t>2026-06-02 06:05:51</t>
  </si>
  <si>
    <t>27636087087</t>
  </si>
  <si>
    <t>14502585</t>
  </si>
  <si>
    <t>52c74828-f425-4834-9ab9-1559f5b7b880</t>
  </si>
  <si>
    <t>27646289827</t>
  </si>
  <si>
    <t>14502586</t>
  </si>
  <si>
    <t>996132ea-f9e5-44f5-b561-7ff96a65817e</t>
  </si>
  <si>
    <t>27769837367</t>
  </si>
  <si>
    <t>14298296</t>
  </si>
  <si>
    <t>ea47ebf7-e27e-4d38-9874-e3f2f7d8ce83</t>
  </si>
  <si>
    <t>111111119</t>
  </si>
  <si>
    <t>Vodacom Life 20260507</t>
  </si>
  <si>
    <t>27664086081</t>
  </si>
  <si>
    <t>2026-06-02 06:05:07</t>
  </si>
  <si>
    <t>2026-05-07 13:57:24</t>
  </si>
  <si>
    <t>14501880</t>
  </si>
  <si>
    <t>4328d130-1ced-47a1-914a-eae65eb6a75f</t>
  </si>
  <si>
    <t>27818314075</t>
  </si>
  <si>
    <t>2026-06-02 06:04:58</t>
  </si>
  <si>
    <t>14501879</t>
  </si>
  <si>
    <t>51fc3649-32d8-4914-805b-ceac37984c73</t>
  </si>
  <si>
    <t>2026-06-02 06:04:55</t>
  </si>
  <si>
    <t>27824386601</t>
  </si>
  <si>
    <t>14501875</t>
  </si>
  <si>
    <t>7d2d7df6-8d6f-4106-bc86-bc1501ce3aea</t>
  </si>
  <si>
    <t>2026-06-02 06:04:23</t>
  </si>
  <si>
    <t>27723632700</t>
  </si>
  <si>
    <t>14501876</t>
  </si>
  <si>
    <t>68ee795c-0bb8-4645-8b37-5e4ee330a3aa</t>
  </si>
  <si>
    <t>27768962958</t>
  </si>
  <si>
    <t>14501877</t>
  </si>
  <si>
    <t>9693cf54-b3dd-4695-9c6c-16e890f5818f</t>
  </si>
  <si>
    <t>27607734438</t>
  </si>
  <si>
    <t>14501878</t>
  </si>
  <si>
    <t>b9349bc3-94c7-4bb1-8a03-7b912fb2e3a7</t>
  </si>
  <si>
    <t>27818324551</t>
  </si>
  <si>
    <t>14502259</t>
  </si>
  <si>
    <t>62871def-c559-4690-9747-7e56edfdaf51</t>
  </si>
  <si>
    <t>2026-06-02 06:04:15</t>
  </si>
  <si>
    <t>27608252883</t>
  </si>
  <si>
    <t>14501173</t>
  </si>
  <si>
    <t>5242294e-dcd9-4857-ac35-5de064addc84</t>
  </si>
  <si>
    <t>REFILOE</t>
  </si>
  <si>
    <t>MAGAKOE</t>
  </si>
  <si>
    <t>2026-06-02 06:04:14</t>
  </si>
  <si>
    <t>27722739065</t>
  </si>
  <si>
    <t>14501873</t>
  </si>
  <si>
    <t>f6e8f66e-90c6-49dc-bf4a-441bbbaf19cb</t>
  </si>
  <si>
    <t>2026-06-02 06:04:09</t>
  </si>
  <si>
    <t>27606134877</t>
  </si>
  <si>
    <t>14501874</t>
  </si>
  <si>
    <t>1ad697cc-7247-49d4-8302-ff5094b8c382</t>
  </si>
  <si>
    <t>27774993841</t>
  </si>
  <si>
    <t>14501871</t>
  </si>
  <si>
    <t>495687cc-9c0d-44d7-8c2c-a8d15230deb1</t>
  </si>
  <si>
    <t>2026-06-02 06:04:08</t>
  </si>
  <si>
    <t>27721100533</t>
  </si>
  <si>
    <t>14501936</t>
  </si>
  <si>
    <t>2787473b-ef13-4ebf-a3a7-794b70f6040a</t>
  </si>
  <si>
    <t>27727204940</t>
  </si>
  <si>
    <t>2026-06-02 06:03:48</t>
  </si>
  <si>
    <t>14501933</t>
  </si>
  <si>
    <t>1efead83-674e-4e62-a5be-aea2104e9bed</t>
  </si>
  <si>
    <t>2026-06-02 06:03:46</t>
  </si>
  <si>
    <t>27793579907</t>
  </si>
  <si>
    <t>14501932</t>
  </si>
  <si>
    <t>8d839d6a-d1b7-4369-86e9-b88135451659</t>
  </si>
  <si>
    <t>2026-06-02 06:03:43</t>
  </si>
  <si>
    <t>27713549868</t>
  </si>
  <si>
    <t>14501931</t>
  </si>
  <si>
    <t>c8389a24-a1bb-4b90-af11-01baa3e365df</t>
  </si>
  <si>
    <t>2026-06-02 06:03:42</t>
  </si>
  <si>
    <t>27765721252</t>
  </si>
  <si>
    <t>14501930</t>
  </si>
  <si>
    <t>fc8777fa-8c86-4b6e-bbea-6a50e4b195be</t>
  </si>
  <si>
    <t>2026-06-02 06:03:40</t>
  </si>
  <si>
    <t>27648138377</t>
  </si>
  <si>
    <t>14501929</t>
  </si>
  <si>
    <t>d0f00983-75c2-4a29-9c50-62865441d6e2</t>
  </si>
  <si>
    <t>27766234212</t>
  </si>
  <si>
    <t>2026-06-02 06:03:36</t>
  </si>
  <si>
    <t>14501947</t>
  </si>
  <si>
    <t>71c3ff86-8320-4a64-b017-d0234b0bca69</t>
  </si>
  <si>
    <t>2026-06-02 06:03:35</t>
  </si>
  <si>
    <t>27729627568</t>
  </si>
  <si>
    <t>14501928</t>
  </si>
  <si>
    <t>f680d156-66ea-4117-bdb8-b8fe334b30ee</t>
  </si>
  <si>
    <t>27820770332</t>
  </si>
  <si>
    <t>14502231</t>
  </si>
  <si>
    <t>bb6d2ac5-b503-49dc-85ce-7482f54c5b5e</t>
  </si>
  <si>
    <t>27663495518</t>
  </si>
  <si>
    <t>14501941</t>
  </si>
  <si>
    <t>eb45ed9d-18fd-4c9e-86e8-0f62d6e5e25d</t>
  </si>
  <si>
    <t>2026-06-02 06:02:27</t>
  </si>
  <si>
    <t>27721695014</t>
  </si>
  <si>
    <t>14501943</t>
  </si>
  <si>
    <t>a0ebc277-c1c3-4b92-a528-d99a672e03c7</t>
  </si>
  <si>
    <t>27729687018</t>
  </si>
  <si>
    <t>14501944</t>
  </si>
  <si>
    <t>4613ea95-af90-4a26-96be-c2dd21ce38a3</t>
  </si>
  <si>
    <t>27799598438</t>
  </si>
  <si>
    <t>14501937</t>
  </si>
  <si>
    <t>2bd051b7-423b-4726-b187-b6e092012f9d</t>
  </si>
  <si>
    <t>27726028662</t>
  </si>
  <si>
    <t>2026-06-02 06:02:22</t>
  </si>
  <si>
    <t>14501939</t>
  </si>
  <si>
    <t>8d630127-2da0-4ae4-94a4-0e9081f8fd4b</t>
  </si>
  <si>
    <t>27764775759</t>
  </si>
  <si>
    <t>14501940</t>
  </si>
  <si>
    <t>32892890-70d7-48e1-aef2-d2d0ef4e7a7f</t>
  </si>
  <si>
    <t>27724821299</t>
  </si>
  <si>
    <t>14502240</t>
  </si>
  <si>
    <t>c9561e76-61e0-4abe-b82e-89c36f61b5c7</t>
  </si>
  <si>
    <t>27711007621</t>
  </si>
  <si>
    <t>14502578</t>
  </si>
  <si>
    <t>5db37f97-9dce-453d-af51-d8e912eb60c8</t>
  </si>
  <si>
    <t>27826438356</t>
  </si>
  <si>
    <t>2026-06-02 05:32:16</t>
  </si>
  <si>
    <t>14502579</t>
  </si>
  <si>
    <t>032b98cb-0d0d-41e6-bfff-c529d0135f46</t>
  </si>
  <si>
    <t>27774895885</t>
  </si>
  <si>
    <t>14502494</t>
  </si>
  <si>
    <t>138d0593-6894-4e27-b811-7b04f278498e</t>
  </si>
  <si>
    <t>27825472799</t>
  </si>
  <si>
    <t>2026-06-01 15:44:30</t>
  </si>
  <si>
    <t>14502493</t>
  </si>
  <si>
    <t>a64553a9-1ab2-4f89-bd51-b4d56befa970</t>
  </si>
  <si>
    <t>2026-06-01 15:11:04</t>
  </si>
  <si>
    <t>27793173698</t>
  </si>
  <si>
    <t>14502496</t>
  </si>
  <si>
    <t>a4d129a8-7e0a-495f-a7d3-8f632632c091</t>
  </si>
  <si>
    <t>27609416704</t>
  </si>
  <si>
    <t>14502498</t>
  </si>
  <si>
    <t>8079a879-b030-4c78-94ee-af3a6db26d57</t>
  </si>
  <si>
    <t>27798601604</t>
  </si>
  <si>
    <t>14502505</t>
  </si>
  <si>
    <t>b30cb214-ce59-4eaa-8132-784dada96f59</t>
  </si>
  <si>
    <t>2026-06-01 15:06:14</t>
  </si>
  <si>
    <t>27647750405</t>
  </si>
  <si>
    <t>14502512</t>
  </si>
  <si>
    <t>3b8dab1f-0b09-4c4e-a0d9-dc95ec73b664</t>
  </si>
  <si>
    <t>27792902920</t>
  </si>
  <si>
    <t>14502503</t>
  </si>
  <si>
    <t>5045f382-ba25-409f-ba7f-cf38533489c8</t>
  </si>
  <si>
    <t>2026-06-01 15:06:13</t>
  </si>
  <si>
    <t>27732309982</t>
  </si>
  <si>
    <t>14502504</t>
  </si>
  <si>
    <t>f8eb918f-a61f-42e8-a85b-f4fb7ed34ea4</t>
  </si>
  <si>
    <t>27799602360</t>
  </si>
  <si>
    <t>14502502</t>
  </si>
  <si>
    <t>76e65f6f-4cbf-4dc5-baba-a65ea0483c88</t>
  </si>
  <si>
    <t>27674993527</t>
  </si>
  <si>
    <t>2026-06-01 15:05:19</t>
  </si>
  <si>
    <t>14502501</t>
  </si>
  <si>
    <t>e3fec749-ea09-46c2-ab78-f32379dd301f</t>
  </si>
  <si>
    <t>27663222452</t>
  </si>
  <si>
    <t>2026-06-01 15:05:16</t>
  </si>
  <si>
    <t>14501935</t>
  </si>
  <si>
    <t>13ba006b-52de-4c23-ab69-caf0669a2373</t>
  </si>
  <si>
    <t>2026-06-01 15:05:14</t>
  </si>
  <si>
    <t>27715850121</t>
  </si>
  <si>
    <t>14502511</t>
  </si>
  <si>
    <t>3e117d05-734c-4456-b3e1-2babad16dd70</t>
  </si>
  <si>
    <t>2026-06-01 15:04:48</t>
  </si>
  <si>
    <t>27794804297</t>
  </si>
  <si>
    <t>14502510</t>
  </si>
  <si>
    <t>d21fbedd-732a-46c3-8b53-e203a7ba9649</t>
  </si>
  <si>
    <t>2026-06-01 15:04:47</t>
  </si>
  <si>
    <t>27790540977</t>
  </si>
  <si>
    <t>14502509</t>
  </si>
  <si>
    <t>4a1bd7e5-cc80-4fa9-b141-52a8ce61903a</t>
  </si>
  <si>
    <t>2026-06-01 15:04:44</t>
  </si>
  <si>
    <t>27799811914</t>
  </si>
  <si>
    <t>14502508</t>
  </si>
  <si>
    <t>a8ac9452-7443-45e0-ba34-d12a3251decc</t>
  </si>
  <si>
    <t>27606076984</t>
  </si>
  <si>
    <t>2026-06-01 15:04:37</t>
  </si>
  <si>
    <t>14502506</t>
  </si>
  <si>
    <t>48d2832a-23c4-40dc-8e28-d206d1163dcb</t>
  </si>
  <si>
    <t>2026-06-01 15:04:35</t>
  </si>
  <si>
    <t>27726425396</t>
  </si>
  <si>
    <t>14502507</t>
  </si>
  <si>
    <t>c6946604-9971-428f-b797-25a272722556</t>
  </si>
  <si>
    <t>27791043285</t>
  </si>
  <si>
    <t>14302030</t>
  </si>
  <si>
    <t>f99bcd05-6345-45bf-bae0-4544705641d0</t>
  </si>
  <si>
    <t>27826395440</t>
  </si>
  <si>
    <t>14501797</t>
  </si>
  <si>
    <t>012c0dea-5a1d-4832-a60b-a6e23721807b</t>
  </si>
  <si>
    <t>2026-06-01 14:58:47</t>
  </si>
  <si>
    <t>27796077492</t>
  </si>
  <si>
    <t>14500378</t>
  </si>
  <si>
    <t>1a657adc-9824-4bca-8c24-4ca072ef495b</t>
  </si>
  <si>
    <t>2026-06-01 14:54:46</t>
  </si>
  <si>
    <t>27790352154</t>
  </si>
  <si>
    <t>14501738</t>
  </si>
  <si>
    <t>e6fc3a36-95ce-46f3-b1eb-a21bfb38b472</t>
  </si>
  <si>
    <t>2026-06-01 14:45:50</t>
  </si>
  <si>
    <t>27820640385</t>
  </si>
  <si>
    <t>14500715</t>
  </si>
  <si>
    <t>f577a0c3-f0c8-47c6-83fb-559211402a0f</t>
  </si>
  <si>
    <t>MLANGENI</t>
  </si>
  <si>
    <t>2026-06-01 14:31:06</t>
  </si>
  <si>
    <t>27725165779</t>
  </si>
  <si>
    <t>14500569</t>
  </si>
  <si>
    <t>ab8f576c-eaeb-4328-bacc-2e22c8afb0e4</t>
  </si>
  <si>
    <t>NYELESANI</t>
  </si>
  <si>
    <t>MUDZANANI</t>
  </si>
  <si>
    <t>2026-06-01 14:28:37</t>
  </si>
  <si>
    <t>27607879858</t>
  </si>
  <si>
    <t>14502637</t>
  </si>
  <si>
    <t>8d85698e-4fca-42a6-ab74-16dcff6487c6</t>
  </si>
  <si>
    <t>27665011876</t>
  </si>
  <si>
    <t>2026-06-01 14:27:37</t>
  </si>
  <si>
    <t>14501819</t>
  </si>
  <si>
    <t>4730db4b-8bbe-4935-90c3-7182fcff1374</t>
  </si>
  <si>
    <t>CHOMA</t>
  </si>
  <si>
    <t>2026-06-01 14:19:47</t>
  </si>
  <si>
    <t>27826118079</t>
  </si>
  <si>
    <t>14501675</t>
  </si>
  <si>
    <t>4b51c3a0-f804-4d02-9342-e63649d2c92e</t>
  </si>
  <si>
    <t>2026-06-01 14:17:23</t>
  </si>
  <si>
    <t>27726394445</t>
  </si>
  <si>
    <t>14501190</t>
  </si>
  <si>
    <t>67d652c3-7ff6-4fd0-8e63-cc87298ff18f</t>
  </si>
  <si>
    <t>BRONWYN</t>
  </si>
  <si>
    <t>RANCE</t>
  </si>
  <si>
    <t>2026-06-01 14:14:12</t>
  </si>
  <si>
    <t>27647558010</t>
  </si>
  <si>
    <t>14501628</t>
  </si>
  <si>
    <t>cfd87d3a-a7d2-4f09-a41a-e45f4c658d29</t>
  </si>
  <si>
    <t>MATSHEDISO</t>
  </si>
  <si>
    <t>GWABENI</t>
  </si>
  <si>
    <t>2026-06-01 14:13:47</t>
  </si>
  <si>
    <t>27728643108</t>
  </si>
  <si>
    <t>14501632</t>
  </si>
  <si>
    <t>b9352372-8925-4617-868d-32a9c9e827f6</t>
  </si>
  <si>
    <t>JANFRANS</t>
  </si>
  <si>
    <t>2026-06-01 13:53:03</t>
  </si>
  <si>
    <t>27663997911</t>
  </si>
  <si>
    <t>14501637</t>
  </si>
  <si>
    <t>1045ae2b-c0a1-4ab2-8169-73b109dba712</t>
  </si>
  <si>
    <t>NGWAKO</t>
  </si>
  <si>
    <t>RASEMANA</t>
  </si>
  <si>
    <t>2026-06-01 13:49:55</t>
  </si>
  <si>
    <t>27822821915</t>
  </si>
  <si>
    <t>14501489</t>
  </si>
  <si>
    <t>f55988c1-d876-45ec-8746-cbc5b4ee016e</t>
  </si>
  <si>
    <t>SEOTLOLOGE</t>
  </si>
  <si>
    <t>TALANE</t>
  </si>
  <si>
    <t>2026-06-01 13:47:09</t>
  </si>
  <si>
    <t>27725373433</t>
  </si>
  <si>
    <t>14500734</t>
  </si>
  <si>
    <t>02667b0f-9744-4741-8d71-79e7284704cd</t>
  </si>
  <si>
    <t>ITUMELENG</t>
  </si>
  <si>
    <t>SEDUPANE</t>
  </si>
  <si>
    <t>OAL</t>
  </si>
  <si>
    <t>Over Age Limit</t>
  </si>
  <si>
    <t>2026-06-01 13:45:25</t>
  </si>
  <si>
    <t>27828150714</t>
  </si>
  <si>
    <t>14500612</t>
  </si>
  <si>
    <t>44e375c6-e1f3-46a9-b4d7-8b55956d32f6</t>
  </si>
  <si>
    <t>BONGINKOSI</t>
  </si>
  <si>
    <t>2026-06-01 13:40:14</t>
  </si>
  <si>
    <t>27799276959</t>
  </si>
  <si>
    <t>14500611</t>
  </si>
  <si>
    <t>5add9962-ddd4-4fb4-b3c3-3b53ce39a908</t>
  </si>
  <si>
    <t>SKOSANA</t>
  </si>
  <si>
    <t>2026-06-01 13:40:11</t>
  </si>
  <si>
    <t>27823482864</t>
  </si>
  <si>
    <t>14500610</t>
  </si>
  <si>
    <t>c2a5c1eb-210a-41dc-978a-dc7773c66b9d</t>
  </si>
  <si>
    <t>REINECKE</t>
  </si>
  <si>
    <t>2026-06-01 13:40:08</t>
  </si>
  <si>
    <t>27828494741</t>
  </si>
  <si>
    <t>14500608</t>
  </si>
  <si>
    <t>6ba04f77-ffb1-47ac-a4db-f01d4e54e6c8</t>
  </si>
  <si>
    <t>MNTUKASIZWA</t>
  </si>
  <si>
    <t>NDAWONDE</t>
  </si>
  <si>
    <t>2026-06-01 13:40:02</t>
  </si>
  <si>
    <t>27725253955</t>
  </si>
  <si>
    <t>14500713</t>
  </si>
  <si>
    <t>5f66ff51-11b1-45c7-98c1-2c7e9c299186</t>
  </si>
  <si>
    <t>MNTAMBO</t>
  </si>
  <si>
    <t>2026-06-01 13:39:05</t>
  </si>
  <si>
    <t>27716132657</t>
  </si>
  <si>
    <t>14500685</t>
  </si>
  <si>
    <t>372c1162-1266-403c-9b20-e1517955bbbd</t>
  </si>
  <si>
    <t>DEENADAYALEN</t>
  </si>
  <si>
    <t>PILLAY</t>
  </si>
  <si>
    <t>2026-06-01 13:37:58</t>
  </si>
  <si>
    <t>27824574516</t>
  </si>
  <si>
    <t>14500694</t>
  </si>
  <si>
    <t>df488186-2ea6-4a58-b742-70533afd4a70</t>
  </si>
  <si>
    <t>NANGONZI</t>
  </si>
  <si>
    <t>MOREMI</t>
  </si>
  <si>
    <t>SELECTED</t>
  </si>
  <si>
    <t>Selected</t>
  </si>
  <si>
    <t>2026-06-01 13:36:28</t>
  </si>
  <si>
    <t>27827028974</t>
  </si>
  <si>
    <t>14501772</t>
  </si>
  <si>
    <t>a33378d9-3e60-49c1-bbd4-7a5002362c4c</t>
  </si>
  <si>
    <t>2026-06-01 13:35:19</t>
  </si>
  <si>
    <t>27729619128</t>
  </si>
  <si>
    <t>14500692</t>
  </si>
  <si>
    <t>0e147ee1-68a5-42c1-ba2d-9965b0813f91</t>
  </si>
  <si>
    <t>SALVETION</t>
  </si>
  <si>
    <t>2026-06-01 13:33:20</t>
  </si>
  <si>
    <t>27822243492</t>
  </si>
  <si>
    <t>14501795</t>
  </si>
  <si>
    <t>919df469-51da-4dae-8839-2495bf70e929</t>
  </si>
  <si>
    <t>TSHEGOFATSO</t>
  </si>
  <si>
    <t>SMOUS</t>
  </si>
  <si>
    <t>2026-06-01 13:10:43</t>
  </si>
  <si>
    <t>27662297104</t>
  </si>
  <si>
    <t>14501848</t>
  </si>
  <si>
    <t>1cb93f16-16de-4347-8d1a-e3d07cfa45c0</t>
  </si>
  <si>
    <t>ANNELISE</t>
  </si>
  <si>
    <t>2026-06-01 13:03:58</t>
  </si>
  <si>
    <t>27716093083</t>
  </si>
  <si>
    <t>14500401</t>
  </si>
  <si>
    <t>f429d2b3-8305-491e-8ac4-c1bff97480e6</t>
  </si>
  <si>
    <t>LANISH</t>
  </si>
  <si>
    <t>2026-06-01 13:01:18</t>
  </si>
  <si>
    <t>27659199979</t>
  </si>
  <si>
    <t>14501667</t>
  </si>
  <si>
    <t>bb25b340-a007-4089-b097-0140c87ac8de</t>
  </si>
  <si>
    <t>2026-06-01 13:01:04</t>
  </si>
  <si>
    <t>27822922519</t>
  </si>
  <si>
    <t>14500425</t>
  </si>
  <si>
    <t>6af37e96-c750-477c-82e1-1da56fe8666c</t>
  </si>
  <si>
    <t>MALOMANE</t>
  </si>
  <si>
    <t>2026-06-01 12:59:25</t>
  </si>
  <si>
    <t>27725505722</t>
  </si>
  <si>
    <t>14500447</t>
  </si>
  <si>
    <t>bac2a99e-780d-4b3e-84de-f480e9b20814</t>
  </si>
  <si>
    <t>RAISIBE</t>
  </si>
  <si>
    <t>MAETANE</t>
  </si>
  <si>
    <t>2026-06-01 12:57:58</t>
  </si>
  <si>
    <t>27662582328</t>
  </si>
  <si>
    <t>14500404</t>
  </si>
  <si>
    <t>caf912cb-0fca-4714-bc27-a72ec0e03a95</t>
  </si>
  <si>
    <t>SADEK</t>
  </si>
  <si>
    <t>CASSIM</t>
  </si>
  <si>
    <t>2026-06-01 12:57:26</t>
  </si>
  <si>
    <t>27609705973</t>
  </si>
  <si>
    <t>14500403</t>
  </si>
  <si>
    <t>4c6d5f33-c33b-4eda-b806-3f02c27e43d7</t>
  </si>
  <si>
    <t>VENTER</t>
  </si>
  <si>
    <t>2026-06-01 12:57:18</t>
  </si>
  <si>
    <t>27828983911</t>
  </si>
  <si>
    <t>14500410</t>
  </si>
  <si>
    <t>034f6372-12a7-4231-89f1-61951d027146</t>
  </si>
  <si>
    <t>SUKAZI</t>
  </si>
  <si>
    <t>2026-06-01 12:56:11</t>
  </si>
  <si>
    <t>27725279875</t>
  </si>
  <si>
    <t>14502692</t>
  </si>
  <si>
    <t>92726880-a04e-4244-9ce8-fc87d5f0aa25</t>
  </si>
  <si>
    <t>2026-06-01 12:55:26</t>
  </si>
  <si>
    <t>27664487008</t>
  </si>
  <si>
    <t>14500405</t>
  </si>
  <si>
    <t>ccd79371-3b91-49ad-93eb-049516bb4a4e</t>
  </si>
  <si>
    <t>MTHOKOZISI</t>
  </si>
  <si>
    <t>MGAGA</t>
  </si>
  <si>
    <t>2026-06-01 12:55:21</t>
  </si>
  <si>
    <t>27823324678</t>
  </si>
  <si>
    <t>14500407</t>
  </si>
  <si>
    <t>5fe49778-bb46-4a8d-9317-5c84e63d5e99</t>
  </si>
  <si>
    <t>MABU</t>
  </si>
  <si>
    <t>27662349282</t>
  </si>
  <si>
    <t>14501778</t>
  </si>
  <si>
    <t>aff372b6-e11a-4595-8067-501603c74189</t>
  </si>
  <si>
    <t>WASELAH</t>
  </si>
  <si>
    <t>RYKLIEF</t>
  </si>
  <si>
    <t>2026-06-01 12:55:20</t>
  </si>
  <si>
    <t>27799213339</t>
  </si>
  <si>
    <t>14500480</t>
  </si>
  <si>
    <t>23b693b4-deab-4b61-9bd2-2540e2d57afe</t>
  </si>
  <si>
    <t>DELMAINE</t>
  </si>
  <si>
    <t>CHRISTIANS</t>
  </si>
  <si>
    <t>2026-06-01 12:54:23</t>
  </si>
  <si>
    <t>27729900149</t>
  </si>
  <si>
    <t>14500479</t>
  </si>
  <si>
    <t>5e23f83b-3ecd-4063-9b8e-9d28a28d11ec</t>
  </si>
  <si>
    <t>RAMATSODANE</t>
  </si>
  <si>
    <t>MASHITJA</t>
  </si>
  <si>
    <t>2026-06-01 12:54:20</t>
  </si>
  <si>
    <t>27761155977</t>
  </si>
  <si>
    <t>14500478</t>
  </si>
  <si>
    <t>01dac8b4-d1df-4f0e-8614-f9b5784b9157</t>
  </si>
  <si>
    <t>SUDALENE</t>
  </si>
  <si>
    <t>2026-06-01 12:54:18</t>
  </si>
  <si>
    <t>27649038509</t>
  </si>
  <si>
    <t>14500471</t>
  </si>
  <si>
    <t>fed46bff-1dfb-4240-9e93-f4168ec65fb9</t>
  </si>
  <si>
    <t>PHUMELA</t>
  </si>
  <si>
    <t>CLAY</t>
  </si>
  <si>
    <t>2026-06-01 12:54:13</t>
  </si>
  <si>
    <t>27763160952</t>
  </si>
  <si>
    <t>14500469</t>
  </si>
  <si>
    <t>c57f1364-86b3-4dc7-8483-330ea9886cbb</t>
  </si>
  <si>
    <t>HOLMAN</t>
  </si>
  <si>
    <t>2026-06-01 12:54:09</t>
  </si>
  <si>
    <t>27728735645</t>
  </si>
  <si>
    <t>14500468</t>
  </si>
  <si>
    <t>e95e09b2-70ca-4252-8fe5-29caa59484a5</t>
  </si>
  <si>
    <t>KGAITSEDI</t>
  </si>
  <si>
    <t>MABUNDA</t>
  </si>
  <si>
    <t>2026-06-01 12:54:06</t>
  </si>
  <si>
    <t>27662464333</t>
  </si>
  <si>
    <t>14501891</t>
  </si>
  <si>
    <t>0602a0c4-0317-436f-b82a-5c2aee45a0dd</t>
  </si>
  <si>
    <t>2026-06-01 12:53:07</t>
  </si>
  <si>
    <t>27826232478</t>
  </si>
  <si>
    <t>14500763</t>
  </si>
  <si>
    <t>e01bc9c3-4c9c-46b2-8975-60237e4c0039</t>
  </si>
  <si>
    <t>MHUNTANE</t>
  </si>
  <si>
    <t>2026-06-01 12:52:41</t>
  </si>
  <si>
    <t>27768518237</t>
  </si>
  <si>
    <t>14501645</t>
  </si>
  <si>
    <t>f3e6e3f6-7737-4428-8d37-e6527dc6252e</t>
  </si>
  <si>
    <t>LYNDELL</t>
  </si>
  <si>
    <t>CAPTAIN</t>
  </si>
  <si>
    <t>2026-06-01 12:48:39</t>
  </si>
  <si>
    <t>27827676394</t>
  </si>
  <si>
    <t>14501575</t>
  </si>
  <si>
    <t>38de085a-c060-4428-850e-020421dd70b0</t>
  </si>
  <si>
    <t>NONHLANHLA</t>
  </si>
  <si>
    <t>2026-06-01 12:48:12</t>
  </si>
  <si>
    <t>27662698259</t>
  </si>
  <si>
    <t>14501623</t>
  </si>
  <si>
    <t>e0059148-53cf-412f-b9f1-6fc2bfea2e9b</t>
  </si>
  <si>
    <t>NONTOBEKO</t>
  </si>
  <si>
    <t>SIBISI</t>
  </si>
  <si>
    <t>2026-06-01 12:47:10</t>
  </si>
  <si>
    <t>27724316983</t>
  </si>
  <si>
    <t>14501610</t>
  </si>
  <si>
    <t>3ff5beeb-0e18-4614-9c30-d33f6d5c39b7</t>
  </si>
  <si>
    <t>NGOKWANA</t>
  </si>
  <si>
    <t>MASEKOAMENG</t>
  </si>
  <si>
    <t>2026-06-01 12:46:01</t>
  </si>
  <si>
    <t>27794444662</t>
  </si>
  <si>
    <t>14501576</t>
  </si>
  <si>
    <t>4d962f4d-941b-454c-b3f1-4c47a25b0392</t>
  </si>
  <si>
    <t>NOKUXOLELWA</t>
  </si>
  <si>
    <t>LUTHULI</t>
  </si>
  <si>
    <t>2026-06-01 12:38:55</t>
  </si>
  <si>
    <t>27662239080</t>
  </si>
  <si>
    <t>14501563</t>
  </si>
  <si>
    <t>b1bc1203-0054-44c3-9988-e978b10943e9</t>
  </si>
  <si>
    <t>2026-06-01 12:36:31</t>
  </si>
  <si>
    <t>27722160974</t>
  </si>
  <si>
    <t>14302007</t>
  </si>
  <si>
    <t>247f0781-f108-4170-858f-d09938692c84</t>
  </si>
  <si>
    <t>27795438283</t>
  </si>
  <si>
    <t>2026-06-01 12:35:16</t>
  </si>
  <si>
    <t>14500461</t>
  </si>
  <si>
    <t>888f1432-21fc-4302-8381-54e2ce5daf7e</t>
  </si>
  <si>
    <t>27823736940</t>
  </si>
  <si>
    <t>2026-06-01 12:33:01</t>
  </si>
  <si>
    <t>14500482</t>
  </si>
  <si>
    <t>495f61e3-56f5-4366-bc24-30894e6a65ad</t>
  </si>
  <si>
    <t>OAGENG</t>
  </si>
  <si>
    <t>SEIPONE</t>
  </si>
  <si>
    <t>2026-06-01 12:30:42</t>
  </si>
  <si>
    <t>27765093556</t>
  </si>
  <si>
    <t>14501304</t>
  </si>
  <si>
    <t>1e480109-f7a1-494b-84b9-10ecf44c94f0</t>
  </si>
  <si>
    <t>2026-06-01 12:28:33</t>
  </si>
  <si>
    <t>27662275515</t>
  </si>
  <si>
    <t>14500557</t>
  </si>
  <si>
    <t>9f7c6a98-4ca5-4a18-ae6e-2babd74381bb</t>
  </si>
  <si>
    <t>NICODIMUS</t>
  </si>
  <si>
    <t>NKOMO</t>
  </si>
  <si>
    <t>2026-06-01 12:18:59</t>
  </si>
  <si>
    <t>27795034543</t>
  </si>
  <si>
    <t>14500602</t>
  </si>
  <si>
    <t>2563ecc6-5f47-465a-bec9-eebcb80e0676</t>
  </si>
  <si>
    <t>DONOVAN</t>
  </si>
  <si>
    <t>VAN HEERDEN</t>
  </si>
  <si>
    <t>2026-06-01 12:16:14</t>
  </si>
  <si>
    <t>27827836210</t>
  </si>
  <si>
    <t>14500575</t>
  </si>
  <si>
    <t>2336c30a-8dc0-4e89-a81f-e8a4932faa90</t>
  </si>
  <si>
    <t>MAMBANE</t>
  </si>
  <si>
    <t>2026-06-01 12:14:37</t>
  </si>
  <si>
    <t>27829902731</t>
  </si>
  <si>
    <t>14500574</t>
  </si>
  <si>
    <t>57f28bde-718b-49ea-a5eb-62e9e545583d</t>
  </si>
  <si>
    <t>2026-06-01 12:12:43</t>
  </si>
  <si>
    <t>27606783181</t>
  </si>
  <si>
    <t>14500589</t>
  </si>
  <si>
    <t>821c9b13-79a8-4e08-912c-04655fe8768e</t>
  </si>
  <si>
    <t>SINDISWA</t>
  </si>
  <si>
    <t>JAKAVULA</t>
  </si>
  <si>
    <t>2026-06-01 12:08:38</t>
  </si>
  <si>
    <t>27609708201</t>
  </si>
  <si>
    <t>14500618</t>
  </si>
  <si>
    <t>991ebc6f-7c11-4bd4-a70f-7ed7ce223c32</t>
  </si>
  <si>
    <t>THULE</t>
  </si>
  <si>
    <t>MADLALA</t>
  </si>
  <si>
    <t>2026-06-01 12:06:01</t>
  </si>
  <si>
    <t>27823216741</t>
  </si>
  <si>
    <t>14500977</t>
  </si>
  <si>
    <t>1af0adce-ae67-4050-8fa1-c0ac3770a21a</t>
  </si>
  <si>
    <t>LELATELA</t>
  </si>
  <si>
    <t>SEOPA</t>
  </si>
  <si>
    <t>2026-06-01 12:05:33</t>
  </si>
  <si>
    <t>27662678803</t>
  </si>
  <si>
    <t>14501757</t>
  </si>
  <si>
    <t>0c2c0d6c-947d-45cb-b87d-be9d71c7d10f</t>
  </si>
  <si>
    <t>LYDIA</t>
  </si>
  <si>
    <t>RAMASILO</t>
  </si>
  <si>
    <t>2026-06-01 12:02:06</t>
  </si>
  <si>
    <t>27827860020</t>
  </si>
  <si>
    <t>14500660</t>
  </si>
  <si>
    <t>ca63b9ed-f879-4e9e-bd08-ce05ee8b2b59</t>
  </si>
  <si>
    <t>MONOKOANE</t>
  </si>
  <si>
    <t>2026-06-01 11:59:42</t>
  </si>
  <si>
    <t>27723387278</t>
  </si>
  <si>
    <t>14500680</t>
  </si>
  <si>
    <t>9a96dfa7-464b-4133-8357-641097d04af1</t>
  </si>
  <si>
    <t>AYSHA</t>
  </si>
  <si>
    <t>ASMAL</t>
  </si>
  <si>
    <t>2026-06-01 11:57:55</t>
  </si>
  <si>
    <t>27767253197</t>
  </si>
  <si>
    <t>14500764</t>
  </si>
  <si>
    <t>e70c143d-382d-45a3-a6bb-a3e623593f2c</t>
  </si>
  <si>
    <t>JOELENE</t>
  </si>
  <si>
    <t>2026-06-01 11:34:37</t>
  </si>
  <si>
    <t>27722656992</t>
  </si>
  <si>
    <t>14500874</t>
  </si>
  <si>
    <t>cd0ce0c7-cc25-41f2-8e0c-690f55407cb1</t>
  </si>
  <si>
    <t>PETRUS</t>
  </si>
  <si>
    <t>OBERHOLZER</t>
  </si>
  <si>
    <t>2026-06-01 11:21:25</t>
  </si>
  <si>
    <t>27828899502</t>
  </si>
  <si>
    <t>14501167</t>
  </si>
  <si>
    <t>024a98ff-57c4-494b-8604-450ae65c71f0</t>
  </si>
  <si>
    <t>JAN-ABRAHAM</t>
  </si>
  <si>
    <t>VAN BILJON</t>
  </si>
  <si>
    <t>2026-06-01 11:14:41</t>
  </si>
  <si>
    <t>27764828297</t>
  </si>
  <si>
    <t>14501783</t>
  </si>
  <si>
    <t>aecdf675-d4c7-45f4-9afb-eb10f1a098fc</t>
  </si>
  <si>
    <t>MOOKAMEDI</t>
  </si>
  <si>
    <t>2026-06-01 11:10:46</t>
  </si>
  <si>
    <t>27725877814</t>
  </si>
  <si>
    <t>14501711</t>
  </si>
  <si>
    <t>e9f52c45-30af-46f2-bf11-3d2096f3e22b</t>
  </si>
  <si>
    <t>SIMANGALISO</t>
  </si>
  <si>
    <t>2026-06-01 11:08:27</t>
  </si>
  <si>
    <t>27764894154</t>
  </si>
  <si>
    <t>14500913</t>
  </si>
  <si>
    <t>b250e82d-7f32-4a7e-838d-eccf8b495ce2</t>
  </si>
  <si>
    <t>THERESE</t>
  </si>
  <si>
    <t>DU TOIT</t>
  </si>
  <si>
    <t>2026-06-01 11:04:35</t>
  </si>
  <si>
    <t>27728677468</t>
  </si>
  <si>
    <t>14501125</t>
  </si>
  <si>
    <t>d965d51c-9d1b-4ba4-bdd9-7d0cbd9ef626</t>
  </si>
  <si>
    <t>NOBULALI</t>
  </si>
  <si>
    <t>MFENGU</t>
  </si>
  <si>
    <t>2026-06-01 11:03:19</t>
  </si>
  <si>
    <t>27790430893</t>
  </si>
  <si>
    <t>14500909</t>
  </si>
  <si>
    <t>d795170f-6309-45ac-815b-41549a9f7332</t>
  </si>
  <si>
    <t>NAUDE</t>
  </si>
  <si>
    <t>2026-06-01 11:02:39</t>
  </si>
  <si>
    <t>27825643069</t>
  </si>
  <si>
    <t>14500937</t>
  </si>
  <si>
    <t>00c90124-7db7-4b9b-82f6-997d0139430a</t>
  </si>
  <si>
    <t>SAMSON</t>
  </si>
  <si>
    <t>RUWISI</t>
  </si>
  <si>
    <t>2026-06-01 10:58:13</t>
  </si>
  <si>
    <t>27791135565</t>
  </si>
  <si>
    <t>14500955</t>
  </si>
  <si>
    <t>b22798f3-3461-45fc-b1dc-97e4aaf850bc</t>
  </si>
  <si>
    <t>ALLECTA</t>
  </si>
  <si>
    <t>MYENDE</t>
  </si>
  <si>
    <t>2026-06-01 10:54:50</t>
  </si>
  <si>
    <t>27712442407</t>
  </si>
  <si>
    <t>14501753</t>
  </si>
  <si>
    <t>799227b5-a4c4-46d5-b6d1-c945cf959bf7</t>
  </si>
  <si>
    <t>CEDRICK</t>
  </si>
  <si>
    <t>2026-06-01 10:54:26</t>
  </si>
  <si>
    <t>27827360782</t>
  </si>
  <si>
    <t>14500984</t>
  </si>
  <si>
    <t>b12b6cda-7b74-471d-8ef7-f273f8bd109f</t>
  </si>
  <si>
    <t>MOKWALE</t>
  </si>
  <si>
    <t>2026-06-01 10:46:22</t>
  </si>
  <si>
    <t>27662534101</t>
  </si>
  <si>
    <t>14500980</t>
  </si>
  <si>
    <t>9378956f-d45f-4cfe-8368-64f3d7c7c868</t>
  </si>
  <si>
    <t>LIEZL</t>
  </si>
  <si>
    <t>2026-06-01 10:45:51</t>
  </si>
  <si>
    <t>27799667612</t>
  </si>
  <si>
    <t>14501106</t>
  </si>
  <si>
    <t>8b888575-1754-4dee-9454-b9e0a1cc5b6a</t>
  </si>
  <si>
    <t>MNGOMA</t>
  </si>
  <si>
    <t>2026-06-01 10:31:31</t>
  </si>
  <si>
    <t>27637726293</t>
  </si>
  <si>
    <t>14501075</t>
  </si>
  <si>
    <t>1ca8aeaf-bd43-4524-8b60-496a9a3e13ee</t>
  </si>
  <si>
    <t>KENT</t>
  </si>
  <si>
    <t>2026-06-01 10:29:57</t>
  </si>
  <si>
    <t>27715962071</t>
  </si>
  <si>
    <t>14501026</t>
  </si>
  <si>
    <t>a19acd1c-6215-42d9-b12c-1e2d65d0daf8</t>
  </si>
  <si>
    <t>STEWART</t>
  </si>
  <si>
    <t>2026-06-01 10:28:22</t>
  </si>
  <si>
    <t>27649079397</t>
  </si>
  <si>
    <t>14298805</t>
  </si>
  <si>
    <t>f24f4f68-81b5-4a24-89be-19795ca30290</t>
  </si>
  <si>
    <t>27799674914</t>
  </si>
  <si>
    <t>2026-06-01 10:25:53</t>
  </si>
  <si>
    <t>14501228</t>
  </si>
  <si>
    <t>8c46d79f-e544-4175-b042-33761a69a942</t>
  </si>
  <si>
    <t>MICHELL</t>
  </si>
  <si>
    <t>SITYEBI</t>
  </si>
  <si>
    <t>DNQF</t>
  </si>
  <si>
    <t>Do Not Qualify Failed Medical Question</t>
  </si>
  <si>
    <t>2026-06-01 10:16:24</t>
  </si>
  <si>
    <t>27635403275</t>
  </si>
  <si>
    <t>14501265</t>
  </si>
  <si>
    <t>3d0e47f7-6301-40c7-a443-2ee319089683</t>
  </si>
  <si>
    <t>MALEBOGO</t>
  </si>
  <si>
    <t>MONAGENG</t>
  </si>
  <si>
    <t>2026-06-01 10:13:20</t>
  </si>
  <si>
    <t>27662749240</t>
  </si>
  <si>
    <t>14501237</t>
  </si>
  <si>
    <t>102d11eb-2e9b-4de4-9e28-70136f0763cb</t>
  </si>
  <si>
    <t>2026-06-01 10:09:05</t>
  </si>
  <si>
    <t>27823593761</t>
  </si>
  <si>
    <t>14501359</t>
  </si>
  <si>
    <t>512374f2-2291-4328-864a-613453dec613</t>
  </si>
  <si>
    <t>MONGOWE</t>
  </si>
  <si>
    <t>MOFOKENG</t>
  </si>
  <si>
    <t>2026-06-01 10:01:17</t>
  </si>
  <si>
    <t>27761547516</t>
  </si>
  <si>
    <t>14501357</t>
  </si>
  <si>
    <t>d851f938-bd80-43a4-86c2-ab11e053b9cd</t>
  </si>
  <si>
    <t>MYINDI</t>
  </si>
  <si>
    <t>2026-06-01 10:01:14</t>
  </si>
  <si>
    <t>27647212245</t>
  </si>
  <si>
    <t>14501458</t>
  </si>
  <si>
    <t>cbd2bb42-28c6-4b53-9f8b-4e986992b8f2</t>
  </si>
  <si>
    <t>NORMAN</t>
  </si>
  <si>
    <t>MUGARIRI</t>
  </si>
  <si>
    <t>2026-06-01 09:59:48</t>
  </si>
  <si>
    <t>27820991208</t>
  </si>
  <si>
    <t>14501406</t>
  </si>
  <si>
    <t>e4636afb-3544-405a-9ed9-a8da142a0c69</t>
  </si>
  <si>
    <t>2026-06-01 09:56:40</t>
  </si>
  <si>
    <t>27649047613</t>
  </si>
  <si>
    <t>14501444</t>
  </si>
  <si>
    <t>80ea4a74-c03f-4754-89fd-2fc50188c760</t>
  </si>
  <si>
    <t>POOLE</t>
  </si>
  <si>
    <t>2026-06-01 09:54:11</t>
  </si>
  <si>
    <t>27723646172</t>
  </si>
  <si>
    <t>14501539</t>
  </si>
  <si>
    <t>60c0d9aa-489f-4066-9dd8-b46588ca9b9d</t>
  </si>
  <si>
    <t>KWINDA</t>
  </si>
  <si>
    <t>2026-06-01 09:53:46</t>
  </si>
  <si>
    <t>27662225583</t>
  </si>
  <si>
    <t>14501501</t>
  </si>
  <si>
    <t>61e0ae65-60c0-4e75-a0d5-8b46d7b65e46</t>
  </si>
  <si>
    <t>DAUGALUS</t>
  </si>
  <si>
    <t>CUPIDO</t>
  </si>
  <si>
    <t>2026-06-01 09:46:08</t>
  </si>
  <si>
    <t>27825236357</t>
  </si>
  <si>
    <t>14501497</t>
  </si>
  <si>
    <t>73820ab7-79af-4eb1-a2cc-023590e78699</t>
  </si>
  <si>
    <t>SEBOPA</t>
  </si>
  <si>
    <t>2026-06-01 09:45:36</t>
  </si>
  <si>
    <t>27761718463</t>
  </si>
  <si>
    <t>14502381</t>
  </si>
  <si>
    <t>2960824d-1b6d-40b3-897f-8a10e24ea80f</t>
  </si>
  <si>
    <t>27767841238</t>
  </si>
  <si>
    <t>2026-06-01 09:38:58</t>
  </si>
  <si>
    <t>14502401</t>
  </si>
  <si>
    <t>fdd890b5-b07e-4c01-a4f3-2522813279fe</t>
  </si>
  <si>
    <t>27793141298</t>
  </si>
  <si>
    <t>2026-06-01 09:37:04</t>
  </si>
  <si>
    <t>14502001</t>
  </si>
  <si>
    <t>59c4f647-91c4-4dfb-8e71-4638082ffe08</t>
  </si>
  <si>
    <t>2026-06-01 09:36:07</t>
  </si>
  <si>
    <t>27827007148</t>
  </si>
  <si>
    <t>14502576</t>
  </si>
  <si>
    <t>2c94dbf7-ff06-4070-985a-9660b5a618a8</t>
  </si>
  <si>
    <t>2026-06-01 09:33:12</t>
  </si>
  <si>
    <t>27843146713</t>
  </si>
  <si>
    <t>14502607</t>
  </si>
  <si>
    <t>2efd75ef-17a3-4f27-863b-08b6f4f5d52e</t>
  </si>
  <si>
    <t>27769681428</t>
  </si>
  <si>
    <t>2026-06-01 09:29:28</t>
  </si>
  <si>
    <t>14502609</t>
  </si>
  <si>
    <t>4843ae90-d049-4e6d-b229-3cd08980e867</t>
  </si>
  <si>
    <t>2026-06-01 09:21:18</t>
  </si>
  <si>
    <t>27828365253</t>
  </si>
  <si>
    <t>14502703</t>
  </si>
  <si>
    <t>f7e63a5b-c864-4c88-aa73-70ed908ac795</t>
  </si>
  <si>
    <t>27766571496</t>
  </si>
  <si>
    <t>2026-06-01 09:17:33</t>
  </si>
  <si>
    <t>14502632</t>
  </si>
  <si>
    <t>4680d2d3-91b3-46a9-9567-471700a8f355</t>
  </si>
  <si>
    <t>27790421290</t>
  </si>
  <si>
    <t>2026-06-01 09:15:36</t>
  </si>
  <si>
    <t>14298032</t>
  </si>
  <si>
    <t>2e57bb8f-36a0-4ac2-bc75-130290062131</t>
  </si>
  <si>
    <t>27609362721</t>
  </si>
  <si>
    <t>2026-06-01 09:14:20</t>
  </si>
  <si>
    <t>14501976</t>
  </si>
  <si>
    <t>a1a7b47a-0228-44b8-8fc5-e72e21b80bf3</t>
  </si>
  <si>
    <t>27728521395</t>
  </si>
  <si>
    <t>2026-06-01 09:12:16</t>
  </si>
  <si>
    <t>14501966</t>
  </si>
  <si>
    <t>de9a3d01-6679-41db-a804-3ea35c919bef</t>
  </si>
  <si>
    <t>27724722242</t>
  </si>
  <si>
    <t>2026-06-01 09:09:04</t>
  </si>
  <si>
    <t>14502681</t>
  </si>
  <si>
    <t>c21e897e-67b4-43c7-96f7-b6a28427fcc5</t>
  </si>
  <si>
    <t>2026-06-01 09:06:21</t>
  </si>
  <si>
    <t>27723243894</t>
  </si>
  <si>
    <t>14502684</t>
  </si>
  <si>
    <t>09df4435-fb08-4d6c-8cd5-13da301bff38</t>
  </si>
  <si>
    <t>2026-06-01 09:04:31</t>
  </si>
  <si>
    <t>27727678157</t>
  </si>
  <si>
    <t>14501915</t>
  </si>
  <si>
    <t>54f834d2-77f2-42a9-a59c-867225b3d386</t>
  </si>
  <si>
    <t>27729656401</t>
  </si>
  <si>
    <t>2026-06-01 09:00:57</t>
  </si>
  <si>
    <t>14501909</t>
  </si>
  <si>
    <t>8c48801c-6721-449a-9a13-6867107d8c94</t>
  </si>
  <si>
    <t>27760715918</t>
  </si>
  <si>
    <t>2026-06-01 08:59:11</t>
  </si>
  <si>
    <t>14502707</t>
  </si>
  <si>
    <t>f86673a8-a97a-4cda-88a8-a0d9356c8df5</t>
  </si>
  <si>
    <t>2026-06-01 08:57:06</t>
  </si>
  <si>
    <t>27791129317</t>
  </si>
  <si>
    <t>14502712</t>
  </si>
  <si>
    <t>a700fa27-7002-4293-87db-6e593d7b3de5</t>
  </si>
  <si>
    <t>2026-06-01 08:54:27</t>
  </si>
  <si>
    <t>27660496171</t>
  </si>
  <si>
    <t>14502720</t>
  </si>
  <si>
    <t>a1d1ff45-d3ee-443f-9c2a-4a63f09b45df</t>
  </si>
  <si>
    <t>2026-06-01 08:42:21</t>
  </si>
  <si>
    <t>27660368417</t>
  </si>
  <si>
    <t>14502019</t>
  </si>
  <si>
    <t>7aeabbad-a598-491e-82a4-451b41b4eda4</t>
  </si>
  <si>
    <t>27725017295</t>
  </si>
  <si>
    <t>2026-06-01 08:39:26</t>
  </si>
  <si>
    <t>14502170</t>
  </si>
  <si>
    <t>d97622c8-4dc3-4df5-b224-e9e690d04589</t>
  </si>
  <si>
    <t>2026-06-01 08:35:29</t>
  </si>
  <si>
    <t>27646436555</t>
  </si>
  <si>
    <t>14502410</t>
  </si>
  <si>
    <t>801e10b9-f4b7-47e0-a9a4-451b176b24d3</t>
  </si>
  <si>
    <t>27720136372</t>
  </si>
  <si>
    <t>AGE</t>
  </si>
  <si>
    <t>Under Age</t>
  </si>
  <si>
    <t>2026-06-01 08:30:35</t>
  </si>
  <si>
    <t>14502125</t>
  </si>
  <si>
    <t>58e75155-196e-41fc-aa31-861f5caea35b</t>
  </si>
  <si>
    <t>27767654404</t>
  </si>
  <si>
    <t>2026-06-01 08:28:28</t>
  </si>
  <si>
    <t>14502869</t>
  </si>
  <si>
    <t>8d7e2792-a46b-4550-b5d8-777dd6f62813</t>
  </si>
  <si>
    <t>2026-06-01 08:26:19</t>
  </si>
  <si>
    <t>27760537466</t>
  </si>
  <si>
    <t>14502026</t>
  </si>
  <si>
    <t>0e5393ac-603e-403f-8389-7b38b2b0f864</t>
  </si>
  <si>
    <t>27823471440</t>
  </si>
  <si>
    <t>2026-06-01 08:26:18</t>
  </si>
  <si>
    <t>14502063</t>
  </si>
  <si>
    <t>6f18fe89-79c1-4ca3-9a3e-eac19ee91581</t>
  </si>
  <si>
    <t>2026-06-01 08:25:00</t>
  </si>
  <si>
    <t>27648650450</t>
  </si>
  <si>
    <t>14502049</t>
  </si>
  <si>
    <t>4ef34e48-f7f1-42b2-bf4a-28c018d70304</t>
  </si>
  <si>
    <t>2026-06-01 08:23:49</t>
  </si>
  <si>
    <t>27827116856</t>
  </si>
  <si>
    <t>14502299</t>
  </si>
  <si>
    <t>3527fa8c-b70b-42dd-b4b1-326fbf19fe97</t>
  </si>
  <si>
    <t>2026-06-01 08:02:17</t>
  </si>
  <si>
    <t>27637257879</t>
  </si>
  <si>
    <t>14502735</t>
  </si>
  <si>
    <t>12716542-a36f-4d85-a526-e5a5bcbda680</t>
  </si>
  <si>
    <t>27660625624</t>
  </si>
  <si>
    <t>2026-06-01 07:59:08</t>
  </si>
  <si>
    <t>14502364</t>
  </si>
  <si>
    <t>b18645fb-f26f-4df8-b7fa-fa61b2ff79f0</t>
  </si>
  <si>
    <t>2026-06-01 07:56:05</t>
  </si>
  <si>
    <t>27728274417</t>
  </si>
  <si>
    <t>14502338</t>
  </si>
  <si>
    <t>b98d9d93-d5ab-4844-af61-f4619c0e9a35</t>
  </si>
  <si>
    <t>2026-06-01 07:53:52</t>
  </si>
  <si>
    <t>27826088266</t>
  </si>
  <si>
    <t>14502330</t>
  </si>
  <si>
    <t>6911a68e-57b7-4e27-b9e5-c010dd9bebd5</t>
  </si>
  <si>
    <t>27723649210</t>
  </si>
  <si>
    <t>2026-06-01 07:52:29</t>
  </si>
  <si>
    <t>14502323</t>
  </si>
  <si>
    <t>1df5a5c9-0022-4304-8f45-81d4c49c5263</t>
  </si>
  <si>
    <t>2026-06-01 07:51:21</t>
  </si>
  <si>
    <t>27763727625</t>
  </si>
  <si>
    <t>14502285</t>
  </si>
  <si>
    <t>211fed1c-c30f-44e8-b9ca-132f017af240</t>
  </si>
  <si>
    <t>2026-06-01 07:51:07</t>
  </si>
  <si>
    <t>27673800210</t>
  </si>
  <si>
    <t>14502274</t>
  </si>
  <si>
    <t>30229177-0351-4885-9dc0-1adab2f2f626</t>
  </si>
  <si>
    <t>2026-06-01 07:50:24</t>
  </si>
  <si>
    <t>27818823814</t>
  </si>
  <si>
    <t>14502306</t>
  </si>
  <si>
    <t>67ec45d4-37db-4974-9164-14da43b47066</t>
  </si>
  <si>
    <t>27761681679</t>
  </si>
  <si>
    <t>2026-06-01 07:40:27</t>
  </si>
  <si>
    <t>14502305</t>
  </si>
  <si>
    <t>0aaadcf0-f0e6-4fcc-be9e-4b62d80affc0</t>
  </si>
  <si>
    <t>27820527676</t>
  </si>
  <si>
    <t>2026-06-01 07:40:21</t>
  </si>
  <si>
    <t>14502294</t>
  </si>
  <si>
    <t>b61b5eb8-e97e-4d74-a36e-3dea0969b876</t>
  </si>
  <si>
    <t>27722533898</t>
  </si>
  <si>
    <t>2026-06-01 07:38:16</t>
  </si>
  <si>
    <t>14502449</t>
  </si>
  <si>
    <t>5c5b1359-2585-4af2-8cf1-550b20cea597</t>
  </si>
  <si>
    <t>27793563472</t>
  </si>
  <si>
    <t>2026-06-01 07:33:39</t>
  </si>
  <si>
    <t>14502407</t>
  </si>
  <si>
    <t>ca971d86-cf94-4b58-97cd-947a5e1939a5</t>
  </si>
  <si>
    <t>27607492555</t>
  </si>
  <si>
    <t>2026-06-01 07:33:35</t>
  </si>
  <si>
    <t>14502405</t>
  </si>
  <si>
    <t>7f9e562c-b48e-4757-bd05-421b4c878d2d</t>
  </si>
  <si>
    <t>2026-06-01 07:33:33</t>
  </si>
  <si>
    <t>27725894222</t>
  </si>
  <si>
    <t>14502436</t>
  </si>
  <si>
    <t>18eaaef3-2a54-467c-a02d-f093e5eefad1</t>
  </si>
  <si>
    <t>27723208982</t>
  </si>
  <si>
    <t>2026-06-01 07:31:10</t>
  </si>
  <si>
    <t>14502420</t>
  </si>
  <si>
    <t>80c8af50-f400-4744-88b1-1b31d9faf22c</t>
  </si>
  <si>
    <t>27795859097</t>
  </si>
  <si>
    <t>2026-06-01 07:29:43</t>
  </si>
  <si>
    <t>14502820</t>
  </si>
  <si>
    <t>b5ef7afe-6ca9-4732-a007-fa7072d20c2e</t>
  </si>
  <si>
    <t>27828404844</t>
  </si>
  <si>
    <t>2026-06-01 07:27:05</t>
  </si>
  <si>
    <t>14502462</t>
  </si>
  <si>
    <t>c95b5b85-7cfa-4e63-8e47-9bbb68751e1d</t>
  </si>
  <si>
    <t>2026-06-01 07:20:44</t>
  </si>
  <si>
    <t>27722539728</t>
  </si>
  <si>
    <t>14500845</t>
  </si>
  <si>
    <t>d4c1b769-c479-4298-8299-1cd465f0c50a</t>
  </si>
  <si>
    <t>MARGARET</t>
  </si>
  <si>
    <t>SEHEBENG</t>
  </si>
  <si>
    <t>AFTHRS</t>
  </si>
  <si>
    <t>Inbound After Hours Drop</t>
  </si>
  <si>
    <t>2026-05-31 18:00:59</t>
  </si>
  <si>
    <t>27714806515</t>
  </si>
  <si>
    <t>14297892</t>
  </si>
  <si>
    <t>b93800fd-f7e1-4cb9-9e9e-d454d9d8846a</t>
  </si>
  <si>
    <t>27606762469</t>
  </si>
  <si>
    <t>2026-05-31 17:41:35</t>
  </si>
  <si>
    <t>14501311</t>
  </si>
  <si>
    <t>6787de65-d0c3-4837-8be1-fe0ac357046d</t>
  </si>
  <si>
    <t>BJ</t>
  </si>
  <si>
    <t>LEVENDIG</t>
  </si>
  <si>
    <t>2026-05-31 11:19:59</t>
  </si>
  <si>
    <t>27738303146</t>
  </si>
  <si>
    <t>14301581</t>
  </si>
  <si>
    <t>d2335d15-0da4-4dba-a29c-0924b5783e0c</t>
  </si>
  <si>
    <t>27664036875</t>
  </si>
  <si>
    <t>2026-05-30 14:49:54</t>
  </si>
  <si>
    <t>14298758</t>
  </si>
  <si>
    <t>d2fe85fc-d61b-401f-9d66-64906037f6cb</t>
  </si>
  <si>
    <t>27820440737</t>
  </si>
  <si>
    <t>2026-05-30 04:36:08</t>
  </si>
  <si>
    <t>14297787</t>
  </si>
  <si>
    <t>9fceea6f-3703-4879-9f42-9b3a79b84522</t>
  </si>
  <si>
    <t>27714295654</t>
  </si>
  <si>
    <t>2026-05-29 15:14:35</t>
  </si>
  <si>
    <t>14502497</t>
  </si>
  <si>
    <t>6a34abb1-aa67-4cb6-8494-5aa1c211dc46</t>
  </si>
  <si>
    <t>27796066695</t>
  </si>
  <si>
    <t>2026-05-29 12:28:35</t>
  </si>
  <si>
    <t>14501666</t>
  </si>
  <si>
    <t>d0f502c0-3140-4a3d-96f9-52e15219e9c7</t>
  </si>
  <si>
    <t>NTHOBA</t>
  </si>
  <si>
    <t>2026-05-29 12:21:23</t>
  </si>
  <si>
    <t>27760256738</t>
  </si>
  <si>
    <t>14500567</t>
  </si>
  <si>
    <t>d6f21789-d1e6-4269-bea3-c4d9959cb772</t>
  </si>
  <si>
    <t>MATSIE</t>
  </si>
  <si>
    <t>RAMAGWELE</t>
  </si>
  <si>
    <t>2026-05-29 12:14:07</t>
  </si>
  <si>
    <t>27798181524</t>
  </si>
  <si>
    <t>14501824</t>
  </si>
  <si>
    <t>3496548d-bff4-4040-9a98-768b09d4f4da</t>
  </si>
  <si>
    <t>TSHEHLA</t>
  </si>
  <si>
    <t>MPHOGO</t>
  </si>
  <si>
    <t>2026-05-29 11:50:15</t>
  </si>
  <si>
    <t>27728177195</t>
  </si>
  <si>
    <t>14500484</t>
  </si>
  <si>
    <t>66d1e4e5-b41f-43a3-9e9d-262c9baf1782</t>
  </si>
  <si>
    <t>2026-05-29 10:48:32</t>
  </si>
  <si>
    <t>27829275912</t>
  </si>
  <si>
    <t>14500497</t>
  </si>
  <si>
    <t>6247de1f-9993-40f3-88ab-e7b6f3672782</t>
  </si>
  <si>
    <t>NDIFELANI</t>
  </si>
  <si>
    <t>NNDUVHENI</t>
  </si>
  <si>
    <t>2026-05-29 10:44:18</t>
  </si>
  <si>
    <t>27716764371</t>
  </si>
  <si>
    <t>14500524</t>
  </si>
  <si>
    <t>2986e73e-d190-46fc-a4f0-88344b99b8c0</t>
  </si>
  <si>
    <t>2026-05-29 10:41:03</t>
  </si>
  <si>
    <t>27799565634</t>
  </si>
  <si>
    <t>14501766</t>
  </si>
  <si>
    <t>047afe64-cf0e-404d-974a-8b63714283bb</t>
  </si>
  <si>
    <t>MELUSI</t>
  </si>
  <si>
    <t>SHABANGU</t>
  </si>
  <si>
    <t>2026-05-29 10:16:03</t>
  </si>
  <si>
    <t>27768033938</t>
  </si>
  <si>
    <t>14501650</t>
  </si>
  <si>
    <t>76201999-98f9-4064-b6e7-7d6f7701c9cc</t>
  </si>
  <si>
    <t>2026-05-29 10:14:24</t>
  </si>
  <si>
    <t>27824696500</t>
  </si>
  <si>
    <t>14500722</t>
  </si>
  <si>
    <t>71011bc6-2338-4a8e-9328-796c5feadbd2</t>
  </si>
  <si>
    <t>MANDLA</t>
  </si>
  <si>
    <t>MABUZA</t>
  </si>
  <si>
    <t>2026-05-29 10:01:21</t>
  </si>
  <si>
    <t>27726473357</t>
  </si>
  <si>
    <t>14500607</t>
  </si>
  <si>
    <t>a5dd0230-9f3a-458a-8489-4c588a104d68</t>
  </si>
  <si>
    <t>MARKUS</t>
  </si>
  <si>
    <t>BORNER</t>
  </si>
  <si>
    <t>2026-05-29 09:54:19</t>
  </si>
  <si>
    <t>27662270067</t>
  </si>
  <si>
    <t>14500674</t>
  </si>
  <si>
    <t>021d110c-861e-4307-95a1-df440bbffcf7</t>
  </si>
  <si>
    <t>RAMOKHOASE</t>
  </si>
  <si>
    <t>2026-05-29 09:49:12</t>
  </si>
  <si>
    <t>27662982946</t>
  </si>
  <si>
    <t>14500638</t>
  </si>
  <si>
    <t>1cf26b63-3359-4241-8061-259be8505307</t>
  </si>
  <si>
    <t>THAMSANQA</t>
  </si>
  <si>
    <t>2026-05-29 09:44:37</t>
  </si>
  <si>
    <t>27660135789</t>
  </si>
  <si>
    <t>14500757</t>
  </si>
  <si>
    <t>aac381de-9a4a-4896-b283-2bb7f8080192</t>
  </si>
  <si>
    <t>ALINA</t>
  </si>
  <si>
    <t>SELEPE</t>
  </si>
  <si>
    <t>2026-05-29 09:32:41</t>
  </si>
  <si>
    <t>27727367069</t>
  </si>
  <si>
    <t>14500807</t>
  </si>
  <si>
    <t>8373b90b-30cb-4209-81d3-0a3f15f0f90c</t>
  </si>
  <si>
    <t>SONJANI</t>
  </si>
  <si>
    <t>2026-05-29 09:31:42</t>
  </si>
  <si>
    <t>27713317827</t>
  </si>
  <si>
    <t>14500859</t>
  </si>
  <si>
    <t>dfa2ebf2-5092-4564-b592-605bb65ed2df</t>
  </si>
  <si>
    <t>R</t>
  </si>
  <si>
    <t>GOOTKIN</t>
  </si>
  <si>
    <t>2026-05-29 09:23:33</t>
  </si>
  <si>
    <t>27720734277</t>
  </si>
  <si>
    <t>14501031</t>
  </si>
  <si>
    <t>35971d1a-630e-4c8b-a776-2cf9a95893ae</t>
  </si>
  <si>
    <t>CONSTANCE</t>
  </si>
  <si>
    <t>JAMA</t>
  </si>
  <si>
    <t>2026-05-29 09:04:28</t>
  </si>
  <si>
    <t>27647503293</t>
  </si>
  <si>
    <t>14501020</t>
  </si>
  <si>
    <t>4a2c3cb1-b8ed-4b71-90ad-d86544a4096d</t>
  </si>
  <si>
    <t>TSAONE</t>
  </si>
  <si>
    <t>MOTSEONAGENG</t>
  </si>
  <si>
    <t>2026-05-29 08:55:07</t>
  </si>
  <si>
    <t>27828025870</t>
  </si>
  <si>
    <t>14501690</t>
  </si>
  <si>
    <t>5080caf9-bf44-43b1-af2d-048c7f9bcd53</t>
  </si>
  <si>
    <t>ROBBINSON</t>
  </si>
  <si>
    <t>BISHONGA</t>
  </si>
  <si>
    <t>2026-05-29 08:37:25</t>
  </si>
  <si>
    <t>27796564611</t>
  </si>
  <si>
    <t>14501156</t>
  </si>
  <si>
    <t>5ee9e508-d152-4737-9fe3-0aa7dfab1841</t>
  </si>
  <si>
    <t>ZINHLE</t>
  </si>
  <si>
    <t>2026-05-29 08:35:56</t>
  </si>
  <si>
    <t>27794394901</t>
  </si>
  <si>
    <t>14501323</t>
  </si>
  <si>
    <t>5ec81e64-46dc-4826-b64f-7aa8f665e263</t>
  </si>
  <si>
    <t>SHELDON</t>
  </si>
  <si>
    <t>MEALING</t>
  </si>
  <si>
    <t>2026-05-29 08:34:44</t>
  </si>
  <si>
    <t>27764313815</t>
  </si>
  <si>
    <t>14500417</t>
  </si>
  <si>
    <t>f7c3e4b6-4f55-46a8-b39b-fe993a9295a7</t>
  </si>
  <si>
    <t>CORNERS</t>
  </si>
  <si>
    <t>MARULE</t>
  </si>
  <si>
    <t>2026-05-29 08:24:04</t>
  </si>
  <si>
    <t>27721603823</t>
  </si>
  <si>
    <t>14501279</t>
  </si>
  <si>
    <t>f0115b13-743e-4265-acc7-e8bb9db6f6e5</t>
  </si>
  <si>
    <t>FONI</t>
  </si>
  <si>
    <t>MATLATLE</t>
  </si>
  <si>
    <t>2026-05-29 08:01:32</t>
  </si>
  <si>
    <t>27828260193</t>
  </si>
  <si>
    <t>14501259</t>
  </si>
  <si>
    <t>4f26bd02-56a8-4d96-ade5-cb32e73fa000</t>
  </si>
  <si>
    <t>GERHERBREGHT</t>
  </si>
  <si>
    <t>JANSE VAN RENSBURG</t>
  </si>
  <si>
    <t>2026-05-29 07:58:22</t>
  </si>
  <si>
    <t>27829556165</t>
  </si>
  <si>
    <t>14501618</t>
  </si>
  <si>
    <t>0223eb3e-8f33-4698-ad5a-b5a176b54215</t>
  </si>
  <si>
    <t>MHLANGABEZI</t>
  </si>
  <si>
    <t>MGOLOMBANA</t>
  </si>
  <si>
    <t>2026-05-29 07:48:41</t>
  </si>
  <si>
    <t>27829764218</t>
  </si>
  <si>
    <t>14501488</t>
  </si>
  <si>
    <t>ac8fc905-5065-4ad0-a78a-1f4743001cf2</t>
  </si>
  <si>
    <t>LUFEFE</t>
  </si>
  <si>
    <t>NTIBANE</t>
  </si>
  <si>
    <t>2026-05-29 07:40:38</t>
  </si>
  <si>
    <t>27637032038</t>
  </si>
  <si>
    <t>14501465</t>
  </si>
  <si>
    <t>4669b650-bba9-466d-929f-5a4852d27954</t>
  </si>
  <si>
    <t>QWABE</t>
  </si>
  <si>
    <t>2026-05-29 07:27:53</t>
  </si>
  <si>
    <t>27715976541</t>
  </si>
  <si>
    <t>14501452</t>
  </si>
  <si>
    <t>efd75524-9928-44ed-b3d3-0d298b09783a</t>
  </si>
  <si>
    <t>NTOMBOTHANDO</t>
  </si>
  <si>
    <t>MAHLANYANA</t>
  </si>
  <si>
    <t>2026-05-29 07:27:00</t>
  </si>
  <si>
    <t>27662066932</t>
  </si>
  <si>
    <t>14501341</t>
  </si>
  <si>
    <t>0aca0430-bcc9-4ca7-999c-1fb8c0e62053</t>
  </si>
  <si>
    <t>2026-05-29 07:17:52</t>
  </si>
  <si>
    <t>27604373402</t>
  </si>
  <si>
    <t>14501608</t>
  </si>
  <si>
    <t>e080acea-e858-47c7-aa84-47fdce583941</t>
  </si>
  <si>
    <t>2026-05-29 07:06:17</t>
  </si>
  <si>
    <t>27764183852</t>
  </si>
  <si>
    <t>14501549</t>
  </si>
  <si>
    <t>09a8da1f-7465-4b3e-b584-c1967f15f0c6</t>
  </si>
  <si>
    <t>OUTLWILE</t>
  </si>
  <si>
    <t>BALEPILE</t>
  </si>
  <si>
    <t>2026-05-29 07:00:17</t>
  </si>
  <si>
    <t>27766812444</t>
  </si>
  <si>
    <t>14502070</t>
  </si>
  <si>
    <t>0593bd82-6695-44ce-9294-88c1a1e836c5</t>
  </si>
  <si>
    <t>2026-05-29 06:49:14</t>
  </si>
  <si>
    <t>27797249245</t>
  </si>
  <si>
    <t>14502191</t>
  </si>
  <si>
    <t>98f75b9a-8190-4f8a-b763-d607829e5b17</t>
  </si>
  <si>
    <t>2026-05-29 06:44:50</t>
  </si>
  <si>
    <t>27769493284</t>
  </si>
  <si>
    <t>14502657</t>
  </si>
  <si>
    <t>56812f56-8b2d-4aa1-a07c-0a89b8a3d347</t>
  </si>
  <si>
    <t>2026-05-29 06:36:47</t>
  </si>
  <si>
    <t>27799376877</t>
  </si>
  <si>
    <t>14502666</t>
  </si>
  <si>
    <t>b11c89fb-0fff-4d46-be2a-32cbc7b0891c</t>
  </si>
  <si>
    <t>2026-05-29 06:30:38</t>
  </si>
  <si>
    <t>27646011088</t>
  </si>
  <si>
    <t>14502837</t>
  </si>
  <si>
    <t>255ad227-ab2b-4b7b-a9be-4565cbf2dda8</t>
  </si>
  <si>
    <t>27791862545</t>
  </si>
  <si>
    <t>2026-05-29 06:22:44</t>
  </si>
  <si>
    <t>14502773</t>
  </si>
  <si>
    <t>0573b0a3-c822-412f-8e42-e59b01e3aa06</t>
  </si>
  <si>
    <t>2026-05-29 06:15:49</t>
  </si>
  <si>
    <t>27725110346</t>
  </si>
  <si>
    <t>14502747</t>
  </si>
  <si>
    <t>743513c8-22bb-40a9-b230-02b103cbc418</t>
  </si>
  <si>
    <t>2026-05-29 06:14:20</t>
  </si>
  <si>
    <t>27818114413</t>
  </si>
  <si>
    <t>14502822</t>
  </si>
  <si>
    <t>8daef4c5-c590-47b7-a0d8-be9bf5961bba</t>
  </si>
  <si>
    <t>2026-05-28 14:21:02</t>
  </si>
  <si>
    <t>27813335385</t>
  </si>
  <si>
    <t>14501898</t>
  </si>
  <si>
    <t>9202a0cf-407c-4654-85bd-65e98736df5f</t>
  </si>
  <si>
    <t>2026-05-28 14:14:51</t>
  </si>
  <si>
    <t>27664351664</t>
  </si>
  <si>
    <t>14501906</t>
  </si>
  <si>
    <t>c3177690-7a71-4f45-b4c5-f8865a0637f5</t>
  </si>
  <si>
    <t>2026-05-28 14:12:56</t>
  </si>
  <si>
    <t>27609096595</t>
  </si>
  <si>
    <t>14502162</t>
  </si>
  <si>
    <t>6eab65a4-64d5-41b2-af80-e5785a1786f1</t>
  </si>
  <si>
    <t>2026-05-28 14:12:17</t>
  </si>
  <si>
    <t>27729229609</t>
  </si>
  <si>
    <t>14298965</t>
  </si>
  <si>
    <t>a67d4023-c5e8-446d-8fcb-daae2fb68ecf</t>
  </si>
  <si>
    <t>27714210942</t>
  </si>
  <si>
    <t>14502121</t>
  </si>
  <si>
    <t>225648b0-ee51-4fdb-ad39-73ab892a0fe9</t>
  </si>
  <si>
    <t>27796636530</t>
  </si>
  <si>
    <t>2026-05-28 14:10:35</t>
  </si>
  <si>
    <t>14300253</t>
  </si>
  <si>
    <t>54569b2b-4cff-42ca-be33-84de0ddaa66b</t>
  </si>
  <si>
    <t>27827376780</t>
  </si>
  <si>
    <t>2026-05-28 14:07:18</t>
  </si>
  <si>
    <t>14502100</t>
  </si>
  <si>
    <t>1845a741-3034-4532-a403-6c41c9a05371</t>
  </si>
  <si>
    <t>2026-05-28 14:07:12</t>
  </si>
  <si>
    <t>27712951500</t>
  </si>
  <si>
    <t>14300862</t>
  </si>
  <si>
    <t>76d3497f-c95a-467b-b6e6-32e805541ec7</t>
  </si>
  <si>
    <t>2026-05-28 14:04:35</t>
  </si>
  <si>
    <t>27716742377</t>
  </si>
  <si>
    <t>14301778</t>
  </si>
  <si>
    <t>ed091bd5-4131-4bff-86d5-6fe4f84927d6</t>
  </si>
  <si>
    <t>27767890064</t>
  </si>
  <si>
    <t>2026-05-28 14:01:52</t>
  </si>
  <si>
    <t>14502263</t>
  </si>
  <si>
    <t>342b4007-0ae2-4b9b-af7c-559500d6bb8c</t>
  </si>
  <si>
    <t>2026-05-28 14:01:49</t>
  </si>
  <si>
    <t>27826927062</t>
  </si>
  <si>
    <t>14502237</t>
  </si>
  <si>
    <t>b8be6308-eec1-49ab-8d09-11315b34ce28</t>
  </si>
  <si>
    <t>2026-05-28 13:59:10</t>
  </si>
  <si>
    <t>27774507998</t>
  </si>
  <si>
    <t>14501934</t>
  </si>
  <si>
    <t>9126ee4a-185c-4b2a-a94d-19f9b12d500b</t>
  </si>
  <si>
    <t>2026-05-28 13:57:33</t>
  </si>
  <si>
    <t>27760397002</t>
  </si>
  <si>
    <t>14502646</t>
  </si>
  <si>
    <t>4c8a84d0-064b-448e-a54c-a046fc86a9f5</t>
  </si>
  <si>
    <t>2026-05-28 13:57:32</t>
  </si>
  <si>
    <t>27713799097</t>
  </si>
  <si>
    <t>14502627</t>
  </si>
  <si>
    <t>c19faf19-9e9e-43ad-a8b9-6648f4c8e25c</t>
  </si>
  <si>
    <t>2026-05-28 13:56:10</t>
  </si>
  <si>
    <t>27798329047</t>
  </si>
  <si>
    <t>14502613</t>
  </si>
  <si>
    <t>7f3a548a-0523-49be-b5e6-be9569905642</t>
  </si>
  <si>
    <t>27774775072</t>
  </si>
  <si>
    <t>2026-05-28 13:55:54</t>
  </si>
  <si>
    <t>14502465</t>
  </si>
  <si>
    <t>c3e8047e-e9dc-4dbb-b27e-6f186ffcd2f8</t>
  </si>
  <si>
    <t>27715146392</t>
  </si>
  <si>
    <t>2026-05-28 13:55:05</t>
  </si>
  <si>
    <t>14502850</t>
  </si>
  <si>
    <t>6ed73c70-4c63-4d7a-bf0c-ff777bddaeea</t>
  </si>
  <si>
    <t>27714296928</t>
  </si>
  <si>
    <t>2026-05-28 13:54:38</t>
  </si>
  <si>
    <t>14502310</t>
  </si>
  <si>
    <t>36d74277-5960-4753-aaad-3ed8baa26722</t>
  </si>
  <si>
    <t>2026-05-28 13:54:23</t>
  </si>
  <si>
    <t>27764977404</t>
  </si>
  <si>
    <t>14502842</t>
  </si>
  <si>
    <t>c3b44404-c661-4bdf-90ae-df1f54c36d1f</t>
  </si>
  <si>
    <t>27762228897</t>
  </si>
  <si>
    <t>2026-05-28 13:50:10</t>
  </si>
  <si>
    <t>14502844</t>
  </si>
  <si>
    <t>f686e26e-c2a6-4ba3-904c-2a98a0310f19</t>
  </si>
  <si>
    <t>2026-05-28 13:46:16</t>
  </si>
  <si>
    <t>27761616524</t>
  </si>
  <si>
    <t>14501708</t>
  </si>
  <si>
    <t>08f8b6c0-bd4f-4e73-8c76-8a1f644ad276</t>
  </si>
  <si>
    <t>ERICA</t>
  </si>
  <si>
    <t>ROODT</t>
  </si>
  <si>
    <t>2026-05-28 13:43:37</t>
  </si>
  <si>
    <t>27828276780</t>
  </si>
  <si>
    <t>14502603</t>
  </si>
  <si>
    <t>727ce441-e7e6-4e68-8d53-cf67ab65aa72</t>
  </si>
  <si>
    <t>2026-05-28 13:35:39</t>
  </si>
  <si>
    <t>27796543032</t>
  </si>
  <si>
    <t>14502470</t>
  </si>
  <si>
    <t>ec629483-450f-47b4-8ce4-5fd68d19eca2</t>
  </si>
  <si>
    <t>27665157707</t>
  </si>
  <si>
    <t>2026-05-28 13:34:53</t>
  </si>
  <si>
    <t>14500840</t>
  </si>
  <si>
    <t>1d4b980d-c65b-4edb-bfa0-c86b055f3e98</t>
  </si>
  <si>
    <t>BAKANG</t>
  </si>
  <si>
    <t>WILDEBEES</t>
  </si>
  <si>
    <t>2026-05-28 13:34:06</t>
  </si>
  <si>
    <t>27766450774</t>
  </si>
  <si>
    <t>14502388</t>
  </si>
  <si>
    <t>c1f3508f-60c6-4cef-9f77-9b1c0b0361cd</t>
  </si>
  <si>
    <t>2026-05-28 12:58:11</t>
  </si>
  <si>
    <t>27792408116</t>
  </si>
  <si>
    <t>14502437</t>
  </si>
  <si>
    <t>2d8faefb-0879-455f-889f-732449f5b73f</t>
  </si>
  <si>
    <t>27712351966</t>
  </si>
  <si>
    <t>2026-05-28 12:55:43</t>
  </si>
  <si>
    <t>14502430</t>
  </si>
  <si>
    <t>1ece8322-cff2-46e6-a1dc-bfd80a4096ae</t>
  </si>
  <si>
    <t>2026-05-28 12:54:53</t>
  </si>
  <si>
    <t>27609251227</t>
  </si>
  <si>
    <t>14502736</t>
  </si>
  <si>
    <t>baa60464-3054-450a-b2c3-51ba21dc1f10</t>
  </si>
  <si>
    <t>27824820602</t>
  </si>
  <si>
    <t>2026-05-28 12:51:35</t>
  </si>
  <si>
    <t>14501049</t>
  </si>
  <si>
    <t>940dd3c4-7bae-477b-b07a-f2d9e8d65fea</t>
  </si>
  <si>
    <t>DANIELLE</t>
  </si>
  <si>
    <t>NAGEL</t>
  </si>
  <si>
    <t>2026-05-28 12:47:29</t>
  </si>
  <si>
    <t>27662129220</t>
  </si>
  <si>
    <t>14500385</t>
  </si>
  <si>
    <t>d0b74117-91ba-4923-8d6c-87b20b4095c0</t>
  </si>
  <si>
    <t>NETSHITHUTHUNI</t>
  </si>
  <si>
    <t>2026-05-28 12:43:16</t>
  </si>
  <si>
    <t>27729841011</t>
  </si>
  <si>
    <t>14500492</t>
  </si>
  <si>
    <t>349e3fa0-05d1-416c-90b0-9bdbea7d9113</t>
  </si>
  <si>
    <t>KAGISO</t>
  </si>
  <si>
    <t>NKATSWA</t>
  </si>
  <si>
    <t>2026-05-28 12:41:30</t>
  </si>
  <si>
    <t>27716131998</t>
  </si>
  <si>
    <t>14300937</t>
  </si>
  <si>
    <t>7ae0e3d7-9279-49c2-902a-908c5b26c06f</t>
  </si>
  <si>
    <t>27728004917</t>
  </si>
  <si>
    <t>2026-05-28 12:40:18</t>
  </si>
  <si>
    <t>14500421</t>
  </si>
  <si>
    <t>9d039157-11b5-401e-9aee-8935a1c2cb94</t>
  </si>
  <si>
    <t>MADELEINE</t>
  </si>
  <si>
    <t>BARKER</t>
  </si>
  <si>
    <t>2026-05-28 12:39:07</t>
  </si>
  <si>
    <t>27646191847</t>
  </si>
  <si>
    <t>14500474</t>
  </si>
  <si>
    <t>943ec31a-2957-4b74-b900-7cebf070d4aa</t>
  </si>
  <si>
    <t>MUVHUSO</t>
  </si>
  <si>
    <t>MATHOMU</t>
  </si>
  <si>
    <t>2026-05-28 12:30:15</t>
  </si>
  <si>
    <t>27799191245</t>
  </si>
  <si>
    <t>14500516</t>
  </si>
  <si>
    <t>805d89e5-c1be-45a3-9266-9ecc00b39a5b</t>
  </si>
  <si>
    <t>ANNA-MARIE</t>
  </si>
  <si>
    <t>CARNEY</t>
  </si>
  <si>
    <t>2026-05-28 12:25:16</t>
  </si>
  <si>
    <t>27662676996</t>
  </si>
  <si>
    <t>14500522</t>
  </si>
  <si>
    <t>b0383139-059b-4f3c-8553-3b36fc86e21f</t>
  </si>
  <si>
    <t>2026-05-28 12:19:25</t>
  </si>
  <si>
    <t>27723914268</t>
  </si>
  <si>
    <t>14500527</t>
  </si>
  <si>
    <t>47d9295a-b51d-43ac-84b6-91cf631889d6</t>
  </si>
  <si>
    <t>QEDINKANI</t>
  </si>
  <si>
    <t>MYAKA</t>
  </si>
  <si>
    <t>2026-05-28 12:18:58</t>
  </si>
  <si>
    <t>27715482445</t>
  </si>
  <si>
    <t>14500541</t>
  </si>
  <si>
    <t>45916d8e-5b3c-43ff-ad77-2ef4682b4bfc</t>
  </si>
  <si>
    <t>LUCAS</t>
  </si>
  <si>
    <t>MMELA</t>
  </si>
  <si>
    <t>2026-05-28 12:16:19</t>
  </si>
  <si>
    <t>27649033094</t>
  </si>
  <si>
    <t>14500540</t>
  </si>
  <si>
    <t>1b4e0029-df54-4b72-94e7-ae201ef359af</t>
  </si>
  <si>
    <t>TUMELO</t>
  </si>
  <si>
    <t>2026-05-28 12:16:18</t>
  </si>
  <si>
    <t>27835439360</t>
  </si>
  <si>
    <t>14500709</t>
  </si>
  <si>
    <t>16f0d803-740d-44cb-adab-17c5aa37dbb3</t>
  </si>
  <si>
    <t>MARETA</t>
  </si>
  <si>
    <t>2026-05-28 12:13:49</t>
  </si>
  <si>
    <t>27712264015</t>
  </si>
  <si>
    <t>14500670</t>
  </si>
  <si>
    <t>2ea42c32-502f-4c07-aabd-3d0691db4220</t>
  </si>
  <si>
    <t>FABIO</t>
  </si>
  <si>
    <t>DA SILVA FERREIRA</t>
  </si>
  <si>
    <t>2026-05-28 12:12:09</t>
  </si>
  <si>
    <t>27823078173</t>
  </si>
  <si>
    <t>14500570</t>
  </si>
  <si>
    <t>4f27a825-58d0-42fc-8fa7-a51171aa15f1</t>
  </si>
  <si>
    <t>BENSIE</t>
  </si>
  <si>
    <t>2026-05-28 12:11:55</t>
  </si>
  <si>
    <t>27791096223</t>
  </si>
  <si>
    <t>14500566</t>
  </si>
  <si>
    <t>9bc6bfa3-baa3-406b-b60e-ffcb2591bd30</t>
  </si>
  <si>
    <t>2026-05-28 12:09:51</t>
  </si>
  <si>
    <t>27823365292</t>
  </si>
  <si>
    <t>14500665</t>
  </si>
  <si>
    <t>4d366a68-b7fb-409a-8367-04b456df540a</t>
  </si>
  <si>
    <t>THANDAZO</t>
  </si>
  <si>
    <t>2026-05-28 12:08:32</t>
  </si>
  <si>
    <t>27662196740</t>
  </si>
  <si>
    <t>14501683</t>
  </si>
  <si>
    <t>026ab59f-cc3c-4495-a7e3-4b5e2aea1581</t>
  </si>
  <si>
    <t>BRETT</t>
  </si>
  <si>
    <t>WALRAVEN</t>
  </si>
  <si>
    <t>2026-05-28 12:07:17</t>
  </si>
  <si>
    <t>27722803417</t>
  </si>
  <si>
    <t>14501771</t>
  </si>
  <si>
    <t>7b92265f-2b2b-4b01-b7ce-af6ac8a0ef76</t>
  </si>
  <si>
    <t>KEOLEBOGILE</t>
  </si>
  <si>
    <t>2026-05-28 12:05:55</t>
  </si>
  <si>
    <t>27763684982</t>
  </si>
  <si>
    <t>14501671</t>
  </si>
  <si>
    <t>752e425f-5db9-40fa-b183-70b7242213de</t>
  </si>
  <si>
    <t>DIBANISA</t>
  </si>
  <si>
    <t>TONJENI</t>
  </si>
  <si>
    <t>2026-05-28 12:04:56</t>
  </si>
  <si>
    <t>27828961931</t>
  </si>
  <si>
    <t>14501754</t>
  </si>
  <si>
    <t>855db904-0d83-408b-8880-f653ba07e959</t>
  </si>
  <si>
    <t>MARISA</t>
  </si>
  <si>
    <t>DESANTO</t>
  </si>
  <si>
    <t>2026-05-28 12:02:59</t>
  </si>
  <si>
    <t>27846197417</t>
  </si>
  <si>
    <t>14501657</t>
  </si>
  <si>
    <t>9bb24158-72a3-451f-8591-b6d60c885c30</t>
  </si>
  <si>
    <t>MULLER</t>
  </si>
  <si>
    <t>2026-05-28 12:02:24</t>
  </si>
  <si>
    <t>27725302723</t>
  </si>
  <si>
    <t>14501811</t>
  </si>
  <si>
    <t>dfda219f-8cf2-4b5b-832d-b57025d22ebf</t>
  </si>
  <si>
    <t>GOODNESS</t>
  </si>
  <si>
    <t>MYENI</t>
  </si>
  <si>
    <t>2026-05-28 12:01:04</t>
  </si>
  <si>
    <t>27711884073</t>
  </si>
  <si>
    <t>14500869</t>
  </si>
  <si>
    <t>2d176917-acc5-43d0-9cdd-a4953f2bbb29</t>
  </si>
  <si>
    <t>DIMAKATJO</t>
  </si>
  <si>
    <t>BOYA</t>
  </si>
  <si>
    <t>2026-05-28 12:00:25</t>
  </si>
  <si>
    <t>27609616254</t>
  </si>
  <si>
    <t>14501722</t>
  </si>
  <si>
    <t>efd7bb5a-eaef-477a-9ff3-ef64500d6821</t>
  </si>
  <si>
    <t>CANDICE</t>
  </si>
  <si>
    <t>METH</t>
  </si>
  <si>
    <t>2026-05-28 12:00:14</t>
  </si>
  <si>
    <t>27662220264</t>
  </si>
  <si>
    <t>14500604</t>
  </si>
  <si>
    <t>0b467f39-012b-4311-958f-024c47bfaaad</t>
  </si>
  <si>
    <t>GARREN</t>
  </si>
  <si>
    <t>MILLS</t>
  </si>
  <si>
    <t>2026-05-28 11:57:47</t>
  </si>
  <si>
    <t>27826605692</t>
  </si>
  <si>
    <t>14500642</t>
  </si>
  <si>
    <t>5b19ad97-06b6-4451-99c4-4fa217a1de89</t>
  </si>
  <si>
    <t>TAMMY</t>
  </si>
  <si>
    <t>2026-05-28 11:56:25</t>
  </si>
  <si>
    <t>27829240018</t>
  </si>
  <si>
    <t>14500647</t>
  </si>
  <si>
    <t>f4140af4-f182-4d22-8356-5a24ca136fec</t>
  </si>
  <si>
    <t>GAUSS</t>
  </si>
  <si>
    <t>2026-05-28 11:55:03</t>
  </si>
  <si>
    <t>27767508676</t>
  </si>
  <si>
    <t>14500652</t>
  </si>
  <si>
    <t>2c24b9ce-fa99-453c-9c38-4ce634d23aed</t>
  </si>
  <si>
    <t>BATHABILE</t>
  </si>
  <si>
    <t>2026-05-28 11:53:54</t>
  </si>
  <si>
    <t>27662482592</t>
  </si>
  <si>
    <t>14302257</t>
  </si>
  <si>
    <t>4123cb4e-7862-4424-83ec-093eeb6da0c4</t>
  </si>
  <si>
    <t>2026-05-28 11:51:07</t>
  </si>
  <si>
    <t>27795040296</t>
  </si>
  <si>
    <t>14500928</t>
  </si>
  <si>
    <t>8cf909d0-7851-4ab5-8d74-0909801e1131</t>
  </si>
  <si>
    <t>KERWIN</t>
  </si>
  <si>
    <t>PERUMAL</t>
  </si>
  <si>
    <t>2026-05-28 11:48:59</t>
  </si>
  <si>
    <t>27798556120</t>
  </si>
  <si>
    <t>14302075</t>
  </si>
  <si>
    <t>a541a7d4-6da5-49f5-ac01-e6ed09d8d8f6</t>
  </si>
  <si>
    <t>27720408911</t>
  </si>
  <si>
    <t>2026-05-28 11:48:17</t>
  </si>
  <si>
    <t>14501831</t>
  </si>
  <si>
    <t>5de9f33d-6738-4f4c-9432-81545132ab70</t>
  </si>
  <si>
    <t>CLAIRE</t>
  </si>
  <si>
    <t>MADIA</t>
  </si>
  <si>
    <t>2026-05-28 11:47:01</t>
  </si>
  <si>
    <t>27724647725</t>
  </si>
  <si>
    <t>14501540</t>
  </si>
  <si>
    <t>6523ea5a-b422-49ce-abec-df5eff93d241</t>
  </si>
  <si>
    <t>MARIUS</t>
  </si>
  <si>
    <t>PETERSEN</t>
  </si>
  <si>
    <t>2026-05-28 11:45:12</t>
  </si>
  <si>
    <t>27714819931</t>
  </si>
  <si>
    <t>14501767</t>
  </si>
  <si>
    <t>55af96e6-1b53-458a-b73c-73a870865128</t>
  </si>
  <si>
    <t>RAJESH</t>
  </si>
  <si>
    <t>ARJOON</t>
  </si>
  <si>
    <t>2026-05-28 11:43:53</t>
  </si>
  <si>
    <t>27798498783</t>
  </si>
  <si>
    <t>14501781</t>
  </si>
  <si>
    <t>2e13629f-3c6d-4b0c-9548-b5fd710c9878</t>
  </si>
  <si>
    <t>NZIMANDE</t>
  </si>
  <si>
    <t>2026-05-28 11:43:43</t>
  </si>
  <si>
    <t>27828894284</t>
  </si>
  <si>
    <t>14501841</t>
  </si>
  <si>
    <t>2199babd-29b0-4098-b6c0-d265d803f591</t>
  </si>
  <si>
    <t>27795321924</t>
  </si>
  <si>
    <t>2026-05-28 11:43:12</t>
  </si>
  <si>
    <t>14500564</t>
  </si>
  <si>
    <t>d04673cc-275e-4e3d-9905-88815552a059</t>
  </si>
  <si>
    <t>MATHEWS</t>
  </si>
  <si>
    <t>MOTSE</t>
  </si>
  <si>
    <t>2026-05-28 10:53:28</t>
  </si>
  <si>
    <t>27823197016</t>
  </si>
  <si>
    <t>14501034</t>
  </si>
  <si>
    <t>69a22317-22b0-46fc-8d91-780d32ae0613</t>
  </si>
  <si>
    <t>KEMLE</t>
  </si>
  <si>
    <t>2026-05-28 10:50:32</t>
  </si>
  <si>
    <t>27823788301</t>
  </si>
  <si>
    <t>14500962</t>
  </si>
  <si>
    <t>d841ddb4-4112-4620-9428-080261e41e4f</t>
  </si>
  <si>
    <t>REINETTE</t>
  </si>
  <si>
    <t>DU PLOOY</t>
  </si>
  <si>
    <t>2026-05-28 10:30:00</t>
  </si>
  <si>
    <t>27662032488</t>
  </si>
  <si>
    <t>14500918</t>
  </si>
  <si>
    <t>3c48d5ae-b7da-4837-8569-423b7b49856a</t>
  </si>
  <si>
    <t>MARK</t>
  </si>
  <si>
    <t>WELLS</t>
  </si>
  <si>
    <t>2026-05-28 10:24:59</t>
  </si>
  <si>
    <t>27791889553</t>
  </si>
  <si>
    <t>14500679</t>
  </si>
  <si>
    <t>45e99217-a23d-4896-a11f-5ee45d145440</t>
  </si>
  <si>
    <t>SHADRACK</t>
  </si>
  <si>
    <t>LEDINGOANE</t>
  </si>
  <si>
    <t>2026-05-28 09:59:44</t>
  </si>
  <si>
    <t>27823048177</t>
  </si>
  <si>
    <t>14501369</t>
  </si>
  <si>
    <t>36ea971b-fb08-41d3-a7e3-c01ec4d23a3a</t>
  </si>
  <si>
    <t>BEZIEK</t>
  </si>
  <si>
    <t>2026-05-28 09:55:46</t>
  </si>
  <si>
    <t>27828834057</t>
  </si>
  <si>
    <t>14300739</t>
  </si>
  <si>
    <t>442f57a1-a12c-47a3-aaf0-2e718e3c2c74</t>
  </si>
  <si>
    <t>27823654779</t>
  </si>
  <si>
    <t>2026-05-28 09:55:21</t>
  </si>
  <si>
    <t>14500701</t>
  </si>
  <si>
    <t>0b74eff4-e1d5-4d9f-b428-dcb6507ce8df</t>
  </si>
  <si>
    <t>FRANCISCA</t>
  </si>
  <si>
    <t>SOPOLI</t>
  </si>
  <si>
    <t>2026-05-28 09:54:53</t>
  </si>
  <si>
    <t>27721206976</t>
  </si>
  <si>
    <t>14501274</t>
  </si>
  <si>
    <t>23d6775b-14e3-4d83-9cce-4b12b91991a0</t>
  </si>
  <si>
    <t>ORCILLA</t>
  </si>
  <si>
    <t>WILLIAMS</t>
  </si>
  <si>
    <t>2026-05-28 09:53:38</t>
  </si>
  <si>
    <t>27799472509</t>
  </si>
  <si>
    <t>14500748</t>
  </si>
  <si>
    <t>09b9e596-62da-4547-a301-b52b6779c954</t>
  </si>
  <si>
    <t>MAHLOMOLA</t>
  </si>
  <si>
    <t>2026-05-28 09:50:44</t>
  </si>
  <si>
    <t>27726353633</t>
  </si>
  <si>
    <t>14500749</t>
  </si>
  <si>
    <t>56f1ac70-d06f-4619-8bc1-d88bd19a1b7a</t>
  </si>
  <si>
    <t>27737001258</t>
  </si>
  <si>
    <t>14501246</t>
  </si>
  <si>
    <t>2cf5cf80-e648-4073-a141-40c6c4c2cc40</t>
  </si>
  <si>
    <t>HLAMALANI</t>
  </si>
  <si>
    <t>MALULUKE</t>
  </si>
  <si>
    <t>2026-05-28 09:49:50</t>
  </si>
  <si>
    <t>27727022342</t>
  </si>
  <si>
    <t>14501285</t>
  </si>
  <si>
    <t>0a0252fc-26cb-43bd-9642-b947e9ae447b</t>
  </si>
  <si>
    <t>PELONOMI</t>
  </si>
  <si>
    <t>MORUAKGOMO</t>
  </si>
  <si>
    <t>2026-05-28 09:46:03</t>
  </si>
  <si>
    <t>27727586667</t>
  </si>
  <si>
    <t>14500805</t>
  </si>
  <si>
    <t>54e9accd-9372-4451-a8bc-69b1872f1aff</t>
  </si>
  <si>
    <t>MHLALISENI</t>
  </si>
  <si>
    <t>NTSHABA</t>
  </si>
  <si>
    <t>2026-05-28 09:44:39</t>
  </si>
  <si>
    <t>27761280963</t>
  </si>
  <si>
    <t>14501844</t>
  </si>
  <si>
    <t>0cc6c252-d442-456d-b27c-e926bba1c44b</t>
  </si>
  <si>
    <t>MASHAO</t>
  </si>
  <si>
    <t>MADIBA</t>
  </si>
  <si>
    <t>2026-05-28 09:42:55</t>
  </si>
  <si>
    <t>27649014900</t>
  </si>
  <si>
    <t>14500812</t>
  </si>
  <si>
    <t>b603d1e8-51d0-4453-a9e7-9cda58904be2</t>
  </si>
  <si>
    <t>MOEMA</t>
  </si>
  <si>
    <t>2026-05-28 09:39:02</t>
  </si>
  <si>
    <t>27720186034</t>
  </si>
  <si>
    <t>14501024</t>
  </si>
  <si>
    <t>cc5b90df-009b-4e53-9345-22c542de8da7</t>
  </si>
  <si>
    <t>TANYA</t>
  </si>
  <si>
    <t>BOTES</t>
  </si>
  <si>
    <t>2026-05-28 09:38:56</t>
  </si>
  <si>
    <t>27828919678</t>
  </si>
  <si>
    <t>14501000</t>
  </si>
  <si>
    <t>b609e3c0-3ec2-49b9-988c-7f6e58dba65a</t>
  </si>
  <si>
    <t>LINGEDZANI</t>
  </si>
  <si>
    <t>MUKHAWA</t>
  </si>
  <si>
    <t>2026-05-28 09:35:58</t>
  </si>
  <si>
    <t>27792184881</t>
  </si>
  <si>
    <t>14502846</t>
  </si>
  <si>
    <t>29d9d1db-4130-4e37-a1ad-5da6bdbc76f3</t>
  </si>
  <si>
    <t>2026-05-28 09:34:59</t>
  </si>
  <si>
    <t>27794779670</t>
  </si>
  <si>
    <t>14501041</t>
  </si>
  <si>
    <t>1680c345-6634-4831-b563-20b7d86675ab</t>
  </si>
  <si>
    <t>MADIENYANE</t>
  </si>
  <si>
    <t>2026-05-28 09:21:27</t>
  </si>
  <si>
    <t>27799047523</t>
  </si>
  <si>
    <t>14501061</t>
  </si>
  <si>
    <t>344ccd9d-7e7d-4b88-b04d-00672fc712c4</t>
  </si>
  <si>
    <t>AZOLA</t>
  </si>
  <si>
    <t>FAKU</t>
  </si>
  <si>
    <t>2026-05-28 09:20:32</t>
  </si>
  <si>
    <t>27827725442</t>
  </si>
  <si>
    <t>14501522</t>
  </si>
  <si>
    <t>9328ab09-01e4-414b-9889-d78e7657ad2c</t>
  </si>
  <si>
    <t>MATHILDA</t>
  </si>
  <si>
    <t>SINCLAIR</t>
  </si>
  <si>
    <t>2026-05-28 09:15:55</t>
  </si>
  <si>
    <t>27662074831</t>
  </si>
  <si>
    <t>14501071</t>
  </si>
  <si>
    <t>b827e805-f57d-4fc7-b53d-627841264a60</t>
  </si>
  <si>
    <t>LANCE</t>
  </si>
  <si>
    <t>MADISENG</t>
  </si>
  <si>
    <t>2026-05-28 09:15:39</t>
  </si>
  <si>
    <t>27769062580</t>
  </si>
  <si>
    <t>14501091</t>
  </si>
  <si>
    <t>d76ed7c6-9d63-4ac2-8b5e-df9896e9d209</t>
  </si>
  <si>
    <t>2026-05-28 09:14:26</t>
  </si>
  <si>
    <t>27727420385</t>
  </si>
  <si>
    <t>14501098</t>
  </si>
  <si>
    <t>2492800c-e481-45b7-9758-41e26b639856</t>
  </si>
  <si>
    <t>LAURIKA</t>
  </si>
  <si>
    <t>2026-05-28 09:11:39</t>
  </si>
  <si>
    <t>27608019453</t>
  </si>
  <si>
    <t>14501184</t>
  </si>
  <si>
    <t>28afd3e8-023f-44a3-8719-6f14ed1b9b4c</t>
  </si>
  <si>
    <t>SCHUTTE</t>
  </si>
  <si>
    <t>2026-05-28 09:09:33</t>
  </si>
  <si>
    <t>27823002716</t>
  </si>
  <si>
    <t>14501174</t>
  </si>
  <si>
    <t>d004181a-4453-4284-b516-097e72d0cd1e</t>
  </si>
  <si>
    <t>LEON</t>
  </si>
  <si>
    <t>2026-05-28 09:08:41</t>
  </si>
  <si>
    <t>27832854430</t>
  </si>
  <si>
    <t>14501164</t>
  </si>
  <si>
    <t>ec7edf50-155e-4eea-8c7a-924e74ee6435</t>
  </si>
  <si>
    <t>MAKOMENE</t>
  </si>
  <si>
    <t>2026-05-28 09:06:04</t>
  </si>
  <si>
    <t>27724219274</t>
  </si>
  <si>
    <t>14501205</t>
  </si>
  <si>
    <t>75d7df99-e0a3-4ef3-89c9-7f4b392a95cb</t>
  </si>
  <si>
    <t>MAKHOSONKE</t>
  </si>
  <si>
    <t>2026-05-28 09:04:11</t>
  </si>
  <si>
    <t>27662691451</t>
  </si>
  <si>
    <t>14501196</t>
  </si>
  <si>
    <t>99461f22-8b14-48ad-b408-8e299e34ee51</t>
  </si>
  <si>
    <t>BHEKANI</t>
  </si>
  <si>
    <t>HLONGWANE</t>
  </si>
  <si>
    <t>2026-05-28 09:04:05</t>
  </si>
  <si>
    <t>27793285812</t>
  </si>
  <si>
    <t>14302304</t>
  </si>
  <si>
    <t>d5831b15-6a75-4a40-8a5f-b79ab460f879</t>
  </si>
  <si>
    <t>27761731241</t>
  </si>
  <si>
    <t>2026-05-28 09:01:21</t>
  </si>
  <si>
    <t>14301614</t>
  </si>
  <si>
    <t>bdd8d25b-8844-4ba6-96f2-034094269854</t>
  </si>
  <si>
    <t>27729129795</t>
  </si>
  <si>
    <t>2026-05-28 09:00:40</t>
  </si>
  <si>
    <t>14501346</t>
  </si>
  <si>
    <t>198d0175-f77d-4b4a-ad58-74977c3605ae</t>
  </si>
  <si>
    <t>MZWANDILE</t>
  </si>
  <si>
    <t>2026-05-28 08:56:37</t>
  </si>
  <si>
    <t>27729349623</t>
  </si>
  <si>
    <t>14501324</t>
  </si>
  <si>
    <t>4e22f4b3-05c2-44aa-9ee5-cf8fca97b8b3</t>
  </si>
  <si>
    <t>PRETTY</t>
  </si>
  <si>
    <t>2026-05-28 08:55:53</t>
  </si>
  <si>
    <t>27826484221</t>
  </si>
  <si>
    <t>14501580</t>
  </si>
  <si>
    <t>d4f222b3-fe42-4ce0-b716-af5b99a4218e</t>
  </si>
  <si>
    <t>TSHIVHASE</t>
  </si>
  <si>
    <t>2026-05-28 08:55:09</t>
  </si>
  <si>
    <t>27768125810</t>
  </si>
  <si>
    <t>14501456</t>
  </si>
  <si>
    <t>c43ee65d-cb07-4ca3-af39-321a692a206c</t>
  </si>
  <si>
    <t>SOTOMELA</t>
  </si>
  <si>
    <t>2026-05-28 08:52:28</t>
  </si>
  <si>
    <t>27768900699</t>
  </si>
  <si>
    <t>14501447</t>
  </si>
  <si>
    <t>6f1d1556-cc33-4520-b187-b38521ad44a1</t>
  </si>
  <si>
    <t>BONGIWE</t>
  </si>
  <si>
    <t>NCAMPHALALA</t>
  </si>
  <si>
    <t>2026-05-28 08:51:20</t>
  </si>
  <si>
    <t>27769739480</t>
  </si>
  <si>
    <t>14501487</t>
  </si>
  <si>
    <t>c69dda6c-7c7c-47d0-a717-5c8c164d18cc</t>
  </si>
  <si>
    <t>ANTON</t>
  </si>
  <si>
    <t>KATZKE</t>
  </si>
  <si>
    <t>2026-05-28 08:49:36</t>
  </si>
  <si>
    <t>27798894603</t>
  </si>
  <si>
    <t>14501566</t>
  </si>
  <si>
    <t>ebf7f293-6bbd-4713-9b1b-0cd56b737885</t>
  </si>
  <si>
    <t>ALEC</t>
  </si>
  <si>
    <t>2026-05-28 08:43:12</t>
  </si>
  <si>
    <t>27827972140</t>
  </si>
  <si>
    <t>14501561</t>
  </si>
  <si>
    <t>941373d3-7b13-4067-8f36-85f8c327d7bc</t>
  </si>
  <si>
    <t>MBONGO</t>
  </si>
  <si>
    <t>2026-05-28 08:43:01</t>
  </si>
  <si>
    <t>27764015685</t>
  </si>
  <si>
    <t>14501407</t>
  </si>
  <si>
    <t>fbf94741-57f5-432b-b281-de5a9126586b</t>
  </si>
  <si>
    <t>MILELE</t>
  </si>
  <si>
    <t>KUBHEKA</t>
  </si>
  <si>
    <t>2026-05-28 08:41:30</t>
  </si>
  <si>
    <t>27768114503</t>
  </si>
  <si>
    <t>14501520</t>
  </si>
  <si>
    <t>ae1e43ae-df0a-436f-a479-e17e660f7520</t>
  </si>
  <si>
    <t>ANNEMARIE</t>
  </si>
  <si>
    <t>2026-05-28 08:40:39</t>
  </si>
  <si>
    <t>27760331223</t>
  </si>
  <si>
    <t>14501511</t>
  </si>
  <si>
    <t>24ca0a7b-93b2-4d2c-bb69-bea06635ee41</t>
  </si>
  <si>
    <t>MATHLODI</t>
  </si>
  <si>
    <t>MASHISHI</t>
  </si>
  <si>
    <t>2026-05-28 08:40:30</t>
  </si>
  <si>
    <t>27646533680</t>
  </si>
  <si>
    <t>14501417</t>
  </si>
  <si>
    <t>ba7fda95-b96a-4580-b7cc-b6f2c737f12e</t>
  </si>
  <si>
    <t>TEMWANANI</t>
  </si>
  <si>
    <t>KALUA</t>
  </si>
  <si>
    <t>2026-05-28 08:38:22</t>
  </si>
  <si>
    <t>27810288659</t>
  </si>
  <si>
    <t>14501536</t>
  </si>
  <si>
    <t>6edd5ef9-8217-40dd-b1f3-d294b7ac49a2</t>
  </si>
  <si>
    <t>FRANCISCO</t>
  </si>
  <si>
    <t>MENEZES</t>
  </si>
  <si>
    <t>2026-05-28 08:38:06</t>
  </si>
  <si>
    <t>27712179423</t>
  </si>
  <si>
    <t>14501426</t>
  </si>
  <si>
    <t>68d122ce-3d7d-401e-8708-88e1c723d969</t>
  </si>
  <si>
    <t>RAZEEN</t>
  </si>
  <si>
    <t>STOLTENKAMP</t>
  </si>
  <si>
    <t>2026-05-28 08:35:45</t>
  </si>
  <si>
    <t>27721807451</t>
  </si>
  <si>
    <t>14501524</t>
  </si>
  <si>
    <t>56946404-5f7c-42d0-8bbc-22ca5bd11b7d</t>
  </si>
  <si>
    <t>2026-05-28 08:34:56</t>
  </si>
  <si>
    <t>27664886274</t>
  </si>
  <si>
    <t>14501598</t>
  </si>
  <si>
    <t>a7022c7c-4859-4b65-a2cc-6759bdbecf29</t>
  </si>
  <si>
    <t>JEREMIAH</t>
  </si>
  <si>
    <t>MOTLHALE</t>
  </si>
  <si>
    <t>2026-05-28 08:32:34</t>
  </si>
  <si>
    <t>27820724782</t>
  </si>
  <si>
    <t>14502741</t>
  </si>
  <si>
    <t>c74808cb-349c-4f92-ac9e-a0d31ce981e4</t>
  </si>
  <si>
    <t>2026-05-28 07:47:07</t>
  </si>
  <si>
    <t>27828931563</t>
  </si>
  <si>
    <t>14502163</t>
  </si>
  <si>
    <t>d7d0bf4c-a027-4714-b836-116cedbeb938</t>
  </si>
  <si>
    <t>2026-05-28 07:45:58</t>
  </si>
  <si>
    <t>27673442460</t>
  </si>
  <si>
    <t>14502772</t>
  </si>
  <si>
    <t>e1802ce2-c9aa-4a5f-8e71-3fc99f5371bd</t>
  </si>
  <si>
    <t>2026-05-28 07:43:24</t>
  </si>
  <si>
    <t>27761683773</t>
  </si>
  <si>
    <t>14301963</t>
  </si>
  <si>
    <t>dba5d541-6e6c-4c76-b799-61f57de2805d</t>
  </si>
  <si>
    <t>27792419365</t>
  </si>
  <si>
    <t>2026-05-28 07:40:22</t>
  </si>
  <si>
    <t>14502786</t>
  </si>
  <si>
    <t>7109caac-1469-49ba-98ff-e0c3d74d5074</t>
  </si>
  <si>
    <t>2026-05-28 07:37:57</t>
  </si>
  <si>
    <t>27714162066</t>
  </si>
  <si>
    <t>14501921</t>
  </si>
  <si>
    <t>122e4210-8cfd-4cf8-a039-dc4824f73cc9</t>
  </si>
  <si>
    <t>2026-05-28 07:25:19</t>
  </si>
  <si>
    <t>27721301674</t>
  </si>
  <si>
    <t>14501938</t>
  </si>
  <si>
    <t>0ff54a94-ddce-4b46-b72f-3d08ccd3fd08</t>
  </si>
  <si>
    <t>2026-05-28 07:24:17</t>
  </si>
  <si>
    <t>27711927555</t>
  </si>
  <si>
    <t>14501894</t>
  </si>
  <si>
    <t>9663dae7-cd38-4ba5-a2e0-0551c1075ca6</t>
  </si>
  <si>
    <t>27660047712</t>
  </si>
  <si>
    <t>2026-05-28 07:22:46</t>
  </si>
  <si>
    <t>14502150</t>
  </si>
  <si>
    <t>fc9ecce7-b693-4c00-8e73-c33d920a8e1c</t>
  </si>
  <si>
    <t>2026-05-28 07:19:44</t>
  </si>
  <si>
    <t>27664635473</t>
  </si>
  <si>
    <t>14502518</t>
  </si>
  <si>
    <t>993962fd-732b-450d-9c09-5c744e793367</t>
  </si>
  <si>
    <t>27607370262</t>
  </si>
  <si>
    <t>2026-05-28 07:16:58</t>
  </si>
  <si>
    <t>14502827</t>
  </si>
  <si>
    <t>d04ef7aa-91c7-440b-91de-e842320fdfa7</t>
  </si>
  <si>
    <t>2026-05-28 07:14:51</t>
  </si>
  <si>
    <t>27726483802</t>
  </si>
  <si>
    <t>14502015</t>
  </si>
  <si>
    <t>6b289c6e-4942-4f2e-94cc-9015851751dc</t>
  </si>
  <si>
    <t>2026-05-28 07:13:21</t>
  </si>
  <si>
    <t>27823782763</t>
  </si>
  <si>
    <t>14502224</t>
  </si>
  <si>
    <t>4bf06834-a4c8-41a8-a6dd-37311655cf8a</t>
  </si>
  <si>
    <t>2026-05-28 06:55:35</t>
  </si>
  <si>
    <t>27763617884</t>
  </si>
  <si>
    <t>14502303</t>
  </si>
  <si>
    <t>961726d4-eb09-4553-bd7b-c9b955654adc</t>
  </si>
  <si>
    <t>27606554247</t>
  </si>
  <si>
    <t>2026-05-28 06:52:01</t>
  </si>
  <si>
    <t>14502425</t>
  </si>
  <si>
    <t>9d0317a1-f63c-430f-9f93-7e35a68eb240</t>
  </si>
  <si>
    <t>2026-05-28 06:48:43</t>
  </si>
  <si>
    <t>27765415633</t>
  </si>
  <si>
    <t>14502415</t>
  </si>
  <si>
    <t>4f8ca427-e00f-4491-abef-2c82bbeb8ec5</t>
  </si>
  <si>
    <t>2026-05-28 06:48:19</t>
  </si>
  <si>
    <t>27648947585</t>
  </si>
  <si>
    <t>14502412</t>
  </si>
  <si>
    <t>d105198e-22d4-4103-a7dd-3470215cc822</t>
  </si>
  <si>
    <t>2026-05-28 06:48:02</t>
  </si>
  <si>
    <t>27647450066</t>
  </si>
  <si>
    <t>14502368</t>
  </si>
  <si>
    <t>06273b89-cab4-4edc-a7f7-8dc05482e171</t>
  </si>
  <si>
    <t>2026-05-28 06:47:27</t>
  </si>
  <si>
    <t>27817567194</t>
  </si>
  <si>
    <t>14502387</t>
  </si>
  <si>
    <t>557c6f22-c398-49c9-a0ea-3707a732c857</t>
  </si>
  <si>
    <t>2026-05-28 06:44:08</t>
  </si>
  <si>
    <t>27799384486</t>
  </si>
  <si>
    <t>14502476</t>
  </si>
  <si>
    <t>13e09cbe-abb1-4ffc-ace9-4fc86b68b434</t>
  </si>
  <si>
    <t>2026-05-28 06:41:59</t>
  </si>
  <si>
    <t>27763929756</t>
  </si>
  <si>
    <t>14502647</t>
  </si>
  <si>
    <t>b5dfd83a-9dd0-4a58-bb3d-cd08eab070a1</t>
  </si>
  <si>
    <t>2026-05-28 06:33:58</t>
  </si>
  <si>
    <t>27761204433</t>
  </si>
  <si>
    <t>14502559</t>
  </si>
  <si>
    <t>d702252f-c99a-49a9-88cb-67d6d95cd0f8</t>
  </si>
  <si>
    <t>2026-05-28 06:31:00</t>
  </si>
  <si>
    <t>27766316837</t>
  </si>
  <si>
    <t>14502537</t>
  </si>
  <si>
    <t>11ddf46d-9a92-4166-9d08-a600e5e7a7ad</t>
  </si>
  <si>
    <t>2026-05-28 06:29:28</t>
  </si>
  <si>
    <t>27727553183</t>
  </si>
  <si>
    <t>14502495</t>
  </si>
  <si>
    <t>25d9ef9c-0253-45f8-a0b5-0ad3369cfe82</t>
  </si>
  <si>
    <t>2026-05-28 06:28:07</t>
  </si>
  <si>
    <t>27663833076</t>
  </si>
  <si>
    <t>14502584</t>
  </si>
  <si>
    <t>26be0317-6556-478b-b62b-c4b8179bd052</t>
  </si>
  <si>
    <t>27793744215</t>
  </si>
  <si>
    <t>2026-05-28 06:22:24</t>
  </si>
  <si>
    <t>14501872</t>
  </si>
  <si>
    <t>1ed85225-533f-4144-90f8-f6c20fa1c2e1</t>
  </si>
  <si>
    <t>2026-05-28 06:17:50</t>
  </si>
  <si>
    <t>27827343271</t>
  </si>
  <si>
    <t>14502612</t>
  </si>
  <si>
    <t>40e23c1a-0fde-4290-83bc-1970e7b72f1c</t>
  </si>
  <si>
    <t>2026-05-28 06:17:45</t>
  </si>
  <si>
    <t>27729663773</t>
  </si>
  <si>
    <t>14502615</t>
  </si>
  <si>
    <t>cc5ec463-5261-4012-8fa8-6f068a2fe97d</t>
  </si>
  <si>
    <t>27766520089</t>
  </si>
  <si>
    <t>14502611</t>
  </si>
  <si>
    <t>9368a464-9754-4df2-93d4-6bde99dab419</t>
  </si>
  <si>
    <t>2026-05-28 06:17:16</t>
  </si>
  <si>
    <t>27790645267</t>
  </si>
  <si>
    <t>14501796</t>
  </si>
  <si>
    <t>bd9d8c82-8d5e-45f6-94ca-a687169c04b3</t>
  </si>
  <si>
    <t>LETLHOGONOLO</t>
  </si>
  <si>
    <t>SEBOTHA</t>
  </si>
  <si>
    <t>2026-05-28 06:11:37</t>
  </si>
  <si>
    <t>27662650449</t>
  </si>
  <si>
    <t>14300234</t>
  </si>
  <si>
    <t>7a702f6d-c19f-4be7-9434-d38abfe95c20</t>
  </si>
  <si>
    <t>27822297516</t>
  </si>
  <si>
    <t>2026-05-27 16:59:58</t>
  </si>
  <si>
    <t>14300529</t>
  </si>
  <si>
    <t>4bde7293-598e-4ad1-95c0-ed294d36eda9</t>
  </si>
  <si>
    <t>27607338071</t>
  </si>
  <si>
    <t>2026-05-27 15:07:45</t>
  </si>
  <si>
    <t>14298340</t>
  </si>
  <si>
    <t>4f387a0e-cfd9-41b8-bdd3-5b8331001820</t>
  </si>
  <si>
    <t>27724111829</t>
  </si>
  <si>
    <t>2026-05-27 15:02:38</t>
  </si>
  <si>
    <t>14502461</t>
  </si>
  <si>
    <t>4bc87c70-f3d7-4227-a31a-466c8091769a</t>
  </si>
  <si>
    <t>2026-05-27 15:02:29</t>
  </si>
  <si>
    <t>27761793046</t>
  </si>
  <si>
    <t>14299067</t>
  </si>
  <si>
    <t>f762ad7e-a07a-40e4-a4a3-1cb61e024474</t>
  </si>
  <si>
    <t>27793648027</t>
  </si>
  <si>
    <t>2026-05-27 15:02:02</t>
  </si>
  <si>
    <t>14301356</t>
  </si>
  <si>
    <t>898c69cb-0a19-4d4e-b44a-f929cdd2e1ae</t>
  </si>
  <si>
    <t>2026-05-27 15:00:17</t>
  </si>
  <si>
    <t>27797193020</t>
  </si>
  <si>
    <t>14300597</t>
  </si>
  <si>
    <t>f28bab4f-317c-41f2-84d2-d2e7c2a52686</t>
  </si>
  <si>
    <t>2026-05-27 14:57:51</t>
  </si>
  <si>
    <t>27765042270</t>
  </si>
  <si>
    <t>14300251</t>
  </si>
  <si>
    <t>e8835189-5b2b-4208-9c4e-aa74b54eb580</t>
  </si>
  <si>
    <t>2026-05-27 14:48:13</t>
  </si>
  <si>
    <t>27729418123</t>
  </si>
  <si>
    <t>14500422</t>
  </si>
  <si>
    <t>8e584875-fe57-4d80-bfcb-ee4ebb9f0b4d</t>
  </si>
  <si>
    <t>NOMALUNGELO</t>
  </si>
  <si>
    <t>KHENISA</t>
  </si>
  <si>
    <t>2026-05-27 14:40:54</t>
  </si>
  <si>
    <t>27823163029</t>
  </si>
  <si>
    <t>14502118</t>
  </si>
  <si>
    <t>aacaab0c-eee4-47b5-b46c-5ac536ce7964</t>
  </si>
  <si>
    <t>2026-05-27 14:12:14</t>
  </si>
  <si>
    <t>27664431584</t>
  </si>
  <si>
    <t>14500523</t>
  </si>
  <si>
    <t>01a4d292-d0e2-41bf-90a7-96a24244fd84</t>
  </si>
  <si>
    <t>NOLWAZI</t>
  </si>
  <si>
    <t>KHWELA</t>
  </si>
  <si>
    <t>2026-05-27 14:07:54</t>
  </si>
  <si>
    <t>27722565420</t>
  </si>
  <si>
    <t>14501866</t>
  </si>
  <si>
    <t>0bd9d5a8-fc5d-44ac-b3e3-9e59c4725cab</t>
  </si>
  <si>
    <t>TSHIBANDA</t>
  </si>
  <si>
    <t>2026-05-27 14:04:27</t>
  </si>
  <si>
    <t>27721779085</t>
  </si>
  <si>
    <t>14501856</t>
  </si>
  <si>
    <t>6db5d69c-82ae-4df8-8f63-0208926ecee6</t>
  </si>
  <si>
    <t>CUNNINGHAM</t>
  </si>
  <si>
    <t>2026-05-27 14:03:48</t>
  </si>
  <si>
    <t>27760120862</t>
  </si>
  <si>
    <t>14501846</t>
  </si>
  <si>
    <t>b4feb9ba-33ab-4fb7-8652-91eadeb9fc9c</t>
  </si>
  <si>
    <t>BUYISIWE</t>
  </si>
  <si>
    <t>2026-05-27 14:02:02</t>
  </si>
  <si>
    <t>27662500462</t>
  </si>
  <si>
    <t>14501845</t>
  </si>
  <si>
    <t>533072fe-294c-47b6-9b87-439395d7fd5d</t>
  </si>
  <si>
    <t>KHOBO</t>
  </si>
  <si>
    <t>2026-05-27 14:01:54</t>
  </si>
  <si>
    <t>27763058731</t>
  </si>
  <si>
    <t>14501838</t>
  </si>
  <si>
    <t>e35c6ae8-9b37-4eb2-9c3a-eef36a4a05be</t>
  </si>
  <si>
    <t>ZUNGU</t>
  </si>
  <si>
    <t>2026-05-27 14:01:09</t>
  </si>
  <si>
    <t>27768336156</t>
  </si>
  <si>
    <t>14501808</t>
  </si>
  <si>
    <t>72e1c549-f783-46ac-9681-d07acb853e25</t>
  </si>
  <si>
    <t>LADIELLIS</t>
  </si>
  <si>
    <t>2026-05-27 13:58:36</t>
  </si>
  <si>
    <t>27820721204</t>
  </si>
  <si>
    <t>14501780</t>
  </si>
  <si>
    <t>243516af-f56d-4ed9-a5b2-a85513b35fb7</t>
  </si>
  <si>
    <t>MALEMA</t>
  </si>
  <si>
    <t>TLOUBATLA</t>
  </si>
  <si>
    <t>2026-05-27 13:51:32</t>
  </si>
  <si>
    <t>27722314198</t>
  </si>
  <si>
    <t>14501752</t>
  </si>
  <si>
    <t>93bf4adc-a167-4e17-bf54-0249d10632a0</t>
  </si>
  <si>
    <t>RONEL</t>
  </si>
  <si>
    <t>2026-05-27 13:47:17</t>
  </si>
  <si>
    <t>27829246337</t>
  </si>
  <si>
    <t>14501727</t>
  </si>
  <si>
    <t>65d67671-df10-4cd5-8326-e9727d8b9087</t>
  </si>
  <si>
    <t>MKWANAZI</t>
  </si>
  <si>
    <t>2026-05-27 13:41:35</t>
  </si>
  <si>
    <t>27664618194</t>
  </si>
  <si>
    <t>14502203</t>
  </si>
  <si>
    <t>6bcdb311-ea43-4055-b95c-def3554ccbfe</t>
  </si>
  <si>
    <t>2026-05-27 13:34:11</t>
  </si>
  <si>
    <t>27766373659</t>
  </si>
  <si>
    <t>14501707</t>
  </si>
  <si>
    <t>31771f19-3bfa-40ad-8e31-9280421f7fd5</t>
  </si>
  <si>
    <t>2026-05-27 13:10:06</t>
  </si>
  <si>
    <t>27823264288</t>
  </si>
  <si>
    <t>14501636</t>
  </si>
  <si>
    <t>900cc8a7-6f30-4fa2-91dc-a7e4dba6f007</t>
  </si>
  <si>
    <t>MAMORAKE</t>
  </si>
  <si>
    <t>RAGANYA</t>
  </si>
  <si>
    <t>2026-05-27 13:03:59</t>
  </si>
  <si>
    <t>27713435641</t>
  </si>
  <si>
    <t>14501663</t>
  </si>
  <si>
    <t>1d0ff947-aadd-46d3-a5d0-9e0a79f1d573</t>
  </si>
  <si>
    <t>RIANE</t>
  </si>
  <si>
    <t>BOTHMA</t>
  </si>
  <si>
    <t>2026-05-27 13:00:14</t>
  </si>
  <si>
    <t>27713311506</t>
  </si>
  <si>
    <t>14501624</t>
  </si>
  <si>
    <t>d117b9d6-839e-4ca6-8b40-0fe730d4443c</t>
  </si>
  <si>
    <t>KOMOLA</t>
  </si>
  <si>
    <t>MAAHLAMELA</t>
  </si>
  <si>
    <t>2026-05-27 12:56:00</t>
  </si>
  <si>
    <t>27761531819</t>
  </si>
  <si>
    <t>14501616</t>
  </si>
  <si>
    <t>c6b2d7ed-3995-4dc9-a4c9-ce633257e056</t>
  </si>
  <si>
    <t>MOHGUMBERRY</t>
  </si>
  <si>
    <t>2026-05-27 12:54:22</t>
  </si>
  <si>
    <t>27761057011</t>
  </si>
  <si>
    <t>14501500</t>
  </si>
  <si>
    <t>3077772a-d8c2-4509-bc33-9a48b2597325</t>
  </si>
  <si>
    <t>ZUKISWA</t>
  </si>
  <si>
    <t>VENEVENE</t>
  </si>
  <si>
    <t>2026-05-27 12:51:40</t>
  </si>
  <si>
    <t>27732525484</t>
  </si>
  <si>
    <t>14501577</t>
  </si>
  <si>
    <t>5950dea4-9f98-44d7-980d-8d7ff46cd44a</t>
  </si>
  <si>
    <t>KUTULLO</t>
  </si>
  <si>
    <t>MASHIFANE</t>
  </si>
  <si>
    <t>2026-05-27 12:49:59</t>
  </si>
  <si>
    <t>27729204557</t>
  </si>
  <si>
    <t>14502474</t>
  </si>
  <si>
    <t>0acb6184-7811-4dff-a93d-1a32fa17d557</t>
  </si>
  <si>
    <t>2026-05-27 12:44:16</t>
  </si>
  <si>
    <t>27727509717</t>
  </si>
  <si>
    <t>14501495</t>
  </si>
  <si>
    <t>f814d65b-e1cc-4b35-ade7-7c06d3fd9fa7</t>
  </si>
  <si>
    <t>2026-05-27 12:42:13</t>
  </si>
  <si>
    <t>27765669975</t>
  </si>
  <si>
    <t>14501464</t>
  </si>
  <si>
    <t>446bbec7-cb6b-47f9-871f-91d667eb6078</t>
  </si>
  <si>
    <t>VUSUMUZI</t>
  </si>
  <si>
    <t>NTSHALINTSHALI</t>
  </si>
  <si>
    <t>2026-05-27 12:17:10</t>
  </si>
  <si>
    <t>27662233968</t>
  </si>
  <si>
    <t>14501451</t>
  </si>
  <si>
    <t>50c67c76-c76e-4641-8000-28d6471c51de</t>
  </si>
  <si>
    <t>EMMANUEL</t>
  </si>
  <si>
    <t>CHAKA</t>
  </si>
  <si>
    <t>2026-05-27 12:15:35</t>
  </si>
  <si>
    <t>27637621818</t>
  </si>
  <si>
    <t>14501427</t>
  </si>
  <si>
    <t>ea9aeda3-5794-48c7-8e82-48b3e587b336</t>
  </si>
  <si>
    <t>MASENNYE</t>
  </si>
  <si>
    <t>KOTSOKOANE</t>
  </si>
  <si>
    <t>2026-05-27 12:12:25</t>
  </si>
  <si>
    <t>27729164421</t>
  </si>
  <si>
    <t>14501400</t>
  </si>
  <si>
    <t>b6954986-8aeb-4512-b543-b6e0b61a831d</t>
  </si>
  <si>
    <t>SHOZI</t>
  </si>
  <si>
    <t>2026-05-27 12:09:16</t>
  </si>
  <si>
    <t>27662284988</t>
  </si>
  <si>
    <t>14501395</t>
  </si>
  <si>
    <t>3ad97415-0309-4717-9111-6b28c59f0ef8</t>
  </si>
  <si>
    <t>ZANOKUHLE</t>
  </si>
  <si>
    <t>NTOMBELA</t>
  </si>
  <si>
    <t>2026-05-27 12:09:04</t>
  </si>
  <si>
    <t>27826107886</t>
  </si>
  <si>
    <t>14501293</t>
  </si>
  <si>
    <t>1f323cb6-5332-4c46-b63e-30c43251a0e2</t>
  </si>
  <si>
    <t>MFANAFUTHI</t>
  </si>
  <si>
    <t>2026-05-27 12:07:50</t>
  </si>
  <si>
    <t>27744664223</t>
  </si>
  <si>
    <t>14501350</t>
  </si>
  <si>
    <t>5b67d166-470e-465d-91e2-042ee65e656b</t>
  </si>
  <si>
    <t>GOOSEN</t>
  </si>
  <si>
    <t>2026-05-27 12:03:33</t>
  </si>
  <si>
    <t>27765016017</t>
  </si>
  <si>
    <t>14501179</t>
  </si>
  <si>
    <t>5f88dee1-a460-48d3-8b5f-517c90ebd78c</t>
  </si>
  <si>
    <t>DE BONIS</t>
  </si>
  <si>
    <t>2026-05-27 12:02:54</t>
  </si>
  <si>
    <t>27721493443</t>
  </si>
  <si>
    <t>14501345</t>
  </si>
  <si>
    <t>5cac0f82-55ca-4db4-90f3-70902dd04b7e</t>
  </si>
  <si>
    <t>2026-05-27 12:02:21</t>
  </si>
  <si>
    <t>27767858757</t>
  </si>
  <si>
    <t>14501333</t>
  </si>
  <si>
    <t>5249aed8-2ecc-4dca-8a43-5c208ef5f492</t>
  </si>
  <si>
    <t>RASHIDA</t>
  </si>
  <si>
    <t>MAHOMED</t>
  </si>
  <si>
    <t>2026-05-27 12:01:00</t>
  </si>
  <si>
    <t>27649681712</t>
  </si>
  <si>
    <t>14297634</t>
  </si>
  <si>
    <t>918ce820-5909-4027-8a28-c4510b6363db</t>
  </si>
  <si>
    <t>2026-05-27 11:59:17</t>
  </si>
  <si>
    <t>27827144346</t>
  </si>
  <si>
    <t>14501319</t>
  </si>
  <si>
    <t>e2d4a60d-5db6-47e6-8d8a-87724e4d651f</t>
  </si>
  <si>
    <t>EVANS</t>
  </si>
  <si>
    <t>2026-05-27 11:59:15</t>
  </si>
  <si>
    <t>27646577651</t>
  </si>
  <si>
    <t>14501286</t>
  </si>
  <si>
    <t>a9aee9fc-4767-404e-bcf7-bee5e76020cb</t>
  </si>
  <si>
    <t>LETLOTLO</t>
  </si>
  <si>
    <t>CHUMA</t>
  </si>
  <si>
    <t>2026-05-27 11:53:42</t>
  </si>
  <si>
    <t>27664865091</t>
  </si>
  <si>
    <t>14501264</t>
  </si>
  <si>
    <t>2fc37f54-fe96-47ad-b7d3-24ff5437783b</t>
  </si>
  <si>
    <t>RAESETSA</t>
  </si>
  <si>
    <t>MABOA</t>
  </si>
  <si>
    <t>2026-05-27 11:52:13</t>
  </si>
  <si>
    <t>27766920307</t>
  </si>
  <si>
    <t>14501267</t>
  </si>
  <si>
    <t>31df7cfb-f4c5-451c-a858-4e4eef896bda</t>
  </si>
  <si>
    <t>KEITUMETSE</t>
  </si>
  <si>
    <t>KOMANA</t>
  </si>
  <si>
    <t>2026-05-27 11:52:01</t>
  </si>
  <si>
    <t>27609958453</t>
  </si>
  <si>
    <t>14501199</t>
  </si>
  <si>
    <t>7081af97-868f-475f-b5e4-57265db2c163</t>
  </si>
  <si>
    <t>JEFREY</t>
  </si>
  <si>
    <t>VILAKAZI</t>
  </si>
  <si>
    <t>2026-05-27 11:48:46</t>
  </si>
  <si>
    <t>27763317450</t>
  </si>
  <si>
    <t>14300601</t>
  </si>
  <si>
    <t>1360e8b8-6cae-4f94-9438-be5ad8cd03ff</t>
  </si>
  <si>
    <t>2026-05-27 10:49:59</t>
  </si>
  <si>
    <t>27711646804</t>
  </si>
  <si>
    <t>14501157</t>
  </si>
  <si>
    <t>fbf8ae01-b37e-49a8-b0b0-49f607ebd838</t>
  </si>
  <si>
    <t>2026-05-27 10:45:15</t>
  </si>
  <si>
    <t>27636367804</t>
  </si>
  <si>
    <t>14501153</t>
  </si>
  <si>
    <t>a107affe-ac46-4b5d-b6d2-94b7311b1a74</t>
  </si>
  <si>
    <t>REUEL</t>
  </si>
  <si>
    <t>HENNICKS</t>
  </si>
  <si>
    <t>2026-05-27 10:45:01</t>
  </si>
  <si>
    <t>27714026231</t>
  </si>
  <si>
    <t>14297666</t>
  </si>
  <si>
    <t>c06810a3-5af1-49a7-aea9-53b07139c4a7</t>
  </si>
  <si>
    <t>2026-05-27 10:40:12</t>
  </si>
  <si>
    <t>27647422212</t>
  </si>
  <si>
    <t>14501102</t>
  </si>
  <si>
    <t>e3a0b217-2fb2-47c0-82f3-b7dce45480ac</t>
  </si>
  <si>
    <t>ELLEN</t>
  </si>
  <si>
    <t>HOBYANE</t>
  </si>
  <si>
    <t>2026-05-27 10:38:07</t>
  </si>
  <si>
    <t>27767830595</t>
  </si>
  <si>
    <t>14501070</t>
  </si>
  <si>
    <t>4c3058e2-9374-41ed-9554-922e3689248d</t>
  </si>
  <si>
    <t>BHEKUMUSA</t>
  </si>
  <si>
    <t>2026-05-27 10:33:25</t>
  </si>
  <si>
    <t>27764938630</t>
  </si>
  <si>
    <t>14502255</t>
  </si>
  <si>
    <t>c862159b-c2c1-455f-9d26-2f038b3d2885</t>
  </si>
  <si>
    <t>2026-05-27 10:31:33</t>
  </si>
  <si>
    <t>27725225007</t>
  </si>
  <si>
    <t>14500790</t>
  </si>
  <si>
    <t>f2d91f84-7965-4ee6-8be3-16641eeddd5d</t>
  </si>
  <si>
    <t>2026-05-27 10:22:17</t>
  </si>
  <si>
    <t>27827727331</t>
  </si>
  <si>
    <t>14300405</t>
  </si>
  <si>
    <t>b31e2161-ac5b-49e6-a148-6ca4b942aaf5</t>
  </si>
  <si>
    <t>27721803924</t>
  </si>
  <si>
    <t>2026-05-27 10:21:09</t>
  </si>
  <si>
    <t>14500965</t>
  </si>
  <si>
    <t>16e0075c-f1f7-4805-813e-b98c1bdc6c55</t>
  </si>
  <si>
    <t>MPEMANE</t>
  </si>
  <si>
    <t>MABOTHA</t>
  </si>
  <si>
    <t>2026-05-27 10:20:50</t>
  </si>
  <si>
    <t>27818359916</t>
  </si>
  <si>
    <t>14500906</t>
  </si>
  <si>
    <t>ffb28e8b-f268-4b4b-a364-208b15023231</t>
  </si>
  <si>
    <t>BONGUMUSA</t>
  </si>
  <si>
    <t>NSIBANDE</t>
  </si>
  <si>
    <t>2026-05-27 10:10:00</t>
  </si>
  <si>
    <t>27790860459</t>
  </si>
  <si>
    <t>14500908</t>
  </si>
  <si>
    <t>a6ca585e-0533-4a4d-9329-07f0b5ebebf1</t>
  </si>
  <si>
    <t>2026-05-27 10:09:01</t>
  </si>
  <si>
    <t>27662722205</t>
  </si>
  <si>
    <t>14502016</t>
  </si>
  <si>
    <t>34ff8471-e83b-4409-8e7f-bb2eef5b8059</t>
  </si>
  <si>
    <t>2026-05-27 10:04:27</t>
  </si>
  <si>
    <t>27729889481</t>
  </si>
  <si>
    <t>14500857</t>
  </si>
  <si>
    <t>3bdb11dd-5b53-4d1d-8c1e-22a54e03a73f</t>
  </si>
  <si>
    <t>MOILOA</t>
  </si>
  <si>
    <t>2026-05-27 10:01:20</t>
  </si>
  <si>
    <t>27763317691</t>
  </si>
  <si>
    <t>14500831</t>
  </si>
  <si>
    <t>aced4343-7eab-479e-9fab-b5f28438fb76</t>
  </si>
  <si>
    <t>DAKALO</t>
  </si>
  <si>
    <t>RAMAKULUKUSHA</t>
  </si>
  <si>
    <t>2026-05-27 09:58:25</t>
  </si>
  <si>
    <t>27720868553</t>
  </si>
  <si>
    <t>14500824</t>
  </si>
  <si>
    <t>fd90a37f-1bc0-411a-a82e-67e7f01c34b9</t>
  </si>
  <si>
    <t>BHECKHULWAZI</t>
  </si>
  <si>
    <t>2026-05-27 09:58:09</t>
  </si>
  <si>
    <t>27822163800</t>
  </si>
  <si>
    <t>14500800</t>
  </si>
  <si>
    <t>c6b87417-00fe-42b5-b927-a520ddefabfc</t>
  </si>
  <si>
    <t>GAVIN</t>
  </si>
  <si>
    <t>HAMILTON</t>
  </si>
  <si>
    <t>2026-05-27 09:54:56</t>
  </si>
  <si>
    <t>27765130681</t>
  </si>
  <si>
    <t>14500776</t>
  </si>
  <si>
    <t>914eb722-8935-47d7-b74e-e53c5300ce75</t>
  </si>
  <si>
    <t>2026-05-27 09:48:35</t>
  </si>
  <si>
    <t>27794660186</t>
  </si>
  <si>
    <t>14500746</t>
  </si>
  <si>
    <t>d8706e77-474b-4837-9423-94faf511417e</t>
  </si>
  <si>
    <t>2026-05-27 09:41:20</t>
  </si>
  <si>
    <t>27833309587</t>
  </si>
  <si>
    <t>14500741</t>
  </si>
  <si>
    <t>5c7f328a-2435-427c-9a39-d4594e9a478a</t>
  </si>
  <si>
    <t>MUSIWALO</t>
  </si>
  <si>
    <t>MADZANE</t>
  </si>
  <si>
    <t>2026-05-27 09:40:47</t>
  </si>
  <si>
    <t>27662446611</t>
  </si>
  <si>
    <t>14500707</t>
  </si>
  <si>
    <t>a999edf0-d54e-46aa-924d-b12fa2f3409a</t>
  </si>
  <si>
    <t>MALIBONGWE</t>
  </si>
  <si>
    <t>NGWABI</t>
  </si>
  <si>
    <t>2026-05-27 09:32:58</t>
  </si>
  <si>
    <t>27829464756</t>
  </si>
  <si>
    <t>14500689</t>
  </si>
  <si>
    <t>8e709874-4293-4c06-a606-7d5b1747653c</t>
  </si>
  <si>
    <t>PHILIP</t>
  </si>
  <si>
    <t>MOLLER</t>
  </si>
  <si>
    <t>2026-05-27 09:27:53</t>
  </si>
  <si>
    <t>27828208623</t>
  </si>
  <si>
    <t>14500661</t>
  </si>
  <si>
    <t>5e0f07d6-98b0-438d-8df6-796bf851d396</t>
  </si>
  <si>
    <t>MBALENHLE</t>
  </si>
  <si>
    <t>KHANYILE</t>
  </si>
  <si>
    <t>2026-05-27 09:24:03</t>
  </si>
  <si>
    <t>27674097343</t>
  </si>
  <si>
    <t>14500639</t>
  </si>
  <si>
    <t>55eb3a26-e281-4196-b249-206e236037d2</t>
  </si>
  <si>
    <t>MNENO</t>
  </si>
  <si>
    <t>2026-05-27 09:21:45</t>
  </si>
  <si>
    <t>27649010067</t>
  </si>
  <si>
    <t>14301163</t>
  </si>
  <si>
    <t>6739ca8d-1a0f-4f03-9b4c-5bb18fd4fa82</t>
  </si>
  <si>
    <t>27797753784</t>
  </si>
  <si>
    <t>2026-05-27 09:15:01</t>
  </si>
  <si>
    <t>14500584</t>
  </si>
  <si>
    <t>515c598a-fb9a-41a3-aa7f-c320d6971048</t>
  </si>
  <si>
    <t>MAPHI</t>
  </si>
  <si>
    <t>VETHE</t>
  </si>
  <si>
    <t>2026-05-27 09:14:45</t>
  </si>
  <si>
    <t>27824455144</t>
  </si>
  <si>
    <t>14500526</t>
  </si>
  <si>
    <t>25837aad-c9a5-46c7-bc2c-ad92318e4ca8</t>
  </si>
  <si>
    <t>PRISCILLA</t>
  </si>
  <si>
    <t>MOEPI</t>
  </si>
  <si>
    <t>2026-05-27 09:07:45</t>
  </si>
  <si>
    <t>27828360301</t>
  </si>
  <si>
    <t>14500489</t>
  </si>
  <si>
    <t>d1b29ed5-41d8-4bf8-b3ea-380019ba97c2</t>
  </si>
  <si>
    <t>SHAROLINE</t>
  </si>
  <si>
    <t>2026-05-27 09:03:38</t>
  </si>
  <si>
    <t>27716014384</t>
  </si>
  <si>
    <t>14500477</t>
  </si>
  <si>
    <t>9d451f55-8470-4285-b797-e36279708cef</t>
  </si>
  <si>
    <t>JOMO</t>
  </si>
  <si>
    <t>NGOMANA</t>
  </si>
  <si>
    <t>2026-05-27 09:00:38</t>
  </si>
  <si>
    <t>27827093753</t>
  </si>
  <si>
    <t>14500441</t>
  </si>
  <si>
    <t>3aee58df-6eaf-47b7-a4c0-7eacf6db8906</t>
  </si>
  <si>
    <t>MUSA</t>
  </si>
  <si>
    <t>KHULU</t>
  </si>
  <si>
    <t>2026-05-27 08:57:09</t>
  </si>
  <si>
    <t>27662652717</t>
  </si>
  <si>
    <t>14500439</t>
  </si>
  <si>
    <t>3cbc7e3e-e773-4166-a19f-83933d883f29</t>
  </si>
  <si>
    <t>MORENA</t>
  </si>
  <si>
    <t>2026-05-27 08:57:01</t>
  </si>
  <si>
    <t>27723942485</t>
  </si>
  <si>
    <t>14500393</t>
  </si>
  <si>
    <t>890cd5b6-0e38-4788-af29-b13b16d55fde</t>
  </si>
  <si>
    <t>SUETTE</t>
  </si>
  <si>
    <t>NORTMAN</t>
  </si>
  <si>
    <t>2026-05-27 08:53:19</t>
  </si>
  <si>
    <t>27823137577</t>
  </si>
  <si>
    <t>14500382</t>
  </si>
  <si>
    <t>9b49c4f9-c479-4fc9-906b-177c1e8cc492</t>
  </si>
  <si>
    <t>NGOMA</t>
  </si>
  <si>
    <t>2026-05-27 08:52:18</t>
  </si>
  <si>
    <t>27711436806</t>
  </si>
  <si>
    <t>14502864</t>
  </si>
  <si>
    <t>a3d87e85-81a3-4215-a954-53689e0064ef</t>
  </si>
  <si>
    <t>2026-05-27 08:50:24</t>
  </si>
  <si>
    <t>27766560496</t>
  </si>
  <si>
    <t>14502857</t>
  </si>
  <si>
    <t>1d18ed09-196e-414a-aae8-48df9d3868ee</t>
  </si>
  <si>
    <t>2026-05-27 08:49:48</t>
  </si>
  <si>
    <t>27714866029</t>
  </si>
  <si>
    <t>14502819</t>
  </si>
  <si>
    <t>c8c36c7a-99ac-42b4-b341-f7e710ad3fff</t>
  </si>
  <si>
    <t>27767458654</t>
  </si>
  <si>
    <t>2026-05-27 08:47:35</t>
  </si>
  <si>
    <t>14502671</t>
  </si>
  <si>
    <t>cda29829-3cae-4c80-8495-4168787ff0a6</t>
  </si>
  <si>
    <t>27818106224</t>
  </si>
  <si>
    <t>2026-05-27 08:47:33</t>
  </si>
  <si>
    <t>14502792</t>
  </si>
  <si>
    <t>f638aeab-346d-4f44-998d-6deadaa2d80e</t>
  </si>
  <si>
    <t>27639251287</t>
  </si>
  <si>
    <t>2026-05-27 08:43:16</t>
  </si>
  <si>
    <t>14502768</t>
  </si>
  <si>
    <t>1f1c67fd-00a4-40cf-ae69-ee3663ef49db</t>
  </si>
  <si>
    <t>27723393653</t>
  </si>
  <si>
    <t>2026-05-27 08:40:24</t>
  </si>
  <si>
    <t>14502767</t>
  </si>
  <si>
    <t>99aa41d3-4904-4fea-9078-42f3039b52ab</t>
  </si>
  <si>
    <t>2026-05-27 08:39:51</t>
  </si>
  <si>
    <t>27649374580</t>
  </si>
  <si>
    <t>14502766</t>
  </si>
  <si>
    <t>f7390c4f-7655-498c-bd23-842d1b706600</t>
  </si>
  <si>
    <t>2026-05-27 08:39:12</t>
  </si>
  <si>
    <t>27844121446</t>
  </si>
  <si>
    <t>14502757</t>
  </si>
  <si>
    <t>391525fa-0213-4ecb-abe4-2419d99b1e4f</t>
  </si>
  <si>
    <t>2026-05-27 08:38:15</t>
  </si>
  <si>
    <t>27828789879</t>
  </si>
  <si>
    <t>14502714</t>
  </si>
  <si>
    <t>36916b65-d7ba-4379-903f-ee60a814fb02</t>
  </si>
  <si>
    <t>2026-05-27 08:33:47</t>
  </si>
  <si>
    <t>27649131390</t>
  </si>
  <si>
    <t>14502706</t>
  </si>
  <si>
    <t>c2f70866-c13f-4e9f-934a-6f4dea2850b5</t>
  </si>
  <si>
    <t>2026-05-27 08:31:58</t>
  </si>
  <si>
    <t>27722115157</t>
  </si>
  <si>
    <t>14502689</t>
  </si>
  <si>
    <t>19ea338a-add7-443a-a7d1-6413b7dfed0e</t>
  </si>
  <si>
    <t>2026-05-27 08:30:23</t>
  </si>
  <si>
    <t>27769281383</t>
  </si>
  <si>
    <t>14502686</t>
  </si>
  <si>
    <t>0ceea0d1-fa14-48d0-9405-2b9649ca7ee1</t>
  </si>
  <si>
    <t>2026-05-27 08:30:17</t>
  </si>
  <si>
    <t>27762078963</t>
  </si>
  <si>
    <t>14502614</t>
  </si>
  <si>
    <t>663c1afa-6973-4da3-833c-68dc2a7944df</t>
  </si>
  <si>
    <t>27721733144</t>
  </si>
  <si>
    <t>2026-05-27 08:26:41</t>
  </si>
  <si>
    <t>14301455</t>
  </si>
  <si>
    <t>1d56f8d4-a780-42e1-9dce-12dd925e5822</t>
  </si>
  <si>
    <t>27795611700</t>
  </si>
  <si>
    <t>2026-05-27 08:25:16</t>
  </si>
  <si>
    <t>14502623</t>
  </si>
  <si>
    <t>f81bddc9-7a84-4e26-89df-ce1e90b57297</t>
  </si>
  <si>
    <t>2026-05-27 08:23:24</t>
  </si>
  <si>
    <t>27768567066</t>
  </si>
  <si>
    <t>14502581</t>
  </si>
  <si>
    <t>63b5eca9-970d-4037-8ddf-c1a4d31b9498</t>
  </si>
  <si>
    <t>27663972065</t>
  </si>
  <si>
    <t>2026-05-27 07:59:49</t>
  </si>
  <si>
    <t>14502580</t>
  </si>
  <si>
    <t>006469a1-83f4-4203-8fec-9b3c65122cee</t>
  </si>
  <si>
    <t>2026-05-27 07:59:06</t>
  </si>
  <si>
    <t>27791503124</t>
  </si>
  <si>
    <t>14502571</t>
  </si>
  <si>
    <t>2ff6e04a-315b-41ef-a84a-b1b60579a83f</t>
  </si>
  <si>
    <t>2026-05-27 07:57:40</t>
  </si>
  <si>
    <t>27824480329</t>
  </si>
  <si>
    <t>14502550</t>
  </si>
  <si>
    <t>54543b34-e433-4b82-bafa-b5df8419ba4e</t>
  </si>
  <si>
    <t>2026-05-27 07:53:39</t>
  </si>
  <si>
    <t>27763661918</t>
  </si>
  <si>
    <t>14301908</t>
  </si>
  <si>
    <t>9a77ae50-8a8a-4817-969c-37679bdc9721</t>
  </si>
  <si>
    <t>27791785998</t>
  </si>
  <si>
    <t>2026-05-27 07:51:30</t>
  </si>
  <si>
    <t>14502540</t>
  </si>
  <si>
    <t>707046b6-3b36-4708-860b-fb210307847f</t>
  </si>
  <si>
    <t>2026-05-27 07:49:58</t>
  </si>
  <si>
    <t>27636039523</t>
  </si>
  <si>
    <t>14502451</t>
  </si>
  <si>
    <t>7f0e9283-e5e0-4633-998f-1f44563fff6d</t>
  </si>
  <si>
    <t>2026-05-27 07:34:28</t>
  </si>
  <si>
    <t>27760113846</t>
  </si>
  <si>
    <t>14502424</t>
  </si>
  <si>
    <t>555aa401-bd52-4b48-9c6e-ff959edf6cd5</t>
  </si>
  <si>
    <t>2026-05-27 07:32:18</t>
  </si>
  <si>
    <t>27792354217</t>
  </si>
  <si>
    <t>14502342</t>
  </si>
  <si>
    <t>951c133c-a93b-4b7f-90e4-15980ce74335</t>
  </si>
  <si>
    <t>2026-05-27 07:23:16</t>
  </si>
  <si>
    <t>27797539339</t>
  </si>
  <si>
    <t>14502304</t>
  </si>
  <si>
    <t>887ec485-f370-4aa6-b1c0-8ec7a8bd1746</t>
  </si>
  <si>
    <t>2026-05-27 07:17:29</t>
  </si>
  <si>
    <t>27720625541</t>
  </si>
  <si>
    <t>14502172</t>
  </si>
  <si>
    <t>0386654f-ab1d-4302-a7ae-598172cc7b98</t>
  </si>
  <si>
    <t>2026-05-27 07:17:20</t>
  </si>
  <si>
    <t>27608788109</t>
  </si>
  <si>
    <t>14502277</t>
  </si>
  <si>
    <t>05a54d7b-35fe-4b51-9edb-f33a72f3d95d</t>
  </si>
  <si>
    <t>2026-05-27 07:12:49</t>
  </si>
  <si>
    <t>27659323285</t>
  </si>
  <si>
    <t>14502232</t>
  </si>
  <si>
    <t>9c203ce7-13f3-4a10-9388-1d08e1df04d2</t>
  </si>
  <si>
    <t>2026-05-27 07:07:43</t>
  </si>
  <si>
    <t>27763306603</t>
  </si>
  <si>
    <t>14300380</t>
  </si>
  <si>
    <t>f4a2265d-dc07-4849-ac61-bffb6d44e337</t>
  </si>
  <si>
    <t>27647312806</t>
  </si>
  <si>
    <t>2026-05-27 07:03:17</t>
  </si>
  <si>
    <t>14502168</t>
  </si>
  <si>
    <t>572e17eb-5d23-49f0-a553-d5e1dccca5db</t>
  </si>
  <si>
    <t>2026-05-27 07:01:15</t>
  </si>
  <si>
    <t>27825960336</t>
  </si>
  <si>
    <t>14502159</t>
  </si>
  <si>
    <t>c94000ba-57f4-4a98-b60d-906bfe351d7c</t>
  </si>
  <si>
    <t>2026-05-27 06:58:40</t>
  </si>
  <si>
    <t>27714695183</t>
  </si>
  <si>
    <t>14502145</t>
  </si>
  <si>
    <t>1090f17a-7eec-49f1-9bfa-83acf377ef8b</t>
  </si>
  <si>
    <t>2026-05-27 06:57:19</t>
  </si>
  <si>
    <t>27607375273</t>
  </si>
  <si>
    <t>14502139</t>
  </si>
  <si>
    <t>5aacab87-c428-46ad-8750-df5d21336843</t>
  </si>
  <si>
    <t>2026-05-27 06:55:58</t>
  </si>
  <si>
    <t>27636566444</t>
  </si>
  <si>
    <t>14502126</t>
  </si>
  <si>
    <t>fe9c51ed-706a-4b7b-84b4-31f3cfe3a03b</t>
  </si>
  <si>
    <t>2026-05-27 06:54:37</t>
  </si>
  <si>
    <t>27834802548</t>
  </si>
  <si>
    <t>14502108</t>
  </si>
  <si>
    <t>1554a690-4520-4d0e-8a54-48fc74de9105</t>
  </si>
  <si>
    <t>2026-05-27 06:50:28</t>
  </si>
  <si>
    <t>27826994408</t>
  </si>
  <si>
    <t>14502081</t>
  </si>
  <si>
    <t>67f0400a-f521-4b11-b42d-01edffadecd9</t>
  </si>
  <si>
    <t>2026-05-27 06:46:30</t>
  </si>
  <si>
    <t>27727808106</t>
  </si>
  <si>
    <t>14501981</t>
  </si>
  <si>
    <t>d3daa1c2-2f32-44b9-b1c0-3728e02a2586</t>
  </si>
  <si>
    <t>27828225854</t>
  </si>
  <si>
    <t>2026-05-27 06:34:50</t>
  </si>
  <si>
    <t>14501979</t>
  </si>
  <si>
    <t>1b91ebcf-5533-4b72-86b5-e2561d54ded0</t>
  </si>
  <si>
    <t>2026-05-27 06:33:59</t>
  </si>
  <si>
    <t>27760264928</t>
  </si>
  <si>
    <t>14298809</t>
  </si>
  <si>
    <t>e4beaa08-05d0-4a44-91ea-cec864a4e1ee</t>
  </si>
  <si>
    <t>27725709666</t>
  </si>
  <si>
    <t>2026-05-27 06:33:11</t>
  </si>
  <si>
    <t>14501917</t>
  </si>
  <si>
    <t>6a74c7ca-96f0-48a4-821f-9420d2805000</t>
  </si>
  <si>
    <t>2026-05-27 06:30:10</t>
  </si>
  <si>
    <t>27723560883</t>
  </si>
  <si>
    <t>14501904</t>
  </si>
  <si>
    <t>1f3974bf-2776-45d2-965f-9c5763272931</t>
  </si>
  <si>
    <t>2026-05-27 06:28:43</t>
  </si>
  <si>
    <t>27766166423</t>
  </si>
  <si>
    <t>14501884</t>
  </si>
  <si>
    <t>ff46c8fd-10ab-43b7-9a47-5f49d36655af</t>
  </si>
  <si>
    <t>2026-05-27 06:25:39</t>
  </si>
  <si>
    <t>27646418230</t>
  </si>
  <si>
    <t>14501942</t>
  </si>
  <si>
    <t>7c5ee2ee-901b-4a59-bf4a-328b300a2a58</t>
  </si>
  <si>
    <t>2026-05-27 06:16:04</t>
  </si>
  <si>
    <t>27824550932</t>
  </si>
  <si>
    <t>14301009</t>
  </si>
  <si>
    <t>d876dbfd-1b07-452b-9209-3ab54c774305</t>
  </si>
  <si>
    <t>27660802989</t>
  </si>
  <si>
    <t>2026-05-27 05:06:49</t>
  </si>
  <si>
    <t>14298106</t>
  </si>
  <si>
    <t>6560c4aa-87db-4e75-8f15-3c6554ab80a0</t>
  </si>
  <si>
    <t>27716463051</t>
  </si>
  <si>
    <t>2026-05-26 16:10:53</t>
  </si>
  <si>
    <t>14298259</t>
  </si>
  <si>
    <t>33fc4e83-5ac9-4cb1-a8cd-7124e496bfbd</t>
  </si>
  <si>
    <t>27763963049</t>
  </si>
  <si>
    <t>2026-05-26 16:10:21</t>
  </si>
  <si>
    <t>14301348</t>
  </si>
  <si>
    <t>17333761-d3fc-4329-8cbd-834315e61fb5</t>
  </si>
  <si>
    <t>27767802952</t>
  </si>
  <si>
    <t>2026-05-26 15:34:04</t>
  </si>
  <si>
    <t>14298026</t>
  </si>
  <si>
    <t>a09ea105-63f1-45b1-ae3c-2fedc10b82f8</t>
  </si>
  <si>
    <t>27791465105</t>
  </si>
  <si>
    <t>2026-05-26 15:31:23</t>
  </si>
  <si>
    <t>14298688</t>
  </si>
  <si>
    <t>60f59223-ddaf-4bf8-b6ec-df1c18a396e3</t>
  </si>
  <si>
    <t>27712512216</t>
  </si>
  <si>
    <t>2026-05-26 15:29:44</t>
  </si>
  <si>
    <t>14298142</t>
  </si>
  <si>
    <t>7de624ca-c95a-4d04-88e5-e33273ec0cdf</t>
  </si>
  <si>
    <t>27764418450</t>
  </si>
  <si>
    <t>2026-05-26 15:19:28</t>
  </si>
  <si>
    <t>14297622</t>
  </si>
  <si>
    <t>84103e67-50a8-4aa0-8784-66b1fa0540a6</t>
  </si>
  <si>
    <t>2026-05-26 15:16:09</t>
  </si>
  <si>
    <t>27783416866</t>
  </si>
  <si>
    <t>14297624</t>
  </si>
  <si>
    <t>1feed028-6821-4ac4-beef-48bd0e0029ba</t>
  </si>
  <si>
    <t>2026-05-26 15:16:07</t>
  </si>
  <si>
    <t>27829747336</t>
  </si>
  <si>
    <t>14297791</t>
  </si>
  <si>
    <t>572cf32f-0d47-468a-8124-607ce2a1f6d7</t>
  </si>
  <si>
    <t>27825859411</t>
  </si>
  <si>
    <t>14297805</t>
  </si>
  <si>
    <t>c98ac029-3707-4946-92e6-281af41da54f</t>
  </si>
  <si>
    <t>27822852910</t>
  </si>
  <si>
    <t>14298971</t>
  </si>
  <si>
    <t>234071bf-36ae-4f9c-a2ac-e61af0d26f9b</t>
  </si>
  <si>
    <t>27646325767</t>
  </si>
  <si>
    <t>2026-05-26 15:15:12</t>
  </si>
  <si>
    <t>14298966</t>
  </si>
  <si>
    <t>2272e737-31de-4217-b344-4a7fcdfa3456</t>
  </si>
  <si>
    <t>27714677239</t>
  </si>
  <si>
    <t>2026-05-26 15:14:50</t>
  </si>
  <si>
    <t>14297665</t>
  </si>
  <si>
    <t>dcdf21b6-f2a2-40f6-96cb-cb37f3b38ca5</t>
  </si>
  <si>
    <t>2026-05-26 15:14:48</t>
  </si>
  <si>
    <t>27608456396</t>
  </si>
  <si>
    <t>14297722</t>
  </si>
  <si>
    <t>4f9f8b83-b937-4108-ba41-8d55ab8553fe</t>
  </si>
  <si>
    <t>2026-05-26 15:14:45</t>
  </si>
  <si>
    <t>27734279626</t>
  </si>
  <si>
    <t>14297628</t>
  </si>
  <si>
    <t>c1c92c3e-ff02-45b9-9527-ec4aedbed175</t>
  </si>
  <si>
    <t>2026-05-26 15:14:41</t>
  </si>
  <si>
    <t>27792471452</t>
  </si>
  <si>
    <t>14297739</t>
  </si>
  <si>
    <t>aaf281e6-31b6-4b47-b33f-86cdd271f76e</t>
  </si>
  <si>
    <t>27647969256</t>
  </si>
  <si>
    <t>14298066</t>
  </si>
  <si>
    <t>d61adba8-426d-41a5-938c-4ab280fd0d3a</t>
  </si>
  <si>
    <t>27760271290</t>
  </si>
  <si>
    <t>14298297</t>
  </si>
  <si>
    <t>fcfec646-0bac-4e6e-833c-0762ac9907f6</t>
  </si>
  <si>
    <t>27825480395</t>
  </si>
  <si>
    <t>14298701</t>
  </si>
  <si>
    <t>d4e5dead-ad4c-4d58-8ec0-fcd46ade55cd</t>
  </si>
  <si>
    <t>27715374386</t>
  </si>
  <si>
    <t>2026-05-26 15:12:14</t>
  </si>
  <si>
    <t>14298914</t>
  </si>
  <si>
    <t>749ec3a5-06e2-4c9f-88cc-e5b13c22d6e6</t>
  </si>
  <si>
    <t>27660959813</t>
  </si>
  <si>
    <t>2026-05-26 15:12:10</t>
  </si>
  <si>
    <t>14297869</t>
  </si>
  <si>
    <t>391d19c2-3d9a-49ee-8515-a885f4b1ad88</t>
  </si>
  <si>
    <t>27661481658</t>
  </si>
  <si>
    <t>2026-05-26 15:12:04</t>
  </si>
  <si>
    <t>14297703</t>
  </si>
  <si>
    <t>7aa85542-730d-4e0c-a8fa-204d71cc4892</t>
  </si>
  <si>
    <t>27664428690</t>
  </si>
  <si>
    <t>2026-05-26 15:08:07</t>
  </si>
  <si>
    <t>14297707</t>
  </si>
  <si>
    <t>2f601c89-56a1-425a-bbcc-0d29288983a6</t>
  </si>
  <si>
    <t>27727272751</t>
  </si>
  <si>
    <t>2026-05-26 15:07:30</t>
  </si>
  <si>
    <t>14298422</t>
  </si>
  <si>
    <t>ca3847e5-e646-41af-b3ca-38a0b29d05eb</t>
  </si>
  <si>
    <t>27725709703</t>
  </si>
  <si>
    <t>14298159</t>
  </si>
  <si>
    <t>0c49d826-940f-488e-ba72-1bf7c805ede7</t>
  </si>
  <si>
    <t>27723642297</t>
  </si>
  <si>
    <t>2026-05-26 15:07:12</t>
  </si>
  <si>
    <t>14297620</t>
  </si>
  <si>
    <t>1b0e17dd-6d8b-4643-b813-cbd917f3fe62</t>
  </si>
  <si>
    <t>2026-05-26 15:06:29</t>
  </si>
  <si>
    <t>27824385985</t>
  </si>
  <si>
    <t>14297705</t>
  </si>
  <si>
    <t>6b71f623-83e6-4d5b-b402-55a4c0ca5dd3</t>
  </si>
  <si>
    <t>27711393238</t>
  </si>
  <si>
    <t>14298299</t>
  </si>
  <si>
    <t>be91bc18-6e30-4092-8ffc-1ef9da63558f</t>
  </si>
  <si>
    <t>27790644946</t>
  </si>
  <si>
    <t>14297621</t>
  </si>
  <si>
    <t>2f16a7b8-5e96-4117-84e8-c655f0a927d7</t>
  </si>
  <si>
    <t>27637105456</t>
  </si>
  <si>
    <t>2026-05-26 15:06:28</t>
  </si>
  <si>
    <t>14298357</t>
  </si>
  <si>
    <t>3ce00edf-9854-4a85-bd67-13d3d599b305</t>
  </si>
  <si>
    <t>27721395585</t>
  </si>
  <si>
    <t>14298070</t>
  </si>
  <si>
    <t>37df51a9-25cc-4907-94a2-04dad7430a89</t>
  </si>
  <si>
    <t>2026-05-26 15:06:03</t>
  </si>
  <si>
    <t>27764656350</t>
  </si>
  <si>
    <t>14298011</t>
  </si>
  <si>
    <t>1430675d-a46e-4b46-aac4-9ed53aeadcca</t>
  </si>
  <si>
    <t>2026-05-26 15:05:59</t>
  </si>
  <si>
    <t>27608267751</t>
  </si>
  <si>
    <t>14298706</t>
  </si>
  <si>
    <t>e1072b0f-e10a-4882-9996-fa8951f03675</t>
  </si>
  <si>
    <t>27823598549</t>
  </si>
  <si>
    <t>14297944</t>
  </si>
  <si>
    <t>0fb0ed5d-b818-495e-8ece-a407feae3b49</t>
  </si>
  <si>
    <t>2026-05-26 15:05:58</t>
  </si>
  <si>
    <t>27795558263</t>
  </si>
  <si>
    <t>14297721</t>
  </si>
  <si>
    <t>5d93aab8-e04d-4d72-bcd9-2ee161ddda07</t>
  </si>
  <si>
    <t>2026-05-26 15:04:59</t>
  </si>
  <si>
    <t>27726839804</t>
  </si>
  <si>
    <t>14297711</t>
  </si>
  <si>
    <t>97e2e032-0de3-472f-a44c-81745c3d0c0f</t>
  </si>
  <si>
    <t>2026-05-26 15:04:53</t>
  </si>
  <si>
    <t>27636302317</t>
  </si>
  <si>
    <t>14297740</t>
  </si>
  <si>
    <t>bf27e93e-1cf0-487e-8620-da407a3ffe85</t>
  </si>
  <si>
    <t>27799477087</t>
  </si>
  <si>
    <t>14297942</t>
  </si>
  <si>
    <t>d265a718-d907-444e-bf88-7fe2e9d2e751</t>
  </si>
  <si>
    <t>27712720979</t>
  </si>
  <si>
    <t>14297964</t>
  </si>
  <si>
    <t>62d774ed-3abf-42bd-9ee8-3c234ebe2ca1</t>
  </si>
  <si>
    <t>27790472546</t>
  </si>
  <si>
    <t>14298016</t>
  </si>
  <si>
    <t>f13e7020-a43a-4dbd-a3b4-eee325f1886a</t>
  </si>
  <si>
    <t>27791008068</t>
  </si>
  <si>
    <t>2026-05-26 15:04:44</t>
  </si>
  <si>
    <t>14298938</t>
  </si>
  <si>
    <t>e51fc716-fddf-4386-b957-2e457e51224e</t>
  </si>
  <si>
    <t>2026-05-26 15:04:01</t>
  </si>
  <si>
    <t>27769480238</t>
  </si>
  <si>
    <t>14297802</t>
  </si>
  <si>
    <t>a3a85992-50bf-4152-a70f-637a642bf5bd</t>
  </si>
  <si>
    <t>2026-05-26 15:03:54</t>
  </si>
  <si>
    <t>27762455428</t>
  </si>
  <si>
    <t>14298386</t>
  </si>
  <si>
    <t>cbd145bd-228f-4646-ba39-34f25adcb8a0</t>
  </si>
  <si>
    <t>27828596185</t>
  </si>
  <si>
    <t>2026-05-26 15:03:51</t>
  </si>
  <si>
    <t>14297783</t>
  </si>
  <si>
    <t>c61bd394-0bae-4711-bb17-a3d73d356af8</t>
  </si>
  <si>
    <t>27714995581</t>
  </si>
  <si>
    <t>2026-05-26 15:03:36</t>
  </si>
  <si>
    <t>14297704</t>
  </si>
  <si>
    <t>d60d990b-2efc-47ce-8622-9cec3cc2101b</t>
  </si>
  <si>
    <t>27673042579</t>
  </si>
  <si>
    <t>14297878</t>
  </si>
  <si>
    <t>57bec0cd-bd35-4c61-a9a3-c937ddd6eea7</t>
  </si>
  <si>
    <t>27661233543</t>
  </si>
  <si>
    <t>14298979</t>
  </si>
  <si>
    <t>5548ee0b-d788-4209-8190-fc0a70513812</t>
  </si>
  <si>
    <t>27723286164</t>
  </si>
  <si>
    <t>2026-05-26 15:02:22</t>
  </si>
  <si>
    <t>14297663</t>
  </si>
  <si>
    <t>df2c2314-dcf1-4ae3-b96d-9e827fba9d4e</t>
  </si>
  <si>
    <t>2026-05-26 15:02:18</t>
  </si>
  <si>
    <t>27603945202</t>
  </si>
  <si>
    <t>14297965</t>
  </si>
  <si>
    <t>8d5a7533-28ad-4927-878c-3f004420f159</t>
  </si>
  <si>
    <t>27792289223</t>
  </si>
  <si>
    <t>14298698</t>
  </si>
  <si>
    <t>54e883ed-7d9d-4a98-ae0f-2dbcc69d9ca9</t>
  </si>
  <si>
    <t>2026-05-26 15:01:53</t>
  </si>
  <si>
    <t>27793338884</t>
  </si>
  <si>
    <t>14297946</t>
  </si>
  <si>
    <t>cbd384b0-102e-426f-bf66-5f51c46dd9e9</t>
  </si>
  <si>
    <t>27825996603</t>
  </si>
  <si>
    <t>2026-05-26 15:01:51</t>
  </si>
  <si>
    <t>14297784</t>
  </si>
  <si>
    <t>9d46af71-716d-4e88-865a-e779d67dd743</t>
  </si>
  <si>
    <t>27716148161</t>
  </si>
  <si>
    <t>2026-05-26 15:01:48</t>
  </si>
  <si>
    <t>14297664</t>
  </si>
  <si>
    <t>d1335507-e77b-47fc-9e70-d32fe09a2259</t>
  </si>
  <si>
    <t>2026-05-26 15:01:46</t>
  </si>
  <si>
    <t>27606218557</t>
  </si>
  <si>
    <t>14297736</t>
  </si>
  <si>
    <t>cc71075f-8dbb-4b97-98e2-55bb54ce0a62</t>
  </si>
  <si>
    <t>27609006548</t>
  </si>
  <si>
    <t>14297625</t>
  </si>
  <si>
    <t>44495334-bbf4-468b-9011-4649d0f9579b</t>
  </si>
  <si>
    <t>2026-05-26 15:01:44</t>
  </si>
  <si>
    <t>27734289430</t>
  </si>
  <si>
    <t>14297963</t>
  </si>
  <si>
    <t>4563b1d3-b537-4cf3-80de-00f471e2aceb</t>
  </si>
  <si>
    <t>27772731572</t>
  </si>
  <si>
    <t>14298847</t>
  </si>
  <si>
    <t>f4fc1401-d90e-48f4-b488-36820d8d43b4</t>
  </si>
  <si>
    <t>27829242094</t>
  </si>
  <si>
    <t>14298891</t>
  </si>
  <si>
    <t>234180c7-47c9-4c52-8f82-eadb957ba408</t>
  </si>
  <si>
    <t>27828982929</t>
  </si>
  <si>
    <t>14298061</t>
  </si>
  <si>
    <t>938849ed-502b-4a1a-b8de-1945d82b3288</t>
  </si>
  <si>
    <t>2026-05-26 15:01:43</t>
  </si>
  <si>
    <t>27664500729</t>
  </si>
  <si>
    <t>14298009</t>
  </si>
  <si>
    <t>e002e716-598b-4ccb-bfc6-5ed87401aee3</t>
  </si>
  <si>
    <t>2026-05-26 15:01:39</t>
  </si>
  <si>
    <t>27727181266</t>
  </si>
  <si>
    <t>14297877</t>
  </si>
  <si>
    <t>53ca367e-5a17-4a6b-9344-63701e1ec95d</t>
  </si>
  <si>
    <t>2026-05-26 15:01:34</t>
  </si>
  <si>
    <t>27820496409</t>
  </si>
  <si>
    <t>14297801</t>
  </si>
  <si>
    <t>9a732c31-b7b2-4731-8764-2ecc65a6e811</t>
  </si>
  <si>
    <t>2026-05-26 15:01:32</t>
  </si>
  <si>
    <t>27760735641</t>
  </si>
  <si>
    <t>14297720</t>
  </si>
  <si>
    <t>77fd7992-30ca-46ab-9783-f646af804a95</t>
  </si>
  <si>
    <t>27722038405</t>
  </si>
  <si>
    <t>14298013</t>
  </si>
  <si>
    <t>d91754ed-478a-45d7-b91c-d1c0703168b0</t>
  </si>
  <si>
    <t>27774156715</t>
  </si>
  <si>
    <t>14298925</t>
  </si>
  <si>
    <t>36310b7f-5c72-4a71-93e5-bd01d50e2e3e</t>
  </si>
  <si>
    <t>27826968508</t>
  </si>
  <si>
    <t>14298896</t>
  </si>
  <si>
    <t>cbb82b71-fc25-41de-8785-9c3fb7f6f0f2</t>
  </si>
  <si>
    <t>27660402919</t>
  </si>
  <si>
    <t>2026-05-26 15:00:25</t>
  </si>
  <si>
    <t>14297708</t>
  </si>
  <si>
    <t>64eb3226-9ade-4966-bbe6-a735fdb43ff3</t>
  </si>
  <si>
    <t>2026-05-26 15:00:24</t>
  </si>
  <si>
    <t>27729989263</t>
  </si>
  <si>
    <t>14298072</t>
  </si>
  <si>
    <t>452161f4-17ea-42ca-b6aa-88225664383f</t>
  </si>
  <si>
    <t>2026-05-26 15:00:23</t>
  </si>
  <si>
    <t>27647613717</t>
  </si>
  <si>
    <t>14297669</t>
  </si>
  <si>
    <t>3f1faae6-e030-4323-b8fc-e0b6c38808d2</t>
  </si>
  <si>
    <t>2026-05-26 15:00:20</t>
  </si>
  <si>
    <t>27727902720</t>
  </si>
  <si>
    <t>14297630</t>
  </si>
  <si>
    <t>d8635bc9-7feb-4e79-9262-cda6b36204f3</t>
  </si>
  <si>
    <t>27818655307</t>
  </si>
  <si>
    <t>14298065</t>
  </si>
  <si>
    <t>6ed23cf3-4609-45f4-a337-d12eb3ce59e6</t>
  </si>
  <si>
    <t>27837022927</t>
  </si>
  <si>
    <t>14297706</t>
  </si>
  <si>
    <t>42569df5-394c-467b-9f3e-54be32e734ad</t>
  </si>
  <si>
    <t>27793908232</t>
  </si>
  <si>
    <t>2026-05-26 15:00:19</t>
  </si>
  <si>
    <t>14297623</t>
  </si>
  <si>
    <t>bedb2f9a-ea1d-4158-a1b7-607280149f4e</t>
  </si>
  <si>
    <t>2026-05-26 14:58:47</t>
  </si>
  <si>
    <t>27663793367</t>
  </si>
  <si>
    <t>14297735</t>
  </si>
  <si>
    <t>e3552649-1dd4-4202-a4bc-eeee30ddd696</t>
  </si>
  <si>
    <t>2026-05-26 14:58:46</t>
  </si>
  <si>
    <t>27722366426</t>
  </si>
  <si>
    <t>14298110</t>
  </si>
  <si>
    <t>54bb9807-7c38-41cc-a0e1-558bbe123c28</t>
  </si>
  <si>
    <t>27663899956</t>
  </si>
  <si>
    <t>14298335</t>
  </si>
  <si>
    <t>7a343a49-a166-47fd-8390-bf49fc4a3c8f</t>
  </si>
  <si>
    <t>27795753810</t>
  </si>
  <si>
    <t>14298171</t>
  </si>
  <si>
    <t>b6b87a9a-f7b7-4a0b-b52c-843441670bec</t>
  </si>
  <si>
    <t>27607485219</t>
  </si>
  <si>
    <t>2026-05-26 14:58:44</t>
  </si>
  <si>
    <t>14298354</t>
  </si>
  <si>
    <t>3a1f8ba9-742a-4385-8931-db1a41e0079f</t>
  </si>
  <si>
    <t>27713211024</t>
  </si>
  <si>
    <t>14298021</t>
  </si>
  <si>
    <t>f2f64eed-78f8-4407-99a4-a6261e754c39</t>
  </si>
  <si>
    <t>2026-05-26 14:57:58</t>
  </si>
  <si>
    <t>27729395333</t>
  </si>
  <si>
    <t>14297636</t>
  </si>
  <si>
    <t>dede0255-6fbb-46b7-bcff-fa000360b38a</t>
  </si>
  <si>
    <t>2026-05-26 14:57:57</t>
  </si>
  <si>
    <t>27722230610</t>
  </si>
  <si>
    <t>14297712</t>
  </si>
  <si>
    <t>008ebf7e-4fd4-4f80-875b-13750212bff1</t>
  </si>
  <si>
    <t>27720498411</t>
  </si>
  <si>
    <t>14298804</t>
  </si>
  <si>
    <t>ddceed5c-3c18-4b9b-bf8f-e4459fd84235</t>
  </si>
  <si>
    <t>27795441686</t>
  </si>
  <si>
    <t>14298107</t>
  </si>
  <si>
    <t>b6b17b09-f28c-4f0b-af28-9f291a49f7a1</t>
  </si>
  <si>
    <t>27742928112</t>
  </si>
  <si>
    <t>2026-05-26 14:57:56</t>
  </si>
  <si>
    <t>14298156</t>
  </si>
  <si>
    <t>abaf9f96-9597-4a07-aca5-95f4934861d7</t>
  </si>
  <si>
    <t>2026-05-26 14:57:45</t>
  </si>
  <si>
    <t>27726291660</t>
  </si>
  <si>
    <t>14298157</t>
  </si>
  <si>
    <t>94b37470-836e-438c-b2a8-dcb8b4598314</t>
  </si>
  <si>
    <t>2026-05-26 14:57:40</t>
  </si>
  <si>
    <t>27649479162</t>
  </si>
  <si>
    <t>14298903</t>
  </si>
  <si>
    <t>90827d45-219f-43aa-9e3d-9b0f88397d7f</t>
  </si>
  <si>
    <t>2026-05-26 14:57:39</t>
  </si>
  <si>
    <t>27606842978</t>
  </si>
  <si>
    <t>14297738</t>
  </si>
  <si>
    <t>86870ecc-a516-479f-90e6-24da31ae7d6f</t>
  </si>
  <si>
    <t>2026-05-26 14:57:35</t>
  </si>
  <si>
    <t>27724256266</t>
  </si>
  <si>
    <t>14298056</t>
  </si>
  <si>
    <t>919a2538-0198-43eb-8f1e-147ba515ed64</t>
  </si>
  <si>
    <t>2026-05-26 14:57:31</t>
  </si>
  <si>
    <t>27722894726</t>
  </si>
  <si>
    <t>14298060</t>
  </si>
  <si>
    <t>6cc6e673-de64-44fc-a222-4e076d52546f</t>
  </si>
  <si>
    <t>27647660064</t>
  </si>
  <si>
    <t>14299130</t>
  </si>
  <si>
    <t>09d47bc1-c2f8-45c0-8bd2-0c0b481c1e43</t>
  </si>
  <si>
    <t>27765891854</t>
  </si>
  <si>
    <t>14297941</t>
  </si>
  <si>
    <t>eafb0081-60be-4bcd-a5b0-c0355cc3bec8</t>
  </si>
  <si>
    <t>2026-05-26 14:57:16</t>
  </si>
  <si>
    <t>27716321549</t>
  </si>
  <si>
    <t>14297633</t>
  </si>
  <si>
    <t>6df84d5d-73dd-4972-ac65-2c0afddc26e6</t>
  </si>
  <si>
    <t>2026-05-26 14:57:15</t>
  </si>
  <si>
    <t>27772528530</t>
  </si>
  <si>
    <t>14298053</t>
  </si>
  <si>
    <t>e1885ad7-89c8-4fd8-885f-90da9606c2f0</t>
  </si>
  <si>
    <t>2026-05-26 14:57:08</t>
  </si>
  <si>
    <t>27792712045</t>
  </si>
  <si>
    <t>14297943</t>
  </si>
  <si>
    <t>9318e6a0-8c81-4f3e-a51b-27c0fed72de6</t>
  </si>
  <si>
    <t>2026-05-26 14:57:07</t>
  </si>
  <si>
    <t>27825311537</t>
  </si>
  <si>
    <t>14298105</t>
  </si>
  <si>
    <t>289b86c4-6659-471d-84f5-e187349bc4fd</t>
  </si>
  <si>
    <t>2026-05-26 14:57:06</t>
  </si>
  <si>
    <t>27728961790</t>
  </si>
  <si>
    <t>14298888</t>
  </si>
  <si>
    <t>c8381581-8ce2-4e98-894a-f7c0189f7c9f</t>
  </si>
  <si>
    <t>27726305556</t>
  </si>
  <si>
    <t>14297632</t>
  </si>
  <si>
    <t>bd9bba4d-685e-4659-b165-d5d36614d8a8</t>
  </si>
  <si>
    <t>27767971368</t>
  </si>
  <si>
    <t>2026-05-26 14:57:03</t>
  </si>
  <si>
    <t>14297631</t>
  </si>
  <si>
    <t>271faaf8-e0b4-40e7-8d35-205eca2d05c6</t>
  </si>
  <si>
    <t>2026-05-26 14:57:00</t>
  </si>
  <si>
    <t>27725978972</t>
  </si>
  <si>
    <t>14298055</t>
  </si>
  <si>
    <t>99c32c2c-38f3-4762-b6ac-a2818fb24390</t>
  </si>
  <si>
    <t>27722140191</t>
  </si>
  <si>
    <t>14297629</t>
  </si>
  <si>
    <t>7aaa0337-c589-4813-9372-130462c77fa0</t>
  </si>
  <si>
    <t>27767759347</t>
  </si>
  <si>
    <t>2026-05-26 14:56:59</t>
  </si>
  <si>
    <t>14297785</t>
  </si>
  <si>
    <t>7ed2edc7-5716-40f5-96ce-88e4b6d0eb93</t>
  </si>
  <si>
    <t>27763399088</t>
  </si>
  <si>
    <t>14301384</t>
  </si>
  <si>
    <t>79afff6e-ae9f-48e8-8729-7b8205d45b52</t>
  </si>
  <si>
    <t>27824842702</t>
  </si>
  <si>
    <t>2026-05-26 14:56:17</t>
  </si>
  <si>
    <t>14298062</t>
  </si>
  <si>
    <t>abe32c87-df6c-47fc-9833-f6fc5e1507c7</t>
  </si>
  <si>
    <t>2026-05-26 14:56:16</t>
  </si>
  <si>
    <t>27793634345</t>
  </si>
  <si>
    <t>14297626</t>
  </si>
  <si>
    <t>36d7cc15-d755-49a1-9838-9a4c9846789d</t>
  </si>
  <si>
    <t>2026-05-26 14:55:58</t>
  </si>
  <si>
    <t>27760854455</t>
  </si>
  <si>
    <t>14297806</t>
  </si>
  <si>
    <t>d71a5b66-27fb-4973-a5ff-f8e3b886e99f</t>
  </si>
  <si>
    <t>2026-05-26 14:55:54</t>
  </si>
  <si>
    <t>27824888344</t>
  </si>
  <si>
    <t>14298057</t>
  </si>
  <si>
    <t>31caa895-92fc-419a-9015-efa743526d95</t>
  </si>
  <si>
    <t>27722377901</t>
  </si>
  <si>
    <t>14298897</t>
  </si>
  <si>
    <t>9706c76d-fc26-48bd-85ed-3766592cf243</t>
  </si>
  <si>
    <t>27722760562</t>
  </si>
  <si>
    <t>14298958</t>
  </si>
  <si>
    <t>32bd6656-9c69-437a-bf94-37910efd950b</t>
  </si>
  <si>
    <t>2026-05-26 14:55:06</t>
  </si>
  <si>
    <t>27822109894</t>
  </si>
  <si>
    <t>14298068</t>
  </si>
  <si>
    <t>f6937326-7079-4bf1-bc2e-04be167cf164</t>
  </si>
  <si>
    <t>2026-05-26 14:54:45</t>
  </si>
  <si>
    <t>27791577248</t>
  </si>
  <si>
    <t>14297792</t>
  </si>
  <si>
    <t>cd0d86b1-fad3-44aa-a582-a516580a28c1</t>
  </si>
  <si>
    <t>27792523069</t>
  </si>
  <si>
    <t>2026-05-26 14:54:21</t>
  </si>
  <si>
    <t>14298358</t>
  </si>
  <si>
    <t>63ff51b3-79cf-42de-b31d-9cf733a9d874</t>
  </si>
  <si>
    <t>2026-05-26 14:54:16</t>
  </si>
  <si>
    <t>27723756852</t>
  </si>
  <si>
    <t>14298874</t>
  </si>
  <si>
    <t>ddddb39c-6056-4916-a364-af8d0aa3c341</t>
  </si>
  <si>
    <t>27673319700</t>
  </si>
  <si>
    <t>14298838</t>
  </si>
  <si>
    <t>7cf47c7d-8ed2-4c95-ac00-8a9d6866f5a2</t>
  </si>
  <si>
    <t>27664248901</t>
  </si>
  <si>
    <t>14299156</t>
  </si>
  <si>
    <t>6e67f3c0-9b13-4193-82ad-85d9951bf076</t>
  </si>
  <si>
    <t>27722958701</t>
  </si>
  <si>
    <t>14297807</t>
  </si>
  <si>
    <t>42a7219d-f6e5-4fa0-8b4e-9e904d84f4c7</t>
  </si>
  <si>
    <t>2026-05-26 14:54:13</t>
  </si>
  <si>
    <t>27665130077</t>
  </si>
  <si>
    <t>14298690</t>
  </si>
  <si>
    <t>4e5eb089-b879-4ab8-894f-3d53a0f0165e</t>
  </si>
  <si>
    <t>27768896186</t>
  </si>
  <si>
    <t>14298899</t>
  </si>
  <si>
    <t>1789f64b-b071-4e33-871f-0b93f1741d96</t>
  </si>
  <si>
    <t>27796245984</t>
  </si>
  <si>
    <t>14297742</t>
  </si>
  <si>
    <t>0de31192-1d8b-4feb-942c-a250998fb43e</t>
  </si>
  <si>
    <t>27762520489</t>
  </si>
  <si>
    <t>2026-05-26 14:53:27</t>
  </si>
  <si>
    <t>14298024</t>
  </si>
  <si>
    <t>d746fe02-4a4b-4f8b-bea6-d94ba1bbbabe</t>
  </si>
  <si>
    <t>2026-05-26 14:53:23</t>
  </si>
  <si>
    <t>27725621863</t>
  </si>
  <si>
    <t>14298421</t>
  </si>
  <si>
    <t>cc689c07-f484-414c-837e-2502aeefd431</t>
  </si>
  <si>
    <t>27838752974</t>
  </si>
  <si>
    <t>14298866</t>
  </si>
  <si>
    <t>94e47e46-50ac-4c2e-a290-7b15527ff939</t>
  </si>
  <si>
    <t>27769059705</t>
  </si>
  <si>
    <t>14297808</t>
  </si>
  <si>
    <t>5a432ba4-f8cb-4a8d-8d3f-60b17eff65a1</t>
  </si>
  <si>
    <t>2026-05-26 14:52:27</t>
  </si>
  <si>
    <t>27827143983</t>
  </si>
  <si>
    <t>14297695</t>
  </si>
  <si>
    <t>04b8f47e-8150-4da5-ad77-b6b59e8e79b6</t>
  </si>
  <si>
    <t>2026-05-26 14:52:19</t>
  </si>
  <si>
    <t>27794604185</t>
  </si>
  <si>
    <t>14297809</t>
  </si>
  <si>
    <t>b0e761a0-ed4f-455d-af5c-36dfdb8ae7a2</t>
  </si>
  <si>
    <t>2026-05-26 14:52:16</t>
  </si>
  <si>
    <t>27760327824</t>
  </si>
  <si>
    <t>14298063</t>
  </si>
  <si>
    <t>82d2193f-9546-4f30-bb11-57c1fdb5fbf6</t>
  </si>
  <si>
    <t>27724648585</t>
  </si>
  <si>
    <t>14298987</t>
  </si>
  <si>
    <t>da740587-a3c3-4cd6-b2e1-d648469606dc</t>
  </si>
  <si>
    <t>27725521019</t>
  </si>
  <si>
    <t>14297947</t>
  </si>
  <si>
    <t>fdd910a3-a5f5-4e14-af03-702737f3e584</t>
  </si>
  <si>
    <t>2026-05-26 14:52:14</t>
  </si>
  <si>
    <t>27661068795</t>
  </si>
  <si>
    <t>14298144</t>
  </si>
  <si>
    <t>2742cff3-cb6d-4bdf-bfd3-085fb17dbe46</t>
  </si>
  <si>
    <t>27826478220</t>
  </si>
  <si>
    <t>2026-05-26 14:52:05</t>
  </si>
  <si>
    <t>14297741</t>
  </si>
  <si>
    <t>d1e266b8-2f89-4827-9eab-dc8942a2775e</t>
  </si>
  <si>
    <t>2026-05-26 14:51:49</t>
  </si>
  <si>
    <t>27606444194</t>
  </si>
  <si>
    <t>14297734</t>
  </si>
  <si>
    <t>48d118ff-0eee-48b8-9ad9-195701460481</t>
  </si>
  <si>
    <t>2026-05-26 14:51:44</t>
  </si>
  <si>
    <t>27818603422</t>
  </si>
  <si>
    <t>14297948</t>
  </si>
  <si>
    <t>51eab97e-8a84-48a6-9ce7-a94fb1a74df8</t>
  </si>
  <si>
    <t>27635197221</t>
  </si>
  <si>
    <t>14297733</t>
  </si>
  <si>
    <t>f45532ae-85cf-4cca-b071-ad90046da04a</t>
  </si>
  <si>
    <t>27769761671</t>
  </si>
  <si>
    <t>2026-05-26 14:51:41</t>
  </si>
  <si>
    <t>14297961</t>
  </si>
  <si>
    <t>9dfa93d3-59f5-4294-8752-e42f8c0e5357</t>
  </si>
  <si>
    <t>27818931515</t>
  </si>
  <si>
    <t>14298691</t>
  </si>
  <si>
    <t>a091e48a-f6a7-4386-bd2b-7da79f40f236</t>
  </si>
  <si>
    <t>27610834714</t>
  </si>
  <si>
    <t>14298871</t>
  </si>
  <si>
    <t>0f486efc-1666-4b45-abe7-1f1149f66554</t>
  </si>
  <si>
    <t>27763886345</t>
  </si>
  <si>
    <t>14297732</t>
  </si>
  <si>
    <t>4b11fbbc-03e7-4996-b10e-bf1c54f3f468</t>
  </si>
  <si>
    <t>2026-05-26 14:51:38</t>
  </si>
  <si>
    <t>27715148178</t>
  </si>
  <si>
    <t>14298071</t>
  </si>
  <si>
    <t>a5bb5441-43d0-4d4f-adce-cb17798d71bc</t>
  </si>
  <si>
    <t>2026-05-26 14:51:37</t>
  </si>
  <si>
    <t>27607791526</t>
  </si>
  <si>
    <t>14298145</t>
  </si>
  <si>
    <t>9b16047e-4e0d-4b9e-a4d5-b84ef5ac12ed</t>
  </si>
  <si>
    <t>2026-05-26 14:51:34</t>
  </si>
  <si>
    <t>27606643322</t>
  </si>
  <si>
    <t>14297730</t>
  </si>
  <si>
    <t>a3dfeac9-ac9d-4fd7-ba5e-3b20d0be6a53</t>
  </si>
  <si>
    <t>2026-05-26 14:51:32</t>
  </si>
  <si>
    <t>27826866248</t>
  </si>
  <si>
    <t>14297729</t>
  </si>
  <si>
    <t>c357a1a3-09b5-488e-9d59-7ff4fe219c09</t>
  </si>
  <si>
    <t>2026-05-26 14:51:15</t>
  </si>
  <si>
    <t>27766060119</t>
  </si>
  <si>
    <t>14297728</t>
  </si>
  <si>
    <t>c0b183bb-e87c-4a2c-a0c0-3f5e38a05d54</t>
  </si>
  <si>
    <t>27606344706</t>
  </si>
  <si>
    <t>2026-05-26 14:51:02</t>
  </si>
  <si>
    <t>14298387</t>
  </si>
  <si>
    <t>1550379e-b8f4-4f77-94ef-aaedd7382888</t>
  </si>
  <si>
    <t>27793246671</t>
  </si>
  <si>
    <t>14298761</t>
  </si>
  <si>
    <t>8ada01cf-5acc-41a9-9d9e-1adc32c27426</t>
  </si>
  <si>
    <t>27794510367</t>
  </si>
  <si>
    <t>14297726</t>
  </si>
  <si>
    <t>597e19a9-9611-46f4-84b8-43928300d783</t>
  </si>
  <si>
    <t>2026-05-26 14:50:08</t>
  </si>
  <si>
    <t>27608675678</t>
  </si>
  <si>
    <t>14298839</t>
  </si>
  <si>
    <t>089d6357-2323-4a7d-9e7e-3e9f9899ba3c</t>
  </si>
  <si>
    <t>2026-05-26 14:50:03</t>
  </si>
  <si>
    <t>27660201021</t>
  </si>
  <si>
    <t>14299179</t>
  </si>
  <si>
    <t>7359feca-cce5-42c1-beac-b3d80eb94274</t>
  </si>
  <si>
    <t>27767513066</t>
  </si>
  <si>
    <t>14298811</t>
  </si>
  <si>
    <t>16e5a8ea-e9e8-4667-970f-95eb96287cb1</t>
  </si>
  <si>
    <t>27673123006</t>
  </si>
  <si>
    <t>2026-05-26 14:49:56</t>
  </si>
  <si>
    <t>14297714</t>
  </si>
  <si>
    <t>3f151b51-ef28-4a61-a4d8-ed637ec30b68</t>
  </si>
  <si>
    <t>27793405173</t>
  </si>
  <si>
    <t>2026-05-26 14:49:47</t>
  </si>
  <si>
    <t>14298765</t>
  </si>
  <si>
    <t>96b287a6-b390-419f-93ac-2a2d02eed994</t>
  </si>
  <si>
    <t>2026-05-26 14:49:19</t>
  </si>
  <si>
    <t>27822878127</t>
  </si>
  <si>
    <t>14298334</t>
  </si>
  <si>
    <t>9f5ec1a4-424d-421c-946a-bb9669624199</t>
  </si>
  <si>
    <t>2026-05-26 14:49:18</t>
  </si>
  <si>
    <t>27794896124</t>
  </si>
  <si>
    <t>14298767</t>
  </si>
  <si>
    <t>59076a1d-338b-468c-acd0-a9a793f94079</t>
  </si>
  <si>
    <t>27769204133</t>
  </si>
  <si>
    <t>14297717</t>
  </si>
  <si>
    <t>6315da42-56ba-4e24-b667-ed3e1e78372f</t>
  </si>
  <si>
    <t>2026-05-26 14:49:14</t>
  </si>
  <si>
    <t>27608203253</t>
  </si>
  <si>
    <t>14297719</t>
  </si>
  <si>
    <t>30adccee-f304-467a-942d-a7dda8b0ff7a</t>
  </si>
  <si>
    <t>27829558672</t>
  </si>
  <si>
    <t>14298073</t>
  </si>
  <si>
    <t>32068f53-af1b-4022-9137-8ce9a65a4924</t>
  </si>
  <si>
    <t>27761571521</t>
  </si>
  <si>
    <t>14298905</t>
  </si>
  <si>
    <t>43774104-df70-4868-ae2c-97fc3156533b</t>
  </si>
  <si>
    <t>27607842438</t>
  </si>
  <si>
    <t>14298685</t>
  </si>
  <si>
    <t>14775baf-3f8e-4ade-9d58-a4d15e865a81</t>
  </si>
  <si>
    <t>2026-05-26 14:48:41</t>
  </si>
  <si>
    <t>27728926524</t>
  </si>
  <si>
    <t>14297810</t>
  </si>
  <si>
    <t>4f0c1965-9108-477b-befd-44c1ab11d492</t>
  </si>
  <si>
    <t>2026-05-26 14:48:40</t>
  </si>
  <si>
    <t>27739341889</t>
  </si>
  <si>
    <t>14298703</t>
  </si>
  <si>
    <t>210fc7e1-7d68-4dfe-bfba-1b78daa7d31d</t>
  </si>
  <si>
    <t>27725892071</t>
  </si>
  <si>
    <t>14298833</t>
  </si>
  <si>
    <t>d4f2de91-c05e-4b2e-bef0-f602424a5c2c</t>
  </si>
  <si>
    <t>27793712858</t>
  </si>
  <si>
    <t>14297799</t>
  </si>
  <si>
    <t>ce3c2d3e-a6a3-46c7-8924-b888ea8d0915</t>
  </si>
  <si>
    <t>27715557250</t>
  </si>
  <si>
    <t>2026-05-26 14:47:48</t>
  </si>
  <si>
    <t>14297789</t>
  </si>
  <si>
    <t>20033018-5fee-40bb-aec2-ee0dab856133</t>
  </si>
  <si>
    <t>27799431667</t>
  </si>
  <si>
    <t>2026-05-26 14:46:40</t>
  </si>
  <si>
    <t>14297788</t>
  </si>
  <si>
    <t>f1bae009-5b4d-439c-a0e4-d85f0f9b326f</t>
  </si>
  <si>
    <t>2026-05-26 14:46:38</t>
  </si>
  <si>
    <t>27649721919</t>
  </si>
  <si>
    <t>14298356</t>
  </si>
  <si>
    <t>3433d007-e167-41a7-ad5a-28f4eb81b5c9</t>
  </si>
  <si>
    <t>27760188892</t>
  </si>
  <si>
    <t>14298855</t>
  </si>
  <si>
    <t>e594f72b-a485-4943-a59e-2e484c1ce3fb</t>
  </si>
  <si>
    <t>27714624551</t>
  </si>
  <si>
    <t>14298836</t>
  </si>
  <si>
    <t>943d723d-3074-4485-a314-143bf0f39aa3</t>
  </si>
  <si>
    <t>27792194259</t>
  </si>
  <si>
    <t>14297955</t>
  </si>
  <si>
    <t>afb193a7-ce4e-4ed0-a6bb-1b82343f7354</t>
  </si>
  <si>
    <t>27673799579</t>
  </si>
  <si>
    <t>2026-05-26 14:45:36</t>
  </si>
  <si>
    <t>14298384</t>
  </si>
  <si>
    <t>63b3b6ae-2c8a-41a6-a88a-871844cd3e16</t>
  </si>
  <si>
    <t>2026-05-26 14:45:14</t>
  </si>
  <si>
    <t>27813241587</t>
  </si>
  <si>
    <t>14298812</t>
  </si>
  <si>
    <t>5adf42cc-b67c-4fa6-8a1b-4bdda8f9b15b</t>
  </si>
  <si>
    <t>27723931137</t>
  </si>
  <si>
    <t>14298816</t>
  </si>
  <si>
    <t>8c9f8457-2cc6-417a-a064-4a558d7a6e34</t>
  </si>
  <si>
    <t>2026-05-26 14:44:20</t>
  </si>
  <si>
    <t>27726677751</t>
  </si>
  <si>
    <t>14297786</t>
  </si>
  <si>
    <t>8e72f926-b36e-4c4f-a66c-eef03191c3a9</t>
  </si>
  <si>
    <t>2026-05-26 14:44:19</t>
  </si>
  <si>
    <t>27713516348</t>
  </si>
  <si>
    <t>14298154</t>
  </si>
  <si>
    <t>077c7a11-3c06-4bdd-9277-7905cf880d85</t>
  </si>
  <si>
    <t>27637580036</t>
  </si>
  <si>
    <t>14298768</t>
  </si>
  <si>
    <t>48d5cd4f-1ab6-41ef-ba82-a99295a2ff23</t>
  </si>
  <si>
    <t>2026-05-26 14:44:12</t>
  </si>
  <si>
    <t>27711211880</t>
  </si>
  <si>
    <t>14298770</t>
  </si>
  <si>
    <t>e5495926-c4c6-4aba-b9d4-550d61fddeff</t>
  </si>
  <si>
    <t>27769990097</t>
  </si>
  <si>
    <t>14297800</t>
  </si>
  <si>
    <t>88f581ee-35a7-426c-947e-6c439983a4d5</t>
  </si>
  <si>
    <t>2026-05-26 14:43:21</t>
  </si>
  <si>
    <t>27714138605</t>
  </si>
  <si>
    <t>14297908</t>
  </si>
  <si>
    <t>9c033891-c2e4-41cc-b22a-cf26e7b38792</t>
  </si>
  <si>
    <t>27661215349</t>
  </si>
  <si>
    <t>2026-05-26 14:43:08</t>
  </si>
  <si>
    <t>14298867</t>
  </si>
  <si>
    <t>e45972cd-0bae-474f-b23a-813dbf51827d</t>
  </si>
  <si>
    <t>2026-05-26 14:43:01</t>
  </si>
  <si>
    <t>27822687215</t>
  </si>
  <si>
    <t>14299141</t>
  </si>
  <si>
    <t>47650e3d-b0a2-40b8-8c10-ca34ea683128</t>
  </si>
  <si>
    <t>27729164944</t>
  </si>
  <si>
    <t>14297796</t>
  </si>
  <si>
    <t>5005659c-1e56-4b1c-992e-7a45c34554c2</t>
  </si>
  <si>
    <t>27792249611</t>
  </si>
  <si>
    <t>2026-05-26 14:43:00</t>
  </si>
  <si>
    <t>14298799</t>
  </si>
  <si>
    <t>ef66e48f-c145-481c-b74b-8d4b519d1a1b</t>
  </si>
  <si>
    <t>27646495851</t>
  </si>
  <si>
    <t>14299177</t>
  </si>
  <si>
    <t>d5d7966d-7cfc-4a91-b4cc-7f0958704e2a</t>
  </si>
  <si>
    <t>27714222583</t>
  </si>
  <si>
    <t>14297795</t>
  </si>
  <si>
    <t>3c1213a0-730c-4cbf-befa-697dcabebc57</t>
  </si>
  <si>
    <t>2026-05-26 14:42:58</t>
  </si>
  <si>
    <t>27824382782</t>
  </si>
  <si>
    <t>14297793</t>
  </si>
  <si>
    <t>6572a2a9-d15a-4f8f-bcef-65b543cd46c2</t>
  </si>
  <si>
    <t>2026-05-26 14:42:57</t>
  </si>
  <si>
    <t>27793227025</t>
  </si>
  <si>
    <t>14297910</t>
  </si>
  <si>
    <t>a74b2470-dd32-40f0-bfb4-5df81f94eb40</t>
  </si>
  <si>
    <t>27609040170</t>
  </si>
  <si>
    <t>14297911</t>
  </si>
  <si>
    <t>012a8a06-4371-44a5-b9ad-d35b52ad987c</t>
  </si>
  <si>
    <t>27724655663</t>
  </si>
  <si>
    <t>14298968</t>
  </si>
  <si>
    <t>b68bd768-4a23-498e-b249-caeac50f4fda</t>
  </si>
  <si>
    <t>27663385226</t>
  </si>
  <si>
    <t>14297907</t>
  </si>
  <si>
    <t>aca8f388-558a-4b07-9eb2-d9973fa7f93d</t>
  </si>
  <si>
    <t>27729433703</t>
  </si>
  <si>
    <t>2026-05-26 14:42:55</t>
  </si>
  <si>
    <t>14297906</t>
  </si>
  <si>
    <t>5d3c02c0-dca2-48eb-9f00-b0f1244f8603</t>
  </si>
  <si>
    <t>27764220533</t>
  </si>
  <si>
    <t>2026-05-26 14:42:54</t>
  </si>
  <si>
    <t>14298545</t>
  </si>
  <si>
    <t>d53e4d17-e53c-4073-a152-e14f8e388bb2</t>
  </si>
  <si>
    <t>27824016095</t>
  </si>
  <si>
    <t>2026-05-26 14:42:37</t>
  </si>
  <si>
    <t>14298700</t>
  </si>
  <si>
    <t>d82bd270-b038-4aca-ab31-f47e3cbc9ee4</t>
  </si>
  <si>
    <t>27714877351</t>
  </si>
  <si>
    <t>2026-05-26 14:42:24</t>
  </si>
  <si>
    <t>14298108</t>
  </si>
  <si>
    <t>96dfe50f-714d-4887-a709-8d1bd22da643</t>
  </si>
  <si>
    <t>2026-05-26 14:42:23</t>
  </si>
  <si>
    <t>27763907232</t>
  </si>
  <si>
    <t>14298158</t>
  </si>
  <si>
    <t>10322d1d-6772-4eed-9fd8-bfa63f9ffc75</t>
  </si>
  <si>
    <t>27760905062</t>
  </si>
  <si>
    <t>14297904</t>
  </si>
  <si>
    <t>153b62b6-6244-41f4-9ee0-e7935112685d</t>
  </si>
  <si>
    <t>2026-05-26 14:42:06</t>
  </si>
  <si>
    <t>27827581221</t>
  </si>
  <si>
    <t>14298687</t>
  </si>
  <si>
    <t>f197b594-4bd2-4e6f-b92d-7b18e53fa59a</t>
  </si>
  <si>
    <t>27791586480</t>
  </si>
  <si>
    <t>14297903</t>
  </si>
  <si>
    <t>484be072-15cd-4e60-96e5-44051875ce1f</t>
  </si>
  <si>
    <t>2026-05-26 14:42:03</t>
  </si>
  <si>
    <t>27791861483</t>
  </si>
  <si>
    <t>14297874</t>
  </si>
  <si>
    <t>2829fcb2-a7f3-4dc7-8e33-8a73913fe159</t>
  </si>
  <si>
    <t>2026-05-26 14:41:52</t>
  </si>
  <si>
    <t>27826486135</t>
  </si>
  <si>
    <t>14297876</t>
  </si>
  <si>
    <t>512be44f-f8fb-4623-a565-79a5d9f33b67</t>
  </si>
  <si>
    <t>27818946150</t>
  </si>
  <si>
    <t>14297873</t>
  </si>
  <si>
    <t>1334f03d-2b97-4518-9129-406d9f32109b</t>
  </si>
  <si>
    <t>27794596901</t>
  </si>
  <si>
    <t>2026-05-26 14:41:51</t>
  </si>
  <si>
    <t>14298798</t>
  </si>
  <si>
    <t>214159ba-bb80-4337-b687-79e0f499729e</t>
  </si>
  <si>
    <t>27720124305</t>
  </si>
  <si>
    <t>14299020</t>
  </si>
  <si>
    <t>6d2734b7-5ff8-4bfd-b784-1c72a8e9f2ca</t>
  </si>
  <si>
    <t>27714476628</t>
  </si>
  <si>
    <t>2026-05-26 14:40:57</t>
  </si>
  <si>
    <t>14298385</t>
  </si>
  <si>
    <t>8b108fff-df1f-4dee-9112-c63be905f4d4</t>
  </si>
  <si>
    <t>2026-05-26 14:40:54</t>
  </si>
  <si>
    <t>27818625600</t>
  </si>
  <si>
    <t>14298849</t>
  </si>
  <si>
    <t>c3b53213-4238-4830-ba1a-b1034d9c6d73</t>
  </si>
  <si>
    <t>27818344969</t>
  </si>
  <si>
    <t>14299030</t>
  </si>
  <si>
    <t>ec740525-a7ca-463f-8aec-880bb73c983e</t>
  </si>
  <si>
    <t>27609981349</t>
  </si>
  <si>
    <t>14297871</t>
  </si>
  <si>
    <t>2da01bb5-9009-4c3f-803a-30ce3d89d306</t>
  </si>
  <si>
    <t>2026-05-26 14:40:38</t>
  </si>
  <si>
    <t>27673496445</t>
  </si>
  <si>
    <t>14298696</t>
  </si>
  <si>
    <t>d9e0b42b-fc0a-4a3a-b25c-f47d3b231284</t>
  </si>
  <si>
    <t>27711753867</t>
  </si>
  <si>
    <t>14297870</t>
  </si>
  <si>
    <t>bf75f9ce-62a5-4213-bed5-ebfb9a289dcd</t>
  </si>
  <si>
    <t>2026-05-26 14:40:34</t>
  </si>
  <si>
    <t>27673015033</t>
  </si>
  <si>
    <t>14298153</t>
  </si>
  <si>
    <t>4c58a61c-1529-4567-abca-540ddd6996a9</t>
  </si>
  <si>
    <t>2026-05-26 14:40:33</t>
  </si>
  <si>
    <t>27714998330</t>
  </si>
  <si>
    <t>14298949</t>
  </si>
  <si>
    <t>af3b15e8-7fc1-4c32-a478-ad927cafd71f</t>
  </si>
  <si>
    <t>27760997511</t>
  </si>
  <si>
    <t>14298702</t>
  </si>
  <si>
    <t>5c1c496c-0a29-4454-91bb-b08ebeed4ffd</t>
  </si>
  <si>
    <t>27722745504</t>
  </si>
  <si>
    <t>2026-05-26 14:40:11</t>
  </si>
  <si>
    <t>14298848</t>
  </si>
  <si>
    <t>31b72d75-fb76-4967-94e3-2849f3391b97</t>
  </si>
  <si>
    <t>27636934991</t>
  </si>
  <si>
    <t>14298950</t>
  </si>
  <si>
    <t>cffd48e3-2291-4418-9a1a-158cf720bde8</t>
  </si>
  <si>
    <t>27823795203</t>
  </si>
  <si>
    <t>14298007</t>
  </si>
  <si>
    <t>49fa1deb-1215-4e9e-bcd6-388b112050ff</t>
  </si>
  <si>
    <t>2026-05-26 14:37:32</t>
  </si>
  <si>
    <t>27767227026</t>
  </si>
  <si>
    <t>14298757</t>
  </si>
  <si>
    <t>53a56e45-c9e2-41c7-a189-31f5d0566987</t>
  </si>
  <si>
    <t>2026-05-26 14:37:15</t>
  </si>
  <si>
    <t>27722474828</t>
  </si>
  <si>
    <t>14298797</t>
  </si>
  <si>
    <t>346dbb09-7103-4a2b-8d1c-a616e7657394</t>
  </si>
  <si>
    <t>2026-05-26 14:37:12</t>
  </si>
  <si>
    <t>27715940369</t>
  </si>
  <si>
    <t>14298948</t>
  </si>
  <si>
    <t>bb5d348c-1077-461d-ac5e-7f9f53adc453</t>
  </si>
  <si>
    <t>27716789439</t>
  </si>
  <si>
    <t>14298006</t>
  </si>
  <si>
    <t>dc041c72-2117-460c-b333-4c3d754fd6ca</t>
  </si>
  <si>
    <t>2026-05-26 14:37:09</t>
  </si>
  <si>
    <t>27763882507</t>
  </si>
  <si>
    <t>14298932</t>
  </si>
  <si>
    <t>fe7c3f91-3b6c-4a64-a198-7d1828410c7f</t>
  </si>
  <si>
    <t>2026-05-26 14:37:06</t>
  </si>
  <si>
    <t>27728643687</t>
  </si>
  <si>
    <t>14297804</t>
  </si>
  <si>
    <t>f2f77351-0c49-4571-94c0-712c8db9f20d</t>
  </si>
  <si>
    <t>27822659656</t>
  </si>
  <si>
    <t>2026-05-26 14:37:03</t>
  </si>
  <si>
    <t>14297803</t>
  </si>
  <si>
    <t>58e95b99-d5b5-465b-aa6e-89296f6ded53</t>
  </si>
  <si>
    <t>2026-05-26 14:36:58</t>
  </si>
  <si>
    <t>27798463264</t>
  </si>
  <si>
    <t>14298300</t>
  </si>
  <si>
    <t>dffed1f7-1960-445e-9649-a40b13c41223</t>
  </si>
  <si>
    <t>27793060136</t>
  </si>
  <si>
    <t>2026-05-26 14:36:40</t>
  </si>
  <si>
    <t>14298923</t>
  </si>
  <si>
    <t>aa123059-7445-443f-a90f-5fb3f2d90969</t>
  </si>
  <si>
    <t>27767362817</t>
  </si>
  <si>
    <t>2026-05-26 14:36:17</t>
  </si>
  <si>
    <t>14297585</t>
  </si>
  <si>
    <t>68192781-12da-40e4-a81f-8cc84dea1d0f</t>
  </si>
  <si>
    <t>2026-05-26 14:36:16</t>
  </si>
  <si>
    <t>27663538498</t>
  </si>
  <si>
    <t>14297583</t>
  </si>
  <si>
    <t>dfef98a8-e819-4c6b-a6f2-f3c60c2e103c</t>
  </si>
  <si>
    <t>2026-05-26 14:36:07</t>
  </si>
  <si>
    <t>27844627982</t>
  </si>
  <si>
    <t>14297572</t>
  </si>
  <si>
    <t>6a66b7d4-99ff-443a-9b81-27bf8a5826f2</t>
  </si>
  <si>
    <t>2026-05-26 14:36:06</t>
  </si>
  <si>
    <t>27713302981</t>
  </si>
  <si>
    <t>14298692</t>
  </si>
  <si>
    <t>8872e236-1522-410b-9ef5-3a5185e88c5e</t>
  </si>
  <si>
    <t>27660287886</t>
  </si>
  <si>
    <t>14297598</t>
  </si>
  <si>
    <t>2db775e1-ab09-43ba-8e01-e50abcf63271</t>
  </si>
  <si>
    <t>27715826861</t>
  </si>
  <si>
    <t>2026-05-26 14:36:03</t>
  </si>
  <si>
    <t>14297597</t>
  </si>
  <si>
    <t>320e3055-73c9-4a10-9044-41763ca8d45e</t>
  </si>
  <si>
    <t>2026-05-26 14:35:59</t>
  </si>
  <si>
    <t>27793609402</t>
  </si>
  <si>
    <t>14297596</t>
  </si>
  <si>
    <t>d83d4526-8e99-4cc0-9eb0-29a6db40ed97</t>
  </si>
  <si>
    <t>2026-05-26 14:35:58</t>
  </si>
  <si>
    <t>27765361507</t>
  </si>
  <si>
    <t>14298423</t>
  </si>
  <si>
    <t>f1f65e7b-9ad4-4a80-8da8-db009a75f426</t>
  </si>
  <si>
    <t>27729146113</t>
  </si>
  <si>
    <t>14298872</t>
  </si>
  <si>
    <t>303a6cbf-812a-4502-bfe0-cc811019666a</t>
  </si>
  <si>
    <t>2026-05-26 14:35:42</t>
  </si>
  <si>
    <t>27764369222</t>
  </si>
  <si>
    <t>14299133</t>
  </si>
  <si>
    <t>21ffc21e-5020-4330-99d8-5707b031d69e</t>
  </si>
  <si>
    <t>2026-05-26 14:35:37</t>
  </si>
  <si>
    <t>27715778454</t>
  </si>
  <si>
    <t>14297595</t>
  </si>
  <si>
    <t>ddc788c2-652f-4f2d-854f-fbf5e01eaf0f</t>
  </si>
  <si>
    <t>27826233068</t>
  </si>
  <si>
    <t>2026-05-26 14:35:35</t>
  </si>
  <si>
    <t>14298769</t>
  </si>
  <si>
    <t>a8ffa372-61fa-400d-9bec-c77afe462977</t>
  </si>
  <si>
    <t>27761685099</t>
  </si>
  <si>
    <t>14298763</t>
  </si>
  <si>
    <t>28436714-737b-4d15-b917-d71def0dca49</t>
  </si>
  <si>
    <t>2026-05-26 14:35:34</t>
  </si>
  <si>
    <t>27762510628</t>
  </si>
  <si>
    <t>14298837</t>
  </si>
  <si>
    <t>62efd321-2e1b-416b-872e-080f6d72efbe</t>
  </si>
  <si>
    <t>27714404606</t>
  </si>
  <si>
    <t>14298018</t>
  </si>
  <si>
    <t>cf12b215-57f7-423a-b9e7-0b5ab4790af7</t>
  </si>
  <si>
    <t>27726131893</t>
  </si>
  <si>
    <t>2026-05-26 14:33:52</t>
  </si>
  <si>
    <t>14298017</t>
  </si>
  <si>
    <t>85efe1f2-4fc6-4c31-a263-990f455dcf1f</t>
  </si>
  <si>
    <t>2026-05-26 14:33:50</t>
  </si>
  <si>
    <t>27716399770</t>
  </si>
  <si>
    <t>14298618</t>
  </si>
  <si>
    <t>d5e59c66-5c66-4946-b6ef-1a095ab58656</t>
  </si>
  <si>
    <t>27763033337</t>
  </si>
  <si>
    <t>2026-05-26 14:33:46</t>
  </si>
  <si>
    <t>14297591</t>
  </si>
  <si>
    <t>2339de9b-2a7e-4b24-a44d-8f0b1424d656</t>
  </si>
  <si>
    <t>27665146775</t>
  </si>
  <si>
    <t>2026-05-26 14:33:41</t>
  </si>
  <si>
    <t>14297592</t>
  </si>
  <si>
    <t>57a59d4a-46b1-4874-bbf1-5643edd760b6</t>
  </si>
  <si>
    <t>27724508368</t>
  </si>
  <si>
    <t>14297586</t>
  </si>
  <si>
    <t>d32d0320-6c1a-42ff-893f-eaf2d60b4319</t>
  </si>
  <si>
    <t>2026-05-26 14:33:40</t>
  </si>
  <si>
    <t>27825102534</t>
  </si>
  <si>
    <t>14297587</t>
  </si>
  <si>
    <t>ba6da0aa-e892-4ce0-8005-ab8578269512</t>
  </si>
  <si>
    <t>27762013095</t>
  </si>
  <si>
    <t>14298684</t>
  </si>
  <si>
    <t>f14067a4-75c0-4a3a-a29c-ff6d755b8b98</t>
  </si>
  <si>
    <t>27716194836</t>
  </si>
  <si>
    <t>2026-05-26 14:32:12</t>
  </si>
  <si>
    <t>14299132</t>
  </si>
  <si>
    <t>833f5ae0-aed2-48cc-b894-55885e5e100f</t>
  </si>
  <si>
    <t>2026-05-26 14:31:50</t>
  </si>
  <si>
    <t>27608766114</t>
  </si>
  <si>
    <t>14298143</t>
  </si>
  <si>
    <t>52cc0e1a-7abe-4df9-a37f-3325ea9ecc7a</t>
  </si>
  <si>
    <t>2026-05-26 14:31:47</t>
  </si>
  <si>
    <t>27768440525</t>
  </si>
  <si>
    <t>14298830</t>
  </si>
  <si>
    <t>8cacc784-5ba2-49da-972b-d91cc93985b5</t>
  </si>
  <si>
    <t>27723677555</t>
  </si>
  <si>
    <t>14298139</t>
  </si>
  <si>
    <t>ac08abfb-5e58-4176-84f8-bd680c032ea3</t>
  </si>
  <si>
    <t>27827717255</t>
  </si>
  <si>
    <t>2026-05-26 14:31:32</t>
  </si>
  <si>
    <t>14298138</t>
  </si>
  <si>
    <t>a6761a4c-7641-4271-98a8-ecc8f14edd1c</t>
  </si>
  <si>
    <t>2026-05-26 14:31:28</t>
  </si>
  <si>
    <t>27649704389</t>
  </si>
  <si>
    <t>14298136</t>
  </si>
  <si>
    <t>5d42ac59-3041-42b4-aaa3-ffb310b4b207</t>
  </si>
  <si>
    <t>2026-05-26 14:31:25</t>
  </si>
  <si>
    <t>27826614080</t>
  </si>
  <si>
    <t>14298135</t>
  </si>
  <si>
    <t>19836578-bfcd-4c0f-9b1b-a20931ff6baf</t>
  </si>
  <si>
    <t>27818204595</t>
  </si>
  <si>
    <t>2026-05-26 14:31:23</t>
  </si>
  <si>
    <t>14298025</t>
  </si>
  <si>
    <t>f796bb35-a33c-4cb0-8a3c-e5041b0b67d5</t>
  </si>
  <si>
    <t>27764267344</t>
  </si>
  <si>
    <t>2026-05-26 14:31:15</t>
  </si>
  <si>
    <t>14298133</t>
  </si>
  <si>
    <t>fd9fb6cb-e528-4178-9159-7a99c5730f08</t>
  </si>
  <si>
    <t>27649993392</t>
  </si>
  <si>
    <t>14298722</t>
  </si>
  <si>
    <t>a1e3760e-5714-41e1-b27b-fd23078ecebf</t>
  </si>
  <si>
    <t>27786417085</t>
  </si>
  <si>
    <t>14297914</t>
  </si>
  <si>
    <t>ee45ab28-1295-4092-8f0b-dc4901b2ff3a</t>
  </si>
  <si>
    <t>2026-05-26 14:27:14</t>
  </si>
  <si>
    <t>27760963347</t>
  </si>
  <si>
    <t>14298825</t>
  </si>
  <si>
    <t>e05f781e-2263-482c-9ebf-2e0d6655098f</t>
  </si>
  <si>
    <t>27724638967</t>
  </si>
  <si>
    <t>14299041</t>
  </si>
  <si>
    <t>4531ef07-ec53-4f20-b3c7-c292b0863c13</t>
  </si>
  <si>
    <t>27768056328</t>
  </si>
  <si>
    <t>14297969</t>
  </si>
  <si>
    <t>4669f0d9-7f18-4f9a-b143-153fa2506b49</t>
  </si>
  <si>
    <t>2026-05-26 14:27:13</t>
  </si>
  <si>
    <t>27724777257</t>
  </si>
  <si>
    <t>14297968</t>
  </si>
  <si>
    <t>6796f300-82c7-44b6-b8a5-d391bc98440b</t>
  </si>
  <si>
    <t>2026-05-26 14:26:22</t>
  </si>
  <si>
    <t>27661523593</t>
  </si>
  <si>
    <t>14298857</t>
  </si>
  <si>
    <t>a8ef3bdb-a4a3-4026-9df6-d8bd283318f4</t>
  </si>
  <si>
    <t>2026-05-26 14:26:17</t>
  </si>
  <si>
    <t>27762437427</t>
  </si>
  <si>
    <t>14297966</t>
  </si>
  <si>
    <t>ba64b802-4417-431b-8b29-6e1becab2494</t>
  </si>
  <si>
    <t>2026-05-26 14:26:12</t>
  </si>
  <si>
    <t>27792474408</t>
  </si>
  <si>
    <t>14298864</t>
  </si>
  <si>
    <t>b1ccf78a-74dc-48d7-8212-db6ed0b8ae8e</t>
  </si>
  <si>
    <t>27720243821</t>
  </si>
  <si>
    <t>14298831</t>
  </si>
  <si>
    <t>5701b8e2-3ce6-41da-89c3-78beada7c24d</t>
  </si>
  <si>
    <t>27729255847</t>
  </si>
  <si>
    <t>14297582</t>
  </si>
  <si>
    <t>4cc0d3bd-913e-4cfe-ae7f-c0a82162b714</t>
  </si>
  <si>
    <t>2026-05-26 14:25:51</t>
  </si>
  <si>
    <t>27720462150</t>
  </si>
  <si>
    <t>14298694</t>
  </si>
  <si>
    <t>a254e01c-f5c0-4acf-9ca6-8080ddc95e68</t>
  </si>
  <si>
    <t>27766199969</t>
  </si>
  <si>
    <t>2026-05-26 14:25:46</t>
  </si>
  <si>
    <t>14298708</t>
  </si>
  <si>
    <t>ee0d31b3-e4bb-4d9d-9a3d-c3c003abc8cf</t>
  </si>
  <si>
    <t>27647019906</t>
  </si>
  <si>
    <t>2026-05-26 14:25:23</t>
  </si>
  <si>
    <t>14298904</t>
  </si>
  <si>
    <t>aa5db4f3-6229-4aa1-bfc3-d7e150055600</t>
  </si>
  <si>
    <t>27648327757</t>
  </si>
  <si>
    <t>2026-05-26 14:24:40</t>
  </si>
  <si>
    <t>14297580</t>
  </si>
  <si>
    <t>e51b4a15-fc54-43f6-b390-9961bdf8a719</t>
  </si>
  <si>
    <t>2026-05-26 14:24:39</t>
  </si>
  <si>
    <t>27797545788</t>
  </si>
  <si>
    <t>14298772</t>
  </si>
  <si>
    <t>bb87172d-b0cf-4f01-9831-a409c3bfbc71</t>
  </si>
  <si>
    <t>2026-05-26 14:24:35</t>
  </si>
  <si>
    <t>27722043619</t>
  </si>
  <si>
    <t>14298795</t>
  </si>
  <si>
    <t>c0faf3c9-ec92-465d-9a11-807dfc29f492</t>
  </si>
  <si>
    <t>2026-05-26 14:24:33</t>
  </si>
  <si>
    <t>27720625013</t>
  </si>
  <si>
    <t>14297579</t>
  </si>
  <si>
    <t>4be81380-1bef-4e9f-b495-958983828b50</t>
  </si>
  <si>
    <t>2026-05-26 14:24:31</t>
  </si>
  <si>
    <t>27766527406</t>
  </si>
  <si>
    <t>14298709</t>
  </si>
  <si>
    <t>1a105224-3851-4457-958d-408592793b76</t>
  </si>
  <si>
    <t>27661639767</t>
  </si>
  <si>
    <t>14297578</t>
  </si>
  <si>
    <t>3a935839-24e7-4e57-b687-6934c61a78ba</t>
  </si>
  <si>
    <t>2026-05-26 14:24:28</t>
  </si>
  <si>
    <t>27822654755</t>
  </si>
  <si>
    <t>14297576</t>
  </si>
  <si>
    <t>699995a1-73ad-4438-ac3c-e6da443aad2a</t>
  </si>
  <si>
    <t>2026-05-26 14:24:25</t>
  </si>
  <si>
    <t>27834699056</t>
  </si>
  <si>
    <t>14297577</t>
  </si>
  <si>
    <t>e9768f1b-215f-4a77-a4c4-936bc2cea249</t>
  </si>
  <si>
    <t>27799244736</t>
  </si>
  <si>
    <t>14298689</t>
  </si>
  <si>
    <t>f2340ea2-5d40-4710-ab17-9c27a0e16af2</t>
  </si>
  <si>
    <t>27726952644</t>
  </si>
  <si>
    <t>14298695</t>
  </si>
  <si>
    <t>dd31167c-d5bb-4940-966e-3828dd5565f5</t>
  </si>
  <si>
    <t>27826275210</t>
  </si>
  <si>
    <t>14298710</t>
  </si>
  <si>
    <t>454227de-8e72-4ff3-a168-0d8eaa9de4a1</t>
  </si>
  <si>
    <t>27820883273</t>
  </si>
  <si>
    <t>14299164</t>
  </si>
  <si>
    <t>2e8955a9-8094-483d-9ec9-06581813762c</t>
  </si>
  <si>
    <t>2026-05-26 14:24:18</t>
  </si>
  <si>
    <t>27637174268</t>
  </si>
  <si>
    <t>14298212</t>
  </si>
  <si>
    <t>6c01151a-1c74-4502-9338-7813a674b453</t>
  </si>
  <si>
    <t>2026-05-26 14:24:14</t>
  </si>
  <si>
    <t>27637590857</t>
  </si>
  <si>
    <t>14298699</t>
  </si>
  <si>
    <t>ecce992a-1a55-431b-96e3-f60442bbdbf8</t>
  </si>
  <si>
    <t>27720319419</t>
  </si>
  <si>
    <t>14298211</t>
  </si>
  <si>
    <t>e6204a61-c34b-4682-955a-7c2963fbf4fc</t>
  </si>
  <si>
    <t>27727367782</t>
  </si>
  <si>
    <t>2026-05-26 14:24:02</t>
  </si>
  <si>
    <t>14298210</t>
  </si>
  <si>
    <t>94ab80d5-6fea-4fb7-ae82-cb9e7235c6c0</t>
  </si>
  <si>
    <t>27798982628</t>
  </si>
  <si>
    <t>2026-05-26 14:23:57</t>
  </si>
  <si>
    <t>14298181</t>
  </si>
  <si>
    <t>c7a79620-f9e9-48cf-ab62-33b5458b208f</t>
  </si>
  <si>
    <t>27663879903</t>
  </si>
  <si>
    <t>14298974</t>
  </si>
  <si>
    <t>74c76c61-c49b-4459-bca6-480c6b7f3d4c</t>
  </si>
  <si>
    <t>2026-05-26 14:23:08</t>
  </si>
  <si>
    <t>27607979094</t>
  </si>
  <si>
    <t>14298179</t>
  </si>
  <si>
    <t>415a167b-7779-403a-896e-4d25ee2d88a5</t>
  </si>
  <si>
    <t>2026-05-26 14:22:55</t>
  </si>
  <si>
    <t>27714081426</t>
  </si>
  <si>
    <t>14298177</t>
  </si>
  <si>
    <t>f704bbf4-8918-4bdc-b661-bbed38022332</t>
  </si>
  <si>
    <t>2026-05-26 14:22:52</t>
  </si>
  <si>
    <t>27608823028</t>
  </si>
  <si>
    <t>14298174</t>
  </si>
  <si>
    <t>d911fdf2-ba99-40a1-bbf5-51a269565e95</t>
  </si>
  <si>
    <t>2026-05-26 14:22:43</t>
  </si>
  <si>
    <t>27799912855</t>
  </si>
  <si>
    <t>14298808</t>
  </si>
  <si>
    <t>d74589c3-54c7-4fb6-bd28-36b0b3c565bc</t>
  </si>
  <si>
    <t>27797769299</t>
  </si>
  <si>
    <t>14298952</t>
  </si>
  <si>
    <t>6f07bd2e-c2a2-4c5d-b921-d826a4cd27f9</t>
  </si>
  <si>
    <t>27723192387</t>
  </si>
  <si>
    <t>14298175</t>
  </si>
  <si>
    <t>9f52b12f-053b-49b3-a10e-0d2f205e5ebe</t>
  </si>
  <si>
    <t>2026-05-26 14:22:42</t>
  </si>
  <si>
    <t>27818432244</t>
  </si>
  <si>
    <t>14298945</t>
  </si>
  <si>
    <t>ed8fe30a-378d-4410-b4db-ea202899336b</t>
  </si>
  <si>
    <t>27729252257</t>
  </si>
  <si>
    <t>14298810</t>
  </si>
  <si>
    <t>ec40645f-c155-4c7f-8bed-81109667c704</t>
  </si>
  <si>
    <t>2026-05-26 14:22:28</t>
  </si>
  <si>
    <t>27832108001</t>
  </si>
  <si>
    <t>14297573</t>
  </si>
  <si>
    <t>7cbeb65d-1966-46db-bd4d-acb5b2335a51</t>
  </si>
  <si>
    <t>2026-05-26 14:21:23</t>
  </si>
  <si>
    <t>27716492700</t>
  </si>
  <si>
    <t>14298900</t>
  </si>
  <si>
    <t>00aebb0f-8594-4476-8669-a5f841adb7d4</t>
  </si>
  <si>
    <t>27724190679</t>
  </si>
  <si>
    <t>14298762</t>
  </si>
  <si>
    <t>8f28d677-6b61-400f-82d3-c086ea9019b2</t>
  </si>
  <si>
    <t>2026-05-26 14:21:06</t>
  </si>
  <si>
    <t>27818595726</t>
  </si>
  <si>
    <t>14297958</t>
  </si>
  <si>
    <t>3e7df523-269f-462a-b0d8-f10e324da2cb</t>
  </si>
  <si>
    <t>2026-05-26 14:20:48</t>
  </si>
  <si>
    <t>27825106919</t>
  </si>
  <si>
    <t>14297959</t>
  </si>
  <si>
    <t>6241c8ee-91ad-406c-bce5-f6c963edc934</t>
  </si>
  <si>
    <t>27826191724</t>
  </si>
  <si>
    <t>14298875</t>
  </si>
  <si>
    <t>fd80e540-7fde-42fc-9b52-f21980688309</t>
  </si>
  <si>
    <t>2026-05-26 14:20:47</t>
  </si>
  <si>
    <t>27764758465</t>
  </si>
  <si>
    <t>14297957</t>
  </si>
  <si>
    <t>1bf76dd0-b068-48ab-b1cf-0f1b0fda38b0</t>
  </si>
  <si>
    <t>2026-05-26 14:19:46</t>
  </si>
  <si>
    <t>27725828710</t>
  </si>
  <si>
    <t>14298773</t>
  </si>
  <si>
    <t>bb11a2ea-1747-4640-bdf5-0da1283a6a81</t>
  </si>
  <si>
    <t>27724071971</t>
  </si>
  <si>
    <t>2026-05-26 14:19:44</t>
  </si>
  <si>
    <t>14297956</t>
  </si>
  <si>
    <t>4adc0788-f46c-4180-8c9d-149b14face1e</t>
  </si>
  <si>
    <t>2026-05-26 14:19:42</t>
  </si>
  <si>
    <t>27723345166</t>
  </si>
  <si>
    <t>14298793</t>
  </si>
  <si>
    <t>036c3822-2c10-425a-8f68-27d4d11faeb8</t>
  </si>
  <si>
    <t>2026-05-26 14:19:41</t>
  </si>
  <si>
    <t>27726602449</t>
  </si>
  <si>
    <t>14298749</t>
  </si>
  <si>
    <t>8dee3c59-cec6-4fad-aabb-e328b9e566d5</t>
  </si>
  <si>
    <t>27763709117</t>
  </si>
  <si>
    <t>2026-05-26 14:19:14</t>
  </si>
  <si>
    <t>14298887</t>
  </si>
  <si>
    <t>76d0b10b-0963-4b75-9bb4-816bd05c9f0c</t>
  </si>
  <si>
    <t>2026-05-26 14:19:12</t>
  </si>
  <si>
    <t>27794754509</t>
  </si>
  <si>
    <t>14299098</t>
  </si>
  <si>
    <t>665cfb78-7663-4cba-9039-637ea0a83cf7</t>
  </si>
  <si>
    <t>27825492557</t>
  </si>
  <si>
    <t>2026-05-26 14:19:11</t>
  </si>
  <si>
    <t>14297954</t>
  </si>
  <si>
    <t>c2a3d13d-8025-4dfb-942b-62978e65384a</t>
  </si>
  <si>
    <t>27711394936</t>
  </si>
  <si>
    <t>2026-05-26 14:19:06</t>
  </si>
  <si>
    <t>14299028</t>
  </si>
  <si>
    <t>c98a5229-831d-4383-8bc1-702b258203b6</t>
  </si>
  <si>
    <t>27606284449</t>
  </si>
  <si>
    <t>2026-05-26 14:19:03</t>
  </si>
  <si>
    <t>14298170</t>
  </si>
  <si>
    <t>eb4626a4-d5af-4e6e-bbde-7ab9e42124b5</t>
  </si>
  <si>
    <t>27797289375</t>
  </si>
  <si>
    <t>2026-05-26 14:18:48</t>
  </si>
  <si>
    <t>14298774</t>
  </si>
  <si>
    <t>36abc034-d25c-4225-a491-da2a731fefa1</t>
  </si>
  <si>
    <t>2026-05-26 14:18:46</t>
  </si>
  <si>
    <t>27713168604</t>
  </si>
  <si>
    <t>14298167</t>
  </si>
  <si>
    <t>857b3683-b2be-4cce-a475-9d02a016c3ac</t>
  </si>
  <si>
    <t>2026-05-26 14:18:15</t>
  </si>
  <si>
    <t>27661619429</t>
  </si>
  <si>
    <t>14299383</t>
  </si>
  <si>
    <t>379f6f0d-7259-4294-b3df-76bef04f2643</t>
  </si>
  <si>
    <t>27761882603</t>
  </si>
  <si>
    <t>2026-05-26 14:17:51</t>
  </si>
  <si>
    <t>14298166</t>
  </si>
  <si>
    <t>0dc5c1ba-0df3-466b-a64b-41fce332947f</t>
  </si>
  <si>
    <t>27711574893</t>
  </si>
  <si>
    <t>2026-05-26 14:17:43</t>
  </si>
  <si>
    <t>14297915</t>
  </si>
  <si>
    <t>c8c614b3-27bd-4fdc-b996-afff07356314</t>
  </si>
  <si>
    <t>2026-05-26 14:17:37</t>
  </si>
  <si>
    <t>27724940046</t>
  </si>
  <si>
    <t>14297952</t>
  </si>
  <si>
    <t>b9eb7f84-1cfa-40b2-8bd1-5154d5d38ecc</t>
  </si>
  <si>
    <t>2026-05-26 14:17:36</t>
  </si>
  <si>
    <t>27721118827</t>
  </si>
  <si>
    <t>14297953</t>
  </si>
  <si>
    <t>7db4c4d2-a673-49fe-827d-d22fe47886be</t>
  </si>
  <si>
    <t>27767705485</t>
  </si>
  <si>
    <t>14298791</t>
  </si>
  <si>
    <t>d28b99e2-4102-4e8d-8d08-a6aec3a8a0f5</t>
  </si>
  <si>
    <t>27713688472</t>
  </si>
  <si>
    <t>14298718</t>
  </si>
  <si>
    <t>227f4a54-e17c-4125-88e5-c61cf2ce7dd9</t>
  </si>
  <si>
    <t>27799406334</t>
  </si>
  <si>
    <t>2026-05-26 14:17:04</t>
  </si>
  <si>
    <t>14297940</t>
  </si>
  <si>
    <t>95424253-48cc-46fd-9d70-6d269bbbeba7</t>
  </si>
  <si>
    <t>2026-05-26 14:17:02</t>
  </si>
  <si>
    <t>27715648418</t>
  </si>
  <si>
    <t>14297949</t>
  </si>
  <si>
    <t>4efc4d1f-a02d-4f86-87fd-9979c91a22cd</t>
  </si>
  <si>
    <t>27827118229</t>
  </si>
  <si>
    <t>2026-05-26 14:16:49</t>
  </si>
  <si>
    <t>14297950</t>
  </si>
  <si>
    <t>004d5e08-6979-4d74-b85c-8ea2649f9143</t>
  </si>
  <si>
    <t>27713937608</t>
  </si>
  <si>
    <t>14298792</t>
  </si>
  <si>
    <t>989483e7-8fd5-43cc-9fa8-1f5a1804955d</t>
  </si>
  <si>
    <t>2026-05-26 14:16:48</t>
  </si>
  <si>
    <t>27826556564</t>
  </si>
  <si>
    <t>14299453</t>
  </si>
  <si>
    <t>3607af98-f30e-4b3d-b028-17cbadb08598</t>
  </si>
  <si>
    <t>2026-05-26 14:16:29</t>
  </si>
  <si>
    <t>27783660146</t>
  </si>
  <si>
    <t>14298129</t>
  </si>
  <si>
    <t>f4886577-c1a6-4b97-90ca-83dfd79e654f</t>
  </si>
  <si>
    <t>2026-05-26 14:16:17</t>
  </si>
  <si>
    <t>27727128824</t>
  </si>
  <si>
    <t>14298754</t>
  </si>
  <si>
    <t>cc7bf50d-807b-49bc-a8a4-fb6554fe99ba</t>
  </si>
  <si>
    <t>27727234481</t>
  </si>
  <si>
    <t>14298753</t>
  </si>
  <si>
    <t>bc5d1915-ae9b-427a-a795-130dd99c3c60</t>
  </si>
  <si>
    <t>27829653714</t>
  </si>
  <si>
    <t>2026-05-26 14:16:14</t>
  </si>
  <si>
    <t>14298719</t>
  </si>
  <si>
    <t>03f29a71-8a8c-47a8-b241-98c69ad49ffb</t>
  </si>
  <si>
    <t>27827592092</t>
  </si>
  <si>
    <t>2026-05-26 14:16:04</t>
  </si>
  <si>
    <t>14298800</t>
  </si>
  <si>
    <t>9b13434e-bc1c-40ff-b4a6-fadabbeb6099</t>
  </si>
  <si>
    <t>27660233068</t>
  </si>
  <si>
    <t>2026-05-26 14:15:59</t>
  </si>
  <si>
    <t>14298752</t>
  </si>
  <si>
    <t>f945ba34-09bd-4a51-b87d-ae5df64dd488</t>
  </si>
  <si>
    <t>27793272110</t>
  </si>
  <si>
    <t>14298813</t>
  </si>
  <si>
    <t>dc488594-39eb-4c2b-ae7b-a65cefab5e73</t>
  </si>
  <si>
    <t>2026-05-26 14:15:35</t>
  </si>
  <si>
    <t>27793430071</t>
  </si>
  <si>
    <t>14298751</t>
  </si>
  <si>
    <t>13f5c83a-7f14-4d0f-8bad-68f6fed2f1b5</t>
  </si>
  <si>
    <t>2026-05-26 14:15:34</t>
  </si>
  <si>
    <t>27767031777</t>
  </si>
  <si>
    <t>14299023</t>
  </si>
  <si>
    <t>3e6ee9e8-c037-46bc-bc54-7539c3341e90</t>
  </si>
  <si>
    <t>2026-05-26 14:15:28</t>
  </si>
  <si>
    <t>27722100044</t>
  </si>
  <si>
    <t>14298801</t>
  </si>
  <si>
    <t>286ff3d7-a6cd-4413-b083-27302f22785b</t>
  </si>
  <si>
    <t>2026-05-26 14:15:24</t>
  </si>
  <si>
    <t>27827283098</t>
  </si>
  <si>
    <t>14298802</t>
  </si>
  <si>
    <t>6951977d-1db7-467e-8297-0ccd4fc2dea3</t>
  </si>
  <si>
    <t>2026-05-26 14:14:51</t>
  </si>
  <si>
    <t>27611982214</t>
  </si>
  <si>
    <t>14298748</t>
  </si>
  <si>
    <t>14e04eb8-532f-49d8-944d-649c338f4194</t>
  </si>
  <si>
    <t>27761448733</t>
  </si>
  <si>
    <t>14299024</t>
  </si>
  <si>
    <t>e1aad2d3-f08b-4e3d-8d66-877489790fa4</t>
  </si>
  <si>
    <t>27714046891</t>
  </si>
  <si>
    <t>14298746</t>
  </si>
  <si>
    <t>b94ad49d-8b70-48e3-8a80-564729c37bcb</t>
  </si>
  <si>
    <t>2026-05-26 14:14:48</t>
  </si>
  <si>
    <t>27823920842</t>
  </si>
  <si>
    <t>14298747</t>
  </si>
  <si>
    <t>cfe5962d-482f-4c60-b702-6711c7983d23</t>
  </si>
  <si>
    <t>27827980998</t>
  </si>
  <si>
    <t>14298235</t>
  </si>
  <si>
    <t>06fbbb16-e725-4243-ba1f-bf52e18ece34</t>
  </si>
  <si>
    <t>27715868500</t>
  </si>
  <si>
    <t>2026-05-26 14:14:08</t>
  </si>
  <si>
    <t>14298745</t>
  </si>
  <si>
    <t>3b2e4acb-a838-4445-a3c8-c6937937e0a3</t>
  </si>
  <si>
    <t>27828023927</t>
  </si>
  <si>
    <t>14298738</t>
  </si>
  <si>
    <t>f36a61a5-693d-4ea2-9ea2-6b723e458108</t>
  </si>
  <si>
    <t>2026-05-26 14:14:06</t>
  </si>
  <si>
    <t>27608491170</t>
  </si>
  <si>
    <t>14298739</t>
  </si>
  <si>
    <t>08eddf3e-d2b2-4b38-af2a-b599cfb089c2</t>
  </si>
  <si>
    <t>27792917358</t>
  </si>
  <si>
    <t>14298741</t>
  </si>
  <si>
    <t>e25f51ae-a760-41a9-a325-2f88e19e1c95</t>
  </si>
  <si>
    <t>27714248733</t>
  </si>
  <si>
    <t>14298744</t>
  </si>
  <si>
    <t>fe15da33-a615-44c2-8afa-9087cf5a1fb1</t>
  </si>
  <si>
    <t>27762072636</t>
  </si>
  <si>
    <t>14298736</t>
  </si>
  <si>
    <t>8aed8725-9484-45c4-95a1-ee9c9a755a5f</t>
  </si>
  <si>
    <t>27607267983</t>
  </si>
  <si>
    <t>2026-05-26 14:13:49</t>
  </si>
  <si>
    <t>14298735</t>
  </si>
  <si>
    <t>19c20b0b-fa88-46db-bf84-e6bc0d866bee</t>
  </si>
  <si>
    <t>2026-05-26 14:13:48</t>
  </si>
  <si>
    <t>27728837699</t>
  </si>
  <si>
    <t>14298155</t>
  </si>
  <si>
    <t>7ede469e-2a45-491f-afaa-92a614376d93</t>
  </si>
  <si>
    <t>2026-05-26 14:13:09</t>
  </si>
  <si>
    <t>27608342066</t>
  </si>
  <si>
    <t>14298731</t>
  </si>
  <si>
    <t>ac0c2328-0e96-440c-a408-1356ff861a63</t>
  </si>
  <si>
    <t>2026-05-26 14:12:49</t>
  </si>
  <si>
    <t>27607728724</t>
  </si>
  <si>
    <t>14298733</t>
  </si>
  <si>
    <t>a75fbda8-58f9-4a67-acb3-593f07ce48d0</t>
  </si>
  <si>
    <t>27712723042</t>
  </si>
  <si>
    <t>14298807</t>
  </si>
  <si>
    <t>24738018-cd3f-4b82-9980-8ed44ecc6b64</t>
  </si>
  <si>
    <t>27768845477</t>
  </si>
  <si>
    <t>14298732</t>
  </si>
  <si>
    <t>558d8611-8875-48cc-8fb7-3d7b0b74b662</t>
  </si>
  <si>
    <t>27764174656</t>
  </si>
  <si>
    <t>2026-05-26 14:12:48</t>
  </si>
  <si>
    <t>14299170</t>
  </si>
  <si>
    <t>a9de8424-c2e1-4b03-bfcb-832d30f2e86e</t>
  </si>
  <si>
    <t>27763231360</t>
  </si>
  <si>
    <t>2026-05-26 14:11:53</t>
  </si>
  <si>
    <t>14298729</t>
  </si>
  <si>
    <t>31314e65-c17c-4cf6-94e3-483051d09262</t>
  </si>
  <si>
    <t>2026-05-26 14:11:26</t>
  </si>
  <si>
    <t>27791822959</t>
  </si>
  <si>
    <t>14298727</t>
  </si>
  <si>
    <t>f97ecacb-fc79-4cfc-b2f7-6e582cbf7b60</t>
  </si>
  <si>
    <t>2026-05-26 14:11:19</t>
  </si>
  <si>
    <t>27720529716</t>
  </si>
  <si>
    <t>14299013</t>
  </si>
  <si>
    <t>2c42bc81-8062-4faa-be33-4342d1b21c76</t>
  </si>
  <si>
    <t>27673768054</t>
  </si>
  <si>
    <t>2026-05-26 14:11:15</t>
  </si>
  <si>
    <t>14298723</t>
  </si>
  <si>
    <t>ee9fddef-9047-4328-b9d6-e313c1077c85</t>
  </si>
  <si>
    <t>2026-05-26 14:11:14</t>
  </si>
  <si>
    <t>27636037516</t>
  </si>
  <si>
    <t>14298724</t>
  </si>
  <si>
    <t>92a1518e-2208-4b6b-bd9f-7ce3778b5fc4</t>
  </si>
  <si>
    <t>27660025547</t>
  </si>
  <si>
    <t>14298725</t>
  </si>
  <si>
    <t>adba5527-a1a0-4111-81c8-7aa3ff0f904f</t>
  </si>
  <si>
    <t>27824233330</t>
  </si>
  <si>
    <t>14298015</t>
  </si>
  <si>
    <t>e6375da5-6dc0-404f-9fc4-9593c4b1fcdf</t>
  </si>
  <si>
    <t>27606083310</t>
  </si>
  <si>
    <t>2026-05-26 14:10:11</t>
  </si>
  <si>
    <t>14298281</t>
  </si>
  <si>
    <t>100ee2c2-9928-4d7d-b38c-0dfc02fc669a</t>
  </si>
  <si>
    <t>2026-05-26 14:10:07</t>
  </si>
  <si>
    <t>27790386620</t>
  </si>
  <si>
    <t>14298282</t>
  </si>
  <si>
    <t>505def02-8e75-43a0-ab3b-ceb1283b2314</t>
  </si>
  <si>
    <t>27608897666</t>
  </si>
  <si>
    <t>14298828</t>
  </si>
  <si>
    <t>219317f6-91a7-45a1-bb3a-a050e521b40c</t>
  </si>
  <si>
    <t>27774885321</t>
  </si>
  <si>
    <t>14299032</t>
  </si>
  <si>
    <t>9bfe9ec3-8025-4e12-a75e-b5e9b3ab41d0</t>
  </si>
  <si>
    <t>27769329817</t>
  </si>
  <si>
    <t>14298031</t>
  </si>
  <si>
    <t>3ba3f741-f637-4fc7-80e1-26445f2cb666</t>
  </si>
  <si>
    <t>2026-05-26 14:10:02</t>
  </si>
  <si>
    <t>27797394142</t>
  </si>
  <si>
    <t>14298010</t>
  </si>
  <si>
    <t>a0b93ccb-8a28-4fb0-a173-cb5c9a37d26b</t>
  </si>
  <si>
    <t>2026-05-26 14:09:50</t>
  </si>
  <si>
    <t>27606899311</t>
  </si>
  <si>
    <t>14298498</t>
  </si>
  <si>
    <t>a36b7a00-4fa0-47df-b010-46c3f7aeeada</t>
  </si>
  <si>
    <t>2026-05-26 14:09:49</t>
  </si>
  <si>
    <t>27606132790</t>
  </si>
  <si>
    <t>14298497</t>
  </si>
  <si>
    <t>69b5e6cd-9761-48cd-9f0a-69eb923a6fec</t>
  </si>
  <si>
    <t>27636752802</t>
  </si>
  <si>
    <t>2026-05-26 14:09:14</t>
  </si>
  <si>
    <t>14298496</t>
  </si>
  <si>
    <t>4a85e5ad-b75f-4425-b431-1b4d238c6d7c</t>
  </si>
  <si>
    <t>2026-05-26 14:09:13</t>
  </si>
  <si>
    <t>27763256932</t>
  </si>
  <si>
    <t>14298495</t>
  </si>
  <si>
    <t>8d9fb5fa-642d-49f6-b891-53b4565b044d</t>
  </si>
  <si>
    <t>2026-05-26 14:09:10</t>
  </si>
  <si>
    <t>27712666398</t>
  </si>
  <si>
    <t>14298494</t>
  </si>
  <si>
    <t>1d4709d2-9a00-4e67-a7d1-84c5c4ba545e</t>
  </si>
  <si>
    <t>27636558554</t>
  </si>
  <si>
    <t>2026-05-26 14:09:08</t>
  </si>
  <si>
    <t>14299037</t>
  </si>
  <si>
    <t>b81d9a75-3238-41d7-9895-cecd6b5c5679</t>
  </si>
  <si>
    <t>27713079444</t>
  </si>
  <si>
    <t>14298491</t>
  </si>
  <si>
    <t>d23a1f4a-4b79-40ff-bd7c-9a5dd012e89e</t>
  </si>
  <si>
    <t>2026-05-26 14:09:07</t>
  </si>
  <si>
    <t>27724380137</t>
  </si>
  <si>
    <t>14298493</t>
  </si>
  <si>
    <t>46eaf5a2-31a6-49f2-9f57-9de5068edbe6</t>
  </si>
  <si>
    <t>27721708870</t>
  </si>
  <si>
    <t>14298487</t>
  </si>
  <si>
    <t>d0d9a4c1-409b-47e4-8c91-71964684bd36</t>
  </si>
  <si>
    <t>2026-05-26 14:08:55</t>
  </si>
  <si>
    <t>27794099954</t>
  </si>
  <si>
    <t>14298488</t>
  </si>
  <si>
    <t>fc0582df-3bb2-4c6a-bfae-58389357b473</t>
  </si>
  <si>
    <t>27714999300</t>
  </si>
  <si>
    <t>14298489</t>
  </si>
  <si>
    <t>4d8aa2f2-93c7-48aa-a00f-ffe6b3880f24</t>
  </si>
  <si>
    <t>27725802284</t>
  </si>
  <si>
    <t>14298490</t>
  </si>
  <si>
    <t>7553b324-c954-4abe-9c8b-a11ca4f0445c</t>
  </si>
  <si>
    <t>27760564870</t>
  </si>
  <si>
    <t>14298858</t>
  </si>
  <si>
    <t>2f8565de-bad6-4194-ac90-51f8b4b39a93</t>
  </si>
  <si>
    <t>27794006835</t>
  </si>
  <si>
    <t>14298030</t>
  </si>
  <si>
    <t>b7fc9083-862f-413b-9846-7e5de406ca3a</t>
  </si>
  <si>
    <t>2026-05-26 14:08:38</t>
  </si>
  <si>
    <t>27792397473</t>
  </si>
  <si>
    <t>14298485</t>
  </si>
  <si>
    <t>23ea1067-881d-49ee-9d9e-696815a4bdbf</t>
  </si>
  <si>
    <t>2026-05-26 14:08:37</t>
  </si>
  <si>
    <t>27721561665</t>
  </si>
  <si>
    <t>14298999</t>
  </si>
  <si>
    <t>a0f42a4a-25de-4c2f-8b82-8e9a5f3d974d</t>
  </si>
  <si>
    <t>27764508912</t>
  </si>
  <si>
    <t>2026-05-26 14:08:36</t>
  </si>
  <si>
    <t>14298484</t>
  </si>
  <si>
    <t>b529bf05-44d5-4569-99ba-affa1e646390</t>
  </si>
  <si>
    <t>2026-05-26 14:08:25</t>
  </si>
  <si>
    <t>27660301241</t>
  </si>
  <si>
    <t>14298482</t>
  </si>
  <si>
    <t>fdc95ca1-4dbb-407a-8153-4b86e51c6e2a</t>
  </si>
  <si>
    <t>2026-05-26 14:08:21</t>
  </si>
  <si>
    <t>27823409562</t>
  </si>
  <si>
    <t>14298483</t>
  </si>
  <si>
    <t>3877660f-5b73-4f26-b110-407071aa71fe</t>
  </si>
  <si>
    <t>27647633810</t>
  </si>
  <si>
    <t>14299022</t>
  </si>
  <si>
    <t>b79d8a47-283f-4a6c-bdd1-6b2860ad3cf1</t>
  </si>
  <si>
    <t>27660770557</t>
  </si>
  <si>
    <t>14298481</t>
  </si>
  <si>
    <t>5cf441f9-e37a-4371-9820-3c18687b70e7</t>
  </si>
  <si>
    <t>2026-05-26 14:08:06</t>
  </si>
  <si>
    <t>27764691769</t>
  </si>
  <si>
    <t>14298027</t>
  </si>
  <si>
    <t>d4478dd2-2c1e-4946-8fe7-ee7fd29794cb</t>
  </si>
  <si>
    <t>27721692487</t>
  </si>
  <si>
    <t>2026-05-26 14:07:55</t>
  </si>
  <si>
    <t>14298029</t>
  </si>
  <si>
    <t>93253f8d-23fe-4e83-b8bb-4b362612c806</t>
  </si>
  <si>
    <t>27608616859</t>
  </si>
  <si>
    <t>14298845</t>
  </si>
  <si>
    <t>9807fc53-504a-4c5f-9c21-5829719ee4d0</t>
  </si>
  <si>
    <t>27826137454</t>
  </si>
  <si>
    <t>14298930</t>
  </si>
  <si>
    <t>55e01476-7551-45b5-895d-1dc1480d68e5</t>
  </si>
  <si>
    <t>27606546151</t>
  </si>
  <si>
    <t>14298976</t>
  </si>
  <si>
    <t>0c755795-8ecc-4bc1-a5b0-529bc7d2d0fb</t>
  </si>
  <si>
    <t>2026-05-26 14:07:10</t>
  </si>
  <si>
    <t>27763768374</t>
  </si>
  <si>
    <t>14298266</t>
  </si>
  <si>
    <t>30b51de5-edc9-435d-ac17-7f101b1146bb</t>
  </si>
  <si>
    <t>27767244982</t>
  </si>
  <si>
    <t>2026-05-26 14:07:00</t>
  </si>
  <si>
    <t>14298265</t>
  </si>
  <si>
    <t>995aff70-4dbb-458c-87c0-33eec1ed008a</t>
  </si>
  <si>
    <t>2026-05-26 14:06:57</t>
  </si>
  <si>
    <t>27773726436</t>
  </si>
  <si>
    <t>14298264</t>
  </si>
  <si>
    <t>860b36a4-6379-45a4-9313-2d6d0ee36353</t>
  </si>
  <si>
    <t>2026-05-26 14:06:55</t>
  </si>
  <si>
    <t>27764869983</t>
  </si>
  <si>
    <t>14298884</t>
  </si>
  <si>
    <t>817a7667-36ac-4c42-9ce8-c6b2fbab7aaf</t>
  </si>
  <si>
    <t>27720605577</t>
  </si>
  <si>
    <t>14298963</t>
  </si>
  <si>
    <t>e8a370f5-6a9a-4805-b96e-9fc9b56235d7</t>
  </si>
  <si>
    <t>2026-05-26 14:06:39</t>
  </si>
  <si>
    <t>27791702354</t>
  </si>
  <si>
    <t>14297594</t>
  </si>
  <si>
    <t>f6978b8b-1ab6-4ed3-bc89-f2a5901d78c6</t>
  </si>
  <si>
    <t>2026-05-26 14:06:28</t>
  </si>
  <si>
    <t>27728597158</t>
  </si>
  <si>
    <t>14298555</t>
  </si>
  <si>
    <t>0c07bea9-6d58-484e-ae7e-64e132a2ab4d</t>
  </si>
  <si>
    <t>2026-05-26 14:06:22</t>
  </si>
  <si>
    <t>27711774164</t>
  </si>
  <si>
    <t>14298556</t>
  </si>
  <si>
    <t>5ee1ad87-713e-4ee7-af57-1fd4507d164f</t>
  </si>
  <si>
    <t>27721185371</t>
  </si>
  <si>
    <t>14298873</t>
  </si>
  <si>
    <t>efd63bfc-6718-47da-8faa-d888f8a11320</t>
  </si>
  <si>
    <t>27764072938</t>
  </si>
  <si>
    <t>14298553</t>
  </si>
  <si>
    <t>b77b900d-47c7-49f1-a32e-b335f69c75dc</t>
  </si>
  <si>
    <t>2026-05-26 14:06:21</t>
  </si>
  <si>
    <t>27768738533</t>
  </si>
  <si>
    <t>14298550</t>
  </si>
  <si>
    <t>90e24b1a-e926-410b-be17-e6fcf39fc664</t>
  </si>
  <si>
    <t>27660279260</t>
  </si>
  <si>
    <t>2026-05-26 14:05:52</t>
  </si>
  <si>
    <t>14298552</t>
  </si>
  <si>
    <t>1a97a9b2-9b1c-483c-bcf4-dbb833e25dec</t>
  </si>
  <si>
    <t>2026-05-26 14:05:39</t>
  </si>
  <si>
    <t>27724407835</t>
  </si>
  <si>
    <t>14298537</t>
  </si>
  <si>
    <t>f8c10d72-5d84-48fc-9b0c-4a97719a7f2e</t>
  </si>
  <si>
    <t>27818387590</t>
  </si>
  <si>
    <t>2026-05-26 14:05:27</t>
  </si>
  <si>
    <t>14298549</t>
  </si>
  <si>
    <t>6b15d095-7050-46ff-87b8-4487f263a383</t>
  </si>
  <si>
    <t>27823359840</t>
  </si>
  <si>
    <t>14298127</t>
  </si>
  <si>
    <t>0e7f8a09-c131-4180-b132-f6894fa89b23</t>
  </si>
  <si>
    <t>2026-05-26 14:05:01</t>
  </si>
  <si>
    <t>27762591210</t>
  </si>
  <si>
    <t>14298946</t>
  </si>
  <si>
    <t>16933713-9ddc-4286-a7d1-3f09e3a32118</t>
  </si>
  <si>
    <t>2026-05-26 14:04:52</t>
  </si>
  <si>
    <t>27727397508</t>
  </si>
  <si>
    <t>14298124</t>
  </si>
  <si>
    <t>64f8f3ab-9942-4820-8305-eebd7702bc13</t>
  </si>
  <si>
    <t>2026-05-26 14:04:48</t>
  </si>
  <si>
    <t>27764737526</t>
  </si>
  <si>
    <t>14298126</t>
  </si>
  <si>
    <t>b1357945-047d-426d-b735-124b15a5d41e</t>
  </si>
  <si>
    <t>27794718880</t>
  </si>
  <si>
    <t>14298122</t>
  </si>
  <si>
    <t>e6b0aa8a-4d95-464f-8d33-18a1fc529ae9</t>
  </si>
  <si>
    <t>27649599739</t>
  </si>
  <si>
    <t>2026-05-26 14:04:43</t>
  </si>
  <si>
    <t>14298188</t>
  </si>
  <si>
    <t>10449c49-faf4-4026-ba41-fc65103a8958</t>
  </si>
  <si>
    <t>27673975190</t>
  </si>
  <si>
    <t>2026-05-26 14:04:18</t>
  </si>
  <si>
    <t>14298118</t>
  </si>
  <si>
    <t>8f0997e8-ddb1-4550-a427-b3789947f9e0</t>
  </si>
  <si>
    <t>27723224797</t>
  </si>
  <si>
    <t>14299015</t>
  </si>
  <si>
    <t>34052041-be92-461e-b421-4929d6bb8205</t>
  </si>
  <si>
    <t>27827925454</t>
  </si>
  <si>
    <t>14298115</t>
  </si>
  <si>
    <t>a4f22e3d-db79-4d10-b413-39990caa8c4a</t>
  </si>
  <si>
    <t>2026-05-26 14:04:17</t>
  </si>
  <si>
    <t>27798519823</t>
  </si>
  <si>
    <t>14298116</t>
  </si>
  <si>
    <t>33d97fae-39c8-4305-ba76-fb301fb10ae1</t>
  </si>
  <si>
    <t>27822828963</t>
  </si>
  <si>
    <t>14298114</t>
  </si>
  <si>
    <t>62da7f82-d1f3-4a3e-a98f-52131e5b91f1</t>
  </si>
  <si>
    <t>2026-05-26 14:04:12</t>
  </si>
  <si>
    <t>27608092147</t>
  </si>
  <si>
    <t>14298843</t>
  </si>
  <si>
    <t>4036c3d3-2e23-4a96-a7bc-c4d30568c51d</t>
  </si>
  <si>
    <t>27763152169</t>
  </si>
  <si>
    <t>14298885</t>
  </si>
  <si>
    <t>836efa90-455d-4e72-b65d-b5bfd6e6207d</t>
  </si>
  <si>
    <t>2026-05-26 14:03:19</t>
  </si>
  <si>
    <t>27727617047</t>
  </si>
  <si>
    <t>14298113</t>
  </si>
  <si>
    <t>0abb85d0-9196-47d7-a7de-562fd4fe8af5</t>
  </si>
  <si>
    <t>2026-05-26 14:03:14</t>
  </si>
  <si>
    <t>27825465755</t>
  </si>
  <si>
    <t>14298112</t>
  </si>
  <si>
    <t>763fff6e-bc1b-4f76-8add-efba55e16c94</t>
  </si>
  <si>
    <t>27799172545</t>
  </si>
  <si>
    <t>2026-05-26 14:03:12</t>
  </si>
  <si>
    <t>14298111</t>
  </si>
  <si>
    <t>528fe032-5be1-4b50-8c9a-c8a8154475ab</t>
  </si>
  <si>
    <t>27768089831</t>
  </si>
  <si>
    <t>2026-05-26 14:03:08</t>
  </si>
  <si>
    <t>14298302</t>
  </si>
  <si>
    <t>bb3e8634-5cb3-48e8-8ff7-5150ffad37c9</t>
  </si>
  <si>
    <t>27828142969</t>
  </si>
  <si>
    <t>14298859</t>
  </si>
  <si>
    <t>5af16fb6-d8c7-4c43-ad03-bfde4196914c</t>
  </si>
  <si>
    <t>27762078591</t>
  </si>
  <si>
    <t>14298121</t>
  </si>
  <si>
    <t>522a6377-b7d0-468d-8aaa-af37d05a991d</t>
  </si>
  <si>
    <t>2026-05-26 14:01:15</t>
  </si>
  <si>
    <t>27714469816</t>
  </si>
  <si>
    <t>14299127</t>
  </si>
  <si>
    <t>736f6b22-bad3-42ac-99f3-0363c8277f91</t>
  </si>
  <si>
    <t>2026-05-26 14:01:13</t>
  </si>
  <si>
    <t>27723418704</t>
  </si>
  <si>
    <t>14298889</t>
  </si>
  <si>
    <t>a047cefb-706e-47ac-b224-388bce86e07a</t>
  </si>
  <si>
    <t>2026-05-26 14:01:09</t>
  </si>
  <si>
    <t>27729006341</t>
  </si>
  <si>
    <t>14298120</t>
  </si>
  <si>
    <t>15717468-a280-45fc-a124-3509ff87af56</t>
  </si>
  <si>
    <t>27711803785</t>
  </si>
  <si>
    <t>2026-05-26 14:01:06</t>
  </si>
  <si>
    <t>14298119</t>
  </si>
  <si>
    <t>50b7d61b-1112-404d-a2c0-c4d913159a9f</t>
  </si>
  <si>
    <t>2026-05-26 14:01:05</t>
  </si>
  <si>
    <t>27609772873</t>
  </si>
  <si>
    <t>14298275</t>
  </si>
  <si>
    <t>e081f15a-fba3-4d1e-8a1e-3ca5a07e20a6</t>
  </si>
  <si>
    <t>27661260461</t>
  </si>
  <si>
    <t>14298274</t>
  </si>
  <si>
    <t>62d3b50c-55c9-43f4-a623-0837031638b9</t>
  </si>
  <si>
    <t>2026-05-26 14:00:36</t>
  </si>
  <si>
    <t>27722655418</t>
  </si>
  <si>
    <t>14298273</t>
  </si>
  <si>
    <t>24ffbcba-ecfc-48f2-9302-7d2d77190c40</t>
  </si>
  <si>
    <t>2026-05-26 14:00:35</t>
  </si>
  <si>
    <t>27797440421</t>
  </si>
  <si>
    <t>14298916</t>
  </si>
  <si>
    <t>8dffbb57-1406-4365-8052-ac7d38cf49d2</t>
  </si>
  <si>
    <t>27827918331</t>
  </si>
  <si>
    <t>14298272</t>
  </si>
  <si>
    <t>03cba60f-d161-4bc8-8258-3a4189239c82</t>
  </si>
  <si>
    <t>2026-05-26 14:00:34</t>
  </si>
  <si>
    <t>27675602330</t>
  </si>
  <si>
    <t>14298271</t>
  </si>
  <si>
    <t>0c1ce491-4347-41ae-82f9-173611348f90</t>
  </si>
  <si>
    <t>27720915476</t>
  </si>
  <si>
    <t>14299142</t>
  </si>
  <si>
    <t>9e081e11-013a-43be-8a25-5a39b3479bca</t>
  </si>
  <si>
    <t>27648543984</t>
  </si>
  <si>
    <t>2026-05-26 13:59:46</t>
  </si>
  <si>
    <t>14298270</t>
  </si>
  <si>
    <t>c8a90b8d-b657-4142-b28e-5e577ef142d1</t>
  </si>
  <si>
    <t>2026-05-26 13:59:42</t>
  </si>
  <si>
    <t>27795105576</t>
  </si>
  <si>
    <t>14298268</t>
  </si>
  <si>
    <t>bf040228-6e72-4aca-a777-62b0d572f9a8</t>
  </si>
  <si>
    <t>2026-05-26 13:59:30</t>
  </si>
  <si>
    <t>27665514082</t>
  </si>
  <si>
    <t>14298269</t>
  </si>
  <si>
    <t>df1265da-ac05-4f44-a30f-c19ca7d31f19</t>
  </si>
  <si>
    <t>27637893069</t>
  </si>
  <si>
    <t>14298853</t>
  </si>
  <si>
    <t>164506ee-a356-42f7-9fe2-8426cb886219</t>
  </si>
  <si>
    <t>27765149443</t>
  </si>
  <si>
    <t>14298869</t>
  </si>
  <si>
    <t>fea75876-a000-48c1-a888-15891acc8cd3</t>
  </si>
  <si>
    <t>27729112155</t>
  </si>
  <si>
    <t>14298267</t>
  </si>
  <si>
    <t>0db7abe8-8126-4f8d-aa52-c55b5318c283</t>
  </si>
  <si>
    <t>2026-05-26 13:58:43</t>
  </si>
  <si>
    <t>27761856621</t>
  </si>
  <si>
    <t>14298208</t>
  </si>
  <si>
    <t>ed3dd40c-fe46-4f4e-8ea7-689f9f386161</t>
  </si>
  <si>
    <t>27646195208</t>
  </si>
  <si>
    <t>2026-05-26 13:58:36</t>
  </si>
  <si>
    <t>14298209</t>
  </si>
  <si>
    <t>f45f7188-aa54-4c67-9840-8d3482dc5aa1</t>
  </si>
  <si>
    <t>2026-05-26 13:58:08</t>
  </si>
  <si>
    <t>27827510170</t>
  </si>
  <si>
    <t>14298207</t>
  </si>
  <si>
    <t>9791adcd-d247-4682-9c22-8c2a18755f52</t>
  </si>
  <si>
    <t>27607060955</t>
  </si>
  <si>
    <t>2026-05-26 13:58:01</t>
  </si>
  <si>
    <t>14298205</t>
  </si>
  <si>
    <t>31842fb4-ac74-4dab-a781-6697a69fdcd4</t>
  </si>
  <si>
    <t>2026-05-26 13:57:56</t>
  </si>
  <si>
    <t>27826873758</t>
  </si>
  <si>
    <t>14298191</t>
  </si>
  <si>
    <t>9375e5d7-8beb-4524-8910-53446a9162c1</t>
  </si>
  <si>
    <t>27768997741</t>
  </si>
  <si>
    <t>2026-05-26 13:57:50</t>
  </si>
  <si>
    <t>14298193</t>
  </si>
  <si>
    <t>4e015c41-3a6b-4285-9ac0-f512218766ed</t>
  </si>
  <si>
    <t>27764677979</t>
  </si>
  <si>
    <t>14298204</t>
  </si>
  <si>
    <t>621d1b0e-b634-4aac-9e7e-8d23c08248ab</t>
  </si>
  <si>
    <t>27765703907</t>
  </si>
  <si>
    <t>14298814</t>
  </si>
  <si>
    <t>6897a5c9-1bc4-482b-bec4-369dae5c9510</t>
  </si>
  <si>
    <t>27793923956</t>
  </si>
  <si>
    <t>14298877</t>
  </si>
  <si>
    <t>4feaf401-8261-44f3-a973-d0edd7565886</t>
  </si>
  <si>
    <t>27798654516</t>
  </si>
  <si>
    <t>2026-05-26 13:57:41</t>
  </si>
  <si>
    <t>14298187</t>
  </si>
  <si>
    <t>7b70ca8f-2ff1-4f43-92f5-0bb7f98a85b4</t>
  </si>
  <si>
    <t>27797063104</t>
  </si>
  <si>
    <t>2026-05-26 13:57:14</t>
  </si>
  <si>
    <t>14298189</t>
  </si>
  <si>
    <t>47ffd0e2-a385-43bf-a477-64cc3f8b0e10</t>
  </si>
  <si>
    <t>2026-05-26 13:56:51</t>
  </si>
  <si>
    <t>27765404296</t>
  </si>
  <si>
    <t>14298878</t>
  </si>
  <si>
    <t>1cccf934-9815-484f-ad0a-b0516cf9bf9a</t>
  </si>
  <si>
    <t>2026-05-26 13:56:44</t>
  </si>
  <si>
    <t>27606298358</t>
  </si>
  <si>
    <t>14298185</t>
  </si>
  <si>
    <t>34a71e8f-0a46-4e7f-9e45-05c788a71970</t>
  </si>
  <si>
    <t>27795379903</t>
  </si>
  <si>
    <t>2026-05-26 13:56:36</t>
  </si>
  <si>
    <t>14298915</t>
  </si>
  <si>
    <t>f20812f3-c65a-4d61-b6aa-4f37466e3e1c</t>
  </si>
  <si>
    <t>27664559123</t>
  </si>
  <si>
    <t>14298184</t>
  </si>
  <si>
    <t>95ab1f9e-b352-44b0-bbc7-e6400074eb1a</t>
  </si>
  <si>
    <t>2026-05-26 13:56:35</t>
  </si>
  <si>
    <t>27762052107</t>
  </si>
  <si>
    <t>14298815</t>
  </si>
  <si>
    <t>6ebcf266-dc9b-4a5c-9588-9d7ab94e75ae</t>
  </si>
  <si>
    <t>27609219795</t>
  </si>
  <si>
    <t>14298183</t>
  </si>
  <si>
    <t>193f9f82-a893-4e9b-b8af-c3e04ba721a0</t>
  </si>
  <si>
    <t>2026-05-26 13:56:34</t>
  </si>
  <si>
    <t>27727406873</t>
  </si>
  <si>
    <t>14299054</t>
  </si>
  <si>
    <t>5c1e783f-12ad-44ca-ba70-22eb9c824a09</t>
  </si>
  <si>
    <t>2026-05-26 13:56:27</t>
  </si>
  <si>
    <t>27724224522</t>
  </si>
  <si>
    <t>14298182</t>
  </si>
  <si>
    <t>1ae601b7-d5da-457f-9fda-f58947ff3943</t>
  </si>
  <si>
    <t>2026-05-26 13:56:21</t>
  </si>
  <si>
    <t>27796488854</t>
  </si>
  <si>
    <t>14298425</t>
  </si>
  <si>
    <t>0cb4aab0-2053-4fc4-8e9f-d133f47ba985</t>
  </si>
  <si>
    <t>27761338892</t>
  </si>
  <si>
    <t>14298835</t>
  </si>
  <si>
    <t>12b3eec1-43eb-45b1-8730-0fd28079eb1f</t>
  </si>
  <si>
    <t>27637008816</t>
  </si>
  <si>
    <t>14298203</t>
  </si>
  <si>
    <t>dacfd4a9-df9e-44d9-86d0-865999b2eef4</t>
  </si>
  <si>
    <t>27725951753</t>
  </si>
  <si>
    <t>2026-05-26 13:55:47</t>
  </si>
  <si>
    <t>14298200</t>
  </si>
  <si>
    <t>4327af2a-b284-41c7-99fc-43db1f74bb67</t>
  </si>
  <si>
    <t>2026-05-26 13:55:38</t>
  </si>
  <si>
    <t>27796738968</t>
  </si>
  <si>
    <t>14298201</t>
  </si>
  <si>
    <t>6f58f0d0-d090-476b-a96b-4304559d775c</t>
  </si>
  <si>
    <t>27674741967</t>
  </si>
  <si>
    <t>14298202</t>
  </si>
  <si>
    <t>e8df4400-b22c-4a87-8341-8f07d108bde3</t>
  </si>
  <si>
    <t>27825025940</t>
  </si>
  <si>
    <t>14298199</t>
  </si>
  <si>
    <t>dae18a94-ff6c-4d8c-a1c6-dd93577a887d</t>
  </si>
  <si>
    <t>2026-05-26 13:55:09</t>
  </si>
  <si>
    <t>27796017241</t>
  </si>
  <si>
    <t>14298194</t>
  </si>
  <si>
    <t>e2c582a1-e976-4552-97af-1942f4d25b0d</t>
  </si>
  <si>
    <t>2026-05-26 13:55:06</t>
  </si>
  <si>
    <t>27647697377</t>
  </si>
  <si>
    <t>14298195</t>
  </si>
  <si>
    <t>b1a75440-4c8d-4cf5-920b-8d8083b2ac2c</t>
  </si>
  <si>
    <t>27790943631</t>
  </si>
  <si>
    <t>14298823</t>
  </si>
  <si>
    <t>cebe841c-539b-4f47-8849-6c12b874f46e</t>
  </si>
  <si>
    <t>27720608928</t>
  </si>
  <si>
    <t>14299057</t>
  </si>
  <si>
    <t>6cb6e335-cf73-4327-b729-b0e17b902f9a</t>
  </si>
  <si>
    <t>27793168266</t>
  </si>
  <si>
    <t>14298962</t>
  </si>
  <si>
    <t>f0264752-522f-4e92-a55c-fa960387415c</t>
  </si>
  <si>
    <t>27764282960</t>
  </si>
  <si>
    <t>2026-05-26 13:54:38</t>
  </si>
  <si>
    <t>14297590</t>
  </si>
  <si>
    <t>56510957-d519-47ad-b22b-99005cc703a4</t>
  </si>
  <si>
    <t>27793519189</t>
  </si>
  <si>
    <t>2026-05-26 13:53:34</t>
  </si>
  <si>
    <t>14298229</t>
  </si>
  <si>
    <t>ead34b48-6036-451d-8ae6-49b27d9a0efe</t>
  </si>
  <si>
    <t>27793020956</t>
  </si>
  <si>
    <t>14298263</t>
  </si>
  <si>
    <t>7767e134-e253-49b5-9351-1f951fb3e7b5</t>
  </si>
  <si>
    <t>27763241050</t>
  </si>
  <si>
    <t>14298226</t>
  </si>
  <si>
    <t>7e763a25-9567-429c-b656-e1336fd8e875</t>
  </si>
  <si>
    <t>2026-05-26 13:53:33</t>
  </si>
  <si>
    <t>27607502233</t>
  </si>
  <si>
    <t>14298224</t>
  </si>
  <si>
    <t>de8d1712-884f-4ad7-8b8a-bcf1e5019dec</t>
  </si>
  <si>
    <t>2026-05-26 13:53:00</t>
  </si>
  <si>
    <t>27727192353</t>
  </si>
  <si>
    <t>14298220</t>
  </si>
  <si>
    <t>4dfa2cfb-9cf4-4ceb-ad6e-a6289bfc7f31</t>
  </si>
  <si>
    <t>27792917654</t>
  </si>
  <si>
    <t>2026-05-26 13:52:57</t>
  </si>
  <si>
    <t>14298222</t>
  </si>
  <si>
    <t>7e74885b-5e2c-4dd2-9d59-d958fdf57d9b</t>
  </si>
  <si>
    <t>27722055634</t>
  </si>
  <si>
    <t>14298223</t>
  </si>
  <si>
    <t>99c656c1-11d7-4bf0-af16-c2be31eff7e6</t>
  </si>
  <si>
    <t>27723028905</t>
  </si>
  <si>
    <t>14298824</t>
  </si>
  <si>
    <t>10efd420-70c5-4085-b3c3-d589dafd2387</t>
  </si>
  <si>
    <t>2026-05-26 13:52:19</t>
  </si>
  <si>
    <t>27712683661</t>
  </si>
  <si>
    <t>14298219</t>
  </si>
  <si>
    <t>8a61f9a6-22b0-400f-abb6-9927f458bf1c</t>
  </si>
  <si>
    <t>27822883832</t>
  </si>
  <si>
    <t>2026-05-26 13:52:18</t>
  </si>
  <si>
    <t>14297589</t>
  </si>
  <si>
    <t>3d03298b-9863-4e9a-8ef2-eb141f0343cd</t>
  </si>
  <si>
    <t>2026-05-26 13:52:15</t>
  </si>
  <si>
    <t>27773658521</t>
  </si>
  <si>
    <t>14298216</t>
  </si>
  <si>
    <t>7ec2fa0e-5248-4824-b22e-d4530ece0c6b</t>
  </si>
  <si>
    <t>27724125434</t>
  </si>
  <si>
    <t>14298217</t>
  </si>
  <si>
    <t>ab5ee878-0697-47b4-9933-f8c10714937c</t>
  </si>
  <si>
    <t>27607567046</t>
  </si>
  <si>
    <t>14298214</t>
  </si>
  <si>
    <t>237e8125-0b5e-417f-9c01-5f2e34840eac</t>
  </si>
  <si>
    <t>2026-05-26 13:51:45</t>
  </si>
  <si>
    <t>27799921026</t>
  </si>
  <si>
    <t>14298215</t>
  </si>
  <si>
    <t>0658b1ef-6bf1-4df2-b9bc-e74069751742</t>
  </si>
  <si>
    <t>27673786316</t>
  </si>
  <si>
    <t>14299060</t>
  </si>
  <si>
    <t>b0c27709-0db3-43db-b0d6-56547952a4d7</t>
  </si>
  <si>
    <t>27826221877</t>
  </si>
  <si>
    <t>14298137</t>
  </si>
  <si>
    <t>f74fff00-ea30-4316-acff-c71fe8950cdc</t>
  </si>
  <si>
    <t>27766552879</t>
  </si>
  <si>
    <t>2026-05-26 13:51:05</t>
  </si>
  <si>
    <t>14298262</t>
  </si>
  <si>
    <t>5d5ef1d3-ff60-4bf3-b193-4530ff3e6505</t>
  </si>
  <si>
    <t>27673616991</t>
  </si>
  <si>
    <t>2026-05-26 13:51:01</t>
  </si>
  <si>
    <t>14298261</t>
  </si>
  <si>
    <t>dc3462e4-0734-414b-964c-26d530ba011a</t>
  </si>
  <si>
    <t>2026-05-26 13:50:45</t>
  </si>
  <si>
    <t>27649275987</t>
  </si>
  <si>
    <t>14298237</t>
  </si>
  <si>
    <t>aec1b081-68a8-4f25-a50a-a813b285cc23</t>
  </si>
  <si>
    <t>2026-05-26 13:50:03</t>
  </si>
  <si>
    <t>27609022036</t>
  </si>
  <si>
    <t>14298827</t>
  </si>
  <si>
    <t>9e768234-42a6-4c2e-8b58-9780055b7336</t>
  </si>
  <si>
    <t>2026-05-26 13:50:02</t>
  </si>
  <si>
    <t>27763757638</t>
  </si>
  <si>
    <t>14298236</t>
  </si>
  <si>
    <t>cfe16021-474c-4e53-8404-37cd7607b07c</t>
  </si>
  <si>
    <t>2026-05-26 13:49:58</t>
  </si>
  <si>
    <t>27846506180</t>
  </si>
  <si>
    <t>14298231</t>
  </si>
  <si>
    <t>f2848943-c183-475a-99e9-254da43aa542</t>
  </si>
  <si>
    <t>2026-05-26 13:49:46</t>
  </si>
  <si>
    <t>27660616881</t>
  </si>
  <si>
    <t>14298234</t>
  </si>
  <si>
    <t>036183ce-b1a2-4772-89b9-85efe4a6a4d9</t>
  </si>
  <si>
    <t>27722056484</t>
  </si>
  <si>
    <t>14299066</t>
  </si>
  <si>
    <t>3f513770-39e0-4880-8f76-a02e2ef3110a</t>
  </si>
  <si>
    <t>27799454904</t>
  </si>
  <si>
    <t>14298935</t>
  </si>
  <si>
    <t>202470a0-a22d-4ef5-916e-902652acd1e6</t>
  </si>
  <si>
    <t>2026-05-26 13:48:56</t>
  </si>
  <si>
    <t>27665534554</t>
  </si>
  <si>
    <t>14298822</t>
  </si>
  <si>
    <t>1643d649-3448-4ac7-8a66-5cb3aea93199</t>
  </si>
  <si>
    <t>2026-05-26 13:48:47</t>
  </si>
  <si>
    <t>27799666321</t>
  </si>
  <si>
    <t>14298817</t>
  </si>
  <si>
    <t>c200082e-7442-46e6-97fb-f0846c974b7d</t>
  </si>
  <si>
    <t>2026-05-26 13:48:42</t>
  </si>
  <si>
    <t>27766136458</t>
  </si>
  <si>
    <t>14298818</t>
  </si>
  <si>
    <t>efb6b224-fcf9-4d5c-bcc6-18b18d9ec6f5</t>
  </si>
  <si>
    <t>27712226841</t>
  </si>
  <si>
    <t>14298819</t>
  </si>
  <si>
    <t>bd825474-fd28-40bc-b7c9-da0537a72589</t>
  </si>
  <si>
    <t>27794198008</t>
  </si>
  <si>
    <t>14298821</t>
  </si>
  <si>
    <t>fc3c5d37-f8d6-4080-8cfa-6809627c107e</t>
  </si>
  <si>
    <t>27711956196</t>
  </si>
  <si>
    <t>14298892</t>
  </si>
  <si>
    <t>cc69a066-fe2b-4258-a5ed-f618e4f257f6</t>
  </si>
  <si>
    <t>2026-05-26 13:47:27</t>
  </si>
  <si>
    <t>27797192840</t>
  </si>
  <si>
    <t>14298893</t>
  </si>
  <si>
    <t>55bf6364-536f-4729-b85f-d8bef9ff783c</t>
  </si>
  <si>
    <t>27727223689</t>
  </si>
  <si>
    <t>2026-05-26 13:47:17</t>
  </si>
  <si>
    <t>14298787</t>
  </si>
  <si>
    <t>08ae6047-c6a4-4fa4-a217-dc9e46c32397</t>
  </si>
  <si>
    <t>2026-05-26 13:46:54</t>
  </si>
  <si>
    <t>27648676592</t>
  </si>
  <si>
    <t>14298789</t>
  </si>
  <si>
    <t>fef0fbcb-3236-41dd-9321-46e2c19e1ea9</t>
  </si>
  <si>
    <t>27824631183</t>
  </si>
  <si>
    <t>14298790</t>
  </si>
  <si>
    <t>1620b8c7-a76e-4a2d-877b-723c6cad9a98</t>
  </si>
  <si>
    <t>27766467320</t>
  </si>
  <si>
    <t>14298785</t>
  </si>
  <si>
    <t>19a202c8-6d2b-4bc9-99b9-033b689c099c</t>
  </si>
  <si>
    <t>2026-05-26 13:45:50</t>
  </si>
  <si>
    <t>27723218857</t>
  </si>
  <si>
    <t>14298786</t>
  </si>
  <si>
    <t>7dc2ea26-f959-49c4-8dea-4b132aa1b5f5</t>
  </si>
  <si>
    <t>27648243699</t>
  </si>
  <si>
    <t>14300089</t>
  </si>
  <si>
    <t>ac8cc44d-80c1-4c11-b27c-4c9a3766daef</t>
  </si>
  <si>
    <t>27722599216</t>
  </si>
  <si>
    <t>2026-05-26 13:45:41</t>
  </si>
  <si>
    <t>14298784</t>
  </si>
  <si>
    <t>dcc2d06e-b056-4f4c-98cc-92029dfd0f16</t>
  </si>
  <si>
    <t>2026-05-26 13:45:38</t>
  </si>
  <si>
    <t>27660597736</t>
  </si>
  <si>
    <t>14298894</t>
  </si>
  <si>
    <t>bf5f2772-f302-4f89-9a7c-3e0c902c99fe</t>
  </si>
  <si>
    <t>27728609875</t>
  </si>
  <si>
    <t>14298895</t>
  </si>
  <si>
    <t>e100221f-638b-4425-b766-3d3b3f6ce178</t>
  </si>
  <si>
    <t>27729462563</t>
  </si>
  <si>
    <t>14298852</t>
  </si>
  <si>
    <t>ca01da68-db82-4729-b560-4f8a8e0fe1e6</t>
  </si>
  <si>
    <t>27661325909</t>
  </si>
  <si>
    <t>2026-05-26 13:45:29</t>
  </si>
  <si>
    <t>14298783</t>
  </si>
  <si>
    <t>b2a56160-7614-455c-abdd-343d3d08ad6e</t>
  </si>
  <si>
    <t>2026-05-26 13:44:57</t>
  </si>
  <si>
    <t>27663437806</t>
  </si>
  <si>
    <t>14298775</t>
  </si>
  <si>
    <t>fc8aefc0-cc38-4acc-9533-90f45f591226</t>
  </si>
  <si>
    <t>27824755952</t>
  </si>
  <si>
    <t>2026-05-26 13:44:55</t>
  </si>
  <si>
    <t>14298776</t>
  </si>
  <si>
    <t>b75b7257-a105-4c35-a791-6d29bad36d42</t>
  </si>
  <si>
    <t>27649242610</t>
  </si>
  <si>
    <t>14298778</t>
  </si>
  <si>
    <t>b0686b19-a247-4c30-9b0e-95d79db30acc</t>
  </si>
  <si>
    <t>27818300087</t>
  </si>
  <si>
    <t>14298780</t>
  </si>
  <si>
    <t>133c8f47-75c5-47f0-b018-b8002b04e276</t>
  </si>
  <si>
    <t>27827666797</t>
  </si>
  <si>
    <t>14298506</t>
  </si>
  <si>
    <t>5c495555-f1f2-4b02-8c4a-92c17bb46faf</t>
  </si>
  <si>
    <t>27673810283</t>
  </si>
  <si>
    <t>2026-05-26 13:44:42</t>
  </si>
  <si>
    <t>14298901</t>
  </si>
  <si>
    <t>d98cb000-3897-4eb7-a120-86ac2abb8960</t>
  </si>
  <si>
    <t>27727599495</t>
  </si>
  <si>
    <t>2026-05-26 13:44:12</t>
  </si>
  <si>
    <t>14298294</t>
  </si>
  <si>
    <t>eb60ae72-30d1-4e51-9bda-fa2b66bd797a</t>
  </si>
  <si>
    <t>27760263625</t>
  </si>
  <si>
    <t>2026-05-26 13:44:03</t>
  </si>
  <si>
    <t>14298924</t>
  </si>
  <si>
    <t>f6ef86ff-f290-4c8c-bc44-bdbb4850b61d</t>
  </si>
  <si>
    <t>2026-05-26 13:43:51</t>
  </si>
  <si>
    <t>27797631619</t>
  </si>
  <si>
    <t>14298292</t>
  </si>
  <si>
    <t>6872350a-bf31-4029-abea-c358c6191712</t>
  </si>
  <si>
    <t>2026-05-26 13:43:42</t>
  </si>
  <si>
    <t>27723865186</t>
  </si>
  <si>
    <t>14298293</t>
  </si>
  <si>
    <t>c3382d1d-f615-4d66-846e-61829ffe307a</t>
  </si>
  <si>
    <t>27634574738</t>
  </si>
  <si>
    <t>14298190</t>
  </si>
  <si>
    <t>67933d8f-9825-4da9-8960-e9dcb8e76878</t>
  </si>
  <si>
    <t>2026-05-26 13:43:25</t>
  </si>
  <si>
    <t>27648748232</t>
  </si>
  <si>
    <t>14299033</t>
  </si>
  <si>
    <t>11b1c9b6-3b97-4d72-8396-c8b9cbbeee57</t>
  </si>
  <si>
    <t>27609542198</t>
  </si>
  <si>
    <t>14298850</t>
  </si>
  <si>
    <t>d1bea6eb-cbf5-426a-b344-cbf9fb984182</t>
  </si>
  <si>
    <t>2026-05-26 13:43:08</t>
  </si>
  <si>
    <t>27820611979</t>
  </si>
  <si>
    <t>14298285</t>
  </si>
  <si>
    <t>4f6c2f4f-9c20-46e4-8c76-a3f24783871f</t>
  </si>
  <si>
    <t>2026-05-26 13:43:02</t>
  </si>
  <si>
    <t>27637241512</t>
  </si>
  <si>
    <t>14298283</t>
  </si>
  <si>
    <t>b6d5821b-01d0-4780-90ab-8089e4e8488e</t>
  </si>
  <si>
    <t>2026-05-26 13:42:57</t>
  </si>
  <si>
    <t>27820693537</t>
  </si>
  <si>
    <t>14298439</t>
  </si>
  <si>
    <t>57eb8e1e-530f-41f1-b41e-24df6618de08</t>
  </si>
  <si>
    <t>27609140703</t>
  </si>
  <si>
    <t>2026-05-26 13:42:56</t>
  </si>
  <si>
    <t>14298440</t>
  </si>
  <si>
    <t>73141a00-2ed9-41b9-bd40-bcf0f268eca3</t>
  </si>
  <si>
    <t>27822824776</t>
  </si>
  <si>
    <t>14298441</t>
  </si>
  <si>
    <t>09f14c89-5a4d-4fd1-91c8-cea20e8fc51a</t>
  </si>
  <si>
    <t>27736949050</t>
  </si>
  <si>
    <t>14298442</t>
  </si>
  <si>
    <t>de4e5756-8d14-4aa0-88cf-5efd7d2466a7</t>
  </si>
  <si>
    <t>27797402212</t>
  </si>
  <si>
    <t>14298438</t>
  </si>
  <si>
    <t>65be0e28-a416-426b-82f5-fb745fc94dbb</t>
  </si>
  <si>
    <t>27842677407</t>
  </si>
  <si>
    <t>2026-05-26 13:42:54</t>
  </si>
  <si>
    <t>14298436</t>
  </si>
  <si>
    <t>002cfd30-a634-4450-bf61-2e845c19a91e</t>
  </si>
  <si>
    <t>2026-05-26 13:42:52</t>
  </si>
  <si>
    <t>27714592269</t>
  </si>
  <si>
    <t>14298437</t>
  </si>
  <si>
    <t>964a5773-4b08-44db-adcf-928d91832a04</t>
  </si>
  <si>
    <t>27665012035</t>
  </si>
  <si>
    <t>14298433</t>
  </si>
  <si>
    <t>9ab4d1fc-8e4d-4169-aacf-776d3e2cf995</t>
  </si>
  <si>
    <t>2026-05-26 13:42:20</t>
  </si>
  <si>
    <t>27606693780</t>
  </si>
  <si>
    <t>14298434</t>
  </si>
  <si>
    <t>88dd69de-386c-4877-a8df-c6ebe691fa6d</t>
  </si>
  <si>
    <t>27796839392</t>
  </si>
  <si>
    <t>14298902</t>
  </si>
  <si>
    <t>bcb0f0df-14eb-4cb4-a774-d49325595d97</t>
  </si>
  <si>
    <t>27767935114</t>
  </si>
  <si>
    <t>14298429</t>
  </si>
  <si>
    <t>4bca3715-8eb0-48d2-b90c-af45aede9e1a</t>
  </si>
  <si>
    <t>27844463337</t>
  </si>
  <si>
    <t>2026-05-26 13:42:18</t>
  </si>
  <si>
    <t>14298430</t>
  </si>
  <si>
    <t>dfbcf729-c603-4976-b12c-bf3dde0b494c</t>
  </si>
  <si>
    <t>27720614007</t>
  </si>
  <si>
    <t>14298906</t>
  </si>
  <si>
    <t>cf6021c8-cc6e-479b-8246-b9fe204d1f3e</t>
  </si>
  <si>
    <t>2026-05-26 13:42:11</t>
  </si>
  <si>
    <t>27796886226</t>
  </si>
  <si>
    <t>14298682</t>
  </si>
  <si>
    <t>211b3807-c7b5-4fef-bb89-59c3966fce9d</t>
  </si>
  <si>
    <t>2026-05-26 13:42:09</t>
  </si>
  <si>
    <t>27721131305</t>
  </si>
  <si>
    <t>14298931</t>
  </si>
  <si>
    <t>3d79b8e2-ebfe-4dca-bce9-4168c5b27232</t>
  </si>
  <si>
    <t>2026-05-26 13:42:05</t>
  </si>
  <si>
    <t>27727591255</t>
  </si>
  <si>
    <t>14298679</t>
  </si>
  <si>
    <t>c9a17712-7925-4d82-ac20-e58d59fdfe58</t>
  </si>
  <si>
    <t>2026-05-26 13:42:04</t>
  </si>
  <si>
    <t>27823161318</t>
  </si>
  <si>
    <t>14298680</t>
  </si>
  <si>
    <t>9768bf52-e284-45d4-b2f2-9ba97a914cb0</t>
  </si>
  <si>
    <t>27765527249</t>
  </si>
  <si>
    <t>14298681</t>
  </si>
  <si>
    <t>899d3cb8-9739-44f0-87a9-33ba93ee63fa</t>
  </si>
  <si>
    <t>27793412252</t>
  </si>
  <si>
    <t>14298257</t>
  </si>
  <si>
    <t>d3fd914d-0995-41af-a79e-1088e6004ad2</t>
  </si>
  <si>
    <t>27792401589</t>
  </si>
  <si>
    <t>2026-05-26 13:41:54</t>
  </si>
  <si>
    <t>14298258</t>
  </si>
  <si>
    <t>95afdfe0-424e-4a83-a472-527b664fda2e</t>
  </si>
  <si>
    <t>27793114553</t>
  </si>
  <si>
    <t>14298678</t>
  </si>
  <si>
    <t>e830edfb-5a15-432e-8b3b-0ea9a9cc5f7d</t>
  </si>
  <si>
    <t>27609091965</t>
  </si>
  <si>
    <t>14299039</t>
  </si>
  <si>
    <t>ecf9c6d4-bffc-4568-b382-c576755c3a59</t>
  </si>
  <si>
    <t>27724846037</t>
  </si>
  <si>
    <t>14298251</t>
  </si>
  <si>
    <t>bec6750c-b9f5-41fa-8043-a35ede50b9a9</t>
  </si>
  <si>
    <t>27795956288</t>
  </si>
  <si>
    <t>2026-05-26 13:40:56</t>
  </si>
  <si>
    <t>14298256</t>
  </si>
  <si>
    <t>a687140a-a7f9-4004-8a9b-ec9fa5fc33dc</t>
  </si>
  <si>
    <t>2026-05-26 13:40:31</t>
  </si>
  <si>
    <t>27769238564</t>
  </si>
  <si>
    <t>14298252</t>
  </si>
  <si>
    <t>36042b56-55c7-42ee-8a14-49108e680187</t>
  </si>
  <si>
    <t>2026-05-26 13:40:29</t>
  </si>
  <si>
    <t>27714681542</t>
  </si>
  <si>
    <t>14298213</t>
  </si>
  <si>
    <t>5b3cdcf5-49d7-4d31-ab3c-05f5f75cbd1b</t>
  </si>
  <si>
    <t>2026-05-26 13:40:28</t>
  </si>
  <si>
    <t>27765930927</t>
  </si>
  <si>
    <t>14299153</t>
  </si>
  <si>
    <t>c37050bd-be32-4f43-af0c-e91c9b3fef1c</t>
  </si>
  <si>
    <t>27792933228</t>
  </si>
  <si>
    <t>14298321</t>
  </si>
  <si>
    <t>ed1abd03-bb57-4065-a759-1b840941e2bd</t>
  </si>
  <si>
    <t>27827811895</t>
  </si>
  <si>
    <t>2026-05-26 13:40:27</t>
  </si>
  <si>
    <t>14298320</t>
  </si>
  <si>
    <t>adc4127a-482e-416d-90d3-000fa4e56378</t>
  </si>
  <si>
    <t>27793688521</t>
  </si>
  <si>
    <t>2026-05-26 13:40:25</t>
  </si>
  <si>
    <t>14298465</t>
  </si>
  <si>
    <t>0028aaf5-6cb0-4597-981a-ecb92f8c553c</t>
  </si>
  <si>
    <t>2026-05-26 13:40:20</t>
  </si>
  <si>
    <t>27720820727</t>
  </si>
  <si>
    <t>14298319</t>
  </si>
  <si>
    <t>3c418ab7-f9b2-4124-9d33-79cf7edce061</t>
  </si>
  <si>
    <t>2026-05-26 13:40:15</t>
  </si>
  <si>
    <t>27762515294</t>
  </si>
  <si>
    <t>14298908</t>
  </si>
  <si>
    <t>abde4c60-a85e-4155-a5b5-0aefc07cd68a</t>
  </si>
  <si>
    <t>27792246958</t>
  </si>
  <si>
    <t>14298241</t>
  </si>
  <si>
    <t>060cd7e4-8816-4655-b1ff-567814e2817a</t>
  </si>
  <si>
    <t>27637319878</t>
  </si>
  <si>
    <t>2026-05-26 13:40:13</t>
  </si>
  <si>
    <t>14298318</t>
  </si>
  <si>
    <t>50773288-b464-4e55-8509-1fe60904c71d</t>
  </si>
  <si>
    <t>27761161827</t>
  </si>
  <si>
    <t>14298238</t>
  </si>
  <si>
    <t>e7f56855-c851-4ccc-a2f7-91e490d04e8d</t>
  </si>
  <si>
    <t>27761152530</t>
  </si>
  <si>
    <t>2026-05-26 13:40:12</t>
  </si>
  <si>
    <t>14298239</t>
  </si>
  <si>
    <t>45121a14-4bfd-4134-b08b-53eb31979278</t>
  </si>
  <si>
    <t>27824807159</t>
  </si>
  <si>
    <t>14298289</t>
  </si>
  <si>
    <t>8d5dcb66-2313-41e2-904e-10ab44c237ce</t>
  </si>
  <si>
    <t>27762547082</t>
  </si>
  <si>
    <t>2026-05-26 13:38:35</t>
  </si>
  <si>
    <t>14298862</t>
  </si>
  <si>
    <t>13883949-d85f-4c3d-9da8-6bac34b3fd69</t>
  </si>
  <si>
    <t>2026-05-26 13:38:32</t>
  </si>
  <si>
    <t>27795837444</t>
  </si>
  <si>
    <t>14298909</t>
  </si>
  <si>
    <t>3ad8cd32-0a74-445e-8e59-1211a813ec54</t>
  </si>
  <si>
    <t>2026-05-26 13:38:30</t>
  </si>
  <si>
    <t>27795463668</t>
  </si>
  <si>
    <t>14298250</t>
  </si>
  <si>
    <t>4848fd8f-200c-402e-82e8-b060b972f2b8</t>
  </si>
  <si>
    <t>2026-05-26 13:38:04</t>
  </si>
  <si>
    <t>27791341110</t>
  </si>
  <si>
    <t>14298248</t>
  </si>
  <si>
    <t>c3f6e6f8-1ab4-48ed-984f-5f3ded13d43b</t>
  </si>
  <si>
    <t>27793113602</t>
  </si>
  <si>
    <t>2026-05-26 13:38:02</t>
  </si>
  <si>
    <t>14298245</t>
  </si>
  <si>
    <t>55fe30d7-799c-4e9c-ac7b-2f50992b92c1</t>
  </si>
  <si>
    <t>2026-05-26 13:37:51</t>
  </si>
  <si>
    <t>27764814598</t>
  </si>
  <si>
    <t>14298247</t>
  </si>
  <si>
    <t>92169408-9c51-4f58-913d-19833c6ec904</t>
  </si>
  <si>
    <t>27822168810</t>
  </si>
  <si>
    <t>14298221</t>
  </si>
  <si>
    <t>d12dd9d4-8896-4e22-93b8-d1a9b7d476f2</t>
  </si>
  <si>
    <t>2026-05-26 13:37:50</t>
  </si>
  <si>
    <t>27716442899</t>
  </si>
  <si>
    <t>14298243</t>
  </si>
  <si>
    <t>fa0b21a8-7c88-4a7f-a7cc-7fa8fd8e0d1f</t>
  </si>
  <si>
    <t>27727795137</t>
  </si>
  <si>
    <t>14298863</t>
  </si>
  <si>
    <t>23ff43d7-085e-49e2-baf1-dc6a78a48a45</t>
  </si>
  <si>
    <t>27795959927</t>
  </si>
  <si>
    <t>2026-05-26 13:36:55</t>
  </si>
  <si>
    <t>14298255</t>
  </si>
  <si>
    <t>46c786de-5940-4643-b342-781d037f1a61</t>
  </si>
  <si>
    <t>27727428746</t>
  </si>
  <si>
    <t>2026-05-26 13:36:42</t>
  </si>
  <si>
    <t>14298644</t>
  </si>
  <si>
    <t>9470a7e3-bab5-42cc-abe4-a2b8bb259bf8</t>
  </si>
  <si>
    <t>2026-05-26 13:36:39</t>
  </si>
  <si>
    <t>27743616578</t>
  </si>
  <si>
    <t>14298643</t>
  </si>
  <si>
    <t>c0e5664b-d03f-4261-b16f-8c79b4aead74</t>
  </si>
  <si>
    <t>2026-05-26 13:36:36</t>
  </si>
  <si>
    <t>27727429998</t>
  </si>
  <si>
    <t>14298639</t>
  </si>
  <si>
    <t>c9e3505a-6f45-4e23-bbdf-68ca319fa176</t>
  </si>
  <si>
    <t>27769458869</t>
  </si>
  <si>
    <t>2026-05-26 13:36:19</t>
  </si>
  <si>
    <t>14298640</t>
  </si>
  <si>
    <t>b272db5d-ac22-4b64-8808-6415bce4eb2c</t>
  </si>
  <si>
    <t>27663407171</t>
  </si>
  <si>
    <t>2026-05-26 13:36:16</t>
  </si>
  <si>
    <t>14298641</t>
  </si>
  <si>
    <t>baa56533-7bad-44d6-a33d-196a30f57abc</t>
  </si>
  <si>
    <t>27711470861</t>
  </si>
  <si>
    <t>14298638</t>
  </si>
  <si>
    <t>ea48c058-6fdb-407d-907f-b35393d7d03e</t>
  </si>
  <si>
    <t>2026-05-26 13:35:31</t>
  </si>
  <si>
    <t>27766912886</t>
  </si>
  <si>
    <t>14298920</t>
  </si>
  <si>
    <t>55b3ae66-f9f9-44c8-a18b-7a0f68837d0e</t>
  </si>
  <si>
    <t>2026-05-26 13:35:26</t>
  </si>
  <si>
    <t>27794182474</t>
  </si>
  <si>
    <t>14298637</t>
  </si>
  <si>
    <t>d3d3574e-fd42-4e02-8385-61e4b2d4c350</t>
  </si>
  <si>
    <t>2026-05-26 13:35:20</t>
  </si>
  <si>
    <t>27722420994</t>
  </si>
  <si>
    <t>14298636</t>
  </si>
  <si>
    <t>568e6701-0283-489d-9bc1-dc304eda3eb7</t>
  </si>
  <si>
    <t>27609547737</t>
  </si>
  <si>
    <t>2026-05-26 13:35:06</t>
  </si>
  <si>
    <t>14299077</t>
  </si>
  <si>
    <t>98ee3cd9-013a-4360-87a9-a16a01332db0</t>
  </si>
  <si>
    <t>2026-05-26 13:34:57</t>
  </si>
  <si>
    <t>27607110475</t>
  </si>
  <si>
    <t>14299087</t>
  </si>
  <si>
    <t>a6b16864-61e4-4ee0-8ee2-2e8860639343</t>
  </si>
  <si>
    <t>2026-05-26 13:34:54</t>
  </si>
  <si>
    <t>27733424157</t>
  </si>
  <si>
    <t>14298635</t>
  </si>
  <si>
    <t>bf62dd74-d49f-4685-b707-4643365dc983</t>
  </si>
  <si>
    <t>2026-05-26 13:34:53</t>
  </si>
  <si>
    <t>27665334917</t>
  </si>
  <si>
    <t>14298634</t>
  </si>
  <si>
    <t>14789e13-de43-4009-965d-77c696c8666d</t>
  </si>
  <si>
    <t>2026-05-26 13:34:39</t>
  </si>
  <si>
    <t>27792861405</t>
  </si>
  <si>
    <t>14298633</t>
  </si>
  <si>
    <t>07d16821-fa8b-4dce-9bfa-da38ba49568b</t>
  </si>
  <si>
    <t>27791442301</t>
  </si>
  <si>
    <t>2026-05-26 13:34:24</t>
  </si>
  <si>
    <t>14298355</t>
  </si>
  <si>
    <t>07301238-25ad-4f91-9ee1-2adbd8fbeae7</t>
  </si>
  <si>
    <t>2026-05-26 13:34:12</t>
  </si>
  <si>
    <t>27647704360</t>
  </si>
  <si>
    <t>14298511</t>
  </si>
  <si>
    <t>af74449f-9b66-4046-bace-20746a6ee7ab</t>
  </si>
  <si>
    <t>2026-05-26 13:34:07</t>
  </si>
  <si>
    <t>27714378307</t>
  </si>
  <si>
    <t>14298510</t>
  </si>
  <si>
    <t>6b8a192a-3cb8-4058-9386-b473b20ad51a</t>
  </si>
  <si>
    <t>2026-05-26 13:33:55</t>
  </si>
  <si>
    <t>27727502767</t>
  </si>
  <si>
    <t>14298509</t>
  </si>
  <si>
    <t>0053f162-7181-45a5-8d6c-8a32f740d6fc</t>
  </si>
  <si>
    <t>27723317149</t>
  </si>
  <si>
    <t>2026-05-26 13:33:27</t>
  </si>
  <si>
    <t>14298507</t>
  </si>
  <si>
    <t>877d3388-725c-4903-8a49-1fa5e53f6670</t>
  </si>
  <si>
    <t>2026-05-26 13:33:25</t>
  </si>
  <si>
    <t>27797199336</t>
  </si>
  <si>
    <t>14298505</t>
  </si>
  <si>
    <t>72a876f0-cb37-47e0-b576-7aa405777aad</t>
  </si>
  <si>
    <t>2026-05-26 13:33:24</t>
  </si>
  <si>
    <t>27797468718</t>
  </si>
  <si>
    <t>14298499</t>
  </si>
  <si>
    <t>85aee19a-e861-42cd-9d57-234f56b033a0</t>
  </si>
  <si>
    <t>27607990439</t>
  </si>
  <si>
    <t>2026-05-26 13:32:40</t>
  </si>
  <si>
    <t>14298501</t>
  </si>
  <si>
    <t>225ed885-8fbd-4641-8713-9a50adbc84e0</t>
  </si>
  <si>
    <t>27763492264</t>
  </si>
  <si>
    <t>14298502</t>
  </si>
  <si>
    <t>af74fa03-de92-4e68-b5f3-effc2947d004</t>
  </si>
  <si>
    <t>27720856415</t>
  </si>
  <si>
    <t>14298503</t>
  </si>
  <si>
    <t>71d5dcff-2dd4-4564-9f26-3fb9cac16ba3</t>
  </si>
  <si>
    <t>27714462531</t>
  </si>
  <si>
    <t>14298653</t>
  </si>
  <si>
    <t>51085dd6-4149-45c4-b80b-1dfe47f39512</t>
  </si>
  <si>
    <t>2026-05-26 13:32:38</t>
  </si>
  <si>
    <t>27764876416</t>
  </si>
  <si>
    <t>14298654</t>
  </si>
  <si>
    <t>d5316fdc-24e7-4d4e-b4d7-38829736c07d</t>
  </si>
  <si>
    <t>27721984703</t>
  </si>
  <si>
    <t>14298928</t>
  </si>
  <si>
    <t>23a268f9-85e2-48f0-95c0-5784dac3494d</t>
  </si>
  <si>
    <t>27796393033</t>
  </si>
  <si>
    <t>2026-05-26 13:32:34</t>
  </si>
  <si>
    <t>14298652</t>
  </si>
  <si>
    <t>2e0a9f0a-b11e-43a9-8395-507f3c2ef580</t>
  </si>
  <si>
    <t>2026-05-26 13:32:29</t>
  </si>
  <si>
    <t>27660846761</t>
  </si>
  <si>
    <t>14299106</t>
  </si>
  <si>
    <t>a4563824-ab87-4356-98fb-7385cb3dbac6</t>
  </si>
  <si>
    <t>27608498605</t>
  </si>
  <si>
    <t>2026-05-26 13:32:16</t>
  </si>
  <si>
    <t>14299099</t>
  </si>
  <si>
    <t>182bdb23-6055-43c9-87de-d9b482b5850f</t>
  </si>
  <si>
    <t>2026-05-26 13:31:56</t>
  </si>
  <si>
    <t>27722485779</t>
  </si>
  <si>
    <t>14298651</t>
  </si>
  <si>
    <t>2e177257-a411-4211-8527-3228d21aa8e9</t>
  </si>
  <si>
    <t>2026-05-26 13:31:55</t>
  </si>
  <si>
    <t>27674499032</t>
  </si>
  <si>
    <t>14298649</t>
  </si>
  <si>
    <t>054b38a2-9ca3-4ea7-92ea-ddc7aa05ec61</t>
  </si>
  <si>
    <t>2026-05-26 13:31:52</t>
  </si>
  <si>
    <t>27839436545</t>
  </si>
  <si>
    <t>14298650</t>
  </si>
  <si>
    <t>505f708b-44a0-45d2-91b5-e861db40a1df</t>
  </si>
  <si>
    <t>27791094069</t>
  </si>
  <si>
    <t>14299114</t>
  </si>
  <si>
    <t>9b06992a-ab4e-4f00-b5d2-fa4388c19f13</t>
  </si>
  <si>
    <t>27827507198</t>
  </si>
  <si>
    <t>14298645</t>
  </si>
  <si>
    <t>2dcc75ec-9ac6-4e92-8e1e-2db1d6c52184</t>
  </si>
  <si>
    <t>27762825964</t>
  </si>
  <si>
    <t>2026-05-26 13:31:46</t>
  </si>
  <si>
    <t>14298647</t>
  </si>
  <si>
    <t>672792bf-5bd5-4bf1-9ff7-bafe8fe37738</t>
  </si>
  <si>
    <t>27773831322</t>
  </si>
  <si>
    <t>14298383</t>
  </si>
  <si>
    <t>59cb32ca-f253-4410-b9a7-44a05587867a</t>
  </si>
  <si>
    <t>2026-05-26 13:31:06</t>
  </si>
  <si>
    <t>27799804141</t>
  </si>
  <si>
    <t>14298382</t>
  </si>
  <si>
    <t>6bf2fdf8-80f2-45fe-a237-6cb3cac0aed7</t>
  </si>
  <si>
    <t>2026-05-26 13:31:05</t>
  </si>
  <si>
    <t>27798138971</t>
  </si>
  <si>
    <t>14298538</t>
  </si>
  <si>
    <t>394f7c87-ef14-4cb8-b381-385c9e3996ad</t>
  </si>
  <si>
    <t>27763847278</t>
  </si>
  <si>
    <t>2026-05-26 13:31:03</t>
  </si>
  <si>
    <t>14298381</t>
  </si>
  <si>
    <t>cd0a1803-8675-491e-8add-89daeb6bc71e</t>
  </si>
  <si>
    <t>2026-05-26 13:31:01</t>
  </si>
  <si>
    <t>27793040968</t>
  </si>
  <si>
    <t>14298876</t>
  </si>
  <si>
    <t>b050dab6-8592-40cf-95e4-ca2feab9efbc</t>
  </si>
  <si>
    <t>27616062606</t>
  </si>
  <si>
    <t>14298380</t>
  </si>
  <si>
    <t>c175b88c-6ca0-4aca-b994-803048b32515</t>
  </si>
  <si>
    <t>2026-05-26 13:31:00</t>
  </si>
  <si>
    <t>27826928147</t>
  </si>
  <si>
    <t>14299038</t>
  </si>
  <si>
    <t>441c41dc-3bf0-404f-a3f8-2d2ed5a713ee</t>
  </si>
  <si>
    <t>27723730759</t>
  </si>
  <si>
    <t>14298378</t>
  </si>
  <si>
    <t>2faaf4e7-27b8-4b8f-92ca-1747382bd58b</t>
  </si>
  <si>
    <t>2026-05-26 13:30:44</t>
  </si>
  <si>
    <t>27665933094</t>
  </si>
  <si>
    <t>14298377</t>
  </si>
  <si>
    <t>8dee4747-d02e-447d-af71-65947c81cda0</t>
  </si>
  <si>
    <t>27790863725</t>
  </si>
  <si>
    <t>2026-05-26 13:30:42</t>
  </si>
  <si>
    <t>14298907</t>
  </si>
  <si>
    <t>97c1ae8a-72c3-4360-b65f-9343e253cac3</t>
  </si>
  <si>
    <t>27791045252</t>
  </si>
  <si>
    <t>14298376</t>
  </si>
  <si>
    <t>81e52a76-ee5a-428b-adc4-dcaac525274d</t>
  </si>
  <si>
    <t>27762598221</t>
  </si>
  <si>
    <t>2026-05-26 13:30:14</t>
  </si>
  <si>
    <t>14298375</t>
  </si>
  <si>
    <t>4748d538-38cc-4a44-a8f4-b999980741d6</t>
  </si>
  <si>
    <t>2026-05-26 13:30:10</t>
  </si>
  <si>
    <t>27765326518</t>
  </si>
  <si>
    <t>14298547</t>
  </si>
  <si>
    <t>fbc270b9-55a7-417d-8b46-e184ca3be6be</t>
  </si>
  <si>
    <t>2026-05-26 13:29:54</t>
  </si>
  <si>
    <t>27714262089</t>
  </si>
  <si>
    <t>14298546</t>
  </si>
  <si>
    <t>031e30fa-7063-4e1e-a61f-b9178187bdd3</t>
  </si>
  <si>
    <t>2026-05-26 13:29:36</t>
  </si>
  <si>
    <t>27795597467</t>
  </si>
  <si>
    <t>14298544</t>
  </si>
  <si>
    <t>07675c88-e2fe-40d2-9e20-3ddfb3cfd45d</t>
  </si>
  <si>
    <t>2026-05-26 13:29:22</t>
  </si>
  <si>
    <t>27674875798</t>
  </si>
  <si>
    <t>14298714</t>
  </si>
  <si>
    <t>09f82f35-7a76-4710-b23a-94d36da7d62e</t>
  </si>
  <si>
    <t>27606518845</t>
  </si>
  <si>
    <t>2026-05-26 13:29:10</t>
  </si>
  <si>
    <t>14298543</t>
  </si>
  <si>
    <t>a6ab0fc8-b826-4dee-bd33-e44baccef2d0</t>
  </si>
  <si>
    <t>27826314791</t>
  </si>
  <si>
    <t>2026-05-26 13:28:44</t>
  </si>
  <si>
    <t>14298541</t>
  </si>
  <si>
    <t>a7747331-757c-44a4-a378-e8fec739e2be</t>
  </si>
  <si>
    <t>2026-05-26 13:28:42</t>
  </si>
  <si>
    <t>27724975483</t>
  </si>
  <si>
    <t>14298542</t>
  </si>
  <si>
    <t>d7da2497-9782-4bca-951b-14c615a15c2f</t>
  </si>
  <si>
    <t>27728599782</t>
  </si>
  <si>
    <t>14298913</t>
  </si>
  <si>
    <t>a1c37179-55a1-4818-ba94-9685e02466a2</t>
  </si>
  <si>
    <t>27714570231</t>
  </si>
  <si>
    <t>14298539</t>
  </si>
  <si>
    <t>e08bcb7d-b967-4284-9e1b-fe4ce667eaf4</t>
  </si>
  <si>
    <t>2026-05-26 13:28:41</t>
  </si>
  <si>
    <t>27827602803</t>
  </si>
  <si>
    <t>14299053</t>
  </si>
  <si>
    <t>d3aff6a2-7de9-41c8-8d67-3d0f92f9818d</t>
  </si>
  <si>
    <t>27722788531</t>
  </si>
  <si>
    <t>14298883</t>
  </si>
  <si>
    <t>1a40965d-4bf4-443e-93f2-757d466a284f</t>
  </si>
  <si>
    <t>2026-05-26 13:28:40</t>
  </si>
  <si>
    <t>27717119883</t>
  </si>
  <si>
    <t>14298720</t>
  </si>
  <si>
    <t>a5e30730-4383-4833-b67b-ea5c03843d83</t>
  </si>
  <si>
    <t>27797762059</t>
  </si>
  <si>
    <t>2026-05-26 13:28:36</t>
  </si>
  <si>
    <t>14298956</t>
  </si>
  <si>
    <t>5978c69b-c76b-4b81-9bb9-5e580da77676</t>
  </si>
  <si>
    <t>2026-05-26 13:28:17</t>
  </si>
  <si>
    <t>27769215892</t>
  </si>
  <si>
    <t>14298991</t>
  </si>
  <si>
    <t>71fff855-d820-4fd5-88b9-e12edc29d5b9</t>
  </si>
  <si>
    <t>2026-05-26 13:27:58</t>
  </si>
  <si>
    <t>27729281836</t>
  </si>
  <si>
    <t>14298721</t>
  </si>
  <si>
    <t>db749934-a6e2-40ff-bca0-a532f02c20f9</t>
  </si>
  <si>
    <t>2026-05-26 13:27:52</t>
  </si>
  <si>
    <t>27767275343</t>
  </si>
  <si>
    <t>14298717</t>
  </si>
  <si>
    <t>ccf9b8c7-817d-459f-a83d-81cd5e59ebb3</t>
  </si>
  <si>
    <t>2026-05-26 13:27:29</t>
  </si>
  <si>
    <t>27675541375</t>
  </si>
  <si>
    <t>14298715</t>
  </si>
  <si>
    <t>31135dfd-528d-45a5-b9f3-dab1f55c8c35</t>
  </si>
  <si>
    <t>2026-05-26 13:27:01</t>
  </si>
  <si>
    <t>27799255272</t>
  </si>
  <si>
    <t>14298711</t>
  </si>
  <si>
    <t>796460ae-113f-4044-bcf9-24545670c4cd</t>
  </si>
  <si>
    <t>2026-05-26 13:26:58</t>
  </si>
  <si>
    <t>27727045611</t>
  </si>
  <si>
    <t>14298712</t>
  </si>
  <si>
    <t>101033e3-f2b9-46b3-9c55-6d535948b7b9</t>
  </si>
  <si>
    <t>27720690884</t>
  </si>
  <si>
    <t>14298713</t>
  </si>
  <si>
    <t>d4e407c5-dc04-4825-bac5-cccc12c6fedf</t>
  </si>
  <si>
    <t>27835976895</t>
  </si>
  <si>
    <t>14298353</t>
  </si>
  <si>
    <t>d8df2147-656e-46ba-acdd-b45d82fd69e5</t>
  </si>
  <si>
    <t>2026-05-26 13:26:12</t>
  </si>
  <si>
    <t>27766658141</t>
  </si>
  <si>
    <t>14298352</t>
  </si>
  <si>
    <t>ecc2ae8c-142a-4c50-8a79-1a6dc6e6ace0</t>
  </si>
  <si>
    <t>2026-05-26 13:26:11</t>
  </si>
  <si>
    <t>27713857778</t>
  </si>
  <si>
    <t>14298351</t>
  </si>
  <si>
    <t>7886e3d9-f9ea-43dd-9af4-9bc4bdf0081b</t>
  </si>
  <si>
    <t>2026-05-26 13:26:08</t>
  </si>
  <si>
    <t>27713331826</t>
  </si>
  <si>
    <t>14298346</t>
  </si>
  <si>
    <t>2f1a6a98-12d7-4ee3-a734-1ab657dddac0</t>
  </si>
  <si>
    <t>2026-05-26 13:26:06</t>
  </si>
  <si>
    <t>27796377255</t>
  </si>
  <si>
    <t>14298347</t>
  </si>
  <si>
    <t>2081af5b-18a6-46e4-a51c-6f5ed4bf6b63</t>
  </si>
  <si>
    <t>27728660731</t>
  </si>
  <si>
    <t>14298349</t>
  </si>
  <si>
    <t>ea62f36d-e919-4a35-833d-adcab291c87d</t>
  </si>
  <si>
    <t>27794146295</t>
  </si>
  <si>
    <t>14300409</t>
  </si>
  <si>
    <t>e17d9bcb-3a63-459d-af72-e60ea1338301</t>
  </si>
  <si>
    <t>2026-05-26 13:25:30</t>
  </si>
  <si>
    <t>27824467648</t>
  </si>
  <si>
    <t>14298957</t>
  </si>
  <si>
    <t>1f7d1088-bacf-4064-beac-f47ad99473a7</t>
  </si>
  <si>
    <t>27670168154</t>
  </si>
  <si>
    <t>2026-05-26 13:25:29</t>
  </si>
  <si>
    <t>14298339</t>
  </si>
  <si>
    <t>1cc8ef8f-7306-443a-99b9-7cbc53cb85d6</t>
  </si>
  <si>
    <t>2026-05-26 13:25:28</t>
  </si>
  <si>
    <t>27711095404</t>
  </si>
  <si>
    <t>14298343</t>
  </si>
  <si>
    <t>5d428925-1553-4274-9277-8d7ba1184f07</t>
  </si>
  <si>
    <t>27823411225</t>
  </si>
  <si>
    <t>14299034</t>
  </si>
  <si>
    <t>0bb2658f-8096-4d03-894a-ba060f3c27b6</t>
  </si>
  <si>
    <t>27773659605</t>
  </si>
  <si>
    <t>14299306</t>
  </si>
  <si>
    <t>fe9a5cd5-06d7-48c8-a2d1-c0a9146112bd</t>
  </si>
  <si>
    <t>27765616095</t>
  </si>
  <si>
    <t>14298342</t>
  </si>
  <si>
    <t>20be8559-bb38-4fa0-93da-4a63c76e78cf</t>
  </si>
  <si>
    <t>2026-05-26 13:25:26</t>
  </si>
  <si>
    <t>27820425461</t>
  </si>
  <si>
    <t>14298585</t>
  </si>
  <si>
    <t>41fbd058-bb87-4296-ac74-291983dfd5e0</t>
  </si>
  <si>
    <t>2026-05-26 13:25:25</t>
  </si>
  <si>
    <t>27794014794</t>
  </si>
  <si>
    <t>14298586</t>
  </si>
  <si>
    <t>e334ff8b-71d3-4e55-afe8-c36f80dd0dfa</t>
  </si>
  <si>
    <t>27829722106</t>
  </si>
  <si>
    <t>14298584</t>
  </si>
  <si>
    <t>a0683952-25e3-4967-b44e-6d17baf0ad2f</t>
  </si>
  <si>
    <t>2026-05-26 13:25:16</t>
  </si>
  <si>
    <t>27608209387</t>
  </si>
  <si>
    <t>14299319</t>
  </si>
  <si>
    <t>09ffd003-e549-447f-af4c-dfd9f6b31b29</t>
  </si>
  <si>
    <t>27824143884</t>
  </si>
  <si>
    <t>14298350</t>
  </si>
  <si>
    <t>321bed5a-da53-4dad-945e-390e3a0d133f</t>
  </si>
  <si>
    <t>2026-05-26 13:25:09</t>
  </si>
  <si>
    <t>27766285568</t>
  </si>
  <si>
    <t>14298392</t>
  </si>
  <si>
    <t>5059ff3d-4d3a-4982-bd56-aba8fe127f69</t>
  </si>
  <si>
    <t>2026-05-26 13:24:55</t>
  </si>
  <si>
    <t>27729963594</t>
  </si>
  <si>
    <t>14298393</t>
  </si>
  <si>
    <t>1caa06ed-a18f-4173-921c-79993512df92</t>
  </si>
  <si>
    <t>27722418334</t>
  </si>
  <si>
    <t>14298391</t>
  </si>
  <si>
    <t>56613ce4-9e6d-4b87-9820-8cd6bc84b884</t>
  </si>
  <si>
    <t>2026-05-26 13:24:48</t>
  </si>
  <si>
    <t>27827264618</t>
  </si>
  <si>
    <t>14298388</t>
  </si>
  <si>
    <t>d843d4f0-33ee-4d02-a1f4-1515a82ea442</t>
  </si>
  <si>
    <t>27769865391</t>
  </si>
  <si>
    <t>2026-05-26 13:24:45</t>
  </si>
  <si>
    <t>14298982</t>
  </si>
  <si>
    <t>bd61eea8-ed90-49af-aeb0-cf182926b1d9</t>
  </si>
  <si>
    <t>2026-05-26 13:24:36</t>
  </si>
  <si>
    <t>27608589101</t>
  </si>
  <si>
    <t>14298898</t>
  </si>
  <si>
    <t>265923df-cd4c-40ee-80eb-20a7d9db9047</t>
  </si>
  <si>
    <t>27609882838</t>
  </si>
  <si>
    <t>2026-05-26 13:24:33</t>
  </si>
  <si>
    <t>14299115</t>
  </si>
  <si>
    <t>0a973455-f22b-428a-a051-b785583fb22f</t>
  </si>
  <si>
    <t>27637431576</t>
  </si>
  <si>
    <t>14298969</t>
  </si>
  <si>
    <t>259b2fac-e272-4eeb-b7fd-12e71002e580</t>
  </si>
  <si>
    <t>2026-05-26 13:24:32</t>
  </si>
  <si>
    <t>27760456629</t>
  </si>
  <si>
    <t>14299031</t>
  </si>
  <si>
    <t>4d39a144-d117-45b8-b747-8e1cadcc619a</t>
  </si>
  <si>
    <t>27797979763</t>
  </si>
  <si>
    <t>14298937</t>
  </si>
  <si>
    <t>a57b66b8-cce5-43e5-82bb-18638a1b4bab</t>
  </si>
  <si>
    <t>2026-05-26 13:23:26</t>
  </si>
  <si>
    <t>27721253254</t>
  </si>
  <si>
    <t>14299085</t>
  </si>
  <si>
    <t>e7a2db55-e998-4874-9eab-439c41be39f0</t>
  </si>
  <si>
    <t>27663958503</t>
  </si>
  <si>
    <t>14298921</t>
  </si>
  <si>
    <t>fe65a64d-fd79-450d-aa77-e4dcdc6d210f</t>
  </si>
  <si>
    <t>2026-05-26 13:23:14</t>
  </si>
  <si>
    <t>27795208676</t>
  </si>
  <si>
    <t>14298985</t>
  </si>
  <si>
    <t>5fb4b396-60f9-4035-9274-e510d74c7794</t>
  </si>
  <si>
    <t>27636296321</t>
  </si>
  <si>
    <t>14298988</t>
  </si>
  <si>
    <t>cbba31f9-a049-41cc-81ad-03ab46836c0e</t>
  </si>
  <si>
    <t>27791080083</t>
  </si>
  <si>
    <t>14300189</t>
  </si>
  <si>
    <t>18ab957e-7ba7-49e6-afba-7813e38ba04f</t>
  </si>
  <si>
    <t>27728379410</t>
  </si>
  <si>
    <t>2026-05-26 13:23:04</t>
  </si>
  <si>
    <t>14299212</t>
  </si>
  <si>
    <t>50645a50-b0a5-4426-afa1-901e78337036</t>
  </si>
  <si>
    <t>2026-05-26 13:22:50</t>
  </si>
  <si>
    <t>27723337525</t>
  </si>
  <si>
    <t>14298947</t>
  </si>
  <si>
    <t>a239ba5e-7927-47ca-91da-a139f7847c94</t>
  </si>
  <si>
    <t>2026-05-26 13:22:43</t>
  </si>
  <si>
    <t>27715205374</t>
  </si>
  <si>
    <t>14298929</t>
  </si>
  <si>
    <t>25b01c65-2644-4e48-b264-b2fc7d9ee1e9</t>
  </si>
  <si>
    <t>2026-05-26 13:22:38</t>
  </si>
  <si>
    <t>27818216892</t>
  </si>
  <si>
    <t>14298990</t>
  </si>
  <si>
    <t>9638693e-1111-42ea-a693-0d6e43e965e4</t>
  </si>
  <si>
    <t>27607870498</t>
  </si>
  <si>
    <t>14298994</t>
  </si>
  <si>
    <t>15868efc-fb7e-42bb-ba38-96030643c573</t>
  </si>
  <si>
    <t>2026-05-26 13:22:37</t>
  </si>
  <si>
    <t>27833043365</t>
  </si>
  <si>
    <t>14299278</t>
  </si>
  <si>
    <t>9bbadb17-8d0e-4a31-a8b9-ffe974547538</t>
  </si>
  <si>
    <t>27792905638</t>
  </si>
  <si>
    <t>14298934</t>
  </si>
  <si>
    <t>ecac8880-0b8a-497e-b632-efa238cf15ce</t>
  </si>
  <si>
    <t>2026-05-26 13:20:54</t>
  </si>
  <si>
    <t>27764801693</t>
  </si>
  <si>
    <t>14299002</t>
  </si>
  <si>
    <t>4a77611a-da58-4053-aa81-0456db13b74b</t>
  </si>
  <si>
    <t>27712589752</t>
  </si>
  <si>
    <t>14299011</t>
  </si>
  <si>
    <t>1c3908e1-106d-49f9-bb6d-1f4ff35e926d</t>
  </si>
  <si>
    <t>27665630551</t>
  </si>
  <si>
    <t>14299305</t>
  </si>
  <si>
    <t>ae3677ef-4204-410c-864a-83ca46c802e3</t>
  </si>
  <si>
    <t>27767780258</t>
  </si>
  <si>
    <t>14299097</t>
  </si>
  <si>
    <t>23f88581-7dbc-4f66-86cf-46ab6351f17c</t>
  </si>
  <si>
    <t>27798191335</t>
  </si>
  <si>
    <t>2026-05-26 13:19:23</t>
  </si>
  <si>
    <t>14300552</t>
  </si>
  <si>
    <t>c17b575b-4e88-4248-83de-8db2c251c025</t>
  </si>
  <si>
    <t>27768837266</t>
  </si>
  <si>
    <t>2026-05-26 13:14:10</t>
  </si>
  <si>
    <t>14300429</t>
  </si>
  <si>
    <t>f09ea9c1-7e71-450a-b165-96254b9306a7</t>
  </si>
  <si>
    <t>27766543085</t>
  </si>
  <si>
    <t>2026-05-26 13:13:31</t>
  </si>
  <si>
    <t>14299010</t>
  </si>
  <si>
    <t>167f680f-5876-4c95-874e-20bbd7b90f28</t>
  </si>
  <si>
    <t>2026-05-26 13:07:05</t>
  </si>
  <si>
    <t>27769488187</t>
  </si>
  <si>
    <t>14299184</t>
  </si>
  <si>
    <t>de19e594-dbfe-4ce3-ac63-cb3f2f9529f0</t>
  </si>
  <si>
    <t>27760674250</t>
  </si>
  <si>
    <t>14298941</t>
  </si>
  <si>
    <t>afe96d21-9d93-43da-ad20-767bc51dc235</t>
  </si>
  <si>
    <t>2026-05-26 13:06:52</t>
  </si>
  <si>
    <t>27725050964</t>
  </si>
  <si>
    <t>14298953</t>
  </si>
  <si>
    <t>01b83b94-d365-4362-87f7-f0a18c734e2a</t>
  </si>
  <si>
    <t>27764674530</t>
  </si>
  <si>
    <t>14299200</t>
  </si>
  <si>
    <t>9cdf3db8-57f5-4fab-aef7-e9ee582ef556</t>
  </si>
  <si>
    <t>27798821320</t>
  </si>
  <si>
    <t>2026-05-26 13:06:39</t>
  </si>
  <si>
    <t>14298961</t>
  </si>
  <si>
    <t>2838f893-d462-4b10-96bd-30e04ad93034</t>
  </si>
  <si>
    <t>2026-05-26 13:06:21</t>
  </si>
  <si>
    <t>27818525708</t>
  </si>
  <si>
    <t>14298964</t>
  </si>
  <si>
    <t>2e09ed81-365c-4f9e-8a2b-faacce9f2172</t>
  </si>
  <si>
    <t>27649209037</t>
  </si>
  <si>
    <t>14299079</t>
  </si>
  <si>
    <t>1e6f25a0-277e-4426-825f-a89cb2fc5dc8</t>
  </si>
  <si>
    <t>27799569681</t>
  </si>
  <si>
    <t>14299050</t>
  </si>
  <si>
    <t>c7275828-147d-458b-97fe-5ae481d8c0e9</t>
  </si>
  <si>
    <t>2026-05-26 13:06:15</t>
  </si>
  <si>
    <t>27792412581</t>
  </si>
  <si>
    <t>14298981</t>
  </si>
  <si>
    <t>17f07d2b-7d69-40b2-a84c-4ad731903ba8</t>
  </si>
  <si>
    <t>2026-05-26 13:06:08</t>
  </si>
  <si>
    <t>27661566036</t>
  </si>
  <si>
    <t>14299016</t>
  </si>
  <si>
    <t>273d848e-7dc6-43c2-92fb-c7db29037f47</t>
  </si>
  <si>
    <t>27799196912</t>
  </si>
  <si>
    <t>2026-05-26 13:06:03</t>
  </si>
  <si>
    <t>14299188</t>
  </si>
  <si>
    <t>8901d55d-d176-4784-a9f7-6bdada011806</t>
  </si>
  <si>
    <t>27766177726</t>
  </si>
  <si>
    <t>2026-05-26 13:05:53</t>
  </si>
  <si>
    <t>14298954</t>
  </si>
  <si>
    <t>00684d0d-e57c-4a19-bb2f-e78121492609</t>
  </si>
  <si>
    <t>2026-05-26 13:05:51</t>
  </si>
  <si>
    <t>27790266295</t>
  </si>
  <si>
    <t>14299021</t>
  </si>
  <si>
    <t>ca5d5641-83b5-455f-b646-8521d416e7b5</t>
  </si>
  <si>
    <t>2026-05-26 13:05:36</t>
  </si>
  <si>
    <t>27608275261</t>
  </si>
  <si>
    <t>14298960</t>
  </si>
  <si>
    <t>97d5d5a2-b9f4-4732-83ab-ccafa1a3897d</t>
  </si>
  <si>
    <t>27728471363</t>
  </si>
  <si>
    <t>2026-05-26 13:05:35</t>
  </si>
  <si>
    <t>14298970</t>
  </si>
  <si>
    <t>4c358970-753a-4265-bcff-b1b7769845f8</t>
  </si>
  <si>
    <t>27716427506</t>
  </si>
  <si>
    <t>14299328</t>
  </si>
  <si>
    <t>70df21fa-91d7-4960-95ef-04152f4bd545</t>
  </si>
  <si>
    <t>2026-05-26 13:00:29</t>
  </si>
  <si>
    <t>27609382561</t>
  </si>
  <si>
    <t>14298983</t>
  </si>
  <si>
    <t>82632607-390f-4f0e-bbcb-5ef5f2c05622</t>
  </si>
  <si>
    <t>2026-05-26 13:00:28</t>
  </si>
  <si>
    <t>27663400270</t>
  </si>
  <si>
    <t>14299103</t>
  </si>
  <si>
    <t>9d335b24-66c0-4115-b8a8-5ef95091dd5e</t>
  </si>
  <si>
    <t>2026-05-26 13:00:23</t>
  </si>
  <si>
    <t>27825429715</t>
  </si>
  <si>
    <t>14298980</t>
  </si>
  <si>
    <t>65754d9c-b3e1-4bfa-8f68-2647d5e719ab</t>
  </si>
  <si>
    <t>27769276881</t>
  </si>
  <si>
    <t>2026-05-26 13:00:22</t>
  </si>
  <si>
    <t>14299000</t>
  </si>
  <si>
    <t>0beb64f7-d42f-4d19-ac98-acf12ab11f3f</t>
  </si>
  <si>
    <t>2026-05-26 13:00:21</t>
  </si>
  <si>
    <t>27765694134</t>
  </si>
  <si>
    <t>14299065</t>
  </si>
  <si>
    <t>082bddd4-b55a-4210-b00a-77c7a3b84f14</t>
  </si>
  <si>
    <t>27772922554</t>
  </si>
  <si>
    <t>14298984</t>
  </si>
  <si>
    <t>30c95e3e-c449-4ceb-8eaf-4d9f0aea5dcb</t>
  </si>
  <si>
    <t>27820948679</t>
  </si>
  <si>
    <t>2026-05-26 13:00:05</t>
  </si>
  <si>
    <t>14299029</t>
  </si>
  <si>
    <t>cdde1fb2-7ffb-4981-b144-83b2b982f872</t>
  </si>
  <si>
    <t>2026-05-26 12:59:49</t>
  </si>
  <si>
    <t>27609970995</t>
  </si>
  <si>
    <t>14299233</t>
  </si>
  <si>
    <t>09db26a9-a8e0-44be-a00e-f485121e2fd5</t>
  </si>
  <si>
    <t>27722189558</t>
  </si>
  <si>
    <t>14298972</t>
  </si>
  <si>
    <t>c3d13502-1a78-4d3e-8ca5-e8b414133dc9</t>
  </si>
  <si>
    <t>2026-05-26 12:59:48</t>
  </si>
  <si>
    <t>27647805610</t>
  </si>
  <si>
    <t>14299026</t>
  </si>
  <si>
    <t>643b2be8-3e50-416f-a257-6b8c3eaadd01</t>
  </si>
  <si>
    <t>2026-05-26 12:57:15</t>
  </si>
  <si>
    <t>27608789765</t>
  </si>
  <si>
    <t>14299003</t>
  </si>
  <si>
    <t>7f0a5571-9a20-4671-be1f-bf44d800a41c</t>
  </si>
  <si>
    <t>2026-05-26 12:57:14</t>
  </si>
  <si>
    <t>27647635858</t>
  </si>
  <si>
    <t>14299228</t>
  </si>
  <si>
    <t>90a9e0a4-88ba-4a80-902c-031fb6ad52b4</t>
  </si>
  <si>
    <t>27711872643</t>
  </si>
  <si>
    <t>14299378</t>
  </si>
  <si>
    <t>9a9e7d15-f53e-4254-ad51-9291898cea95</t>
  </si>
  <si>
    <t>27723855220</t>
  </si>
  <si>
    <t>14298996</t>
  </si>
  <si>
    <t>1866fb9f-21d7-412c-8621-47e7f19b22cb</t>
  </si>
  <si>
    <t>2026-05-26 12:55:40</t>
  </si>
  <si>
    <t>27820579422</t>
  </si>
  <si>
    <t>14299019</t>
  </si>
  <si>
    <t>78e57f30-159d-4baf-9905-465fd236c5ea</t>
  </si>
  <si>
    <t>27793204278</t>
  </si>
  <si>
    <t>14299080</t>
  </si>
  <si>
    <t>7a39bde2-009a-41c9-9658-6e8fce90dd15</t>
  </si>
  <si>
    <t>27673898018</t>
  </si>
  <si>
    <t>14299123</t>
  </si>
  <si>
    <t>b4654228-c072-420d-89f8-5b1fe7e077b6</t>
  </si>
  <si>
    <t>27760366822</t>
  </si>
  <si>
    <t>14300976</t>
  </si>
  <si>
    <t>227faad0-4ebb-49d6-81c2-bbfa5c522fab</t>
  </si>
  <si>
    <t>27793398357</t>
  </si>
  <si>
    <t>2026-05-26 12:55:16</t>
  </si>
  <si>
    <t>14299004</t>
  </si>
  <si>
    <t>ebc97746-95bb-4248-86c3-2f54d10786fd</t>
  </si>
  <si>
    <t>27673144438</t>
  </si>
  <si>
    <t>2026-05-26 12:54:06</t>
  </si>
  <si>
    <t>14298989</t>
  </si>
  <si>
    <t>d3296f02-ae87-4727-8351-f8ac7c1d1e21</t>
  </si>
  <si>
    <t>27796046221</t>
  </si>
  <si>
    <t>14299035</t>
  </si>
  <si>
    <t>01857e9a-785a-4888-a8f1-28af0240b457</t>
  </si>
  <si>
    <t>27712123183</t>
  </si>
  <si>
    <t>14299284</t>
  </si>
  <si>
    <t>8f939a01-5c12-475c-87b1-723f1d709d1f</t>
  </si>
  <si>
    <t>27713170362</t>
  </si>
  <si>
    <t>14299296</t>
  </si>
  <si>
    <t>6213473f-51d7-4928-9cf3-f7c2a9ec9f35</t>
  </si>
  <si>
    <t>27606050113</t>
  </si>
  <si>
    <t>2026-05-26 12:52:13</t>
  </si>
  <si>
    <t>14299779</t>
  </si>
  <si>
    <t>501184b7-49cd-4e4c-a95c-514de7b2ae0f</t>
  </si>
  <si>
    <t>27766594696</t>
  </si>
  <si>
    <t>2026-05-26 12:52:12</t>
  </si>
  <si>
    <t>14298992</t>
  </si>
  <si>
    <t>564d06b0-6256-4135-861c-8f61f9ece959</t>
  </si>
  <si>
    <t>2026-05-26 12:52:08</t>
  </si>
  <si>
    <t>27796863046</t>
  </si>
  <si>
    <t>14299008</t>
  </si>
  <si>
    <t>734ec948-20a7-4e3e-af46-d7b5926fc015</t>
  </si>
  <si>
    <t>27828678684</t>
  </si>
  <si>
    <t>14299017</t>
  </si>
  <si>
    <t>6df54e39-4707-421f-948e-4d2750541775</t>
  </si>
  <si>
    <t>2026-05-26 12:51:10</t>
  </si>
  <si>
    <t>27637188750</t>
  </si>
  <si>
    <t>14299131</t>
  </si>
  <si>
    <t>e1d835a1-b936-4cac-bfdf-4188aed3766b</t>
  </si>
  <si>
    <t>27729161647</t>
  </si>
  <si>
    <t>14299014</t>
  </si>
  <si>
    <t>e5550579-a5b9-498c-b686-d40272ae208f</t>
  </si>
  <si>
    <t>2026-05-26 12:50:52</t>
  </si>
  <si>
    <t>27728379198</t>
  </si>
  <si>
    <t>14299025</t>
  </si>
  <si>
    <t>b6a968eb-1cc7-4351-9bc9-d64a0d79a429</t>
  </si>
  <si>
    <t>2026-05-26 12:50:50</t>
  </si>
  <si>
    <t>27818892864</t>
  </si>
  <si>
    <t>14299100</t>
  </si>
  <si>
    <t>62db6a28-e550-4c2d-a23a-a929514c2593</t>
  </si>
  <si>
    <t>27649863278</t>
  </si>
  <si>
    <t>14299048</t>
  </si>
  <si>
    <t>15b89d4d-797e-44a0-84e9-48e69f913157</t>
  </si>
  <si>
    <t>27818500065</t>
  </si>
  <si>
    <t>2026-05-26 12:50:24</t>
  </si>
  <si>
    <t>14299018</t>
  </si>
  <si>
    <t>68d4b4c3-fceb-4ff5-a288-036bc94eb913</t>
  </si>
  <si>
    <t>27798252821</t>
  </si>
  <si>
    <t>14299300</t>
  </si>
  <si>
    <t>12e960bd-2391-4f04-8c9d-095a45ec7c42</t>
  </si>
  <si>
    <t>27766021543</t>
  </si>
  <si>
    <t>14299009</t>
  </si>
  <si>
    <t>e6eb0974-1108-4f1b-8170-7f03a7c685bf</t>
  </si>
  <si>
    <t>2026-05-26 12:50:23</t>
  </si>
  <si>
    <t>27769495552</t>
  </si>
  <si>
    <t>14299562</t>
  </si>
  <si>
    <t>9f7089e4-95b1-44d9-9c25-677da0e42838</t>
  </si>
  <si>
    <t>27606507375</t>
  </si>
  <si>
    <t>2026-05-26 12:50:10</t>
  </si>
  <si>
    <t>14299091</t>
  </si>
  <si>
    <t>f054d2dc-bb2f-47f3-bcd7-cdb505596af6</t>
  </si>
  <si>
    <t>27769286618</t>
  </si>
  <si>
    <t>2026-05-26 12:49:32</t>
  </si>
  <si>
    <t>14299149</t>
  </si>
  <si>
    <t>298e7c33-f93b-4cea-a5e9-5d15e286a78b</t>
  </si>
  <si>
    <t>2026-05-26 12:48:57</t>
  </si>
  <si>
    <t>27765625281</t>
  </si>
  <si>
    <t>14299151</t>
  </si>
  <si>
    <t>4c1400d6-cfbe-4e8b-b644-612bebce97f1</t>
  </si>
  <si>
    <t>2026-05-26 12:48:53</t>
  </si>
  <si>
    <t>27608536037</t>
  </si>
  <si>
    <t>14299158</t>
  </si>
  <si>
    <t>3887d5c0-80c1-40ec-aaff-7de964fb688f</t>
  </si>
  <si>
    <t>27826867825</t>
  </si>
  <si>
    <t>14299277</t>
  </si>
  <si>
    <t>2170fe3a-c8bf-43b8-abbe-bdef0bffcbe7</t>
  </si>
  <si>
    <t>2026-05-26 12:48:49</t>
  </si>
  <si>
    <t>27795204313</t>
  </si>
  <si>
    <t>14299213</t>
  </si>
  <si>
    <t>cba01615-5e2a-4dac-8cf7-b50c14834796</t>
  </si>
  <si>
    <t>2026-05-26 12:48:48</t>
  </si>
  <si>
    <t>27661763997</t>
  </si>
  <si>
    <t>14299225</t>
  </si>
  <si>
    <t>48d7b775-959a-4bed-9d8d-45d63cfd74be</t>
  </si>
  <si>
    <t>2026-05-26 12:48:45</t>
  </si>
  <si>
    <t>27711182501</t>
  </si>
  <si>
    <t>14299083</t>
  </si>
  <si>
    <t>cfa9265e-4c93-4e49-a6b5-a5cb0034f070</t>
  </si>
  <si>
    <t>2026-05-26 12:48:44</t>
  </si>
  <si>
    <t>27637493961</t>
  </si>
  <si>
    <t>14299346</t>
  </si>
  <si>
    <t>c67ec1ff-06e8-4e12-8b98-7e6db9a8e4ab</t>
  </si>
  <si>
    <t>27794079152</t>
  </si>
  <si>
    <t>14299051</t>
  </si>
  <si>
    <t>ba1545e0-d78e-41a9-8081-b0380364ce6b</t>
  </si>
  <si>
    <t>2026-05-26 12:48:39</t>
  </si>
  <si>
    <t>27765834684</t>
  </si>
  <si>
    <t>14299070</t>
  </si>
  <si>
    <t>c883da8c-2a8c-432b-b59b-b52cfc8fee59</t>
  </si>
  <si>
    <t>2026-05-26 12:48:37</t>
  </si>
  <si>
    <t>27723006163</t>
  </si>
  <si>
    <t>14299042</t>
  </si>
  <si>
    <t>51adc457-bfcc-407f-99a2-b2a211b352bf</t>
  </si>
  <si>
    <t>2026-05-26 12:48:36</t>
  </si>
  <si>
    <t>27795920104</t>
  </si>
  <si>
    <t>14299199</t>
  </si>
  <si>
    <t>b54f49be-659f-4411-8da1-cfffa17892af</t>
  </si>
  <si>
    <t>2026-05-26 12:48:22</t>
  </si>
  <si>
    <t>27828758220</t>
  </si>
  <si>
    <t>14299075</t>
  </si>
  <si>
    <t>d052e66c-265d-4f6b-82e8-cf8dc5b35c01</t>
  </si>
  <si>
    <t>2026-05-26 12:48:19</t>
  </si>
  <si>
    <t>27713456085</t>
  </si>
  <si>
    <t>14299304</t>
  </si>
  <si>
    <t>38c11b7d-a732-4df1-928b-54b996d76651</t>
  </si>
  <si>
    <t>2026-05-26 12:48:03</t>
  </si>
  <si>
    <t>27793194188</t>
  </si>
  <si>
    <t>14299403</t>
  </si>
  <si>
    <t>11cac780-3300-4bc4-89c3-8c8980a473a6</t>
  </si>
  <si>
    <t>27799381081</t>
  </si>
  <si>
    <t>14299043</t>
  </si>
  <si>
    <t>f40faf1a-a55c-4aaa-ade2-8173b5c4d930</t>
  </si>
  <si>
    <t>2026-05-26 12:48:00</t>
  </si>
  <si>
    <t>27727331571</t>
  </si>
  <si>
    <t>14299040</t>
  </si>
  <si>
    <t>02adf5a7-9bb8-4dfb-95f1-2de911993d95</t>
  </si>
  <si>
    <t>2026-05-26 12:47:48</t>
  </si>
  <si>
    <t>27794719824</t>
  </si>
  <si>
    <t>14299176</t>
  </si>
  <si>
    <t>5deaa483-1b29-4198-ae45-f7b6f9f2906f</t>
  </si>
  <si>
    <t>27823388268</t>
  </si>
  <si>
    <t>14299036</t>
  </si>
  <si>
    <t>f7b08619-3b01-4649-8596-71af33c8c40a</t>
  </si>
  <si>
    <t>2026-05-26 12:47:47</t>
  </si>
  <si>
    <t>27823013744</t>
  </si>
  <si>
    <t>14299059</t>
  </si>
  <si>
    <t>050c36d1-fc11-4ffe-81fd-071ce74b8dd2</t>
  </si>
  <si>
    <t>27713712680</t>
  </si>
  <si>
    <t>14299144</t>
  </si>
  <si>
    <t>f411d756-86cd-45d7-b08a-f460b5a716a3</t>
  </si>
  <si>
    <t>27716703844</t>
  </si>
  <si>
    <t>14299094</t>
  </si>
  <si>
    <t>dd458238-a05a-410b-908a-0dd724149649</t>
  </si>
  <si>
    <t>27827648295</t>
  </si>
  <si>
    <t>14299314</t>
  </si>
  <si>
    <t>b86469dd-d0f9-44f6-b269-797d3b11d512</t>
  </si>
  <si>
    <t>27820724493</t>
  </si>
  <si>
    <t>14299326</t>
  </si>
  <si>
    <t>af550584-72b1-4d55-b37d-c2b6dd77137a</t>
  </si>
  <si>
    <t>27648543330</t>
  </si>
  <si>
    <t>14299045</t>
  </si>
  <si>
    <t>7833ea99-ab0c-4889-99b2-cd88ad06112a</t>
  </si>
  <si>
    <t>27796264922</t>
  </si>
  <si>
    <t>2026-05-26 12:47:34</t>
  </si>
  <si>
    <t>14299104</t>
  </si>
  <si>
    <t>2ecc9b19-68f2-4ff2-9b01-dbcb23f28fee</t>
  </si>
  <si>
    <t>2026-05-26 12:46:33</t>
  </si>
  <si>
    <t>27749232174</t>
  </si>
  <si>
    <t>14299078</t>
  </si>
  <si>
    <t>f899d7fc-4064-4f51-b2ec-e144d2c96186</t>
  </si>
  <si>
    <t>2026-05-26 12:46:31</t>
  </si>
  <si>
    <t>27607539014</t>
  </si>
  <si>
    <t>14299071</t>
  </si>
  <si>
    <t>4262b345-1624-46a4-9fef-6a0d0a930572</t>
  </si>
  <si>
    <t>27660424913</t>
  </si>
  <si>
    <t>2026-05-26 12:46:27</t>
  </si>
  <si>
    <t>14299224</t>
  </si>
  <si>
    <t>9a99fd66-5bed-4185-8675-9a6fd6625949</t>
  </si>
  <si>
    <t>27660085961</t>
  </si>
  <si>
    <t>14299313</t>
  </si>
  <si>
    <t>10b79529-7f4b-4dfd-81f4-6c31fed9a13a</t>
  </si>
  <si>
    <t>27766595157</t>
  </si>
  <si>
    <t>14299073</t>
  </si>
  <si>
    <t>ffb59aa4-9640-41f6-bbf0-356428dfcbd6</t>
  </si>
  <si>
    <t>2026-05-26 12:46:24</t>
  </si>
  <si>
    <t>27716413220</t>
  </si>
  <si>
    <t>14299189</t>
  </si>
  <si>
    <t>9f9a8069-ca33-469a-8d7e-ec07f92b5c60</t>
  </si>
  <si>
    <t>27766801636</t>
  </si>
  <si>
    <t>14299411</t>
  </si>
  <si>
    <t>7a44f2c5-90f6-40f9-ace4-5af9e44c944c</t>
  </si>
  <si>
    <t>27662762155</t>
  </si>
  <si>
    <t>14299068</t>
  </si>
  <si>
    <t>4a16c198-21f3-43b6-bef0-66f3799781eb</t>
  </si>
  <si>
    <t>27637931684</t>
  </si>
  <si>
    <t>2026-05-26 12:45:50</t>
  </si>
  <si>
    <t>14299159</t>
  </si>
  <si>
    <t>155e030e-f593-4d4e-a504-985a755456aa</t>
  </si>
  <si>
    <t>2026-05-26 12:45:43</t>
  </si>
  <si>
    <t>27716349667</t>
  </si>
  <si>
    <t>14299084</t>
  </si>
  <si>
    <t>f4768e84-2986-46eb-987b-67120838d805</t>
  </si>
  <si>
    <t>27728785902</t>
  </si>
  <si>
    <t>2026-05-26 12:45:39</t>
  </si>
  <si>
    <t>14299063</t>
  </si>
  <si>
    <t>77dc3137-5e93-4681-b22c-c27117bdbaa1</t>
  </si>
  <si>
    <t>27774768289</t>
  </si>
  <si>
    <t>2026-05-26 12:45:33</t>
  </si>
  <si>
    <t>14299074</t>
  </si>
  <si>
    <t>dca2396a-1cd1-4766-95a1-2820400105bd</t>
  </si>
  <si>
    <t>27713269247</t>
  </si>
  <si>
    <t>14299121</t>
  </si>
  <si>
    <t>0a5dfe87-83e3-4436-a384-fe5b608c5d26</t>
  </si>
  <si>
    <t>27729569951</t>
  </si>
  <si>
    <t>14299088</t>
  </si>
  <si>
    <t>57461212-43fd-4f83-aef7-39e257c1f591</t>
  </si>
  <si>
    <t>2026-05-26 12:44:15</t>
  </si>
  <si>
    <t>27791012720</t>
  </si>
  <si>
    <t>14299117</t>
  </si>
  <si>
    <t>3083f1be-8ec2-4356-9c89-5c0700265135</t>
  </si>
  <si>
    <t>2026-05-26 12:44:14</t>
  </si>
  <si>
    <t>27764427917</t>
  </si>
  <si>
    <t>14299266</t>
  </si>
  <si>
    <t>36c1f50d-52c0-4e5a-9f4d-51a0a7a27dc1</t>
  </si>
  <si>
    <t>27730910111</t>
  </si>
  <si>
    <t>14299089</t>
  </si>
  <si>
    <t>8c6a7123-7924-4363-970a-4a289f0641b7</t>
  </si>
  <si>
    <t>27796224758</t>
  </si>
  <si>
    <t>2026-05-26 12:44:02</t>
  </si>
  <si>
    <t>14299324</t>
  </si>
  <si>
    <t>9d3773be-9115-4b32-9522-6ca510e161d5</t>
  </si>
  <si>
    <t>27726309268</t>
  </si>
  <si>
    <t>14299439</t>
  </si>
  <si>
    <t>22c1ef99-d1c0-4950-958a-a9f4afe9aa93</t>
  </si>
  <si>
    <t>27765203573</t>
  </si>
  <si>
    <t>14299221</t>
  </si>
  <si>
    <t>484602c7-f0e8-404d-bb4e-f60e707a962e</t>
  </si>
  <si>
    <t>2026-05-26 12:43:34</t>
  </si>
  <si>
    <t>27728784380</t>
  </si>
  <si>
    <t>14299086</t>
  </si>
  <si>
    <t>dddcb89b-7889-4f93-8e67-91e34c1f26a6</t>
  </si>
  <si>
    <t>27760923897</t>
  </si>
  <si>
    <t>2026-05-26 12:43:33</t>
  </si>
  <si>
    <t>14299182</t>
  </si>
  <si>
    <t>6acea82c-a032-47db-b36e-f0be7071f156</t>
  </si>
  <si>
    <t>27741493589</t>
  </si>
  <si>
    <t>14299150</t>
  </si>
  <si>
    <t>1f4e7928-d91c-4a94-b6d1-0ded767b44ad</t>
  </si>
  <si>
    <t>2026-05-26 12:43:28</t>
  </si>
  <si>
    <t>27761014412</t>
  </si>
  <si>
    <t>14299102</t>
  </si>
  <si>
    <t>f1808632-df14-4444-b49a-7bfc3001554b</t>
  </si>
  <si>
    <t>27825186690</t>
  </si>
  <si>
    <t>2026-05-26 12:43:13</t>
  </si>
  <si>
    <t>14299140</t>
  </si>
  <si>
    <t>ba4ff823-7e04-41dc-b34b-7b12243555c6</t>
  </si>
  <si>
    <t>2026-05-26 12:42:55</t>
  </si>
  <si>
    <t>27794432599</t>
  </si>
  <si>
    <t>14299342</t>
  </si>
  <si>
    <t>e21df013-7270-4695-8aed-bd7f76cc535f</t>
  </si>
  <si>
    <t>27735909703</t>
  </si>
  <si>
    <t>2026-05-26 12:42:53</t>
  </si>
  <si>
    <t>14299082</t>
  </si>
  <si>
    <t>ba1a19ac-02c5-4cf9-b555-345741918f29</t>
  </si>
  <si>
    <t>2026-05-26 12:42:50</t>
  </si>
  <si>
    <t>27648546708</t>
  </si>
  <si>
    <t>14299090</t>
  </si>
  <si>
    <t>a98d81cb-2c38-4f9b-9d53-c8ae59de46f7</t>
  </si>
  <si>
    <t>2026-05-26 12:42:43</t>
  </si>
  <si>
    <t>27795876520</t>
  </si>
  <si>
    <t>14299137</t>
  </si>
  <si>
    <t>c9d22385-2296-4ff6-89c2-73e2eb366e47</t>
  </si>
  <si>
    <t>27728627149</t>
  </si>
  <si>
    <t>2026-05-26 12:42:39</t>
  </si>
  <si>
    <t>14299138</t>
  </si>
  <si>
    <t>748e938a-0b76-4fda-a561-be3a01622845</t>
  </si>
  <si>
    <t>2026-05-26 12:42:29</t>
  </si>
  <si>
    <t>27824742525</t>
  </si>
  <si>
    <t>14299107</t>
  </si>
  <si>
    <t>647350a1-71b4-4051-9fc3-6f9e00e82a82</t>
  </si>
  <si>
    <t>27609450603</t>
  </si>
  <si>
    <t>14299292</t>
  </si>
  <si>
    <t>6884c0b3-69d0-4a06-9a45-7a2d11f55da8</t>
  </si>
  <si>
    <t>27729375186</t>
  </si>
  <si>
    <t>14299339</t>
  </si>
  <si>
    <t>5daacbc1-79bd-4462-a40c-a7d290435a4d</t>
  </si>
  <si>
    <t>2026-05-26 12:42:28</t>
  </si>
  <si>
    <t>27766133306</t>
  </si>
  <si>
    <t>14299234</t>
  </si>
  <si>
    <t>5434bf46-075d-4e4d-84f7-e3cf40f20c07</t>
  </si>
  <si>
    <t>27765585058</t>
  </si>
  <si>
    <t>2026-05-26 12:41:13</t>
  </si>
  <si>
    <t>14299105</t>
  </si>
  <si>
    <t>aeb89495-8ef5-4ca7-a8b8-796fbf11a0ee</t>
  </si>
  <si>
    <t>27827987594</t>
  </si>
  <si>
    <t>14299109</t>
  </si>
  <si>
    <t>49b1d0a4-8fc9-463a-8471-ae036282345e</t>
  </si>
  <si>
    <t>27608888399</t>
  </si>
  <si>
    <t>14299201</t>
  </si>
  <si>
    <t>cbc33744-0b5f-49ef-b9a2-1cd28225f147</t>
  </si>
  <si>
    <t>27637140212</t>
  </si>
  <si>
    <t>14299454</t>
  </si>
  <si>
    <t>5b3fbeeb-4e98-4096-8ab5-4fdc35bf7cb1</t>
  </si>
  <si>
    <t>27818078857</t>
  </si>
  <si>
    <t>14299128</t>
  </si>
  <si>
    <t>a5ea1293-fac1-4b8b-9b90-fa525361af92</t>
  </si>
  <si>
    <t>2026-05-26 12:41:11</t>
  </si>
  <si>
    <t>27794458283</t>
  </si>
  <si>
    <t>14299155</t>
  </si>
  <si>
    <t>26f5c0aa-3e8f-4fbf-96a3-7191ea94db81</t>
  </si>
  <si>
    <t>27661948055</t>
  </si>
  <si>
    <t>2026-05-26 12:41:07</t>
  </si>
  <si>
    <t>14299347</t>
  </si>
  <si>
    <t>d3abc8bb-de8c-412c-8178-aa250ec7ea53</t>
  </si>
  <si>
    <t>2026-05-26 12:40:59</t>
  </si>
  <si>
    <t>27720717187</t>
  </si>
  <si>
    <t>14299119</t>
  </si>
  <si>
    <t>d51c69ec-4c42-490d-b038-c73979850c78</t>
  </si>
  <si>
    <t>27826453624</t>
  </si>
  <si>
    <t>2026-05-26 12:40:53</t>
  </si>
  <si>
    <t>14299101</t>
  </si>
  <si>
    <t>ea2f7899-859f-43d3-9a46-7eca673f6f58</t>
  </si>
  <si>
    <t>2026-05-26 12:40:52</t>
  </si>
  <si>
    <t>27712539358</t>
  </si>
  <si>
    <t>14299112</t>
  </si>
  <si>
    <t>a7ffd913-72f8-4b8d-b413-efeaafb4c47a</t>
  </si>
  <si>
    <t>27797298458</t>
  </si>
  <si>
    <t>14299125</t>
  </si>
  <si>
    <t>376af505-e5ae-4b32-a6a8-64ed995f51a0</t>
  </si>
  <si>
    <t>27712871054</t>
  </si>
  <si>
    <t>2026-05-26 12:40:43</t>
  </si>
  <si>
    <t>14299276</t>
  </si>
  <si>
    <t>ed55d67a-245b-4913-9234-b8fe7e42b519</t>
  </si>
  <si>
    <t>2026-05-26 12:40:42</t>
  </si>
  <si>
    <t>27607173884</t>
  </si>
  <si>
    <t>14299136</t>
  </si>
  <si>
    <t>d9d76582-1098-4750-af71-c1cdd2c5b9db</t>
  </si>
  <si>
    <t>27720763204</t>
  </si>
  <si>
    <t>2026-05-26 12:40:34</t>
  </si>
  <si>
    <t>14299217</t>
  </si>
  <si>
    <t>1ff0c405-1391-4a1b-bffa-c9821cc499f8</t>
  </si>
  <si>
    <t>27824021938</t>
  </si>
  <si>
    <t>14299120</t>
  </si>
  <si>
    <t>265c124c-b891-4385-afe9-e704978d54e7</t>
  </si>
  <si>
    <t>27715955522</t>
  </si>
  <si>
    <t>14299160</t>
  </si>
  <si>
    <t>607928a9-38dc-4621-96a5-e3f6bf33b91c</t>
  </si>
  <si>
    <t>2026-05-26 12:39:59</t>
  </si>
  <si>
    <t>27794753111</t>
  </si>
  <si>
    <t>14299113</t>
  </si>
  <si>
    <t>3d99f90b-639c-4844-bb47-8e42583d6882</t>
  </si>
  <si>
    <t>2026-05-26 12:39:58</t>
  </si>
  <si>
    <t>27798537096</t>
  </si>
  <si>
    <t>14299126</t>
  </si>
  <si>
    <t>f2588e89-f1e9-46a2-b976-8887c4b616ab</t>
  </si>
  <si>
    <t>27720742249</t>
  </si>
  <si>
    <t>14299355</t>
  </si>
  <si>
    <t>b4bd9f84-5a8c-45ff-8601-c7ead212d380</t>
  </si>
  <si>
    <t>27828397800</t>
  </si>
  <si>
    <t>14299129</t>
  </si>
  <si>
    <t>266c8e02-cb53-4fd1-a160-e176730e04bd</t>
  </si>
  <si>
    <t>2026-05-26 12:32:35</t>
  </si>
  <si>
    <t>27798050609</t>
  </si>
  <si>
    <t>14299168</t>
  </si>
  <si>
    <t>79955316-a898-45ea-872f-45c4393f14a8</t>
  </si>
  <si>
    <t>27724869891</t>
  </si>
  <si>
    <t>14299359</t>
  </si>
  <si>
    <t>b563a662-a308-4f5f-94ce-242efdecb737</t>
  </si>
  <si>
    <t>27648395009</t>
  </si>
  <si>
    <t>14299256</t>
  </si>
  <si>
    <t>19e155b1-3811-4737-87f1-b8babb994dae</t>
  </si>
  <si>
    <t>27769692282</t>
  </si>
  <si>
    <t>2026-05-26 12:32:03</t>
  </si>
  <si>
    <t>14299152</t>
  </si>
  <si>
    <t>912f9294-197e-46b9-ad9c-866c710769af</t>
  </si>
  <si>
    <t>2026-05-26 12:31:25</t>
  </si>
  <si>
    <t>27716126796</t>
  </si>
  <si>
    <t>14299166</t>
  </si>
  <si>
    <t>a5012534-6e2f-42fe-8691-c468857684cf</t>
  </si>
  <si>
    <t>2026-05-26 12:31:07</t>
  </si>
  <si>
    <t>27839524609</t>
  </si>
  <si>
    <t>14299145</t>
  </si>
  <si>
    <t>479afa70-f2e5-44f5-ac48-13a148ffa12e</t>
  </si>
  <si>
    <t>2026-05-26 12:31:02</t>
  </si>
  <si>
    <t>27637913579</t>
  </si>
  <si>
    <t>14299167</t>
  </si>
  <si>
    <t>7721157c-a3c3-46d2-8f23-6deec0b9d332</t>
  </si>
  <si>
    <t>27799563641</t>
  </si>
  <si>
    <t>14299309</t>
  </si>
  <si>
    <t>0747bbd7-de9e-437d-9b81-09cc16955755</t>
  </si>
  <si>
    <t>27795991753</t>
  </si>
  <si>
    <t>14299358</t>
  </si>
  <si>
    <t>8b9b4b1e-421a-49c5-93c1-2d8b6d0af89e</t>
  </si>
  <si>
    <t>27606489064</t>
  </si>
  <si>
    <t>14299143</t>
  </si>
  <si>
    <t>f5133f2b-1abc-4b3b-b16b-37e42fe0249c</t>
  </si>
  <si>
    <t>2026-05-26 12:30:25</t>
  </si>
  <si>
    <t>27767398346</t>
  </si>
  <si>
    <t>14299147</t>
  </si>
  <si>
    <t>a3cfa709-debf-4772-af2d-4dddc81a6e4c</t>
  </si>
  <si>
    <t>27636301964</t>
  </si>
  <si>
    <t>14299298</t>
  </si>
  <si>
    <t>607cefd2-d3ad-4df9-83fc-4cdfa9c6cca0</t>
  </si>
  <si>
    <t>27647635140</t>
  </si>
  <si>
    <t>14299500</t>
  </si>
  <si>
    <t>356d3ba6-35d8-44d2-ba61-e0d7a19ac053</t>
  </si>
  <si>
    <t>27649557493</t>
  </si>
  <si>
    <t>14299286</t>
  </si>
  <si>
    <t>12dfc3a9-7524-4a84-8948-0d17a8f5c7f7</t>
  </si>
  <si>
    <t>27647091526</t>
  </si>
  <si>
    <t>2026-05-26 12:30:17</t>
  </si>
  <si>
    <t>14299263</t>
  </si>
  <si>
    <t>8be1e965-00f9-410f-9591-62d78fe6257e</t>
  </si>
  <si>
    <t>27790973601</t>
  </si>
  <si>
    <t>2026-05-26 12:29:24</t>
  </si>
  <si>
    <t>14299157</t>
  </si>
  <si>
    <t>e1a3af8e-3ec8-460d-8452-57f604f9d127</t>
  </si>
  <si>
    <t>2026-05-26 12:29:15</t>
  </si>
  <si>
    <t>27723356313</t>
  </si>
  <si>
    <t>14299139</t>
  </si>
  <si>
    <t>a04c91a4-5f24-4b16-a070-b7039865752f</t>
  </si>
  <si>
    <t>2026-05-26 12:29:13</t>
  </si>
  <si>
    <t>27636310500</t>
  </si>
  <si>
    <t>14299148</t>
  </si>
  <si>
    <t>3ec0c373-1183-4c8e-b905-1af5708091ff</t>
  </si>
  <si>
    <t>27793865541</t>
  </si>
  <si>
    <t>14299187</t>
  </si>
  <si>
    <t>f8321cbd-2f14-47e8-b8df-4e2215be1829</t>
  </si>
  <si>
    <t>27797369805</t>
  </si>
  <si>
    <t>14299389</t>
  </si>
  <si>
    <t>1bd17e3f-0292-435f-a54d-e4f5def3fe80</t>
  </si>
  <si>
    <t>27766606508</t>
  </si>
  <si>
    <t>14299270</t>
  </si>
  <si>
    <t>bc80af61-95db-40b5-9ade-cd7e368a1e9f</t>
  </si>
  <si>
    <t>2026-05-26 12:24:37</t>
  </si>
  <si>
    <t>27711859280</t>
  </si>
  <si>
    <t>14299162</t>
  </si>
  <si>
    <t>4b203be5-2d0f-4c55-a4dc-bbac4ed4359f</t>
  </si>
  <si>
    <t>2026-05-26 12:24:36</t>
  </si>
  <si>
    <t>27824880754</t>
  </si>
  <si>
    <t>14299190</t>
  </si>
  <si>
    <t>e5ac9b89-b9fd-48f0-9383-be9862f39eba</t>
  </si>
  <si>
    <t>2026-05-26 12:24:34</t>
  </si>
  <si>
    <t>27792806357</t>
  </si>
  <si>
    <t>14299146</t>
  </si>
  <si>
    <t>4a73e43c-abab-4d06-a8ef-17b56b934e3a</t>
  </si>
  <si>
    <t>2026-05-26 12:24:33</t>
  </si>
  <si>
    <t>27713798516</t>
  </si>
  <si>
    <t>14299154</t>
  </si>
  <si>
    <t>08e26254-6706-47be-8b50-c4134de32379</t>
  </si>
  <si>
    <t>27661834477</t>
  </si>
  <si>
    <t>14299395</t>
  </si>
  <si>
    <t>3e9df5a6-f05d-4a33-ad68-635bbd960191</t>
  </si>
  <si>
    <t>27661910346</t>
  </si>
  <si>
    <t>14299205</t>
  </si>
  <si>
    <t>3e70443d-7e9d-4f57-8e38-17e75ac39710</t>
  </si>
  <si>
    <t>2026-05-26 12:22:07</t>
  </si>
  <si>
    <t>27791153973</t>
  </si>
  <si>
    <t>14299171</t>
  </si>
  <si>
    <t>8d0d7d2a-9f22-4f12-976c-9c90257902fe</t>
  </si>
  <si>
    <t>27792114452</t>
  </si>
  <si>
    <t>2026-05-26 12:22:06</t>
  </si>
  <si>
    <t>14299178</t>
  </si>
  <si>
    <t>9fb7d3fc-065f-4991-b9a7-f1d3d2acb859</t>
  </si>
  <si>
    <t>27766616045</t>
  </si>
  <si>
    <t>14299192</t>
  </si>
  <si>
    <t>d057bc4f-59ef-476c-83cc-7ddbb228e8df</t>
  </si>
  <si>
    <t>27673297885</t>
  </si>
  <si>
    <t>14299325</t>
  </si>
  <si>
    <t>c365f38a-1395-42ea-82b4-3113dd2135b5</t>
  </si>
  <si>
    <t>27607468757</t>
  </si>
  <si>
    <t>14299193</t>
  </si>
  <si>
    <t>f4cb5838-d11f-4a4b-9df5-083c6937fb1d</t>
  </si>
  <si>
    <t>2026-05-26 12:21:55</t>
  </si>
  <si>
    <t>27711169678</t>
  </si>
  <si>
    <t>14299391</t>
  </si>
  <si>
    <t>3fad250b-2baa-466b-8027-70349542ae20</t>
  </si>
  <si>
    <t>2026-05-26 12:21:33</t>
  </si>
  <si>
    <t>27823117248</t>
  </si>
  <si>
    <t>14299523</t>
  </si>
  <si>
    <t>b2c73bb7-5606-49bc-a219-b36270530a20</t>
  </si>
  <si>
    <t>27773877781</t>
  </si>
  <si>
    <t>14299173</t>
  </si>
  <si>
    <t>d6c3bb6e-5d81-4c21-a842-0daa48c45486</t>
  </si>
  <si>
    <t>27763495151</t>
  </si>
  <si>
    <t>2026-05-26 12:21:09</t>
  </si>
  <si>
    <t>14299310</t>
  </si>
  <si>
    <t>2c2bd841-1ee4-494c-a799-703a78891f23</t>
  </si>
  <si>
    <t>2026-05-26 12:21:02</t>
  </si>
  <si>
    <t>27728036190</t>
  </si>
  <si>
    <t>14299169</t>
  </si>
  <si>
    <t>1f074c3a-cc0b-4fd6-b515-400c2c9a2835</t>
  </si>
  <si>
    <t>2026-05-26 12:21:01</t>
  </si>
  <si>
    <t>27729568048</t>
  </si>
  <si>
    <t>14299293</t>
  </si>
  <si>
    <t>67d3ba9c-46ce-4e32-977c-711aee6c44db</t>
  </si>
  <si>
    <t>27713036813</t>
  </si>
  <si>
    <t>14299219</t>
  </si>
  <si>
    <t>220f3af3-b09b-4232-a1ff-37dcdb6ab950</t>
  </si>
  <si>
    <t>2026-05-26 12:21:00</t>
  </si>
  <si>
    <t>27724350074</t>
  </si>
  <si>
    <t>14299185</t>
  </si>
  <si>
    <t>dd9a58f2-987d-432c-ad3d-4b68a671990a</t>
  </si>
  <si>
    <t>27790184845</t>
  </si>
  <si>
    <t>14299165</t>
  </si>
  <si>
    <t>25c6d8a0-8893-4522-95aa-d90b7401c57b</t>
  </si>
  <si>
    <t>2026-05-26 12:20:56</t>
  </si>
  <si>
    <t>27662478682</t>
  </si>
  <si>
    <t>14299174</t>
  </si>
  <si>
    <t>487e6d47-dec7-4c57-816c-d0095a4b9190</t>
  </si>
  <si>
    <t>27720198354</t>
  </si>
  <si>
    <t>14299407</t>
  </si>
  <si>
    <t>286db92d-4494-421e-a00b-c8920a0befa0</t>
  </si>
  <si>
    <t>27713548629</t>
  </si>
  <si>
    <t>14299229</t>
  </si>
  <si>
    <t>6bc0fc39-ff9f-4c97-9353-e73f3a31d7c0</t>
  </si>
  <si>
    <t>2026-05-26 12:19:43</t>
  </si>
  <si>
    <t>27723731197</t>
  </si>
  <si>
    <t>14299172</t>
  </si>
  <si>
    <t>f4b08e7e-d3a6-4f96-8a58-08b943cf457b</t>
  </si>
  <si>
    <t>27724099915</t>
  </si>
  <si>
    <t>14299183</t>
  </si>
  <si>
    <t>335a455c-ad67-42c8-aac4-3456ed1d3894</t>
  </si>
  <si>
    <t>27795441382</t>
  </si>
  <si>
    <t>14299431</t>
  </si>
  <si>
    <t>c32a182f-64ac-4ada-ac97-d3629c25ea51</t>
  </si>
  <si>
    <t>27714727060</t>
  </si>
  <si>
    <t>14299271</t>
  </si>
  <si>
    <t>b56590e5-70c1-4644-b0f0-7a052cc2aa41</t>
  </si>
  <si>
    <t>27609841043</t>
  </si>
  <si>
    <t>2026-05-26 12:19:20</t>
  </si>
  <si>
    <t>14299366</t>
  </si>
  <si>
    <t>3eba52d0-84fa-4db5-87e3-ac16d810f5c6</t>
  </si>
  <si>
    <t>2026-05-26 12:18:45</t>
  </si>
  <si>
    <t>27723347043</t>
  </si>
  <si>
    <t>14299504</t>
  </si>
  <si>
    <t>cd4f2ddd-5c28-44ee-8c9e-5f3b726edcf9</t>
  </si>
  <si>
    <t>27649355967</t>
  </si>
  <si>
    <t>14299264</t>
  </si>
  <si>
    <t>4933a7d6-54bf-41fe-873a-71e3f5ca0613</t>
  </si>
  <si>
    <t>2026-05-26 12:18:07</t>
  </si>
  <si>
    <t>27766231545</t>
  </si>
  <si>
    <t>14299215</t>
  </si>
  <si>
    <t>71a7a854-fd0e-4b67-a532-9300f8fa7d27</t>
  </si>
  <si>
    <t>2026-05-26 12:18:06</t>
  </si>
  <si>
    <t>27646470531</t>
  </si>
  <si>
    <t>14299209</t>
  </si>
  <si>
    <t>7291b1dd-79c1-48cf-bc41-f79ad8e4dc9f</t>
  </si>
  <si>
    <t>2026-05-26 12:18:03</t>
  </si>
  <si>
    <t>27792350213</t>
  </si>
  <si>
    <t>14299230</t>
  </si>
  <si>
    <t>3a6a759f-4038-4190-a2f0-8976a192f26c</t>
  </si>
  <si>
    <t>27825134436</t>
  </si>
  <si>
    <t>14299348</t>
  </si>
  <si>
    <t>b3e2d7c9-59a8-4107-847f-0bc2d6655da2</t>
  </si>
  <si>
    <t>27646497887</t>
  </si>
  <si>
    <t>14299232</t>
  </si>
  <si>
    <t>cd0ca8a0-39c8-4ce3-8258-bdc85eb25668</t>
  </si>
  <si>
    <t>2026-05-26 12:17:29</t>
  </si>
  <si>
    <t>27827345246</t>
  </si>
  <si>
    <t>14299412</t>
  </si>
  <si>
    <t>e5401118-acd8-406f-81d0-6dfb57b89924</t>
  </si>
  <si>
    <t>2026-05-26 12:17:26</t>
  </si>
  <si>
    <t>27662617330</t>
  </si>
  <si>
    <t>14299538</t>
  </si>
  <si>
    <t>ee663500-d606-4768-b8e2-df5b60e4cc71</t>
  </si>
  <si>
    <t>2026-05-26 12:17:23</t>
  </si>
  <si>
    <t>27760245370</t>
  </si>
  <si>
    <t>14299210</t>
  </si>
  <si>
    <t>001e43e2-8891-4d2e-8501-641ff172d95a</t>
  </si>
  <si>
    <t>2026-05-26 12:17:22</t>
  </si>
  <si>
    <t>27769794524</t>
  </si>
  <si>
    <t>14299335</t>
  </si>
  <si>
    <t>6f9738cc-00d8-428b-b137-f93d7a926250</t>
  </si>
  <si>
    <t>2026-05-26 12:17:17</t>
  </si>
  <si>
    <t>27727617692</t>
  </si>
  <si>
    <t>14299202</t>
  </si>
  <si>
    <t>8691d83e-686f-457b-ab01-e96f713e5297</t>
  </si>
  <si>
    <t>2026-05-26 12:17:06</t>
  </si>
  <si>
    <t>27791028853</t>
  </si>
  <si>
    <t>14299311</t>
  </si>
  <si>
    <t>8aae9d6c-17ca-4cf0-990b-99689ac3cf05</t>
  </si>
  <si>
    <t>2026-05-26 12:16:52</t>
  </si>
  <si>
    <t>27721072172</t>
  </si>
  <si>
    <t>14299222</t>
  </si>
  <si>
    <t>6ecc79a9-b205-49ec-ad2b-ce41fcc215c4</t>
  </si>
  <si>
    <t>27728866909</t>
  </si>
  <si>
    <t>2026-05-26 12:16:46</t>
  </si>
  <si>
    <t>14299275</t>
  </si>
  <si>
    <t>1c81eefe-9ba5-4aad-8855-7c4d5dd9ab62</t>
  </si>
  <si>
    <t>2026-05-26 12:16:45</t>
  </si>
  <si>
    <t>27661908484</t>
  </si>
  <si>
    <t>14299211</t>
  </si>
  <si>
    <t>f5646a14-6870-469f-a410-c382dc328940</t>
  </si>
  <si>
    <t>2026-05-26 12:16:43</t>
  </si>
  <si>
    <t>27715080427</t>
  </si>
  <si>
    <t>14299197</t>
  </si>
  <si>
    <t>643b91c7-a006-492b-a752-5bccc0ae8052</t>
  </si>
  <si>
    <t>27724761790</t>
  </si>
  <si>
    <t>14299441</t>
  </si>
  <si>
    <t>46b33058-3305-490f-8863-f30ddc480d83</t>
  </si>
  <si>
    <t>27664734178</t>
  </si>
  <si>
    <t>14299446</t>
  </si>
  <si>
    <t>447d1735-9acb-4280-8685-872a33c89935</t>
  </si>
  <si>
    <t>27825892943</t>
  </si>
  <si>
    <t>2026-05-26 12:16:17</t>
  </si>
  <si>
    <t>14299223</t>
  </si>
  <si>
    <t>a1019235-51fb-4a9b-a820-733e4a9d8055</t>
  </si>
  <si>
    <t>2026-05-26 12:15:53</t>
  </si>
  <si>
    <t>27608892889</t>
  </si>
  <si>
    <t>14299226</t>
  </si>
  <si>
    <t>017a0290-7a20-4da1-87cb-68cfd0e69e3e</t>
  </si>
  <si>
    <t>27791656649</t>
  </si>
  <si>
    <t>14299344</t>
  </si>
  <si>
    <t>31c6ae5c-5e0c-4d7a-8be4-c51b8e91f90d</t>
  </si>
  <si>
    <t>27791348685</t>
  </si>
  <si>
    <t>14299323</t>
  </si>
  <si>
    <t>3b53cddb-099f-42b8-8513-f32378fa34b1</t>
  </si>
  <si>
    <t>2026-05-26 12:15:37</t>
  </si>
  <si>
    <t>27637889277</t>
  </si>
  <si>
    <t>14299218</t>
  </si>
  <si>
    <t>cb62c533-5da5-4c64-9296-c4d89051891a</t>
  </si>
  <si>
    <t>2026-05-26 12:15:32</t>
  </si>
  <si>
    <t>27824431352</t>
  </si>
  <si>
    <t>14299287</t>
  </si>
  <si>
    <t>9b4f2795-d171-41d4-89d8-cf18562a8a82</t>
  </si>
  <si>
    <t>27799225305</t>
  </si>
  <si>
    <t>14299848</t>
  </si>
  <si>
    <t>a8fafc92-7e39-423a-b9d7-17109d11669b</t>
  </si>
  <si>
    <t>27723143589</t>
  </si>
  <si>
    <t>2026-05-26 12:14:06</t>
  </si>
  <si>
    <t>14299795</t>
  </si>
  <si>
    <t>eb776594-9ae9-4c86-b0f5-7c2f8f6fd299</t>
  </si>
  <si>
    <t>27728882252</t>
  </si>
  <si>
    <t>2026-05-26 12:13:24</t>
  </si>
  <si>
    <t>14299227</t>
  </si>
  <si>
    <t>ea2180c7-c491-47e2-a661-05bd40ab1705</t>
  </si>
  <si>
    <t>2026-05-26 12:13:10</t>
  </si>
  <si>
    <t>27768622649</t>
  </si>
  <si>
    <t>14299258</t>
  </si>
  <si>
    <t>2b40bd73-4033-42bc-99d4-54f7fa1de497</t>
  </si>
  <si>
    <t>27713620187</t>
  </si>
  <si>
    <t>2026-05-26 12:12:58</t>
  </si>
  <si>
    <t>14299265</t>
  </si>
  <si>
    <t>86680e65-55af-43e1-bd8c-12095ce977e3</t>
  </si>
  <si>
    <t>27606769467</t>
  </si>
  <si>
    <t>14299281</t>
  </si>
  <si>
    <t>e3697e39-43f6-4daa-bf10-c660f1bdb485</t>
  </si>
  <si>
    <t>27725254274</t>
  </si>
  <si>
    <t>14299377</t>
  </si>
  <si>
    <t>b0bf2e6b-f225-43e0-9adb-83f3784102e5</t>
  </si>
  <si>
    <t>27828430760</t>
  </si>
  <si>
    <t>14299282</t>
  </si>
  <si>
    <t>9e1851d1-186b-4d4f-9e08-25e35097fcae</t>
  </si>
  <si>
    <t>2026-05-26 12:12:20</t>
  </si>
  <si>
    <t>27665529787</t>
  </si>
  <si>
    <t>14299445</t>
  </si>
  <si>
    <t>61c278e1-d3ce-4a28-b76a-0e1ff7550a43</t>
  </si>
  <si>
    <t>2026-05-26 12:12:18</t>
  </si>
  <si>
    <t>27823093461</t>
  </si>
  <si>
    <t>14299599</t>
  </si>
  <si>
    <t>a2a7e434-8216-4d10-9ff6-49a6be5e025f</t>
  </si>
  <si>
    <t>2026-05-26 12:12:17</t>
  </si>
  <si>
    <t>27793256129</t>
  </si>
  <si>
    <t>14299259</t>
  </si>
  <si>
    <t>3d43774b-bd30-4db2-8037-aafe10cd6717</t>
  </si>
  <si>
    <t>2026-05-26 12:12:06</t>
  </si>
  <si>
    <t>27763754604</t>
  </si>
  <si>
    <t>14299352</t>
  </si>
  <si>
    <t>152b1d01-4cb9-420f-aae6-6636c9e43720</t>
  </si>
  <si>
    <t>2026-05-26 12:11:35</t>
  </si>
  <si>
    <t>27762449353</t>
  </si>
  <si>
    <t>14299235</t>
  </si>
  <si>
    <t>e43d3dec-e941-4765-8b1f-aff1701a7d8a</t>
  </si>
  <si>
    <t>2026-05-26 12:11:34</t>
  </si>
  <si>
    <t>27848970873</t>
  </si>
  <si>
    <t>14299274</t>
  </si>
  <si>
    <t>0bc5b5a2-09a1-4655-8e94-bfc844a4b59a</t>
  </si>
  <si>
    <t>27728128086</t>
  </si>
  <si>
    <t>14299331</t>
  </si>
  <si>
    <t>cf24fd00-5e41-4e5c-b321-6909e65ef4cf</t>
  </si>
  <si>
    <t>27823910302</t>
  </si>
  <si>
    <t>14299302</t>
  </si>
  <si>
    <t>a97878e9-0d6a-452c-b8f1-87e2ef4ee7c0</t>
  </si>
  <si>
    <t>27790925573</t>
  </si>
  <si>
    <t>2026-05-26 12:11:29</t>
  </si>
  <si>
    <t>14299457</t>
  </si>
  <si>
    <t>02adfb13-8456-491f-a699-4c50e1a476ba</t>
  </si>
  <si>
    <t>2026-05-26 12:11:22</t>
  </si>
  <si>
    <t>27762612454</t>
  </si>
  <si>
    <t>14299231</t>
  </si>
  <si>
    <t>de5000d5-6f79-43cd-b559-f4ec8636dcf0</t>
  </si>
  <si>
    <t>27826815047</t>
  </si>
  <si>
    <t>2026-05-26 12:11:09</t>
  </si>
  <si>
    <t>14299262</t>
  </si>
  <si>
    <t>d98386a5-0582-4790-bf1c-e3851d2c7209</t>
  </si>
  <si>
    <t>2026-05-26 12:11:00</t>
  </si>
  <si>
    <t>27790808214</t>
  </si>
  <si>
    <t>14299312</t>
  </si>
  <si>
    <t>ed1eb8c4-7efb-496d-9186-715739aafc69</t>
  </si>
  <si>
    <t>2026-05-26 12:10:49</t>
  </si>
  <si>
    <t>27606740837</t>
  </si>
  <si>
    <t>14299315</t>
  </si>
  <si>
    <t>64347ee7-412c-425d-9e37-88dac754c5ef</t>
  </si>
  <si>
    <t>27769615141</t>
  </si>
  <si>
    <t>14299430</t>
  </si>
  <si>
    <t>57b8ea19-2f08-4edc-999d-7694d9530f9e</t>
  </si>
  <si>
    <t>27766189715</t>
  </si>
  <si>
    <t>14299560</t>
  </si>
  <si>
    <t>0d549433-67ad-49b6-9f18-c6eaf2303b79</t>
  </si>
  <si>
    <t>27763389084</t>
  </si>
  <si>
    <t>14299294</t>
  </si>
  <si>
    <t>4e05ef5d-1336-4e64-a3af-ce4e9068030e</t>
  </si>
  <si>
    <t>2026-05-26 12:10:25</t>
  </si>
  <si>
    <t>27826492005</t>
  </si>
  <si>
    <t>14299307</t>
  </si>
  <si>
    <t>b7897fd7-17bf-44be-9a8b-014bdff0d5ab</t>
  </si>
  <si>
    <t>2026-05-26 12:10:22</t>
  </si>
  <si>
    <t>27825403347</t>
  </si>
  <si>
    <t>14299288</t>
  </si>
  <si>
    <t>761d2c40-0ab3-4757-95a4-c352532b0853</t>
  </si>
  <si>
    <t>2026-05-26 12:10:13</t>
  </si>
  <si>
    <t>27795609751</t>
  </si>
  <si>
    <t>14299745</t>
  </si>
  <si>
    <t>e61ad625-2399-47f6-aab6-7d3e9e167fe5</t>
  </si>
  <si>
    <t>27827413948</t>
  </si>
  <si>
    <t>2026-05-26 12:10:10</t>
  </si>
  <si>
    <t>14299308</t>
  </si>
  <si>
    <t>b9588c0d-feb4-4d8d-a402-5fc71ca2184b</t>
  </si>
  <si>
    <t>2026-05-26 12:10:05</t>
  </si>
  <si>
    <t>27727051039</t>
  </si>
  <si>
    <t>14299404</t>
  </si>
  <si>
    <t>a152a816-32ee-4491-8231-388d1d3f4d79</t>
  </si>
  <si>
    <t>27792359579</t>
  </si>
  <si>
    <t>14299479</t>
  </si>
  <si>
    <t>368d7e91-fa1a-4f77-b8b4-c67d0f077516</t>
  </si>
  <si>
    <t>2026-05-26 12:09:15</t>
  </si>
  <si>
    <t>27762811727</t>
  </si>
  <si>
    <t>14299290</t>
  </si>
  <si>
    <t>11756273-e370-450a-bbdb-6f7039d4c2be</t>
  </si>
  <si>
    <t>2026-05-26 12:09:14</t>
  </si>
  <si>
    <t>27760420791</t>
  </si>
  <si>
    <t>14299660</t>
  </si>
  <si>
    <t>777af3d0-9651-427b-8924-c8d3541fe659</t>
  </si>
  <si>
    <t>27842079927</t>
  </si>
  <si>
    <t>14299498</t>
  </si>
  <si>
    <t>ec386480-27f9-4d45-96fa-5b6fdb3a698f</t>
  </si>
  <si>
    <t>27649868171</t>
  </si>
  <si>
    <t>2026-05-26 12:08:33</t>
  </si>
  <si>
    <t>14299301</t>
  </si>
  <si>
    <t>6a55cd27-218d-462b-aecc-47a500ade959</t>
  </si>
  <si>
    <t>2026-05-26 12:08:29</t>
  </si>
  <si>
    <t>27797293863</t>
  </si>
  <si>
    <t>14299349</t>
  </si>
  <si>
    <t>97035daf-21fc-4d31-9457-f5477215f838</t>
  </si>
  <si>
    <t>27825978150</t>
  </si>
  <si>
    <t>14299387</t>
  </si>
  <si>
    <t>4c87dad0-a4a1-4a44-80f3-804fdf620841</t>
  </si>
  <si>
    <t>27768646694</t>
  </si>
  <si>
    <t>14299318</t>
  </si>
  <si>
    <t>8bb4075f-ab55-4350-97d6-9ab858d9b4c5</t>
  </si>
  <si>
    <t>27726603950</t>
  </si>
  <si>
    <t>2026-05-26 12:08:28</t>
  </si>
  <si>
    <t>14299280</t>
  </si>
  <si>
    <t>aa94d77c-bdb9-4e7d-8b29-137888b1198d</t>
  </si>
  <si>
    <t>2026-05-26 12:08:24</t>
  </si>
  <si>
    <t>27724142460</t>
  </si>
  <si>
    <t>14299506</t>
  </si>
  <si>
    <t>906df679-a85b-48be-9e6c-862f55f2021b</t>
  </si>
  <si>
    <t>27724311720</t>
  </si>
  <si>
    <t>14299291</t>
  </si>
  <si>
    <t>b09eef66-feac-44d4-900c-9bd8fccb8136</t>
  </si>
  <si>
    <t>2026-05-26 12:08:14</t>
  </si>
  <si>
    <t>27797841265</t>
  </si>
  <si>
    <t>14299255</t>
  </si>
  <si>
    <t>10958c0e-11d4-445a-895d-7abc6df5b0e1</t>
  </si>
  <si>
    <t>2026-05-26 12:07:09</t>
  </si>
  <si>
    <t>27798466362</t>
  </si>
  <si>
    <t>14299340</t>
  </si>
  <si>
    <t>4fb4be83-2f43-42e7-8a6b-7221deff0996</t>
  </si>
  <si>
    <t>27607929710</t>
  </si>
  <si>
    <t>14299252</t>
  </si>
  <si>
    <t>8591fbc0-c194-47a1-82ac-7a0f91ac7737</t>
  </si>
  <si>
    <t>2026-05-26 12:06:58</t>
  </si>
  <si>
    <t>27607053022</t>
  </si>
  <si>
    <t>14299253</t>
  </si>
  <si>
    <t>50e134d2-18b2-4ed1-994f-f6086af714de</t>
  </si>
  <si>
    <t>27636371824</t>
  </si>
  <si>
    <t>14299254</t>
  </si>
  <si>
    <t>a30f4a32-80a5-4aaf-815b-3c030a89b48f</t>
  </si>
  <si>
    <t>27615207087</t>
  </si>
  <si>
    <t>14299251</t>
  </si>
  <si>
    <t>f99fb145-c665-40bb-aedb-a6372f28b89d</t>
  </si>
  <si>
    <t>2026-05-26 12:06:57</t>
  </si>
  <si>
    <t>27797950857</t>
  </si>
  <si>
    <t>14299247</t>
  </si>
  <si>
    <t>4d2aae5e-4e39-4328-8215-8207379d0e9e</t>
  </si>
  <si>
    <t>2026-05-26 12:06:52</t>
  </si>
  <si>
    <t>27796180361</t>
  </si>
  <si>
    <t>14299249</t>
  </si>
  <si>
    <t>0c96ca9b-a8d3-4a1f-b737-a57f74581621</t>
  </si>
  <si>
    <t>27729070364</t>
  </si>
  <si>
    <t>14299250</t>
  </si>
  <si>
    <t>7a9c9f13-aafb-4d9a-960a-e0db50a8dfa8</t>
  </si>
  <si>
    <t>27674354598</t>
  </si>
  <si>
    <t>14299246</t>
  </si>
  <si>
    <t>31cbe892-21d6-4660-a3a2-246ddebc03bb</t>
  </si>
  <si>
    <t>27764583208</t>
  </si>
  <si>
    <t>2026-05-26 12:06:51</t>
  </si>
  <si>
    <t>14299245</t>
  </si>
  <si>
    <t>dcd4cb3f-cd3d-4720-a5a6-543926f71376</t>
  </si>
  <si>
    <t>2026-05-26 12:06:32</t>
  </si>
  <si>
    <t>27727486045</t>
  </si>
  <si>
    <t>14299243</t>
  </si>
  <si>
    <t>b2aa6f22-95ae-48c3-80db-545d6708069f</t>
  </si>
  <si>
    <t>2026-05-26 12:06:27</t>
  </si>
  <si>
    <t>27607778061</t>
  </si>
  <si>
    <t>14299244</t>
  </si>
  <si>
    <t>a8d253e2-9327-4dc8-99da-906fe28b704b</t>
  </si>
  <si>
    <t>27818930821</t>
  </si>
  <si>
    <t>14299242</t>
  </si>
  <si>
    <t>10f08bf8-b036-4fee-9bde-231f3acf325e</t>
  </si>
  <si>
    <t>2026-05-26 12:06:12</t>
  </si>
  <si>
    <t>27825426495</t>
  </si>
  <si>
    <t>14299239</t>
  </si>
  <si>
    <t>1520f23d-d583-4b7d-836c-0519eb827fff</t>
  </si>
  <si>
    <t>2026-05-26 12:06:06</t>
  </si>
  <si>
    <t>27646893893</t>
  </si>
  <si>
    <t>14299240</t>
  </si>
  <si>
    <t>4927630a-0b46-49a3-8e7a-d87600b3ae7a</t>
  </si>
  <si>
    <t>27636598538</t>
  </si>
  <si>
    <t>14299241</t>
  </si>
  <si>
    <t>5917216d-15b5-4266-ad60-f9ae7db1d0d1</t>
  </si>
  <si>
    <t>27663649858</t>
  </si>
  <si>
    <t>14299268</t>
  </si>
  <si>
    <t>137892d0-e582-4ace-aee5-53d15fb07d63</t>
  </si>
  <si>
    <t>27724932240</t>
  </si>
  <si>
    <t>14299354</t>
  </si>
  <si>
    <t>d4e88c5d-f3ce-4bbc-be63-40003daa5887</t>
  </si>
  <si>
    <t>27664305910</t>
  </si>
  <si>
    <t>2026-05-26 12:05:14</t>
  </si>
  <si>
    <t>14299480</t>
  </si>
  <si>
    <t>5a11063b-3997-4312-9cae-cee1fec9d5e3</t>
  </si>
  <si>
    <t>2026-05-26 12:05:13</t>
  </si>
  <si>
    <t>27826669383</t>
  </si>
  <si>
    <t>14299596</t>
  </si>
  <si>
    <t>ac1b6bc0-7fc3-4e80-9ecd-79473988044e</t>
  </si>
  <si>
    <t>27720881123</t>
  </si>
  <si>
    <t>14299332</t>
  </si>
  <si>
    <t>55d21b2c-ca37-453e-a1ea-5278ce295b7a</t>
  </si>
  <si>
    <t>2026-05-26 12:05:12</t>
  </si>
  <si>
    <t>27673960059</t>
  </si>
  <si>
    <t>14299552</t>
  </si>
  <si>
    <t>82b25203-f8b7-4e2f-b9c9-6f58ea2b9e08</t>
  </si>
  <si>
    <t>2026-05-26 12:04:57</t>
  </si>
  <si>
    <t>27727725277</t>
  </si>
  <si>
    <t>14299380</t>
  </si>
  <si>
    <t>69a517e9-9476-4d15-8e45-908ed62b7e07</t>
  </si>
  <si>
    <t>2026-05-26 12:04:51</t>
  </si>
  <si>
    <t>27726650236</t>
  </si>
  <si>
    <t>14299329</t>
  </si>
  <si>
    <t>1e05db98-3603-4460-9547-0c6804e90921</t>
  </si>
  <si>
    <t>2026-05-26 12:04:45</t>
  </si>
  <si>
    <t>27616167718</t>
  </si>
  <si>
    <t>14299343</t>
  </si>
  <si>
    <t>dd4de04d-a02a-435e-b11e-7e8a1676ab9b</t>
  </si>
  <si>
    <t>27790526551</t>
  </si>
  <si>
    <t>2026-05-26 12:04:43</t>
  </si>
  <si>
    <t>14299333</t>
  </si>
  <si>
    <t>ccbdbab7-27df-47e0-b396-789e2ea75e74</t>
  </si>
  <si>
    <t>2026-05-26 12:04:12</t>
  </si>
  <si>
    <t>27768044719</t>
  </si>
  <si>
    <t>14299525</t>
  </si>
  <si>
    <t>4c9eb05c-db3d-4aa5-8019-e166ea17acfa</t>
  </si>
  <si>
    <t>27791996240</t>
  </si>
  <si>
    <t>14299422</t>
  </si>
  <si>
    <t>76136478-2f0e-4bcc-a61a-f21c60ed67e4</t>
  </si>
  <si>
    <t>27799131958</t>
  </si>
  <si>
    <t>2026-05-26 12:04:10</t>
  </si>
  <si>
    <t>14299435</t>
  </si>
  <si>
    <t>139f4a75-b56b-4d2b-8ffa-55150abc4047</t>
  </si>
  <si>
    <t>2026-05-26 12:03:59</t>
  </si>
  <si>
    <t>27793047304</t>
  </si>
  <si>
    <t>14299425</t>
  </si>
  <si>
    <t>10e26263-d8b8-4bf9-ac9e-f6680c373095</t>
  </si>
  <si>
    <t>2026-05-26 12:03:57</t>
  </si>
  <si>
    <t>27722956798</t>
  </si>
  <si>
    <t>14299361</t>
  </si>
  <si>
    <t>a8f9c262-aaa9-4e4d-9e67-6a52fd739cca</t>
  </si>
  <si>
    <t>2026-05-26 12:03:56</t>
  </si>
  <si>
    <t>27823734519</t>
  </si>
  <si>
    <t>14299491</t>
  </si>
  <si>
    <t>b2344127-d7d7-4821-ad4c-9743d96e15b9</t>
  </si>
  <si>
    <t>27725188602</t>
  </si>
  <si>
    <t>14299636</t>
  </si>
  <si>
    <t>85dd028e-16cc-48d5-8710-ebc696758ea9</t>
  </si>
  <si>
    <t>27762134004</t>
  </si>
  <si>
    <t>14299341</t>
  </si>
  <si>
    <t>9568d77f-5fba-47b7-9791-e4ee0773ee87</t>
  </si>
  <si>
    <t>27725309410</t>
  </si>
  <si>
    <t>2026-05-26 12:03:48</t>
  </si>
  <si>
    <t>14299350</t>
  </si>
  <si>
    <t>1c7886d9-d920-48fb-afa5-442747289d14</t>
  </si>
  <si>
    <t>27766738329</t>
  </si>
  <si>
    <t>14299357</t>
  </si>
  <si>
    <t>21a4ad0a-9cd4-40a2-84ee-eac13928b59a</t>
  </si>
  <si>
    <t>27608641745</t>
  </si>
  <si>
    <t>14299336</t>
  </si>
  <si>
    <t>a90d5bac-ec08-4ffc-89d5-a706f446c8a0</t>
  </si>
  <si>
    <t>2026-05-26 12:03:25</t>
  </si>
  <si>
    <t>27762705355</t>
  </si>
  <si>
    <t>14299459</t>
  </si>
  <si>
    <t>7dd43d76-d696-40a1-9f2f-9d3a49b739ff</t>
  </si>
  <si>
    <t>27722925299</t>
  </si>
  <si>
    <t>2026-05-26 12:03:23</t>
  </si>
  <si>
    <t>14299351</t>
  </si>
  <si>
    <t>d1845c3f-0520-4e12-99f8-738050dfc0f8</t>
  </si>
  <si>
    <t>2026-05-26 12:03:15</t>
  </si>
  <si>
    <t>27793494240</t>
  </si>
  <si>
    <t>14299546</t>
  </si>
  <si>
    <t>767f9377-ce62-47d0-a267-92bf204213ca</t>
  </si>
  <si>
    <t>2026-05-26 12:03:13</t>
  </si>
  <si>
    <t>27664589575</t>
  </si>
  <si>
    <t>14299707</t>
  </si>
  <si>
    <t>b2f5cde9-0e9a-43b6-be91-9f9a29e2d228</t>
  </si>
  <si>
    <t>27762656520</t>
  </si>
  <si>
    <t>2026-05-26 12:03:12</t>
  </si>
  <si>
    <t>14299337</t>
  </si>
  <si>
    <t>824d0331-a7cc-4fe4-9482-ddd51f2d2784</t>
  </si>
  <si>
    <t>2026-05-26 12:03:09</t>
  </si>
  <si>
    <t>27607912187</t>
  </si>
  <si>
    <t>14299444</t>
  </si>
  <si>
    <t>4922c25f-5050-4a72-b88b-8f1c5b6848f5</t>
  </si>
  <si>
    <t>2026-05-26 12:03:06</t>
  </si>
  <si>
    <t>27646972753</t>
  </si>
  <si>
    <t>14299421</t>
  </si>
  <si>
    <t>e758a9fc-a33f-4aa1-96ed-d7d20f5fa6ef</t>
  </si>
  <si>
    <t>2026-05-26 12:03:03</t>
  </si>
  <si>
    <t>27728404644</t>
  </si>
  <si>
    <t>14299345</t>
  </si>
  <si>
    <t>a585ec1d-2be7-4506-86b8-ce40f88a2976</t>
  </si>
  <si>
    <t>2026-05-26 12:03:02</t>
  </si>
  <si>
    <t>27797384390</t>
  </si>
  <si>
    <t>14299362</t>
  </si>
  <si>
    <t>200fb1e0-cee6-4c50-a7e0-c0546d0b79a5</t>
  </si>
  <si>
    <t>27721737553</t>
  </si>
  <si>
    <t>14299334</t>
  </si>
  <si>
    <t>ee548105-d237-438f-96ac-efab6bc3b589</t>
  </si>
  <si>
    <t>27782503994</t>
  </si>
  <si>
    <t>14299578</t>
  </si>
  <si>
    <t>4489c194-a021-4ee1-99b5-f841d5f3ffec</t>
  </si>
  <si>
    <t>27790632688</t>
  </si>
  <si>
    <t>14299330</t>
  </si>
  <si>
    <t>55439051-1ac4-4a95-8bb2-4111f3b9e1ca</t>
  </si>
  <si>
    <t>2026-05-26 12:02:57</t>
  </si>
  <si>
    <t>27727075580</t>
  </si>
  <si>
    <t>14299338</t>
  </si>
  <si>
    <t>23e17100-dd6a-4138-bec6-14709655b355</t>
  </si>
  <si>
    <t>27798426823</t>
  </si>
  <si>
    <t>2026-05-26 12:02:45</t>
  </si>
  <si>
    <t>14299468</t>
  </si>
  <si>
    <t>be1a9e06-084f-4634-97d0-194eb0e94bad</t>
  </si>
  <si>
    <t>27712144238</t>
  </si>
  <si>
    <t>2026-05-26 12:02:10</t>
  </si>
  <si>
    <t>14299382</t>
  </si>
  <si>
    <t>ab7e75c2-ae0e-4f57-b491-6115eb6dad67</t>
  </si>
  <si>
    <t>2026-05-26 12:01:34</t>
  </si>
  <si>
    <t>27783231692</t>
  </si>
  <si>
    <t>14299364</t>
  </si>
  <si>
    <t>59192282-15aa-4028-96c6-e25635dcab29</t>
  </si>
  <si>
    <t>2026-05-26 12:01:33</t>
  </si>
  <si>
    <t>27606966594</t>
  </si>
  <si>
    <t>14299467</t>
  </si>
  <si>
    <t>257b09e0-288d-4fe0-a80a-e6869e744f84</t>
  </si>
  <si>
    <t>2026-05-26 12:01:29</t>
  </si>
  <si>
    <t>27674495408</t>
  </si>
  <si>
    <t>14299476</t>
  </si>
  <si>
    <t>e7296ca3-d6a8-4b89-9981-21860bfc123c</t>
  </si>
  <si>
    <t>27725595604</t>
  </si>
  <si>
    <t>14299484</t>
  </si>
  <si>
    <t>da36ed81-218a-4fb0-9a32-09f10798380f</t>
  </si>
  <si>
    <t>27607680078</t>
  </si>
  <si>
    <t>14299549</t>
  </si>
  <si>
    <t>7889bad1-05d2-4287-b9f6-f908bf5b9638</t>
  </si>
  <si>
    <t>27791651473</t>
  </si>
  <si>
    <t>14299527</t>
  </si>
  <si>
    <t>6b938974-9ef3-4f0e-b31e-0bfb73ac9618</t>
  </si>
  <si>
    <t>27799501600</t>
  </si>
  <si>
    <t>2026-05-26 12:01:28</t>
  </si>
  <si>
    <t>14299535</t>
  </si>
  <si>
    <t>4b45f7b2-faf7-42a0-8b96-0046fcd7d880</t>
  </si>
  <si>
    <t>27721611908</t>
  </si>
  <si>
    <t>14299413</t>
  </si>
  <si>
    <t>6eef9ff3-4939-446f-a86e-6ee7bb70096a</t>
  </si>
  <si>
    <t>2026-05-26 12:01:15</t>
  </si>
  <si>
    <t>27824741207</t>
  </si>
  <si>
    <t>14299663</t>
  </si>
  <si>
    <t>ffdb8563-f51a-45f7-81e0-a2f7d7109e02</t>
  </si>
  <si>
    <t>27791754799</t>
  </si>
  <si>
    <t>2026-05-26 12:01:13</t>
  </si>
  <si>
    <t>14299409</t>
  </si>
  <si>
    <t>9daa473a-2602-4210-aacb-e7872f26e9b8</t>
  </si>
  <si>
    <t>2026-05-26 12:01:11</t>
  </si>
  <si>
    <t>27714561098</t>
  </si>
  <si>
    <t>14299379</t>
  </si>
  <si>
    <t>c38905cb-73d6-4a7a-9603-7c4124f556e0</t>
  </si>
  <si>
    <t>27725739912</t>
  </si>
  <si>
    <t>14299397</t>
  </si>
  <si>
    <t>3bdc6261-fa1b-49a0-831f-a32b62727c6d</t>
  </si>
  <si>
    <t>27728767160</t>
  </si>
  <si>
    <t>2026-05-26 12:00:33</t>
  </si>
  <si>
    <t>14299371</t>
  </si>
  <si>
    <t>e9109494-3035-481d-9e8c-54df043b5893</t>
  </si>
  <si>
    <t>2026-05-26 12:00:32</t>
  </si>
  <si>
    <t>27823918578</t>
  </si>
  <si>
    <t>14299518</t>
  </si>
  <si>
    <t>31b43871-ed75-4a09-aafb-bcdcde8dae69</t>
  </si>
  <si>
    <t>2026-05-26 12:00:31</t>
  </si>
  <si>
    <t>27636860685</t>
  </si>
  <si>
    <t>14299634</t>
  </si>
  <si>
    <t>07e16b46-f0d9-4b48-a9b3-a38025291dfd</t>
  </si>
  <si>
    <t>27725635066</t>
  </si>
  <si>
    <t>2026-05-26 12:00:13</t>
  </si>
  <si>
    <t>14299400</t>
  </si>
  <si>
    <t>5296f0a7-6e82-4b78-bb31-1163a0c1e23d</t>
  </si>
  <si>
    <t>2026-05-26 12:00:00</t>
  </si>
  <si>
    <t>27727769365</t>
  </si>
  <si>
    <t>14299583</t>
  </si>
  <si>
    <t>76fcf1d5-8bd2-4d0d-8dc5-70fda537c4b9</t>
  </si>
  <si>
    <t>27665076495</t>
  </si>
  <si>
    <t>14299730</t>
  </si>
  <si>
    <t>a2ca55b2-d574-452f-a11e-bb3c7190fdcc</t>
  </si>
  <si>
    <t>27827846750</t>
  </si>
  <si>
    <t>2026-05-26 11:59:58</t>
  </si>
  <si>
    <t>14299365</t>
  </si>
  <si>
    <t>01e3e94b-9499-46a6-8a47-467275f6c00b</t>
  </si>
  <si>
    <t>27660991968</t>
  </si>
  <si>
    <t>2026-05-26 11:59:55</t>
  </si>
  <si>
    <t>14299462</t>
  </si>
  <si>
    <t>5599669c-055b-4ad4-8c60-6447c375448a</t>
  </si>
  <si>
    <t>27728102399</t>
  </si>
  <si>
    <t>14299499</t>
  </si>
  <si>
    <t>6b71c60a-cef3-4312-8194-6b4857ec83a0</t>
  </si>
  <si>
    <t>27818239615</t>
  </si>
  <si>
    <t>14299386</t>
  </si>
  <si>
    <t>47e0c7a6-d80e-41c5-96af-9d35e078b29c</t>
  </si>
  <si>
    <t>27608830246</t>
  </si>
  <si>
    <t>2026-05-26 11:59:54</t>
  </si>
  <si>
    <t>14299372</t>
  </si>
  <si>
    <t>41de807e-ebbf-41e5-a794-8ed3558cce5c</t>
  </si>
  <si>
    <t>27823996819</t>
  </si>
  <si>
    <t>2026-05-26 11:59:51</t>
  </si>
  <si>
    <t>14299420</t>
  </si>
  <si>
    <t>e46e1d7b-7648-4b1a-8b04-ac76f1c3e541</t>
  </si>
  <si>
    <t>2026-05-26 11:59:47</t>
  </si>
  <si>
    <t>27725196495</t>
  </si>
  <si>
    <t>14299360</t>
  </si>
  <si>
    <t>9630bb5c-a475-49ce-9237-d2faae5ce97b</t>
  </si>
  <si>
    <t>2026-05-26 11:59:46</t>
  </si>
  <si>
    <t>27649770317</t>
  </si>
  <si>
    <t>14299375</t>
  </si>
  <si>
    <t>4c46999a-94f7-4403-9d67-172974e54606</t>
  </si>
  <si>
    <t>27790971464</t>
  </si>
  <si>
    <t>14299392</t>
  </si>
  <si>
    <t>11e8dced-161c-40fe-89b0-16105628d3ed</t>
  </si>
  <si>
    <t>27761018470</t>
  </si>
  <si>
    <t>2026-05-26 11:59:00</t>
  </si>
  <si>
    <t>14299415</t>
  </si>
  <si>
    <t>3cf4c741-8118-4200-8dfe-1364e7bc7637</t>
  </si>
  <si>
    <t>27795688873</t>
  </si>
  <si>
    <t>2026-05-26 11:58:31</t>
  </si>
  <si>
    <t>14299418</t>
  </si>
  <si>
    <t>a6747d18-8e81-4207-a075-a4c39aea0dc4</t>
  </si>
  <si>
    <t>2026-05-26 11:58:30</t>
  </si>
  <si>
    <t>27766992634</t>
  </si>
  <si>
    <t>14299534</t>
  </si>
  <si>
    <t>bfb33bbe-ca48-4745-8035-625158f9e335</t>
  </si>
  <si>
    <t>27762758094</t>
  </si>
  <si>
    <t>14299620</t>
  </si>
  <si>
    <t>7a081046-4fac-480e-9dfa-a0c917a247ae</t>
  </si>
  <si>
    <t>27673468130</t>
  </si>
  <si>
    <t>2026-05-26 11:58:23</t>
  </si>
  <si>
    <t>14299774</t>
  </si>
  <si>
    <t>2b667f60-9663-42f0-9d1f-ee8901e4177f</t>
  </si>
  <si>
    <t>2026-05-26 11:58:19</t>
  </si>
  <si>
    <t>27609416775</t>
  </si>
  <si>
    <t>14299393</t>
  </si>
  <si>
    <t>196166f0-4604-4893-95b4-600e42dfcf3c</t>
  </si>
  <si>
    <t>2026-05-26 11:58:15</t>
  </si>
  <si>
    <t>27661007361</t>
  </si>
  <si>
    <t>14299390</t>
  </si>
  <si>
    <t>988a4259-b6db-43c8-aec9-3f1913702aed</t>
  </si>
  <si>
    <t>2026-05-26 11:58:14</t>
  </si>
  <si>
    <t>27722057223</t>
  </si>
  <si>
    <t>14299515</t>
  </si>
  <si>
    <t>2b0cb200-8ccb-4836-bcf3-ba4e62f4aed3</t>
  </si>
  <si>
    <t>27798760854</t>
  </si>
  <si>
    <t>14299485</t>
  </si>
  <si>
    <t>832727f8-6e86-4336-bbd8-b21faeda6261</t>
  </si>
  <si>
    <t>27822699894</t>
  </si>
  <si>
    <t>14299408</t>
  </si>
  <si>
    <t>c533d78c-1cc0-4190-ba31-b9752f1cb8de</t>
  </si>
  <si>
    <t>27720404094</t>
  </si>
  <si>
    <t>2026-05-26 11:57:50</t>
  </si>
  <si>
    <t>14299436</t>
  </si>
  <si>
    <t>b1aa44c7-ade5-4e39-a7ee-c6a1777714ab</t>
  </si>
  <si>
    <t>2026-05-26 11:57:41</t>
  </si>
  <si>
    <t>27829504099</t>
  </si>
  <si>
    <t>14299394</t>
  </si>
  <si>
    <t>0781616a-f825-498c-97ec-3ee780d70f7d</t>
  </si>
  <si>
    <t>2026-05-26 11:57:40</t>
  </si>
  <si>
    <t>27823688570</t>
  </si>
  <si>
    <t>14299384</t>
  </si>
  <si>
    <t>5e2de508-ffc4-4c76-b88c-bde854a86855</t>
  </si>
  <si>
    <t>27822022941</t>
  </si>
  <si>
    <t>14299647</t>
  </si>
  <si>
    <t>58c7703e-139a-4d7d-90ad-9ce08868b90e</t>
  </si>
  <si>
    <t>27793358368</t>
  </si>
  <si>
    <t>14299617</t>
  </si>
  <si>
    <t>82863e4d-ef1b-4072-ad65-5ac911c3b275</t>
  </si>
  <si>
    <t>2026-05-26 11:56:54</t>
  </si>
  <si>
    <t>27720522679</t>
  </si>
  <si>
    <t>14299585</t>
  </si>
  <si>
    <t>ef78a009-4e45-43fa-b990-a89579ff45eb</t>
  </si>
  <si>
    <t>2026-05-26 11:56:44</t>
  </si>
  <si>
    <t>27608122535</t>
  </si>
  <si>
    <t>14299595</t>
  </si>
  <si>
    <t>48bcc889-c8f3-425a-a166-6296d868701c</t>
  </si>
  <si>
    <t>27712008373</t>
  </si>
  <si>
    <t>14299770</t>
  </si>
  <si>
    <t>b5390657-80cc-45ea-a6fd-f7cddc1da178</t>
  </si>
  <si>
    <t>2026-05-26 11:56:29</t>
  </si>
  <si>
    <t>27798556127</t>
  </si>
  <si>
    <t>14299460</t>
  </si>
  <si>
    <t>1cd83ec0-86f9-466a-8f49-16eaf48f1396</t>
  </si>
  <si>
    <t>2026-05-26 11:56:22</t>
  </si>
  <si>
    <t>27768708021</t>
  </si>
  <si>
    <t>14299432</t>
  </si>
  <si>
    <t>2f4df4d1-6cd1-4b41-8a02-04dd64df3a30</t>
  </si>
  <si>
    <t>2026-05-26 11:56:18</t>
  </si>
  <si>
    <t>27713327572</t>
  </si>
  <si>
    <t>14299426</t>
  </si>
  <si>
    <t>cc120b61-3d43-4a22-88c1-8bf44769542b</t>
  </si>
  <si>
    <t>27799221073</t>
  </si>
  <si>
    <t>2026-05-26 11:56:16</t>
  </si>
  <si>
    <t>14299448</t>
  </si>
  <si>
    <t>b961dc53-9fe5-4d63-8762-450be2804a07</t>
  </si>
  <si>
    <t>27825034158</t>
  </si>
  <si>
    <t>14299575</t>
  </si>
  <si>
    <t>8eaa416d-e2ee-4e6a-bd0c-9884593c2ba5</t>
  </si>
  <si>
    <t>27711968185</t>
  </si>
  <si>
    <t>2026-05-26 11:55:25</t>
  </si>
  <si>
    <t>14299656</t>
  </si>
  <si>
    <t>84db6d3a-a856-4002-9755-c5aea3df0e8f</t>
  </si>
  <si>
    <t>2026-05-26 11:55:10</t>
  </si>
  <si>
    <t>27722464382</t>
  </si>
  <si>
    <t>14299803</t>
  </si>
  <si>
    <t>137961cc-ba81-4803-b65f-024727b90f37</t>
  </si>
  <si>
    <t>27765154345</t>
  </si>
  <si>
    <t>14299429</t>
  </si>
  <si>
    <t>29617f60-6f7e-45a9-9414-bd8a175a4a43</t>
  </si>
  <si>
    <t>27722417189</t>
  </si>
  <si>
    <t>2026-05-26 11:55:06</t>
  </si>
  <si>
    <t>14299427</t>
  </si>
  <si>
    <t>0b2d34da-bbd3-40f0-aa57-752cc6805b4d</t>
  </si>
  <si>
    <t>2026-05-26 11:54:53</t>
  </si>
  <si>
    <t>27799866746</t>
  </si>
  <si>
    <t>14299423</t>
  </si>
  <si>
    <t>d988b6ae-f7a0-4e14-a6ec-e7dfaa60d7f3</t>
  </si>
  <si>
    <t>2026-05-26 11:54:50</t>
  </si>
  <si>
    <t>27711069586</t>
  </si>
  <si>
    <t>14299440</t>
  </si>
  <si>
    <t>72d0fa4f-a7b9-41ab-b91e-5b6d1aebc343</t>
  </si>
  <si>
    <t>27790654030</t>
  </si>
  <si>
    <t>14299522</t>
  </si>
  <si>
    <t>74c514df-2702-405b-8455-ddf67e17d1a7</t>
  </si>
  <si>
    <t>27798013625</t>
  </si>
  <si>
    <t>14299548</t>
  </si>
  <si>
    <t>00e79da7-45c3-4ecf-bc8e-0c4ecebd8905</t>
  </si>
  <si>
    <t>27768885363</t>
  </si>
  <si>
    <t>14299419</t>
  </si>
  <si>
    <t>baa86dde-917f-4299-b40c-0627ba682cbb</t>
  </si>
  <si>
    <t>27711165562</t>
  </si>
  <si>
    <t>2026-05-26 11:54:49</t>
  </si>
  <si>
    <t>14299469</t>
  </si>
  <si>
    <t>ba90aa37-3da5-4cbd-a073-f4223bdd1571</t>
  </si>
  <si>
    <t>27712754803</t>
  </si>
  <si>
    <t>14299690</t>
  </si>
  <si>
    <t>1ec2b953-22ab-4c08-84d0-8ebbb92c9291</t>
  </si>
  <si>
    <t>27766113618</t>
  </si>
  <si>
    <t>14299695</t>
  </si>
  <si>
    <t>3ebb0713-928b-4b30-9941-92f71f94584f</t>
  </si>
  <si>
    <t>27766502096</t>
  </si>
  <si>
    <t>2026-05-26 11:53:51</t>
  </si>
  <si>
    <t>14299481</t>
  </si>
  <si>
    <t>c4e59ee8-a6a3-4894-9988-b288793ff5fa</t>
  </si>
  <si>
    <t>2026-05-26 11:53:43</t>
  </si>
  <si>
    <t>27823800634</t>
  </si>
  <si>
    <t>14299456</t>
  </si>
  <si>
    <t>20256979-9016-4fe0-90ee-543858738eda</t>
  </si>
  <si>
    <t>27724917957</t>
  </si>
  <si>
    <t>2026-05-26 11:53:34</t>
  </si>
  <si>
    <t>14299471</t>
  </si>
  <si>
    <t>960a6bc3-a4c9-4001-b3c8-4e8ad27ab345</t>
  </si>
  <si>
    <t>2026-05-26 11:53:28</t>
  </si>
  <si>
    <t>27711081747</t>
  </si>
  <si>
    <t>14299449</t>
  </si>
  <si>
    <t>536188aa-633f-444f-b927-22023cb3ed71</t>
  </si>
  <si>
    <t>2026-05-26 11:53:26</t>
  </si>
  <si>
    <t>27822531763</t>
  </si>
  <si>
    <t>14299590</t>
  </si>
  <si>
    <t>e83c2fe1-0b88-4a40-9f11-8b51af5c7a6d</t>
  </si>
  <si>
    <t>27822259997</t>
  </si>
  <si>
    <t>14299528</t>
  </si>
  <si>
    <t>2477f549-2185-43b7-8403-3044bfdd74fc</t>
  </si>
  <si>
    <t>27714841964</t>
  </si>
  <si>
    <t>2026-05-26 11:53:13</t>
  </si>
  <si>
    <t>14299475</t>
  </si>
  <si>
    <t>417d11f0-6a62-4eff-a758-ed55411d2fe6</t>
  </si>
  <si>
    <t>2026-05-26 11:52:56</t>
  </si>
  <si>
    <t>27834272410</t>
  </si>
  <si>
    <t>14299688</t>
  </si>
  <si>
    <t>274177a0-2334-4a7f-8b2a-87c16980de74</t>
  </si>
  <si>
    <t>2026-05-26 11:52:53</t>
  </si>
  <si>
    <t>27793852817</t>
  </si>
  <si>
    <t>14299836</t>
  </si>
  <si>
    <t>f5326e1d-59f6-420b-ad95-d5fd36b72f7e</t>
  </si>
  <si>
    <t>27728992738</t>
  </si>
  <si>
    <t>2026-05-26 11:52:48</t>
  </si>
  <si>
    <t>14299450</t>
  </si>
  <si>
    <t>ae951c39-1ffe-4313-8c55-381caec9b99f</t>
  </si>
  <si>
    <t>2026-05-26 11:52:45</t>
  </si>
  <si>
    <t>27724717976</t>
  </si>
  <si>
    <t>14299461</t>
  </si>
  <si>
    <t>02a9f950-d899-43af-9e38-58a4d58e7e12</t>
  </si>
  <si>
    <t>27790114581</t>
  </si>
  <si>
    <t>2026-05-26 11:52:43</t>
  </si>
  <si>
    <t>14299447</t>
  </si>
  <si>
    <t>5057b512-eff7-48bd-b5e9-ea212fb88e68</t>
  </si>
  <si>
    <t>27663678147</t>
  </si>
  <si>
    <t>14299536</t>
  </si>
  <si>
    <t>c6bfd3bc-d9cb-486f-9c72-34772d2459c4</t>
  </si>
  <si>
    <t>27799912973</t>
  </si>
  <si>
    <t>14299569</t>
  </si>
  <si>
    <t>e45455cf-1390-42b1-bec8-05b1840c1623</t>
  </si>
  <si>
    <t>27799177115</t>
  </si>
  <si>
    <t>14299494</t>
  </si>
  <si>
    <t>691efaf3-3fd1-48fa-840c-57f65225e789</t>
  </si>
  <si>
    <t>2026-05-26 11:52:41</t>
  </si>
  <si>
    <t>27762741573</t>
  </si>
  <si>
    <t>14299721</t>
  </si>
  <si>
    <t>91e34478-298c-44ad-932f-efa663ab60c3</t>
  </si>
  <si>
    <t>2026-05-26 11:52:24</t>
  </si>
  <si>
    <t>27637029000</t>
  </si>
  <si>
    <t>14299443</t>
  </si>
  <si>
    <t>c252d483-f7d5-402c-8cb4-decde1568f50</t>
  </si>
  <si>
    <t>2026-05-26 11:52:23</t>
  </si>
  <si>
    <t>27822667206</t>
  </si>
  <si>
    <t>14299452</t>
  </si>
  <si>
    <t>daef8fe1-963f-4fb0-9752-0a9ade84164a</t>
  </si>
  <si>
    <t>2026-05-26 11:52:09</t>
  </si>
  <si>
    <t>27608001433</t>
  </si>
  <si>
    <t>14299503</t>
  </si>
  <si>
    <t>564d4eaf-6451-4de8-b979-a44040aa7e61</t>
  </si>
  <si>
    <t>27793142534</t>
  </si>
  <si>
    <t>2026-05-26 11:51:53</t>
  </si>
  <si>
    <t>14299472</t>
  </si>
  <si>
    <t>90055697-7bbd-47eb-a855-58301b1a68de</t>
  </si>
  <si>
    <t>27727775346</t>
  </si>
  <si>
    <t>2026-05-26 11:51:52</t>
  </si>
  <si>
    <t>14299495</t>
  </si>
  <si>
    <t>c93a04bb-3e19-4a6f-8c47-b00e4a37a539</t>
  </si>
  <si>
    <t>27648056180</t>
  </si>
  <si>
    <t>14299604</t>
  </si>
  <si>
    <t>5e3f585e-5ba8-4571-8632-93aa611ac853</t>
  </si>
  <si>
    <t>2026-05-26 11:51:21</t>
  </si>
  <si>
    <t>27738619375</t>
  </si>
  <si>
    <t>14299496</t>
  </si>
  <si>
    <t>8d691f67-b2eb-4f74-a58b-291df2e34783</t>
  </si>
  <si>
    <t>2026-05-26 11:51:15</t>
  </si>
  <si>
    <t>27796095630</t>
  </si>
  <si>
    <t>14299717</t>
  </si>
  <si>
    <t>b5176a85-d672-4654-968e-63f114dc229d</t>
  </si>
  <si>
    <t>27795300471</t>
  </si>
  <si>
    <t>14299873</t>
  </si>
  <si>
    <t>41c373f7-7ce8-4a32-ac53-2fa9ece46ca2</t>
  </si>
  <si>
    <t>2026-05-26 11:51:04</t>
  </si>
  <si>
    <t>27799800169</t>
  </si>
  <si>
    <t>14299473</t>
  </si>
  <si>
    <t>e21e94b7-8bed-468c-a630-77fb787c07b8</t>
  </si>
  <si>
    <t>2026-05-26 11:50:59</t>
  </si>
  <si>
    <t>27728702160</t>
  </si>
  <si>
    <t>14299586</t>
  </si>
  <si>
    <t>eaa7dea3-bd94-4abb-b38e-6812df5310c1</t>
  </si>
  <si>
    <t>2026-05-26 11:50:54</t>
  </si>
  <si>
    <t>27637215003</t>
  </si>
  <si>
    <t>14299470</t>
  </si>
  <si>
    <t>110eac13-dc5a-48b5-9fb7-e364dcdb3236</t>
  </si>
  <si>
    <t>27799156844</t>
  </si>
  <si>
    <t>2026-05-26 11:50:53</t>
  </si>
  <si>
    <t>14299554</t>
  </si>
  <si>
    <t>6e88fee5-47fb-449a-b8b7-e67d592f4280</t>
  </si>
  <si>
    <t>27727289737</t>
  </si>
  <si>
    <t>14299482</t>
  </si>
  <si>
    <t>db6087ee-f2ca-4843-9ff7-a11f87e830a4</t>
  </si>
  <si>
    <t>2026-05-26 11:50:51</t>
  </si>
  <si>
    <t>27796623764</t>
  </si>
  <si>
    <t>14299514</t>
  </si>
  <si>
    <t>94404dce-19f7-45d0-80e4-328d9e8cf270</t>
  </si>
  <si>
    <t>2026-05-26 11:50:49</t>
  </si>
  <si>
    <t>27797979350</t>
  </si>
  <si>
    <t>14299464</t>
  </si>
  <si>
    <t>eb7f9f8b-8473-4c73-a957-69c406f653ea</t>
  </si>
  <si>
    <t>2026-05-26 11:50:47</t>
  </si>
  <si>
    <t>27743440122</t>
  </si>
  <si>
    <t>14299743</t>
  </si>
  <si>
    <t>e8b27956-1e55-497e-827d-5784645d8e3e</t>
  </si>
  <si>
    <t>27824521216</t>
  </si>
  <si>
    <t>14299520</t>
  </si>
  <si>
    <t>5a6fdbb5-f62d-4881-a03c-ea14529ce240</t>
  </si>
  <si>
    <t>27836307677</t>
  </si>
  <si>
    <t>2026-05-26 11:50:20</t>
  </si>
  <si>
    <t>14299474</t>
  </si>
  <si>
    <t>586f91ac-0462-4c26-a6b4-8f1202d4a165</t>
  </si>
  <si>
    <t>2026-05-26 11:50:16</t>
  </si>
  <si>
    <t>27826752152</t>
  </si>
  <si>
    <t>14299507</t>
  </si>
  <si>
    <t>14816d97-317f-4e65-b764-79d50e6513e9</t>
  </si>
  <si>
    <t>27795254908</t>
  </si>
  <si>
    <t>14299516</t>
  </si>
  <si>
    <t>d4638c89-b7b3-4c7c-a0d3-eb30f18c5fb7</t>
  </si>
  <si>
    <t>27818463738</t>
  </si>
  <si>
    <t>14299526</t>
  </si>
  <si>
    <t>6e4f3446-b343-4539-a943-7f167f969061</t>
  </si>
  <si>
    <t>27609397345</t>
  </si>
  <si>
    <t>14299572</t>
  </si>
  <si>
    <t>03a44230-9cec-4d27-82d8-c1325e460d2a</t>
  </si>
  <si>
    <t>27795558254</t>
  </si>
  <si>
    <t>14299610</t>
  </si>
  <si>
    <t>b481ec5f-4799-4cd3-9ca8-967f00520e2e</t>
  </si>
  <si>
    <t>2026-05-26 11:50:11</t>
  </si>
  <si>
    <t>27764565422</t>
  </si>
  <si>
    <t>14299740</t>
  </si>
  <si>
    <t>ab06e358-3930-4daf-bbca-65a6d546cab0</t>
  </si>
  <si>
    <t>27724981684</t>
  </si>
  <si>
    <t>14299621</t>
  </si>
  <si>
    <t>0d0bc48a-8ce3-4a5d-8bb2-97730bb51ff2</t>
  </si>
  <si>
    <t>2026-05-26 11:49:28</t>
  </si>
  <si>
    <t>27825938629</t>
  </si>
  <si>
    <t>14299612</t>
  </si>
  <si>
    <t>1302444b-a7e1-4934-b375-46003bd6d728</t>
  </si>
  <si>
    <t>2026-05-26 11:49:27</t>
  </si>
  <si>
    <t>27794410309</t>
  </si>
  <si>
    <t>14299720</t>
  </si>
  <si>
    <t>c15a9396-e470-4355-bc8e-0dcac3e97e3d</t>
  </si>
  <si>
    <t>2026-05-26 11:49:22</t>
  </si>
  <si>
    <t>27790987182</t>
  </si>
  <si>
    <t>14299551</t>
  </si>
  <si>
    <t>00098cf2-1a62-4bda-9353-6da1e38a8d7c</t>
  </si>
  <si>
    <t>2026-05-26 11:49:20</t>
  </si>
  <si>
    <t>27713019393</t>
  </si>
  <si>
    <t>14299555</t>
  </si>
  <si>
    <t>f6155ecf-cca7-4668-a2ca-24fc2cbb0efe</t>
  </si>
  <si>
    <t>27829767466</t>
  </si>
  <si>
    <t>14299691</t>
  </si>
  <si>
    <t>bd612df6-43d8-42e2-97f3-074ed5aae9e8</t>
  </si>
  <si>
    <t>27769568220</t>
  </si>
  <si>
    <t>14299699</t>
  </si>
  <si>
    <t>e9ef8302-843d-4dd9-a7e4-f2b4a594aed0</t>
  </si>
  <si>
    <t>27727444551</t>
  </si>
  <si>
    <t>14299840</t>
  </si>
  <si>
    <t>a44d1dbf-5667-4eff-b1f2-f478d21048a6</t>
  </si>
  <si>
    <t>27767823571</t>
  </si>
  <si>
    <t>14299519</t>
  </si>
  <si>
    <t>8b56a00a-107b-4d02-9954-5b1a92319dff</t>
  </si>
  <si>
    <t>2026-05-26 11:49:11</t>
  </si>
  <si>
    <t>27724845677</t>
  </si>
  <si>
    <t>14299524</t>
  </si>
  <si>
    <t>e8eb8925-2584-4f18-a053-8c0fff14fdfb</t>
  </si>
  <si>
    <t>27660558183</t>
  </si>
  <si>
    <t>14299543</t>
  </si>
  <si>
    <t>008f6282-d1d7-4cf4-b618-29d9ee2e0a1e</t>
  </si>
  <si>
    <t>27764052941</t>
  </si>
  <si>
    <t>14299544</t>
  </si>
  <si>
    <t>9e529136-d5ee-47fc-a3bb-f40a14c3d3bc</t>
  </si>
  <si>
    <t>27792564236</t>
  </si>
  <si>
    <t>14299682</t>
  </si>
  <si>
    <t>ca89226a-e3bf-431b-8ab1-5d5920d75b53</t>
  </si>
  <si>
    <t>27822593607</t>
  </si>
  <si>
    <t>14299765</t>
  </si>
  <si>
    <t>52664af0-f57c-442c-bd99-4387b62ea0cf</t>
  </si>
  <si>
    <t>2026-05-26 11:49:08</t>
  </si>
  <si>
    <t>27726477605</t>
  </si>
  <si>
    <t>14299561</t>
  </si>
  <si>
    <t>481df192-e26f-4317-bdb3-91038615d7d4</t>
  </si>
  <si>
    <t>27818975110</t>
  </si>
  <si>
    <t>2026-05-26 11:48:57</t>
  </si>
  <si>
    <t>14299889</t>
  </si>
  <si>
    <t>4dce9856-8404-4f7d-86da-cf8ee0371dd7</t>
  </si>
  <si>
    <t>27713299847</t>
  </si>
  <si>
    <t>14299643</t>
  </si>
  <si>
    <t>5d28c906-8ec7-46e8-9a6c-4192f4dd2d24</t>
  </si>
  <si>
    <t>2026-05-26 11:48:51</t>
  </si>
  <si>
    <t>27636746486</t>
  </si>
  <si>
    <t>14299517</t>
  </si>
  <si>
    <t>5caa43c9-94e4-4f45-a72b-e8ad17e8ae6a</t>
  </si>
  <si>
    <t>2026-05-26 11:48:49</t>
  </si>
  <si>
    <t>27647551006</t>
  </si>
  <si>
    <t>14299605</t>
  </si>
  <si>
    <t>34bae5b0-efa4-4773-9df4-a99a18f094b2</t>
  </si>
  <si>
    <t>27720364831</t>
  </si>
  <si>
    <t>2026-05-26 11:48:47</t>
  </si>
  <si>
    <t>14299559</t>
  </si>
  <si>
    <t>97921a53-dfbc-479e-903c-f26c6d2cb9ce</t>
  </si>
  <si>
    <t>27769867051</t>
  </si>
  <si>
    <t>2026-05-26 11:48:33</t>
  </si>
  <si>
    <t>14299513</t>
  </si>
  <si>
    <t>407e9519-9515-4334-9dc8-0007e50679b3</t>
  </si>
  <si>
    <t>2026-05-26 11:48:31</t>
  </si>
  <si>
    <t>27608922521</t>
  </si>
  <si>
    <t>14299521</t>
  </si>
  <si>
    <t>d7cec752-beee-46b8-88cc-16777ed493a9</t>
  </si>
  <si>
    <t>27608532900</t>
  </si>
  <si>
    <t>14299796</t>
  </si>
  <si>
    <t>33933395-01c5-4ee2-98ea-44a71201bebf</t>
  </si>
  <si>
    <t>27763925603</t>
  </si>
  <si>
    <t>14299545</t>
  </si>
  <si>
    <t>e185a72b-ae7c-41b0-8615-a88bbfc234b3</t>
  </si>
  <si>
    <t>27797181403</t>
  </si>
  <si>
    <t>2026-05-26 11:47:28</t>
  </si>
  <si>
    <t>14299539</t>
  </si>
  <si>
    <t>13d1d437-e1be-4231-934c-92e6ee17ee41</t>
  </si>
  <si>
    <t>2026-05-26 11:47:26</t>
  </si>
  <si>
    <t>27660322924</t>
  </si>
  <si>
    <t>14299556</t>
  </si>
  <si>
    <t>e15079bc-cb07-446f-a692-9ca7b6b195ba</t>
  </si>
  <si>
    <t>27715793594</t>
  </si>
  <si>
    <t>14299558</t>
  </si>
  <si>
    <t>ca434611-364f-48c0-8d5d-316ce561a413</t>
  </si>
  <si>
    <t>27712327547</t>
  </si>
  <si>
    <t>2026-05-26 11:47:23</t>
  </si>
  <si>
    <t>14299930</t>
  </si>
  <si>
    <t>d3a8cb85-6347-4f8d-94ad-72444bbe9043</t>
  </si>
  <si>
    <t>27825076010</t>
  </si>
  <si>
    <t>14299540</t>
  </si>
  <si>
    <t>8e7f2ec1-c632-4a71-ba87-79df0eb67d18</t>
  </si>
  <si>
    <t>2026-05-26 11:47:17</t>
  </si>
  <si>
    <t>27723320900</t>
  </si>
  <si>
    <t>14299666</t>
  </si>
  <si>
    <t>d0d2ea4e-8d5f-4135-9635-d12db957de3b</t>
  </si>
  <si>
    <t>27673747708</t>
  </si>
  <si>
    <t>2026-05-26 11:47:13</t>
  </si>
  <si>
    <t>14299537</t>
  </si>
  <si>
    <t>1314c96a-8d59-4ee7-aafe-18328b8f2f9b</t>
  </si>
  <si>
    <t>27648033098</t>
  </si>
  <si>
    <t>2026-05-26 11:47:06</t>
  </si>
  <si>
    <t>14299550</t>
  </si>
  <si>
    <t>6598bc1e-5bb2-4570-aacd-dbffb9526bff</t>
  </si>
  <si>
    <t>27665394122</t>
  </si>
  <si>
    <t>14299623</t>
  </si>
  <si>
    <t>13b7a7c0-48ed-4fcc-860b-f68a7acb85f7</t>
  </si>
  <si>
    <t>27769132860</t>
  </si>
  <si>
    <t>14299580</t>
  </si>
  <si>
    <t>6fb79aea-f3ad-4a9c-84cb-cbf66ea89a02</t>
  </si>
  <si>
    <t>2026-05-26 11:46:45</t>
  </si>
  <si>
    <t>27791458185</t>
  </si>
  <si>
    <t>14299808</t>
  </si>
  <si>
    <t>06b32923-66d2-4100-90e7-b2fe2e464320</t>
  </si>
  <si>
    <t>27792696579</t>
  </si>
  <si>
    <t>14299529</t>
  </si>
  <si>
    <t>19560f96-f4d5-4cab-89c2-a2e1b08155de</t>
  </si>
  <si>
    <t>2026-05-26 11:46:42</t>
  </si>
  <si>
    <t>27664202686</t>
  </si>
  <si>
    <t>14299541</t>
  </si>
  <si>
    <t>5d81c1e2-eb36-40c0-a561-434d0c074e4e</t>
  </si>
  <si>
    <t>27735186321</t>
  </si>
  <si>
    <t>14300112</t>
  </si>
  <si>
    <t>893175d1-7cb2-4550-ac57-2aa55d1fd3af</t>
  </si>
  <si>
    <t>27826708891</t>
  </si>
  <si>
    <t>2026-05-26 11:46:20</t>
  </si>
  <si>
    <t>14299752</t>
  </si>
  <si>
    <t>30cf5768-8faf-4dcb-9f34-4ebbe5cb840a</t>
  </si>
  <si>
    <t>27711315242</t>
  </si>
  <si>
    <t>2026-05-26 11:45:58</t>
  </si>
  <si>
    <t>14299753</t>
  </si>
  <si>
    <t>d2eed95f-4e81-43f3-b890-5e75b7c9870f</t>
  </si>
  <si>
    <t>27763971963</t>
  </si>
  <si>
    <t>14299600</t>
  </si>
  <si>
    <t>14fd1c41-f00e-4dcc-98f1-1ccbc0b67339</t>
  </si>
  <si>
    <t>2026-05-26 11:45:53</t>
  </si>
  <si>
    <t>27763011932</t>
  </si>
  <si>
    <t>14299608</t>
  </si>
  <si>
    <t>26333aa2-f8da-43b5-acba-9afc70e47503</t>
  </si>
  <si>
    <t>27649914642</t>
  </si>
  <si>
    <t>14299563</t>
  </si>
  <si>
    <t>8afb38d2-ee99-48bc-9fcc-21344f707e9d</t>
  </si>
  <si>
    <t>27607771981</t>
  </si>
  <si>
    <t>14299573</t>
  </si>
  <si>
    <t>73dbe986-80d2-4a83-a303-204a449fed04</t>
  </si>
  <si>
    <t>27767425546</t>
  </si>
  <si>
    <t>14299913</t>
  </si>
  <si>
    <t>9cefb774-763a-428e-921d-c79cf43e0e18</t>
  </si>
  <si>
    <t>27763579204</t>
  </si>
  <si>
    <t>14299593</t>
  </si>
  <si>
    <t>e039d86f-94d4-4891-ae2a-eb66d1ad8898</t>
  </si>
  <si>
    <t>27820726565</t>
  </si>
  <si>
    <t>2026-05-26 11:45:52</t>
  </si>
  <si>
    <t>14299731</t>
  </si>
  <si>
    <t>d9398aac-bf2f-4362-924d-c7416fb33d28</t>
  </si>
  <si>
    <t>27722732625</t>
  </si>
  <si>
    <t>2026-05-26 11:45:35</t>
  </si>
  <si>
    <t>14299579</t>
  </si>
  <si>
    <t>f97b16a7-cbf2-4f56-b2bc-0ac786ace4d0</t>
  </si>
  <si>
    <t>27665961634</t>
  </si>
  <si>
    <t>2026-05-26 11:45:20</t>
  </si>
  <si>
    <t>14299594</t>
  </si>
  <si>
    <t>8d5d137f-0ba3-48a3-a26e-60ddeb4879ae</t>
  </si>
  <si>
    <t>2026-05-26 11:45:16</t>
  </si>
  <si>
    <t>27794722478</t>
  </si>
  <si>
    <t>14299951</t>
  </si>
  <si>
    <t>5ceaf3cb-798a-425b-8b24-0d2f91a06a6f</t>
  </si>
  <si>
    <t>27661132667</t>
  </si>
  <si>
    <t>14299566</t>
  </si>
  <si>
    <t>f5734d5c-e4be-4831-b190-682d84b16c10</t>
  </si>
  <si>
    <t>2026-05-26 11:45:15</t>
  </si>
  <si>
    <t>27793648515</t>
  </si>
  <si>
    <t>14299825</t>
  </si>
  <si>
    <t>248a9a9d-c96f-4d4a-aa5f-df79f91109ea</t>
  </si>
  <si>
    <t>27765193053</t>
  </si>
  <si>
    <t>14299711</t>
  </si>
  <si>
    <t>cc948b7f-6813-4743-952f-1445c90ddcc5</t>
  </si>
  <si>
    <t>27723052122</t>
  </si>
  <si>
    <t>14299674</t>
  </si>
  <si>
    <t>24120d43-a010-4c3d-be97-eeaf572fcd0f</t>
  </si>
  <si>
    <t>2026-05-26 11:45:13</t>
  </si>
  <si>
    <t>27796424351</t>
  </si>
  <si>
    <t>14299581</t>
  </si>
  <si>
    <t>fd0fee7f-9ee1-4952-b063-baa2b879370a</t>
  </si>
  <si>
    <t>27796263416</t>
  </si>
  <si>
    <t>2026-05-26 11:45:03</t>
  </si>
  <si>
    <t>14299557</t>
  </si>
  <si>
    <t>8dfebd81-4bdb-465b-b611-c170a1e36cde</t>
  </si>
  <si>
    <t>2026-05-26 11:44:58</t>
  </si>
  <si>
    <t>27713482835</t>
  </si>
  <si>
    <t>14299609</t>
  </si>
  <si>
    <t>6a2c9893-d64a-44a7-a1f3-a8017e42a1d1</t>
  </si>
  <si>
    <t>27713645149</t>
  </si>
  <si>
    <t>14299567</t>
  </si>
  <si>
    <t>ca28d8a9-6bc8-4000-86ca-0830fae465ba</t>
  </si>
  <si>
    <t>27715053067</t>
  </si>
  <si>
    <t>14299589</t>
  </si>
  <si>
    <t>ef96057e-3def-41ab-9306-44bedbfd767b</t>
  </si>
  <si>
    <t>2026-05-26 11:44:10</t>
  </si>
  <si>
    <t>27727592107</t>
  </si>
  <si>
    <t>14299614</t>
  </si>
  <si>
    <t>bcdaedb9-2922-4b6b-a741-8cae76a78369</t>
  </si>
  <si>
    <t>27824375942</t>
  </si>
  <si>
    <t>14299570</t>
  </si>
  <si>
    <t>df8c77cf-cd4e-45eb-873a-6bd1ed939ba5</t>
  </si>
  <si>
    <t>27727661488</t>
  </si>
  <si>
    <t>14299687</t>
  </si>
  <si>
    <t>7a17573b-f868-4790-b6d4-a9b794a1a791</t>
  </si>
  <si>
    <t>27826263169</t>
  </si>
  <si>
    <t>14299850</t>
  </si>
  <si>
    <t>10d595ad-29b2-4038-9b40-efcd02f6395c</t>
  </si>
  <si>
    <t>27665999651</t>
  </si>
  <si>
    <t>2026-05-26 11:43:59</t>
  </si>
  <si>
    <t>14299564</t>
  </si>
  <si>
    <t>9a390f26-7d0f-4dff-b7c8-88b43030442c</t>
  </si>
  <si>
    <t>2026-05-26 11:43:54</t>
  </si>
  <si>
    <t>27825181354</t>
  </si>
  <si>
    <t>14299576</t>
  </si>
  <si>
    <t>a6c4399d-b853-432b-a9c3-cc2439d58d3e</t>
  </si>
  <si>
    <t>27834487990</t>
  </si>
  <si>
    <t>2026-05-26 11:43:53</t>
  </si>
  <si>
    <t>14299863</t>
  </si>
  <si>
    <t>0965cb31-aedf-451a-a413-400b511f7449</t>
  </si>
  <si>
    <t>2026-05-26 11:43:51</t>
  </si>
  <si>
    <t>27792296437</t>
  </si>
  <si>
    <t>14299568</t>
  </si>
  <si>
    <t>942f6848-d558-4992-b200-bf2c97ec4b38</t>
  </si>
  <si>
    <t>2026-05-26 11:43:47</t>
  </si>
  <si>
    <t>27730484321</t>
  </si>
  <si>
    <t>14299591</t>
  </si>
  <si>
    <t>1c555a56-e627-42b5-9b86-83a5cc0c7fbb</t>
  </si>
  <si>
    <t>2026-05-26 11:42:30</t>
  </si>
  <si>
    <t>27648043120</t>
  </si>
  <si>
    <t>14299734</t>
  </si>
  <si>
    <t>21c0e095-38d3-4ecc-aaa1-716581f5c525</t>
  </si>
  <si>
    <t>27664220257</t>
  </si>
  <si>
    <t>14299860</t>
  </si>
  <si>
    <t>62cf263b-a5d8-476d-8c29-1f880f98a6bc</t>
  </si>
  <si>
    <t>27792995686</t>
  </si>
  <si>
    <t>14300019</t>
  </si>
  <si>
    <t>03ca066c-fbbe-4002-87d8-82b020edc61f</t>
  </si>
  <si>
    <t>27792448009</t>
  </si>
  <si>
    <t>14299588</t>
  </si>
  <si>
    <t>781d813d-5ece-42e3-88a6-486617e228f1</t>
  </si>
  <si>
    <t>2026-05-26 11:42:24</t>
  </si>
  <si>
    <t>27818867171</t>
  </si>
  <si>
    <t>14299702</t>
  </si>
  <si>
    <t>b47d042c-303a-47fb-a68b-80ad92ea76c1</t>
  </si>
  <si>
    <t>27722352272</t>
  </si>
  <si>
    <t>2026-05-26 11:42:23</t>
  </si>
  <si>
    <t>14299602</t>
  </si>
  <si>
    <t>6249581c-ac57-4e80-a704-d9ae997e3353</t>
  </si>
  <si>
    <t>2026-05-26 11:42:22</t>
  </si>
  <si>
    <t>27824891208</t>
  </si>
  <si>
    <t>14299582</t>
  </si>
  <si>
    <t>2ff6501f-b2ca-45ed-836c-667a91acc905</t>
  </si>
  <si>
    <t>27663830968</t>
  </si>
  <si>
    <t>2026-05-26 11:42:18</t>
  </si>
  <si>
    <t>14299642</t>
  </si>
  <si>
    <t>297e055c-efd0-44d6-8a09-07629a18d0f7</t>
  </si>
  <si>
    <t>27790247554</t>
  </si>
  <si>
    <t>14299592</t>
  </si>
  <si>
    <t>d5274f64-74bd-415b-b566-f7e4b4115ec7</t>
  </si>
  <si>
    <t>27636662050</t>
  </si>
  <si>
    <t>14299880</t>
  </si>
  <si>
    <t>0f01fb99-64ec-457b-b84b-d0e3efefa03c</t>
  </si>
  <si>
    <t>27636787460</t>
  </si>
  <si>
    <t>14299637</t>
  </si>
  <si>
    <t>b852b7e9-8fb8-4b08-80fb-f63c4770c117</t>
  </si>
  <si>
    <t>2026-05-26 11:41:41</t>
  </si>
  <si>
    <t>27762990916</t>
  </si>
  <si>
    <t>14299792</t>
  </si>
  <si>
    <t>bddee434-797a-472d-b665-998d0e8266d0</t>
  </si>
  <si>
    <t>27722091331</t>
  </si>
  <si>
    <t>14299877</t>
  </si>
  <si>
    <t>9523db0e-4d8f-4f4a-b166-d2d043d65fff</t>
  </si>
  <si>
    <t>27609395423</t>
  </si>
  <si>
    <t>2026-05-26 11:41:38</t>
  </si>
  <si>
    <t>14300080</t>
  </si>
  <si>
    <t>053bc430-fac6-435b-874a-741219ff6585</t>
  </si>
  <si>
    <t>27824818732</t>
  </si>
  <si>
    <t>14299603</t>
  </si>
  <si>
    <t>8ba6d97f-8c3e-48f0-a62f-47cb822b2467</t>
  </si>
  <si>
    <t>27728418602</t>
  </si>
  <si>
    <t>2026-05-26 11:41:37</t>
  </si>
  <si>
    <t>14299606</t>
  </si>
  <si>
    <t>a929beb7-08d2-415d-ae22-3db8c01b3502</t>
  </si>
  <si>
    <t>27721531333</t>
  </si>
  <si>
    <t>14299759</t>
  </si>
  <si>
    <t>4fabc78c-4c05-41c5-bf0d-6b5c01945414</t>
  </si>
  <si>
    <t>27791278274</t>
  </si>
  <si>
    <t>14299619</t>
  </si>
  <si>
    <t>648dfa9d-105d-4e42-8941-dc6bd5101af0</t>
  </si>
  <si>
    <t>2026-05-26 11:41:36</t>
  </si>
  <si>
    <t>27660527195</t>
  </si>
  <si>
    <t>14299673</t>
  </si>
  <si>
    <t>f0a0634d-6581-4217-a79a-626a5fe78e83</t>
  </si>
  <si>
    <t>27764484459</t>
  </si>
  <si>
    <t>14299728</t>
  </si>
  <si>
    <t>93dc2fd4-988f-46a4-96e0-74fbbcf4d384</t>
  </si>
  <si>
    <t>27813308054</t>
  </si>
  <si>
    <t>14299908</t>
  </si>
  <si>
    <t>8c599bae-2362-4afd-a384-98bb67eb078b</t>
  </si>
  <si>
    <t>27725977991</t>
  </si>
  <si>
    <t>14299598</t>
  </si>
  <si>
    <t>c3fbf81c-84ec-4311-b55f-0048908b732f</t>
  </si>
  <si>
    <t>27714870609</t>
  </si>
  <si>
    <t>2026-05-26 11:41:19</t>
  </si>
  <si>
    <t>14299607</t>
  </si>
  <si>
    <t>8689624e-aac3-48f8-8dd3-897b1fdc2b7d</t>
  </si>
  <si>
    <t>2026-05-26 11:41:11</t>
  </si>
  <si>
    <t>27661153206</t>
  </si>
  <si>
    <t>14299693</t>
  </si>
  <si>
    <t>130b5ae2-40c7-4101-9f6f-31caa54992a4</t>
  </si>
  <si>
    <t>27720380739</t>
  </si>
  <si>
    <t>2026-05-26 11:40:49</t>
  </si>
  <si>
    <t>14299668</t>
  </si>
  <si>
    <t>73a9cb03-2b74-406c-9455-5aaf055c1208</t>
  </si>
  <si>
    <t>27824787439</t>
  </si>
  <si>
    <t>2026-05-26 11:40:46</t>
  </si>
  <si>
    <t>14299671</t>
  </si>
  <si>
    <t>3f296d97-8caa-4d24-a9ee-c0228f8e7d43</t>
  </si>
  <si>
    <t>27764171363</t>
  </si>
  <si>
    <t>14299624</t>
  </si>
  <si>
    <t>ca3d23c5-daf3-4266-a674-df99792efebf</t>
  </si>
  <si>
    <t>27607756401</t>
  </si>
  <si>
    <t>14299818</t>
  </si>
  <si>
    <t>c37b6c91-7ddd-4488-8edb-377cf8b279b4</t>
  </si>
  <si>
    <t>27725708967</t>
  </si>
  <si>
    <t>14299903</t>
  </si>
  <si>
    <t>07c39124-168d-4aab-8f46-de305c9f0eec</t>
  </si>
  <si>
    <t>27713342671</t>
  </si>
  <si>
    <t>14299630</t>
  </si>
  <si>
    <t>91df9671-9b65-4d56-920d-e6d106518f57</t>
  </si>
  <si>
    <t>2026-05-26 11:40:45</t>
  </si>
  <si>
    <t>27768388996</t>
  </si>
  <si>
    <t>14300087</t>
  </si>
  <si>
    <t>e9af5e2f-667c-4228-a6ff-e06a3bdfb50f</t>
  </si>
  <si>
    <t>27738072326</t>
  </si>
  <si>
    <t>14299878</t>
  </si>
  <si>
    <t>a7e1c950-d26a-4194-89e9-12ecded4d515</t>
  </si>
  <si>
    <t>27762330019</t>
  </si>
  <si>
    <t>2026-05-26 11:40:20</t>
  </si>
  <si>
    <t>14299622</t>
  </si>
  <si>
    <t>6915ee86-1ada-4163-8600-8a57defda633</t>
  </si>
  <si>
    <t>2026-05-26 11:40:15</t>
  </si>
  <si>
    <t>27723472339</t>
  </si>
  <si>
    <t>14299748</t>
  </si>
  <si>
    <t>dc2878e8-2ec0-4aa2-8843-c6109aeee7e6</t>
  </si>
  <si>
    <t>27790396788</t>
  </si>
  <si>
    <t>14299784</t>
  </si>
  <si>
    <t>c33d5b6b-2952-48cd-a03e-67dfc0ca2e3a</t>
  </si>
  <si>
    <t>27797327197</t>
  </si>
  <si>
    <t>14299650</t>
  </si>
  <si>
    <t>69880f06-d4e3-4253-8117-0cb5b82403ff</t>
  </si>
  <si>
    <t>27774778608</t>
  </si>
  <si>
    <t>2026-05-26 11:40:14</t>
  </si>
  <si>
    <t>14299618</t>
  </si>
  <si>
    <t>3559075c-71ad-457d-91b8-6c0d3ed0d9b2</t>
  </si>
  <si>
    <t>27792224984</t>
  </si>
  <si>
    <t>14299632</t>
  </si>
  <si>
    <t>e8238715-e043-46ac-9330-9ebb61dae630</t>
  </si>
  <si>
    <t>27606895985</t>
  </si>
  <si>
    <t>14299915</t>
  </si>
  <si>
    <t>01698e89-a5e3-46b1-a4e1-674cb2512174</t>
  </si>
  <si>
    <t>27791169658</t>
  </si>
  <si>
    <t>14299756</t>
  </si>
  <si>
    <t>4394e534-7e67-4656-a0ef-246507170ce0</t>
  </si>
  <si>
    <t>27661669759</t>
  </si>
  <si>
    <t>2026-05-26 11:40:05</t>
  </si>
  <si>
    <t>14299644</t>
  </si>
  <si>
    <t>e3c2e8e8-ae63-4b60-a8ee-498b9b5eec77</t>
  </si>
  <si>
    <t>27826122011</t>
  </si>
  <si>
    <t>2026-05-26 11:39:45</t>
  </si>
  <si>
    <t>14299793</t>
  </si>
  <si>
    <t>0338f8bd-6687-4dc8-a8bd-d93a3f56b58e</t>
  </si>
  <si>
    <t>27725319375</t>
  </si>
  <si>
    <t>2026-05-26 11:39:44</t>
  </si>
  <si>
    <t>14299640</t>
  </si>
  <si>
    <t>87f11c31-3064-4612-a77f-a77104fed287</t>
  </si>
  <si>
    <t>27760776616</t>
  </si>
  <si>
    <t>2026-05-26 11:39:41</t>
  </si>
  <si>
    <t>14299667</t>
  </si>
  <si>
    <t>cf7b820a-e019-486e-bbb2-48bd049aa65b</t>
  </si>
  <si>
    <t>27824026509</t>
  </si>
  <si>
    <t>14299704</t>
  </si>
  <si>
    <t>75b72943-a48f-46aa-a482-ca35f9929cf4</t>
  </si>
  <si>
    <t>27728602378</t>
  </si>
  <si>
    <t>14299633</t>
  </si>
  <si>
    <t>6788a42d-507a-4984-ac5b-1e0dbb785c41</t>
  </si>
  <si>
    <t>2026-05-26 11:39:36</t>
  </si>
  <si>
    <t>27607302203</t>
  </si>
  <si>
    <t>14299916</t>
  </si>
  <si>
    <t>a2daa4ff-f249-47b1-8884-4ebb4e55083b</t>
  </si>
  <si>
    <t>27791047482</t>
  </si>
  <si>
    <t>14299646</t>
  </si>
  <si>
    <t>076ce3eb-0a5c-4e7e-8115-f7d2bfcc8462</t>
  </si>
  <si>
    <t>27715451719</t>
  </si>
  <si>
    <t>2026-05-26 11:39:35</t>
  </si>
  <si>
    <t>14299927</t>
  </si>
  <si>
    <t>d0fbb969-2401-48a9-863b-962c04618725</t>
  </si>
  <si>
    <t>27773826920</t>
  </si>
  <si>
    <t>2026-05-26 11:39:04</t>
  </si>
  <si>
    <t>14299769</t>
  </si>
  <si>
    <t>843570d8-58d4-4b5e-82ed-d8c2401764df</t>
  </si>
  <si>
    <t>27826402659</t>
  </si>
  <si>
    <t>2026-05-26 11:39:01</t>
  </si>
  <si>
    <t>14299767</t>
  </si>
  <si>
    <t>c73fd57e-31b1-461c-9c8f-15a6f1beb1e7</t>
  </si>
  <si>
    <t>27793900153</t>
  </si>
  <si>
    <t>2026-05-26 11:38:43</t>
  </si>
  <si>
    <t>14299801</t>
  </si>
  <si>
    <t>29cdce04-b3e4-4678-b12f-ebd3f7b64d60</t>
  </si>
  <si>
    <t>27721758117</t>
  </si>
  <si>
    <t>14299651</t>
  </si>
  <si>
    <t>531b93c0-13a7-403e-9720-49a85ae650e6</t>
  </si>
  <si>
    <t>2026-05-26 11:38:22</t>
  </si>
  <si>
    <t>27714053996</t>
  </si>
  <si>
    <t>14299718</t>
  </si>
  <si>
    <t>4ab96e81-d986-4469-a7c3-05c3685a114a</t>
  </si>
  <si>
    <t>27608094195</t>
  </si>
  <si>
    <t>2026-05-26 11:38:16</t>
  </si>
  <si>
    <t>14299677</t>
  </si>
  <si>
    <t>d1bb5196-96c2-4fcb-8cb0-89ba96730130</t>
  </si>
  <si>
    <t>27792696014</t>
  </si>
  <si>
    <t>14299929</t>
  </si>
  <si>
    <t>6a7b0d7a-7a81-4110-a986-c135f4170712</t>
  </si>
  <si>
    <t>27790170625</t>
  </si>
  <si>
    <t>14299645</t>
  </si>
  <si>
    <t>27ded09b-3854-485b-94ff-2547bbacf4a3</t>
  </si>
  <si>
    <t>27675815276</t>
  </si>
  <si>
    <t>2026-05-26 11:37:50</t>
  </si>
  <si>
    <t>14299664</t>
  </si>
  <si>
    <t>331872ae-fb63-44bc-bed9-47cf6cbacad6</t>
  </si>
  <si>
    <t>2026-05-26 11:37:29</t>
  </si>
  <si>
    <t>27646119246</t>
  </si>
  <si>
    <t>14299716</t>
  </si>
  <si>
    <t>bc3ba293-9c30-4132-a342-60a2ca297a4e</t>
  </si>
  <si>
    <t>2026-05-26 11:37:22</t>
  </si>
  <si>
    <t>27820608891</t>
  </si>
  <si>
    <t>14299676</t>
  </si>
  <si>
    <t>f34c04f1-06d9-4cc6-be77-a39f1b145314</t>
  </si>
  <si>
    <t>27726616494</t>
  </si>
  <si>
    <t>2026-05-26 11:37:18</t>
  </si>
  <si>
    <t>14299683</t>
  </si>
  <si>
    <t>f548b1cd-37bf-4f91-8821-b5d96272263a</t>
  </si>
  <si>
    <t>27824493598</t>
  </si>
  <si>
    <t>14299823</t>
  </si>
  <si>
    <t>24808a2a-db6a-4195-b554-b7cb8d6f4360</t>
  </si>
  <si>
    <t>27763165530</t>
  </si>
  <si>
    <t>14299732</t>
  </si>
  <si>
    <t>85f30af1-3d6d-4c5a-9d02-f1fb5e79563c</t>
  </si>
  <si>
    <t>2026-05-26 11:37:17</t>
  </si>
  <si>
    <t>27822250086</t>
  </si>
  <si>
    <t>14299696</t>
  </si>
  <si>
    <t>a10fc6dd-768b-4f36-a61f-cfe3d956548f</t>
  </si>
  <si>
    <t>27711500393</t>
  </si>
  <si>
    <t>14299791</t>
  </si>
  <si>
    <t>e32e60a6-c1ab-4254-b2a5-953d30f23e34</t>
  </si>
  <si>
    <t>27764090788</t>
  </si>
  <si>
    <t>14299933</t>
  </si>
  <si>
    <t>ae82a55e-725a-4e78-ae02-ee4293c9c4e9</t>
  </si>
  <si>
    <t>27760416962</t>
  </si>
  <si>
    <t>14299669</t>
  </si>
  <si>
    <t>f34d00cc-1c75-4fda-b4f1-de5f0790ab23</t>
  </si>
  <si>
    <t>27827635942</t>
  </si>
  <si>
    <t>2026-05-26 11:35:58</t>
  </si>
  <si>
    <t>14299685</t>
  </si>
  <si>
    <t>ca4741af-f6fc-45ea-8b61-225903b2be59</t>
  </si>
  <si>
    <t>2026-05-26 11:35:55</t>
  </si>
  <si>
    <t>27606679496</t>
  </si>
  <si>
    <t>14299737</t>
  </si>
  <si>
    <t>4d704d54-9183-4764-9e9f-58b3d4d93e72</t>
  </si>
  <si>
    <t>27726829083</t>
  </si>
  <si>
    <t>2026-05-26 11:35:39</t>
  </si>
  <si>
    <t>14299675</t>
  </si>
  <si>
    <t>c5fef3af-8e39-4731-a1d3-ed8ee6d2c604</t>
  </si>
  <si>
    <t>27762553021</t>
  </si>
  <si>
    <t>2026-05-26 11:35:38</t>
  </si>
  <si>
    <t>14299689</t>
  </si>
  <si>
    <t>68de242d-8bf5-4693-8f09-50afb200d872</t>
  </si>
  <si>
    <t>27762601969</t>
  </si>
  <si>
    <t>14299937</t>
  </si>
  <si>
    <t>28d67d64-4a82-4542-a62a-22d2a5e646e5</t>
  </si>
  <si>
    <t>27723464663</t>
  </si>
  <si>
    <t>14299708</t>
  </si>
  <si>
    <t>c65b7bba-fbd0-4c68-9b55-6a66bb72a1d9</t>
  </si>
  <si>
    <t>2026-05-26 11:34:12</t>
  </si>
  <si>
    <t>27768234081</t>
  </si>
  <si>
    <t>14301179</t>
  </si>
  <si>
    <t>52cf6e30-44da-4b5d-b98c-b9b68db88772</t>
  </si>
  <si>
    <t>27792246254</t>
  </si>
  <si>
    <t>2026-05-26 11:34:11</t>
  </si>
  <si>
    <t>14299741</t>
  </si>
  <si>
    <t>311de6f7-5cc5-439e-8fdb-97792e56fdee</t>
  </si>
  <si>
    <t>27672995186</t>
  </si>
  <si>
    <t>2026-05-26 11:34:05</t>
  </si>
  <si>
    <t>14299948</t>
  </si>
  <si>
    <t>771fe24f-2fb1-4e36-ba64-2e88d22f7ca5</t>
  </si>
  <si>
    <t>2026-05-26 11:34:00</t>
  </si>
  <si>
    <t>27723012048</t>
  </si>
  <si>
    <t>14299684</t>
  </si>
  <si>
    <t>5e5ac0c8-fe63-4cdf-9e71-f317f91bfc02</t>
  </si>
  <si>
    <t>2026-05-26 11:33:57</t>
  </si>
  <si>
    <t>27825086484</t>
  </si>
  <si>
    <t>14299694</t>
  </si>
  <si>
    <t>7aa58911-0639-4427-a0bf-ce01501bc2ca</t>
  </si>
  <si>
    <t>27761172576</t>
  </si>
  <si>
    <t>2026-05-26 11:33:56</t>
  </si>
  <si>
    <t>14299709</t>
  </si>
  <si>
    <t>c885f6ef-e92d-4b81-b1d9-e95766adf3e6</t>
  </si>
  <si>
    <t>2026-05-26 11:33:50</t>
  </si>
  <si>
    <t>27712422535</t>
  </si>
  <si>
    <t>14299858</t>
  </si>
  <si>
    <t>fbe5d06b-5c15-42f5-86ba-eb9af28c73f7</t>
  </si>
  <si>
    <t>27726947885</t>
  </si>
  <si>
    <t>14299940</t>
  </si>
  <si>
    <t>7a45ce07-5d47-4d9d-b975-21854e76c0c1</t>
  </si>
  <si>
    <t>27790504145</t>
  </si>
  <si>
    <t>14300178</t>
  </si>
  <si>
    <t>a60493f6-aab6-42a2-ae35-3720e654293a</t>
  </si>
  <si>
    <t>27772564763</t>
  </si>
  <si>
    <t>14299706</t>
  </si>
  <si>
    <t>73b77379-926e-4c94-9f12-9fb6b26c5b77</t>
  </si>
  <si>
    <t>2026-05-26 11:33:44</t>
  </si>
  <si>
    <t>27734628557</t>
  </si>
  <si>
    <t>14299812</t>
  </si>
  <si>
    <t>be6a8dd3-5258-4463-960a-e050f821610e</t>
  </si>
  <si>
    <t>2026-05-26 11:33:42</t>
  </si>
  <si>
    <t>27725656291</t>
  </si>
  <si>
    <t>14299757</t>
  </si>
  <si>
    <t>463adcb6-07eb-4ebf-8369-f66a2c1f109c</t>
  </si>
  <si>
    <t>27606529306</t>
  </si>
  <si>
    <t>2026-05-26 11:33:39</t>
  </si>
  <si>
    <t>14299698</t>
  </si>
  <si>
    <t>dff4ec7d-9832-406a-b5cb-223e3793b7aa</t>
  </si>
  <si>
    <t>27727164362</t>
  </si>
  <si>
    <t>2026-05-26 11:33:12</t>
  </si>
  <si>
    <t>14299710</t>
  </si>
  <si>
    <t>5a80ca19-5f03-4376-9a81-1e40f22c6bfb</t>
  </si>
  <si>
    <t>27727767881</t>
  </si>
  <si>
    <t>14299955</t>
  </si>
  <si>
    <t>f37fe445-556c-471d-8869-6b3574a0cc57</t>
  </si>
  <si>
    <t>27767081041</t>
  </si>
  <si>
    <t>14299703</t>
  </si>
  <si>
    <t>27fe4815-afcf-473e-a16a-880c77ffd00f</t>
  </si>
  <si>
    <t>2026-05-26 11:32:43</t>
  </si>
  <si>
    <t>27722581777</t>
  </si>
  <si>
    <t>14299713</t>
  </si>
  <si>
    <t>adb1e037-f1c1-48b9-94ee-a181d86bb45d</t>
  </si>
  <si>
    <t>27728532097</t>
  </si>
  <si>
    <t>14299956</t>
  </si>
  <si>
    <t>517889cb-3af5-4d0f-9561-d728fc24686f</t>
  </si>
  <si>
    <t>27675570584</t>
  </si>
  <si>
    <t>14299722</t>
  </si>
  <si>
    <t>14a5777a-56c5-4bd2-a8f4-2374ddcc8739</t>
  </si>
  <si>
    <t>2026-05-26 11:31:49</t>
  </si>
  <si>
    <t>27767869434</t>
  </si>
  <si>
    <t>14299719</t>
  </si>
  <si>
    <t>d0e29152-7d66-408c-801b-d104d8c2f192</t>
  </si>
  <si>
    <t>2026-05-26 11:31:34</t>
  </si>
  <si>
    <t>27827232578</t>
  </si>
  <si>
    <t>14299868</t>
  </si>
  <si>
    <t>5b4bae65-ab64-44f2-9d94-fc8c67a04b33</t>
  </si>
  <si>
    <t>27799541621</t>
  </si>
  <si>
    <t>14299826</t>
  </si>
  <si>
    <t>d7010f4f-9057-495b-a0b6-e242cca47283</t>
  </si>
  <si>
    <t>2026-05-26 11:31:33</t>
  </si>
  <si>
    <t>27792895904</t>
  </si>
  <si>
    <t>14299714</t>
  </si>
  <si>
    <t>553dc99b-531b-4cca-9d53-7e97dfdf2901</t>
  </si>
  <si>
    <t>27761683839</t>
  </si>
  <si>
    <t>2026-05-26 11:31:12</t>
  </si>
  <si>
    <t>14299735</t>
  </si>
  <si>
    <t>9ec31e15-4cde-4c7c-ac4c-8cecacec2eb1</t>
  </si>
  <si>
    <t>2026-05-26 11:30:58</t>
  </si>
  <si>
    <t>27720467576</t>
  </si>
  <si>
    <t>14299773</t>
  </si>
  <si>
    <t>c450f3ad-dcab-434d-9204-034809184eaa</t>
  </si>
  <si>
    <t>27711899236</t>
  </si>
  <si>
    <t>14299968</t>
  </si>
  <si>
    <t>3b8a3916-305f-499e-a452-6ce3f30acf67</t>
  </si>
  <si>
    <t>2026-05-26 11:30:57</t>
  </si>
  <si>
    <t>27818138837</t>
  </si>
  <si>
    <t>14299726</t>
  </si>
  <si>
    <t>32e83aa1-df8a-44c2-b962-7985106fda9e</t>
  </si>
  <si>
    <t>2026-05-26 11:30:53</t>
  </si>
  <si>
    <t>27825663019</t>
  </si>
  <si>
    <t>14299729</t>
  </si>
  <si>
    <t>a3896e23-d5b7-4542-b879-6653796ee596</t>
  </si>
  <si>
    <t>2026-05-26 11:30:51</t>
  </si>
  <si>
    <t>27826702014</t>
  </si>
  <si>
    <t>14299875</t>
  </si>
  <si>
    <t>06245b3e-e190-4d01-ab26-2ea76010ac5d</t>
  </si>
  <si>
    <t>27795651357</t>
  </si>
  <si>
    <t>14299842</t>
  </si>
  <si>
    <t>2ebf6fd1-a2e2-4a1a-9065-abf87c836206</t>
  </si>
  <si>
    <t>2026-05-26 11:30:48</t>
  </si>
  <si>
    <t>27829527150</t>
  </si>
  <si>
    <t>14299747</t>
  </si>
  <si>
    <t>cf94181e-5086-40b4-bc44-c2ec65f7cb1b</t>
  </si>
  <si>
    <t>2026-05-26 11:30:46</t>
  </si>
  <si>
    <t>27818776682</t>
  </si>
  <si>
    <t>14299724</t>
  </si>
  <si>
    <t>dffefa41-41c5-498d-a749-ff34a3063207</t>
  </si>
  <si>
    <t>2026-05-26 11:30:41</t>
  </si>
  <si>
    <t>27760689817</t>
  </si>
  <si>
    <t>14299733</t>
  </si>
  <si>
    <t>eef98b72-ac55-4548-8ab6-13bf45bccfb4</t>
  </si>
  <si>
    <t>27761757614</t>
  </si>
  <si>
    <t>14299788</t>
  </si>
  <si>
    <t>79583ec0-0b6b-4dac-8e19-0eb67d6fe51c</t>
  </si>
  <si>
    <t>27794987013</t>
  </si>
  <si>
    <t>14299985</t>
  </si>
  <si>
    <t>c4c2be67-44d7-40bc-80fd-1b710634a28e</t>
  </si>
  <si>
    <t>27795943909</t>
  </si>
  <si>
    <t>14300036</t>
  </si>
  <si>
    <t>40aeae48-857a-44bf-9e70-56d2dc73212d</t>
  </si>
  <si>
    <t>27774890343</t>
  </si>
  <si>
    <t>2026-05-26 11:30:26</t>
  </si>
  <si>
    <t>14299780</t>
  </si>
  <si>
    <t>0279f2b4-a09a-4009-94c7-7fb6733889c8</t>
  </si>
  <si>
    <t>2026-05-26 11:28:25</t>
  </si>
  <si>
    <t>27723308988</t>
  </si>
  <si>
    <t>14299973</t>
  </si>
  <si>
    <t>c57f7eb5-d63c-4f33-b17a-b6d737595158</t>
  </si>
  <si>
    <t>27827795531</t>
  </si>
  <si>
    <t>2026-05-26 11:28:23</t>
  </si>
  <si>
    <t>14300209</t>
  </si>
  <si>
    <t>2628732c-6201-4c80-a0ce-e45d0c10172c</t>
  </si>
  <si>
    <t>2026-05-26 11:28:18</t>
  </si>
  <si>
    <t>27827622183</t>
  </si>
  <si>
    <t>14299749</t>
  </si>
  <si>
    <t>755e7a49-a11b-4135-b835-4a493061bdc6</t>
  </si>
  <si>
    <t>2026-05-26 11:28:13</t>
  </si>
  <si>
    <t>27797163279</t>
  </si>
  <si>
    <t>14299862</t>
  </si>
  <si>
    <t>2a266b6f-1399-4223-9285-be51468e36c4</t>
  </si>
  <si>
    <t>2026-05-26 11:28:11</t>
  </si>
  <si>
    <t>27796677237</t>
  </si>
  <si>
    <t>14299893</t>
  </si>
  <si>
    <t>705ade0f-937b-4bdc-a88d-f631787006b8</t>
  </si>
  <si>
    <t>27647342074</t>
  </si>
  <si>
    <t>14299739</t>
  </si>
  <si>
    <t>af3148da-c053-4ad3-b16c-57c8d28c951b</t>
  </si>
  <si>
    <t>2026-05-26 11:28:02</t>
  </si>
  <si>
    <t>27649299345</t>
  </si>
  <si>
    <t>14299802</t>
  </si>
  <si>
    <t>3919b766-5577-4396-9c9b-d86dbe85098e</t>
  </si>
  <si>
    <t>27761728832</t>
  </si>
  <si>
    <t>14300029</t>
  </si>
  <si>
    <t>5083ceca-e432-49b4-9978-b83ce5290d82</t>
  </si>
  <si>
    <t>27790267577</t>
  </si>
  <si>
    <t>14299751</t>
  </si>
  <si>
    <t>6e23c496-eca8-4220-ac59-83721f4b2663</t>
  </si>
  <si>
    <t>2026-05-26 11:28:01</t>
  </si>
  <si>
    <t>27824300956</t>
  </si>
  <si>
    <t>14300885</t>
  </si>
  <si>
    <t>d0bc7354-a865-4ae3-8cd2-0567192f2dee</t>
  </si>
  <si>
    <t>27720165005</t>
  </si>
  <si>
    <t>2026-05-26 11:27:13</t>
  </si>
  <si>
    <t>14300061</t>
  </si>
  <si>
    <t>d301d88b-c03f-4906-aa61-36c3d1ae5ed1</t>
  </si>
  <si>
    <t>27761464154</t>
  </si>
  <si>
    <t>2026-05-26 11:26:34</t>
  </si>
  <si>
    <t>14299805</t>
  </si>
  <si>
    <t>d298ce1c-be5d-4e3d-8921-63110accbb89</t>
  </si>
  <si>
    <t>2026-05-26 11:25:24</t>
  </si>
  <si>
    <t>27825827351</t>
  </si>
  <si>
    <t>14299744</t>
  </si>
  <si>
    <t>0eb49106-15ce-4df2-955e-0023428edc2a</t>
  </si>
  <si>
    <t>2026-05-26 11:25:22</t>
  </si>
  <si>
    <t>27663478662</t>
  </si>
  <si>
    <t>14299755</t>
  </si>
  <si>
    <t>939c3341-d0cf-4123-b2e1-0b6c22c30c8d</t>
  </si>
  <si>
    <t>27790564155</t>
  </si>
  <si>
    <t>14299777</t>
  </si>
  <si>
    <t>14e50ca2-a120-4c47-8f77-918e4a34f535</t>
  </si>
  <si>
    <t>27609209023</t>
  </si>
  <si>
    <t>2026-05-26 11:24:35</t>
  </si>
  <si>
    <t>14299809</t>
  </si>
  <si>
    <t>3baa9598-ce9b-407b-abec-3f61980bda75</t>
  </si>
  <si>
    <t>2026-05-26 11:24:13</t>
  </si>
  <si>
    <t>27712718678</t>
  </si>
  <si>
    <t>14299750</t>
  </si>
  <si>
    <t>0229008d-b5ce-4ecb-9baf-123a8fa4d801</t>
  </si>
  <si>
    <t>27824279841</t>
  </si>
  <si>
    <t>14300041</t>
  </si>
  <si>
    <t>716441e1-a8b2-4aad-aa4e-8a5df8e765b0</t>
  </si>
  <si>
    <t>27799148655</t>
  </si>
  <si>
    <t>14299762</t>
  </si>
  <si>
    <t>0b2b8b04-a848-41f9-b398-43ceb5a3a866</t>
  </si>
  <si>
    <t>27674169280</t>
  </si>
  <si>
    <t>2026-05-26 11:24:12</t>
  </si>
  <si>
    <t>14299813</t>
  </si>
  <si>
    <t>24fd7f55-e25f-4679-9971-7e94fa13b2ba</t>
  </si>
  <si>
    <t>2026-05-26 11:23:00</t>
  </si>
  <si>
    <t>27637961604</t>
  </si>
  <si>
    <t>14299754</t>
  </si>
  <si>
    <t>bd6cdedd-3a7c-424c-93d0-53b026588d9c</t>
  </si>
  <si>
    <t>27793980902</t>
  </si>
  <si>
    <t>14299768</t>
  </si>
  <si>
    <t>9600e39c-1f67-4465-a26d-db57e87ae447</t>
  </si>
  <si>
    <t>27763809452</t>
  </si>
  <si>
    <t>14300042</t>
  </si>
  <si>
    <t>57fd693e-1cf8-4328-a224-f87f429acd13</t>
  </si>
  <si>
    <t>27823629630</t>
  </si>
  <si>
    <t>14300149</t>
  </si>
  <si>
    <t>fb1d39c5-e91a-4dc4-9e5e-aea467afc8ac</t>
  </si>
  <si>
    <t>27722928206</t>
  </si>
  <si>
    <t>2026-05-26 11:22:47</t>
  </si>
  <si>
    <t>14299820</t>
  </si>
  <si>
    <t>3b58a4e2-2e6f-414e-b160-ad0b66680658</t>
  </si>
  <si>
    <t>2026-05-26 11:22:20</t>
  </si>
  <si>
    <t>27795413895</t>
  </si>
  <si>
    <t>14299758</t>
  </si>
  <si>
    <t>d4448dfa-b066-4a84-95d1-8d8de83b790b</t>
  </si>
  <si>
    <t>27607099256</t>
  </si>
  <si>
    <t>14299771</t>
  </si>
  <si>
    <t>49a6f326-ef53-4403-9500-4e8b54dd3915</t>
  </si>
  <si>
    <t>27727271314</t>
  </si>
  <si>
    <t>14300046</t>
  </si>
  <si>
    <t>4959db18-69c5-4fb2-8682-5833018966e6</t>
  </si>
  <si>
    <t>27729397139</t>
  </si>
  <si>
    <t>14299628</t>
  </si>
  <si>
    <t>0e82bc7b-ca0c-48e7-9138-6a38001e783e</t>
  </si>
  <si>
    <t>27616550789</t>
  </si>
  <si>
    <t>2026-05-26 11:21:36</t>
  </si>
  <si>
    <t>14299625</t>
  </si>
  <si>
    <t>59048d12-c5d8-4113-9ada-8fab49d3535a</t>
  </si>
  <si>
    <t>27608317074</t>
  </si>
  <si>
    <t>2026-05-26 11:20:50</t>
  </si>
  <si>
    <t>14299626</t>
  </si>
  <si>
    <t>9a7e583e-9a31-4883-93fd-f22702d318f1</t>
  </si>
  <si>
    <t>27763625944</t>
  </si>
  <si>
    <t>14299627</t>
  </si>
  <si>
    <t>a046b821-d0ce-4544-b8fc-39f6a3ec6623</t>
  </si>
  <si>
    <t>27772876090</t>
  </si>
  <si>
    <t>14299882</t>
  </si>
  <si>
    <t>6785309d-39c6-44fa-9098-89e24be8feba</t>
  </si>
  <si>
    <t>2026-05-26 11:20:04</t>
  </si>
  <si>
    <t>27609047369</t>
  </si>
  <si>
    <t>14299778</t>
  </si>
  <si>
    <t>b5a165ba-dccb-4271-b3b3-3d1361dfabef</t>
  </si>
  <si>
    <t>27716118949</t>
  </si>
  <si>
    <t>14299781</t>
  </si>
  <si>
    <t>5af6852d-623f-4fd9-82d2-ba27c1e5cf00</t>
  </si>
  <si>
    <t>27724968801</t>
  </si>
  <si>
    <t>14299924</t>
  </si>
  <si>
    <t>de254f38-3f1c-47ce-9123-a143f3648d83</t>
  </si>
  <si>
    <t>27728339871</t>
  </si>
  <si>
    <t>14299797</t>
  </si>
  <si>
    <t>5602b7d9-2a95-4117-8d29-91abcd7daf8b</t>
  </si>
  <si>
    <t>27711175137</t>
  </si>
  <si>
    <t>2026-05-26 11:20:02</t>
  </si>
  <si>
    <t>14299834</t>
  </si>
  <si>
    <t>16c3b0bd-be4a-4dc9-b117-2670ac4bd59e</t>
  </si>
  <si>
    <t>27665835111</t>
  </si>
  <si>
    <t>2026-05-26 11:19:59</t>
  </si>
  <si>
    <t>14300049</t>
  </si>
  <si>
    <t>14b36148-b95d-4aca-aa31-763e8e5294b7</t>
  </si>
  <si>
    <t>2026-05-26 11:19:55</t>
  </si>
  <si>
    <t>27768456897</t>
  </si>
  <si>
    <t>14299772</t>
  </si>
  <si>
    <t>f2198c79-a010-4266-a608-74860de9786c</t>
  </si>
  <si>
    <t>2026-05-26 11:19:53</t>
  </si>
  <si>
    <t>27791554423</t>
  </si>
  <si>
    <t>14299783</t>
  </si>
  <si>
    <t>1186a234-3f6b-4039-b647-827feac66eb6</t>
  </si>
  <si>
    <t>27738131899</t>
  </si>
  <si>
    <t>2026-05-26 11:19:52</t>
  </si>
  <si>
    <t>14299776</t>
  </si>
  <si>
    <t>4e1d9d2f-f785-4967-b0c9-a70708db6257</t>
  </si>
  <si>
    <t>27827213431</t>
  </si>
  <si>
    <t>2026-05-26 11:19:28</t>
  </si>
  <si>
    <t>14299786</t>
  </si>
  <si>
    <t>e5b15908-f5a9-4c58-ae0e-8bf497ddc86c</t>
  </si>
  <si>
    <t>27728227338</t>
  </si>
  <si>
    <t>14300059</t>
  </si>
  <si>
    <t>b4ea06b0-7823-408f-a5dc-35a8c8ab5950</t>
  </si>
  <si>
    <t>27763015456</t>
  </si>
  <si>
    <t>14299897</t>
  </si>
  <si>
    <t>e0409d08-5ad7-402d-a268-b96b3e6a4910</t>
  </si>
  <si>
    <t>2026-05-26 11:18:34</t>
  </si>
  <si>
    <t>27661582431</t>
  </si>
  <si>
    <t>14299807</t>
  </si>
  <si>
    <t>522118e2-6154-4057-afa1-3e95309ae73f</t>
  </si>
  <si>
    <t>2026-05-26 11:18:26</t>
  </si>
  <si>
    <t>27798362654</t>
  </si>
  <si>
    <t>14299843</t>
  </si>
  <si>
    <t>64edfe83-9c26-43dc-b225-72dc74f6a1b6</t>
  </si>
  <si>
    <t>2026-05-26 11:18:23</t>
  </si>
  <si>
    <t>27828541606</t>
  </si>
  <si>
    <t>14299782</t>
  </si>
  <si>
    <t>59185197-973e-4c1a-ad1c-c065d46647f6</t>
  </si>
  <si>
    <t>27664071680</t>
  </si>
  <si>
    <t>14299849</t>
  </si>
  <si>
    <t>78a4b971-2aee-4296-8c46-c0d83ecfcc27</t>
  </si>
  <si>
    <t>2026-05-26 11:17:09</t>
  </si>
  <si>
    <t>27718681734</t>
  </si>
  <si>
    <t>14299787</t>
  </si>
  <si>
    <t>4bca249c-f2ab-4113-8b17-f7aa6260ff29</t>
  </si>
  <si>
    <t>27713644786</t>
  </si>
  <si>
    <t>14299800</t>
  </si>
  <si>
    <t>ca9621b3-c565-4fa9-8ec1-b88b3e1e953d</t>
  </si>
  <si>
    <t>27606300148</t>
  </si>
  <si>
    <t>14300066</t>
  </si>
  <si>
    <t>bbcd2bf1-57bd-44ae-9351-98f6e3bdf4eb</t>
  </si>
  <si>
    <t>27726923789</t>
  </si>
  <si>
    <t>14299794</t>
  </si>
  <si>
    <t>d4effbd6-2f16-4ec9-a3d8-27f5397c6818</t>
  </si>
  <si>
    <t>27675482180</t>
  </si>
  <si>
    <t>2026-05-26 11:15:00</t>
  </si>
  <si>
    <t>14299817</t>
  </si>
  <si>
    <t>757cc60c-4345-4ddd-a172-5692eeb063bd</t>
  </si>
  <si>
    <t>2026-05-26 11:13:09</t>
  </si>
  <si>
    <t>27799489711</t>
  </si>
  <si>
    <t>14299853</t>
  </si>
  <si>
    <t>6513cd30-66cf-4646-9d41-f1427df7d59c</t>
  </si>
  <si>
    <t>27712911082</t>
  </si>
  <si>
    <t>2026-05-26 11:12:58</t>
  </si>
  <si>
    <t>14300070</t>
  </si>
  <si>
    <t>186ea9f2-332f-4e40-9537-466ceeaef4ef</t>
  </si>
  <si>
    <t>2026-05-26 11:12:57</t>
  </si>
  <si>
    <t>27714168509</t>
  </si>
  <si>
    <t>14299804</t>
  </si>
  <si>
    <t>362c0acd-c597-4f6b-951a-be8930d479e4</t>
  </si>
  <si>
    <t>2026-05-26 11:12:39</t>
  </si>
  <si>
    <t>27607300896</t>
  </si>
  <si>
    <t>14300213</t>
  </si>
  <si>
    <t>00f54762-8dd7-4547-8a41-959c588ac956</t>
  </si>
  <si>
    <t>27765711220</t>
  </si>
  <si>
    <t>2026-05-26 11:12:35</t>
  </si>
  <si>
    <t>14299814</t>
  </si>
  <si>
    <t>0d73c050-50ec-404d-985a-a81ecaf7b506</t>
  </si>
  <si>
    <t>2026-05-26 11:12:34</t>
  </si>
  <si>
    <t>27637961750</t>
  </si>
  <si>
    <t>14299941</t>
  </si>
  <si>
    <t>8b33ce70-d41f-4efc-b082-1230a3d188e4</t>
  </si>
  <si>
    <t>27791477708</t>
  </si>
  <si>
    <t>14299811</t>
  </si>
  <si>
    <t>d778bcaf-dae6-449d-b439-ea68dd4346b0</t>
  </si>
  <si>
    <t>2026-05-26 11:11:53</t>
  </si>
  <si>
    <t>27766364382</t>
  </si>
  <si>
    <t>14299918</t>
  </si>
  <si>
    <t>8d0366eb-c793-426d-a879-b1509956adce</t>
  </si>
  <si>
    <t>2026-05-26 11:11:50</t>
  </si>
  <si>
    <t>27818789818</t>
  </si>
  <si>
    <t>14299828</t>
  </si>
  <si>
    <t>b0b6571b-70da-472e-826e-856a8462ca24</t>
  </si>
  <si>
    <t>27664328090</t>
  </si>
  <si>
    <t>2026-05-26 11:11:45</t>
  </si>
  <si>
    <t>14299806</t>
  </si>
  <si>
    <t>b8c1415e-bc9c-4a74-9c80-ea2d10a5d3a8</t>
  </si>
  <si>
    <t>27826686290</t>
  </si>
  <si>
    <t>2026-05-26 11:11:43</t>
  </si>
  <si>
    <t>14299815</t>
  </si>
  <si>
    <t>adc9067a-1576-4e37-8df4-1f8133b6e781</t>
  </si>
  <si>
    <t>27798223010</t>
  </si>
  <si>
    <t>14299864</t>
  </si>
  <si>
    <t>b2a46047-9b6a-46e8-9fb8-e9550f7d819b</t>
  </si>
  <si>
    <t>27826896433</t>
  </si>
  <si>
    <t>14300081</t>
  </si>
  <si>
    <t>8d82f4b1-4117-4a61-a234-515c15f1a9ff</t>
  </si>
  <si>
    <t>27661828387</t>
  </si>
  <si>
    <t>14301438</t>
  </si>
  <si>
    <t>b5d9c4fd-3f92-4351-8c1e-27614295b067</t>
  </si>
  <si>
    <t>27673200237</t>
  </si>
  <si>
    <t>2026-05-26 10:57:07</t>
  </si>
  <si>
    <t>14299819</t>
  </si>
  <si>
    <t>40e4603a-3827-4a48-a300-1a32f6d4d080</t>
  </si>
  <si>
    <t>27714482165</t>
  </si>
  <si>
    <t>2026-05-26 10:56:35</t>
  </si>
  <si>
    <t>14300305</t>
  </si>
  <si>
    <t>95d4691d-8c9d-4ad7-b8f7-a5e13c2b79fc</t>
  </si>
  <si>
    <t>27795740726</t>
  </si>
  <si>
    <t>2026-05-26 10:52:53</t>
  </si>
  <si>
    <t>14300958</t>
  </si>
  <si>
    <t>bae3d2f7-2aeb-40bb-a64e-fd875f2738ae</t>
  </si>
  <si>
    <t>27781548289</t>
  </si>
  <si>
    <t>2026-05-26 10:49:38</t>
  </si>
  <si>
    <t>14300176</t>
  </si>
  <si>
    <t>8540a3c4-a825-41fa-896a-e45e1531ee03</t>
  </si>
  <si>
    <t>27799114845</t>
  </si>
  <si>
    <t>2026-05-26 10:47:40</t>
  </si>
  <si>
    <t>14300221</t>
  </si>
  <si>
    <t>7918eff3-9b47-406b-beed-eb1588dfa810</t>
  </si>
  <si>
    <t>27664550615</t>
  </si>
  <si>
    <t>2026-05-26 10:46:55</t>
  </si>
  <si>
    <t>14299810</t>
  </si>
  <si>
    <t>66caad9c-397c-4fe2-9bd8-67ede322979c</t>
  </si>
  <si>
    <t>27637043354</t>
  </si>
  <si>
    <t>2026-05-26 10:46:36</t>
  </si>
  <si>
    <t>14299871</t>
  </si>
  <si>
    <t>4eb40187-302b-43b5-bc13-022b60d33b81</t>
  </si>
  <si>
    <t>2026-05-26 10:44:29</t>
  </si>
  <si>
    <t>27760312971</t>
  </si>
  <si>
    <t>14300085</t>
  </si>
  <si>
    <t>adf3a05c-3898-4c10-803d-6e4807cef045</t>
  </si>
  <si>
    <t>27764254148</t>
  </si>
  <si>
    <t>14300082</t>
  </si>
  <si>
    <t>80ee2faa-673f-4de5-adab-f81d74ce614b</t>
  </si>
  <si>
    <t>2026-05-26 10:41:38</t>
  </si>
  <si>
    <t>27721037461</t>
  </si>
  <si>
    <t>14299831</t>
  </si>
  <si>
    <t>b15dc832-7c2d-449b-be43-7ecc68e5cb90</t>
  </si>
  <si>
    <t>27663267121</t>
  </si>
  <si>
    <t>2026-05-26 10:41:30</t>
  </si>
  <si>
    <t>14299838</t>
  </si>
  <si>
    <t>7dcbcd41-5dad-4e09-81e5-87a011fc773a</t>
  </si>
  <si>
    <t>27760154963</t>
  </si>
  <si>
    <t>14299964</t>
  </si>
  <si>
    <t>8cef0c4a-4c25-4688-b0bb-3b29a6f6f013</t>
  </si>
  <si>
    <t>27715352732</t>
  </si>
  <si>
    <t>14299934</t>
  </si>
  <si>
    <t>c0f7ad45-8157-45a4-8d90-e4286a07467c</t>
  </si>
  <si>
    <t>2026-05-26 10:41:06</t>
  </si>
  <si>
    <t>27764186846</t>
  </si>
  <si>
    <t>14299852</t>
  </si>
  <si>
    <t>f1645e98-bed6-420d-ba73-3bd3f4a38e3e</t>
  </si>
  <si>
    <t>2026-05-26 10:41:03</t>
  </si>
  <si>
    <t>27774929067</t>
  </si>
  <si>
    <t>14299887</t>
  </si>
  <si>
    <t>0c344f08-6fe1-4991-ba66-7d63a91ad18d</t>
  </si>
  <si>
    <t>27818650706</t>
  </si>
  <si>
    <t>2026-05-26 10:40:59</t>
  </si>
  <si>
    <t>14299824</t>
  </si>
  <si>
    <t>4393932f-403c-4c28-aebf-d923a8ef7f37</t>
  </si>
  <si>
    <t>2026-05-26 10:40:57</t>
  </si>
  <si>
    <t>27712030548</t>
  </si>
  <si>
    <t>14299839</t>
  </si>
  <si>
    <t>972038f2-6559-4a30-9153-4153c132edbc</t>
  </si>
  <si>
    <t>2026-05-26 10:40:56</t>
  </si>
  <si>
    <t>27767780480</t>
  </si>
  <si>
    <t>14300097</t>
  </si>
  <si>
    <t>b692e580-7854-459d-bb4c-6e3957c29b00</t>
  </si>
  <si>
    <t>27761747339</t>
  </si>
  <si>
    <t>14299859</t>
  </si>
  <si>
    <t>f328ba29-cede-41ae-b39c-f2d1ff431980</t>
  </si>
  <si>
    <t>27726949923</t>
  </si>
  <si>
    <t>2026-05-26 10:40:11</t>
  </si>
  <si>
    <t>14299833</t>
  </si>
  <si>
    <t>07f0b0d7-c83f-4e6e-86ee-216fd148fe76</t>
  </si>
  <si>
    <t>27765590474</t>
  </si>
  <si>
    <t>2026-05-26 10:40:09</t>
  </si>
  <si>
    <t>14299844</t>
  </si>
  <si>
    <t>4003fab9-2846-4e64-9a7a-efe4c89e1ea5</t>
  </si>
  <si>
    <t>27636272310</t>
  </si>
  <si>
    <t>14299890</t>
  </si>
  <si>
    <t>e1592938-6df3-4b47-834a-fc07af396999</t>
  </si>
  <si>
    <t>27728556625</t>
  </si>
  <si>
    <t>14300101</t>
  </si>
  <si>
    <t>d65066e5-527f-422e-a107-465cf45d7ea0</t>
  </si>
  <si>
    <t>27769663747</t>
  </si>
  <si>
    <t>14299835</t>
  </si>
  <si>
    <t>d0cf879d-e339-4ad7-a306-5434af48f0a0</t>
  </si>
  <si>
    <t>2026-05-26 10:37:25</t>
  </si>
  <si>
    <t>27722914785</t>
  </si>
  <si>
    <t>14299845</t>
  </si>
  <si>
    <t>dc62cbd9-1a2b-41df-b372-7aa721932bc8</t>
  </si>
  <si>
    <t>27798183243</t>
  </si>
  <si>
    <t>14300755</t>
  </si>
  <si>
    <t>db73fcfa-b69c-4ffd-94bf-0003a7324c87</t>
  </si>
  <si>
    <t>27661827294</t>
  </si>
  <si>
    <t>2026-05-26 10:37:20</t>
  </si>
  <si>
    <t>14300005</t>
  </si>
  <si>
    <t>9d3f2fc6-ab92-43e5-81ad-ea7060dfb59f</t>
  </si>
  <si>
    <t>2026-05-26 10:36:51</t>
  </si>
  <si>
    <t>27729325077</t>
  </si>
  <si>
    <t>14299854</t>
  </si>
  <si>
    <t>c3292243-456a-4cf0-9876-5d93d366bd59</t>
  </si>
  <si>
    <t>2026-05-26 10:36:45</t>
  </si>
  <si>
    <t>27822627320</t>
  </si>
  <si>
    <t>14299983</t>
  </si>
  <si>
    <t>88d9a3fa-80f3-4238-bcb4-0fa8268a4a96</t>
  </si>
  <si>
    <t>2026-05-26 10:36:42</t>
  </si>
  <si>
    <t>27829757720</t>
  </si>
  <si>
    <t>14299851</t>
  </si>
  <si>
    <t>488c11fa-de4e-4796-bdc3-227e888d0bb9</t>
  </si>
  <si>
    <t>2026-05-26 10:36:37</t>
  </si>
  <si>
    <t>27711458253</t>
  </si>
  <si>
    <t>14299856</t>
  </si>
  <si>
    <t>ef3b0af9-6a3e-4203-ac8e-300f6765eed9</t>
  </si>
  <si>
    <t>27606643240</t>
  </si>
  <si>
    <t>2026-05-26 10:36:24</t>
  </si>
  <si>
    <t>14299866</t>
  </si>
  <si>
    <t>1c4b8dfc-4564-4521-9464-746de857522e</t>
  </si>
  <si>
    <t>27636608715</t>
  </si>
  <si>
    <t>2026-05-26 10:36:15</t>
  </si>
  <si>
    <t>14299944</t>
  </si>
  <si>
    <t>55721f71-e6dc-489c-b796-344a20c9ec90</t>
  </si>
  <si>
    <t>27829044862</t>
  </si>
  <si>
    <t>14299847</t>
  </si>
  <si>
    <t>62340473-3758-440e-88b2-3f2a657a8d08</t>
  </si>
  <si>
    <t>2026-05-26 10:36:09</t>
  </si>
  <si>
    <t>27606860631</t>
  </si>
  <si>
    <t>14299904</t>
  </si>
  <si>
    <t>c07484be-b625-49dc-8354-ff3d1e07b529</t>
  </si>
  <si>
    <t>27608503042</t>
  </si>
  <si>
    <t>14300111</t>
  </si>
  <si>
    <t>8e308bdb-0cf7-457e-8ae5-4675081bef83</t>
  </si>
  <si>
    <t>27822988812</t>
  </si>
  <si>
    <t>14299898</t>
  </si>
  <si>
    <t>8bbd2bd5-24a8-4771-aa7e-596c687b2bd8</t>
  </si>
  <si>
    <t>27827655119</t>
  </si>
  <si>
    <t>2026-05-26 10:35:48</t>
  </si>
  <si>
    <t>14300107</t>
  </si>
  <si>
    <t>34a08b4b-edbb-44c3-b53d-b8ff5cca5cca</t>
  </si>
  <si>
    <t>2026-05-26 10:35:42</t>
  </si>
  <si>
    <t>27724052226</t>
  </si>
  <si>
    <t>14299869</t>
  </si>
  <si>
    <t>438823cc-ef8d-490b-957c-c4225c255d46</t>
  </si>
  <si>
    <t>2026-05-26 10:35:40</t>
  </si>
  <si>
    <t>27720197817</t>
  </si>
  <si>
    <t>14300275</t>
  </si>
  <si>
    <t>9ec8eee5-e07d-4ef1-bb98-cfe6625243a6</t>
  </si>
  <si>
    <t>27826244954</t>
  </si>
  <si>
    <t>14299865</t>
  </si>
  <si>
    <t>292fb1a8-c285-4d56-b410-d33795cc8641</t>
  </si>
  <si>
    <t>2026-05-26 10:35:38</t>
  </si>
  <si>
    <t>27609458311</t>
  </si>
  <si>
    <t>14300035</t>
  </si>
  <si>
    <t>2d85cb9b-53b7-4604-abe5-28ed27b07565</t>
  </si>
  <si>
    <t>27765417112</t>
  </si>
  <si>
    <t>14299961</t>
  </si>
  <si>
    <t>7c352095-3d3a-44dd-bb36-19f806ff7594</t>
  </si>
  <si>
    <t>2026-05-26 10:34:32</t>
  </si>
  <si>
    <t>27662206881</t>
  </si>
  <si>
    <t>14299886</t>
  </si>
  <si>
    <t>ca073ec9-02be-41a2-8dce-cda12e314620</t>
  </si>
  <si>
    <t>2026-05-26 10:34:30</t>
  </si>
  <si>
    <t>27723736015</t>
  </si>
  <si>
    <t>14299921</t>
  </si>
  <si>
    <t>74c8c0c3-a86c-4c47-b0b8-148081c8f90a</t>
  </si>
  <si>
    <t>2026-05-26 10:34:27</t>
  </si>
  <si>
    <t>27722722687</t>
  </si>
  <si>
    <t>14300113</t>
  </si>
  <si>
    <t>1cececf2-2337-4bbb-9e06-96508bc3cf3b</t>
  </si>
  <si>
    <t>27792261911</t>
  </si>
  <si>
    <t>14299861</t>
  </si>
  <si>
    <t>5e46ae18-b9bf-467f-bee6-4eaf858a1715</t>
  </si>
  <si>
    <t>2026-05-26 10:34:04</t>
  </si>
  <si>
    <t>27794769397</t>
  </si>
  <si>
    <t>14299870</t>
  </si>
  <si>
    <t>bbdd618c-8a41-4ffb-886c-46332777356e</t>
  </si>
  <si>
    <t>27673574061</t>
  </si>
  <si>
    <t>2026-05-26 10:34:03</t>
  </si>
  <si>
    <t>14300688</t>
  </si>
  <si>
    <t>68ed2373-f34b-4d9b-8fa8-4dce47ea0aaf</t>
  </si>
  <si>
    <t>27713726909</t>
  </si>
  <si>
    <t>2026-05-26 10:33:28</t>
  </si>
  <si>
    <t>14300215</t>
  </si>
  <si>
    <t>7511e51f-1340-4648-aca7-6e886b47b6fc</t>
  </si>
  <si>
    <t>27772707654</t>
  </si>
  <si>
    <t>2026-05-26 10:33:27</t>
  </si>
  <si>
    <t>14299967</t>
  </si>
  <si>
    <t>cf6c9e5d-7d30-42cd-b06d-34d07e2ed678</t>
  </si>
  <si>
    <t>2026-05-26 10:33:02</t>
  </si>
  <si>
    <t>27610869866</t>
  </si>
  <si>
    <t>14299892</t>
  </si>
  <si>
    <t>399b1a7f-075e-4b2d-a8df-b1387aa27eec</t>
  </si>
  <si>
    <t>2026-05-26 10:32:58</t>
  </si>
  <si>
    <t>27768907227</t>
  </si>
  <si>
    <t>14299928</t>
  </si>
  <si>
    <t>0351c293-3962-47a6-b634-01f9ef4998ba</t>
  </si>
  <si>
    <t>27674234201</t>
  </si>
  <si>
    <t>14299867</t>
  </si>
  <si>
    <t>e820eb6e-c2ff-404c-b3a5-35c239a4f3e9</t>
  </si>
  <si>
    <t>2026-05-26 10:32:57</t>
  </si>
  <si>
    <t>27797414116</t>
  </si>
  <si>
    <t>14300130</t>
  </si>
  <si>
    <t>b4c440ec-6455-4661-a044-71c992043a05</t>
  </si>
  <si>
    <t>27762407675</t>
  </si>
  <si>
    <t>14299881</t>
  </si>
  <si>
    <t>117a99ff-f0c6-4632-baee-37e572e8823c</t>
  </si>
  <si>
    <t>2026-05-26 10:31:54</t>
  </si>
  <si>
    <t>27823277870</t>
  </si>
  <si>
    <t>14299900</t>
  </si>
  <si>
    <t>9e91cf4a-f08f-430d-86c6-008523508218</t>
  </si>
  <si>
    <t>2026-05-26 10:31:52</t>
  </si>
  <si>
    <t>27795883379</t>
  </si>
  <si>
    <t>14299971</t>
  </si>
  <si>
    <t>1658f930-e2fa-4d1d-9716-4f56f51813a4</t>
  </si>
  <si>
    <t>27795726233</t>
  </si>
  <si>
    <t>14300134</t>
  </si>
  <si>
    <t>7ba58ffe-a8d1-442e-ac8b-0b9352da1e1f</t>
  </si>
  <si>
    <t>27766177869</t>
  </si>
  <si>
    <t>2026-05-26 10:31:10</t>
  </si>
  <si>
    <t>14299876</t>
  </si>
  <si>
    <t>57a9dba3-16d3-4565-8725-d4515a38db87</t>
  </si>
  <si>
    <t>2026-05-26 10:30:51</t>
  </si>
  <si>
    <t>27833567135</t>
  </si>
  <si>
    <t>14299888</t>
  </si>
  <si>
    <t>e14d8c58-6d2f-4bf8-a0c9-1dc440f9b700</t>
  </si>
  <si>
    <t>27728513854</t>
  </si>
  <si>
    <t>14299931</t>
  </si>
  <si>
    <t>e65cc614-2c2d-4469-9057-a255331e213b</t>
  </si>
  <si>
    <t>27724603624</t>
  </si>
  <si>
    <t>14300135</t>
  </si>
  <si>
    <t>9dd8c6f9-cb06-43a5-9d24-72c3bc9ae06d</t>
  </si>
  <si>
    <t>27711943737</t>
  </si>
  <si>
    <t>14299982</t>
  </si>
  <si>
    <t>3effb692-5a3a-446c-a361-7f57dc5a7d4b</t>
  </si>
  <si>
    <t>2026-05-26 10:29:13</t>
  </si>
  <si>
    <t>27763316169</t>
  </si>
  <si>
    <t>14299910</t>
  </si>
  <si>
    <t>17efd12a-2c76-431a-8051-5ff943e3468c</t>
  </si>
  <si>
    <t>2026-05-26 10:29:09</t>
  </si>
  <si>
    <t>27727472192</t>
  </si>
  <si>
    <t>14299885</t>
  </si>
  <si>
    <t>daba07d2-db3d-4f39-bd31-e6afd76ef2e9</t>
  </si>
  <si>
    <t>2026-05-26 10:29:04</t>
  </si>
  <si>
    <t>27715955708</t>
  </si>
  <si>
    <t>14299894</t>
  </si>
  <si>
    <t>95b6c396-bea6-413f-a245-068836a12f82</t>
  </si>
  <si>
    <t>27797049199</t>
  </si>
  <si>
    <t>14299935</t>
  </si>
  <si>
    <t>8c7f9a84-21d8-4510-8ace-ca9834c31177</t>
  </si>
  <si>
    <t>27791307947</t>
  </si>
  <si>
    <t>14300159</t>
  </si>
  <si>
    <t>3a9466f5-a92b-405e-b1cc-cd61d3b82bec</t>
  </si>
  <si>
    <t>27725891192</t>
  </si>
  <si>
    <t>14299943</t>
  </si>
  <si>
    <t>92dc9a27-3a40-4e38-8ca2-e36717e7bf4c</t>
  </si>
  <si>
    <t>27822869453</t>
  </si>
  <si>
    <t>2026-05-26 10:28:12</t>
  </si>
  <si>
    <t>14300618</t>
  </si>
  <si>
    <t>7796a27c-3e8f-4007-83a2-5b020b832470</t>
  </si>
  <si>
    <t>27797607200</t>
  </si>
  <si>
    <t>2026-05-26 10:26:47</t>
  </si>
  <si>
    <t>14299914</t>
  </si>
  <si>
    <t>a2a75b59-abcf-47a2-8a1e-56483dfa976d</t>
  </si>
  <si>
    <t>27825875370</t>
  </si>
  <si>
    <t>2026-05-26 10:25:59</t>
  </si>
  <si>
    <t>14299906</t>
  </si>
  <si>
    <t>65014b21-d6ac-4c5e-bbca-ba6ee6b21f80</t>
  </si>
  <si>
    <t>27648621401</t>
  </si>
  <si>
    <t>2026-05-26 10:25:44</t>
  </si>
  <si>
    <t>14300047</t>
  </si>
  <si>
    <t>ad393c1d-3738-467c-a787-688675d962e5</t>
  </si>
  <si>
    <t>2026-05-26 10:25:36</t>
  </si>
  <si>
    <t>27664694644</t>
  </si>
  <si>
    <t>14299902</t>
  </si>
  <si>
    <t>9854beb3-d144-457d-91c6-727b755334fe</t>
  </si>
  <si>
    <t>2026-05-26 10:25:32</t>
  </si>
  <si>
    <t>27664877475</t>
  </si>
  <si>
    <t>14299920</t>
  </si>
  <si>
    <t>31586c04-e0e4-49ff-9d22-e57c8fa50668</t>
  </si>
  <si>
    <t>27722719811</t>
  </si>
  <si>
    <t>2026-05-26 10:25:30</t>
  </si>
  <si>
    <t>14299942</t>
  </si>
  <si>
    <t>0c863e6a-c33d-49b6-935d-d2e705ca8993</t>
  </si>
  <si>
    <t>27607578937</t>
  </si>
  <si>
    <t>14300018</t>
  </si>
  <si>
    <t>a236b0a3-f159-4443-b96e-749ddccec80e</t>
  </si>
  <si>
    <t>27728752942</t>
  </si>
  <si>
    <t>14300163</t>
  </si>
  <si>
    <t>f1e0f8b7-9896-472a-9993-efeebab53910</t>
  </si>
  <si>
    <t>2026-05-26 10:25:00</t>
  </si>
  <si>
    <t>27711091598</t>
  </si>
  <si>
    <t>14300750</t>
  </si>
  <si>
    <t>2017768f-da19-40cc-96ce-8615372b1ccf</t>
  </si>
  <si>
    <t>27606793311</t>
  </si>
  <si>
    <t>14299896</t>
  </si>
  <si>
    <t>48b0e3de-0502-4ab6-8a50-62fe44e31b56</t>
  </si>
  <si>
    <t>2026-05-26 10:24:56</t>
  </si>
  <si>
    <t>27722498340</t>
  </si>
  <si>
    <t>14299907</t>
  </si>
  <si>
    <t>6b89d498-b282-4f19-9e1b-917909deda09</t>
  </si>
  <si>
    <t>27838751122</t>
  </si>
  <si>
    <t>14299947</t>
  </si>
  <si>
    <t>8261a393-5478-4a93-9203-c33208f659d6</t>
  </si>
  <si>
    <t>2026-05-26 10:24:32</t>
  </si>
  <si>
    <t>27715011789</t>
  </si>
  <si>
    <t>14300169</t>
  </si>
  <si>
    <t>c6110230-c130-4bcb-ac46-d10fecc95f1c</t>
  </si>
  <si>
    <t>27818135397</t>
  </si>
  <si>
    <t>14299901</t>
  </si>
  <si>
    <t>7af11241-a103-42d8-abc1-1430fce093c1</t>
  </si>
  <si>
    <t>2026-05-26 10:24:31</t>
  </si>
  <si>
    <t>27764795988</t>
  </si>
  <si>
    <t>14299912</t>
  </si>
  <si>
    <t>73c8a72c-98a0-45a3-a892-6971e5f7360c</t>
  </si>
  <si>
    <t>27791065732</t>
  </si>
  <si>
    <t>14300062</t>
  </si>
  <si>
    <t>f5f04499-be7e-4a90-81b3-84f7e1c88e4f</t>
  </si>
  <si>
    <t>27766310497</t>
  </si>
  <si>
    <t>2026-05-26 10:24:13</t>
  </si>
  <si>
    <t>14299919</t>
  </si>
  <si>
    <t>b06fabc8-25eb-4890-994d-bc7ccf02669a</t>
  </si>
  <si>
    <t>2026-05-26 10:23:38</t>
  </si>
  <si>
    <t>27716345707</t>
  </si>
  <si>
    <t>14299922</t>
  </si>
  <si>
    <t>c1e27c2f-d2c0-40f5-9a23-e5e2809354ad</t>
  </si>
  <si>
    <t>27799425106</t>
  </si>
  <si>
    <t>14300302</t>
  </si>
  <si>
    <t>57fca661-77b1-4d2c-9af3-f97bda7a8cc7</t>
  </si>
  <si>
    <t>27609117428</t>
  </si>
  <si>
    <t>14300040</t>
  </si>
  <si>
    <t>806eb2d8-4039-4e41-bd60-04ca8ce4e666</t>
  </si>
  <si>
    <t>27797928666</t>
  </si>
  <si>
    <t>2026-05-26 10:23:30</t>
  </si>
  <si>
    <t>14299932</t>
  </si>
  <si>
    <t>968c7fab-d25b-4c84-8e11-5930cdcafa15</t>
  </si>
  <si>
    <t>27820637406</t>
  </si>
  <si>
    <t>2026-05-07 14:32:19</t>
  </si>
  <si>
    <t>14299959</t>
  </si>
  <si>
    <t>db771131-a581-4e73-b3a1-3aedc0b6cb9b</t>
  </si>
  <si>
    <t>2026-05-26 10:23:03</t>
  </si>
  <si>
    <t>27799798126</t>
  </si>
  <si>
    <t>14299923</t>
  </si>
  <si>
    <t>36e20f93-362f-44f8-9a78-5029afef83da</t>
  </si>
  <si>
    <t>27714951780</t>
  </si>
  <si>
    <t>14300182</t>
  </si>
  <si>
    <t>cf606c31-77bf-47da-8b82-1de2ed691e7a</t>
  </si>
  <si>
    <t>27769077152</t>
  </si>
  <si>
    <t>14299917</t>
  </si>
  <si>
    <t>42fa07ab-5caf-4e32-9678-d2ef24293cbe</t>
  </si>
  <si>
    <t>2026-05-26 10:21:46</t>
  </si>
  <si>
    <t>27604294362</t>
  </si>
  <si>
    <t>14299925</t>
  </si>
  <si>
    <t>bd2bb150-41f4-49e0-9f4e-236c9097a86f</t>
  </si>
  <si>
    <t>27792758576</t>
  </si>
  <si>
    <t>14300188</t>
  </si>
  <si>
    <t>07fca4d6-18b2-4a11-a9bf-120318264d2b</t>
  </si>
  <si>
    <t>27713510465</t>
  </si>
  <si>
    <t>14300205</t>
  </si>
  <si>
    <t>db2845e1-c82b-42e9-ac69-91bf1c613684</t>
  </si>
  <si>
    <t>27714161626</t>
  </si>
  <si>
    <t>2026-05-26 10:21:36</t>
  </si>
  <si>
    <t>14300276</t>
  </si>
  <si>
    <t>af2300a9-7023-400d-b51f-85efdbeb7540</t>
  </si>
  <si>
    <t>27716101155</t>
  </si>
  <si>
    <t>2026-05-26 10:21:25</t>
  </si>
  <si>
    <t>14300246</t>
  </si>
  <si>
    <t>5bcfc58c-f413-46dd-be8e-f675c4cc3cac</t>
  </si>
  <si>
    <t>27762670023</t>
  </si>
  <si>
    <t>2026-05-26 10:21:08</t>
  </si>
  <si>
    <t>14300624</t>
  </si>
  <si>
    <t>fe81c27a-ae90-4f5c-8463-b26b7546ba7b</t>
  </si>
  <si>
    <t>27764973415</t>
  </si>
  <si>
    <t>14300164</t>
  </si>
  <si>
    <t>581bcf7d-376f-40a5-b39d-b6e12cfdd96f</t>
  </si>
  <si>
    <t>2026-05-26 10:21:06</t>
  </si>
  <si>
    <t>27723749182</t>
  </si>
  <si>
    <t>14300139</t>
  </si>
  <si>
    <t>adf3858c-cfce-414c-b9d2-5d0cee2ec9b7</t>
  </si>
  <si>
    <t>27762317289</t>
  </si>
  <si>
    <t>2026-05-26 10:21:05</t>
  </si>
  <si>
    <t>14300020</t>
  </si>
  <si>
    <t>2253ecd5-9864-4801-b14b-eaa92c2ac6da</t>
  </si>
  <si>
    <t>27796231864</t>
  </si>
  <si>
    <t>14300151</t>
  </si>
  <si>
    <t>8814a536-c30c-474f-966f-7c2a7a3c0f33</t>
  </si>
  <si>
    <t>27608463069</t>
  </si>
  <si>
    <t>14299958</t>
  </si>
  <si>
    <t>8acd0a10-0ff9-49b4-be85-e176bb1d08db</t>
  </si>
  <si>
    <t>2026-05-26 10:21:00</t>
  </si>
  <si>
    <t>27713074436</t>
  </si>
  <si>
    <t>14299978</t>
  </si>
  <si>
    <t>5b579520-31f1-4b10-a34d-0e21613e0873</t>
  </si>
  <si>
    <t>27715157240</t>
  </si>
  <si>
    <t>14300017</t>
  </si>
  <si>
    <t>2741f1f2-f5f5-4341-93a1-52cdb317f3b3</t>
  </si>
  <si>
    <t>27768452439</t>
  </si>
  <si>
    <t>14299980</t>
  </si>
  <si>
    <t>ae743681-dcd4-481d-8833-d8b3f92fa7c8</t>
  </si>
  <si>
    <t>27715400453</t>
  </si>
  <si>
    <t>2026-05-26 10:20:35</t>
  </si>
  <si>
    <t>14299952</t>
  </si>
  <si>
    <t>623425f5-7fcd-4ab3-8581-e15d7b443e8e</t>
  </si>
  <si>
    <t>2026-05-26 10:20:10</t>
  </si>
  <si>
    <t>27790940610</t>
  </si>
  <si>
    <t>14300129</t>
  </si>
  <si>
    <t>74491a11-406d-4173-8cac-f790a7dbaf6f</t>
  </si>
  <si>
    <t>27823975756</t>
  </si>
  <si>
    <t>2026-05-26 10:20:09</t>
  </si>
  <si>
    <t>14299953</t>
  </si>
  <si>
    <t>ca1fed6e-2e90-496d-a860-abf1b00de056</t>
  </si>
  <si>
    <t>2026-05-26 10:20:04</t>
  </si>
  <si>
    <t>27790623454</t>
  </si>
  <si>
    <t>14300391</t>
  </si>
  <si>
    <t>eb2119f6-0321-444e-af9d-641f124c34ab</t>
  </si>
  <si>
    <t>27786727371</t>
  </si>
  <si>
    <t>14299949</t>
  </si>
  <si>
    <t>49b4550c-3f62-4341-918c-d5103f063858</t>
  </si>
  <si>
    <t>27763075205</t>
  </si>
  <si>
    <t>2026-05-26 10:19:58</t>
  </si>
  <si>
    <t>14300104</t>
  </si>
  <si>
    <t>732739b2-c4b0-4474-b6f8-04f3f56b2f36</t>
  </si>
  <si>
    <t>27764701787</t>
  </si>
  <si>
    <t>14300073</t>
  </si>
  <si>
    <t>86a8e5bf-894f-470f-b0d1-2cfb87c23484</t>
  </si>
  <si>
    <t>2026-05-26 10:19:48</t>
  </si>
  <si>
    <t>27661017802</t>
  </si>
  <si>
    <t>14300072</t>
  </si>
  <si>
    <t>e35c862e-bffb-4505-b31c-903fb0232be3</t>
  </si>
  <si>
    <t>27760545765</t>
  </si>
  <si>
    <t>2026-05-26 10:19:34</t>
  </si>
  <si>
    <t>14299965</t>
  </si>
  <si>
    <t>a74f5ff8-6f83-4358-aa5a-eea7579858ca</t>
  </si>
  <si>
    <t>2026-05-26 10:19:31</t>
  </si>
  <si>
    <t>27728788010</t>
  </si>
  <si>
    <t>14300025</t>
  </si>
  <si>
    <t>ee17e9b4-54c7-40ee-8f68-82866b23ef1f</t>
  </si>
  <si>
    <t>27713076114</t>
  </si>
  <si>
    <t>14300245</t>
  </si>
  <si>
    <t>7a42a576-0917-45de-b71a-6f6fbada2000</t>
  </si>
  <si>
    <t>27607628642</t>
  </si>
  <si>
    <t>2026-05-26 10:19:30</t>
  </si>
  <si>
    <t>14299954</t>
  </si>
  <si>
    <t>521ed71b-473f-4503-a03f-5498102965ab</t>
  </si>
  <si>
    <t>2026-05-26 10:19:29</t>
  </si>
  <si>
    <t>27765896972</t>
  </si>
  <si>
    <t>14299981</t>
  </si>
  <si>
    <t>23a8397c-7cdb-4fc0-bcc3-0d076a788bb7</t>
  </si>
  <si>
    <t>27760284961</t>
  </si>
  <si>
    <t>2026-05-26 10:19:18</t>
  </si>
  <si>
    <t>14299974</t>
  </si>
  <si>
    <t>c5c342b0-cc28-4fb3-899b-545e42fa3ccb</t>
  </si>
  <si>
    <t>2026-05-26 10:19:15</t>
  </si>
  <si>
    <t>27606404755</t>
  </si>
  <si>
    <t>14300143</t>
  </si>
  <si>
    <t>686f46b1-ced9-4798-86f8-93b5e570702d</t>
  </si>
  <si>
    <t>27822255514</t>
  </si>
  <si>
    <t>14300023</t>
  </si>
  <si>
    <t>be0cceae-e2a6-47db-99a4-334d7c25aa96</t>
  </si>
  <si>
    <t>27712749162</t>
  </si>
  <si>
    <t>14300024</t>
  </si>
  <si>
    <t>3567925b-971b-4663-a63e-0ead2071cd7e</t>
  </si>
  <si>
    <t>27720488199</t>
  </si>
  <si>
    <t>14300420</t>
  </si>
  <si>
    <t>a19d5426-eae1-4048-be17-02bf592737d6</t>
  </si>
  <si>
    <t>2026-05-26 10:18:41</t>
  </si>
  <si>
    <t>27792982773</t>
  </si>
  <si>
    <t>14299972</t>
  </si>
  <si>
    <t>8666104f-56b6-4d02-b5b6-ffb791be30c7</t>
  </si>
  <si>
    <t>2026-05-26 10:18:40</t>
  </si>
  <si>
    <t>27729971053</t>
  </si>
  <si>
    <t>14299975</t>
  </si>
  <si>
    <t>fcb938cf-c6f2-4403-8b3b-e6aee95eaced</t>
  </si>
  <si>
    <t>27791142474</t>
  </si>
  <si>
    <t>14300122</t>
  </si>
  <si>
    <t>9cc6b5ec-58ff-4a5e-a9fd-a46dfdeb7dd5</t>
  </si>
  <si>
    <t>27767555338</t>
  </si>
  <si>
    <t>14300088</t>
  </si>
  <si>
    <t>3bb1cb50-0e2c-4ad6-bf20-51251ea70722</t>
  </si>
  <si>
    <t>2026-05-26 10:18:37</t>
  </si>
  <si>
    <t>27722966862</t>
  </si>
  <si>
    <t>14299986</t>
  </si>
  <si>
    <t>0efd4d06-0379-4be7-8cb9-8965506c4806</t>
  </si>
  <si>
    <t>2026-05-26 10:18:35</t>
  </si>
  <si>
    <t>27791061038</t>
  </si>
  <si>
    <t>14300045</t>
  </si>
  <si>
    <t>62ec4c5c-e9fb-40fd-bc50-eaf1ce3eaf01</t>
  </si>
  <si>
    <t>2026-05-26 10:18:32</t>
  </si>
  <si>
    <t>27606588995</t>
  </si>
  <si>
    <t>14299966</t>
  </si>
  <si>
    <t>d0504aa7-1fbe-46ef-a97b-0ed680e7da93</t>
  </si>
  <si>
    <t>2026-05-26 10:17:56</t>
  </si>
  <si>
    <t>27760405782</t>
  </si>
  <si>
    <t>14299977</t>
  </si>
  <si>
    <t>27c8fae9-7ac4-4009-aa14-813ead98de68</t>
  </si>
  <si>
    <t>2026-05-26 10:17:54</t>
  </si>
  <si>
    <t>27720198232</t>
  </si>
  <si>
    <t>14300071</t>
  </si>
  <si>
    <t>dd45689d-c5aa-4396-9385-b447c0c9e08e</t>
  </si>
  <si>
    <t>2026-05-26 10:17:51</t>
  </si>
  <si>
    <t>27727447261</t>
  </si>
  <si>
    <t>14300200</t>
  </si>
  <si>
    <t>2dfd50ad-1a9a-4bed-a0f0-fd546c7e8360</t>
  </si>
  <si>
    <t>27796566453</t>
  </si>
  <si>
    <t>14300414</t>
  </si>
  <si>
    <t>10f195b6-2c07-4d4c-a527-0e3325b46338</t>
  </si>
  <si>
    <t>27727015383</t>
  </si>
  <si>
    <t>2026-05-26 10:17:49</t>
  </si>
  <si>
    <t>14300392</t>
  </si>
  <si>
    <t>74860e0e-a76e-4a77-8081-4e1c894a2811</t>
  </si>
  <si>
    <t>2026-05-26 10:17:46</t>
  </si>
  <si>
    <t>27818873821</t>
  </si>
  <si>
    <t>14300063</t>
  </si>
  <si>
    <t>d60bcfca-6555-456c-8546-860f941068f3</t>
  </si>
  <si>
    <t>2026-05-26 10:17:45</t>
  </si>
  <si>
    <t>27790898416</t>
  </si>
  <si>
    <t>14300039</t>
  </si>
  <si>
    <t>184c6104-6f1b-4a0c-9a5c-56c9f2accd3d</t>
  </si>
  <si>
    <t>2026-05-26 10:17:43</t>
  </si>
  <si>
    <t>27796351496</t>
  </si>
  <si>
    <t>14300055</t>
  </si>
  <si>
    <t>e333d8ea-ad0e-40cb-96d8-ec2338efa116</t>
  </si>
  <si>
    <t>2026-05-26 10:17:39</t>
  </si>
  <si>
    <t>27609352506</t>
  </si>
  <si>
    <t>14300031</t>
  </si>
  <si>
    <t>bdec4ca1-87d6-402e-86af-7aad5ed34e92</t>
  </si>
  <si>
    <t>27746266516</t>
  </si>
  <si>
    <t>2026-05-26 10:17:37</t>
  </si>
  <si>
    <t>14300057</t>
  </si>
  <si>
    <t>4f362427-5572-4a4c-ae74-a03a83a24a85</t>
  </si>
  <si>
    <t>27651350085</t>
  </si>
  <si>
    <t>14300257</t>
  </si>
  <si>
    <t>a9260de4-f336-4896-bbff-73a17a18b8fc</t>
  </si>
  <si>
    <t>27818369548</t>
  </si>
  <si>
    <t>14300032</t>
  </si>
  <si>
    <t>3ccefd7f-3494-4b28-b78f-8ccf5509db87</t>
  </si>
  <si>
    <t>2026-05-26 10:17:36</t>
  </si>
  <si>
    <t>27660402374</t>
  </si>
  <si>
    <t>14300443</t>
  </si>
  <si>
    <t>7d19109c-e2b6-4b87-918d-39e949d98818</t>
  </si>
  <si>
    <t>27793802208</t>
  </si>
  <si>
    <t>14300043</t>
  </si>
  <si>
    <t>3824bcde-530f-483d-b3e9-e14975b9d537</t>
  </si>
  <si>
    <t>27790945286</t>
  </si>
  <si>
    <t>2026-05-26 10:17:08</t>
  </si>
  <si>
    <t>14300027</t>
  </si>
  <si>
    <t>0c2f4079-3a0b-406d-ab4c-2a986781aa4d</t>
  </si>
  <si>
    <t>27725737065</t>
  </si>
  <si>
    <t>14300154</t>
  </si>
  <si>
    <t>f6bb4683-6672-43b7-93f4-248a1dff97bd</t>
  </si>
  <si>
    <t>27783114921</t>
  </si>
  <si>
    <t>14300116</t>
  </si>
  <si>
    <t>18a21790-6fb7-45e7-9d60-b9e55bcbdfbe</t>
  </si>
  <si>
    <t>27647803948</t>
  </si>
  <si>
    <t>14300033</t>
  </si>
  <si>
    <t>a9d84a8a-3953-4bfb-b683-fbdd36c49fa9</t>
  </si>
  <si>
    <t>2026-05-26 10:17:06</t>
  </si>
  <si>
    <t>27712822136</t>
  </si>
  <si>
    <t>14300022</t>
  </si>
  <si>
    <t>b2b38bd7-3c51-4eb8-b10c-28f200058ece</t>
  </si>
  <si>
    <t>27792355401</t>
  </si>
  <si>
    <t>14300285</t>
  </si>
  <si>
    <t>d9990edf-0195-4321-bc78-425fdaa87bcf</t>
  </si>
  <si>
    <t>27765125030</t>
  </si>
  <si>
    <t>14301010</t>
  </si>
  <si>
    <t>4285bfa5-ac31-47f9-be23-75818f6c8f50</t>
  </si>
  <si>
    <t>27649979811</t>
  </si>
  <si>
    <t>2026-05-26 10:16:42</t>
  </si>
  <si>
    <t>14300037</t>
  </si>
  <si>
    <t>d1c90120-6604-430f-a9f6-5722aa681dab</t>
  </si>
  <si>
    <t>2026-05-26 10:16:37</t>
  </si>
  <si>
    <t>27824047607</t>
  </si>
  <si>
    <t>14300026</t>
  </si>
  <si>
    <t>e3bedb79-405b-465a-a057-a50daed093a2</t>
  </si>
  <si>
    <t>27660240517</t>
  </si>
  <si>
    <t>14300298</t>
  </si>
  <si>
    <t>3dc64826-55aa-464a-89ac-a2694c0fe0ce</t>
  </si>
  <si>
    <t>27797487116</t>
  </si>
  <si>
    <t>14300050</t>
  </si>
  <si>
    <t>9da36c5c-9d54-4144-99d3-240379ff07f5</t>
  </si>
  <si>
    <t>2026-05-26 10:15:39</t>
  </si>
  <si>
    <t>27823638855</t>
  </si>
  <si>
    <t>14300202</t>
  </si>
  <si>
    <t>70c28d75-5272-4612-887f-9e99af3f6697</t>
  </si>
  <si>
    <t>27727293207</t>
  </si>
  <si>
    <t>14300076</t>
  </si>
  <si>
    <t>2d58b3a2-f9df-484e-a85b-2502b0b6efa3</t>
  </si>
  <si>
    <t>2026-05-26 10:15:38</t>
  </si>
  <si>
    <t>27829581953</t>
  </si>
  <si>
    <t>14300291</t>
  </si>
  <si>
    <t>cb34bca3-6f35-4163-877f-2a03a48cfafb</t>
  </si>
  <si>
    <t>27673087954</t>
  </si>
  <si>
    <t>14300495</t>
  </si>
  <si>
    <t>5dd0ba9f-15c0-41e4-807a-520a697b6456</t>
  </si>
  <si>
    <t>27790575097</t>
  </si>
  <si>
    <t>2026-05-26 10:15:37</t>
  </si>
  <si>
    <t>14300051</t>
  </si>
  <si>
    <t>a274efd9-5647-412e-bf37-5ed7b2a84d2f</t>
  </si>
  <si>
    <t>2026-05-26 10:15:34</t>
  </si>
  <si>
    <t>27724882254</t>
  </si>
  <si>
    <t>14300177</t>
  </si>
  <si>
    <t>cde751da-6561-4cba-82c1-cf52f844265a</t>
  </si>
  <si>
    <t>27823548466</t>
  </si>
  <si>
    <t>14300048</t>
  </si>
  <si>
    <t>81a91a47-7c93-4405-860e-7c667bfddb1e</t>
  </si>
  <si>
    <t>2026-05-26 10:15:16</t>
  </si>
  <si>
    <t>27791270448</t>
  </si>
  <si>
    <t>14300065</t>
  </si>
  <si>
    <t>639d4926-3320-455a-a5eb-77df7ed26c3a</t>
  </si>
  <si>
    <t>2026-05-26 10:15:15</t>
  </si>
  <si>
    <t>27822526024</t>
  </si>
  <si>
    <t>14300144</t>
  </si>
  <si>
    <t>8909f3bb-4781-41f8-a151-c22bfc955e91</t>
  </si>
  <si>
    <t>27797871030</t>
  </si>
  <si>
    <t>14300090</t>
  </si>
  <si>
    <t>0378a4ab-4d1d-4ace-84c1-2eb8c2643c02</t>
  </si>
  <si>
    <t>27794063097</t>
  </si>
  <si>
    <t>2026-05-26 10:15:14</t>
  </si>
  <si>
    <t>14300185</t>
  </si>
  <si>
    <t>0b65ed9d-b97d-4417-9cb6-9ffd889f3afa</t>
  </si>
  <si>
    <t>27723422655</t>
  </si>
  <si>
    <t>2026-05-26 10:14:49</t>
  </si>
  <si>
    <t>14300316</t>
  </si>
  <si>
    <t>29ad0220-0dc1-49d6-b54a-cff16aad0e1b</t>
  </si>
  <si>
    <t>27827666053</t>
  </si>
  <si>
    <t>14300044</t>
  </si>
  <si>
    <t>57ffa781-b329-4487-99cd-634558b9928f</t>
  </si>
  <si>
    <t>27720765109</t>
  </si>
  <si>
    <t>2026-05-26 10:14:44</t>
  </si>
  <si>
    <t>14300053</t>
  </si>
  <si>
    <t>9342fd6a-4fb8-4795-94bb-0931efa3df64</t>
  </si>
  <si>
    <t>27822668842</t>
  </si>
  <si>
    <t>14300848</t>
  </si>
  <si>
    <t>c07b460f-f93b-4ae5-8cde-487b7c35c16e</t>
  </si>
  <si>
    <t>27713571996</t>
  </si>
  <si>
    <t>2026-05-26 10:14:16</t>
  </si>
  <si>
    <t>14300060</t>
  </si>
  <si>
    <t>03dc904d-f513-4f1b-a7c0-7340ca41d3d6</t>
  </si>
  <si>
    <t>2026-05-26 10:13:37</t>
  </si>
  <si>
    <t>27713275608</t>
  </si>
  <si>
    <t>14300075</t>
  </si>
  <si>
    <t>0d1ee600-33db-41d1-a6fa-2f54c35bcb0c</t>
  </si>
  <si>
    <t>2026-05-26 10:13:36</t>
  </si>
  <si>
    <t>27764247474</t>
  </si>
  <si>
    <t>14300160</t>
  </si>
  <si>
    <t>38ce92c6-739c-41da-a318-6de8c706355e</t>
  </si>
  <si>
    <t>27760223113</t>
  </si>
  <si>
    <t>14300108</t>
  </si>
  <si>
    <t>a0be5c0f-0f62-452a-bba9-e601e7085da6</t>
  </si>
  <si>
    <t>27796650620</t>
  </si>
  <si>
    <t>2026-05-26 10:13:33</t>
  </si>
  <si>
    <t>14300323</t>
  </si>
  <si>
    <t>02794cb9-137f-4404-9665-a9d266f76bf6</t>
  </si>
  <si>
    <t>2026-05-26 10:13:01</t>
  </si>
  <si>
    <t>27798011811</t>
  </si>
  <si>
    <t>14300054</t>
  </si>
  <si>
    <t>5c9913f8-7f7c-4078-a03e-7368eb2b5498</t>
  </si>
  <si>
    <t>2026-05-26 10:12:45</t>
  </si>
  <si>
    <t>27824049300</t>
  </si>
  <si>
    <t>14300064</t>
  </si>
  <si>
    <t>a76d6c51-f32b-4aa7-91bf-fdc1c3f8ffb0</t>
  </si>
  <si>
    <t>2026-05-26 10:12:39</t>
  </si>
  <si>
    <t>27826461129</t>
  </si>
  <si>
    <t>14300293</t>
  </si>
  <si>
    <t>af80d9bc-63ec-464f-bbd0-ca8fb5312bf5</t>
  </si>
  <si>
    <t>27760413651</t>
  </si>
  <si>
    <t>2026-05-26 10:12:36</t>
  </si>
  <si>
    <t>14300277</t>
  </si>
  <si>
    <t>db3a1b18-9416-4e9c-a1ac-715e17c3fee6</t>
  </si>
  <si>
    <t>2026-05-26 10:12:31</t>
  </si>
  <si>
    <t>27661024912</t>
  </si>
  <si>
    <t>14300279</t>
  </si>
  <si>
    <t>cd3ee5f9-f73e-4241-9adc-3ffaa9d4caff</t>
  </si>
  <si>
    <t>27712133464</t>
  </si>
  <si>
    <t>2026-05-26 10:12:08</t>
  </si>
  <si>
    <t>14300141</t>
  </si>
  <si>
    <t>f620242d-cb88-4d13-8df3-f17efc8112e2</t>
  </si>
  <si>
    <t>2026-05-26 10:12:07</t>
  </si>
  <si>
    <t>27814171820</t>
  </si>
  <si>
    <t>14300468</t>
  </si>
  <si>
    <t>38bd2244-bd36-4051-ad28-e977ab093140</t>
  </si>
  <si>
    <t>27797786170</t>
  </si>
  <si>
    <t>14300466</t>
  </si>
  <si>
    <t>59dec727-343b-4673-bb0c-31902f126669</t>
  </si>
  <si>
    <t>27795395615</t>
  </si>
  <si>
    <t>2026-05-26 10:11:45</t>
  </si>
  <si>
    <t>14300103</t>
  </si>
  <si>
    <t>b9c97763-5dc9-4ce8-8b32-eb81ba8eb217</t>
  </si>
  <si>
    <t>2026-05-26 10:11:38</t>
  </si>
  <si>
    <t>27762551624</t>
  </si>
  <si>
    <t>14300117</t>
  </si>
  <si>
    <t>a217e5ec-8271-4f7a-960d-7f2e7247dcc3</t>
  </si>
  <si>
    <t>27648573078</t>
  </si>
  <si>
    <t>2026-05-26 10:11:37</t>
  </si>
  <si>
    <t>14300091</t>
  </si>
  <si>
    <t>88be9713-1178-44c7-ad68-f96679bf76df</t>
  </si>
  <si>
    <t>2026-05-26 10:11:13</t>
  </si>
  <si>
    <t>27764042071</t>
  </si>
  <si>
    <t>14300258</t>
  </si>
  <si>
    <t>69115fcb-e746-47a8-8735-fce411828275</t>
  </si>
  <si>
    <t>27791603503</t>
  </si>
  <si>
    <t>14300120</t>
  </si>
  <si>
    <t>ddc991b7-eef8-42c2-b334-ae1c00619e5f</t>
  </si>
  <si>
    <t>2026-05-26 10:11:06</t>
  </si>
  <si>
    <t>27761677958</t>
  </si>
  <si>
    <t>14300093</t>
  </si>
  <si>
    <t>9a69e8cf-87c0-4af4-9d9b-78e8f074eee1</t>
  </si>
  <si>
    <t>2026-05-26 10:11:05</t>
  </si>
  <si>
    <t>27793847441</t>
  </si>
  <si>
    <t>14300328</t>
  </si>
  <si>
    <t>dc795630-7b0d-4678-8a9f-d228c1aea85f</t>
  </si>
  <si>
    <t>27765147230</t>
  </si>
  <si>
    <t>14300496</t>
  </si>
  <si>
    <t>34438c52-934f-40ea-afa4-aa95a7cee09e</t>
  </si>
  <si>
    <t>27716207999</t>
  </si>
  <si>
    <t>14300217</t>
  </si>
  <si>
    <t>8114bb28-499c-4f59-a64e-f416cc3d2e7f</t>
  </si>
  <si>
    <t>2026-05-26 10:11:00</t>
  </si>
  <si>
    <t>27649362344</t>
  </si>
  <si>
    <t>14300142</t>
  </si>
  <si>
    <t>5a4d625d-4ecd-4745-970d-064736128b7a</t>
  </si>
  <si>
    <t>27725816780</t>
  </si>
  <si>
    <t>2026-05-26 10:10:57</t>
  </si>
  <si>
    <t>14300110</t>
  </si>
  <si>
    <t>008a508c-091d-4930-83b9-d63d176c95b2</t>
  </si>
  <si>
    <t>27796418585</t>
  </si>
  <si>
    <t>14300186</t>
  </si>
  <si>
    <t>b2daff1c-72b0-48b6-9e14-7fb07c3c21e2</t>
  </si>
  <si>
    <t>27721104899</t>
  </si>
  <si>
    <t>14300406</t>
  </si>
  <si>
    <t>e3d1e46e-9f52-42e3-9c55-9fc81568c145</t>
  </si>
  <si>
    <t>2026-05-26 10:10:36</t>
  </si>
  <si>
    <t>27609204912</t>
  </si>
  <si>
    <t>14300084</t>
  </si>
  <si>
    <t>bc2789ef-abe4-420a-8fda-5b0f7f4d6f5e</t>
  </si>
  <si>
    <t>2026-05-26 10:10:35</t>
  </si>
  <si>
    <t>27762896457</t>
  </si>
  <si>
    <t>14300095</t>
  </si>
  <si>
    <t>36905f5b-cf53-47ca-a427-a0252661cb14</t>
  </si>
  <si>
    <t>27735724958</t>
  </si>
  <si>
    <t>14300411</t>
  </si>
  <si>
    <t>b9c882cb-f2ef-4da7-adb4-5bfa915bf1a6</t>
  </si>
  <si>
    <t>27818711298</t>
  </si>
  <si>
    <t>2026-05-26 10:09:49</t>
  </si>
  <si>
    <t>14300100</t>
  </si>
  <si>
    <t>7e134d4e-3cb1-47cd-a65e-e137eeab4dbe</t>
  </si>
  <si>
    <t>27725113910</t>
  </si>
  <si>
    <t>2026-05-26 10:09:28</t>
  </si>
  <si>
    <t>14300196</t>
  </si>
  <si>
    <t>6135b053-cc0e-4d89-b504-e669f41b7e98</t>
  </si>
  <si>
    <t>27647099414</t>
  </si>
  <si>
    <t>14300114</t>
  </si>
  <si>
    <t>2781d2dc-9872-40ba-bf46-83cd60d7cb6b</t>
  </si>
  <si>
    <t>2026-05-26 10:09:22</t>
  </si>
  <si>
    <t>27714719154</t>
  </si>
  <si>
    <t>14300092</t>
  </si>
  <si>
    <t>a7fc7122-f740-4a25-a718-71b329c3bd52</t>
  </si>
  <si>
    <t>2026-05-26 10:08:57</t>
  </si>
  <si>
    <t>27721298627</t>
  </si>
  <si>
    <t>14300105</t>
  </si>
  <si>
    <t>4c5edc50-c93c-4611-9696-77d7ff5148d7</t>
  </si>
  <si>
    <t>27764601802</t>
  </si>
  <si>
    <t>14300123</t>
  </si>
  <si>
    <t>4111067b-1aa4-4891-a847-7d49b7ae08aa</t>
  </si>
  <si>
    <t>27664264583</t>
  </si>
  <si>
    <t>2026-05-26 10:08:22</t>
  </si>
  <si>
    <t>14300132</t>
  </si>
  <si>
    <t>bcf2a2ca-b7dc-4b26-8c1e-8d3b8b67a39b</t>
  </si>
  <si>
    <t>27799937374</t>
  </si>
  <si>
    <t>14300145</t>
  </si>
  <si>
    <t>46bb709e-47fd-4a6b-9329-9192276ba48c</t>
  </si>
  <si>
    <t>27728206256</t>
  </si>
  <si>
    <t>14300283</t>
  </si>
  <si>
    <t>6e4d7e64-7bd4-4fa7-b722-6c2635c8ac28</t>
  </si>
  <si>
    <t>27764162212</t>
  </si>
  <si>
    <t>14300148</t>
  </si>
  <si>
    <t>259a8dee-799d-489b-a523-1590ce246edd</t>
  </si>
  <si>
    <t>2026-05-26 10:08:12</t>
  </si>
  <si>
    <t>27722550693</t>
  </si>
  <si>
    <t>14300407</t>
  </si>
  <si>
    <t>fce49647-0a97-4507-b658-38388e739a11</t>
  </si>
  <si>
    <t>2026-05-26 10:08:08</t>
  </si>
  <si>
    <t>27646766686</t>
  </si>
  <si>
    <t>14300125</t>
  </si>
  <si>
    <t>6940d8b0-94bf-4a3f-b5d6-df75b4b7bae6</t>
  </si>
  <si>
    <t>2026-05-26 10:07:51</t>
  </si>
  <si>
    <t>27664464845</t>
  </si>
  <si>
    <t>14300527</t>
  </si>
  <si>
    <t>bf5c8979-2b41-4768-abe4-85a804de736e</t>
  </si>
  <si>
    <t>27714964821</t>
  </si>
  <si>
    <t>14300340</t>
  </si>
  <si>
    <t>966815f1-c5cc-4e2c-b8c2-57d746142d34</t>
  </si>
  <si>
    <t>27796852102</t>
  </si>
  <si>
    <t>2026-05-26 10:07:15</t>
  </si>
  <si>
    <t>14300268</t>
  </si>
  <si>
    <t>e4e8ed17-102d-4b05-a403-5316999e823d</t>
  </si>
  <si>
    <t>27765023269</t>
  </si>
  <si>
    <t>2026-05-26 10:07:04</t>
  </si>
  <si>
    <t>14300121</t>
  </si>
  <si>
    <t>eaa97f08-dbf3-4fc2-b602-3827b1b3f497</t>
  </si>
  <si>
    <t>2026-05-26 10:06:52</t>
  </si>
  <si>
    <t>27767157480</t>
  </si>
  <si>
    <t>14300214</t>
  </si>
  <si>
    <t>2f0b911b-cc37-49e7-8574-ee8c35c3f970</t>
  </si>
  <si>
    <t>2026-05-26 10:06:43</t>
  </si>
  <si>
    <t>27793565029</t>
  </si>
  <si>
    <t>14300140</t>
  </si>
  <si>
    <t>6fd687ec-833e-42fb-9f67-bde1195189f9</t>
  </si>
  <si>
    <t>27796377326</t>
  </si>
  <si>
    <t>2026-05-26 10:06:40</t>
  </si>
  <si>
    <t>14300166</t>
  </si>
  <si>
    <t>6dab96d9-fb74-4676-98e3-174f91db0414</t>
  </si>
  <si>
    <t>2026-05-26 10:06:39</t>
  </si>
  <si>
    <t>27768682311</t>
  </si>
  <si>
    <t>14300115</t>
  </si>
  <si>
    <t>8234082f-3fd8-4c2a-b6dd-63a4b442763d</t>
  </si>
  <si>
    <t>2026-05-26 10:06:17</t>
  </si>
  <si>
    <t>27722756703</t>
  </si>
  <si>
    <t>14300127</t>
  </si>
  <si>
    <t>e8b9e979-7b91-400f-b0ea-d42b7d9de1b7</t>
  </si>
  <si>
    <t>2026-05-26 10:06:15</t>
  </si>
  <si>
    <t>27794401250</t>
  </si>
  <si>
    <t>14300381</t>
  </si>
  <si>
    <t>cccfdfca-cb3d-4e67-a3b4-937dcf523ac3</t>
  </si>
  <si>
    <t>2026-05-26 10:06:06</t>
  </si>
  <si>
    <t>27608202044</t>
  </si>
  <si>
    <t>14300192</t>
  </si>
  <si>
    <t>71c68ac9-3de2-4450-aa78-b3436f3a5870</t>
  </si>
  <si>
    <t>2026-05-26 10:06:01</t>
  </si>
  <si>
    <t>27767142431</t>
  </si>
  <si>
    <t>14300520</t>
  </si>
  <si>
    <t>8844a8db-df7a-4620-adc8-8761bef189a0</t>
  </si>
  <si>
    <t>27795478286</t>
  </si>
  <si>
    <t>2026-05-26 10:05:58</t>
  </si>
  <si>
    <t>14300187</t>
  </si>
  <si>
    <t>5e5c4fe0-ed21-42b2-bf8c-9a06a9d378ff</t>
  </si>
  <si>
    <t>2026-05-26 10:05:57</t>
  </si>
  <si>
    <t>27723139699</t>
  </si>
  <si>
    <t>14300161</t>
  </si>
  <si>
    <t>b09a91bb-8bd0-4c59-b25f-ccc4fd97f974</t>
  </si>
  <si>
    <t>2026-05-26 10:05:43</t>
  </si>
  <si>
    <t>27791740629</t>
  </si>
  <si>
    <t>14300180</t>
  </si>
  <si>
    <t>f96f485e-5c72-4118-a7df-26f4002dce64</t>
  </si>
  <si>
    <t>2026-05-26 10:05:35</t>
  </si>
  <si>
    <t>27722141596</t>
  </si>
  <si>
    <t>14300156</t>
  </si>
  <si>
    <t>2e8eb0ac-2a10-4436-9b32-1040ca6865c2</t>
  </si>
  <si>
    <t>27710544155</t>
  </si>
  <si>
    <t>2026-05-26 10:05:34</t>
  </si>
  <si>
    <t>14300304</t>
  </si>
  <si>
    <t>c8df6066-2c80-4036-88be-8cab3e7e173c</t>
  </si>
  <si>
    <t>27673354316</t>
  </si>
  <si>
    <t>14300181</t>
  </si>
  <si>
    <t>b2f848ca-c231-48d1-ba3a-2e0267b62d9e</t>
  </si>
  <si>
    <t>2026-05-26 10:05:31</t>
  </si>
  <si>
    <t>27648363039</t>
  </si>
  <si>
    <t>14300438</t>
  </si>
  <si>
    <t>3ee47bdc-fda2-471d-a624-7edbf3c88331</t>
  </si>
  <si>
    <t>2026-05-26 10:05:21</t>
  </si>
  <si>
    <t>27646021056</t>
  </si>
  <si>
    <t>14300551</t>
  </si>
  <si>
    <t>806bc138-4d68-404e-98d8-a9c5768cb479</t>
  </si>
  <si>
    <t>27818793655</t>
  </si>
  <si>
    <t>14300157</t>
  </si>
  <si>
    <t>8c6853ed-70c9-4053-8e3e-adf62a3a8062</t>
  </si>
  <si>
    <t>2026-05-26 10:04:18</t>
  </si>
  <si>
    <t>27791352437</t>
  </si>
  <si>
    <t>14300152</t>
  </si>
  <si>
    <t>4447e49a-9194-4385-b745-620a101d8268</t>
  </si>
  <si>
    <t>2026-05-26 10:04:15</t>
  </si>
  <si>
    <t>27794701292</t>
  </si>
  <si>
    <t>14300267</t>
  </si>
  <si>
    <t>5bca473a-bc72-408c-b7e7-5b675d150f8a</t>
  </si>
  <si>
    <t>27761975344</t>
  </si>
  <si>
    <t>14300289</t>
  </si>
  <si>
    <t>9f42b9b1-52a8-4d52-ac98-0b516e931afc</t>
  </si>
  <si>
    <t>27836971059</t>
  </si>
  <si>
    <t>14300167</t>
  </si>
  <si>
    <t>54ce9b0a-83e3-4ee6-95aa-19af9e63c6bc</t>
  </si>
  <si>
    <t>2026-05-26 10:04:14</t>
  </si>
  <si>
    <t>27829942029</t>
  </si>
  <si>
    <t>14300193</t>
  </si>
  <si>
    <t>79b0dfe6-bc9e-4267-a993-a4e88fff2f0d</t>
  </si>
  <si>
    <t>2026-05-26 10:04:07</t>
  </si>
  <si>
    <t>27818189716</t>
  </si>
  <si>
    <t>14300147</t>
  </si>
  <si>
    <t>1b5f1bc9-fe38-49bc-ac3b-169f05586d25</t>
  </si>
  <si>
    <t>2026-05-26 10:04:03</t>
  </si>
  <si>
    <t>27724195303</t>
  </si>
  <si>
    <t>14300482</t>
  </si>
  <si>
    <t>fdeac77d-ef1c-4e80-b375-f68c7fe3e9b3</t>
  </si>
  <si>
    <t>27607456459</t>
  </si>
  <si>
    <t>14300158</t>
  </si>
  <si>
    <t>955fe10f-b97f-4f73-a3a8-1b1cab70dd9a</t>
  </si>
  <si>
    <t>2026-05-26 10:04:02</t>
  </si>
  <si>
    <t>27791734848</t>
  </si>
  <si>
    <t>14300208</t>
  </si>
  <si>
    <t>896901bc-393c-461a-9e7f-da72a356c1d6</t>
  </si>
  <si>
    <t>27822662996</t>
  </si>
  <si>
    <t>2026-05-26 10:03:18</t>
  </si>
  <si>
    <t>14300478</t>
  </si>
  <si>
    <t>37529515-64d3-4a1d-bcc8-3b4958fd2949</t>
  </si>
  <si>
    <t>2026-05-26 10:03:04</t>
  </si>
  <si>
    <t>27649839919</t>
  </si>
  <si>
    <t>14300312</t>
  </si>
  <si>
    <t>c409ae4b-3f6f-4320-b034-30a8ecd33845</t>
  </si>
  <si>
    <t>2026-05-26 10:03:02</t>
  </si>
  <si>
    <t>27715750602</t>
  </si>
  <si>
    <t>14300313</t>
  </si>
  <si>
    <t>b41553bf-342e-4d6f-bd1e-b5dce2d0d06d</t>
  </si>
  <si>
    <t>2026-05-26 10:02:38</t>
  </si>
  <si>
    <t>27822275253</t>
  </si>
  <si>
    <t>14300325</t>
  </si>
  <si>
    <t>b0c1fa20-1a73-4790-9ca9-bdb144b9f1b9</t>
  </si>
  <si>
    <t>27793037819</t>
  </si>
  <si>
    <t>14300439</t>
  </si>
  <si>
    <t>e4b23e38-39aa-43c1-8de4-1c3767c1f083</t>
  </si>
  <si>
    <t>2026-05-26 10:02:37</t>
  </si>
  <si>
    <t>27791010190</t>
  </si>
  <si>
    <t>14300263</t>
  </si>
  <si>
    <t>7a257323-80ef-44ff-8e73-52f874a5fb0a</t>
  </si>
  <si>
    <t>27724035359</t>
  </si>
  <si>
    <t>2026-05-26 10:01:37</t>
  </si>
  <si>
    <t>14300421</t>
  </si>
  <si>
    <t>d49f1dbd-79ff-472b-a579-cbdcc4d4b0fa</t>
  </si>
  <si>
    <t>27827012944</t>
  </si>
  <si>
    <t>14300424</t>
  </si>
  <si>
    <t>ef77ad7a-ad0d-4493-82d0-65b24c8817cf</t>
  </si>
  <si>
    <t>27726511434</t>
  </si>
  <si>
    <t>14300255</t>
  </si>
  <si>
    <t>570b9ed0-b5b0-4c0d-ad85-ab88cf78ac75</t>
  </si>
  <si>
    <t>27798679284</t>
  </si>
  <si>
    <t>2026-05-26 10:01:36</t>
  </si>
  <si>
    <t>14300543</t>
  </si>
  <si>
    <t>936d4cb3-6f18-456d-a53b-837d114d31d5</t>
  </si>
  <si>
    <t>27726872066</t>
  </si>
  <si>
    <t>14300220</t>
  </si>
  <si>
    <t>ea6cb5f0-b128-4c8a-a34a-3d3bfc0ad490</t>
  </si>
  <si>
    <t>27798332146</t>
  </si>
  <si>
    <t>2026-05-26 10:01:34</t>
  </si>
  <si>
    <t>14300197</t>
  </si>
  <si>
    <t>8e23a6d9-2ee9-417e-b7aa-31c2ecd2bafd</t>
  </si>
  <si>
    <t>27765235897</t>
  </si>
  <si>
    <t>14300203</t>
  </si>
  <si>
    <t>215d839c-e46c-4b1c-9c7f-6cac94d1038c</t>
  </si>
  <si>
    <t>27727696766</t>
  </si>
  <si>
    <t>14300408</t>
  </si>
  <si>
    <t>3f816360-ecc7-4725-adbb-70eaab9c7e01</t>
  </si>
  <si>
    <t>2026-05-26 10:01:33</t>
  </si>
  <si>
    <t>27818876129</t>
  </si>
  <si>
    <t>14300487</t>
  </si>
  <si>
    <t>8665c226-d0ce-4d80-bc7a-cb6d23710abf</t>
  </si>
  <si>
    <t>2026-05-26 10:01:32</t>
  </si>
  <si>
    <t>27791961904</t>
  </si>
  <si>
    <t>14300195</t>
  </si>
  <si>
    <t>511c98c5-55ce-41ca-852b-904d7ce19757</t>
  </si>
  <si>
    <t>2026-05-26 10:01:30</t>
  </si>
  <si>
    <t>27761820587</t>
  </si>
  <si>
    <t>14300198</t>
  </si>
  <si>
    <t>38326919-d7ba-4da2-bede-52c76062df4a</t>
  </si>
  <si>
    <t>27793614959</t>
  </si>
  <si>
    <t>14300384</t>
  </si>
  <si>
    <t>241a7cfc-fb73-4692-81b5-282b6d612f9c</t>
  </si>
  <si>
    <t>27647350001</t>
  </si>
  <si>
    <t>14300308</t>
  </si>
  <si>
    <t>24ddb239-9d50-4eea-86db-7a2b15a64b5f</t>
  </si>
  <si>
    <t>2026-05-26 10:01:29</t>
  </si>
  <si>
    <t>27764807343</t>
  </si>
  <si>
    <t>14300210</t>
  </si>
  <si>
    <t>c07b1205-d12a-4606-9c8c-b9c573d356de</t>
  </si>
  <si>
    <t>27712714063</t>
  </si>
  <si>
    <t>14300265</t>
  </si>
  <si>
    <t>5c7caf90-58e8-4d40-90f2-af503c3f809e</t>
  </si>
  <si>
    <t>27724448844</t>
  </si>
  <si>
    <t>14301360</t>
  </si>
  <si>
    <t>0fe36b2e-2e82-4187-be74-a873276f1799</t>
  </si>
  <si>
    <t>27762335037</t>
  </si>
  <si>
    <t>2026-05-26 10:01:19</t>
  </si>
  <si>
    <t>14300516</t>
  </si>
  <si>
    <t>c37af310-dedf-4de6-9fd0-5a1f759b9150</t>
  </si>
  <si>
    <t>2026-05-26 10:00:51</t>
  </si>
  <si>
    <t>27795745768</t>
  </si>
  <si>
    <t>14300191</t>
  </si>
  <si>
    <t>00483ebf-dee2-47f7-bade-5b2c9922d03b</t>
  </si>
  <si>
    <t>2026-05-26 10:00:50</t>
  </si>
  <si>
    <t>27712013517</t>
  </si>
  <si>
    <t>14300010</t>
  </si>
  <si>
    <t>69fe4dab-a7a3-41f1-bb80-fbeca6374337</t>
  </si>
  <si>
    <t>27606177849</t>
  </si>
  <si>
    <t>2026-05-26 10:00:46</t>
  </si>
  <si>
    <t>14300199</t>
  </si>
  <si>
    <t>d51d1c52-eea6-4949-a6a2-a82b5d12e345</t>
  </si>
  <si>
    <t>2026-05-26 10:00:22</t>
  </si>
  <si>
    <t>27711169030</t>
  </si>
  <si>
    <t>14300009</t>
  </si>
  <si>
    <t>3163ff4f-c645-4e33-a7df-37ce19cf4a74</t>
  </si>
  <si>
    <t>27768971282</t>
  </si>
  <si>
    <t>2026-05-26 10:00:17</t>
  </si>
  <si>
    <t>14300015</t>
  </si>
  <si>
    <t>b6f3ab28-2edf-441b-9889-6bc3dbe1786f</t>
  </si>
  <si>
    <t>27792375542</t>
  </si>
  <si>
    <t>14300016</t>
  </si>
  <si>
    <t>0e326ef0-3ef0-4e51-93bc-d359fb7b82b6</t>
  </si>
  <si>
    <t>27794025431</t>
  </si>
  <si>
    <t>14300007</t>
  </si>
  <si>
    <t>b87c7e0a-474d-4ff7-86ae-faf47fb0c2ce</t>
  </si>
  <si>
    <t>27735110001</t>
  </si>
  <si>
    <t>2026-05-26 10:00:15</t>
  </si>
  <si>
    <t>14300003</t>
  </si>
  <si>
    <t>26e4fc6d-0eb8-410f-8585-11fdbb46702d</t>
  </si>
  <si>
    <t>2026-05-26 10:00:10</t>
  </si>
  <si>
    <t>27725507242</t>
  </si>
  <si>
    <t>14300171</t>
  </si>
  <si>
    <t>8164aa81-4402-461e-b0bb-27ffd8dde704</t>
  </si>
  <si>
    <t>27799145731</t>
  </si>
  <si>
    <t>14300000</t>
  </si>
  <si>
    <t>f7eae232-1d6e-488e-b2e0-22a40c7d01c6</t>
  </si>
  <si>
    <t>2026-05-26 10:00:09</t>
  </si>
  <si>
    <t>27636538244</t>
  </si>
  <si>
    <t>14299988</t>
  </si>
  <si>
    <t>96af2adf-d0a8-492f-87a7-01ba3122e57c</t>
  </si>
  <si>
    <t>27714168747</t>
  </si>
  <si>
    <t>2026-05-26 09:59:55</t>
  </si>
  <si>
    <t>14299996</t>
  </si>
  <si>
    <t>b1b69d73-a57a-412e-b4d6-3c47baa42c6d</t>
  </si>
  <si>
    <t>27606539042</t>
  </si>
  <si>
    <t>14299999</t>
  </si>
  <si>
    <t>ff5b79db-2212-47ad-bbcf-b1f2134a814a</t>
  </si>
  <si>
    <t>27818224046</t>
  </si>
  <si>
    <t>14300447</t>
  </si>
  <si>
    <t>e71f7afd-529a-4945-8606-3f9e23683b49</t>
  </si>
  <si>
    <t>27791644557</t>
  </si>
  <si>
    <t>14300449</t>
  </si>
  <si>
    <t>729ea1df-a209-4261-af53-0688da705b8e</t>
  </si>
  <si>
    <t>2026-05-26 09:59:54</t>
  </si>
  <si>
    <t>27827385892</t>
  </si>
  <si>
    <t>14299991</t>
  </si>
  <si>
    <t>c09d30ee-818b-4afa-a004-2aa452e65f21</t>
  </si>
  <si>
    <t>27765702214</t>
  </si>
  <si>
    <t>2026-05-26 09:59:51</t>
  </si>
  <si>
    <t>14299994</t>
  </si>
  <si>
    <t>883fc576-f316-4d08-bc36-1666a7d98ce6</t>
  </si>
  <si>
    <t>27712727388</t>
  </si>
  <si>
    <t>2026-05-26 09:59:43</t>
  </si>
  <si>
    <t>14299995</t>
  </si>
  <si>
    <t>42ee6431-e4d5-4d5f-a115-58a80faa6e6b</t>
  </si>
  <si>
    <t>27647875879</t>
  </si>
  <si>
    <t>14299993</t>
  </si>
  <si>
    <t>5be49345-3688-44ca-981d-85f5b23c167f</t>
  </si>
  <si>
    <t>27673334706</t>
  </si>
  <si>
    <t>2026-05-26 09:59:35</t>
  </si>
  <si>
    <t>14299992</t>
  </si>
  <si>
    <t>9162fecd-0496-4ab7-9e12-f8b97a33cbfb</t>
  </si>
  <si>
    <t>27665160636</t>
  </si>
  <si>
    <t>2026-05-26 09:59:33</t>
  </si>
  <si>
    <t>14299891</t>
  </si>
  <si>
    <t>58849645-b382-4426-bfe5-004ba8df34ba</t>
  </si>
  <si>
    <t>27744709270</t>
  </si>
  <si>
    <t>2026-05-26 09:59:32</t>
  </si>
  <si>
    <t>14299987</t>
  </si>
  <si>
    <t>b22b4efd-bd8f-4006-8ab6-2228a13d01a5</t>
  </si>
  <si>
    <t>2026-05-26 09:59:19</t>
  </si>
  <si>
    <t>27713174408</t>
  </si>
  <si>
    <t>14300254</t>
  </si>
  <si>
    <t>0b84a8b7-2dba-4fee-bc31-eafab36cbac6</t>
  </si>
  <si>
    <t>2026-05-26 09:58:51</t>
  </si>
  <si>
    <t>27728841996</t>
  </si>
  <si>
    <t>14300278</t>
  </si>
  <si>
    <t>186fc1b8-4599-4b10-ac6a-237af2e16f97</t>
  </si>
  <si>
    <t>27795528070</t>
  </si>
  <si>
    <t>14300270</t>
  </si>
  <si>
    <t>ae83de5f-9212-47e7-99ec-30d6d67cb728</t>
  </si>
  <si>
    <t>2026-05-26 09:58:50</t>
  </si>
  <si>
    <t>27718974002</t>
  </si>
  <si>
    <t>14300274</t>
  </si>
  <si>
    <t>171bcab0-9a7a-485d-a7e5-1e83275b5389</t>
  </si>
  <si>
    <t>27762189667</t>
  </si>
  <si>
    <t>2026-05-26 09:58:45</t>
  </si>
  <si>
    <t>14300433</t>
  </si>
  <si>
    <t>49abac54-b34b-44a3-94d7-f270140c2e50</t>
  </si>
  <si>
    <t>27661761491</t>
  </si>
  <si>
    <t>14300509</t>
  </si>
  <si>
    <t>86f5aab0-45ba-4b6b-8f92-d335e0eaf7e3</t>
  </si>
  <si>
    <t>27715382241</t>
  </si>
  <si>
    <t>2026-05-26 09:58:33</t>
  </si>
  <si>
    <t>14300594</t>
  </si>
  <si>
    <t>aa044ded-c127-4ffd-a2bf-f48084bf6953</t>
  </si>
  <si>
    <t>27796285365</t>
  </si>
  <si>
    <t>2026-05-26 09:58:22</t>
  </si>
  <si>
    <t>14300247</t>
  </si>
  <si>
    <t>8a207631-67e5-4468-a6c6-4d40505f7cac</t>
  </si>
  <si>
    <t>2026-05-26 09:58:18</t>
  </si>
  <si>
    <t>27767346560</t>
  </si>
  <si>
    <t>14300413</t>
  </si>
  <si>
    <t>220300d5-7d7d-44a6-b850-c24be7210211</t>
  </si>
  <si>
    <t>27725736619</t>
  </si>
  <si>
    <t>14300222</t>
  </si>
  <si>
    <t>d7a45d8e-a962-47ba-9581-11d94932a4d0</t>
  </si>
  <si>
    <t>2026-05-26 09:58:16</t>
  </si>
  <si>
    <t>27837724803</t>
  </si>
  <si>
    <t>14300383</t>
  </si>
  <si>
    <t>d94021cf-e2a6-406c-a9f4-17015e9a296d</t>
  </si>
  <si>
    <t>2026-05-26 09:58:10</t>
  </si>
  <si>
    <t>27647329138</t>
  </si>
  <si>
    <t>14300262</t>
  </si>
  <si>
    <t>ddd0d921-6058-4a51-b4fd-b63e2466cf4d</t>
  </si>
  <si>
    <t>2026-05-26 09:58:06</t>
  </si>
  <si>
    <t>27722674122</t>
  </si>
  <si>
    <t>14300287</t>
  </si>
  <si>
    <t>e1d72fda-71bb-40f3-8d89-b54456dd7c64</t>
  </si>
  <si>
    <t>2026-05-26 09:58:04</t>
  </si>
  <si>
    <t>27606766406</t>
  </si>
  <si>
    <t>14300216</t>
  </si>
  <si>
    <t>9108da4a-b3e2-421c-9aa7-452d4bafed93</t>
  </si>
  <si>
    <t>2026-05-26 09:58:00</t>
  </si>
  <si>
    <t>27725604062</t>
  </si>
  <si>
    <t>14300523</t>
  </si>
  <si>
    <t>8e7544d2-c632-4408-9d9d-49900add8ea2</t>
  </si>
  <si>
    <t>27823338713</t>
  </si>
  <si>
    <t>14300249</t>
  </si>
  <si>
    <t>8c10d4d1-f29c-4c4c-9223-039af044ba9d</t>
  </si>
  <si>
    <t>2026-05-26 09:57:56</t>
  </si>
  <si>
    <t>27714820340</t>
  </si>
  <si>
    <t>14300616</t>
  </si>
  <si>
    <t>bb15f187-cb52-412d-8b2d-70f60132aed9</t>
  </si>
  <si>
    <t>2026-05-26 09:56:37</t>
  </si>
  <si>
    <t>27820926450</t>
  </si>
  <si>
    <t>14300259</t>
  </si>
  <si>
    <t>5361021c-4be8-4fc1-8224-4e2116d467dd</t>
  </si>
  <si>
    <t>2026-05-26 09:56:36</t>
  </si>
  <si>
    <t>27792931547</t>
  </si>
  <si>
    <t>14300256</t>
  </si>
  <si>
    <t>88bdf5bc-8314-4810-9d2b-315dcd81d537</t>
  </si>
  <si>
    <t>27797125138</t>
  </si>
  <si>
    <t>2026-05-26 09:56:34</t>
  </si>
  <si>
    <t>14300396</t>
  </si>
  <si>
    <t>365aa60c-82ec-4761-8abf-a93c71a2c591</t>
  </si>
  <si>
    <t>27826369553</t>
  </si>
  <si>
    <t>14300271</t>
  </si>
  <si>
    <t>726e3422-5e77-4613-af31-3bc5f23fd874</t>
  </si>
  <si>
    <t>27796013381</t>
  </si>
  <si>
    <t>14300422</t>
  </si>
  <si>
    <t>9c1c77d0-1796-4f9d-8952-fc033fcb5647</t>
  </si>
  <si>
    <t>27768643091</t>
  </si>
  <si>
    <t>14300299</t>
  </si>
  <si>
    <t>2fee69dd-b845-4473-b372-a63be05cec46</t>
  </si>
  <si>
    <t>2026-05-26 09:56:32</t>
  </si>
  <si>
    <t>27820936502</t>
  </si>
  <si>
    <t>14300252</t>
  </si>
  <si>
    <t>b7a238e5-1187-4682-a3f5-9a1ad8b8d4c6</t>
  </si>
  <si>
    <t>27715633557</t>
  </si>
  <si>
    <t>2026-05-26 09:56:31</t>
  </si>
  <si>
    <t>14300260</t>
  </si>
  <si>
    <t>a8842c2a-08e1-404f-8579-88b55f59423f</t>
  </si>
  <si>
    <t>27727528419</t>
  </si>
  <si>
    <t>14300533</t>
  </si>
  <si>
    <t>4eedba2e-79d2-4721-be6f-d5956ca35eaf</t>
  </si>
  <si>
    <t>27648131702</t>
  </si>
  <si>
    <t>14300532</t>
  </si>
  <si>
    <t>47d3d033-e39f-4a06-b9fc-1a1eb1144068</t>
  </si>
  <si>
    <t>2026-05-26 09:54:58</t>
  </si>
  <si>
    <t>27834332133</t>
  </si>
  <si>
    <t>14300630</t>
  </si>
  <si>
    <t>b9fefb66-df07-412a-a899-d2b7c7a55039</t>
  </si>
  <si>
    <t>2026-05-26 09:54:46</t>
  </si>
  <si>
    <t>27827972270</t>
  </si>
  <si>
    <t>14300272</t>
  </si>
  <si>
    <t>f9cc05d5-fb7a-4871-82c7-fd86104cbc6d</t>
  </si>
  <si>
    <t>27728035540</t>
  </si>
  <si>
    <t>2026-05-26 09:54:44</t>
  </si>
  <si>
    <t>14300434</t>
  </si>
  <si>
    <t>36c8d226-6382-4e16-b5c0-24f04620d332</t>
  </si>
  <si>
    <t>27823669300</t>
  </si>
  <si>
    <t>14300269</t>
  </si>
  <si>
    <t>210d3aa6-f54a-4152-919e-0eab47033a7b</t>
  </si>
  <si>
    <t>2026-05-26 09:54:33</t>
  </si>
  <si>
    <t>27794942977</t>
  </si>
  <si>
    <t>14300412</t>
  </si>
  <si>
    <t>01691288-2490-4b4d-b99f-b9b331aafcba</t>
  </si>
  <si>
    <t>2026-05-26 09:54:28</t>
  </si>
  <si>
    <t>27723683472</t>
  </si>
  <si>
    <t>14300282</t>
  </si>
  <si>
    <t>c63bd05b-6e74-40d1-9f87-26a2ccf8db56</t>
  </si>
  <si>
    <t>2026-05-26 09:54:27</t>
  </si>
  <si>
    <t>27718765651</t>
  </si>
  <si>
    <t>14300314</t>
  </si>
  <si>
    <t>a4c9971f-8441-4ca8-bbc1-abe4e02d969c</t>
  </si>
  <si>
    <t>2026-05-26 09:54:16</t>
  </si>
  <si>
    <t>27726736110</t>
  </si>
  <si>
    <t>14300264</t>
  </si>
  <si>
    <t>6d8dce4c-add0-4201-a488-8f2fb9c99c7a</t>
  </si>
  <si>
    <t>27763133133</t>
  </si>
  <si>
    <t>14300547</t>
  </si>
  <si>
    <t>2ba16443-0fe1-4fe2-bf63-3d39f1012a70</t>
  </si>
  <si>
    <t>27616393446</t>
  </si>
  <si>
    <t>14300273</t>
  </si>
  <si>
    <t>9f584e01-1c84-4bb6-8318-e346480d7a3b</t>
  </si>
  <si>
    <t>2026-05-26 09:54:06</t>
  </si>
  <si>
    <t>27763553332</t>
  </si>
  <si>
    <t>14300628</t>
  </si>
  <si>
    <t>b344551f-b2d3-4f8b-aa68-f64bdca3c026</t>
  </si>
  <si>
    <t>2026-05-26 09:53:56</t>
  </si>
  <si>
    <t>27731109056</t>
  </si>
  <si>
    <t>14300321</t>
  </si>
  <si>
    <t>b601daab-f130-4988-88e2-4473d55455aa</t>
  </si>
  <si>
    <t>27677057306</t>
  </si>
  <si>
    <t>2026-05-26 09:53:41</t>
  </si>
  <si>
    <t>14300318</t>
  </si>
  <si>
    <t>c249ba6f-1dfd-489f-a240-a360fde21857</t>
  </si>
  <si>
    <t>2026-05-26 09:53:38</t>
  </si>
  <si>
    <t>27765338860</t>
  </si>
  <si>
    <t>14300294</t>
  </si>
  <si>
    <t>1ec1b600-c695-43b4-9aa0-9bab4530b83f</t>
  </si>
  <si>
    <t>27724095090</t>
  </si>
  <si>
    <t>14300300</t>
  </si>
  <si>
    <t>6b7af231-1e37-4725-84ca-8640cb752a23</t>
  </si>
  <si>
    <t>27764692406</t>
  </si>
  <si>
    <t>14300489</t>
  </si>
  <si>
    <t>56e2bcb1-2867-4690-9b0c-e993fe88e85a</t>
  </si>
  <si>
    <t>27792149430</t>
  </si>
  <si>
    <t>14300548</t>
  </si>
  <si>
    <t>f26aa13e-07fd-4122-b2d5-c1a4f5d273da</t>
  </si>
  <si>
    <t>2026-05-26 09:52:47</t>
  </si>
  <si>
    <t>27791772400</t>
  </si>
  <si>
    <t>14300666</t>
  </si>
  <si>
    <t>a892ed3a-96ef-4d73-8e09-24d00205b276</t>
  </si>
  <si>
    <t>2026-05-26 09:52:45</t>
  </si>
  <si>
    <t>27796332003</t>
  </si>
  <si>
    <t>14300295</t>
  </si>
  <si>
    <t>af4ca37d-7762-4580-9a69-8048be0857b1</t>
  </si>
  <si>
    <t>2026-05-26 09:52:44</t>
  </si>
  <si>
    <t>27795837198</t>
  </si>
  <si>
    <t>14300465</t>
  </si>
  <si>
    <t>f88ee599-3322-4ef6-b388-e1b21064ceac</t>
  </si>
  <si>
    <t>27763749733</t>
  </si>
  <si>
    <t>2026-05-26 09:52:43</t>
  </si>
  <si>
    <t>14300309</t>
  </si>
  <si>
    <t>4eac4889-5f39-4349-884e-64f48dcd446c</t>
  </si>
  <si>
    <t>2026-05-26 09:52:42</t>
  </si>
  <si>
    <t>27768622016</t>
  </si>
  <si>
    <t>14300292</t>
  </si>
  <si>
    <t>5a487f03-6448-4691-830e-27f24da0a1cf</t>
  </si>
  <si>
    <t>27823774553</t>
  </si>
  <si>
    <t>14300430</t>
  </si>
  <si>
    <t>e73a2b6e-d0bb-4fb7-8fb7-ff4bc9e92764</t>
  </si>
  <si>
    <t>27649320385</t>
  </si>
  <si>
    <t>14300286</t>
  </si>
  <si>
    <t>8c10f666-9887-4166-bd32-07f006afa4b5</t>
  </si>
  <si>
    <t>2026-05-26 09:52:20</t>
  </si>
  <si>
    <t>27817666599</t>
  </si>
  <si>
    <t>14300296</t>
  </si>
  <si>
    <t>4c15bcdb-4c27-4936-8ef1-ea5cd78c28ef</t>
  </si>
  <si>
    <t>27796607622</t>
  </si>
  <si>
    <t>14300386</t>
  </si>
  <si>
    <t>8a4e247e-1100-4d0e-b185-5ee075e66c66</t>
  </si>
  <si>
    <t>27827215361</t>
  </si>
  <si>
    <t>14300563</t>
  </si>
  <si>
    <t>d3c98b48-2e4d-4310-b88c-632881e6cfd7</t>
  </si>
  <si>
    <t>27722753112</t>
  </si>
  <si>
    <t>14300301</t>
  </si>
  <si>
    <t>52caa937-7866-437f-9c92-215dd928dd6c</t>
  </si>
  <si>
    <t>2026-05-26 09:51:42</t>
  </si>
  <si>
    <t>27711256678</t>
  </si>
  <si>
    <t>14300476</t>
  </si>
  <si>
    <t>acfcb0b2-e92a-47ea-aec5-a525fab2e045</t>
  </si>
  <si>
    <t>27631761968</t>
  </si>
  <si>
    <t>14300317</t>
  </si>
  <si>
    <t>a64c80a7-dee5-43d4-a9a2-80f627e2a282</t>
  </si>
  <si>
    <t>2026-05-26 09:51:41</t>
  </si>
  <si>
    <t>27725456629</t>
  </si>
  <si>
    <t>14300436</t>
  </si>
  <si>
    <t>5b397298-aac4-40b8-b487-997b924b381f</t>
  </si>
  <si>
    <t>27729629337</t>
  </si>
  <si>
    <t>14300306</t>
  </si>
  <si>
    <t>43e10b68-bcf0-430e-a939-fee7c4a0bf6f</t>
  </si>
  <si>
    <t>2026-05-26 09:51:34</t>
  </si>
  <si>
    <t>27722269738</t>
  </si>
  <si>
    <t>14300402</t>
  </si>
  <si>
    <t>f0332b80-f4a8-40cb-abdd-ea7ee03b7ed6</t>
  </si>
  <si>
    <t>27764693301</t>
  </si>
  <si>
    <t>14300297</t>
  </si>
  <si>
    <t>9500cd71-b85f-47f1-aeec-bde701974ea7</t>
  </si>
  <si>
    <t>27769178302</t>
  </si>
  <si>
    <t>14300579</t>
  </si>
  <si>
    <t>c98a43b9-c6a2-4593-ba15-ac5946bd07c6</t>
  </si>
  <si>
    <t>27723772556</t>
  </si>
  <si>
    <t>14300410</t>
  </si>
  <si>
    <t>031612ac-e9e8-4692-9df6-06d155bdda82</t>
  </si>
  <si>
    <t>2026-05-26 09:50:18</t>
  </si>
  <si>
    <t>27794238826</t>
  </si>
  <si>
    <t>14300382</t>
  </si>
  <si>
    <t>bf679abf-9481-4968-b046-e25d1afc1993</t>
  </si>
  <si>
    <t>27647709122</t>
  </si>
  <si>
    <t>14300403</t>
  </si>
  <si>
    <t>32975ae7-93e7-49da-88f9-07a2130e9b52</t>
  </si>
  <si>
    <t>2026-05-26 09:50:00</t>
  </si>
  <si>
    <t>27606796135</t>
  </si>
  <si>
    <t>14300329</t>
  </si>
  <si>
    <t>8d2f4b8b-16ac-4147-942c-6409b43f0943</t>
  </si>
  <si>
    <t>2026-05-26 09:49:59</t>
  </si>
  <si>
    <t>27790407876</t>
  </si>
  <si>
    <t>14300519</t>
  </si>
  <si>
    <t>4d3043e4-cd48-4c28-9b58-e1c7ed4e5bb2</t>
  </si>
  <si>
    <t>2026-05-26 09:49:42</t>
  </si>
  <si>
    <t>27720480010</t>
  </si>
  <si>
    <t>14300326</t>
  </si>
  <si>
    <t>c7e17f22-6b31-4ea1-be4e-980600ed7ef9</t>
  </si>
  <si>
    <t>27722148912</t>
  </si>
  <si>
    <t>2026-05-26 09:49:33</t>
  </si>
  <si>
    <t>14300570</t>
  </si>
  <si>
    <t>9657db38-9819-46fe-8aa8-b42a3aebaf45</t>
  </si>
  <si>
    <t>2026-05-26 09:49:32</t>
  </si>
  <si>
    <t>27721411229</t>
  </si>
  <si>
    <t>14300681</t>
  </si>
  <si>
    <t>6a311aaf-01a7-4a2b-bd2b-df1790da578b</t>
  </si>
  <si>
    <t>2026-05-26 09:49:11</t>
  </si>
  <si>
    <t>27607556101</t>
  </si>
  <si>
    <t>14300331</t>
  </si>
  <si>
    <t>fc3c67e8-28af-4b7c-a26d-fa7099945c9b</t>
  </si>
  <si>
    <t>2026-05-26 09:49:09</t>
  </si>
  <si>
    <t>27824787243</t>
  </si>
  <si>
    <t>14300491</t>
  </si>
  <si>
    <t>0a1b56b8-6cd6-4b06-97ef-4d743bdfc2f1</t>
  </si>
  <si>
    <t>27794088755</t>
  </si>
  <si>
    <t>2026-05-26 09:49:06</t>
  </si>
  <si>
    <t>14300456</t>
  </si>
  <si>
    <t>c9df2215-5b8f-4457-ae71-76144673f88b</t>
  </si>
  <si>
    <t>27713622569</t>
  </si>
  <si>
    <t>2026-05-26 09:49:05</t>
  </si>
  <si>
    <t>14300387</t>
  </si>
  <si>
    <t>366c5801-05d6-4b24-abbd-63d0c2894dbb</t>
  </si>
  <si>
    <t>27606068306</t>
  </si>
  <si>
    <t>2026-05-26 09:48:53</t>
  </si>
  <si>
    <t>14300416</t>
  </si>
  <si>
    <t>3c39443b-10b8-4172-8806-663b199ebd1b</t>
  </si>
  <si>
    <t>2026-05-26 09:48:32</t>
  </si>
  <si>
    <t>27607380441</t>
  </si>
  <si>
    <t>14300388</t>
  </si>
  <si>
    <t>8596a6fb-d27f-400d-bca7-ec78ad1dd846</t>
  </si>
  <si>
    <t>27825061525</t>
  </si>
  <si>
    <t>14300319</t>
  </si>
  <si>
    <t>2d01faa9-9e76-41eb-92eb-62a1882b521a</t>
  </si>
  <si>
    <t>27714106635</t>
  </si>
  <si>
    <t>2026-05-26 09:48:31</t>
  </si>
  <si>
    <t>14300615</t>
  </si>
  <si>
    <t>a09027d7-4889-4899-853a-ad9ee1af06fb</t>
  </si>
  <si>
    <t>27724739531</t>
  </si>
  <si>
    <t>14300379</t>
  </si>
  <si>
    <t>52ca9db4-4961-4acc-97a2-7f225635a855</t>
  </si>
  <si>
    <t>2026-05-26 09:48:28</t>
  </si>
  <si>
    <t>27636429156</t>
  </si>
  <si>
    <t>14300397</t>
  </si>
  <si>
    <t>9d35a11a-5029-42e8-bfe3-e58bc22abe1f</t>
  </si>
  <si>
    <t>2026-05-26 09:48:18</t>
  </si>
  <si>
    <t>27736136964</t>
  </si>
  <si>
    <t>14300415</t>
  </si>
  <si>
    <t>f45b634b-5904-46fa-8c99-95b6ec64e494</t>
  </si>
  <si>
    <t>2026-05-26 09:48:10</t>
  </si>
  <si>
    <t>27726919618</t>
  </si>
  <si>
    <t>14300606</t>
  </si>
  <si>
    <t>ef1f24fb-1215-4f6f-9304-135fb6325966</t>
  </si>
  <si>
    <t>27825194353</t>
  </si>
  <si>
    <t>14300733</t>
  </si>
  <si>
    <t>0c2bd13c-7728-4177-bd06-d2db156fd8f0</t>
  </si>
  <si>
    <t>27768711445</t>
  </si>
  <si>
    <t>2026-05-26 09:47:33</t>
  </si>
  <si>
    <t>14300398</t>
  </si>
  <si>
    <t>e71333be-f53b-4fe5-b4bf-de054670c7d1</t>
  </si>
  <si>
    <t>2026-05-26 09:47:24</t>
  </si>
  <si>
    <t>27820938326</t>
  </si>
  <si>
    <t>14300394</t>
  </si>
  <si>
    <t>e04df45e-b52f-4c89-bdc4-eeff62e0093d</t>
  </si>
  <si>
    <t>27665388570</t>
  </si>
  <si>
    <t>14300517</t>
  </si>
  <si>
    <t>f85faae7-fe1d-427f-9357-c42ca8745e9c</t>
  </si>
  <si>
    <t>27728898844</t>
  </si>
  <si>
    <t>14300432</t>
  </si>
  <si>
    <t>e4aef54d-33d0-4d7b-a335-97148d95092d</t>
  </si>
  <si>
    <t>27660013560</t>
  </si>
  <si>
    <t>2026-05-26 09:46:52</t>
  </si>
  <si>
    <t>14300484</t>
  </si>
  <si>
    <t>a544318b-8169-4703-8caf-e5bac1600a6b</t>
  </si>
  <si>
    <t>27794638748</t>
  </si>
  <si>
    <t>14300617</t>
  </si>
  <si>
    <t>c7142c9e-e917-443b-8079-0f7c7a080184</t>
  </si>
  <si>
    <t>27660711567</t>
  </si>
  <si>
    <t>14300400</t>
  </si>
  <si>
    <t>8a73d357-dd0d-49f6-b365-3ffa20ae5cb9</t>
  </si>
  <si>
    <t>27723899877</t>
  </si>
  <si>
    <t>2026-05-26 09:46:49</t>
  </si>
  <si>
    <t>14300526</t>
  </si>
  <si>
    <t>7ff6e16c-adc6-48b8-bbe6-33cc67002120</t>
  </si>
  <si>
    <t>2026-05-26 09:46:44</t>
  </si>
  <si>
    <t>27607726970</t>
  </si>
  <si>
    <t>14300544</t>
  </si>
  <si>
    <t>a5587f48-7d49-4910-bd24-21bdb6256edd</t>
  </si>
  <si>
    <t>27794677633</t>
  </si>
  <si>
    <t>2026-05-26 09:46:25</t>
  </si>
  <si>
    <t>14300573</t>
  </si>
  <si>
    <t>25267589-c92c-44fe-b316-f109bac616eb</t>
  </si>
  <si>
    <t>27723842138</t>
  </si>
  <si>
    <t>2026-05-26 09:46:23</t>
  </si>
  <si>
    <t>14300578</t>
  </si>
  <si>
    <t>52fca31f-c8f4-4467-800a-beacef6c6227</t>
  </si>
  <si>
    <t>2026-05-26 09:46:21</t>
  </si>
  <si>
    <t>27715722070</t>
  </si>
  <si>
    <t>14300470</t>
  </si>
  <si>
    <t>661c3202-a364-436b-a470-c130ba7eefb4</t>
  </si>
  <si>
    <t>27767583843</t>
  </si>
  <si>
    <t>14300463</t>
  </si>
  <si>
    <t>6e063e7d-d641-4bc5-a76e-b1f75167e8b6</t>
  </si>
  <si>
    <t>2026-05-26 09:46:20</t>
  </si>
  <si>
    <t>27832586716</t>
  </si>
  <si>
    <t>14300730</t>
  </si>
  <si>
    <t>6d5e1e92-576e-43ed-897c-118031f39565</t>
  </si>
  <si>
    <t>27796839116</t>
  </si>
  <si>
    <t>14300431</t>
  </si>
  <si>
    <t>da05f413-df22-4ef5-aaf2-076148d1aa54</t>
  </si>
  <si>
    <t>2026-05-26 09:46:11</t>
  </si>
  <si>
    <t>27665025426</t>
  </si>
  <si>
    <t>14300444</t>
  </si>
  <si>
    <t>aff34695-52dc-4ac2-a9ad-951453f8c888</t>
  </si>
  <si>
    <t>2026-05-26 09:46:09</t>
  </si>
  <si>
    <t>27794764077</t>
  </si>
  <si>
    <t>14300426</t>
  </si>
  <si>
    <t>0bde3587-83aa-402f-ae1d-2bc9aa487052</t>
  </si>
  <si>
    <t>2026-05-26 09:45:59</t>
  </si>
  <si>
    <t>27774745915</t>
  </si>
  <si>
    <t>14300554</t>
  </si>
  <si>
    <t>4ca4706b-07af-43ef-9f1f-b1a0bc364b49</t>
  </si>
  <si>
    <t>2026-05-26 09:45:55</t>
  </si>
  <si>
    <t>27724197254</t>
  </si>
  <si>
    <t>14300446</t>
  </si>
  <si>
    <t>65416f35-797a-43d4-b8b1-ad669b774714</t>
  </si>
  <si>
    <t>2026-05-26 09:45:44</t>
  </si>
  <si>
    <t>27728002741</t>
  </si>
  <si>
    <t>14300427</t>
  </si>
  <si>
    <t>ab34b4fd-c277-4c58-8f47-6b69b129e178</t>
  </si>
  <si>
    <t>2026-05-26 09:45:41</t>
  </si>
  <si>
    <t>27764190509</t>
  </si>
  <si>
    <t>14300620</t>
  </si>
  <si>
    <t>b1025ef1-72d6-4679-994f-e578b1ec59be</t>
  </si>
  <si>
    <t>27726874183</t>
  </si>
  <si>
    <t>14300423</t>
  </si>
  <si>
    <t>b4370983-cf94-4283-b212-f6174303829e</t>
  </si>
  <si>
    <t>2026-05-26 09:44:57</t>
  </si>
  <si>
    <t>27722895953</t>
  </si>
  <si>
    <t>14300435</t>
  </si>
  <si>
    <t>c73f881a-a5a0-4cad-9983-e5f7337c0c13</t>
  </si>
  <si>
    <t>2026-05-26 09:44:56</t>
  </si>
  <si>
    <t>27825564954</t>
  </si>
  <si>
    <t>14300522</t>
  </si>
  <si>
    <t>8797b053-2acc-4f05-977e-dfa29f2d56b1</t>
  </si>
  <si>
    <t>27795395364</t>
  </si>
  <si>
    <t>14300474</t>
  </si>
  <si>
    <t>4b41997a-2ccc-4f38-9ab1-32786a974cf1</t>
  </si>
  <si>
    <t>27727328188</t>
  </si>
  <si>
    <t>14300655</t>
  </si>
  <si>
    <t>8b2e3348-bbbb-4670-808e-97b9ee6e51b0</t>
  </si>
  <si>
    <t>27769186711</t>
  </si>
  <si>
    <t>14300417</t>
  </si>
  <si>
    <t>351b18ec-7870-4ba9-bc10-28aa4778fe0f</t>
  </si>
  <si>
    <t>2026-05-26 09:44:54</t>
  </si>
  <si>
    <t>27827040882</t>
  </si>
  <si>
    <t>14300428</t>
  </si>
  <si>
    <t>b095bc9c-e58c-4bbe-b520-9883751275c8</t>
  </si>
  <si>
    <t>27718667359</t>
  </si>
  <si>
    <t>14300609</t>
  </si>
  <si>
    <t>cf02bf5e-cfe3-4784-aadd-c0b8370ed7bb</t>
  </si>
  <si>
    <t>27661057372</t>
  </si>
  <si>
    <t>2026-05-26 09:44:08</t>
  </si>
  <si>
    <t>14300610</t>
  </si>
  <si>
    <t>0b41b634-c71e-45ee-99a4-7d26543022c7</t>
  </si>
  <si>
    <t>2026-05-26 09:44:07</t>
  </si>
  <si>
    <t>27673175624</t>
  </si>
  <si>
    <t>14300498</t>
  </si>
  <si>
    <t>11e2f126-549a-4e4a-8983-239e9ac2cf53</t>
  </si>
  <si>
    <t>2026-05-26 09:44:06</t>
  </si>
  <si>
    <t>27825010399</t>
  </si>
  <si>
    <t>14300494</t>
  </si>
  <si>
    <t>92b5c96b-667b-4d62-bb1f-567605732117</t>
  </si>
  <si>
    <t>2026-05-26 09:44:00</t>
  </si>
  <si>
    <t>27766612442</t>
  </si>
  <si>
    <t>14300457</t>
  </si>
  <si>
    <t>6d577019-af07-41c0-94db-ca49cc41fb2d</t>
  </si>
  <si>
    <t>27791707230</t>
  </si>
  <si>
    <t>14300485</t>
  </si>
  <si>
    <t>b8142c43-8ae5-4f2d-a7dc-13eb72859e63</t>
  </si>
  <si>
    <t>27712782134</t>
  </si>
  <si>
    <t>14300486</t>
  </si>
  <si>
    <t>5d063d15-ed7e-4058-8b42-912c63729da1</t>
  </si>
  <si>
    <t>2026-05-26 09:43:57</t>
  </si>
  <si>
    <t>27721339454</t>
  </si>
  <si>
    <t>14300660</t>
  </si>
  <si>
    <t>b05d1aa6-e36d-449e-84a6-7b27f14c6f3c</t>
  </si>
  <si>
    <t>2026-05-26 09:43:47</t>
  </si>
  <si>
    <t>27714550303</t>
  </si>
  <si>
    <t>14300818</t>
  </si>
  <si>
    <t>a5c5657c-0e7a-431a-8463-58c24f7dfa25</t>
  </si>
  <si>
    <t>27763649209</t>
  </si>
  <si>
    <t>14300460</t>
  </si>
  <si>
    <t>b04738a7-aed2-42ad-ba00-7c2d3593dd77</t>
  </si>
  <si>
    <t>27790720021</t>
  </si>
  <si>
    <t>2026-05-26 09:43:32</t>
  </si>
  <si>
    <t>14300572</t>
  </si>
  <si>
    <t>e6916013-5283-4a54-9b3e-cbaab1356cb2</t>
  </si>
  <si>
    <t>2026-05-26 09:43:26</t>
  </si>
  <si>
    <t>27721512698</t>
  </si>
  <si>
    <t>14300450</t>
  </si>
  <si>
    <t>3cbaf112-d6f8-4a1a-a406-1a7e6e33bb3b</t>
  </si>
  <si>
    <t>2026-05-26 09:43:20</t>
  </si>
  <si>
    <t>27727701819</t>
  </si>
  <si>
    <t>14300546</t>
  </si>
  <si>
    <t>fd15939e-239c-4391-9eee-52933d66416d</t>
  </si>
  <si>
    <t>2026-05-26 09:43:11</t>
  </si>
  <si>
    <t>27794686781</t>
  </si>
  <si>
    <t>14300475</t>
  </si>
  <si>
    <t>bc2a38e5-3b78-4526-9f19-5f599feb5793</t>
  </si>
  <si>
    <t>2026-05-26 09:43:10</t>
  </si>
  <si>
    <t>27764114480</t>
  </si>
  <si>
    <t>14300445</t>
  </si>
  <si>
    <t>93bc4c69-ecb6-4541-80fc-4562a294f374</t>
  </si>
  <si>
    <t>2026-05-26 09:43:07</t>
  </si>
  <si>
    <t>27820744185</t>
  </si>
  <si>
    <t>14300508</t>
  </si>
  <si>
    <t>632511d7-62f1-4e11-a525-9ac990dcc8c2</t>
  </si>
  <si>
    <t>27663344224</t>
  </si>
  <si>
    <t>14300462</t>
  </si>
  <si>
    <t>b2eff775-061b-45ce-8580-0f559d8aafe1</t>
  </si>
  <si>
    <t>2026-05-26 09:43:06</t>
  </si>
  <si>
    <t>27829601450</t>
  </si>
  <si>
    <t>14300833</t>
  </si>
  <si>
    <t>b74c815a-733a-4e8c-9675-36955e51a11a</t>
  </si>
  <si>
    <t>27712361434</t>
  </si>
  <si>
    <t>2026-05-26 09:41:08</t>
  </si>
  <si>
    <t>14300481</t>
  </si>
  <si>
    <t>f460143e-f250-4373-a1d5-ae9ba5265a32</t>
  </si>
  <si>
    <t>27725540455</t>
  </si>
  <si>
    <t>2026-05-26 09:40:29</t>
  </si>
  <si>
    <t>14300513</t>
  </si>
  <si>
    <t>5a248042-b5d5-456d-84aa-2f1b926f3dbf</t>
  </si>
  <si>
    <t>2026-05-26 09:40:26</t>
  </si>
  <si>
    <t>27772803271</t>
  </si>
  <si>
    <t>14300716</t>
  </si>
  <si>
    <t>cfef6b50-dcfd-4ef2-a574-f6f8f245e22a</t>
  </si>
  <si>
    <t>27820520900</t>
  </si>
  <si>
    <t>14300455</t>
  </si>
  <si>
    <t>078d4b09-e44c-4bf3-9778-b0ca8ed87352</t>
  </si>
  <si>
    <t>2026-05-26 09:40:25</t>
  </si>
  <si>
    <t>27725464974</t>
  </si>
  <si>
    <t>14300467</t>
  </si>
  <si>
    <t>a65aeaf1-d90d-4cfa-bda4-b182ca2e2bf7</t>
  </si>
  <si>
    <t>27720429131</t>
  </si>
  <si>
    <t>14300701</t>
  </si>
  <si>
    <t>286f8fb1-5b40-44c2-8d0f-2748a2955353</t>
  </si>
  <si>
    <t>27727802538</t>
  </si>
  <si>
    <t>2026-05-26 09:40:09</t>
  </si>
  <si>
    <t>14300595</t>
  </si>
  <si>
    <t>ca912628-bfba-4be3-901b-4b13124138a7</t>
  </si>
  <si>
    <t>27626109562</t>
  </si>
  <si>
    <t>2026-05-26 09:39:48</t>
  </si>
  <si>
    <t>14300663</t>
  </si>
  <si>
    <t>a7869d6c-adf6-4416-b917-2618d3945074</t>
  </si>
  <si>
    <t>2026-05-26 09:39:46</t>
  </si>
  <si>
    <t>27674972910</t>
  </si>
  <si>
    <t>14300640</t>
  </si>
  <si>
    <t>274f8d04-f710-4e14-8836-eb245ef9d5b7</t>
  </si>
  <si>
    <t>2026-05-26 09:39:41</t>
  </si>
  <si>
    <t>27823477705</t>
  </si>
  <si>
    <t>14300648</t>
  </si>
  <si>
    <t>02d5cdae-179c-4ac1-ba42-a11f8c93192f</t>
  </si>
  <si>
    <t>2026-05-26 09:39:35</t>
  </si>
  <si>
    <t>27793878289</t>
  </si>
  <si>
    <t>14300534</t>
  </si>
  <si>
    <t>17263832-6570-40e3-a4d8-bc9c510e0c67</t>
  </si>
  <si>
    <t>27764228937</t>
  </si>
  <si>
    <t>2026-05-26 09:39:34</t>
  </si>
  <si>
    <t>14300766</t>
  </si>
  <si>
    <t>2bec08e4-5f18-4dbe-aac6-04b924d5d376</t>
  </si>
  <si>
    <t>2026-05-26 09:39:09</t>
  </si>
  <si>
    <t>27766561975</t>
  </si>
  <si>
    <t>14300530</t>
  </si>
  <si>
    <t>2e102db8-210d-4f5c-9c39-8c521c55a1d1</t>
  </si>
  <si>
    <t>27727325806</t>
  </si>
  <si>
    <t>2026-05-26 09:39:01</t>
  </si>
  <si>
    <t>14300511</t>
  </si>
  <si>
    <t>9fbe1d09-196c-476c-95b7-73320312587b</t>
  </si>
  <si>
    <t>27725669998</t>
  </si>
  <si>
    <t>2026-05-26 09:38:59</t>
  </si>
  <si>
    <t>14300524</t>
  </si>
  <si>
    <t>b49482a8-eeb4-49b2-bcb7-bf28511027e4</t>
  </si>
  <si>
    <t>2026-05-26 09:38:54</t>
  </si>
  <si>
    <t>27845991993</t>
  </si>
  <si>
    <t>14300503</t>
  </si>
  <si>
    <t>1b5a2985-8c5c-43a6-8fd5-58de69a9fd44</t>
  </si>
  <si>
    <t>2026-05-26 09:38:53</t>
  </si>
  <si>
    <t>27727927507</t>
  </si>
  <si>
    <t>14300621</t>
  </si>
  <si>
    <t>91fb470b-8e1b-48ba-a5a9-51f4d2743135</t>
  </si>
  <si>
    <t>27723847200</t>
  </si>
  <si>
    <t>14300794</t>
  </si>
  <si>
    <t>b54b3e24-4c7c-436a-97ff-9738dc9d42f2</t>
  </si>
  <si>
    <t>27762787440</t>
  </si>
  <si>
    <t>2026-05-26 09:38:29</t>
  </si>
  <si>
    <t>14300525</t>
  </si>
  <si>
    <t>75603486-0367-4ec8-a961-493ace5255a6</t>
  </si>
  <si>
    <t>2026-05-26 09:38:22</t>
  </si>
  <si>
    <t>27796230982</t>
  </si>
  <si>
    <t>14300726</t>
  </si>
  <si>
    <t>45906c91-c33d-42a3-8931-7477d1295004</t>
  </si>
  <si>
    <t>2026-05-26 09:38:11</t>
  </si>
  <si>
    <t>27728900379</t>
  </si>
  <si>
    <t>14300842</t>
  </si>
  <si>
    <t>5c1b6f8b-9da4-4de6-8fdc-b1b932a763e1</t>
  </si>
  <si>
    <t>27720999603</t>
  </si>
  <si>
    <t>2026-05-26 09:38:06</t>
  </si>
  <si>
    <t>14300506</t>
  </si>
  <si>
    <t>b184fd21-b8c7-4fd6-9eaf-677adb277b7d</t>
  </si>
  <si>
    <t>27722519174</t>
  </si>
  <si>
    <t>2026-05-26 09:38:03</t>
  </si>
  <si>
    <t>14300614</t>
  </si>
  <si>
    <t>bcfa353d-9cce-4c6b-a8c3-5c810d8ee818</t>
  </si>
  <si>
    <t>27724172993</t>
  </si>
  <si>
    <t>2026-05-26 09:38:00</t>
  </si>
  <si>
    <t>14300497</t>
  </si>
  <si>
    <t>f6c34f2d-f051-472a-b0fc-e3f9c1c8169c</t>
  </si>
  <si>
    <t>2026-05-26 09:37:48</t>
  </si>
  <si>
    <t>27651715910</t>
  </si>
  <si>
    <t>14300590</t>
  </si>
  <si>
    <t>17f09ac4-4690-464c-a1d4-10b3322562a3</t>
  </si>
  <si>
    <t>27793574098</t>
  </si>
  <si>
    <t>2026-05-26 09:37:34</t>
  </si>
  <si>
    <t>14300518</t>
  </si>
  <si>
    <t>da052e50-d6ac-4664-a972-308763b60309</t>
  </si>
  <si>
    <t>2026-05-26 09:37:32</t>
  </si>
  <si>
    <t>27826856065</t>
  </si>
  <si>
    <t>14300493</t>
  </si>
  <si>
    <t>9a8eb89e-f849-4129-ba2f-c4276594b6ab</t>
  </si>
  <si>
    <t>27766690012</t>
  </si>
  <si>
    <t>2026-05-26 09:37:30</t>
  </si>
  <si>
    <t>14300537</t>
  </si>
  <si>
    <t>0d446212-ad9c-4803-9377-940fadf5a739</t>
  </si>
  <si>
    <t>27796247389</t>
  </si>
  <si>
    <t>14300737</t>
  </si>
  <si>
    <t>f8830773-7b8d-4eba-8c03-7f39e27ce462</t>
  </si>
  <si>
    <t>27820452053</t>
  </si>
  <si>
    <t>14300507</t>
  </si>
  <si>
    <t>13b455c8-dbcf-4edd-b4c2-ce81a1def30b</t>
  </si>
  <si>
    <t>2026-05-26 09:37:29</t>
  </si>
  <si>
    <t>27825439402</t>
  </si>
  <si>
    <t>14300735</t>
  </si>
  <si>
    <t>c1d9c898-542a-4c11-bcec-a5dfc7c2c7ff</t>
  </si>
  <si>
    <t>2026-05-26 09:36:52</t>
  </si>
  <si>
    <t>27726853586</t>
  </si>
  <si>
    <t>14300625</t>
  </si>
  <si>
    <t>970d95b5-4724-4bef-990e-dc4215701ebd</t>
  </si>
  <si>
    <t>27766490141</t>
  </si>
  <si>
    <t>2026-05-26 09:36:49</t>
  </si>
  <si>
    <t>14300634</t>
  </si>
  <si>
    <t>5c9e2f8e-6067-4639-aeb3-dcd8302ea8ff</t>
  </si>
  <si>
    <t>2026-05-26 09:36:43</t>
  </si>
  <si>
    <t>27762092945</t>
  </si>
  <si>
    <t>14300627</t>
  </si>
  <si>
    <t>cfe8639f-dfed-4ad0-b5f0-52385627b1b9</t>
  </si>
  <si>
    <t>27768191863</t>
  </si>
  <si>
    <t>2026-05-26 09:36:38</t>
  </si>
  <si>
    <t>14300729</t>
  </si>
  <si>
    <t>b99fe43d-f09d-4c8a-be27-60bfd3f44edb</t>
  </si>
  <si>
    <t>2026-05-26 09:36:37</t>
  </si>
  <si>
    <t>27826607867</t>
  </si>
  <si>
    <t>14300704</t>
  </si>
  <si>
    <t>5f4822b8-bf73-4ad1-9ef4-701eab6c4f41</t>
  </si>
  <si>
    <t>27796444125</t>
  </si>
  <si>
    <t>2026-05-26 09:36:31</t>
  </si>
  <si>
    <t>14300577</t>
  </si>
  <si>
    <t>bf878afb-7ca4-4a75-940e-20fca3c88191</t>
  </si>
  <si>
    <t>2026-05-26 09:36:11</t>
  </si>
  <si>
    <t>27797840580</t>
  </si>
  <si>
    <t>14300582</t>
  </si>
  <si>
    <t>dc1c6ca1-c59c-4d0d-b537-fbae755247e1</t>
  </si>
  <si>
    <t>27714503022</t>
  </si>
  <si>
    <t>14300819</t>
  </si>
  <si>
    <t>4d9655e3-6525-493b-af98-6559884e7376</t>
  </si>
  <si>
    <t>27794832310</t>
  </si>
  <si>
    <t>14300545</t>
  </si>
  <si>
    <t>55d99d7e-6b6d-44bb-bd3f-bb3a4fdb835e</t>
  </si>
  <si>
    <t>2026-05-26 09:36:10</t>
  </si>
  <si>
    <t>27796047365</t>
  </si>
  <si>
    <t>14300654</t>
  </si>
  <si>
    <t>0e19fbee-e781-4b6d-8fc6-80d7b3e6d13f</t>
  </si>
  <si>
    <t>27647777736</t>
  </si>
  <si>
    <t>2026-05-26 09:35:55</t>
  </si>
  <si>
    <t>14300566</t>
  </si>
  <si>
    <t>644bbf33-ad2a-41b8-8874-beb348fef137</t>
  </si>
  <si>
    <t>2026-05-26 09:35:53</t>
  </si>
  <si>
    <t>27649962782</t>
  </si>
  <si>
    <t>14300539</t>
  </si>
  <si>
    <t>21ce57a7-eacd-433a-b2aa-79e99f943f55</t>
  </si>
  <si>
    <t>27608187462</t>
  </si>
  <si>
    <t>2026-05-26 09:35:49</t>
  </si>
  <si>
    <t>14300675</t>
  </si>
  <si>
    <t>9c89c26a-06b1-40a2-895e-f7712ff1acbb</t>
  </si>
  <si>
    <t>27832868926</t>
  </si>
  <si>
    <t>14300569</t>
  </si>
  <si>
    <t>45298a5a-ea25-4e51-8307-9114377e46c0</t>
  </si>
  <si>
    <t>2026-05-26 09:35:44</t>
  </si>
  <si>
    <t>27794388876</t>
  </si>
  <si>
    <t>14300540</t>
  </si>
  <si>
    <t>0ce76198-d19b-4242-92fe-1dd3139dfeaa</t>
  </si>
  <si>
    <t>2026-05-26 09:35:33</t>
  </si>
  <si>
    <t>27761010337</t>
  </si>
  <si>
    <t>14300864</t>
  </si>
  <si>
    <t>e01604d8-6426-4dc4-92b6-afaba86bc630</t>
  </si>
  <si>
    <t>27727607518</t>
  </si>
  <si>
    <t>14300747</t>
  </si>
  <si>
    <t>c2dc7428-5532-460f-96cd-92ff6725d783</t>
  </si>
  <si>
    <t>27769693434</t>
  </si>
  <si>
    <t>14300536</t>
  </si>
  <si>
    <t>87f8d585-e595-4d24-b6fd-7bd952be84a5</t>
  </si>
  <si>
    <t>2026-05-26 09:35:29</t>
  </si>
  <si>
    <t>27660884166</t>
  </si>
  <si>
    <t>14300622</t>
  </si>
  <si>
    <t>3f922554-2694-48a6-95cb-c91b3972c727</t>
  </si>
  <si>
    <t>27794125796</t>
  </si>
  <si>
    <t>2026-05-26 09:35:25</t>
  </si>
  <si>
    <t>14300550</t>
  </si>
  <si>
    <t>b30c0f65-a3e1-4e05-9c11-835ea6b423f9</t>
  </si>
  <si>
    <t>2026-05-26 09:35:17</t>
  </si>
  <si>
    <t>27761927416</t>
  </si>
  <si>
    <t>14300588</t>
  </si>
  <si>
    <t>c3dd51ba-9a1f-415c-9f76-e3641a98011e</t>
  </si>
  <si>
    <t>2026-05-26 09:35:16</t>
  </si>
  <si>
    <t>27636005221</t>
  </si>
  <si>
    <t>14300765</t>
  </si>
  <si>
    <t>74c62739-e6af-411a-8bd8-12a21ce2d871</t>
  </si>
  <si>
    <t>2026-05-26 09:35:15</t>
  </si>
  <si>
    <t>27725799049</t>
  </si>
  <si>
    <t>14300531</t>
  </si>
  <si>
    <t>ca982462-2eda-4c94-afe2-6bac3ca79fa5</t>
  </si>
  <si>
    <t>27765257797</t>
  </si>
  <si>
    <t>2026-05-26 09:35:11</t>
  </si>
  <si>
    <t>14300541</t>
  </si>
  <si>
    <t>0e4bb4ec-b121-4817-b37d-5fe49b856960</t>
  </si>
  <si>
    <t>27762238831</t>
  </si>
  <si>
    <t>14300583</t>
  </si>
  <si>
    <t>0f7c7721-0962-4491-8538-6161bb5a51d4</t>
  </si>
  <si>
    <t>27649954896</t>
  </si>
  <si>
    <t>2026-05-26 09:34:30</t>
  </si>
  <si>
    <t>14300556</t>
  </si>
  <si>
    <t>41720dde-16e8-45da-b287-7b771917a2ac</t>
  </si>
  <si>
    <t>2026-05-26 09:34:20</t>
  </si>
  <si>
    <t>27729243873</t>
  </si>
  <si>
    <t>14300703</t>
  </si>
  <si>
    <t>71f48e4b-2cd0-4346-9e90-5866e2913d05</t>
  </si>
  <si>
    <t>27792554384</t>
  </si>
  <si>
    <t>14300586</t>
  </si>
  <si>
    <t>baa51437-e067-483e-887a-f38b1a4bb0e3</t>
  </si>
  <si>
    <t>2026-05-26 09:34:04</t>
  </si>
  <si>
    <t>27637846403</t>
  </si>
  <si>
    <t>14300761</t>
  </si>
  <si>
    <t>731dca9e-9633-43ab-8d2e-f4be20702f65</t>
  </si>
  <si>
    <t>2026-05-26 09:34:02</t>
  </si>
  <si>
    <t>27729417021</t>
  </si>
  <si>
    <t>14300561</t>
  </si>
  <si>
    <t>001f5a9c-1b11-43aa-a536-550e3170d95b</t>
  </si>
  <si>
    <t>27797210266</t>
  </si>
  <si>
    <t>2026-05-26 09:33:49</t>
  </si>
  <si>
    <t>14300915</t>
  </si>
  <si>
    <t>0963264a-6332-451f-bc9c-d2c0697d1b80</t>
  </si>
  <si>
    <t>27728986464</t>
  </si>
  <si>
    <t>14300667</t>
  </si>
  <si>
    <t>4d2c2373-a434-4528-bdeb-24b74151062a</t>
  </si>
  <si>
    <t>27765083393</t>
  </si>
  <si>
    <t>2026-05-26 09:33:46</t>
  </si>
  <si>
    <t>14300576</t>
  </si>
  <si>
    <t>ecd5589e-478b-453c-81eb-95d4883a62cd</t>
  </si>
  <si>
    <t>2026-05-26 09:33:40</t>
  </si>
  <si>
    <t>27824652442</t>
  </si>
  <si>
    <t>14300553</t>
  </si>
  <si>
    <t>a8921324-d1d8-47ad-ba6c-2ef1903db014</t>
  </si>
  <si>
    <t>27711899599</t>
  </si>
  <si>
    <t>14300637</t>
  </si>
  <si>
    <t>3a8bc927-ae77-46f9-bb22-89815ffadce3</t>
  </si>
  <si>
    <t>27648117519</t>
  </si>
  <si>
    <t>14300607</t>
  </si>
  <si>
    <t>12a47f18-ca5f-4917-ba58-28de9955b3cb</t>
  </si>
  <si>
    <t>2026-05-26 09:33:15</t>
  </si>
  <si>
    <t>27608103914</t>
  </si>
  <si>
    <t>14300549</t>
  </si>
  <si>
    <t>26cf4a7d-1fa0-4dad-9792-1f9e31571b06</t>
  </si>
  <si>
    <t>2026-05-26 09:33:14</t>
  </si>
  <si>
    <t>27728054295</t>
  </si>
  <si>
    <t>14300562</t>
  </si>
  <si>
    <t>a0a56ae7-9adb-4df9-83d5-c78db79dba2b</t>
  </si>
  <si>
    <t>27791204327</t>
  </si>
  <si>
    <t>14300769</t>
  </si>
  <si>
    <t>e8e6b4ca-06df-4b37-bbbc-f20bb5bae048</t>
  </si>
  <si>
    <t>27823475414</t>
  </si>
  <si>
    <t>14300611</t>
  </si>
  <si>
    <t>8da5f3bc-ba7a-43bb-b18e-2ea402eb53da</t>
  </si>
  <si>
    <t>27790196535</t>
  </si>
  <si>
    <t>2026-05-26 09:32:30</t>
  </si>
  <si>
    <t>14300565</t>
  </si>
  <si>
    <t>2050114a-74c4-4cb4-a685-edecdef5a751</t>
  </si>
  <si>
    <t>2026-05-26 09:32:15</t>
  </si>
  <si>
    <t>27714205064</t>
  </si>
  <si>
    <t>14300580</t>
  </si>
  <si>
    <t>36ce0e2a-f2f2-4151-93cf-959b2995608d</t>
  </si>
  <si>
    <t>27799808806</t>
  </si>
  <si>
    <t>2026-05-26 09:32:03</t>
  </si>
  <si>
    <t>14300644</t>
  </si>
  <si>
    <t>6b10b028-ffce-460f-8909-bc6f32802465</t>
  </si>
  <si>
    <t>27799205310</t>
  </si>
  <si>
    <t>14300770</t>
  </si>
  <si>
    <t>b7de4b6e-560d-4124-9479-2e53c5dbd5db</t>
  </si>
  <si>
    <t>27637058765</t>
  </si>
  <si>
    <t>14300558</t>
  </si>
  <si>
    <t>aebcf569-cd34-4c9d-9164-0b8899773596</t>
  </si>
  <si>
    <t>27720617566</t>
  </si>
  <si>
    <t>2026-05-26 09:30:55</t>
  </si>
  <si>
    <t>14300571</t>
  </si>
  <si>
    <t>72666fb8-fb2f-4264-9367-5d4d0275a7a9</t>
  </si>
  <si>
    <t>2026-05-26 09:30:50</t>
  </si>
  <si>
    <t>27721339612</t>
  </si>
  <si>
    <t>14300244</t>
  </si>
  <si>
    <t>38f1058c-6c1f-4d38-8282-1e60450508e2</t>
  </si>
  <si>
    <t>2026-05-26 09:30:42</t>
  </si>
  <si>
    <t>27606638919</t>
  </si>
  <si>
    <t>14300242</t>
  </si>
  <si>
    <t>bab9cb7b-7d19-4b85-bfaa-9099612d99ee</t>
  </si>
  <si>
    <t>2026-05-26 09:30:39</t>
  </si>
  <si>
    <t>27726052434</t>
  </si>
  <si>
    <t>14300243</t>
  </si>
  <si>
    <t>7c7000c9-de65-4e9c-bc5e-b26a3d9f2f34</t>
  </si>
  <si>
    <t>27760787553</t>
  </si>
  <si>
    <t>14300240</t>
  </si>
  <si>
    <t>3c8215e2-72f5-4dfd-971b-eb056d337066</t>
  </si>
  <si>
    <t>27798270760</t>
  </si>
  <si>
    <t>2026-05-26 09:29:53</t>
  </si>
  <si>
    <t>14300239</t>
  </si>
  <si>
    <t>be2f4c05-a9ab-4711-a4ef-0ee2e5e038a2</t>
  </si>
  <si>
    <t>2026-05-26 09:29:49</t>
  </si>
  <si>
    <t>27675527026</t>
  </si>
  <si>
    <t>14300237</t>
  </si>
  <si>
    <t>d3a6a777-3030-46a9-b55e-fda8b1cd43e0</t>
  </si>
  <si>
    <t>27766326519</t>
  </si>
  <si>
    <t>2026-05-26 09:29:39</t>
  </si>
  <si>
    <t>14300238</t>
  </si>
  <si>
    <t>d14b4cec-066c-4fca-8653-13982a20012d</t>
  </si>
  <si>
    <t>27712106372</t>
  </si>
  <si>
    <t>14300235</t>
  </si>
  <si>
    <t>facd7bc2-d22f-422f-939a-6bcdd2f86b59</t>
  </si>
  <si>
    <t>2026-05-26 09:29:27</t>
  </si>
  <si>
    <t>27609194986</t>
  </si>
  <si>
    <t>14300670</t>
  </si>
  <si>
    <t>cbf45e8d-d259-478d-a375-06eaa901b9b2</t>
  </si>
  <si>
    <t>2026-05-26 09:29:04</t>
  </si>
  <si>
    <t>27721343291</t>
  </si>
  <si>
    <t>14300680</t>
  </si>
  <si>
    <t>329f57d3-90d6-4256-b642-bd3292f4d6be</t>
  </si>
  <si>
    <t>27829524937</t>
  </si>
  <si>
    <t>2026-05-26 09:29:03</t>
  </si>
  <si>
    <t>14300228</t>
  </si>
  <si>
    <t>342bf25e-d9e0-4af0-a084-46c5749ef725</t>
  </si>
  <si>
    <t>2026-05-26 09:29:00</t>
  </si>
  <si>
    <t>27649226346</t>
  </si>
  <si>
    <t>14300229</t>
  </si>
  <si>
    <t>8dd0ccae-2216-4bf8-819c-90ee87e338f7</t>
  </si>
  <si>
    <t>27711355215</t>
  </si>
  <si>
    <t>14300231</t>
  </si>
  <si>
    <t>d86e815a-f3c8-4daa-8c13-83faea20a84a</t>
  </si>
  <si>
    <t>27768540108</t>
  </si>
  <si>
    <t>14300233</t>
  </si>
  <si>
    <t>ecc0dfa2-7d2d-45e8-895f-84acc1141e5a</t>
  </si>
  <si>
    <t>27828811498</t>
  </si>
  <si>
    <t>14300224</t>
  </si>
  <si>
    <t>674d65cb-a192-42e0-853a-f9ed4e7627fe</t>
  </si>
  <si>
    <t>27714369800</t>
  </si>
  <si>
    <t>2026-05-26 09:28:50</t>
  </si>
  <si>
    <t>14300225</t>
  </si>
  <si>
    <t>e9d4512f-eea7-477d-871d-15938162c69a</t>
  </si>
  <si>
    <t>2026-05-26 09:28:27</t>
  </si>
  <si>
    <t>27723028021</t>
  </si>
  <si>
    <t>14300226</t>
  </si>
  <si>
    <t>03443941-b570-467c-91f9-1cb3b42db70e</t>
  </si>
  <si>
    <t>27764725913</t>
  </si>
  <si>
    <t>14300227</t>
  </si>
  <si>
    <t>a4e4fd22-1f7e-434d-859d-79e8306bfc1e</t>
  </si>
  <si>
    <t>27728495657</t>
  </si>
  <si>
    <t>14300790</t>
  </si>
  <si>
    <t>5ba84b64-5f64-4f1b-a962-d5a9bf00e6d6</t>
  </si>
  <si>
    <t>27827182874</t>
  </si>
  <si>
    <t>2026-05-26 09:28:16</t>
  </si>
  <si>
    <t>14300608</t>
  </si>
  <si>
    <t>1a1b2e94-7383-457a-90df-dd08546b0df6</t>
  </si>
  <si>
    <t>2026-05-26 09:27:59</t>
  </si>
  <si>
    <t>27765550915</t>
  </si>
  <si>
    <t>14300623</t>
  </si>
  <si>
    <t>65488edf-41c9-49e6-baf1-9c3615becc45</t>
  </si>
  <si>
    <t>27721325974</t>
  </si>
  <si>
    <t>14300879</t>
  </si>
  <si>
    <t>d566d33a-f607-43dd-a78a-c4fb37f70fd9</t>
  </si>
  <si>
    <t>27760419497</t>
  </si>
  <si>
    <t>14300600</t>
  </si>
  <si>
    <t>b32e5cc0-b9b8-4c83-9ab0-fa78a575b002</t>
  </si>
  <si>
    <t>2026-05-26 09:27:05</t>
  </si>
  <si>
    <t>27722268934</t>
  </si>
  <si>
    <t>14300731</t>
  </si>
  <si>
    <t>6495c39a-ec99-4b75-9a63-14436878777b</t>
  </si>
  <si>
    <t>27722174629</t>
  </si>
  <si>
    <t>14300619</t>
  </si>
  <si>
    <t>7ffdadff-32f1-455a-b5cb-4942e366f3f9</t>
  </si>
  <si>
    <t>27606800041</t>
  </si>
  <si>
    <t>2026-05-26 09:27:04</t>
  </si>
  <si>
    <t>14300792</t>
  </si>
  <si>
    <t>fa137c55-9b96-4da2-87b4-1c7a6c6407eb</t>
  </si>
  <si>
    <t>27826385735</t>
  </si>
  <si>
    <t>14300982</t>
  </si>
  <si>
    <t>a0a6479a-f5ef-4dcd-810c-55856ba7d653</t>
  </si>
  <si>
    <t>27627376514</t>
  </si>
  <si>
    <t>2026-05-26 09:27:00</t>
  </si>
  <si>
    <t>14300709</t>
  </si>
  <si>
    <t>f8cee751-ac3a-4a6c-94e6-d8335b98aa2d</t>
  </si>
  <si>
    <t>2026-05-26 09:26:56</t>
  </si>
  <si>
    <t>27798989165</t>
  </si>
  <si>
    <t>14300598</t>
  </si>
  <si>
    <t>e9edb920-0956-4bd5-a9e0-59a4b404d4fc</t>
  </si>
  <si>
    <t>2026-05-26 09:26:55</t>
  </si>
  <si>
    <t>27608956906</t>
  </si>
  <si>
    <t>14300679</t>
  </si>
  <si>
    <t>61a886c7-1b03-408a-92c8-420091ddfb07</t>
  </si>
  <si>
    <t>2026-05-26 09:26:36</t>
  </si>
  <si>
    <t>27761662928</t>
  </si>
  <si>
    <t>14300612</t>
  </si>
  <si>
    <t>aebec474-a4ae-453b-9b17-2577d13c9ce7</t>
  </si>
  <si>
    <t>2026-05-26 09:26:35</t>
  </si>
  <si>
    <t>27792783991</t>
  </si>
  <si>
    <t>14300629</t>
  </si>
  <si>
    <t>afcff2ea-6035-45bb-af0f-1417b3934228</t>
  </si>
  <si>
    <t>2026-05-26 09:26:32</t>
  </si>
  <si>
    <t>27664518524</t>
  </si>
  <si>
    <t>14300593</t>
  </si>
  <si>
    <t>36b531b7-6392-4bc9-83c1-b75283907add</t>
  </si>
  <si>
    <t>2026-05-26 09:26:17</t>
  </si>
  <si>
    <t>27795342123</t>
  </si>
  <si>
    <t>14300603</t>
  </si>
  <si>
    <t>ff9a17ac-8eba-44a3-9232-6f06bf5fa437</t>
  </si>
  <si>
    <t>27766440991</t>
  </si>
  <si>
    <t>14300839</t>
  </si>
  <si>
    <t>5e09cb7c-62d1-4832-8990-48e1fb9a8e15</t>
  </si>
  <si>
    <t>27637024298</t>
  </si>
  <si>
    <t>14300661</t>
  </si>
  <si>
    <t>ccd3db9a-da87-494e-9059-12534be1210f</t>
  </si>
  <si>
    <t>27715180031</t>
  </si>
  <si>
    <t>2026-05-26 09:25:25</t>
  </si>
  <si>
    <t>14300686</t>
  </si>
  <si>
    <t>59e51412-dc67-41f2-baeb-6f0a3b3d3da6</t>
  </si>
  <si>
    <t>2026-05-26 09:25:21</t>
  </si>
  <si>
    <t>27767591520</t>
  </si>
  <si>
    <t>14300886</t>
  </si>
  <si>
    <t>2ce1e270-e660-43e5-b9a7-cc6379f81ed2</t>
  </si>
  <si>
    <t>2026-05-26 09:25:14</t>
  </si>
  <si>
    <t>27824973489</t>
  </si>
  <si>
    <t>14300804</t>
  </si>
  <si>
    <t>991caf36-3314-4d26-92c5-b49a13e342e8</t>
  </si>
  <si>
    <t>27794898467</t>
  </si>
  <si>
    <t>2026-05-26 09:25:11</t>
  </si>
  <si>
    <t>14300645</t>
  </si>
  <si>
    <t>c1c5c5c5-b82b-4a6f-a112-7bdad980492e</t>
  </si>
  <si>
    <t>27728864796</t>
  </si>
  <si>
    <t>2026-05-26 09:25:07</t>
  </si>
  <si>
    <t>14300706</t>
  </si>
  <si>
    <t>ae2042b1-27b5-4696-99f1-896091ae7307</t>
  </si>
  <si>
    <t>27723828884</t>
  </si>
  <si>
    <t>14300708</t>
  </si>
  <si>
    <t>9eedcc73-72df-4ed0-ba4d-69be43d64ffb</t>
  </si>
  <si>
    <t>27674863436</t>
  </si>
  <si>
    <t>14300874</t>
  </si>
  <si>
    <t>5fa1bab3-7bfe-47b1-8810-45609cdec9b1</t>
  </si>
  <si>
    <t>27609300191</t>
  </si>
  <si>
    <t>14300641</t>
  </si>
  <si>
    <t>08c7515e-9021-4232-a134-d6228fa34aec</t>
  </si>
  <si>
    <t>27827647724</t>
  </si>
  <si>
    <t>2026-05-26 09:24:44</t>
  </si>
  <si>
    <t>14300646</t>
  </si>
  <si>
    <t>d7d17fd7-2cc5-4553-a5bc-ced4e2750002</t>
  </si>
  <si>
    <t>2026-05-26 09:24:38</t>
  </si>
  <si>
    <t>27721724388</t>
  </si>
  <si>
    <t>14300847</t>
  </si>
  <si>
    <t>312d9d43-a934-48be-aadf-e4964db70715</t>
  </si>
  <si>
    <t>27711816283</t>
  </si>
  <si>
    <t>14300742</t>
  </si>
  <si>
    <t>8ec1c594-10ce-4cc1-9c10-18a51496ef2d</t>
  </si>
  <si>
    <t>27675851177</t>
  </si>
  <si>
    <t>14300751</t>
  </si>
  <si>
    <t>391e82a6-c622-4a5b-ba39-087ebc7b7a7f</t>
  </si>
  <si>
    <t>27608341751</t>
  </si>
  <si>
    <t>2026-05-26 09:24:37</t>
  </si>
  <si>
    <t>14300746</t>
  </si>
  <si>
    <t>cc592740-be9f-42b2-9cb2-1afe5809c23f</t>
  </si>
  <si>
    <t>2026-05-26 09:24:23</t>
  </si>
  <si>
    <t>27769148193</t>
  </si>
  <si>
    <t>14300807</t>
  </si>
  <si>
    <t>c0973e94-b801-49c3-8b3f-a0d8250c1184</t>
  </si>
  <si>
    <t>2026-05-26 09:24:16</t>
  </si>
  <si>
    <t>27827523485</t>
  </si>
  <si>
    <t>14300814</t>
  </si>
  <si>
    <t>440ec5f4-ecc0-412f-a22d-71eed4aec341</t>
  </si>
  <si>
    <t>2026-05-26 09:24:15</t>
  </si>
  <si>
    <t>27823718263</t>
  </si>
  <si>
    <t>14300685</t>
  </si>
  <si>
    <t>0898ec13-12b5-4042-adf0-1a29641631fe</t>
  </si>
  <si>
    <t>2026-05-26 09:24:09</t>
  </si>
  <si>
    <t>27713007362</t>
  </si>
  <si>
    <t>14300690</t>
  </si>
  <si>
    <t>f68546b9-e055-4e31-b722-d351865ef63c</t>
  </si>
  <si>
    <t>27823907148</t>
  </si>
  <si>
    <t>14300656</t>
  </si>
  <si>
    <t>cddd9a6d-d248-4ba8-bf64-9d9cdf0ae4a2</t>
  </si>
  <si>
    <t>27711111198</t>
  </si>
  <si>
    <t>14300963</t>
  </si>
  <si>
    <t>9b6bce3a-f421-4b4c-a90f-a3b33aead54f</t>
  </si>
  <si>
    <t>27826993654</t>
  </si>
  <si>
    <t>14300676</t>
  </si>
  <si>
    <t>6c9d10be-aeaf-4748-9055-1460a7e78425</t>
  </si>
  <si>
    <t>2026-05-26 09:24:07</t>
  </si>
  <si>
    <t>27769685337</t>
  </si>
  <si>
    <t>14300651</t>
  </si>
  <si>
    <t>33bb4ecd-04fc-492d-89df-18846952fb1e</t>
  </si>
  <si>
    <t>2026-05-26 09:24:02</t>
  </si>
  <si>
    <t>27763333640</t>
  </si>
  <si>
    <t>14300791</t>
  </si>
  <si>
    <t>a13e163c-18f2-4f0c-a51d-4df58c58eeeb</t>
  </si>
  <si>
    <t>27665430124</t>
  </si>
  <si>
    <t>2026-05-26 09:23:59</t>
  </si>
  <si>
    <t>14300677</t>
  </si>
  <si>
    <t>0d38ae8d-14eb-4a91-8c56-f52edc998f6f</t>
  </si>
  <si>
    <t>2026-05-26 09:23:55</t>
  </si>
  <si>
    <t>27767703866</t>
  </si>
  <si>
    <t>14300870</t>
  </si>
  <si>
    <t>a95c7898-3777-4864-9ca3-95568ba3366d</t>
  </si>
  <si>
    <t>2026-05-26 09:23:45</t>
  </si>
  <si>
    <t>27636568112</t>
  </si>
  <si>
    <t>14300988</t>
  </si>
  <si>
    <t>df54b728-61ea-4bb5-8223-f0fac4be7ed3</t>
  </si>
  <si>
    <t>27726062564</t>
  </si>
  <si>
    <t>2026-05-26 09:23:35</t>
  </si>
  <si>
    <t>14300652</t>
  </si>
  <si>
    <t>fa540218-353e-4f2c-9ca7-27843996385d</t>
  </si>
  <si>
    <t>27765595569</t>
  </si>
  <si>
    <t>2026-05-26 09:23:32</t>
  </si>
  <si>
    <t>14300764</t>
  </si>
  <si>
    <t>8587da74-d4cd-4c7c-97de-918f24a0a060</t>
  </si>
  <si>
    <t>2026-05-26 09:23:29</t>
  </si>
  <si>
    <t>27718980876</t>
  </si>
  <si>
    <t>14300647</t>
  </si>
  <si>
    <t>8769d919-0800-44a4-8334-93302d4f5c66</t>
  </si>
  <si>
    <t>2026-05-26 09:23:23</t>
  </si>
  <si>
    <t>27790435617</t>
  </si>
  <si>
    <t>14300740</t>
  </si>
  <si>
    <t>42364a4c-82ab-4ffb-b0e9-953ef1082830</t>
  </si>
  <si>
    <t>2026-05-26 09:23:18</t>
  </si>
  <si>
    <t>27828638244</t>
  </si>
  <si>
    <t>14300665</t>
  </si>
  <si>
    <t>94fec87c-3d29-498d-a06c-35f4c58e0fc3</t>
  </si>
  <si>
    <t>27763556361</t>
  </si>
  <si>
    <t>2026-05-26 09:23:14</t>
  </si>
  <si>
    <t>14300700</t>
  </si>
  <si>
    <t>192cd153-ce99-4984-bd28-f54d0e8787e9</t>
  </si>
  <si>
    <t>2026-05-26 09:23:01</t>
  </si>
  <si>
    <t>27729608153</t>
  </si>
  <si>
    <t>14300642</t>
  </si>
  <si>
    <t>00ce67c2-5966-4ce4-9ab1-16a14c1a4fba</t>
  </si>
  <si>
    <t>2026-05-26 09:22:47</t>
  </si>
  <si>
    <t>27725832516</t>
  </si>
  <si>
    <t>14300653</t>
  </si>
  <si>
    <t>83c74f9a-83e7-4adf-add0-aadf28d3884f</t>
  </si>
  <si>
    <t>27828559062</t>
  </si>
  <si>
    <t>14300674</t>
  </si>
  <si>
    <t>d3cff98e-d4b7-4edf-ab91-3452e7e1626a</t>
  </si>
  <si>
    <t>27647744232</t>
  </si>
  <si>
    <t>2026-05-26 09:22:01</t>
  </si>
  <si>
    <t>14300694</t>
  </si>
  <si>
    <t>45c083d4-708d-4ded-81bf-26551c6f08bc</t>
  </si>
  <si>
    <t>27762978280</t>
  </si>
  <si>
    <t>2026-05-26 09:21:59</t>
  </si>
  <si>
    <t>14300671</t>
  </si>
  <si>
    <t>e08ef737-fdd9-4bd6-a55b-31cce3a546b1</t>
  </si>
  <si>
    <t>27846665666</t>
  </si>
  <si>
    <t>2026-05-26 09:21:36</t>
  </si>
  <si>
    <t>14300812</t>
  </si>
  <si>
    <t>d395e2bd-0381-45df-a1d1-1de80b85e450</t>
  </si>
  <si>
    <t>2026-05-26 09:21:35</t>
  </si>
  <si>
    <t>27826703350</t>
  </si>
  <si>
    <t>14300696</t>
  </si>
  <si>
    <t>7b1d1e85-ccdf-4a51-b759-b75dccd74be2</t>
  </si>
  <si>
    <t>2026-05-26 09:21:32</t>
  </si>
  <si>
    <t>27673746433</t>
  </si>
  <si>
    <t>14300883</t>
  </si>
  <si>
    <t>e64994ba-c4e6-420e-a14f-1070b3ae39c3</t>
  </si>
  <si>
    <t>27769742575</t>
  </si>
  <si>
    <t>2026-05-26 09:21:23</t>
  </si>
  <si>
    <t>14301013</t>
  </si>
  <si>
    <t>a7112f6e-c524-4292-bd47-48476d96cec8</t>
  </si>
  <si>
    <t>27726063747</t>
  </si>
  <si>
    <t>2026-05-26 09:21:21</t>
  </si>
  <si>
    <t>14300673</t>
  </si>
  <si>
    <t>4370b0d0-6835-4475-892e-7cdd655efb38</t>
  </si>
  <si>
    <t>27791587988</t>
  </si>
  <si>
    <t>2026-05-26 09:21:15</t>
  </si>
  <si>
    <t>14300668</t>
  </si>
  <si>
    <t>bfee1c20-e9f8-4ac8-ab89-afdb2fb65fb3</t>
  </si>
  <si>
    <t>2026-05-26 09:21:14</t>
  </si>
  <si>
    <t>27793461843</t>
  </si>
  <si>
    <t>14300786</t>
  </si>
  <si>
    <t>80e71ae0-8a81-40cb-9ab6-b88feeb2536f</t>
  </si>
  <si>
    <t>27762832398</t>
  </si>
  <si>
    <t>14300752</t>
  </si>
  <si>
    <t>23cefcdc-03a2-4964-b772-bb1ac7dc8138</t>
  </si>
  <si>
    <t>27760572521</t>
  </si>
  <si>
    <t>14300684</t>
  </si>
  <si>
    <t>8f291282-97ee-45eb-a1ab-7c0056ad6193</t>
  </si>
  <si>
    <t>2026-05-26 09:21:10</t>
  </si>
  <si>
    <t>27712755706</t>
  </si>
  <si>
    <t>14300715</t>
  </si>
  <si>
    <t>3be800bd-ea18-4446-b192-432095c57354</t>
  </si>
  <si>
    <t>2026-05-26 09:21:04</t>
  </si>
  <si>
    <t>27829622345</t>
  </si>
  <si>
    <t>14300664</t>
  </si>
  <si>
    <t>597e8459-ea1a-46bd-9a45-c93e0096b94d</t>
  </si>
  <si>
    <t>2026-05-26 09:21:03</t>
  </si>
  <si>
    <t>27823993917</t>
  </si>
  <si>
    <t>14300897</t>
  </si>
  <si>
    <t>b82f689e-5998-4c9f-ad08-8b631146fc14</t>
  </si>
  <si>
    <t>27607321580</t>
  </si>
  <si>
    <t>14300355</t>
  </si>
  <si>
    <t>3612bf67-1180-4934-a400-a3290ca8d149</t>
  </si>
  <si>
    <t>27608532477</t>
  </si>
  <si>
    <t>2026-05-26 09:20:07</t>
  </si>
  <si>
    <t>14300012</t>
  </si>
  <si>
    <t>179057be-59d6-45bb-9410-1f527c054498</t>
  </si>
  <si>
    <t>2026-05-26 09:19:31</t>
  </si>
  <si>
    <t>27726659365</t>
  </si>
  <si>
    <t>14300353</t>
  </si>
  <si>
    <t>ee0df3e7-72b2-4419-ac26-73e539a4e2ef</t>
  </si>
  <si>
    <t>27647031098</t>
  </si>
  <si>
    <t>2026-05-26 09:19:25</t>
  </si>
  <si>
    <t>14300352</t>
  </si>
  <si>
    <t>4ae19917-8859-4677-8202-6000271d088e</t>
  </si>
  <si>
    <t>27765624108</t>
  </si>
  <si>
    <t>2026-05-26 09:19:24</t>
  </si>
  <si>
    <t>14300350</t>
  </si>
  <si>
    <t>8b7ab10d-b095-47f2-b1b0-5873d5b46ff5</t>
  </si>
  <si>
    <t>27823204772</t>
  </si>
  <si>
    <t>2026-05-26 09:19:18</t>
  </si>
  <si>
    <t>14300349</t>
  </si>
  <si>
    <t>e7f8d708-59d0-4ff9-a17e-03d56e1b2580</t>
  </si>
  <si>
    <t>2026-05-26 09:19:17</t>
  </si>
  <si>
    <t>27608711468</t>
  </si>
  <si>
    <t>14300344</t>
  </si>
  <si>
    <t>8fcca75c-6c64-4c5b-a7c5-3fec70fc4652</t>
  </si>
  <si>
    <t>27606882450</t>
  </si>
  <si>
    <t>2026-05-26 09:19:14</t>
  </si>
  <si>
    <t>14300348</t>
  </si>
  <si>
    <t>bf6c4747-7bb4-4a37-9ecb-3833f3673eed</t>
  </si>
  <si>
    <t>27768127701</t>
  </si>
  <si>
    <t>14300341</t>
  </si>
  <si>
    <t>f26bf7e6-de71-4ca9-9cee-6fed1065051e</t>
  </si>
  <si>
    <t>2026-05-26 09:19:13</t>
  </si>
  <si>
    <t>27711046650</t>
  </si>
  <si>
    <t>14300343</t>
  </si>
  <si>
    <t>3cb8e40a-9db4-4eda-aa50-849fcf27d795</t>
  </si>
  <si>
    <t>27606475950</t>
  </si>
  <si>
    <t>14300772</t>
  </si>
  <si>
    <t>f3fbf34f-74cd-4aa7-ad11-f08006f7c3ab</t>
  </si>
  <si>
    <t>27609389612</t>
  </si>
  <si>
    <t>14300347</t>
  </si>
  <si>
    <t>9537a40a-aa7e-41cf-8138-7fad42f6e386</t>
  </si>
  <si>
    <t>27715060202</t>
  </si>
  <si>
    <t>2026-05-26 09:19:11</t>
  </si>
  <si>
    <t>14300339</t>
  </si>
  <si>
    <t>086adbde-9f47-4681-84e2-669d09ce3629</t>
  </si>
  <si>
    <t>2026-05-26 09:19:08</t>
  </si>
  <si>
    <t>27796326337</t>
  </si>
  <si>
    <t>14300338</t>
  </si>
  <si>
    <t>837bd234-cd0c-4120-b53c-4208d7d3e3f7</t>
  </si>
  <si>
    <t>2026-05-26 09:18:59</t>
  </si>
  <si>
    <t>27762311013</t>
  </si>
  <si>
    <t>14300336</t>
  </si>
  <si>
    <t>33b34c64-3eeb-4433-941f-037707306fee</t>
  </si>
  <si>
    <t>2026-05-26 09:18:52</t>
  </si>
  <si>
    <t>27799359851</t>
  </si>
  <si>
    <t>14300335</t>
  </si>
  <si>
    <t>fdc44169-5c5d-4a1f-8249-822d574e6c7e</t>
  </si>
  <si>
    <t>2026-05-26 09:18:45</t>
  </si>
  <si>
    <t>27797017364</t>
  </si>
  <si>
    <t>14300635</t>
  </si>
  <si>
    <t>10862b71-d1f2-40ff-8b9a-47889e7a94f5</t>
  </si>
  <si>
    <t>2026-05-26 09:18:35</t>
  </si>
  <si>
    <t>27608676444</t>
  </si>
  <si>
    <t>14300011</t>
  </si>
  <si>
    <t>65f42260-fb0a-4b7d-9d9f-cb43ba793054</t>
  </si>
  <si>
    <t>2026-05-26 09:18:26</t>
  </si>
  <si>
    <t>27661413282</t>
  </si>
  <si>
    <t>14300332</t>
  </si>
  <si>
    <t>a0bbb9d3-3ade-4c7e-ab94-c76e616f9881</t>
  </si>
  <si>
    <t>27724310362</t>
  </si>
  <si>
    <t>2026-05-26 09:18:24</t>
  </si>
  <si>
    <t>14301881</t>
  </si>
  <si>
    <t>9277ae61-3c32-4303-95ae-7ca3a1aaaaba</t>
  </si>
  <si>
    <t>27609215944</t>
  </si>
  <si>
    <t>2026-05-26 09:17:45</t>
  </si>
  <si>
    <t>14300377</t>
  </si>
  <si>
    <t>ac6fb48f-2986-4e30-be6a-4a7472948b98</t>
  </si>
  <si>
    <t>2026-05-26 09:17:36</t>
  </si>
  <si>
    <t>27820455077</t>
  </si>
  <si>
    <t>14300376</t>
  </si>
  <si>
    <t>1b15d52d-a3c0-49f5-a169-bff562717db7</t>
  </si>
  <si>
    <t>2026-05-26 09:17:30</t>
  </si>
  <si>
    <t>27711000002</t>
  </si>
  <si>
    <t>14300375</t>
  </si>
  <si>
    <t>45e71f88-1bdf-4fbd-863b-180c36910562</t>
  </si>
  <si>
    <t>2026-05-26 09:17:15</t>
  </si>
  <si>
    <t>27790655921</t>
  </si>
  <si>
    <t>14300374</t>
  </si>
  <si>
    <t>a402fbb6-868a-4647-96fb-568b48d4156b</t>
  </si>
  <si>
    <t>2026-05-26 09:17:09</t>
  </si>
  <si>
    <t>27792896063</t>
  </si>
  <si>
    <t>14300373</t>
  </si>
  <si>
    <t>d761eb01-6a74-4bc1-b8c7-c44b9de5aa1a</t>
  </si>
  <si>
    <t>2026-05-26 09:17:06</t>
  </si>
  <si>
    <t>27721189321</t>
  </si>
  <si>
    <t>14300372</t>
  </si>
  <si>
    <t>47ff652b-4902-467d-a52c-87994e101651</t>
  </si>
  <si>
    <t>2026-05-26 09:17:04</t>
  </si>
  <si>
    <t>27767558620</t>
  </si>
  <si>
    <t>14300371</t>
  </si>
  <si>
    <t>ad3c945e-d397-4658-8484-4a2aaab14145</t>
  </si>
  <si>
    <t>2026-05-26 09:17:01</t>
  </si>
  <si>
    <t>27767092780</t>
  </si>
  <si>
    <t>14300370</t>
  </si>
  <si>
    <t>25773478-30cf-4a38-bfaf-1e2095d9e8d3</t>
  </si>
  <si>
    <t>2026-05-26 09:16:57</t>
  </si>
  <si>
    <t>27648014282</t>
  </si>
  <si>
    <t>14300368</t>
  </si>
  <si>
    <t>2dc00da7-ceb6-45a1-84e7-04dedfa4e3b1</t>
  </si>
  <si>
    <t>2026-05-26 09:16:55</t>
  </si>
  <si>
    <t>27718523730</t>
  </si>
  <si>
    <t>14300369</t>
  </si>
  <si>
    <t>49885196-4527-48de-a3fb-4761d64620cf</t>
  </si>
  <si>
    <t>27713589196</t>
  </si>
  <si>
    <t>14300780</t>
  </si>
  <si>
    <t>3152e1d3-9602-451d-b85e-a62b5f3727bf</t>
  </si>
  <si>
    <t>2026-05-26 09:16:48</t>
  </si>
  <si>
    <t>27820584873</t>
  </si>
  <si>
    <t>14300362</t>
  </si>
  <si>
    <t>19a2d553-e44f-4813-97dc-d48bc8648126</t>
  </si>
  <si>
    <t>2026-05-26 09:16:47</t>
  </si>
  <si>
    <t>27664422244</t>
  </si>
  <si>
    <t>14300363</t>
  </si>
  <si>
    <t>04f23aec-313d-46f2-aaaf-7788f6b99cb7</t>
  </si>
  <si>
    <t>27725579974</t>
  </si>
  <si>
    <t>14300364</t>
  </si>
  <si>
    <t>41304e41-33bd-4567-b317-ea5af4333e72</t>
  </si>
  <si>
    <t>27823748651</t>
  </si>
  <si>
    <t>14300366</t>
  </si>
  <si>
    <t>dfcdd661-fa2c-41dd-96fb-8888db374690</t>
  </si>
  <si>
    <t>27762413885</t>
  </si>
  <si>
    <t>14300358</t>
  </si>
  <si>
    <t>754bc30a-0a43-4098-9e97-f62101f0f408</t>
  </si>
  <si>
    <t>2026-05-26 09:16:37</t>
  </si>
  <si>
    <t>27731262826</t>
  </si>
  <si>
    <t>14300359</t>
  </si>
  <si>
    <t>3041abca-0dc3-4de2-b9b0-80e4cc7ce661</t>
  </si>
  <si>
    <t>27764591903</t>
  </si>
  <si>
    <t>14300361</t>
  </si>
  <si>
    <t>cf1e4e18-443c-4752-ac03-6cd242930332</t>
  </si>
  <si>
    <t>27766963067</t>
  </si>
  <si>
    <t>14300636</t>
  </si>
  <si>
    <t>2a4e7d2a-5bcb-4a43-b433-dc4b9a5baea0</t>
  </si>
  <si>
    <t>2026-05-26 09:16:36</t>
  </si>
  <si>
    <t>27609789173</t>
  </si>
  <si>
    <t>14301158</t>
  </si>
  <si>
    <t>6f492be8-feaa-4eeb-860b-6e2fcedbf971</t>
  </si>
  <si>
    <t>27725590909</t>
  </si>
  <si>
    <t>2026-05-26 09:16:14</t>
  </si>
  <si>
    <t>14300846</t>
  </si>
  <si>
    <t>b3bff678-f760-4db3-be74-eba89b89f7d1</t>
  </si>
  <si>
    <t>27798756623</t>
  </si>
  <si>
    <t>2026-05-26 09:16:02</t>
  </si>
  <si>
    <t>14300720</t>
  </si>
  <si>
    <t>4348f97b-e8c3-4e9d-9b1d-7a11c53cb9d5</t>
  </si>
  <si>
    <t>27767632823</t>
  </si>
  <si>
    <t>2026-05-26 09:15:30</t>
  </si>
  <si>
    <t>14300828</t>
  </si>
  <si>
    <t>b657dbea-96a2-4e2f-be60-1a708d0d51f6</t>
  </si>
  <si>
    <t>27799449011</t>
  </si>
  <si>
    <t>14300890</t>
  </si>
  <si>
    <t>84bac46e-eed1-4e2b-8cb4-201be553467e</t>
  </si>
  <si>
    <t>2026-05-26 09:15:20</t>
  </si>
  <si>
    <t>27820549071</t>
  </si>
  <si>
    <t>14300692</t>
  </si>
  <si>
    <t>228d873f-cbb2-4142-b4a0-5f342d96638a</t>
  </si>
  <si>
    <t>2026-05-26 09:15:02</t>
  </si>
  <si>
    <t>27828823316</t>
  </si>
  <si>
    <t>14301015</t>
  </si>
  <si>
    <t>972f7aaa-5b81-47c7-8aa2-18fb0d27c6d3</t>
  </si>
  <si>
    <t>27727615710</t>
  </si>
  <si>
    <t>14300705</t>
  </si>
  <si>
    <t>7140b3aa-8bb7-4b62-a49d-83b6977ffca3</t>
  </si>
  <si>
    <t>2026-05-26 09:14:53</t>
  </si>
  <si>
    <t>27763977869</t>
  </si>
  <si>
    <t>14300771</t>
  </si>
  <si>
    <t>820649f6-afd2-4db6-b6fa-0fbcc41148ea</t>
  </si>
  <si>
    <t>27637674814</t>
  </si>
  <si>
    <t>14300811</t>
  </si>
  <si>
    <t>160bfbbc-0ac3-425d-9752-99fd49ed4696</t>
  </si>
  <si>
    <t>27797436610</t>
  </si>
  <si>
    <t>14300921</t>
  </si>
  <si>
    <t>682fe147-0c96-462a-acd8-efd49ba4cb94</t>
  </si>
  <si>
    <t>27648764928</t>
  </si>
  <si>
    <t>14300687</t>
  </si>
  <si>
    <t>98b887c3-1f50-4632-b7b2-40a0d1d6857e</t>
  </si>
  <si>
    <t>2026-05-26 09:14:51</t>
  </si>
  <si>
    <t>27828888797</t>
  </si>
  <si>
    <t>14300682</t>
  </si>
  <si>
    <t>5efc1ae9-48a3-45c5-92c3-3b4070a2bd62</t>
  </si>
  <si>
    <t>27766326197</t>
  </si>
  <si>
    <t>2026-05-26 09:14:40</t>
  </si>
  <si>
    <t>14300693</t>
  </si>
  <si>
    <t>1313fa21-5b2c-4acd-8339-207328c299ec</t>
  </si>
  <si>
    <t>27730996935</t>
  </si>
  <si>
    <t>14301174</t>
  </si>
  <si>
    <t>96a1ac2f-22c3-4a9b-8011-f93318662037</t>
  </si>
  <si>
    <t>27791786708</t>
  </si>
  <si>
    <t>2026-05-26 09:14:24</t>
  </si>
  <si>
    <t>14300695</t>
  </si>
  <si>
    <t>47a9c39b-9c09-4e17-8b1d-634ae8e16f0e</t>
  </si>
  <si>
    <t>27798195104</t>
  </si>
  <si>
    <t>2026-05-26 09:13:33</t>
  </si>
  <si>
    <t>14300713</t>
  </si>
  <si>
    <t>addbf2fb-ef18-4c9b-a147-1046d288a930</t>
  </si>
  <si>
    <t>27711101871</t>
  </si>
  <si>
    <t>14300777</t>
  </si>
  <si>
    <t>99c8aa2a-3c1d-46c9-ac76-b134371c5211</t>
  </si>
  <si>
    <t>27826612012</t>
  </si>
  <si>
    <t>14300745</t>
  </si>
  <si>
    <t>50fc67c0-edde-430a-a61d-403a76bb8ac0</t>
  </si>
  <si>
    <t>27824703288</t>
  </si>
  <si>
    <t>14300691</t>
  </si>
  <si>
    <t>997b79c7-bda2-4402-a83d-32e8fff6e957</t>
  </si>
  <si>
    <t>2026-05-26 09:13:08</t>
  </si>
  <si>
    <t>27828260994</t>
  </si>
  <si>
    <t>14300962</t>
  </si>
  <si>
    <t>e24929fa-58ab-4ddb-b137-18c6059c4f4e</t>
  </si>
  <si>
    <t>27767647842</t>
  </si>
  <si>
    <t>14300702</t>
  </si>
  <si>
    <t>1c888b67-fdf8-49e9-b843-57013454382f</t>
  </si>
  <si>
    <t>2026-05-26 09:13:07</t>
  </si>
  <si>
    <t>27722802964</t>
  </si>
  <si>
    <t>14301042</t>
  </si>
  <si>
    <t>0ee1517f-4b7d-4127-809f-0fd983a72478</t>
  </si>
  <si>
    <t>27769601423</t>
  </si>
  <si>
    <t>2026-05-26 09:12:36</t>
  </si>
  <si>
    <t>14300743</t>
  </si>
  <si>
    <t>8a31d88a-0c59-4af9-a56f-d1b9e7fa29ac</t>
  </si>
  <si>
    <t>2026-05-26 09:12:33</t>
  </si>
  <si>
    <t>27715674453</t>
  </si>
  <si>
    <t>14300721</t>
  </si>
  <si>
    <t>ae551dfc-2714-4825-9f84-a345b165cdb0</t>
  </si>
  <si>
    <t>27768904971</t>
  </si>
  <si>
    <t>2026-05-26 09:12:31</t>
  </si>
  <si>
    <t>14300856</t>
  </si>
  <si>
    <t>86cecb44-23f1-40e3-a3ef-e3604f58a53b</t>
  </si>
  <si>
    <t>2026-05-26 09:12:24</t>
  </si>
  <si>
    <t>27795569777</t>
  </si>
  <si>
    <t>14300744</t>
  </si>
  <si>
    <t>e9d130db-e49f-49be-ae2f-6aee72ce9198</t>
  </si>
  <si>
    <t>2026-05-26 09:12:23</t>
  </si>
  <si>
    <t>27792598438</t>
  </si>
  <si>
    <t>14300932</t>
  </si>
  <si>
    <t>ea604016-5f1f-4c2e-a729-d0222de2111f</t>
  </si>
  <si>
    <t>2026-05-26 09:12:21</t>
  </si>
  <si>
    <t>27723548680</t>
  </si>
  <si>
    <t>14300722</t>
  </si>
  <si>
    <t>c0cd5066-b0ef-4ccd-bcfa-b764dcc3b58a</t>
  </si>
  <si>
    <t>27729337146</t>
  </si>
  <si>
    <t>2026-05-26 09:12:20</t>
  </si>
  <si>
    <t>14300831</t>
  </si>
  <si>
    <t>b504211f-2d2b-49bb-8d7f-17dbded37fa9</t>
  </si>
  <si>
    <t>27603775611</t>
  </si>
  <si>
    <t>14301056</t>
  </si>
  <si>
    <t>a789a81d-a44f-4d95-bfd7-7db70587b4eb</t>
  </si>
  <si>
    <t>27763727041</t>
  </si>
  <si>
    <t>14300718</t>
  </si>
  <si>
    <t>d17ccd55-5d1b-49a2-b29b-0543205ccccb</t>
  </si>
  <si>
    <t>27724928595</t>
  </si>
  <si>
    <t>2026-05-26 09:12:14</t>
  </si>
  <si>
    <t>14300805</t>
  </si>
  <si>
    <t>d64c3004-9d9a-4d67-afd3-c68dc91b5c10</t>
  </si>
  <si>
    <t>27728247536</t>
  </si>
  <si>
    <t>14300760</t>
  </si>
  <si>
    <t>1aa171d5-44ec-426e-b337-de4ab451c2ca</t>
  </si>
  <si>
    <t>2026-05-26 09:11:40</t>
  </si>
  <si>
    <t>27824249679</t>
  </si>
  <si>
    <t>14300736</t>
  </si>
  <si>
    <t>f4f4538d-6387-478b-bab6-aebbae82e711</t>
  </si>
  <si>
    <t>27794088703</t>
  </si>
  <si>
    <t>14300711</t>
  </si>
  <si>
    <t>5b6fdb69-03e7-420c-8462-fe200da9b28e</t>
  </si>
  <si>
    <t>2026-05-26 09:11:39</t>
  </si>
  <si>
    <t>27737718732</t>
  </si>
  <si>
    <t>14300857</t>
  </si>
  <si>
    <t>62faa469-c5bb-4bed-9c48-e7eabacd0dca</t>
  </si>
  <si>
    <t>27723985518</t>
  </si>
  <si>
    <t>14300973</t>
  </si>
  <si>
    <t>e9b3ccc9-5d64-4231-abfa-62808fbf0544</t>
  </si>
  <si>
    <t>27726866595</t>
  </si>
  <si>
    <t>14300723</t>
  </si>
  <si>
    <t>bdd59e72-dddb-4dd3-963c-e41018e6cf39</t>
  </si>
  <si>
    <t>27729388501</t>
  </si>
  <si>
    <t>2026-05-26 09:11:24</t>
  </si>
  <si>
    <t>14300851</t>
  </si>
  <si>
    <t>698ed1a4-aab5-4906-b9cc-84ca7b543888</t>
  </si>
  <si>
    <t>27767580527</t>
  </si>
  <si>
    <t>2026-05-26 09:11:11</t>
  </si>
  <si>
    <t>14300865</t>
  </si>
  <si>
    <t>7ba1f75c-a687-4dff-bb44-944ed223d4b8</t>
  </si>
  <si>
    <t>27820558738</t>
  </si>
  <si>
    <t>14300853</t>
  </si>
  <si>
    <t>8330785f-2056-41de-a43f-89485e5483db</t>
  </si>
  <si>
    <t>27739591414</t>
  </si>
  <si>
    <t>2026-05-26 09:10:48</t>
  </si>
  <si>
    <t>14300927</t>
  </si>
  <si>
    <t>843b5fac-fffa-486c-8bfc-fd8c01c91680</t>
  </si>
  <si>
    <t>2026-05-26 09:10:42</t>
  </si>
  <si>
    <t>27794364142</t>
  </si>
  <si>
    <t>14300909</t>
  </si>
  <si>
    <t>da523c99-cc2d-4f65-b66e-5d9bff6c4127</t>
  </si>
  <si>
    <t>2026-05-26 09:10:41</t>
  </si>
  <si>
    <t>27762112432</t>
  </si>
  <si>
    <t>14300911</t>
  </si>
  <si>
    <t>b47c24a3-402a-4c17-bb15-70caf41430d6</t>
  </si>
  <si>
    <t>27828042979</t>
  </si>
  <si>
    <t>14300796</t>
  </si>
  <si>
    <t>3d590c71-a529-4b59-9e4d-08c6982af5b8</t>
  </si>
  <si>
    <t>2026-05-26 09:10:33</t>
  </si>
  <si>
    <t>27649714845</t>
  </si>
  <si>
    <t>14301050</t>
  </si>
  <si>
    <t>bd52d00f-e6d2-4a6d-94ae-086492ba1525</t>
  </si>
  <si>
    <t>27769472525</t>
  </si>
  <si>
    <t>14300762</t>
  </si>
  <si>
    <t>ef1d48f4-165e-435c-a5ea-33879d25717d</t>
  </si>
  <si>
    <t>2026-05-26 09:10:32</t>
  </si>
  <si>
    <t>27769807381</t>
  </si>
  <si>
    <t>14300787</t>
  </si>
  <si>
    <t>5551c07b-6111-4721-91a8-b32b735e559b</t>
  </si>
  <si>
    <t>27760678630</t>
  </si>
  <si>
    <t>14300775</t>
  </si>
  <si>
    <t>ee4ccbda-138d-43a1-b586-d3cdc796ef93</t>
  </si>
  <si>
    <t>2026-05-26 09:10:28</t>
  </si>
  <si>
    <t>27711466188</t>
  </si>
  <si>
    <t>14300757</t>
  </si>
  <si>
    <t>cd96c3be-ef3f-43f4-a265-1bfabb008d04</t>
  </si>
  <si>
    <t>2026-05-26 09:10:26</t>
  </si>
  <si>
    <t>27729093828</t>
  </si>
  <si>
    <t>14300776</t>
  </si>
  <si>
    <t>940edb21-bb17-4508-968f-d3c84b046474</t>
  </si>
  <si>
    <t>27794117665</t>
  </si>
  <si>
    <t>14300889</t>
  </si>
  <si>
    <t>2688f42a-873e-4715-9e88-7aa4c9780f00</t>
  </si>
  <si>
    <t>27661048502</t>
  </si>
  <si>
    <t>14300979</t>
  </si>
  <si>
    <t>ffeb921c-a180-48e2-9680-ce32dc77593a</t>
  </si>
  <si>
    <t>2026-05-26 09:10:00</t>
  </si>
  <si>
    <t>27723119063</t>
  </si>
  <si>
    <t>14300758</t>
  </si>
  <si>
    <t>70364989-ed50-4f9e-9fa9-c450187f67d0</t>
  </si>
  <si>
    <t>2026-05-26 09:09:58</t>
  </si>
  <si>
    <t>27760610144</t>
  </si>
  <si>
    <t>14301106</t>
  </si>
  <si>
    <t>7f296bfd-04df-4da3-911d-9cbf589c68c7</t>
  </si>
  <si>
    <t>27766992869</t>
  </si>
  <si>
    <t>14300878</t>
  </si>
  <si>
    <t>c3de6c44-a132-423c-b7fb-c47def406047</t>
  </si>
  <si>
    <t>2026-05-26 09:09:48</t>
  </si>
  <si>
    <t>27680454762</t>
  </si>
  <si>
    <t>14300753</t>
  </si>
  <si>
    <t>762e067f-d187-44a3-bbb8-6dbcf8505868</t>
  </si>
  <si>
    <t>2026-05-26 09:09:47</t>
  </si>
  <si>
    <t>27826203394</t>
  </si>
  <si>
    <t>14300768</t>
  </si>
  <si>
    <t>4dd1d0fa-6c2c-4e67-92f7-785438d2d06f</t>
  </si>
  <si>
    <t>2026-05-26 09:09:29</t>
  </si>
  <si>
    <t>27660898989</t>
  </si>
  <si>
    <t>14300800</t>
  </si>
  <si>
    <t>fdaa9874-d12c-415b-a3c7-b1ba92ea2adf</t>
  </si>
  <si>
    <t>27608520997</t>
  </si>
  <si>
    <t>2026-05-26 09:09:25</t>
  </si>
  <si>
    <t>14300749</t>
  </si>
  <si>
    <t>a67f491e-2f6c-4057-a3b4-cd44f13e6c67</t>
  </si>
  <si>
    <t>2026-05-26 09:09:12</t>
  </si>
  <si>
    <t>27715363769</t>
  </si>
  <si>
    <t>14300989</t>
  </si>
  <si>
    <t>c5a9204d-83d0-4052-a9dd-b6e9e93ba0ff</t>
  </si>
  <si>
    <t>27728528523</t>
  </si>
  <si>
    <t>14300759</t>
  </si>
  <si>
    <t>abad636f-fe5d-4882-af18-f2b6da70de84</t>
  </si>
  <si>
    <t>27606890858</t>
  </si>
  <si>
    <t>2026-05-26 09:09:11</t>
  </si>
  <si>
    <t>14300947</t>
  </si>
  <si>
    <t>c3749df5-0084-4021-a60e-c868c266295e</t>
  </si>
  <si>
    <t>2026-05-26 09:08:17</t>
  </si>
  <si>
    <t>27796782256</t>
  </si>
  <si>
    <t>14300822</t>
  </si>
  <si>
    <t>4364217e-4abe-4336-9f68-e2dfe6a0c6a8</t>
  </si>
  <si>
    <t>2026-05-26 09:08:10</t>
  </si>
  <si>
    <t>27798478036</t>
  </si>
  <si>
    <t>14301070</t>
  </si>
  <si>
    <t>7bbfc65a-e7be-4dac-92e5-fae556a66500</t>
  </si>
  <si>
    <t>27792418345</t>
  </si>
  <si>
    <t>2026-05-26 09:08:05</t>
  </si>
  <si>
    <t>14300817</t>
  </si>
  <si>
    <t>999c04db-3e88-4168-ad1a-3ae48b0d96ed</t>
  </si>
  <si>
    <t>2026-05-26 09:07:39</t>
  </si>
  <si>
    <t>27825871577</t>
  </si>
  <si>
    <t>14300789</t>
  </si>
  <si>
    <t>35c6eea7-77fc-4fba-876e-56a17ffff6f5</t>
  </si>
  <si>
    <t>2026-05-26 09:07:38</t>
  </si>
  <si>
    <t>27828249363</t>
  </si>
  <si>
    <t>14300809</t>
  </si>
  <si>
    <t>5e77edc2-6bcb-434c-9393-e30b70cf6620</t>
  </si>
  <si>
    <t>27713409500</t>
  </si>
  <si>
    <t>2026-05-26 09:07:36</t>
  </si>
  <si>
    <t>14300781</t>
  </si>
  <si>
    <t>b236722e-8327-4053-9bc2-53e8884e9126</t>
  </si>
  <si>
    <t>2026-05-26 09:07:34</t>
  </si>
  <si>
    <t>27824341766</t>
  </si>
  <si>
    <t>14300919</t>
  </si>
  <si>
    <t>2d8bac8c-a19f-4827-a079-7c3f1d1dcdbc</t>
  </si>
  <si>
    <t>27674746860</t>
  </si>
  <si>
    <t>2026-05-26 09:07:28</t>
  </si>
  <si>
    <t>14300782</t>
  </si>
  <si>
    <t>847bf887-b7fb-4cdf-8b2c-ab8416a37e34</t>
  </si>
  <si>
    <t>2026-05-26 09:07:26</t>
  </si>
  <si>
    <t>27715696071</t>
  </si>
  <si>
    <t>14300891</t>
  </si>
  <si>
    <t>41371d01-025d-41f2-b513-1514c5948e77</t>
  </si>
  <si>
    <t>27824314193</t>
  </si>
  <si>
    <t>14301004</t>
  </si>
  <si>
    <t>1c4800ce-5ca9-4a17-9de0-0856a3a2a073</t>
  </si>
  <si>
    <t>27760766011</t>
  </si>
  <si>
    <t>14301143</t>
  </si>
  <si>
    <t>4fb968d8-7635-4565-a7f4-88871af20052</t>
  </si>
  <si>
    <t>27648247927</t>
  </si>
  <si>
    <t>14300810</t>
  </si>
  <si>
    <t>3e50fc35-50e0-4549-9956-347569735ed3</t>
  </si>
  <si>
    <t>2026-05-26 09:07:25</t>
  </si>
  <si>
    <t>27790345266</t>
  </si>
  <si>
    <t>14300778</t>
  </si>
  <si>
    <t>40b84c03-8243-4b88-9517-2a05f88d5043</t>
  </si>
  <si>
    <t>2026-05-26 09:07:20</t>
  </si>
  <si>
    <t>27829520702</t>
  </si>
  <si>
    <t>14300798</t>
  </si>
  <si>
    <t>933ec837-ccdc-4360-80f9-7b2f79ff486f</t>
  </si>
  <si>
    <t>27713466149</t>
  </si>
  <si>
    <t>14300877</t>
  </si>
  <si>
    <t>57546081-3632-427a-88c3-3eb557c7dc91</t>
  </si>
  <si>
    <t>27767415192</t>
  </si>
  <si>
    <t>14300826</t>
  </si>
  <si>
    <t>479ed553-1e03-4659-997e-e985b5da0a2d</t>
  </si>
  <si>
    <t>2026-05-26 09:07:19</t>
  </si>
  <si>
    <t>27795710377</t>
  </si>
  <si>
    <t>14301030</t>
  </si>
  <si>
    <t>3da07d63-c8e3-40d0-8699-f3e0829279fc</t>
  </si>
  <si>
    <t>2026-05-26 09:07:14</t>
  </si>
  <si>
    <t>27660827122</t>
  </si>
  <si>
    <t>14300773</t>
  </si>
  <si>
    <t>dee9bfae-131e-4714-ad90-0270c531e5b0</t>
  </si>
  <si>
    <t>2026-05-26 09:07:11</t>
  </si>
  <si>
    <t>27763344556</t>
  </si>
  <si>
    <t>14300783</t>
  </si>
  <si>
    <t>00d35c7d-7683-457f-ae3c-d7f4dfa5a7ad</t>
  </si>
  <si>
    <t>2026-05-26 09:07:09</t>
  </si>
  <si>
    <t>27790902884</t>
  </si>
  <si>
    <t>14300793</t>
  </si>
  <si>
    <t>f674312d-f8c5-4d64-a558-49fcf18c8e36</t>
  </si>
  <si>
    <t>27764643886</t>
  </si>
  <si>
    <t>2026-05-26 09:06:46</t>
  </si>
  <si>
    <t>14300808</t>
  </si>
  <si>
    <t>1b93f01b-8d91-42e2-a676-f5090b60d203</t>
  </si>
  <si>
    <t>2026-05-26 09:06:16</t>
  </si>
  <si>
    <t>27846743252</t>
  </si>
  <si>
    <t>14300880</t>
  </si>
  <si>
    <t>a66ea9be-37f3-4f27-938a-d6ceba48072c</t>
  </si>
  <si>
    <t>27792440702</t>
  </si>
  <si>
    <t>14300837</t>
  </si>
  <si>
    <t>8cd88f42-8a12-4b22-aa4b-35e26f426fd8</t>
  </si>
  <si>
    <t>27727326036</t>
  </si>
  <si>
    <t>14300904</t>
  </si>
  <si>
    <t>57d62048-d01b-4004-a5e5-fa4f68d0382e</t>
  </si>
  <si>
    <t>27724071807</t>
  </si>
  <si>
    <t>14301031</t>
  </si>
  <si>
    <t>a8d10629-610f-45ce-9472-7408664101a5</t>
  </si>
  <si>
    <t>27663771515</t>
  </si>
  <si>
    <t>14300785</t>
  </si>
  <si>
    <t>96498319-2055-44b4-8962-568fd63f267b</t>
  </si>
  <si>
    <t>27711574433</t>
  </si>
  <si>
    <t>2026-05-26 09:06:06</t>
  </si>
  <si>
    <t>14300983</t>
  </si>
  <si>
    <t>27009577-1b1b-4abf-9f37-88bff788f9b5</t>
  </si>
  <si>
    <t>2026-05-26 09:05:42</t>
  </si>
  <si>
    <t>27714972274</t>
  </si>
  <si>
    <t>14300866</t>
  </si>
  <si>
    <t>d0d5bfb8-4b18-4979-9eaf-6e3fc3ada3a0</t>
  </si>
  <si>
    <t>2026-05-26 09:05:27</t>
  </si>
  <si>
    <t>27791475886</t>
  </si>
  <si>
    <t>14300987</t>
  </si>
  <si>
    <t>45f13ec7-3835-4236-a73a-48e8b352d20b</t>
  </si>
  <si>
    <t>2026-05-26 09:05:26</t>
  </si>
  <si>
    <t>27724049229</t>
  </si>
  <si>
    <t>14301138</t>
  </si>
  <si>
    <t>5416cf1a-b9d7-4abe-bda8-a33c6e3ba1fd</t>
  </si>
  <si>
    <t>2026-05-26 09:05:07</t>
  </si>
  <si>
    <t>27665960766</t>
  </si>
  <si>
    <t>14300858</t>
  </si>
  <si>
    <t>ccdbb654-6e66-4708-a789-d62624f26205</t>
  </si>
  <si>
    <t>2026-05-26 09:05:06</t>
  </si>
  <si>
    <t>27793493356</t>
  </si>
  <si>
    <t>14300829</t>
  </si>
  <si>
    <t>6f156be3-4843-4b46-a17b-57a62f812fc3</t>
  </si>
  <si>
    <t>27823688133</t>
  </si>
  <si>
    <t>2026-05-26 09:04:59</t>
  </si>
  <si>
    <t>14300849</t>
  </si>
  <si>
    <t>ec04ab18-6246-4cec-93a2-ef308da238ab</t>
  </si>
  <si>
    <t>2026-05-26 09:04:55</t>
  </si>
  <si>
    <t>27725467735</t>
  </si>
  <si>
    <t>14300823</t>
  </si>
  <si>
    <t>25a5b228-77e9-4980-8b47-96f636d1c1a8</t>
  </si>
  <si>
    <t>27647519324</t>
  </si>
  <si>
    <t>2026-05-26 09:04:48</t>
  </si>
  <si>
    <t>14300850</t>
  </si>
  <si>
    <t>0a473e37-0e18-4c3a-9d26-858216593c36</t>
  </si>
  <si>
    <t>27608706330</t>
  </si>
  <si>
    <t>2026-05-26 09:04:47</t>
  </si>
  <si>
    <t>14301040</t>
  </si>
  <si>
    <t>e2b15c0c-de58-493f-8f55-a7750a937de7</t>
  </si>
  <si>
    <t>27767123463</t>
  </si>
  <si>
    <t>14301198</t>
  </si>
  <si>
    <t>4f89695f-052f-4660-938a-1ffef2c8a0ab</t>
  </si>
  <si>
    <t>2026-05-26 09:04:46</t>
  </si>
  <si>
    <t>27827341366</t>
  </si>
  <si>
    <t>14300824</t>
  </si>
  <si>
    <t>4082a8ec-8c46-4f51-847b-0abfabcda2d9</t>
  </si>
  <si>
    <t>27712555965</t>
  </si>
  <si>
    <t>2026-05-26 09:04:45</t>
  </si>
  <si>
    <t>14300942</t>
  </si>
  <si>
    <t>53520e1a-82ec-4483-bada-d5da9005ebc4</t>
  </si>
  <si>
    <t>27720558354</t>
  </si>
  <si>
    <t>2026-05-26 09:04:42</t>
  </si>
  <si>
    <t>14300820</t>
  </si>
  <si>
    <t>cde34948-c66d-4e08-a0e3-17f55fe51e11</t>
  </si>
  <si>
    <t>2026-05-26 09:04:40</t>
  </si>
  <si>
    <t>27794664757</t>
  </si>
  <si>
    <t>14300838</t>
  </si>
  <si>
    <t>8f486a2e-1bbf-4524-9594-d914d7d5cf0d</t>
  </si>
  <si>
    <t>2026-05-26 09:04:38</t>
  </si>
  <si>
    <t>27765106823</t>
  </si>
  <si>
    <t>14300908</t>
  </si>
  <si>
    <t>e4f11b56-a738-4d8e-9b38-a9b0c54c80c4</t>
  </si>
  <si>
    <t>27726702388</t>
  </si>
  <si>
    <t>14300869</t>
  </si>
  <si>
    <t>9911e806-652a-4fd5-8e15-b8bc6b752173</t>
  </si>
  <si>
    <t>2026-05-26 09:04:22</t>
  </si>
  <si>
    <t>27765974942</t>
  </si>
  <si>
    <t>14301066</t>
  </si>
  <si>
    <t>bab4a928-9848-417a-a65a-54d96c49adf0</t>
  </si>
  <si>
    <t>27769097848</t>
  </si>
  <si>
    <t>2026-05-26 09:04:20</t>
  </si>
  <si>
    <t>14300816</t>
  </si>
  <si>
    <t>b5d3d086-9b51-472a-b3b5-8db7ec8dd327</t>
  </si>
  <si>
    <t>2026-05-26 09:04:14</t>
  </si>
  <si>
    <t>27822670313</t>
  </si>
  <si>
    <t>14300825</t>
  </si>
  <si>
    <t>f1c3f77b-6d4a-4808-8502-ddb347c55612</t>
  </si>
  <si>
    <t>2026-05-26 09:04:10</t>
  </si>
  <si>
    <t>27723795808</t>
  </si>
  <si>
    <t>14300868</t>
  </si>
  <si>
    <t>5cc49a3a-2520-4fda-bd6f-c43a22ea7e11</t>
  </si>
  <si>
    <t>2026-05-26 09:04:09</t>
  </si>
  <si>
    <t>27797275259</t>
  </si>
  <si>
    <t>14300844</t>
  </si>
  <si>
    <t>ea1c20bd-0865-4638-869a-9229d76ed776</t>
  </si>
  <si>
    <t>27729670958</t>
  </si>
  <si>
    <t>14300972</t>
  </si>
  <si>
    <t>ae1839a1-ab8b-4db1-88ea-acdb5946ba9d</t>
  </si>
  <si>
    <t>27725656947</t>
  </si>
  <si>
    <t>14301227</t>
  </si>
  <si>
    <t>fe304e47-847e-4c01-83df-b951ea725d2a</t>
  </si>
  <si>
    <t>27829714948</t>
  </si>
  <si>
    <t>14300845</t>
  </si>
  <si>
    <t>88351ffe-11ce-4ed4-85c5-3f83d8684270</t>
  </si>
  <si>
    <t>2026-05-26 09:04:08</t>
  </si>
  <si>
    <t>27760205608</t>
  </si>
  <si>
    <t>14300926</t>
  </si>
  <si>
    <t>4d596dcc-d820-476f-b50d-397c1dfc5451</t>
  </si>
  <si>
    <t>27829584049</t>
  </si>
  <si>
    <t>14301057</t>
  </si>
  <si>
    <t>71ff9bef-98d6-4e31-b016-dc6f13a112b6</t>
  </si>
  <si>
    <t>27767344860</t>
  </si>
  <si>
    <t>14301082</t>
  </si>
  <si>
    <t>20c55d9c-6cd7-4c19-8d4e-292d63ac8daa</t>
  </si>
  <si>
    <t>27725584857</t>
  </si>
  <si>
    <t>2026-05-26 09:03:40</t>
  </si>
  <si>
    <t>14300841</t>
  </si>
  <si>
    <t>6a291ead-eb3e-4e7a-a10d-248fac996d4b</t>
  </si>
  <si>
    <t>27724745607</t>
  </si>
  <si>
    <t>2026-05-26 09:03:35</t>
  </si>
  <si>
    <t>14301100</t>
  </si>
  <si>
    <t>52845536-e133-4f00-9a63-842cbf3a8283</t>
  </si>
  <si>
    <t>27726770447</t>
  </si>
  <si>
    <t>2026-05-26 09:03:25</t>
  </si>
  <si>
    <t>14300854</t>
  </si>
  <si>
    <t>0ea3400e-e445-4305-a259-b887a5bae70f</t>
  </si>
  <si>
    <t>27818752106</t>
  </si>
  <si>
    <t>2026-05-26 09:03:21</t>
  </si>
  <si>
    <t>14300882</t>
  </si>
  <si>
    <t>457416c5-e5bf-485c-8783-4d0b0556d9c3</t>
  </si>
  <si>
    <t>27768319107</t>
  </si>
  <si>
    <t>2026-05-26 09:03:20</t>
  </si>
  <si>
    <t>14300935</t>
  </si>
  <si>
    <t>2171b2bb-6c68-4973-8434-838d8cbe95e1</t>
  </si>
  <si>
    <t>27665092602</t>
  </si>
  <si>
    <t>14300835</t>
  </si>
  <si>
    <t>8683d096-077f-4425-914a-bc0d9e768443</t>
  </si>
  <si>
    <t>27762920802</t>
  </si>
  <si>
    <t>2026-05-26 09:03:19</t>
  </si>
  <si>
    <t>14300860</t>
  </si>
  <si>
    <t>e842a6a0-6bb4-40ac-8f93-b996ae12d851</t>
  </si>
  <si>
    <t>27786802308</t>
  </si>
  <si>
    <t>2026-05-26 09:02:17</t>
  </si>
  <si>
    <t>14301084</t>
  </si>
  <si>
    <t>5dcfab26-01d2-4828-badd-d2fbafd9981e</t>
  </si>
  <si>
    <t>2026-05-26 09:02:14</t>
  </si>
  <si>
    <t>27768425521</t>
  </si>
  <si>
    <t>14300881</t>
  </si>
  <si>
    <t>a6f73687-8cc5-4e2a-9144-bae4ffc06998</t>
  </si>
  <si>
    <t>2026-05-26 09:02:13</t>
  </si>
  <si>
    <t>27720495331</t>
  </si>
  <si>
    <t>14300980</t>
  </si>
  <si>
    <t>17055a53-ccfb-4b78-bf1e-4a2920612fe9</t>
  </si>
  <si>
    <t>2026-05-26 09:02:11</t>
  </si>
  <si>
    <t>27796707901</t>
  </si>
  <si>
    <t>14301298</t>
  </si>
  <si>
    <t>2a81b45d-b39f-411a-8f9d-81097d460c27</t>
  </si>
  <si>
    <t>27713223652</t>
  </si>
  <si>
    <t>14300951</t>
  </si>
  <si>
    <t>3161464d-3b9b-4f28-8d8d-bcac2a1c68d4</t>
  </si>
  <si>
    <t>2026-05-26 09:01:49</t>
  </si>
  <si>
    <t>27608301109</t>
  </si>
  <si>
    <t>14301124</t>
  </si>
  <si>
    <t>dbfda13f-3fb9-4567-9876-032bcc41bf99</t>
  </si>
  <si>
    <t>2026-05-26 09:00:45</t>
  </si>
  <si>
    <t>27794025055</t>
  </si>
  <si>
    <t>14300873</t>
  </si>
  <si>
    <t>769a083a-4975-4e87-b71c-fa227f06abd1</t>
  </si>
  <si>
    <t>2026-05-26 09:00:42</t>
  </si>
  <si>
    <t>27729518102</t>
  </si>
  <si>
    <t>14300895</t>
  </si>
  <si>
    <t>cf7935a2-a3e4-4a5d-8f02-176fe60d9967</t>
  </si>
  <si>
    <t>2026-05-26 09:00:37</t>
  </si>
  <si>
    <t>27766826470</t>
  </si>
  <si>
    <t>14300852</t>
  </si>
  <si>
    <t>f490906c-daa0-4c15-8aec-764335b63347</t>
  </si>
  <si>
    <t>27608276936</t>
  </si>
  <si>
    <t>2026-05-26 09:00:36</t>
  </si>
  <si>
    <t>14300968</t>
  </si>
  <si>
    <t>f925d191-ac58-4905-8048-6e9957980690</t>
  </si>
  <si>
    <t>27814252436</t>
  </si>
  <si>
    <t>14300863</t>
  </si>
  <si>
    <t>f7091c8f-cbaa-4fcc-bb62-bc11efa1d8e0</t>
  </si>
  <si>
    <t>27711814912</t>
  </si>
  <si>
    <t>2026-05-26 09:00:19</t>
  </si>
  <si>
    <t>14300892</t>
  </si>
  <si>
    <t>1e49d6ba-a86b-4646-965d-b9f1bcf9959e</t>
  </si>
  <si>
    <t>27792324646</t>
  </si>
  <si>
    <t>2026-05-26 09:00:13</t>
  </si>
  <si>
    <t>14300912</t>
  </si>
  <si>
    <t>7501467b-9718-4cd5-b507-0c8bd79e18e0</t>
  </si>
  <si>
    <t>27765558800</t>
  </si>
  <si>
    <t>14300971</t>
  </si>
  <si>
    <t>9e9a3962-34a4-4288-b00b-b7c106884a3a</t>
  </si>
  <si>
    <t>27721465290</t>
  </si>
  <si>
    <t>14300898</t>
  </si>
  <si>
    <t>5c738032-718e-4b63-ae84-030648ed5226</t>
  </si>
  <si>
    <t>2026-05-26 08:59:59</t>
  </si>
  <si>
    <t>27729597646</t>
  </si>
  <si>
    <t>14300992</t>
  </si>
  <si>
    <t>3866608d-a66f-44b8-9a0c-15c10aa2a899</t>
  </si>
  <si>
    <t>2026-05-26 08:59:43</t>
  </si>
  <si>
    <t>27648815050</t>
  </si>
  <si>
    <t>14301005</t>
  </si>
  <si>
    <t>6f8665c3-56a7-4ad2-96ec-34c168671904</t>
  </si>
  <si>
    <t>2026-05-26 08:59:34</t>
  </si>
  <si>
    <t>27714463582</t>
  </si>
  <si>
    <t>14300994</t>
  </si>
  <si>
    <t>d070c9ff-6ad4-4cd5-8a9a-ce9d32e1e497</t>
  </si>
  <si>
    <t>2026-05-26 08:59:30</t>
  </si>
  <si>
    <t>27794042807</t>
  </si>
  <si>
    <t>14301058</t>
  </si>
  <si>
    <t>200e3f06-974e-420b-9cd2-e6c3e4cd15a5</t>
  </si>
  <si>
    <t>2026-05-26 08:59:28</t>
  </si>
  <si>
    <t>27725942281</t>
  </si>
  <si>
    <t>14301072</t>
  </si>
  <si>
    <t>802897ba-77b1-43dd-a8a0-db3b81946a15</t>
  </si>
  <si>
    <t>27716897587</t>
  </si>
  <si>
    <t>14301062</t>
  </si>
  <si>
    <t>f36e9d52-de8a-4ac5-8f52-4ff0a50c3716</t>
  </si>
  <si>
    <t>2026-05-26 08:59:26</t>
  </si>
  <si>
    <t>27813033409</t>
  </si>
  <si>
    <t>14300953</t>
  </si>
  <si>
    <t>0da5d26c-affb-4c7d-8377-ef78f3d49c6a</t>
  </si>
  <si>
    <t>27794808311</t>
  </si>
  <si>
    <t>2026-05-26 08:59:24</t>
  </si>
  <si>
    <t>14301264</t>
  </si>
  <si>
    <t>07df6cd8-6f1b-4079-8250-de242d95e736</t>
  </si>
  <si>
    <t>27712340622</t>
  </si>
  <si>
    <t>14301053</t>
  </si>
  <si>
    <t>e5ce29dd-3642-4194-874a-5c66ad0090cb</t>
  </si>
  <si>
    <t>27829723075</t>
  </si>
  <si>
    <t>2026-05-26 08:59:23</t>
  </si>
  <si>
    <t>14300944</t>
  </si>
  <si>
    <t>90f2d87e-523a-4972-b451-0f0baed0c2b7</t>
  </si>
  <si>
    <t>2026-05-26 08:59:22</t>
  </si>
  <si>
    <t>27774101057</t>
  </si>
  <si>
    <t>14300910</t>
  </si>
  <si>
    <t>0b5d3712-5289-4e13-9f08-e76ba0542d61</t>
  </si>
  <si>
    <t>2026-05-26 08:59:17</t>
  </si>
  <si>
    <t>27712448211</t>
  </si>
  <si>
    <t>14300930</t>
  </si>
  <si>
    <t>4f614c5c-ebe9-44c9-b71f-4dd57bcfa181</t>
  </si>
  <si>
    <t>2026-05-26 08:59:13</t>
  </si>
  <si>
    <t>27760796604</t>
  </si>
  <si>
    <t>14300905</t>
  </si>
  <si>
    <t>fb21f7cb-8e9c-4b22-8a62-86183465d692</t>
  </si>
  <si>
    <t>27797936626</t>
  </si>
  <si>
    <t>14301134</t>
  </si>
  <si>
    <t>cf80db4b-869b-4eab-9aa6-e7a60450e561</t>
  </si>
  <si>
    <t>27723976676</t>
  </si>
  <si>
    <t>2026-05-26 08:59:09</t>
  </si>
  <si>
    <t>14301349</t>
  </si>
  <si>
    <t>cbb9e543-c975-490a-ba8f-98604cb25a4b</t>
  </si>
  <si>
    <t>2026-05-26 08:59:01</t>
  </si>
  <si>
    <t>27722825893</t>
  </si>
  <si>
    <t>14300931</t>
  </si>
  <si>
    <t>001546df-b711-4ef4-8766-2e0a336dcb21</t>
  </si>
  <si>
    <t>27726526704</t>
  </si>
  <si>
    <t>2026-05-26 08:59:00</t>
  </si>
  <si>
    <t>14301019</t>
  </si>
  <si>
    <t>f566f9bd-9d27-4217-88aa-aa2d07ed496a</t>
  </si>
  <si>
    <t>27722551066</t>
  </si>
  <si>
    <t>14300906</t>
  </si>
  <si>
    <t>9e76f595-edd0-4d4f-a3b7-500160c563c5</t>
  </si>
  <si>
    <t>2026-05-26 08:58:59</t>
  </si>
  <si>
    <t>27711830226</t>
  </si>
  <si>
    <t>14300991</t>
  </si>
  <si>
    <t>e0e1e1b6-2b34-4d97-a273-da8341d0c7af</t>
  </si>
  <si>
    <t>27731336903</t>
  </si>
  <si>
    <t>14300899</t>
  </si>
  <si>
    <t>1afbbbc2-7300-4587-b077-b5398c17221f</t>
  </si>
  <si>
    <t>2026-05-26 08:58:58</t>
  </si>
  <si>
    <t>27729646719</t>
  </si>
  <si>
    <t>14300918</t>
  </si>
  <si>
    <t>4b284909-07ae-4ab2-b3c1-031db387db75</t>
  </si>
  <si>
    <t>27760800548</t>
  </si>
  <si>
    <t>2026-05-26 08:58:52</t>
  </si>
  <si>
    <t>14300961</t>
  </si>
  <si>
    <t>3263d31b-2cb0-4ff2-a61f-fca8f8ec63cc</t>
  </si>
  <si>
    <t>2026-05-26 08:58:50</t>
  </si>
  <si>
    <t>27823493860</t>
  </si>
  <si>
    <t>14300999</t>
  </si>
  <si>
    <t>651c2026-8137-4da9-89a9-bc6c3a049175</t>
  </si>
  <si>
    <t>27798624408</t>
  </si>
  <si>
    <t>14300893</t>
  </si>
  <si>
    <t>90995fb7-559e-4821-bd3d-730452ffa112</t>
  </si>
  <si>
    <t>2026-05-26 08:58:38</t>
  </si>
  <si>
    <t>27713607835</t>
  </si>
  <si>
    <t>14300907</t>
  </si>
  <si>
    <t>ae8e099e-7c58-426d-aae6-540e57d934a7</t>
  </si>
  <si>
    <t>2026-05-26 08:58:37</t>
  </si>
  <si>
    <t>27661103499</t>
  </si>
  <si>
    <t>14301101</t>
  </si>
  <si>
    <t>6fa2f859-561a-4428-a96a-2c0471925a8a</t>
  </si>
  <si>
    <t>27721059438</t>
  </si>
  <si>
    <t>2026-05-26 08:58:26</t>
  </si>
  <si>
    <t>14300957</t>
  </si>
  <si>
    <t>f22f6cee-0539-4596-9ad7-53d1a5764b1e</t>
  </si>
  <si>
    <t>2026-05-26 08:58:22</t>
  </si>
  <si>
    <t>27609718756</t>
  </si>
  <si>
    <t>14300922</t>
  </si>
  <si>
    <t>bddb0b39-29a3-4085-83cf-4586188e48ec</t>
  </si>
  <si>
    <t>27649725927</t>
  </si>
  <si>
    <t>14301155</t>
  </si>
  <si>
    <t>ac8ef9d5-9d5a-4436-9aed-b75808e1cb59</t>
  </si>
  <si>
    <t>27675864948</t>
  </si>
  <si>
    <t>14301376</t>
  </si>
  <si>
    <t>0563fb70-e1ee-422f-bb72-3690283571d2</t>
  </si>
  <si>
    <t>27760455895</t>
  </si>
  <si>
    <t>14301038</t>
  </si>
  <si>
    <t>601b88c5-4e5a-4fb2-af72-aadf9d327153</t>
  </si>
  <si>
    <t>27728009320</t>
  </si>
  <si>
    <t>2026-05-26 08:57:34</t>
  </si>
  <si>
    <t>14300914</t>
  </si>
  <si>
    <t>cd38977e-966a-490a-ba9e-f69ada39b811</t>
  </si>
  <si>
    <t>27728675298</t>
  </si>
  <si>
    <t>2026-05-26 08:57:08</t>
  </si>
  <si>
    <t>14301048</t>
  </si>
  <si>
    <t>af7fdbca-3bce-4379-8ea4-1eca1852a57b</t>
  </si>
  <si>
    <t>2026-05-26 08:56:49</t>
  </si>
  <si>
    <t>27728485296</t>
  </si>
  <si>
    <t>14300923</t>
  </si>
  <si>
    <t>97caecbe-e32c-4328-9367-9a3b179e1862</t>
  </si>
  <si>
    <t>2026-05-26 08:56:44</t>
  </si>
  <si>
    <t>27824738373</t>
  </si>
  <si>
    <t>14300920</t>
  </si>
  <si>
    <t>a2608255-2e75-4ee7-be84-1077e16ff2a1</t>
  </si>
  <si>
    <t>2026-05-26 08:56:43</t>
  </si>
  <si>
    <t>27636880069</t>
  </si>
  <si>
    <t>14301204</t>
  </si>
  <si>
    <t>c46110c5-f970-40c9-873f-6ceda113d264</t>
  </si>
  <si>
    <t>27728998966</t>
  </si>
  <si>
    <t>14300936</t>
  </si>
  <si>
    <t>92edb7f9-d242-427b-959d-258326bf31a2</t>
  </si>
  <si>
    <t>2026-05-26 08:56:42</t>
  </si>
  <si>
    <t>27760454078</t>
  </si>
  <si>
    <t>14301017</t>
  </si>
  <si>
    <t>8dc93ba1-0ede-4d37-9d5a-2dad04b2f8bb</t>
  </si>
  <si>
    <t>27665924495</t>
  </si>
  <si>
    <t>2026-05-26 08:56:33</t>
  </si>
  <si>
    <t>14300924</t>
  </si>
  <si>
    <t>ced9b217-0521-42c0-ac6c-8a98b7f47d7e</t>
  </si>
  <si>
    <t>27713523263</t>
  </si>
  <si>
    <t>14300974</t>
  </si>
  <si>
    <t>e18e80a5-d873-45d3-a68a-d822e92ab840</t>
  </si>
  <si>
    <t>27766953655</t>
  </si>
  <si>
    <t>14301391</t>
  </si>
  <si>
    <t>7783efae-863b-421d-afcb-bfd1728dc042</t>
  </si>
  <si>
    <t>27716778216</t>
  </si>
  <si>
    <t>2026-05-26 08:56:00</t>
  </si>
  <si>
    <t>14301055</t>
  </si>
  <si>
    <t>0fe05ecc-3fa5-4403-bbde-4f81ddd58a94</t>
  </si>
  <si>
    <t>2026-05-26 08:55:56</t>
  </si>
  <si>
    <t>27649411800</t>
  </si>
  <si>
    <t>14300933</t>
  </si>
  <si>
    <t>bb198a2c-d5a7-4642-ae7f-1b04f4647308</t>
  </si>
  <si>
    <t>2026-05-26 08:55:51</t>
  </si>
  <si>
    <t>27673302917</t>
  </si>
  <si>
    <t>14301025</t>
  </si>
  <si>
    <t>18a45c2b-c50a-4850-ab81-98f99aa96287</t>
  </si>
  <si>
    <t>27695119817</t>
  </si>
  <si>
    <t>14301230</t>
  </si>
  <si>
    <t>74760a6d-2882-4131-99fc-5a2d289e5622</t>
  </si>
  <si>
    <t>27761943710</t>
  </si>
  <si>
    <t>2026-05-26 08:54:59</t>
  </si>
  <si>
    <t>14301034</t>
  </si>
  <si>
    <t>3753d015-9589-46a2-9b0c-f03fd5e1c36b</t>
  </si>
  <si>
    <t>27766993439</t>
  </si>
  <si>
    <t>2026-05-26 08:54:57</t>
  </si>
  <si>
    <t>14300928</t>
  </si>
  <si>
    <t>b994a3e4-e1f7-4aca-adc5-958b41544619</t>
  </si>
  <si>
    <t>2026-05-26 08:54:54</t>
  </si>
  <si>
    <t>27606749688</t>
  </si>
  <si>
    <t>14300938</t>
  </si>
  <si>
    <t>3c6bbce4-b524-4be5-9814-04afa1b670da</t>
  </si>
  <si>
    <t>27725053434</t>
  </si>
  <si>
    <t>14300984</t>
  </si>
  <si>
    <t>9fa29370-a8e5-4943-8d9e-4701afbb8947</t>
  </si>
  <si>
    <t>27711196609</t>
  </si>
  <si>
    <t>14301039</t>
  </si>
  <si>
    <t>9675a08f-26fc-40ef-acb2-80b98e2a3f09</t>
  </si>
  <si>
    <t>27818437055</t>
  </si>
  <si>
    <t>14300950</t>
  </si>
  <si>
    <t>0e1821b8-ba1e-47ba-a766-aff9250b93e8</t>
  </si>
  <si>
    <t>2026-05-26 08:53:43</t>
  </si>
  <si>
    <t>27729384133</t>
  </si>
  <si>
    <t>14300954</t>
  </si>
  <si>
    <t>860b7fcc-0e3c-4d42-a69e-1fa905524bb3</t>
  </si>
  <si>
    <t>27760588275</t>
  </si>
  <si>
    <t>14301237</t>
  </si>
  <si>
    <t>16e5f2e9-631c-4843-96fc-089e81fc0e99</t>
  </si>
  <si>
    <t>27637386658</t>
  </si>
  <si>
    <t>2026-05-26 08:53:42</t>
  </si>
  <si>
    <t>14300969</t>
  </si>
  <si>
    <t>927e9e00-ef7e-4344-96e2-989ebe0ae2b1</t>
  </si>
  <si>
    <t>2026-05-26 08:52:44</t>
  </si>
  <si>
    <t>27790101576</t>
  </si>
  <si>
    <t>14300990</t>
  </si>
  <si>
    <t>c698b5c9-0cbb-436c-afec-3b13b618f72f</t>
  </si>
  <si>
    <t>2026-05-26 08:52:33</t>
  </si>
  <si>
    <t>27732461703</t>
  </si>
  <si>
    <t>14301045</t>
  </si>
  <si>
    <t>799c3912-7cd3-4350-98f5-c1e9056cf30d</t>
  </si>
  <si>
    <t>2026-05-26 08:52:17</t>
  </si>
  <si>
    <t>27793763219</t>
  </si>
  <si>
    <t>14300939</t>
  </si>
  <si>
    <t>3ea7b216-dbb3-4f26-990c-ce96813d1e11</t>
  </si>
  <si>
    <t>2026-05-26 08:52:16</t>
  </si>
  <si>
    <t>27675637257</t>
  </si>
  <si>
    <t>14300956</t>
  </si>
  <si>
    <t>eab81e81-fc1e-4a64-a057-5f60db9cdb7f</t>
  </si>
  <si>
    <t>2026-05-26 08:52:02</t>
  </si>
  <si>
    <t>27608812665</t>
  </si>
  <si>
    <t>14301043</t>
  </si>
  <si>
    <t>f3dda254-4594-4847-bf9b-d845323d0137</t>
  </si>
  <si>
    <t>2026-05-26 08:51:45</t>
  </si>
  <si>
    <t>27761543589</t>
  </si>
  <si>
    <t>14300959</t>
  </si>
  <si>
    <t>24398eb0-979d-49bd-863b-55a6559206fc</t>
  </si>
  <si>
    <t>2026-05-26 08:51:44</t>
  </si>
  <si>
    <t>27647773881</t>
  </si>
  <si>
    <t>14300975</t>
  </si>
  <si>
    <t>e4362285-9e56-42c3-91e1-44f6400de414</t>
  </si>
  <si>
    <t>2026-05-26 08:51:37</t>
  </si>
  <si>
    <t>27797983673</t>
  </si>
  <si>
    <t>14301242</t>
  </si>
  <si>
    <t>f45db7dd-3d72-4ab5-a52b-d2182db89d0e</t>
  </si>
  <si>
    <t>27818033369</t>
  </si>
  <si>
    <t>14300995</t>
  </si>
  <si>
    <t>43f6e76d-8474-4782-b4dd-e9c170ba3fea</t>
  </si>
  <si>
    <t>2026-05-26 08:50:54</t>
  </si>
  <si>
    <t>27714364064</t>
  </si>
  <si>
    <t>14301049</t>
  </si>
  <si>
    <t>a5778f99-c244-4792-bfa2-dda746d0841f</t>
  </si>
  <si>
    <t>2026-05-26 08:50:48</t>
  </si>
  <si>
    <t>27712321822</t>
  </si>
  <si>
    <t>14300955</t>
  </si>
  <si>
    <t>d91f30d9-729d-4b4f-95c6-ecff167027cc</t>
  </si>
  <si>
    <t>27762309818</t>
  </si>
  <si>
    <t>2026-05-26 08:50:38</t>
  </si>
  <si>
    <t>14300966</t>
  </si>
  <si>
    <t>a482e415-3c2f-4417-87a1-023773a1ffed</t>
  </si>
  <si>
    <t>2026-05-26 08:50:15</t>
  </si>
  <si>
    <t>27826203347</t>
  </si>
  <si>
    <t>14301011</t>
  </si>
  <si>
    <t>488fd4dc-2245-4d09-93e3-81abdd2ee62d</t>
  </si>
  <si>
    <t>27711881394</t>
  </si>
  <si>
    <t>2026-05-26 08:49:26</t>
  </si>
  <si>
    <t>14300996</t>
  </si>
  <si>
    <t>9d440b76-b08e-453c-96e2-0cb645a362aa</t>
  </si>
  <si>
    <t>2026-05-26 08:49:25</t>
  </si>
  <si>
    <t>27714479489</t>
  </si>
  <si>
    <t>14301077</t>
  </si>
  <si>
    <t>5938e7b8-78f9-493c-af32-3c37c6e3594e</t>
  </si>
  <si>
    <t>27728187897</t>
  </si>
  <si>
    <t>2026-05-26 08:49:19</t>
  </si>
  <si>
    <t>14301097</t>
  </si>
  <si>
    <t>a351bfd1-80bb-469c-9c24-0c8fd5b99a1d</t>
  </si>
  <si>
    <t>2026-05-26 08:49:18</t>
  </si>
  <si>
    <t>27791847203</t>
  </si>
  <si>
    <t>14301081</t>
  </si>
  <si>
    <t>e7fc99a6-bcac-4cf5-81eb-a1eeafa0db97</t>
  </si>
  <si>
    <t>27606679069</t>
  </si>
  <si>
    <t>14301211</t>
  </si>
  <si>
    <t>18a88b83-aba1-4b6b-a90a-840f617352e4</t>
  </si>
  <si>
    <t>2026-05-26 08:49:16</t>
  </si>
  <si>
    <t>27791669457</t>
  </si>
  <si>
    <t>14301159</t>
  </si>
  <si>
    <t>95452761-70ee-4188-bf6d-2ce5cb0d517c</t>
  </si>
  <si>
    <t>2026-05-26 08:49:13</t>
  </si>
  <si>
    <t>27720347838</t>
  </si>
  <si>
    <t>14301161</t>
  </si>
  <si>
    <t>8a7a2d4e-545d-48a0-ad19-9616fb09aa28</t>
  </si>
  <si>
    <t>27790378033</t>
  </si>
  <si>
    <t>2026-05-26 08:49:12</t>
  </si>
  <si>
    <t>14301041</t>
  </si>
  <si>
    <t>1422f995-0a93-4e2c-b6e6-13f779f0e59c</t>
  </si>
  <si>
    <t>27720200317</t>
  </si>
  <si>
    <t>2026-05-26 08:49:09</t>
  </si>
  <si>
    <t>14301007</t>
  </si>
  <si>
    <t>d578eb8a-7ccc-4f04-85a0-c7f9c278043f</t>
  </si>
  <si>
    <t>2026-05-26 08:49:06</t>
  </si>
  <si>
    <t>27798182092</t>
  </si>
  <si>
    <t>14301153</t>
  </si>
  <si>
    <t>73d9f681-5d52-4c38-9239-6ef779256dd0</t>
  </si>
  <si>
    <t>27798030443</t>
  </si>
  <si>
    <t>14301027</t>
  </si>
  <si>
    <t>a8c52030-6e5b-4a52-90c5-687320a4e25a</t>
  </si>
  <si>
    <t>2026-05-26 08:49:05</t>
  </si>
  <si>
    <t>27665627075</t>
  </si>
  <si>
    <t>14301001</t>
  </si>
  <si>
    <t>047879bf-4edb-41dd-857c-5f45ea589b7c</t>
  </si>
  <si>
    <t>2026-05-26 08:48:53</t>
  </si>
  <si>
    <t>27818487681</t>
  </si>
  <si>
    <t>14301262</t>
  </si>
  <si>
    <t>b9885d02-03e8-48ef-9786-80ff04cbac9b</t>
  </si>
  <si>
    <t>27761495100</t>
  </si>
  <si>
    <t>14301029</t>
  </si>
  <si>
    <t>0902da45-85aa-4e75-a805-340136b2b863</t>
  </si>
  <si>
    <t>2026-05-26 08:48:52</t>
  </si>
  <si>
    <t>27824753485</t>
  </si>
  <si>
    <t>14301410</t>
  </si>
  <si>
    <t>dc1c8104-412e-4579-a5f3-fe3672052f0f</t>
  </si>
  <si>
    <t>2026-05-26 08:48:51</t>
  </si>
  <si>
    <t>27790445575</t>
  </si>
  <si>
    <t>14301120</t>
  </si>
  <si>
    <t>9651dbf6-fcec-4576-990f-9146c5ab12e5</t>
  </si>
  <si>
    <t>27728130765</t>
  </si>
  <si>
    <t>2026-05-26 08:48:37</t>
  </si>
  <si>
    <t>14301002</t>
  </si>
  <si>
    <t>fd983882-8760-47e7-a9f1-e666493046eb</t>
  </si>
  <si>
    <t>27822904174</t>
  </si>
  <si>
    <t>14300997</t>
  </si>
  <si>
    <t>212f612f-adb6-42f7-bac5-14f4ed523261</t>
  </si>
  <si>
    <t>27762692387</t>
  </si>
  <si>
    <t>2026-05-26 08:47:54</t>
  </si>
  <si>
    <t>14301318</t>
  </si>
  <si>
    <t>f36c35a6-c8b0-4735-9dc2-b87f9b053589</t>
  </si>
  <si>
    <t>27827806912</t>
  </si>
  <si>
    <t>2026-05-26 08:47:44</t>
  </si>
  <si>
    <t>14301014</t>
  </si>
  <si>
    <t>5fc2712d-b683-41ab-bdcf-99e8e632315a</t>
  </si>
  <si>
    <t>27726936394</t>
  </si>
  <si>
    <t>2026-05-26 08:47:43</t>
  </si>
  <si>
    <t>14300993</t>
  </si>
  <si>
    <t>c7d12538-914c-4191-87a4-3c7b9de3f2e2</t>
  </si>
  <si>
    <t>2026-05-26 08:47:22</t>
  </si>
  <si>
    <t>27762583271</t>
  </si>
  <si>
    <t>14301003</t>
  </si>
  <si>
    <t>85e5a61e-b1fc-4f2d-869a-e1d146568258</t>
  </si>
  <si>
    <t>27675652104</t>
  </si>
  <si>
    <t>2026-05-26 08:47:21</t>
  </si>
  <si>
    <t>14301146</t>
  </si>
  <si>
    <t>d44f629c-299b-470d-a0a6-f708fa5333f2</t>
  </si>
  <si>
    <t>27673703283</t>
  </si>
  <si>
    <t>2026-05-26 08:46:28</t>
  </si>
  <si>
    <t>14301022</t>
  </si>
  <si>
    <t>36325baa-f6dc-4d66-8796-611ab04e995c</t>
  </si>
  <si>
    <t>27794406709</t>
  </si>
  <si>
    <t>2026-05-26 08:46:24</t>
  </si>
  <si>
    <t>14301337</t>
  </si>
  <si>
    <t>96580a79-dff9-48a9-b84e-a9f9b48da469</t>
  </si>
  <si>
    <t>27820809480</t>
  </si>
  <si>
    <t>14301046</t>
  </si>
  <si>
    <t>bc66eb31-a418-47e1-baa1-e0024237f82d</t>
  </si>
  <si>
    <t>27829742702</t>
  </si>
  <si>
    <t>2026-05-26 08:45:50</t>
  </si>
  <si>
    <t>14301085</t>
  </si>
  <si>
    <t>d7f400e6-d24a-48a6-ab7f-740e3ae32ab1</t>
  </si>
  <si>
    <t>27762782439</t>
  </si>
  <si>
    <t>14301000</t>
  </si>
  <si>
    <t>5e784858-36da-448a-9c70-f1063c8e93c2</t>
  </si>
  <si>
    <t>2026-05-26 08:45:49</t>
  </si>
  <si>
    <t>27818598366</t>
  </si>
  <si>
    <t>14301135</t>
  </si>
  <si>
    <t>4255a61c-f702-4b4f-b965-993070574832</t>
  </si>
  <si>
    <t>2026-05-26 08:44:36</t>
  </si>
  <si>
    <t>27767303836</t>
  </si>
  <si>
    <t>14301016</t>
  </si>
  <si>
    <t>f89d35b2-55b2-40c3-aac5-61d31f9a5f20</t>
  </si>
  <si>
    <t>2026-05-26 08:44:33</t>
  </si>
  <si>
    <t>27820494806</t>
  </si>
  <si>
    <t>14301020</t>
  </si>
  <si>
    <t>046b611e-b847-4986-bbba-f53cdd00ce48</t>
  </si>
  <si>
    <t>27766853534</t>
  </si>
  <si>
    <t>14301096</t>
  </si>
  <si>
    <t>4ef6a52b-5d62-4107-a99a-56826dc4f353</t>
  </si>
  <si>
    <t>27791422421</t>
  </si>
  <si>
    <t>14301033</t>
  </si>
  <si>
    <t>0a0f2c08-036b-4c7c-81f5-3e60675ebbc1</t>
  </si>
  <si>
    <t>2026-05-26 08:43:44</t>
  </si>
  <si>
    <t>27712304233</t>
  </si>
  <si>
    <t>14301140</t>
  </si>
  <si>
    <t>7078485d-d06f-4e85-9496-5775b93101ed</t>
  </si>
  <si>
    <t>27646482356</t>
  </si>
  <si>
    <t>14301054</t>
  </si>
  <si>
    <t>29745633-58df-48a1-ad47-0c3cb11ff50f</t>
  </si>
  <si>
    <t>27648319529</t>
  </si>
  <si>
    <t>2026-05-26 08:43:43</t>
  </si>
  <si>
    <t>14301012</t>
  </si>
  <si>
    <t>d9f77fba-ca88-407e-903a-cb545a570dab</t>
  </si>
  <si>
    <t>2026-05-26 08:43:42</t>
  </si>
  <si>
    <t>27715292600</t>
  </si>
  <si>
    <t>14301021</t>
  </si>
  <si>
    <t>2be2899d-4285-42aa-a5f2-1d9522c734d8</t>
  </si>
  <si>
    <t>27790792169</t>
  </si>
  <si>
    <t>14301104</t>
  </si>
  <si>
    <t>7f9b0a39-7b6a-466e-a9ab-7a2c9efc2b6e</t>
  </si>
  <si>
    <t>27766110983</t>
  </si>
  <si>
    <t>14301035</t>
  </si>
  <si>
    <t>01217e4b-aa64-4702-9adb-728efa45857c</t>
  </si>
  <si>
    <t>27788482827</t>
  </si>
  <si>
    <t>2026-05-26 08:42:20</t>
  </si>
  <si>
    <t>14301051</t>
  </si>
  <si>
    <t>8e2bf7e3-2ab8-4c22-9cc2-eb23d80d04ce</t>
  </si>
  <si>
    <t>2026-05-26 08:41:51</t>
  </si>
  <si>
    <t>27741237885</t>
  </si>
  <si>
    <t>14301113</t>
  </si>
  <si>
    <t>57268944-cd18-44c4-989d-ae52aae65b39</t>
  </si>
  <si>
    <t>2026-05-26 08:41:49</t>
  </si>
  <si>
    <t>27797423359</t>
  </si>
  <si>
    <t>14301152</t>
  </si>
  <si>
    <t>04e780e8-c82f-4e22-b4d9-c2c2fb805e29</t>
  </si>
  <si>
    <t>27794095379</t>
  </si>
  <si>
    <t>14301446</t>
  </si>
  <si>
    <t>13f23782-14f3-4d96-8561-de0b3f719378</t>
  </si>
  <si>
    <t>27714528124</t>
  </si>
  <si>
    <t>14301032</t>
  </si>
  <si>
    <t>e21343df-2331-4817-b025-3b6c3a4204f5</t>
  </si>
  <si>
    <t>2026-05-26 08:41:45</t>
  </si>
  <si>
    <t>27727545600</t>
  </si>
  <si>
    <t>14301362</t>
  </si>
  <si>
    <t>bf5c2f45-c3c9-48e9-8de2-66e345cc088b</t>
  </si>
  <si>
    <t>27768889907</t>
  </si>
  <si>
    <t>14301044</t>
  </si>
  <si>
    <t>5d3bc3d6-84a3-4513-8c37-82537e843831</t>
  </si>
  <si>
    <t>2026-05-26 08:41:44</t>
  </si>
  <si>
    <t>27735740158</t>
  </si>
  <si>
    <t>14301063</t>
  </si>
  <si>
    <t>a6317c89-69f1-4b15-ab8d-7f3ef828a21c</t>
  </si>
  <si>
    <t>27606316874</t>
  </si>
  <si>
    <t>14301028</t>
  </si>
  <si>
    <t>fcae126f-c13d-45a6-8e36-4490dfd9bab4</t>
  </si>
  <si>
    <t>27673146918</t>
  </si>
  <si>
    <t>2026-05-26 08:41:39</t>
  </si>
  <si>
    <t>14301037</t>
  </si>
  <si>
    <t>d2fb845f-2882-470f-854d-a0d9d22ce813</t>
  </si>
  <si>
    <t>27793226737</t>
  </si>
  <si>
    <t>14301127</t>
  </si>
  <si>
    <t>465f2e68-7d15-4c87-93fd-c3776f0239b8</t>
  </si>
  <si>
    <t>27827656641</t>
  </si>
  <si>
    <t>14301059</t>
  </si>
  <si>
    <t>da74fb7e-5775-474e-b98c-1b500b4c3a27</t>
  </si>
  <si>
    <t>2026-05-26 08:41:09</t>
  </si>
  <si>
    <t>27769342347</t>
  </si>
  <si>
    <t>14301064</t>
  </si>
  <si>
    <t>9598cdb4-a10c-44ea-a1fd-b9e6175c3680</t>
  </si>
  <si>
    <t>2026-05-26 08:41:04</t>
  </si>
  <si>
    <t>27767207123</t>
  </si>
  <si>
    <t>14301193</t>
  </si>
  <si>
    <t>8018b5a9-7e4b-497f-9b01-6d0478e568a4</t>
  </si>
  <si>
    <t>27795353066</t>
  </si>
  <si>
    <t>14301076</t>
  </si>
  <si>
    <t>5ad8753d-e5ee-4318-85e1-4374d57faa6f</t>
  </si>
  <si>
    <t>27766643214</t>
  </si>
  <si>
    <t>14301201</t>
  </si>
  <si>
    <t>b86c6f4b-6673-4351-ab6a-a049164a6027</t>
  </si>
  <si>
    <t>27711840575</t>
  </si>
  <si>
    <t>2026-05-26 08:41:02</t>
  </si>
  <si>
    <t>14301194</t>
  </si>
  <si>
    <t>65fd0915-e2ff-4dc7-9d80-0a7d9723d7a4</t>
  </si>
  <si>
    <t>27729621359</t>
  </si>
  <si>
    <t>2026-05-26 08:41:01</t>
  </si>
  <si>
    <t>14301324</t>
  </si>
  <si>
    <t>a561049e-8564-4077-b657-6710efa3fedd</t>
  </si>
  <si>
    <t>2026-05-26 08:40:57</t>
  </si>
  <si>
    <t>27729019639</t>
  </si>
  <si>
    <t>14301272</t>
  </si>
  <si>
    <t>2e39ee4c-0de5-46a2-a76a-ea50800c7236</t>
  </si>
  <si>
    <t>2026-05-26 08:40:55</t>
  </si>
  <si>
    <t>27646946672</t>
  </si>
  <si>
    <t>14301277</t>
  </si>
  <si>
    <t>1ae85090-364f-4ddc-bdc9-c30acb3774db</t>
  </si>
  <si>
    <t>27766273407</t>
  </si>
  <si>
    <t>14301107</t>
  </si>
  <si>
    <t>24963303-7854-41ad-92a0-70093ca317c3</t>
  </si>
  <si>
    <t>2026-05-26 08:40:54</t>
  </si>
  <si>
    <t>27822530365</t>
  </si>
  <si>
    <t>14301258</t>
  </si>
  <si>
    <t>0d2b350b-2e23-4700-9fb9-df6b2c9b3654</t>
  </si>
  <si>
    <t>27714024484</t>
  </si>
  <si>
    <t>14301433</t>
  </si>
  <si>
    <t>671f837d-fa33-4ae8-a24e-e191d2cddd6a</t>
  </si>
  <si>
    <t>27728892352</t>
  </si>
  <si>
    <t>14301073</t>
  </si>
  <si>
    <t>3af1c26d-eef1-46a8-98b4-a284164ab598</t>
  </si>
  <si>
    <t>27720452658</t>
  </si>
  <si>
    <t>2026-05-26 08:40:41</t>
  </si>
  <si>
    <t>14301086</t>
  </si>
  <si>
    <t>b17ab85e-9e2b-44e1-9442-b6020e9f63bb</t>
  </si>
  <si>
    <t>27763045922</t>
  </si>
  <si>
    <t>2026-05-26 08:40:38</t>
  </si>
  <si>
    <t>14301067</t>
  </si>
  <si>
    <t>7ac7d785-8dda-4302-b74b-8fd683a64d88</t>
  </si>
  <si>
    <t>2026-05-26 08:40:35</t>
  </si>
  <si>
    <t>27769123123</t>
  </si>
  <si>
    <t>14301369</t>
  </si>
  <si>
    <t>e720bfd7-4894-473b-97e1-2895ad18af3d</t>
  </si>
  <si>
    <t>2026-05-26 08:40:18</t>
  </si>
  <si>
    <t>27826631482</t>
  </si>
  <si>
    <t>14301089</t>
  </si>
  <si>
    <t>62d1ed63-3127-42be-ae3a-16b436c5ed01</t>
  </si>
  <si>
    <t>2026-05-26 08:40:03</t>
  </si>
  <si>
    <t>27716296205</t>
  </si>
  <si>
    <t>14301219</t>
  </si>
  <si>
    <t>fdb7c6cb-99da-4245-b32b-efffd729110e</t>
  </si>
  <si>
    <t>27660493863</t>
  </si>
  <si>
    <t>14301514</t>
  </si>
  <si>
    <t>b8b25b67-b241-4fde-a93d-41adbb8afc98</t>
  </si>
  <si>
    <t>27715921864</t>
  </si>
  <si>
    <t>14301068</t>
  </si>
  <si>
    <t>b3008935-ac08-4406-9ead-441114bf9c4d</t>
  </si>
  <si>
    <t>2026-05-26 08:40:02</t>
  </si>
  <si>
    <t>27716972328</t>
  </si>
  <si>
    <t>14301166</t>
  </si>
  <si>
    <t>5a8b88de-9bf5-4849-9c85-de3212f3f768</t>
  </si>
  <si>
    <t>27606190725</t>
  </si>
  <si>
    <t>14301065</t>
  </si>
  <si>
    <t>85c9aa2b-92f6-448d-a740-e5f8c2f1478c</t>
  </si>
  <si>
    <t>2026-05-26 08:39:58</t>
  </si>
  <si>
    <t>27762096922</t>
  </si>
  <si>
    <t>14301390</t>
  </si>
  <si>
    <t>ac93126d-221b-451f-9bed-703bff7419f2</t>
  </si>
  <si>
    <t>27712052144</t>
  </si>
  <si>
    <t>2026-05-26 08:39:42</t>
  </si>
  <si>
    <t>14301080</t>
  </si>
  <si>
    <t>55227fb1-4859-4b74-bcd9-31ef5a42e1be</t>
  </si>
  <si>
    <t>2026-05-26 08:39:41</t>
  </si>
  <si>
    <t>27712213509</t>
  </si>
  <si>
    <t>14301110</t>
  </si>
  <si>
    <t>8e5eaa27-853f-4b07-81c9-9f21873d1141</t>
  </si>
  <si>
    <t>2026-05-26 08:39:40</t>
  </si>
  <si>
    <t>27723936248</t>
  </si>
  <si>
    <t>14301197</t>
  </si>
  <si>
    <t>6355bcfd-66d2-42f3-811b-4d20c6c96eb7</t>
  </si>
  <si>
    <t>2026-05-26 08:39:35</t>
  </si>
  <si>
    <t>27675484714</t>
  </si>
  <si>
    <t>14301061</t>
  </si>
  <si>
    <t>f0a0eadf-c3c0-421c-8aef-fe9666dbe54f</t>
  </si>
  <si>
    <t>2026-05-26 08:39:33</t>
  </si>
  <si>
    <t>27726559714</t>
  </si>
  <si>
    <t>14301069</t>
  </si>
  <si>
    <t>e51610ad-d616-4a79-9119-99cb85bdae18</t>
  </si>
  <si>
    <t>2026-05-26 08:39:28</t>
  </si>
  <si>
    <t>27829244175</t>
  </si>
  <si>
    <t>14301099</t>
  </si>
  <si>
    <t>3fdb6323-29e4-4a5e-bfa8-cbce76727ce8</t>
  </si>
  <si>
    <t>27716421601</t>
  </si>
  <si>
    <t>2026-05-26 08:39:16</t>
  </si>
  <si>
    <t>14301274</t>
  </si>
  <si>
    <t>639d74c7-860d-4619-8af4-f136e1b54f5c</t>
  </si>
  <si>
    <t>2026-05-26 08:39:02</t>
  </si>
  <si>
    <t>27636685823</t>
  </si>
  <si>
    <t>14301133</t>
  </si>
  <si>
    <t>c42c753a-7e1d-433f-a297-11117716bace</t>
  </si>
  <si>
    <t>2026-05-26 08:39:00</t>
  </si>
  <si>
    <t>27728257232</t>
  </si>
  <si>
    <t>14301098</t>
  </si>
  <si>
    <t>bb775d14-57f7-47ae-957b-1537fecf2430</t>
  </si>
  <si>
    <t>2026-05-26 08:38:52</t>
  </si>
  <si>
    <t>27765178981</t>
  </si>
  <si>
    <t>14301114</t>
  </si>
  <si>
    <t>955ca8fe-043c-42de-af2b-ac65803602c0</t>
  </si>
  <si>
    <t>27766184054</t>
  </si>
  <si>
    <t>14301092</t>
  </si>
  <si>
    <t>6895aab1-5eb0-4ee9-9ded-3d0c01aa5c24</t>
  </si>
  <si>
    <t>27648589294</t>
  </si>
  <si>
    <t>14301388</t>
  </si>
  <si>
    <t>f1a0a225-4e4d-45f6-a5a7-ff0e452c509e</t>
  </si>
  <si>
    <t>27826960332</t>
  </si>
  <si>
    <t>14301115</t>
  </si>
  <si>
    <t>a8bb3664-caef-4645-ade6-79544c81c64c</t>
  </si>
  <si>
    <t>2026-05-26 08:38:48</t>
  </si>
  <si>
    <t>27774030481</t>
  </si>
  <si>
    <t>14301257</t>
  </si>
  <si>
    <t>06f80194-6afa-42e7-968c-98742489af9b</t>
  </si>
  <si>
    <t>27665139763</t>
  </si>
  <si>
    <t>14301537</t>
  </si>
  <si>
    <t>061b79f1-4ece-417f-9707-b33e4681f13b</t>
  </si>
  <si>
    <t>27820400400</t>
  </si>
  <si>
    <t>14302013</t>
  </si>
  <si>
    <t>bc310403-c14d-4454-ad5e-0214e9b1a4c8</t>
  </si>
  <si>
    <t>27828270566</t>
  </si>
  <si>
    <t>2026-05-26 08:38:34</t>
  </si>
  <si>
    <t>14301210</t>
  </si>
  <si>
    <t>4567e80a-a6d4-497e-b78f-ec78631199a1</t>
  </si>
  <si>
    <t>27791134519</t>
  </si>
  <si>
    <t>2026-05-26 08:38:33</t>
  </si>
  <si>
    <t>14301083</t>
  </si>
  <si>
    <t>929fe3da-f8ee-4725-895c-03a3ce97ec1c</t>
  </si>
  <si>
    <t>27766251900</t>
  </si>
  <si>
    <t>2026-05-26 08:38:17</t>
  </si>
  <si>
    <t>14301094</t>
  </si>
  <si>
    <t>4a592b63-04fa-41d7-bd63-168a7c13c52b</t>
  </si>
  <si>
    <t>2026-05-26 08:38:14</t>
  </si>
  <si>
    <t>27763351682</t>
  </si>
  <si>
    <t>14301087</t>
  </si>
  <si>
    <t>b7a629a1-b3f9-4ca2-bbc7-80f910acdda5</t>
  </si>
  <si>
    <t>2026-05-26 08:38:13</t>
  </si>
  <si>
    <t>27793962600</t>
  </si>
  <si>
    <t>14301105</t>
  </si>
  <si>
    <t>017fc0c7-fc3a-44b3-a8cb-f8a9633a8d05</t>
  </si>
  <si>
    <t>2026-05-26 08:37:36</t>
  </si>
  <si>
    <t>27760895013</t>
  </si>
  <si>
    <t>14301398</t>
  </si>
  <si>
    <t>53df1a5c-0407-4cdf-bd43-3567239c7e7a</t>
  </si>
  <si>
    <t>27663969691</t>
  </si>
  <si>
    <t>14301220</t>
  </si>
  <si>
    <t>e99b0086-e8f6-4d81-a945-1065f9373183</t>
  </si>
  <si>
    <t>2026-05-26 08:37:35</t>
  </si>
  <si>
    <t>27608198116</t>
  </si>
  <si>
    <t>14301095</t>
  </si>
  <si>
    <t>14c4b203-2316-46c3-b1e3-2d6c37e1e7d1</t>
  </si>
  <si>
    <t>2026-05-26 08:37:23</t>
  </si>
  <si>
    <t>27766125079</t>
  </si>
  <si>
    <t>14301109</t>
  </si>
  <si>
    <t>d8c4f1d8-7d98-4a8d-9a81-3c1646ac723d</t>
  </si>
  <si>
    <t>2026-05-26 08:37:12</t>
  </si>
  <si>
    <t>27607857435</t>
  </si>
  <si>
    <t>14301088</t>
  </si>
  <si>
    <t>c3c743ec-d3f2-4989-a12b-83bd1e80910b</t>
  </si>
  <si>
    <t>2026-05-26 08:37:09</t>
  </si>
  <si>
    <t>27823055750</t>
  </si>
  <si>
    <t>14301224</t>
  </si>
  <si>
    <t>3d915b62-6858-4861-a338-45c3df4e00d7</t>
  </si>
  <si>
    <t>27760241963</t>
  </si>
  <si>
    <t>14301121</t>
  </si>
  <si>
    <t>7c417b9d-3597-41cb-9a80-b4b87a77974b</t>
  </si>
  <si>
    <t>27606109670</t>
  </si>
  <si>
    <t>2026-05-26 08:36:02</t>
  </si>
  <si>
    <t>14301156</t>
  </si>
  <si>
    <t>642c0725-9c3e-4524-a450-9e17fc523079</t>
  </si>
  <si>
    <t>2026-05-26 08:35:38</t>
  </si>
  <si>
    <t>27725769358</t>
  </si>
  <si>
    <t>14301129</t>
  </si>
  <si>
    <t>8725cd63-3ea3-4b3c-9532-ba5d02fcb366</t>
  </si>
  <si>
    <t>2026-05-26 08:35:31</t>
  </si>
  <si>
    <t>27721510259</t>
  </si>
  <si>
    <t>14301150</t>
  </si>
  <si>
    <t>c01d57ca-e59a-4bc3-a8bd-b9f7ae6a98e6</t>
  </si>
  <si>
    <t>2026-05-26 08:35:29</t>
  </si>
  <si>
    <t>27726591028</t>
  </si>
  <si>
    <t>14301151</t>
  </si>
  <si>
    <t>bf6b8528-67f9-42aa-8847-8fa81e35840a</t>
  </si>
  <si>
    <t>27721565716</t>
  </si>
  <si>
    <t>14301397</t>
  </si>
  <si>
    <t>2fae3109-6e33-4a64-b354-cae64c74de85</t>
  </si>
  <si>
    <t>27792520978</t>
  </si>
  <si>
    <t>14301122</t>
  </si>
  <si>
    <t>099cedcd-002f-42bc-a454-a27de2afcbde</t>
  </si>
  <si>
    <t>27797740178</t>
  </si>
  <si>
    <t>2026-05-26 08:35:28</t>
  </si>
  <si>
    <t>14301271</t>
  </si>
  <si>
    <t>10a41d9a-1907-4916-9bd5-bd97220f579d</t>
  </si>
  <si>
    <t>27636767608</t>
  </si>
  <si>
    <t>14301540</t>
  </si>
  <si>
    <t>13766bf1-7e02-4ac9-9338-a9ab5d242b16</t>
  </si>
  <si>
    <t>27729162481</t>
  </si>
  <si>
    <t>14301233</t>
  </si>
  <si>
    <t>cce15505-4d73-4f9e-8381-9d658ad53c4d</t>
  </si>
  <si>
    <t>2026-05-26 08:35:07</t>
  </si>
  <si>
    <t>27722603095</t>
  </si>
  <si>
    <t>14301116</t>
  </si>
  <si>
    <t>f2159604-dfcb-45f6-8990-a7806b1f90ac</t>
  </si>
  <si>
    <t>2026-05-26 08:35:02</t>
  </si>
  <si>
    <t>27822986187</t>
  </si>
  <si>
    <t>14301422</t>
  </si>
  <si>
    <t>5264cd65-276c-437c-b09e-3cc7ba154045</t>
  </si>
  <si>
    <t>27724369928</t>
  </si>
  <si>
    <t>14301136</t>
  </si>
  <si>
    <t>36ef8e75-952b-45fc-8b4a-49b9e177c740</t>
  </si>
  <si>
    <t>2026-05-26 08:34:23</t>
  </si>
  <si>
    <t>27711245923</t>
  </si>
  <si>
    <t>14301248</t>
  </si>
  <si>
    <t>9eefe6a4-088b-4efa-bb72-3d15910e56eb</t>
  </si>
  <si>
    <t>27726887870</t>
  </si>
  <si>
    <t>2026-05-26 08:34:18</t>
  </si>
  <si>
    <t>14301112</t>
  </si>
  <si>
    <t>330bf766-3881-4157-a3d2-8b0f77cc9933</t>
  </si>
  <si>
    <t>27796732055</t>
  </si>
  <si>
    <t>2026-05-26 08:34:16</t>
  </si>
  <si>
    <t>14301123</t>
  </si>
  <si>
    <t>1a3f042e-5834-459a-8fea-b1a9979cc5e0</t>
  </si>
  <si>
    <t>2026-05-26 08:34:09</t>
  </si>
  <si>
    <t>27790651760</t>
  </si>
  <si>
    <t>14301142</t>
  </si>
  <si>
    <t>764cd995-a72d-4ff3-843b-88049bd58e53</t>
  </si>
  <si>
    <t>2026-05-26 08:33:57</t>
  </si>
  <si>
    <t>27722112372</t>
  </si>
  <si>
    <t>14301171</t>
  </si>
  <si>
    <t>3113812b-5e2d-43db-bb7b-d0fe9c3cdf5c</t>
  </si>
  <si>
    <t>27820573893</t>
  </si>
  <si>
    <t>14301249</t>
  </si>
  <si>
    <t>4feea4b5-e272-4cab-a994-6c12db13658e</t>
  </si>
  <si>
    <t>27728612570</t>
  </si>
  <si>
    <t>2026-05-26 08:33:56</t>
  </si>
  <si>
    <t>14301327</t>
  </si>
  <si>
    <t>b427c43b-baab-448d-a6a5-8489722d2b02</t>
  </si>
  <si>
    <t>27636644135</t>
  </si>
  <si>
    <t>14301118</t>
  </si>
  <si>
    <t>8d19b7ad-bbbc-4940-9da1-fd720d8a9402</t>
  </si>
  <si>
    <t>27824802640</t>
  </si>
  <si>
    <t>2026-05-26 08:33:53</t>
  </si>
  <si>
    <t>14301132</t>
  </si>
  <si>
    <t>d1d9d180-de80-4157-9864-56109d8a3b74</t>
  </si>
  <si>
    <t>27725022817</t>
  </si>
  <si>
    <t>2026-05-26 08:33:22</t>
  </si>
  <si>
    <t>14301157</t>
  </si>
  <si>
    <t>f7cfaab0-aecb-4443-aac8-93cd102b4fdc</t>
  </si>
  <si>
    <t>27793781680</t>
  </si>
  <si>
    <t>2026-05-26 08:33:05</t>
  </si>
  <si>
    <t>14301147</t>
  </si>
  <si>
    <t>35951028-02fc-4efb-905a-8b365484d883</t>
  </si>
  <si>
    <t>2026-05-26 08:32:45</t>
  </si>
  <si>
    <t>27646631754</t>
  </si>
  <si>
    <t>14301418</t>
  </si>
  <si>
    <t>434019dc-d976-43c0-bd92-bbe802998349</t>
  </si>
  <si>
    <t>27714040689</t>
  </si>
  <si>
    <t>2026-05-26 08:32:38</t>
  </si>
  <si>
    <t>14301168</t>
  </si>
  <si>
    <t>6832bdea-5e38-4b47-8a09-b3b962e580d9</t>
  </si>
  <si>
    <t>2026-05-26 08:32:32</t>
  </si>
  <si>
    <t>27760723061</t>
  </si>
  <si>
    <t>14301148</t>
  </si>
  <si>
    <t>298c2eea-b51e-4334-9fc3-1cd77b2d6e4a</t>
  </si>
  <si>
    <t>2026-05-26 08:32:28</t>
  </si>
  <si>
    <t>27761342908</t>
  </si>
  <si>
    <t>14301279</t>
  </si>
  <si>
    <t>ccb456b0-e04f-4247-b1a5-1c18cb827c42</t>
  </si>
  <si>
    <t>27607070553</t>
  </si>
  <si>
    <t>14301562</t>
  </si>
  <si>
    <t>7874e315-19a1-4a2a-b292-5b6028405437</t>
  </si>
  <si>
    <t>27724758301</t>
  </si>
  <si>
    <t>14301144</t>
  </si>
  <si>
    <t>94cfaeae-3d5b-4cde-8c74-1f7dad65cdfb</t>
  </si>
  <si>
    <t>2026-05-26 08:32:27</t>
  </si>
  <si>
    <t>27722957105</t>
  </si>
  <si>
    <t>14301261</t>
  </si>
  <si>
    <t>7f7a68b0-95e6-4d2a-a99b-da98d26b99a5</t>
  </si>
  <si>
    <t>27637910964</t>
  </si>
  <si>
    <t>14301206</t>
  </si>
  <si>
    <t>edfbfafc-8586-4a35-96aa-0c969f5237ce</t>
  </si>
  <si>
    <t>27799938943</t>
  </si>
  <si>
    <t>2026-05-26 08:32:26</t>
  </si>
  <si>
    <t>14301270</t>
  </si>
  <si>
    <t>45d15ba4-9738-4338-bee3-14ddd0cd8e05</t>
  </si>
  <si>
    <t>2026-05-26 08:32:07</t>
  </si>
  <si>
    <t>27729332520</t>
  </si>
  <si>
    <t>14301139</t>
  </si>
  <si>
    <t>3bff1fee-1804-4943-9829-27472cdf1fce</t>
  </si>
  <si>
    <t>2026-05-26 08:32:05</t>
  </si>
  <si>
    <t>27828353022</t>
  </si>
  <si>
    <t>14301149</t>
  </si>
  <si>
    <t>89543a28-a18a-47cf-bafb-a4919533d032</t>
  </si>
  <si>
    <t>27826621636</t>
  </si>
  <si>
    <t>14301437</t>
  </si>
  <si>
    <t>2eef5645-f783-42b6-9e98-e2fc0913ff36</t>
  </si>
  <si>
    <t>27793481697</t>
  </si>
  <si>
    <t>2026-05-26 08:31:28</t>
  </si>
  <si>
    <t>14301231</t>
  </si>
  <si>
    <t>0a223093-3c27-4a29-8ea4-c1704b382510</t>
  </si>
  <si>
    <t>27794150214</t>
  </si>
  <si>
    <t>2026-05-26 08:30:59</t>
  </si>
  <si>
    <t>14301195</t>
  </si>
  <si>
    <t>6eb5a74c-a176-4d76-a1f0-234f2ed195f3</t>
  </si>
  <si>
    <t>2026-05-26 08:30:58</t>
  </si>
  <si>
    <t>27820816428</t>
  </si>
  <si>
    <t>14301225</t>
  </si>
  <si>
    <t>4d58cfc5-d26d-4dd9-b66d-9faa3664981e</t>
  </si>
  <si>
    <t>27675617668</t>
  </si>
  <si>
    <t>14301371</t>
  </si>
  <si>
    <t>df8fbd44-47c9-493b-92cf-dd7c27bc46de</t>
  </si>
  <si>
    <t>27647567934</t>
  </si>
  <si>
    <t>14301212</t>
  </si>
  <si>
    <t>8e0bb04e-1669-4da6-9f44-a31d99e4f4a7</t>
  </si>
  <si>
    <t>2026-05-26 08:30:51</t>
  </si>
  <si>
    <t>27675463080</t>
  </si>
  <si>
    <t>14301215</t>
  </si>
  <si>
    <t>ed833e9e-c8ad-4b0c-bb36-cd50e5767cb8</t>
  </si>
  <si>
    <t>2026-05-26 08:30:38</t>
  </si>
  <si>
    <t>27720533493</t>
  </si>
  <si>
    <t>14301340</t>
  </si>
  <si>
    <t>16fae6cb-3c71-43f9-902b-f02d8f7e7b49</t>
  </si>
  <si>
    <t>27791531658</t>
  </si>
  <si>
    <t>14301588</t>
  </si>
  <si>
    <t>77f84a4a-8a7b-4cb0-8e27-d35ffa6b27a0</t>
  </si>
  <si>
    <t>27799481003</t>
  </si>
  <si>
    <t>14301175</t>
  </si>
  <si>
    <t>31e2a235-3bc4-419a-a4a2-3464d3d91f5c</t>
  </si>
  <si>
    <t>2026-05-26 08:30:34</t>
  </si>
  <si>
    <t>27822020140</t>
  </si>
  <si>
    <t>14301276</t>
  </si>
  <si>
    <t>75f4ed24-2728-4945-8f64-51851a5e7296</t>
  </si>
  <si>
    <t>2026-05-26 08:30:31</t>
  </si>
  <si>
    <t>27828457579</t>
  </si>
  <si>
    <t>14301170</t>
  </si>
  <si>
    <t>37aaddc2-a59b-4a93-858d-67fdb04c9054</t>
  </si>
  <si>
    <t>2026-05-26 08:30:24</t>
  </si>
  <si>
    <t>27825470603</t>
  </si>
  <si>
    <t>14301453</t>
  </si>
  <si>
    <t>8bb07e6f-733f-4a6f-978f-adefffb8ebbc</t>
  </si>
  <si>
    <t>2026-05-26 08:30:12</t>
  </si>
  <si>
    <t>27723855257</t>
  </si>
  <si>
    <t>14301202</t>
  </si>
  <si>
    <t>913d2b57-e34a-464b-9987-87ef13541b90</t>
  </si>
  <si>
    <t>2026-05-26 08:30:11</t>
  </si>
  <si>
    <t>27729134269</t>
  </si>
  <si>
    <t>14301232</t>
  </si>
  <si>
    <t>e2576ff0-a68b-4d85-9a84-c0232f9442d1</t>
  </si>
  <si>
    <t>27769398747</t>
  </si>
  <si>
    <t>2026-05-26 08:30:00</t>
  </si>
  <si>
    <t>14301280</t>
  </si>
  <si>
    <t>01576a5b-c753-4b4f-8708-be532817e0c6</t>
  </si>
  <si>
    <t>2026-05-26 08:29:59</t>
  </si>
  <si>
    <t>27793738141</t>
  </si>
  <si>
    <t>14301162</t>
  </si>
  <si>
    <t>f4b31def-2368-4a0a-bfa3-ba0b7a83d21f</t>
  </si>
  <si>
    <t>27785680597</t>
  </si>
  <si>
    <t>14301176</t>
  </si>
  <si>
    <t>3763a3e4-9220-4bc0-8420-405bbea4f79d</t>
  </si>
  <si>
    <t>27797373883</t>
  </si>
  <si>
    <t>14301165</t>
  </si>
  <si>
    <t>2bb4d237-f51f-469b-88bc-50f2daf33789</t>
  </si>
  <si>
    <t>2026-05-26 08:27:49</t>
  </si>
  <si>
    <t>27826476234</t>
  </si>
  <si>
    <t>14301208</t>
  </si>
  <si>
    <t>a503ebbb-a660-4267-96aa-95b1ab40552c</t>
  </si>
  <si>
    <t>2026-05-26 08:27:32</t>
  </si>
  <si>
    <t>27760125428</t>
  </si>
  <si>
    <t>14301196</t>
  </si>
  <si>
    <t>91fb568a-d353-4f56-9f85-d35ed09d79b6</t>
  </si>
  <si>
    <t>2026-05-26 08:27:18</t>
  </si>
  <si>
    <t>27767561162</t>
  </si>
  <si>
    <t>14301287</t>
  </si>
  <si>
    <t>8639bd4a-70e0-49d2-85bf-78ee1d5d1799</t>
  </si>
  <si>
    <t>27822612862</t>
  </si>
  <si>
    <t>14301172</t>
  </si>
  <si>
    <t>3d5d6961-be75-4792-9122-cb07618de657</t>
  </si>
  <si>
    <t>27724909040</t>
  </si>
  <si>
    <t>14301236</t>
  </si>
  <si>
    <t>93e8b4e4-684f-431b-9971-c15eddd92f15</t>
  </si>
  <si>
    <t>27762047417</t>
  </si>
  <si>
    <t>14301346</t>
  </si>
  <si>
    <t>b26c3a75-583c-49db-9c3d-5068f6718b82</t>
  </si>
  <si>
    <t>27725377476</t>
  </si>
  <si>
    <t>2026-05-26 08:16:48</t>
  </si>
  <si>
    <t>14301200</t>
  </si>
  <si>
    <t>5156696e-5482-4722-9c03-8d121acec57a</t>
  </si>
  <si>
    <t>2026-05-26 08:14:46</t>
  </si>
  <si>
    <t>27764783255</t>
  </si>
  <si>
    <t>14301178</t>
  </si>
  <si>
    <t>ebefced5-da29-4ec1-a0c3-d580b1fe0dca</t>
  </si>
  <si>
    <t>27825005923</t>
  </si>
  <si>
    <t>14301296</t>
  </si>
  <si>
    <t>84ee73dd-0387-4781-bce5-05e86fe60e37</t>
  </si>
  <si>
    <t>27663262494</t>
  </si>
  <si>
    <t>14301238</t>
  </si>
  <si>
    <t>a04b256d-5b4c-4589-80ff-7060ad61c3d6</t>
  </si>
  <si>
    <t>27647676012</t>
  </si>
  <si>
    <t>14301291</t>
  </si>
  <si>
    <t>27804189-6923-4a6c-a676-65f316d7b2a1</t>
  </si>
  <si>
    <t>2026-05-26 08:13:18</t>
  </si>
  <si>
    <t>27829725582</t>
  </si>
  <si>
    <t>14301203</t>
  </si>
  <si>
    <t>25befe62-30b9-4b2a-a92b-c56715499679</t>
  </si>
  <si>
    <t>27768376659</t>
  </si>
  <si>
    <t>2026-05-26 08:13:12</t>
  </si>
  <si>
    <t>14301465</t>
  </si>
  <si>
    <t>daac3a35-dd63-4cf5-8507-38292cd72849</t>
  </si>
  <si>
    <t>27760693552</t>
  </si>
  <si>
    <t>2026-05-26 08:13:08</t>
  </si>
  <si>
    <t>14301223</t>
  </si>
  <si>
    <t>b0a5c7e5-ef88-48e8-83c6-698826bd8eac</t>
  </si>
  <si>
    <t>2026-05-26 08:13:06</t>
  </si>
  <si>
    <t>27715106479</t>
  </si>
  <si>
    <t>14301256</t>
  </si>
  <si>
    <t>1f5a773d-dacc-44f7-86e5-9727c7580161</t>
  </si>
  <si>
    <t>2026-05-26 08:13:05</t>
  </si>
  <si>
    <t>27664938530</t>
  </si>
  <si>
    <t>14301199</t>
  </si>
  <si>
    <t>68d4df90-d254-469e-a16b-85c22efb9142</t>
  </si>
  <si>
    <t>2026-05-26 08:13:04</t>
  </si>
  <si>
    <t>27729299005</t>
  </si>
  <si>
    <t>14301209</t>
  </si>
  <si>
    <t>a46b4283-bccd-42da-a61e-cc444264fe24</t>
  </si>
  <si>
    <t>27826712836</t>
  </si>
  <si>
    <t>14301314</t>
  </si>
  <si>
    <t>c9d3643e-ebf5-431e-a386-900ceb2dd3c6</t>
  </si>
  <si>
    <t>27795867392</t>
  </si>
  <si>
    <t>14301485</t>
  </si>
  <si>
    <t>7c0647f7-50af-4a5a-952f-118de3e3d585</t>
  </si>
  <si>
    <t>2026-05-26 08:11:23</t>
  </si>
  <si>
    <t>27674538934</t>
  </si>
  <si>
    <t>14301228</t>
  </si>
  <si>
    <t>51b60132-1925-49c9-8bbf-8141c725f5ac</t>
  </si>
  <si>
    <t>27792568655</t>
  </si>
  <si>
    <t>2026-05-26 08:11:20</t>
  </si>
  <si>
    <t>14301205</t>
  </si>
  <si>
    <t>167ca300-8279-4c37-8559-cc05fc1550e8</t>
  </si>
  <si>
    <t>2026-05-26 08:11:18</t>
  </si>
  <si>
    <t>27732154040</t>
  </si>
  <si>
    <t>14301216</t>
  </si>
  <si>
    <t>06c521cd-0848-48c7-a894-28a2fff8ce92</t>
  </si>
  <si>
    <t>27674522679</t>
  </si>
  <si>
    <t>14301260</t>
  </si>
  <si>
    <t>b01429b3-276b-40dc-87b9-e760630ad275</t>
  </si>
  <si>
    <t>27825817815</t>
  </si>
  <si>
    <t>14301323</t>
  </si>
  <si>
    <t>6d09606d-6963-4b37-8f4f-ae2d20352661</t>
  </si>
  <si>
    <t>27729847749</t>
  </si>
  <si>
    <t>14301222</t>
  </si>
  <si>
    <t>5b29e689-d84c-40ec-8f04-9c1a3e7133e9</t>
  </si>
  <si>
    <t>27795758445</t>
  </si>
  <si>
    <t>2026-05-26 08:09:08</t>
  </si>
  <si>
    <t>14301431</t>
  </si>
  <si>
    <t>d5904be1-0cd1-4f00-95c6-2355ac4f1d65</t>
  </si>
  <si>
    <t>27792056770</t>
  </si>
  <si>
    <t>2026-05-26 08:08:14</t>
  </si>
  <si>
    <t>14301207</t>
  </si>
  <si>
    <t>32232c92-3101-49c5-af4b-2f7f8b56a46d</t>
  </si>
  <si>
    <t>2026-05-26 08:08:08</t>
  </si>
  <si>
    <t>27664509622</t>
  </si>
  <si>
    <t>14301218</t>
  </si>
  <si>
    <t>3471ddb9-e759-4fd0-aba8-72cef86823f7</t>
  </si>
  <si>
    <t>27714598230</t>
  </si>
  <si>
    <t>14301217</t>
  </si>
  <si>
    <t>780c5cc4-a8b2-43e1-8c69-ca92cc3e5c9d</t>
  </si>
  <si>
    <t>27674529067</t>
  </si>
  <si>
    <t>2026-05-26 08:07:04</t>
  </si>
  <si>
    <t>14301234</t>
  </si>
  <si>
    <t>58f769f3-07c4-4864-b881-3e7db8313c06</t>
  </si>
  <si>
    <t>2026-05-26 08:06:52</t>
  </si>
  <si>
    <t>27663046454</t>
  </si>
  <si>
    <t>14301321</t>
  </si>
  <si>
    <t>78125da6-6f92-4fc1-840b-f44eb9b1fbe9</t>
  </si>
  <si>
    <t>27725171323</t>
  </si>
  <si>
    <t>14301512</t>
  </si>
  <si>
    <t>608303bd-7c01-4842-abbe-eb37d09a997f</t>
  </si>
  <si>
    <t>27711876613</t>
  </si>
  <si>
    <t>14301325</t>
  </si>
  <si>
    <t>306d5356-3ac6-4efc-9255-7caee41dbc97</t>
  </si>
  <si>
    <t>2026-05-26 08:06:49</t>
  </si>
  <si>
    <t>27729214251</t>
  </si>
  <si>
    <t>14301269</t>
  </si>
  <si>
    <t>bccf6fed-5de3-42e6-ac7d-88ca46d7b9f2</t>
  </si>
  <si>
    <t>27769949252</t>
  </si>
  <si>
    <t>14301226</t>
  </si>
  <si>
    <t>a4ff07c1-cd69-4812-b18a-bda6274270af</t>
  </si>
  <si>
    <t>2026-05-26 08:06:48</t>
  </si>
  <si>
    <t>27827574261</t>
  </si>
  <si>
    <t>14301221</t>
  </si>
  <si>
    <t>01481e99-d300-445c-89f4-d67164c93788</t>
  </si>
  <si>
    <t>27665145287</t>
  </si>
  <si>
    <t>2026-05-26 08:05:33</t>
  </si>
  <si>
    <t>14301679</t>
  </si>
  <si>
    <t>b3d4370b-7f9f-490d-9d4b-e2047ce66652</t>
  </si>
  <si>
    <t>27794737268</t>
  </si>
  <si>
    <t>2026-05-26 08:05:08</t>
  </si>
  <si>
    <t>14301229</t>
  </si>
  <si>
    <t>973fc3c2-3fbb-434a-aa58-96c7f2067a92</t>
  </si>
  <si>
    <t>2026-05-26 08:04:45</t>
  </si>
  <si>
    <t>27825759204</t>
  </si>
  <si>
    <t>14301252</t>
  </si>
  <si>
    <t>a0f43b53-2cf8-4cc2-9b5e-f3609d73ba58</t>
  </si>
  <si>
    <t>2026-05-26 08:04:25</t>
  </si>
  <si>
    <t>27765300201</t>
  </si>
  <si>
    <t>14301267</t>
  </si>
  <si>
    <t>3cd234e4-420a-489a-a15d-34d7c63040b0</t>
  </si>
  <si>
    <t>27726144716</t>
  </si>
  <si>
    <t>14301244</t>
  </si>
  <si>
    <t>5c114856-b223-4fd9-9f55-4bcc9bfaaadb</t>
  </si>
  <si>
    <t>2026-05-26 08:04:23</t>
  </si>
  <si>
    <t>27823480495</t>
  </si>
  <si>
    <t>14301268</t>
  </si>
  <si>
    <t>bfbcc4ed-1dac-4f4a-98d7-ff098728d107</t>
  </si>
  <si>
    <t>27768293052</t>
  </si>
  <si>
    <t>14301488</t>
  </si>
  <si>
    <t>abd16d9f-941c-4e0e-a27a-92c9011a8e6c</t>
  </si>
  <si>
    <t>27729600067</t>
  </si>
  <si>
    <t>14301290</t>
  </si>
  <si>
    <t>9891c92d-00ea-498c-aa83-9c3eb305fd7f</t>
  </si>
  <si>
    <t>27712303295</t>
  </si>
  <si>
    <t>2026-05-26 08:03:28</t>
  </si>
  <si>
    <t>14301382</t>
  </si>
  <si>
    <t>784496b9-78e0-4535-b2dc-1376142cf279</t>
  </si>
  <si>
    <t>2026-05-26 08:03:09</t>
  </si>
  <si>
    <t>27636589497</t>
  </si>
  <si>
    <t>14301246</t>
  </si>
  <si>
    <t>db444d4c-f817-4c0a-b388-01d03f86395d</t>
  </si>
  <si>
    <t>2026-05-26 08:03:08</t>
  </si>
  <si>
    <t>27834204841</t>
  </si>
  <si>
    <t>14301240</t>
  </si>
  <si>
    <t>6b86d685-1e06-44bb-b607-9c531af3948d</t>
  </si>
  <si>
    <t>27795351495</t>
  </si>
  <si>
    <t>2026-05-26 08:02:54</t>
  </si>
  <si>
    <t>14301343</t>
  </si>
  <si>
    <t>e184c0b8-2481-433e-98a3-0b57de7861cf</t>
  </si>
  <si>
    <t>27761653013</t>
  </si>
  <si>
    <t>14301534</t>
  </si>
  <si>
    <t>3ec1ea1c-47bd-4b57-8f29-e73058c95a53</t>
  </si>
  <si>
    <t>2026-05-26 08:02:53</t>
  </si>
  <si>
    <t>27765315107</t>
  </si>
  <si>
    <t>14301440</t>
  </si>
  <si>
    <t>0f23b18a-d142-479b-b059-bf8c4e3a5392</t>
  </si>
  <si>
    <t>27721020786</t>
  </si>
  <si>
    <t>2026-05-26 08:02:48</t>
  </si>
  <si>
    <t>14301259</t>
  </si>
  <si>
    <t>318d2c26-2dfa-47b1-93a2-9d987bb28ce8</t>
  </si>
  <si>
    <t>2026-05-26 08:02:21</t>
  </si>
  <si>
    <t>27646619939</t>
  </si>
  <si>
    <t>14301235</t>
  </si>
  <si>
    <t>4a78c15e-1361-4ffd-a70f-aebdec2bc44c</t>
  </si>
  <si>
    <t>2026-05-26 08:02:18</t>
  </si>
  <si>
    <t>27721983766</t>
  </si>
  <si>
    <t>14301247</t>
  </si>
  <si>
    <t>b24e1a2a-c23b-4eff-8dd5-46cc50574958</t>
  </si>
  <si>
    <t>27726230733</t>
  </si>
  <si>
    <t>14301278</t>
  </si>
  <si>
    <t>aeb0cc2b-9c9b-4d82-912b-5092b50d9136</t>
  </si>
  <si>
    <t>27636486532</t>
  </si>
  <si>
    <t>14301286</t>
  </si>
  <si>
    <t>97cce9ca-06e3-4b42-9794-86cf2ebee6ac</t>
  </si>
  <si>
    <t>2026-05-26 08:02:13</t>
  </si>
  <si>
    <t>27812596948</t>
  </si>
  <si>
    <t>14301364</t>
  </si>
  <si>
    <t>644dcb19-fd87-4ba1-91b3-2f134bd0e9e0</t>
  </si>
  <si>
    <t>27727683343</t>
  </si>
  <si>
    <t>2026-05-26 08:02:12</t>
  </si>
  <si>
    <t>14301241</t>
  </si>
  <si>
    <t>2f82fa27-b145-4bb0-9fd1-2ffbfd284930</t>
  </si>
  <si>
    <t>2026-05-26 08:01:40</t>
  </si>
  <si>
    <t>27609001806</t>
  </si>
  <si>
    <t>14301254</t>
  </si>
  <si>
    <t>c287a268-7139-4d93-a973-d9e86da0aa1e</t>
  </si>
  <si>
    <t>2026-05-26 08:00:55</t>
  </si>
  <si>
    <t>27766329939</t>
  </si>
  <si>
    <t>14301524</t>
  </si>
  <si>
    <t>ce994dc0-fa95-421e-bf8b-b6fc4d613aff</t>
  </si>
  <si>
    <t>27648840805</t>
  </si>
  <si>
    <t>2026-05-26 08:00:53</t>
  </si>
  <si>
    <t>14301367</t>
  </si>
  <si>
    <t>06696ae5-a24e-467e-8321-3c4eba84f8db</t>
  </si>
  <si>
    <t>2026-05-26 08:00:52</t>
  </si>
  <si>
    <t>27794269245</t>
  </si>
  <si>
    <t>14301282</t>
  </si>
  <si>
    <t>553673de-95e9-4c95-ad92-d7a6e2134227</t>
  </si>
  <si>
    <t>27712265960</t>
  </si>
  <si>
    <t>2026-05-26 08:00:50</t>
  </si>
  <si>
    <t>14301288</t>
  </si>
  <si>
    <t>b1403ad0-d251-49e3-9177-7fc94dbb45d6</t>
  </si>
  <si>
    <t>2026-05-26 08:00:47</t>
  </si>
  <si>
    <t>27663289246</t>
  </si>
  <si>
    <t>14301315</t>
  </si>
  <si>
    <t>f43aca5f-16f2-4c24-90c8-06c22a3a850f</t>
  </si>
  <si>
    <t>27827652238</t>
  </si>
  <si>
    <t>14301405</t>
  </si>
  <si>
    <t>a15ac660-9c90-4e3b-b4a6-bd61e20e902b</t>
  </si>
  <si>
    <t>2026-05-26 08:00:43</t>
  </si>
  <si>
    <t>27636363511</t>
  </si>
  <si>
    <t>14301411</t>
  </si>
  <si>
    <t>d1c53c69-7ebc-455d-9568-533335b21ad6</t>
  </si>
  <si>
    <t>27797215961</t>
  </si>
  <si>
    <t>14301407</t>
  </si>
  <si>
    <t>db8a4126-5916-46f4-ae5f-e8b489c48cf9</t>
  </si>
  <si>
    <t>2026-05-26 08:00:42</t>
  </si>
  <si>
    <t>27797078255</t>
  </si>
  <si>
    <t>14301506</t>
  </si>
  <si>
    <t>0b432339-d529-4e24-921c-c76ab4f319d5</t>
  </si>
  <si>
    <t>27798242320</t>
  </si>
  <si>
    <t>2026-05-26 08:00:41</t>
  </si>
  <si>
    <t>14301471</t>
  </si>
  <si>
    <t>398d6ddf-7c03-4486-90e7-5b45fd2245fa</t>
  </si>
  <si>
    <t>2026-05-26 08:00:39</t>
  </si>
  <si>
    <t>27761535312</t>
  </si>
  <si>
    <t>14301478</t>
  </si>
  <si>
    <t>4c1ad2ed-4166-4462-9122-684129060734</t>
  </si>
  <si>
    <t>27637964121</t>
  </si>
  <si>
    <t>14301658</t>
  </si>
  <si>
    <t>41d17a30-bac6-4b06-845e-7e0fb5cfde12</t>
  </si>
  <si>
    <t>27713509928</t>
  </si>
  <si>
    <t>14301353</t>
  </si>
  <si>
    <t>dbd4c564-9778-4e01-a407-0c164628ab13</t>
  </si>
  <si>
    <t>2026-05-26 08:00:38</t>
  </si>
  <si>
    <t>27726771312</t>
  </si>
  <si>
    <t>14301447</t>
  </si>
  <si>
    <t>ecea442a-8dc5-4798-8b4f-19aadaa208e3</t>
  </si>
  <si>
    <t>27762035554</t>
  </si>
  <si>
    <t>2026-05-26 08:00:37</t>
  </si>
  <si>
    <t>14301345</t>
  </si>
  <si>
    <t>381438b3-ae04-4553-9f26-019831283f92</t>
  </si>
  <si>
    <t>2026-05-26 08:00:34</t>
  </si>
  <si>
    <t>27660750407</t>
  </si>
  <si>
    <t>14301313</t>
  </si>
  <si>
    <t>38cdff1e-9270-4b15-8238-f28d9f41fda8</t>
  </si>
  <si>
    <t>2026-05-26 08:00:21</t>
  </si>
  <si>
    <t>27792321345</t>
  </si>
  <si>
    <t>14301292</t>
  </si>
  <si>
    <t>31cbd36a-d816-4c51-9635-a08b3e3e2233</t>
  </si>
  <si>
    <t>2026-05-26 08:00:20</t>
  </si>
  <si>
    <t>27636864900</t>
  </si>
  <si>
    <t>14301536</t>
  </si>
  <si>
    <t>ba3a1ae1-107e-4736-853b-c234bbdd6047</t>
  </si>
  <si>
    <t>27769488195</t>
  </si>
  <si>
    <t>14301716</t>
  </si>
  <si>
    <t>8a9f74c5-0b81-426a-9de8-56fa4e1bf4fe</t>
  </si>
  <si>
    <t>27818471307</t>
  </si>
  <si>
    <t>2026-05-26 07:59:43</t>
  </si>
  <si>
    <t>14301339</t>
  </si>
  <si>
    <t>97b29ac0-e0d6-475d-99d4-62805b9fc881</t>
  </si>
  <si>
    <t>27823524157</t>
  </si>
  <si>
    <t>2026-05-26 07:59:33</t>
  </si>
  <si>
    <t>14301399</t>
  </si>
  <si>
    <t>83ddf698-5a78-4925-a12e-3bfde614a9e2</t>
  </si>
  <si>
    <t>27729699881</t>
  </si>
  <si>
    <t>2026-05-26 07:59:04</t>
  </si>
  <si>
    <t>14301336</t>
  </si>
  <si>
    <t>11ceac92-3ccd-408d-91c9-b2ae4453a267</t>
  </si>
  <si>
    <t>2026-05-26 07:58:52</t>
  </si>
  <si>
    <t>27714635413</t>
  </si>
  <si>
    <t>14301380</t>
  </si>
  <si>
    <t>67846462-8632-482f-9740-fdeb1313bcb8</t>
  </si>
  <si>
    <t>27763835332</t>
  </si>
  <si>
    <t>2026-05-26 07:58:40</t>
  </si>
  <si>
    <t>14301293</t>
  </si>
  <si>
    <t>a53bfaaf-0b3a-4391-9aa1-abba669898e0</t>
  </si>
  <si>
    <t>27767938670</t>
  </si>
  <si>
    <t>2026-05-26 07:58:38</t>
  </si>
  <si>
    <t>14301320</t>
  </si>
  <si>
    <t>d13f6d00-393b-438a-a5af-cfac1952ff14</t>
  </si>
  <si>
    <t>2026-05-26 07:58:34</t>
  </si>
  <si>
    <t>27818673120</t>
  </si>
  <si>
    <t>14301561</t>
  </si>
  <si>
    <t>5cb84885-5c58-4d16-bc86-3debd611e00b</t>
  </si>
  <si>
    <t>27715635885</t>
  </si>
  <si>
    <t>14301284</t>
  </si>
  <si>
    <t>eca3f95c-4de9-4847-a2ab-897738eceaad</t>
  </si>
  <si>
    <t>2026-05-26 07:58:31</t>
  </si>
  <si>
    <t>27820540765</t>
  </si>
  <si>
    <t>14301294</t>
  </si>
  <si>
    <t>7d80bf23-5346-4291-a254-adb357cec704</t>
  </si>
  <si>
    <t>27714447300</t>
  </si>
  <si>
    <t>14301408</t>
  </si>
  <si>
    <t>a953df93-5505-4588-b6f2-9e92461dcc6e</t>
  </si>
  <si>
    <t>27725602757</t>
  </si>
  <si>
    <t>14301357</t>
  </si>
  <si>
    <t>39210e45-16d1-4763-b588-dc0a38a27351</t>
  </si>
  <si>
    <t>2026-05-26 07:57:13</t>
  </si>
  <si>
    <t>27729457819</t>
  </si>
  <si>
    <t>14301365</t>
  </si>
  <si>
    <t>0f36bcbb-9d6e-402d-a2f5-1a000e8ba5c0</t>
  </si>
  <si>
    <t>27825842422</t>
  </si>
  <si>
    <t>14301329</t>
  </si>
  <si>
    <t>991f7459-e20d-4f88-a4ef-f733579a0729</t>
  </si>
  <si>
    <t>2026-05-26 07:57:12</t>
  </si>
  <si>
    <t>27660932685</t>
  </si>
  <si>
    <t>14301548</t>
  </si>
  <si>
    <t>80934f8a-973a-4a95-b1c6-2aa6543d70a5</t>
  </si>
  <si>
    <t>2026-05-26 07:57:05</t>
  </si>
  <si>
    <t>27716249444</t>
  </si>
  <si>
    <t>14301358</t>
  </si>
  <si>
    <t>b9c5fc04-f48c-4725-8e0c-b7d0898105d4</t>
  </si>
  <si>
    <t>2026-05-26 07:57:04</t>
  </si>
  <si>
    <t>27834976533</t>
  </si>
  <si>
    <t>14301724</t>
  </si>
  <si>
    <t>b6b21e35-d3e2-428b-9efa-39dcc00146e8</t>
  </si>
  <si>
    <t>2026-05-26 07:57:03</t>
  </si>
  <si>
    <t>27765710752</t>
  </si>
  <si>
    <t>14301326</t>
  </si>
  <si>
    <t>2b3a3477-b054-4c91-ac46-4a8c655fbaa9</t>
  </si>
  <si>
    <t>2026-05-26 07:57:02</t>
  </si>
  <si>
    <t>27735459393</t>
  </si>
  <si>
    <t>14301333</t>
  </si>
  <si>
    <t>912c375c-cb81-423d-a9f7-92da4323a480</t>
  </si>
  <si>
    <t>27827793861</t>
  </si>
  <si>
    <t>14301416</t>
  </si>
  <si>
    <t>026b0d12-aed2-4c08-9b0f-01ad863bf92d</t>
  </si>
  <si>
    <t>27791774783</t>
  </si>
  <si>
    <t>14301444</t>
  </si>
  <si>
    <t>a0887ec1-fd84-436c-a42b-3e44cc72efdb</t>
  </si>
  <si>
    <t>27769558863</t>
  </si>
  <si>
    <t>14301374</t>
  </si>
  <si>
    <t>fd540872-71bf-4ae1-a9c0-8b2ae988da53</t>
  </si>
  <si>
    <t>2026-05-26 07:56:33</t>
  </si>
  <si>
    <t>27794648423</t>
  </si>
  <si>
    <t>14301322</t>
  </si>
  <si>
    <t>e1b016e2-e0e9-4fc2-b407-b6810689179f</t>
  </si>
  <si>
    <t>27712177396</t>
  </si>
  <si>
    <t>2026-05-26 07:56:27</t>
  </si>
  <si>
    <t>14301423</t>
  </si>
  <si>
    <t>459b77ac-e67f-4c83-8019-87013e031d4d</t>
  </si>
  <si>
    <t>27711303990</t>
  </si>
  <si>
    <t>14301335</t>
  </si>
  <si>
    <t>6b60e9b8-cc8a-4c70-9d96-b64fbe6447bf</t>
  </si>
  <si>
    <t>27822192479</t>
  </si>
  <si>
    <t>2026-05-26 07:56:21</t>
  </si>
  <si>
    <t>14301372</t>
  </si>
  <si>
    <t>e52cef8a-231d-4324-b017-fdc5021efd9a</t>
  </si>
  <si>
    <t>2026-05-26 07:55:55</t>
  </si>
  <si>
    <t>27826886581</t>
  </si>
  <si>
    <t>14301568</t>
  </si>
  <si>
    <t>98e85c59-5d87-439b-b5ec-e80c023d18b1</t>
  </si>
  <si>
    <t>27722761284</t>
  </si>
  <si>
    <t>14301781</t>
  </si>
  <si>
    <t>e1e2e77d-2f0a-49f3-bcc3-d688dbecfd6a</t>
  </si>
  <si>
    <t>2026-05-26 07:55:45</t>
  </si>
  <si>
    <t>27724631828</t>
  </si>
  <si>
    <t>14301462</t>
  </si>
  <si>
    <t>7d77887f-9189-4257-ad8c-49b78edc3a4c</t>
  </si>
  <si>
    <t>27727766272</t>
  </si>
  <si>
    <t>2026-05-26 07:55:44</t>
  </si>
  <si>
    <t>14301347</t>
  </si>
  <si>
    <t>1df75bab-9a4b-4b67-8768-f90b3cf5010c</t>
  </si>
  <si>
    <t>2026-05-26 07:55:43</t>
  </si>
  <si>
    <t>27732155033</t>
  </si>
  <si>
    <t>14301350</t>
  </si>
  <si>
    <t>6af70c3e-cd7d-4a18-83fe-3564567d0814</t>
  </si>
  <si>
    <t>27727210352</t>
  </si>
  <si>
    <t>14301363</t>
  </si>
  <si>
    <t>d6d749e7-4529-43db-9afe-49d3a6461f19</t>
  </si>
  <si>
    <t>27798492798</t>
  </si>
  <si>
    <t>14301435</t>
  </si>
  <si>
    <t>5c9f894a-4362-467a-965f-e27a058c8762</t>
  </si>
  <si>
    <t>27790281569</t>
  </si>
  <si>
    <t>14301632</t>
  </si>
  <si>
    <t>c45e3fd1-e612-4f15-8629-d4e98106952f</t>
  </si>
  <si>
    <t>27768869845</t>
  </si>
  <si>
    <t>14301395</t>
  </si>
  <si>
    <t>614bf71b-28a9-4c3a-bccc-507d3c9d5b0a</t>
  </si>
  <si>
    <t>2026-05-26 07:55:40</t>
  </si>
  <si>
    <t>27818501169</t>
  </si>
  <si>
    <t>14301342</t>
  </si>
  <si>
    <t>bc1e3d8d-b552-4422-a3af-c7c174784113</t>
  </si>
  <si>
    <t>2026-05-26 07:55:33</t>
  </si>
  <si>
    <t>27828914483</t>
  </si>
  <si>
    <t>14301351</t>
  </si>
  <si>
    <t>49fbc7cd-d67e-4aa5-bdd5-160ab4d899af</t>
  </si>
  <si>
    <t>27762620949</t>
  </si>
  <si>
    <t>14301775</t>
  </si>
  <si>
    <t>8d5255b1-9b86-4249-8a8b-24dda4a17e06</t>
  </si>
  <si>
    <t>2026-05-26 07:54:43</t>
  </si>
  <si>
    <t>27773622767</t>
  </si>
  <si>
    <t>14301414</t>
  </si>
  <si>
    <t>1b63dd8d-f8fe-4698-b055-671b1e4dfa93</t>
  </si>
  <si>
    <t>2026-05-26 07:54:29</t>
  </si>
  <si>
    <t>27711989712</t>
  </si>
  <si>
    <t>14301528</t>
  </si>
  <si>
    <t>44ebdc3b-d81a-4c2f-9713-985dc827978a</t>
  </si>
  <si>
    <t>2026-05-26 07:54:20</t>
  </si>
  <si>
    <t>27660007127</t>
  </si>
  <si>
    <t>14301409</t>
  </si>
  <si>
    <t>5ecdce2d-9856-43cf-8220-0cfc665979dd</t>
  </si>
  <si>
    <t>2026-05-26 07:54:14</t>
  </si>
  <si>
    <t>27826934695</t>
  </si>
  <si>
    <t>14301386</t>
  </si>
  <si>
    <t>65871424-8a17-4013-a2b5-9bd38461af6a</t>
  </si>
  <si>
    <t>27729516450</t>
  </si>
  <si>
    <t>2026-05-26 07:54:12</t>
  </si>
  <si>
    <t>14301379</t>
  </si>
  <si>
    <t>78ce8e3e-d259-4a00-993a-ae9c618acba7</t>
  </si>
  <si>
    <t>2026-05-26 07:54:10</t>
  </si>
  <si>
    <t>27721595554</t>
  </si>
  <si>
    <t>14301401</t>
  </si>
  <si>
    <t>9d45196d-6303-4e1e-a2f6-a13944451116</t>
  </si>
  <si>
    <t>27637980888</t>
  </si>
  <si>
    <t>14301404</t>
  </si>
  <si>
    <t>1e30578f-4203-439d-99f1-71fdd457ef0f</t>
  </si>
  <si>
    <t>27797398481</t>
  </si>
  <si>
    <t>14301634</t>
  </si>
  <si>
    <t>461e9efa-c604-4c86-baf9-0054e5983656</t>
  </si>
  <si>
    <t>27712752698</t>
  </si>
  <si>
    <t>14301827</t>
  </si>
  <si>
    <t>8ee6e149-ec5a-4d39-86fd-edab396b614d</t>
  </si>
  <si>
    <t>2026-05-26 07:54:09</t>
  </si>
  <si>
    <t>27714030461</t>
  </si>
  <si>
    <t>14301494</t>
  </si>
  <si>
    <t>c92e1974-1de2-4722-b762-8bedf3a69825</t>
  </si>
  <si>
    <t>2026-05-26 07:54:01</t>
  </si>
  <si>
    <t>27761888638</t>
  </si>
  <si>
    <t>14301375</t>
  </si>
  <si>
    <t>ce021078-669f-4892-8c22-fe23be0b64c1</t>
  </si>
  <si>
    <t>2026-05-26 07:53:55</t>
  </si>
  <si>
    <t>27764459124</t>
  </si>
  <si>
    <t>14301394</t>
  </si>
  <si>
    <t>83962490-a4f3-49be-b55f-087cc8bc6221</t>
  </si>
  <si>
    <t>27768059695</t>
  </si>
  <si>
    <t>14301685</t>
  </si>
  <si>
    <t>47af5cc1-9ab0-4716-a87e-d98943c70002</t>
  </si>
  <si>
    <t>27826726516</t>
  </si>
  <si>
    <t>14301381</t>
  </si>
  <si>
    <t>84e0f69e-07c8-4c52-9da3-94fbf33668f2</t>
  </si>
  <si>
    <t>2026-05-26 07:53:54</t>
  </si>
  <si>
    <t>27760341591</t>
  </si>
  <si>
    <t>14301469</t>
  </si>
  <si>
    <t>4056e426-7afb-44dd-8756-7135d37954ec</t>
  </si>
  <si>
    <t>27721170858</t>
  </si>
  <si>
    <t>14301415</t>
  </si>
  <si>
    <t>b418fa72-7842-4344-91da-2ca719f3df85</t>
  </si>
  <si>
    <t>27609279898</t>
  </si>
  <si>
    <t>14301370</t>
  </si>
  <si>
    <t>e4314e68-166c-47e0-9dab-463f51cba627</t>
  </si>
  <si>
    <t>27648147005</t>
  </si>
  <si>
    <t>14301510</t>
  </si>
  <si>
    <t>fd937008-30ce-4d5d-8597-cea945dbba34</t>
  </si>
  <si>
    <t>27795496840</t>
  </si>
  <si>
    <t>2026-05-26 07:53:20</t>
  </si>
  <si>
    <t>14301509</t>
  </si>
  <si>
    <t>7e332a17-203b-43f7-ab97-c720184373b0</t>
  </si>
  <si>
    <t>2026-05-26 07:52:50</t>
  </si>
  <si>
    <t>27791922380</t>
  </si>
  <si>
    <t>14301392</t>
  </si>
  <si>
    <t>b39bc757-4643-4594-b553-28e9187cc905</t>
  </si>
  <si>
    <t>27720114373</t>
  </si>
  <si>
    <t>2026-05-26 07:52:49</t>
  </si>
  <si>
    <t>14301470</t>
  </si>
  <si>
    <t>adb64b3c-8e23-42e2-a4ac-89e6c46eaab3</t>
  </si>
  <si>
    <t>27798644889</t>
  </si>
  <si>
    <t>14301389</t>
  </si>
  <si>
    <t>bc2a9619-d350-4471-a675-f5d9a7c3d940</t>
  </si>
  <si>
    <t>2026-05-26 07:52:48</t>
  </si>
  <si>
    <t>27727935768</t>
  </si>
  <si>
    <t>14301403</t>
  </si>
  <si>
    <t>2e7674eb-a9f7-41b1-bc40-eb421f914d08</t>
  </si>
  <si>
    <t>27649882907</t>
  </si>
  <si>
    <t>14301688</t>
  </si>
  <si>
    <t>6d0b45e3-7a40-48b7-ac7d-f2375f40953c</t>
  </si>
  <si>
    <t>27711133980</t>
  </si>
  <si>
    <t>14301427</t>
  </si>
  <si>
    <t>0b07ea72-ad72-4109-af4f-720362dcd79d</t>
  </si>
  <si>
    <t>2026-05-26 07:52:37</t>
  </si>
  <si>
    <t>27646745222</t>
  </si>
  <si>
    <t>14301383</t>
  </si>
  <si>
    <t>c758b07b-9816-4500-8eb3-5f8f1ce023ae</t>
  </si>
  <si>
    <t>2026-05-26 07:52:34</t>
  </si>
  <si>
    <t>27798459804</t>
  </si>
  <si>
    <t>14301393</t>
  </si>
  <si>
    <t>14b6fc7d-e404-41c2-a5b3-e7c59144375d</t>
  </si>
  <si>
    <t>27661285197</t>
  </si>
  <si>
    <t>14301483</t>
  </si>
  <si>
    <t>04cfe152-2cc5-42bc-8402-b577972ecad3</t>
  </si>
  <si>
    <t>27766278545</t>
  </si>
  <si>
    <t>14301648</t>
  </si>
  <si>
    <t>fbcb65e3-e2b5-408d-b068-7881b1422159</t>
  </si>
  <si>
    <t>27795099840</t>
  </si>
  <si>
    <t>2026-05-26 07:51:37</t>
  </si>
  <si>
    <t>14301599</t>
  </si>
  <si>
    <t>5e410175-d177-4bcb-9a68-8bcc8e461d3d</t>
  </si>
  <si>
    <t>27790854376</t>
  </si>
  <si>
    <t>2026-05-26 07:51:34</t>
  </si>
  <si>
    <t>14301605</t>
  </si>
  <si>
    <t>b7ad0fb9-bb26-4a98-b1b3-9a2fbc42f890</t>
  </si>
  <si>
    <t>2026-05-26 07:51:31</t>
  </si>
  <si>
    <t>27648316871</t>
  </si>
  <si>
    <t>14301799</t>
  </si>
  <si>
    <t>0a392262-e3da-4351-ba3a-b21c99b67375</t>
  </si>
  <si>
    <t>27760313671</t>
  </si>
  <si>
    <t>2026-05-26 07:51:27</t>
  </si>
  <si>
    <t>14301426</t>
  </si>
  <si>
    <t>e0296087-3e1f-41ef-a906-c64d0c7723c9</t>
  </si>
  <si>
    <t>27761118401</t>
  </si>
  <si>
    <t>2026-05-26 07:51:26</t>
  </si>
  <si>
    <t>14301441</t>
  </si>
  <si>
    <t>db242eee-5299-4b8e-8ce2-5501ae546bf2</t>
  </si>
  <si>
    <t>27723754049</t>
  </si>
  <si>
    <t>14301577</t>
  </si>
  <si>
    <t>12138464-43ba-4bd9-9be3-7448281a8f40</t>
  </si>
  <si>
    <t>27712211856</t>
  </si>
  <si>
    <t>14301459</t>
  </si>
  <si>
    <t>5a2610ea-c3a1-4f00-a2c9-24c21e5d96e0</t>
  </si>
  <si>
    <t>27797933454</t>
  </si>
  <si>
    <t>14301419</t>
  </si>
  <si>
    <t>a5ac80a8-52a2-4873-a771-79bccfb5c007</t>
  </si>
  <si>
    <t>2026-05-26 07:51:25</t>
  </si>
  <si>
    <t>27768751348</t>
  </si>
  <si>
    <t>14301442</t>
  </si>
  <si>
    <t>ec0a0538-2a4c-47cd-842b-7f4c38b433d2</t>
  </si>
  <si>
    <t>27822261792</t>
  </si>
  <si>
    <t>14301449</t>
  </si>
  <si>
    <t>f7352207-c4f1-4fa2-a82e-cb5520b08ee4</t>
  </si>
  <si>
    <t>27824883852</t>
  </si>
  <si>
    <t>14301698</t>
  </si>
  <si>
    <t>f0fc4ff0-0cf1-454e-9fb0-0404fcd44820</t>
  </si>
  <si>
    <t>27799725277</t>
  </si>
  <si>
    <t>14301420</t>
  </si>
  <si>
    <t>4bfd94d9-ad20-4dd8-a989-d9482f3f5671</t>
  </si>
  <si>
    <t>2026-05-26 07:51:22</t>
  </si>
  <si>
    <t>27663568939</t>
  </si>
  <si>
    <t>14301544</t>
  </si>
  <si>
    <t>11dd3847-8337-4ca2-bff4-78a13b5b980e</t>
  </si>
  <si>
    <t>27820643140</t>
  </si>
  <si>
    <t>14301870</t>
  </si>
  <si>
    <t>de9e124e-04a8-4e02-b7d6-cf92c30a8787</t>
  </si>
  <si>
    <t>27797399702</t>
  </si>
  <si>
    <t>14301515</t>
  </si>
  <si>
    <t>31e7dacb-46ed-4dbb-8ac1-d597af0109e5</t>
  </si>
  <si>
    <t>2026-05-26 07:51:21</t>
  </si>
  <si>
    <t>27712598069</t>
  </si>
  <si>
    <t>14301421</t>
  </si>
  <si>
    <t>7c75b5d5-fbfb-4b77-ab60-b1457bd37886</t>
  </si>
  <si>
    <t>27713185222</t>
  </si>
  <si>
    <t>2026-05-26 07:50:40</t>
  </si>
  <si>
    <t>14301417</t>
  </si>
  <si>
    <t>a4c532de-f101-44fb-894d-f039b7067812</t>
  </si>
  <si>
    <t>2026-05-26 07:50:32</t>
  </si>
  <si>
    <t>27647373714</t>
  </si>
  <si>
    <t>14301738</t>
  </si>
  <si>
    <t>03941713-64c0-4b14-b2fd-f0f280fec19a</t>
  </si>
  <si>
    <t>27797586710</t>
  </si>
  <si>
    <t>2026-05-26 07:50:22</t>
  </si>
  <si>
    <t>14301434</t>
  </si>
  <si>
    <t>2e56db1a-c1d8-4e48-82c8-5c90433fa608</t>
  </si>
  <si>
    <t>2026-05-26 07:50:20</t>
  </si>
  <si>
    <t>27824102893</t>
  </si>
  <si>
    <t>14301461</t>
  </si>
  <si>
    <t>1cf6a5a3-34fe-47a8-8e7a-bb5fcacd4c54</t>
  </si>
  <si>
    <t>27726293647</t>
  </si>
  <si>
    <t>14301412</t>
  </si>
  <si>
    <t>ec387206-41d7-4bc5-8e5a-69fc9f43ad7b</t>
  </si>
  <si>
    <t>2026-05-26 07:50:19</t>
  </si>
  <si>
    <t>27825099824</t>
  </si>
  <si>
    <t>14301531</t>
  </si>
  <si>
    <t>9c18a746-feb5-46d1-aab3-3c5721f61efe</t>
  </si>
  <si>
    <t>27665235002</t>
  </si>
  <si>
    <t>14301663</t>
  </si>
  <si>
    <t>67792236-943d-4aaa-9a22-58f7897d2aa4</t>
  </si>
  <si>
    <t>27714917237</t>
  </si>
  <si>
    <t>2026-05-26 07:49:55</t>
  </si>
  <si>
    <t>14301668</t>
  </si>
  <si>
    <t>92f772f0-ea32-4118-a1c5-a81d57c62f24</t>
  </si>
  <si>
    <t>2026-05-26 07:49:31</t>
  </si>
  <si>
    <t>27788600577</t>
  </si>
  <si>
    <t>14301853</t>
  </si>
  <si>
    <t>6e109fda-2c08-4910-8daf-820452fec791</t>
  </si>
  <si>
    <t>2026-05-26 07:49:28</t>
  </si>
  <si>
    <t>27833915092</t>
  </si>
  <si>
    <t>14301503</t>
  </si>
  <si>
    <t>c6031ea8-d4e1-41c8-a2da-9261429ef07f</t>
  </si>
  <si>
    <t>2026-05-26 07:49:18</t>
  </si>
  <si>
    <t>27823972935</t>
  </si>
  <si>
    <t>14301639</t>
  </si>
  <si>
    <t>0c74c593-3c06-4966-ac97-d00afc0f49b2</t>
  </si>
  <si>
    <t>2026-05-26 07:49:17</t>
  </si>
  <si>
    <t>27724224581</t>
  </si>
  <si>
    <t>14301486</t>
  </si>
  <si>
    <t>bc9b366f-a4c6-4515-a7e0-e10221006978</t>
  </si>
  <si>
    <t>27763132858</t>
  </si>
  <si>
    <t>2026-05-26 07:49:15</t>
  </si>
  <si>
    <t>14301475</t>
  </si>
  <si>
    <t>22c86458-95bb-4fbd-a2a2-a73f0d78d155</t>
  </si>
  <si>
    <t>27715939423</t>
  </si>
  <si>
    <t>2026-05-26 07:49:14</t>
  </si>
  <si>
    <t>14301450</t>
  </si>
  <si>
    <t>3c5897ab-245b-4c71-8104-31d0b1208450</t>
  </si>
  <si>
    <t>27663843299</t>
  </si>
  <si>
    <t>14301457</t>
  </si>
  <si>
    <t>1d3f025f-d881-4e66-b973-8d89aef4abc8</t>
  </si>
  <si>
    <t>27607865209</t>
  </si>
  <si>
    <t>14301750</t>
  </si>
  <si>
    <t>0e86998a-9f97-4ac0-be88-fd7787f51da3</t>
  </si>
  <si>
    <t>27646923938</t>
  </si>
  <si>
    <t>14301477</t>
  </si>
  <si>
    <t>b6e1acdc-2582-429a-879c-ba7c81cb9aac</t>
  </si>
  <si>
    <t>2026-05-26 07:49:11</t>
  </si>
  <si>
    <t>27742608192</t>
  </si>
  <si>
    <t>14301896</t>
  </si>
  <si>
    <t>8c69948f-299f-4972-a1b5-e1cf105bf846</t>
  </si>
  <si>
    <t>27824141464</t>
  </si>
  <si>
    <t>14301448</t>
  </si>
  <si>
    <t>839b2f40-7bdf-4f31-a14d-463bdc87fd8c</t>
  </si>
  <si>
    <t>2026-05-26 07:49:02</t>
  </si>
  <si>
    <t>27826478731</t>
  </si>
  <si>
    <t>14301451</t>
  </si>
  <si>
    <t>bc40df7c-638e-4d71-8519-881c64c83b72</t>
  </si>
  <si>
    <t>2026-05-26 07:49:01</t>
  </si>
  <si>
    <t>27795991081</t>
  </si>
  <si>
    <t>14301592</t>
  </si>
  <si>
    <t>afd579fe-c94b-440f-a523-4d4a8537a58e</t>
  </si>
  <si>
    <t>27824721617</t>
  </si>
  <si>
    <t>14301550</t>
  </si>
  <si>
    <t>78b0f209-6848-4cdf-9347-6a54bb7dc285</t>
  </si>
  <si>
    <t>27761139498</t>
  </si>
  <si>
    <t>14301788</t>
  </si>
  <si>
    <t>fd182dd5-96fb-4296-8ac2-7a0cf13cdf39</t>
  </si>
  <si>
    <t>2026-05-26 07:49:00</t>
  </si>
  <si>
    <t>27828617877</t>
  </si>
  <si>
    <t>14301464</t>
  </si>
  <si>
    <t>a6ed5977-d313-4ff1-98b3-f068820f482d</t>
  </si>
  <si>
    <t>27799408746</t>
  </si>
  <si>
    <t>2026-05-26 07:48:55</t>
  </si>
  <si>
    <t>14301504</t>
  </si>
  <si>
    <t>fe2346c8-32e6-49ec-ab31-87351de3a3b7</t>
  </si>
  <si>
    <t>2026-05-26 07:48:53</t>
  </si>
  <si>
    <t>27797472759</t>
  </si>
  <si>
    <t>14301567</t>
  </si>
  <si>
    <t>db3491ed-60d5-4ae6-80cf-05898c35e541</t>
  </si>
  <si>
    <t>27649980010</t>
  </si>
  <si>
    <t>14301443</t>
  </si>
  <si>
    <t>adac2481-7376-4241-87d4-12679ad4b5d6</t>
  </si>
  <si>
    <t>27660234295</t>
  </si>
  <si>
    <t>2026-05-26 07:48:52</t>
  </si>
  <si>
    <t>14301452</t>
  </si>
  <si>
    <t>5bdd64cf-3bea-4cfd-909f-3835137eecd8</t>
  </si>
  <si>
    <t>27760926878</t>
  </si>
  <si>
    <t>14301497</t>
  </si>
  <si>
    <t>9bd20452-4fed-467a-9778-973c688b4b8f</t>
  </si>
  <si>
    <t>2026-05-26 07:48:07</t>
  </si>
  <si>
    <t>27782436090</t>
  </si>
  <si>
    <t>14301940</t>
  </si>
  <si>
    <t>2a21f456-1f19-4187-831b-3e8eb5ca02bb</t>
  </si>
  <si>
    <t>2026-05-26 07:48:06</t>
  </si>
  <si>
    <t>27796062112</t>
  </si>
  <si>
    <t>14301623</t>
  </si>
  <si>
    <t>27239d5e-e98d-49de-9de4-e0a71c9925e1</t>
  </si>
  <si>
    <t>2026-05-26 07:48:03</t>
  </si>
  <si>
    <t>27720921289</t>
  </si>
  <si>
    <t>14301572</t>
  </si>
  <si>
    <t>f5d1a43a-b542-427b-9873-5bf474d6575e</t>
  </si>
  <si>
    <t>2026-05-26 07:47:59</t>
  </si>
  <si>
    <t>27711269901</t>
  </si>
  <si>
    <t>14301463</t>
  </si>
  <si>
    <t>6189fad5-85d3-4468-8f80-98a1b8278d17</t>
  </si>
  <si>
    <t>27762061722</t>
  </si>
  <si>
    <t>14301467</t>
  </si>
  <si>
    <t>d3e2b5e0-db96-496c-9e75-c17c5cd286fd</t>
  </si>
  <si>
    <t>27796766768</t>
  </si>
  <si>
    <t>2026-05-26 07:47:58</t>
  </si>
  <si>
    <t>14301814</t>
  </si>
  <si>
    <t>6cd2497a-aba3-44fa-8f06-940d037e01b8</t>
  </si>
  <si>
    <t>27732461721</t>
  </si>
  <si>
    <t>2026-05-26 07:47:18</t>
  </si>
  <si>
    <t>14301479</t>
  </si>
  <si>
    <t>29f21c0e-a804-491d-8ec2-046106cfc39a</t>
  </si>
  <si>
    <t>2026-05-26 07:47:17</t>
  </si>
  <si>
    <t>27799641728</t>
  </si>
  <si>
    <t>14301458</t>
  </si>
  <si>
    <t>4e22b6d8-2e93-4a76-a0ca-1b73160d885d</t>
  </si>
  <si>
    <t>2026-05-26 07:47:16</t>
  </si>
  <si>
    <t>27794658555</t>
  </si>
  <si>
    <t>14301521</t>
  </si>
  <si>
    <t>f57eec19-2d60-41e5-abec-71b1aa623964</t>
  </si>
  <si>
    <t>27793788318</t>
  </si>
  <si>
    <t>14301586</t>
  </si>
  <si>
    <t>649386b3-174c-42ed-9418-3c1455edf621</t>
  </si>
  <si>
    <t>27765412006</t>
  </si>
  <si>
    <t>14301468</t>
  </si>
  <si>
    <t>9372954a-9eea-4a81-aeb8-a82a62349772</t>
  </si>
  <si>
    <t>27818186047</t>
  </si>
  <si>
    <t>2026-05-26 07:47:14</t>
  </si>
  <si>
    <t>14301517</t>
  </si>
  <si>
    <t>3de7d4c2-7fc8-4b34-933e-e5549ac94914</t>
  </si>
  <si>
    <t>27648119901</t>
  </si>
  <si>
    <t>2026-05-26 07:46:46</t>
  </si>
  <si>
    <t>14301490</t>
  </si>
  <si>
    <t>2340d554-8fc2-4f29-8ed0-681b0874a6d2</t>
  </si>
  <si>
    <t>2026-05-26 07:46:11</t>
  </si>
  <si>
    <t>27796847084</t>
  </si>
  <si>
    <t>14301498</t>
  </si>
  <si>
    <t>a7754fef-afb8-4efe-a325-fd75ce501e95</t>
  </si>
  <si>
    <t>27820998089</t>
  </si>
  <si>
    <t>14301811</t>
  </si>
  <si>
    <t>6f4519d0-0457-47d7-8449-11644b9febce</t>
  </si>
  <si>
    <t>2026-05-26 07:46:10</t>
  </si>
  <si>
    <t>27795360129</t>
  </si>
  <si>
    <t>14301491</t>
  </si>
  <si>
    <t>333307af-b194-43a2-9a16-846777505ad5</t>
  </si>
  <si>
    <t>2026-05-26 07:46:08</t>
  </si>
  <si>
    <t>27729237890</t>
  </si>
  <si>
    <t>14301519</t>
  </si>
  <si>
    <t>d9076194-bcd8-4040-84f0-c7861a37061c</t>
  </si>
  <si>
    <t>27818395357</t>
  </si>
  <si>
    <t>14301640</t>
  </si>
  <si>
    <t>f63fd3ba-ffc1-452f-911f-b235ffccce49</t>
  </si>
  <si>
    <t>27724443271</t>
  </si>
  <si>
    <t>14301956</t>
  </si>
  <si>
    <t>4ce2ef42-fc38-4773-9359-c0f6d58f852b</t>
  </si>
  <si>
    <t>27727457714</t>
  </si>
  <si>
    <t>14301596</t>
  </si>
  <si>
    <t>430a5408-b150-4999-8579-0e4d1180c407</t>
  </si>
  <si>
    <t>2026-05-26 07:46:03</t>
  </si>
  <si>
    <t>27665182283</t>
  </si>
  <si>
    <t>14301487</t>
  </si>
  <si>
    <t>f0a90982-7ebf-4129-8d33-956573f46802</t>
  </si>
  <si>
    <t>2026-05-26 07:46:02</t>
  </si>
  <si>
    <t>27791757002</t>
  </si>
  <si>
    <t>14301835</t>
  </si>
  <si>
    <t>1e62ddda-0e81-4258-a1b2-47748b430f2d</t>
  </si>
  <si>
    <t>27722365277</t>
  </si>
  <si>
    <t>14301493</t>
  </si>
  <si>
    <t>562e61f2-17ff-42ad-ba6f-a72b527a05d0</t>
  </si>
  <si>
    <t>27825431723</t>
  </si>
  <si>
    <t>2026-05-26 07:44:55</t>
  </si>
  <si>
    <t>14301508</t>
  </si>
  <si>
    <t>9565161d-0359-404c-bda1-d379dd81e8dd</t>
  </si>
  <si>
    <t>27608714641</t>
  </si>
  <si>
    <t>2026-05-26 07:44:52</t>
  </si>
  <si>
    <t>14301538</t>
  </si>
  <si>
    <t>73bf3aa1-1623-4ce5-bcdc-a70881bd47e6</t>
  </si>
  <si>
    <t>27827020161</t>
  </si>
  <si>
    <t>14301482</t>
  </si>
  <si>
    <t>f9c9e0ca-1b02-46bc-b65f-2ab3cb8512f8</t>
  </si>
  <si>
    <t>2026-05-26 07:44:50</t>
  </si>
  <si>
    <t>27665647132</t>
  </si>
  <si>
    <t>14301492</t>
  </si>
  <si>
    <t>6db92357-3be8-4974-8b16-5c7924833e3b</t>
  </si>
  <si>
    <t>27715616503</t>
  </si>
  <si>
    <t>14301609</t>
  </si>
  <si>
    <t>4562e51c-1bcf-4717-b7a4-f8446509325d</t>
  </si>
  <si>
    <t>27721360451</t>
  </si>
  <si>
    <t>14301484</t>
  </si>
  <si>
    <t>fa4c1a35-7003-4ce5-ba74-690e77fede06</t>
  </si>
  <si>
    <t>2026-05-26 07:44:11</t>
  </si>
  <si>
    <t>27663646120</t>
  </si>
  <si>
    <t>14301513</t>
  </si>
  <si>
    <t>b4f19ef7-eb04-43b0-aae0-d8a689635aba</t>
  </si>
  <si>
    <t>2026-05-26 07:43:22</t>
  </si>
  <si>
    <t>27714068811</t>
  </si>
  <si>
    <t>14301542</t>
  </si>
  <si>
    <t>5810f82d-addc-49cb-b560-347662530c44</t>
  </si>
  <si>
    <t>27765942936</t>
  </si>
  <si>
    <t>2026-05-26 07:43:08</t>
  </si>
  <si>
    <t>14301621</t>
  </si>
  <si>
    <t>5725cd51-6513-49bb-956c-337fc45b754b</t>
  </si>
  <si>
    <t>2026-05-26 07:43:07</t>
  </si>
  <si>
    <t>27760760813</t>
  </si>
  <si>
    <t>14301489</t>
  </si>
  <si>
    <t>95cd7e19-884c-44e8-9cd6-c9d7ceb36656</t>
  </si>
  <si>
    <t>2026-05-26 07:42:55</t>
  </si>
  <si>
    <t>27766291437</t>
  </si>
  <si>
    <t>14301500</t>
  </si>
  <si>
    <t>2c80fb62-d1b9-4fb5-b4ee-1911dbb32e7d</t>
  </si>
  <si>
    <t>27796306251</t>
  </si>
  <si>
    <t>2026-05-26 07:42:54</t>
  </si>
  <si>
    <t>14301507</t>
  </si>
  <si>
    <t>3bc3be48-75ad-4621-a22e-e1052562b20a</t>
  </si>
  <si>
    <t>2026-05-26 07:42:35</t>
  </si>
  <si>
    <t>27834519700</t>
  </si>
  <si>
    <t>14301520</t>
  </si>
  <si>
    <t>9aedc609-301a-418f-a4eb-6e9119ab0014</t>
  </si>
  <si>
    <t>27790713138</t>
  </si>
  <si>
    <t>2026-05-26 07:42:10</t>
  </si>
  <si>
    <t>14301850</t>
  </si>
  <si>
    <t>8cddbcd1-2bb7-48a3-8ed7-6b892dc99b0c</t>
  </si>
  <si>
    <t>27761023588</t>
  </si>
  <si>
    <t>14301555</t>
  </si>
  <si>
    <t>77bd835b-fa69-4faf-945d-0e1b72a0e568</t>
  </si>
  <si>
    <t>27724102534</t>
  </si>
  <si>
    <t>2026-05-26 07:42:09</t>
  </si>
  <si>
    <t>14301624</t>
  </si>
  <si>
    <t>e2f64faf-ef9f-413c-87ac-082de9235d7c</t>
  </si>
  <si>
    <t>2026-05-26 07:42:06</t>
  </si>
  <si>
    <t>27761910333</t>
  </si>
  <si>
    <t>14301501</t>
  </si>
  <si>
    <t>2cb07f2e-180f-4ce3-9e87-89cddca16197</t>
  </si>
  <si>
    <t>2026-05-26 07:42:00</t>
  </si>
  <si>
    <t>27663294550</t>
  </si>
  <si>
    <t>14301511</t>
  </si>
  <si>
    <t>b42bdd6d-b336-470b-b969-3fd4e52eda39</t>
  </si>
  <si>
    <t>27793145706</t>
  </si>
  <si>
    <t>14301525</t>
  </si>
  <si>
    <t>45d5a66b-2312-4e9c-995f-c288fa0fb7bc</t>
  </si>
  <si>
    <t>2026-05-26 07:41:54</t>
  </si>
  <si>
    <t>27720865006</t>
  </si>
  <si>
    <t>14301552</t>
  </si>
  <si>
    <t>fbf8b807-1dc0-4dc3-941b-2d86d48d368b</t>
  </si>
  <si>
    <t>2026-05-26 07:41:53</t>
  </si>
  <si>
    <t>27760919939</t>
  </si>
  <si>
    <t>14301678</t>
  </si>
  <si>
    <t>96b84487-b517-4baa-a05e-f5ea9a459245</t>
  </si>
  <si>
    <t>27608752517</t>
  </si>
  <si>
    <t>14301841</t>
  </si>
  <si>
    <t>4cbc47d4-684b-47ad-a7e9-d323793e57c6</t>
  </si>
  <si>
    <t>27766462300</t>
  </si>
  <si>
    <t>14301969</t>
  </si>
  <si>
    <t>c488525d-551c-4f6f-b380-021633679ecc</t>
  </si>
  <si>
    <t>27664833515</t>
  </si>
  <si>
    <t>14301526</t>
  </si>
  <si>
    <t>ac6d04c5-af28-4933-88da-58c5f2e0c3be</t>
  </si>
  <si>
    <t>2026-05-26 07:41:39</t>
  </si>
  <si>
    <t>27724761324</t>
  </si>
  <si>
    <t>14301636</t>
  </si>
  <si>
    <t>df2f328b-94e1-4234-a664-cb75a91083cb</t>
  </si>
  <si>
    <t>27818817210</t>
  </si>
  <si>
    <t>2026-05-26 07:41:08</t>
  </si>
  <si>
    <t>14301522</t>
  </si>
  <si>
    <t>bbc8ad18-dea0-41ee-b4da-eadc9936064d</t>
  </si>
  <si>
    <t>2026-05-26 07:40:36</t>
  </si>
  <si>
    <t>27824739867</t>
  </si>
  <si>
    <t>14301866</t>
  </si>
  <si>
    <t>b025843e-e892-498d-a298-0542dfeed814</t>
  </si>
  <si>
    <t>27726328019</t>
  </si>
  <si>
    <t>2026-05-26 07:40:35</t>
  </si>
  <si>
    <t>14301518</t>
  </si>
  <si>
    <t>25606b0c-3740-4e61-b3e7-411ddd639b1b</t>
  </si>
  <si>
    <t>2026-05-26 07:40:31</t>
  </si>
  <si>
    <t>27608937464</t>
  </si>
  <si>
    <t>14301580</t>
  </si>
  <si>
    <t>44949b34-91ce-4dae-a366-6a4879e9a695</t>
  </si>
  <si>
    <t>27714229968</t>
  </si>
  <si>
    <t>14301539</t>
  </si>
  <si>
    <t>35d4b7b5-e39c-4bab-aafb-b16bdb6df21f</t>
  </si>
  <si>
    <t>27762561528</t>
  </si>
  <si>
    <t>14301641</t>
  </si>
  <si>
    <t>45edcb26-6f18-4cfd-b746-7d68f7b1a208</t>
  </si>
  <si>
    <t>27769281041</t>
  </si>
  <si>
    <t>14301527</t>
  </si>
  <si>
    <t>50f0175b-65de-46f3-a9f0-d6eb25317d81</t>
  </si>
  <si>
    <t>27715379245</t>
  </si>
  <si>
    <t>2026-05-26 07:40:05</t>
  </si>
  <si>
    <t>14301543</t>
  </si>
  <si>
    <t>e1943d33-4c90-4a5f-80f0-d4771712b99f</t>
  </si>
  <si>
    <t>27765804541</t>
  </si>
  <si>
    <t>2026-05-26 07:39:57</t>
  </si>
  <si>
    <t>14301582</t>
  </si>
  <si>
    <t>8739e6a3-40d3-4e7c-b018-d4da849a566e</t>
  </si>
  <si>
    <t>2026-05-26 07:39:48</t>
  </si>
  <si>
    <t>27720942100</t>
  </si>
  <si>
    <t>14301523</t>
  </si>
  <si>
    <t>18f0b6a6-9015-40d4-9d09-0ad8e78b527f</t>
  </si>
  <si>
    <t>27664346952</t>
  </si>
  <si>
    <t>14301535</t>
  </si>
  <si>
    <t>a0dcdabb-681a-41b4-8b07-7a780d686290</t>
  </si>
  <si>
    <t>27768728834</t>
  </si>
  <si>
    <t>14301646</t>
  </si>
  <si>
    <t>166515a0-c09d-4fef-82c5-e9d1285cd729</t>
  </si>
  <si>
    <t>27661100140</t>
  </si>
  <si>
    <t>14301564</t>
  </si>
  <si>
    <t>91fe9968-b832-49da-9523-c705f9f49024</t>
  </si>
  <si>
    <t>2026-05-26 07:37:45</t>
  </si>
  <si>
    <t>27636728878</t>
  </si>
  <si>
    <t>14301595</t>
  </si>
  <si>
    <t>2ef0c3fd-6e2f-4e61-a724-4b6fe6ae47d8</t>
  </si>
  <si>
    <t>27609753176</t>
  </si>
  <si>
    <t>14301583</t>
  </si>
  <si>
    <t>e9027a4f-9f71-4567-810b-7bae9a091c2e</t>
  </si>
  <si>
    <t>2026-05-26 07:37:25</t>
  </si>
  <si>
    <t>27647084658</t>
  </si>
  <si>
    <t>14301556</t>
  </si>
  <si>
    <t>928ccda4-e545-4e63-b379-326cf4e8e92e</t>
  </si>
  <si>
    <t>2026-05-26 07:37:08</t>
  </si>
  <si>
    <t>27674054169</t>
  </si>
  <si>
    <t>14301861</t>
  </si>
  <si>
    <t>3937d61c-1abf-4745-971f-74d141f4060b</t>
  </si>
  <si>
    <t>2026-05-26 07:37:04</t>
  </si>
  <si>
    <t>27712670572</t>
  </si>
  <si>
    <t>14301584</t>
  </si>
  <si>
    <t>be79fe8c-ffba-468c-be7e-d289929d976f</t>
  </si>
  <si>
    <t>2026-05-26 07:37:03</t>
  </si>
  <si>
    <t>27652208485</t>
  </si>
  <si>
    <t>14301978</t>
  </si>
  <si>
    <t>b101e19a-7f51-4a6b-ae94-8846360d301c</t>
  </si>
  <si>
    <t>27767026810</t>
  </si>
  <si>
    <t>14301557</t>
  </si>
  <si>
    <t>21156f33-3b8e-4bbe-92ce-79f0b8f9012e</t>
  </si>
  <si>
    <t>2026-05-26 07:37:01</t>
  </si>
  <si>
    <t>27721105192</t>
  </si>
  <si>
    <t>14301693</t>
  </si>
  <si>
    <t>f238f5c4-2052-4552-b1b1-1d9d1f382cb2</t>
  </si>
  <si>
    <t>27608933722</t>
  </si>
  <si>
    <t>14301186</t>
  </si>
  <si>
    <t>6ec4e038-b696-4759-8bc8-82fca8308126</t>
  </si>
  <si>
    <t>2026-05-26 07:36:45</t>
  </si>
  <si>
    <t>27727879194</t>
  </si>
  <si>
    <t>14301661</t>
  </si>
  <si>
    <t>6874fd68-10fe-4613-bf36-49c60d83430d</t>
  </si>
  <si>
    <t>27606265493</t>
  </si>
  <si>
    <t>14301576</t>
  </si>
  <si>
    <t>1e9a8138-397f-4c82-85b6-f14d8c371812</t>
  </si>
  <si>
    <t>27725261241</t>
  </si>
  <si>
    <t>2026-05-26 07:36:35</t>
  </si>
  <si>
    <t>14301554</t>
  </si>
  <si>
    <t>33c1f9d8-5e19-422c-8e77-445f2c357866</t>
  </si>
  <si>
    <t>27722268343</t>
  </si>
  <si>
    <t>14301875</t>
  </si>
  <si>
    <t>4d89d998-f59b-42ee-a6d3-698ca9558ac9</t>
  </si>
  <si>
    <t>27798140073</t>
  </si>
  <si>
    <t>14301606</t>
  </si>
  <si>
    <t>dcf122d3-2f18-4ec0-9957-1b912643fda4</t>
  </si>
  <si>
    <t>27781974359</t>
  </si>
  <si>
    <t>2026-05-26 07:36:14</t>
  </si>
  <si>
    <t>14301545</t>
  </si>
  <si>
    <t>7b5e839c-8892-4cbf-8188-4028e0f2058a</t>
  </si>
  <si>
    <t>27823544699</t>
  </si>
  <si>
    <t>2026-05-26 07:36:13</t>
  </si>
  <si>
    <t>14301669</t>
  </si>
  <si>
    <t>07e72748-e605-4c5a-8d98-f11494ab5668</t>
  </si>
  <si>
    <t>27765705027</t>
  </si>
  <si>
    <t>14301558</t>
  </si>
  <si>
    <t>1035e98a-a608-49cb-8904-18809ac5b87e</t>
  </si>
  <si>
    <t>27724014999</t>
  </si>
  <si>
    <t>14301563</t>
  </si>
  <si>
    <t>ef912393-f0f1-4ece-9c10-3e86e691bfe9</t>
  </si>
  <si>
    <t>27723759637</t>
  </si>
  <si>
    <t>2026-05-26 07:35:22</t>
  </si>
  <si>
    <t>14301610</t>
  </si>
  <si>
    <t>d8517e5a-7880-40c9-9d69-7e5a3e59e0f7</t>
  </si>
  <si>
    <t>2026-05-26 07:34:31</t>
  </si>
  <si>
    <t>27664616649</t>
  </si>
  <si>
    <t>14301670</t>
  </si>
  <si>
    <t>36ce18c9-1cfe-4082-8a77-0f1201d10154</t>
  </si>
  <si>
    <t>2026-05-26 07:34:30</t>
  </si>
  <si>
    <t>27791209979</t>
  </si>
  <si>
    <t>14301553</t>
  </si>
  <si>
    <t>646aa4f0-8900-4eb6-b6ef-a37b543ff496</t>
  </si>
  <si>
    <t>27715900270</t>
  </si>
  <si>
    <t>14301574</t>
  </si>
  <si>
    <t>d28ef663-5cfb-409f-8959-74fe74548ca6</t>
  </si>
  <si>
    <t>27637132606</t>
  </si>
  <si>
    <t>2026-05-26 07:32:10</t>
  </si>
  <si>
    <t>14301578</t>
  </si>
  <si>
    <t>c78242fa-206f-496b-91ef-43ca5555711a</t>
  </si>
  <si>
    <t>2026-05-26 07:31:20</t>
  </si>
  <si>
    <t>27712466811</t>
  </si>
  <si>
    <t>14301702</t>
  </si>
  <si>
    <t>5c35d444-bcbc-4c3a-afea-9f494b4a6b3c</t>
  </si>
  <si>
    <t>27794832553</t>
  </si>
  <si>
    <t>14301673</t>
  </si>
  <si>
    <t>2cd5bfe8-387e-4710-8356-6581d8b82d9f</t>
  </si>
  <si>
    <t>27722106704</t>
  </si>
  <si>
    <t>2026-05-26 07:31:15</t>
  </si>
  <si>
    <t>14301565</t>
  </si>
  <si>
    <t>218b7eea-3c2f-4101-b464-83849bf5f945</t>
  </si>
  <si>
    <t>27818995779</t>
  </si>
  <si>
    <t>2026-05-26 07:31:14</t>
  </si>
  <si>
    <t>14301587</t>
  </si>
  <si>
    <t>74b6d5d7-e8a5-4f76-a3e9-e5a44b25f80f</t>
  </si>
  <si>
    <t>27728731185</t>
  </si>
  <si>
    <t>14301684</t>
  </si>
  <si>
    <t>53b1d71e-d0a1-403d-a72c-6d467fe3ac30</t>
  </si>
  <si>
    <t>27828084171</t>
  </si>
  <si>
    <t>14301625</t>
  </si>
  <si>
    <t>b4e9f82b-2753-4f2c-ba59-3a0d641a74d9</t>
  </si>
  <si>
    <t>27764723136</t>
  </si>
  <si>
    <t>14301893</t>
  </si>
  <si>
    <t>2deedec8-613f-4f57-8455-f1d5f0faceae</t>
  </si>
  <si>
    <t>27728540460</t>
  </si>
  <si>
    <t>14301579</t>
  </si>
  <si>
    <t>e2ca7628-d756-4a43-89ef-2b62c2e0f9e9</t>
  </si>
  <si>
    <t>2026-05-26 07:31:13</t>
  </si>
  <si>
    <t>27768851762</t>
  </si>
  <si>
    <t>14301888</t>
  </si>
  <si>
    <t>f997da38-23a3-4896-b2ff-663d76c767c2</t>
  </si>
  <si>
    <t>27764328988</t>
  </si>
  <si>
    <t>2026-05-26 07:00:50</t>
  </si>
  <si>
    <t>14301627</t>
  </si>
  <si>
    <t>84b5aba8-92ef-4867-bb43-4c246303e33b</t>
  </si>
  <si>
    <t>27762520157</t>
  </si>
  <si>
    <t>2026-05-26 06:57:05</t>
  </si>
  <si>
    <t>14301637</t>
  </si>
  <si>
    <t>cb541ce0-81c1-4a68-9f8d-04d84994fbed</t>
  </si>
  <si>
    <t>2026-05-26 06:55:57</t>
  </si>
  <si>
    <t>27722948858</t>
  </si>
  <si>
    <t>14301600</t>
  </si>
  <si>
    <t>b6e5d6dd-b2d2-458a-aa88-9113aeac2526</t>
  </si>
  <si>
    <t>27721406414</t>
  </si>
  <si>
    <t>2026-05-26 06:55:55</t>
  </si>
  <si>
    <t>14301607</t>
  </si>
  <si>
    <t>2082a5f9-f70b-443d-9898-141a717f7419</t>
  </si>
  <si>
    <t>27823933493</t>
  </si>
  <si>
    <t>2026-05-26 06:55:52</t>
  </si>
  <si>
    <t>14301626</t>
  </si>
  <si>
    <t>f98cb0de-709d-488a-9c69-29faf4ddadd5</t>
  </si>
  <si>
    <t>2026-05-26 06:55:51</t>
  </si>
  <si>
    <t>27760666528</t>
  </si>
  <si>
    <t>14301890</t>
  </si>
  <si>
    <t>9971f1c7-0dca-456e-ab4b-2cf21f469bb4</t>
  </si>
  <si>
    <t>2026-05-26 06:55:37</t>
  </si>
  <si>
    <t>27767155961</t>
  </si>
  <si>
    <t>14301602</t>
  </si>
  <si>
    <t>9be1f19c-e85e-4396-ae2a-5978ed4315f1</t>
  </si>
  <si>
    <t>2026-05-26 06:55:22</t>
  </si>
  <si>
    <t>27764289727</t>
  </si>
  <si>
    <t>14301748</t>
  </si>
  <si>
    <t>3e7b8544-8d3a-46ec-a295-1097228adfdf</t>
  </si>
  <si>
    <t>27790980702</t>
  </si>
  <si>
    <t>14301689</t>
  </si>
  <si>
    <t>7422e16f-23b6-449e-9a01-b5a57b08b36c</t>
  </si>
  <si>
    <t>27661786054</t>
  </si>
  <si>
    <t>14301979</t>
  </si>
  <si>
    <t>bc29e565-3ad6-4a8f-ada5-b6336beec8f8</t>
  </si>
  <si>
    <t>27724362549</t>
  </si>
  <si>
    <t>14301597</t>
  </si>
  <si>
    <t>052b3579-cc85-4956-80a8-14eaeeb3948e</t>
  </si>
  <si>
    <t>2026-05-26 06:54:24</t>
  </si>
  <si>
    <t>27792480993</t>
  </si>
  <si>
    <t>14301907</t>
  </si>
  <si>
    <t>64698bd3-466e-4358-9b5b-1e48ca35e39a</t>
  </si>
  <si>
    <t>2026-05-26 06:54:19</t>
  </si>
  <si>
    <t>27820885519</t>
  </si>
  <si>
    <t>14301615</t>
  </si>
  <si>
    <t>15e272ad-5e21-4532-a7e6-e48dcd590570</t>
  </si>
  <si>
    <t>2026-05-26 06:54:17</t>
  </si>
  <si>
    <t>27712877969</t>
  </si>
  <si>
    <t>14301590</t>
  </si>
  <si>
    <t>087678b9-7105-4489-9225-98eaa6cca8ee</t>
  </si>
  <si>
    <t>27648193121</t>
  </si>
  <si>
    <t>2026-05-26 06:54:15</t>
  </si>
  <si>
    <t>14301603</t>
  </si>
  <si>
    <t>c41623d7-aafa-4b83-80d2-d865f5e969ff</t>
  </si>
  <si>
    <t>27826919274</t>
  </si>
  <si>
    <t>14301699</t>
  </si>
  <si>
    <t>86bfc226-b213-4528-beba-20cffec2f825</t>
  </si>
  <si>
    <t>27824089477</t>
  </si>
  <si>
    <t>14301644</t>
  </si>
  <si>
    <t>1fb23985-00e6-4a8e-a3df-90a79b4ed92b</t>
  </si>
  <si>
    <t>27768676524</t>
  </si>
  <si>
    <t>14301715</t>
  </si>
  <si>
    <t>717efbe1-55e2-4c8d-b094-194f809e836c</t>
  </si>
  <si>
    <t>2026-05-26 06:52:20</t>
  </si>
  <si>
    <t>27648655119</t>
  </si>
  <si>
    <t>14301601</t>
  </si>
  <si>
    <t>71427737-7598-4293-885a-bc45f4b853f1</t>
  </si>
  <si>
    <t>27725567324</t>
  </si>
  <si>
    <t>2026-05-26 06:52:06</t>
  </si>
  <si>
    <t>14301612</t>
  </si>
  <si>
    <t>5e5fc5c7-acd6-47d9-ac0c-28b36e2d425b</t>
  </si>
  <si>
    <t>2026-05-26 06:52:02</t>
  </si>
  <si>
    <t>27660324262</t>
  </si>
  <si>
    <t>14301767</t>
  </si>
  <si>
    <t>c9b9fcda-e2dd-4f9c-a66b-e5e25bdce964</t>
  </si>
  <si>
    <t>2026-05-26 06:51:59</t>
  </si>
  <si>
    <t>27794530370</t>
  </si>
  <si>
    <t>14301613</t>
  </si>
  <si>
    <t>9ccad13a-9c20-45d6-9203-b8a38d330635</t>
  </si>
  <si>
    <t>27728463190</t>
  </si>
  <si>
    <t>2026-05-26 06:51:58</t>
  </si>
  <si>
    <t>14301616</t>
  </si>
  <si>
    <t>067d7b95-e992-4888-9b0e-18e0b033d927</t>
  </si>
  <si>
    <t>27715537609</t>
  </si>
  <si>
    <t>14301711</t>
  </si>
  <si>
    <t>8f78a54f-7877-4542-b1c5-7613785eebb1</t>
  </si>
  <si>
    <t>27715502672</t>
  </si>
  <si>
    <t>14301631</t>
  </si>
  <si>
    <t>920448a9-9c95-42b3-b40d-fc94776db5dd</t>
  </si>
  <si>
    <t>2026-05-26 06:50:24</t>
  </si>
  <si>
    <t>27828519209</t>
  </si>
  <si>
    <t>14301664</t>
  </si>
  <si>
    <t>83b06231-fdbd-46bc-a97b-d3d283de4037</t>
  </si>
  <si>
    <t>2026-05-26 06:50:23</t>
  </si>
  <si>
    <t>27724494717</t>
  </si>
  <si>
    <t>14301608</t>
  </si>
  <si>
    <t>b12d9237-5789-4246-9fe6-90971e52e790</t>
  </si>
  <si>
    <t>27824133759</t>
  </si>
  <si>
    <t>2026-05-26 06:50:22</t>
  </si>
  <si>
    <t>14301619</t>
  </si>
  <si>
    <t>f4f31b5e-8c00-41f3-b437-0fcbc08e5dbc</t>
  </si>
  <si>
    <t>27661450951</t>
  </si>
  <si>
    <t>14301717</t>
  </si>
  <si>
    <t>bd2e4d3f-b146-480f-a763-e8a783a12416</t>
  </si>
  <si>
    <t>27824309697</t>
  </si>
  <si>
    <t>14301185</t>
  </si>
  <si>
    <t>02910014-bab5-4f6f-868e-e397bf9cca9f</t>
  </si>
  <si>
    <t>27721698046</t>
  </si>
  <si>
    <t>2026-05-26 06:49:02</t>
  </si>
  <si>
    <t>14301720</t>
  </si>
  <si>
    <t>11f71cf0-eafe-4cfa-96a1-c097eadff01d</t>
  </si>
  <si>
    <t>27823003218</t>
  </si>
  <si>
    <t>2026-05-26 06:48:48</t>
  </si>
  <si>
    <t>14301611</t>
  </si>
  <si>
    <t>11077e66-4f3f-44c5-8139-21812fd9144c</t>
  </si>
  <si>
    <t>2026-05-26 06:48:45</t>
  </si>
  <si>
    <t>27649071686</t>
  </si>
  <si>
    <t>14301622</t>
  </si>
  <si>
    <t>2fcd03a5-a6c4-463e-9774-17af4167e37b</t>
  </si>
  <si>
    <t>2026-05-26 06:48:44</t>
  </si>
  <si>
    <t>27792928885</t>
  </si>
  <si>
    <t>14301189</t>
  </si>
  <si>
    <t>5f636f35-326f-437b-99ca-72fdcc26562a</t>
  </si>
  <si>
    <t>2026-05-26 06:48:17</t>
  </si>
  <si>
    <t>27726923832</t>
  </si>
  <si>
    <t>14301191</t>
  </si>
  <si>
    <t>c188edda-43c2-42de-8dce-7a4c1036389e</t>
  </si>
  <si>
    <t>27608108980</t>
  </si>
  <si>
    <t>14301192</t>
  </si>
  <si>
    <t>76a1fde0-0a3a-4354-9749-34f3ed28934b</t>
  </si>
  <si>
    <t>27607941316</t>
  </si>
  <si>
    <t>14301585</t>
  </si>
  <si>
    <t>673b3bea-5235-41ac-b8fa-e8439b74b0c2</t>
  </si>
  <si>
    <t>27760637736</t>
  </si>
  <si>
    <t>14301655</t>
  </si>
  <si>
    <t>2215d0ca-fd9f-44d7-a7b2-57941085186c</t>
  </si>
  <si>
    <t>27792668367</t>
  </si>
  <si>
    <t>14301772</t>
  </si>
  <si>
    <t>4a73003b-5377-439a-9d2b-45b3387ba990</t>
  </si>
  <si>
    <t>27772033951</t>
  </si>
  <si>
    <t>14301651</t>
  </si>
  <si>
    <t>b082b1c0-5d58-4ba1-9bab-4c571cd15411</t>
  </si>
  <si>
    <t>2026-05-26 06:48:14</t>
  </si>
  <si>
    <t>27636300916</t>
  </si>
  <si>
    <t>14301187</t>
  </si>
  <si>
    <t>30298685-dac0-4e1f-b231-a993ca69603d</t>
  </si>
  <si>
    <t>2026-05-26 06:47:59</t>
  </si>
  <si>
    <t>27609477475</t>
  </si>
  <si>
    <t>14301183</t>
  </si>
  <si>
    <t>1d69211c-9531-4d62-ad9f-b28d160da8c6</t>
  </si>
  <si>
    <t>2026-05-26 06:47:47</t>
  </si>
  <si>
    <t>27727624002</t>
  </si>
  <si>
    <t>14301184</t>
  </si>
  <si>
    <t>0f69f002-ae58-4fca-b9d5-b6f2fd3c3831</t>
  </si>
  <si>
    <t>27795774385</t>
  </si>
  <si>
    <t>14301672</t>
  </si>
  <si>
    <t>4e6e01fa-c82d-4566-af6f-8b1c6490de36</t>
  </si>
  <si>
    <t>27767572380</t>
  </si>
  <si>
    <t>2026-05-26 06:47:40</t>
  </si>
  <si>
    <t>14301182</t>
  </si>
  <si>
    <t>ebd77fee-31f3-40af-a9dc-d330d25ec7cb</t>
  </si>
  <si>
    <t>2026-05-26 06:47:35</t>
  </si>
  <si>
    <t>27675367971</t>
  </si>
  <si>
    <t>14301180</t>
  </si>
  <si>
    <t>d3c4f09e-daef-4dda-b099-84c147f9b4a3</t>
  </si>
  <si>
    <t>2026-05-26 06:47:24</t>
  </si>
  <si>
    <t>27715958293</t>
  </si>
  <si>
    <t>14301181</t>
  </si>
  <si>
    <t>f05209f1-57ce-4d04-9f70-9fc9fe0644cd</t>
  </si>
  <si>
    <t>27767143598</t>
  </si>
  <si>
    <t>14301620</t>
  </si>
  <si>
    <t>83c1c25a-47ab-445c-aa41-f2217999d83f</t>
  </si>
  <si>
    <t>2026-05-26 06:46:17</t>
  </si>
  <si>
    <t>27711447274</t>
  </si>
  <si>
    <t>14301629</t>
  </si>
  <si>
    <t>2f6711f9-80f3-4280-85fe-7377f41d111e</t>
  </si>
  <si>
    <t>27767800653</t>
  </si>
  <si>
    <t>14301736</t>
  </si>
  <si>
    <t>3d4a0bae-7537-4f26-9353-1375fa1d302a</t>
  </si>
  <si>
    <t>27794754693</t>
  </si>
  <si>
    <t>14301726</t>
  </si>
  <si>
    <t>7bb6ec8c-f861-4b78-9e90-6b0f517e9c8f</t>
  </si>
  <si>
    <t>27663447158</t>
  </si>
  <si>
    <t>2026-05-26 06:45:45</t>
  </si>
  <si>
    <t>14301633</t>
  </si>
  <si>
    <t>9cfd90c5-6317-40af-8a30-08afe1fd67f3</t>
  </si>
  <si>
    <t>2026-05-26 06:45:40</t>
  </si>
  <si>
    <t>27724537457</t>
  </si>
  <si>
    <t>14301912</t>
  </si>
  <si>
    <t>f28c3e85-fe63-49f2-8b1d-15718fcc69bf</t>
  </si>
  <si>
    <t>27826851550</t>
  </si>
  <si>
    <t>14301650</t>
  </si>
  <si>
    <t>4aca46d0-b226-4430-b582-58b83ebd8098</t>
  </si>
  <si>
    <t>2026-05-26 06:45:28</t>
  </si>
  <si>
    <t>27826279953</t>
  </si>
  <si>
    <t>14301739</t>
  </si>
  <si>
    <t>ac7c0aed-2155-413a-9085-0f68ba7a1c78</t>
  </si>
  <si>
    <t>2026-05-26 06:45:16</t>
  </si>
  <si>
    <t>27716589897</t>
  </si>
  <si>
    <t>14301683</t>
  </si>
  <si>
    <t>f1243a25-92f3-4110-bccf-d823f47bc0e5</t>
  </si>
  <si>
    <t>27826607322</t>
  </si>
  <si>
    <t>14301628</t>
  </si>
  <si>
    <t>7d9c03af-f29d-4bf0-b355-91f20687be10</t>
  </si>
  <si>
    <t>27794270653</t>
  </si>
  <si>
    <t>14301638</t>
  </si>
  <si>
    <t>cf86f64e-52e2-449b-a232-b37dc1ab6e56</t>
  </si>
  <si>
    <t>27726734098</t>
  </si>
  <si>
    <t>14301918</t>
  </si>
  <si>
    <t>d6d51c84-5ef4-4410-9fa0-951dc81014bf</t>
  </si>
  <si>
    <t>2026-05-26 06:44:41</t>
  </si>
  <si>
    <t>27660612138</t>
  </si>
  <si>
    <t>14301660</t>
  </si>
  <si>
    <t>8254a568-cd95-4862-8dcd-6bbbffe8ae5f</t>
  </si>
  <si>
    <t>2026-05-26 06:44:32</t>
  </si>
  <si>
    <t>27607185298</t>
  </si>
  <si>
    <t>14301686</t>
  </si>
  <si>
    <t>98a23bec-a9bb-4473-9833-11c1fdfbb1ee</t>
  </si>
  <si>
    <t>2026-05-26 06:44:27</t>
  </si>
  <si>
    <t>27608336841</t>
  </si>
  <si>
    <t>14301749</t>
  </si>
  <si>
    <t>fcd5aed2-e0cc-4f86-aeed-bdfd803267d1</t>
  </si>
  <si>
    <t>27608731328</t>
  </si>
  <si>
    <t>14301635</t>
  </si>
  <si>
    <t>4694a004-a5b0-43a5-af63-479656d8bcce</t>
  </si>
  <si>
    <t>2026-05-26 06:44:26</t>
  </si>
  <si>
    <t>27765183825</t>
  </si>
  <si>
    <t>14301645</t>
  </si>
  <si>
    <t>56ccca0d-ee70-4737-a8db-cc7c6935265c</t>
  </si>
  <si>
    <t>27660916520</t>
  </si>
  <si>
    <t>14301647</t>
  </si>
  <si>
    <t>a812c17b-d2db-4249-9bc0-b20dbb2859de</t>
  </si>
  <si>
    <t>2026-05-26 06:42:23</t>
  </si>
  <si>
    <t>27721575807</t>
  </si>
  <si>
    <t>14301928</t>
  </si>
  <si>
    <t>77a26394-3671-419e-8000-838aaaa5c874</t>
  </si>
  <si>
    <t>2026-05-26 06:42:20</t>
  </si>
  <si>
    <t>27818721276</t>
  </si>
  <si>
    <t>14301667</t>
  </si>
  <si>
    <t>5218eec5-599d-4efe-af8d-d03844b9d340</t>
  </si>
  <si>
    <t>2026-05-26 06:42:15</t>
  </si>
  <si>
    <t>27660786596</t>
  </si>
  <si>
    <t>14301654</t>
  </si>
  <si>
    <t>b89aa96a-23e6-49ed-bf66-acc82e583cc2</t>
  </si>
  <si>
    <t>2026-05-26 06:42:02</t>
  </si>
  <si>
    <t>27735545686</t>
  </si>
  <si>
    <t>14301692</t>
  </si>
  <si>
    <t>bfb1ab6a-dcd8-45cf-8133-cd8bf78ba47c</t>
  </si>
  <si>
    <t>27797427843</t>
  </si>
  <si>
    <t>14301757</t>
  </si>
  <si>
    <t>20cd989d-0966-4118-a7c5-7e1b8732ab79</t>
  </si>
  <si>
    <t>27768098498</t>
  </si>
  <si>
    <t>14301643</t>
  </si>
  <si>
    <t>85a6f18b-f6b2-4321-b9ac-b620ffaabbed</t>
  </si>
  <si>
    <t>27799963003</t>
  </si>
  <si>
    <t>14301903</t>
  </si>
  <si>
    <t>4f047d35-e0f7-4eac-a7e2-aaea17beb03b</t>
  </si>
  <si>
    <t>27761671598</t>
  </si>
  <si>
    <t>2026-05-26 06:41:42</t>
  </si>
  <si>
    <t>14301804</t>
  </si>
  <si>
    <t>ed44c6ad-636b-48e6-81f1-3a9b27ef9848</t>
  </si>
  <si>
    <t>27675340398</t>
  </si>
  <si>
    <t>2026-05-26 06:40:13</t>
  </si>
  <si>
    <t>14301665</t>
  </si>
  <si>
    <t>cfa6c850-886b-4752-973a-b2b03afaf0a1</t>
  </si>
  <si>
    <t>2026-05-26 06:40:09</t>
  </si>
  <si>
    <t>27711227725</t>
  </si>
  <si>
    <t>14301760</t>
  </si>
  <si>
    <t>ef057a31-9f7e-4366-add2-bf07bae7823f</t>
  </si>
  <si>
    <t>27795844026</t>
  </si>
  <si>
    <t>14301662</t>
  </si>
  <si>
    <t>c4d102b7-69d3-4d76-987b-baebdcdf8078</t>
  </si>
  <si>
    <t>2026-05-26 06:40:08</t>
  </si>
  <si>
    <t>27794186516</t>
  </si>
  <si>
    <t>14301933</t>
  </si>
  <si>
    <t>0352f394-8306-4e4d-860f-92514e06a962</t>
  </si>
  <si>
    <t>27712253702</t>
  </si>
  <si>
    <t>14301675</t>
  </si>
  <si>
    <t>97de23f6-9512-4051-ae23-b8cb360e285f</t>
  </si>
  <si>
    <t>2026-05-26 06:39:21</t>
  </si>
  <si>
    <t>27828387894</t>
  </si>
  <si>
    <t>14301656</t>
  </si>
  <si>
    <t>9d30ed7e-2356-4858-8855-0e65a0dd0f1a</t>
  </si>
  <si>
    <t>2026-05-26 06:39:16</t>
  </si>
  <si>
    <t>27712175784</t>
  </si>
  <si>
    <t>14301666</t>
  </si>
  <si>
    <t>e8e6a2aa-b059-46a7-8c85-5d181b33ec8d</t>
  </si>
  <si>
    <t>27769054537</t>
  </si>
  <si>
    <t>14301709</t>
  </si>
  <si>
    <t>fbc33bc5-dd61-48b7-a5b2-81f84bf47f4d</t>
  </si>
  <si>
    <t>27720785162</t>
  </si>
  <si>
    <t>14301774</t>
  </si>
  <si>
    <t>1f0ffd26-d0b7-423d-9182-56defb9f6f91</t>
  </si>
  <si>
    <t>27765298576</t>
  </si>
  <si>
    <t>14301931</t>
  </si>
  <si>
    <t>134b63fc-fbf6-4add-99c8-6fa904f1ea67</t>
  </si>
  <si>
    <t>27768327175</t>
  </si>
  <si>
    <t>2026-05-26 06:36:43</t>
  </si>
  <si>
    <t>14301704</t>
  </si>
  <si>
    <t>b1900269-3ab6-40f6-802e-edbc1fd00058</t>
  </si>
  <si>
    <t>2026-05-26 06:36:38</t>
  </si>
  <si>
    <t>27793137980</t>
  </si>
  <si>
    <t>14301831</t>
  </si>
  <si>
    <t>6d7d1894-15eb-403b-8470-08f0c5714529</t>
  </si>
  <si>
    <t>27661438372</t>
  </si>
  <si>
    <t>2026-05-26 06:36:34</t>
  </si>
  <si>
    <t>14301681</t>
  </si>
  <si>
    <t>95cc49eb-e1c2-4fd4-adbb-7105e2449a7b</t>
  </si>
  <si>
    <t>2026-05-26 06:36:31</t>
  </si>
  <si>
    <t>27796222548</t>
  </si>
  <si>
    <t>14301782</t>
  </si>
  <si>
    <t>b5ec7421-ce15-4e55-9934-c3ee8f24622b</t>
  </si>
  <si>
    <t>2026-05-26 06:36:14</t>
  </si>
  <si>
    <t>27791288600</t>
  </si>
  <si>
    <t>14301676</t>
  </si>
  <si>
    <t>7ba0342b-6611-4f2d-93e9-04d8dd6440a9</t>
  </si>
  <si>
    <t>27637886537</t>
  </si>
  <si>
    <t>2026-05-26 06:36:13</t>
  </si>
  <si>
    <t>14301690</t>
  </si>
  <si>
    <t>e4b67dd5-0c38-45b6-88ad-2ce137a4e2ec</t>
  </si>
  <si>
    <t>27763507710</t>
  </si>
  <si>
    <t>2026-05-26 06:35:59</t>
  </si>
  <si>
    <t>14301725</t>
  </si>
  <si>
    <t>dc2308f2-0244-4813-a2dc-a31159309ae9</t>
  </si>
  <si>
    <t>27647951621</t>
  </si>
  <si>
    <t>14301800</t>
  </si>
  <si>
    <t>2779ce57-d3df-4dd7-9677-9ca4465c2fc6</t>
  </si>
  <si>
    <t>27761378337</t>
  </si>
  <si>
    <t>14301955</t>
  </si>
  <si>
    <t>9184d491-5a48-4939-974b-3625dd0cd639</t>
  </si>
  <si>
    <t>27766313922</t>
  </si>
  <si>
    <t>14301671</t>
  </si>
  <si>
    <t>f9d5f2ce-3da4-4758-ab11-953cf6b4db7e</t>
  </si>
  <si>
    <t>27765195410</t>
  </si>
  <si>
    <t>2026-05-26 06:35:57</t>
  </si>
  <si>
    <t>14301682</t>
  </si>
  <si>
    <t>37274b65-f345-4b76-b585-f0aa725038b3</t>
  </si>
  <si>
    <t>27796673106</t>
  </si>
  <si>
    <t>14301886</t>
  </si>
  <si>
    <t>6bd089b1-6e12-4695-973b-2a9f6387adff</t>
  </si>
  <si>
    <t>2026-05-26 06:35:08</t>
  </si>
  <si>
    <t>27829208523</t>
  </si>
  <si>
    <t>14301743</t>
  </si>
  <si>
    <t>cc4f36bd-c446-4170-9d62-db9f04647d19</t>
  </si>
  <si>
    <t>27648869606</t>
  </si>
  <si>
    <t>2026-05-26 06:35:06</t>
  </si>
  <si>
    <t>14301714</t>
  </si>
  <si>
    <t>02629d82-91bc-45e7-9204-4e1a1f3e304c</t>
  </si>
  <si>
    <t>2026-05-26 06:35:03</t>
  </si>
  <si>
    <t>27760672290</t>
  </si>
  <si>
    <t>14301730</t>
  </si>
  <si>
    <t>51186ed5-8370-4e24-bb7e-a2bb61d2efec</t>
  </si>
  <si>
    <t>2026-05-26 06:34:53</t>
  </si>
  <si>
    <t>27769433801</t>
  </si>
  <si>
    <t>14301705</t>
  </si>
  <si>
    <t>1105f746-cfbb-4f89-9035-e975b697ad66</t>
  </si>
  <si>
    <t>2026-05-26 06:34:44</t>
  </si>
  <si>
    <t>27663798299</t>
  </si>
  <si>
    <t>14301943</t>
  </si>
  <si>
    <t>bbb3fe16-3a38-47e2-8b95-ca4f83bad68b</t>
  </si>
  <si>
    <t>27728180454</t>
  </si>
  <si>
    <t>14301707</t>
  </si>
  <si>
    <t>99d9a6a4-81a1-4b6d-8911-fa1e37a585c1</t>
  </si>
  <si>
    <t>2026-05-26 06:34:42</t>
  </si>
  <si>
    <t>27818448106</t>
  </si>
  <si>
    <t>14301735</t>
  </si>
  <si>
    <t>2c42aa04-2df6-41d2-b449-aca639e8b7d6</t>
  </si>
  <si>
    <t>27793773882</t>
  </si>
  <si>
    <t>14301857</t>
  </si>
  <si>
    <t>baf0c7a9-7b64-4eeb-9ee4-1bfd44a710bd</t>
  </si>
  <si>
    <t>27792559644</t>
  </si>
  <si>
    <t>14302039</t>
  </si>
  <si>
    <t>f0024cb9-1c84-403b-aa3d-3da2c8f5dd8d</t>
  </si>
  <si>
    <t>27766983395</t>
  </si>
  <si>
    <t>14301703</t>
  </si>
  <si>
    <t>ec1ec5a1-54f1-4e42-82b0-0598cc45b788</t>
  </si>
  <si>
    <t>27794886315</t>
  </si>
  <si>
    <t>2026-05-26 06:34:13</t>
  </si>
  <si>
    <t>14301821</t>
  </si>
  <si>
    <t>f704489c-1f24-4254-82ca-f8e988a09651</t>
  </si>
  <si>
    <t>27828463320</t>
  </si>
  <si>
    <t>14301962</t>
  </si>
  <si>
    <t>c7e0e3a0-0b38-4d60-ab6f-090f357e4024</t>
  </si>
  <si>
    <t>2026-05-26 06:34:07</t>
  </si>
  <si>
    <t>27822196111</t>
  </si>
  <si>
    <t>14301751</t>
  </si>
  <si>
    <t>0c59eb68-8b54-43cd-ad71-0a1228df8da9</t>
  </si>
  <si>
    <t>27648893141</t>
  </si>
  <si>
    <t>2026-05-26 06:34:06</t>
  </si>
  <si>
    <t>14301718</t>
  </si>
  <si>
    <t>db850df2-a721-4090-ae4f-eea31ebe382f</t>
  </si>
  <si>
    <t>27738824385</t>
  </si>
  <si>
    <t>14301834</t>
  </si>
  <si>
    <t>df5c067d-c493-4490-af38-37574cdeadae</t>
  </si>
  <si>
    <t>27711694203</t>
  </si>
  <si>
    <t>14301889</t>
  </si>
  <si>
    <t>db44b2e8-98fa-4afd-9c58-ea46c4906655</t>
  </si>
  <si>
    <t>27820573896</t>
  </si>
  <si>
    <t>2026-05-26 06:33:35</t>
  </si>
  <si>
    <t>14301696</t>
  </si>
  <si>
    <t>019acb33-021b-4045-88c0-15499be84619</t>
  </si>
  <si>
    <t>2026-05-26 06:33:31</t>
  </si>
  <si>
    <t>27727690581</t>
  </si>
  <si>
    <t>14301708</t>
  </si>
  <si>
    <t>ba9a9714-ded9-4827-97b0-9c136ac84b42</t>
  </si>
  <si>
    <t>2026-05-26 06:33:22</t>
  </si>
  <si>
    <t>27766340187</t>
  </si>
  <si>
    <t>14301770</t>
  </si>
  <si>
    <t>e882d214-397b-4273-b0e5-deb570b3fe36</t>
  </si>
  <si>
    <t>2026-05-26 06:33:11</t>
  </si>
  <si>
    <t>27715735123</t>
  </si>
  <si>
    <t>14301755</t>
  </si>
  <si>
    <t>d79f0369-0add-48c4-a1e1-96bbc8b2531d</t>
  </si>
  <si>
    <t>27647635392</t>
  </si>
  <si>
    <t>2026-05-26 06:33:10</t>
  </si>
  <si>
    <t>14301737</t>
  </si>
  <si>
    <t>c5cf1737-ebae-403b-8091-18885a6e0064</t>
  </si>
  <si>
    <t>27769615329</t>
  </si>
  <si>
    <t>14301731</t>
  </si>
  <si>
    <t>c395c19a-d1f2-4cc2-bed8-937937923752</t>
  </si>
  <si>
    <t>2026-05-26 06:32:39</t>
  </si>
  <si>
    <t>27646744072</t>
  </si>
  <si>
    <t>14301959</t>
  </si>
  <si>
    <t>58bc6ad1-a68a-4354-be14-73ca7871b442</t>
  </si>
  <si>
    <t>2026-05-26 06:32:38</t>
  </si>
  <si>
    <t>27766168237</t>
  </si>
  <si>
    <t>14301756</t>
  </si>
  <si>
    <t>29a86b6a-7a7e-4e71-9801-0ca93186586f</t>
  </si>
  <si>
    <t>2026-05-26 06:32:36</t>
  </si>
  <si>
    <t>27735572914</t>
  </si>
  <si>
    <t>14302219</t>
  </si>
  <si>
    <t>8c574259-c316-4f75-a84b-5fc6654b8643</t>
  </si>
  <si>
    <t>27714350772</t>
  </si>
  <si>
    <t>14301732</t>
  </si>
  <si>
    <t>fa7f3d7a-11e0-4709-84c5-a489d9dddfda</t>
  </si>
  <si>
    <t>2026-05-26 06:32:35</t>
  </si>
  <si>
    <t>27722108626</t>
  </si>
  <si>
    <t>14301847</t>
  </si>
  <si>
    <t>14b61346-9c7e-46bf-8527-6db7af82a675</t>
  </si>
  <si>
    <t>27827839437</t>
  </si>
  <si>
    <t>14301874</t>
  </si>
  <si>
    <t>d59789a9-1faf-4d7c-aac1-bb57fc27db0c</t>
  </si>
  <si>
    <t>27608397977</t>
  </si>
  <si>
    <t>14301727</t>
  </si>
  <si>
    <t>9b438888-7171-4de9-be7a-18a4034cc92b</t>
  </si>
  <si>
    <t>2026-05-26 06:32:32</t>
  </si>
  <si>
    <t>27660806693</t>
  </si>
  <si>
    <t>14301972</t>
  </si>
  <si>
    <t>ac1eb9a3-c0d2-4040-959c-eb2f577eeb69</t>
  </si>
  <si>
    <t>2026-05-26 06:32:31</t>
  </si>
  <si>
    <t>27761657527</t>
  </si>
  <si>
    <t>14301747</t>
  </si>
  <si>
    <t>2e81d689-a15d-4964-855e-353f8dc7323f</t>
  </si>
  <si>
    <t>2026-05-26 06:32:07</t>
  </si>
  <si>
    <t>27798644669</t>
  </si>
  <si>
    <t>14301780</t>
  </si>
  <si>
    <t>dc5f450d-1f48-439d-8e31-dd3318fec737</t>
  </si>
  <si>
    <t>2026-05-26 06:32:03</t>
  </si>
  <si>
    <t>27723378027</t>
  </si>
  <si>
    <t>14301721</t>
  </si>
  <si>
    <t>74c3ca50-26ea-4848-9f3f-01a1e43bebb6</t>
  </si>
  <si>
    <t>27720878977</t>
  </si>
  <si>
    <t>14301734</t>
  </si>
  <si>
    <t>74506c38-c693-4e73-8464-d747e145b5fe</t>
  </si>
  <si>
    <t>27712031623</t>
  </si>
  <si>
    <t>14301854</t>
  </si>
  <si>
    <t>c20bcd6a-27ba-4c72-9ce9-80b5e7102ed2</t>
  </si>
  <si>
    <t>27794133967</t>
  </si>
  <si>
    <t>14301815</t>
  </si>
  <si>
    <t>aafaa9c5-9337-4719-bf1d-da46719d13d5</t>
  </si>
  <si>
    <t>2026-05-26 06:31:31</t>
  </si>
  <si>
    <t>27786929383</t>
  </si>
  <si>
    <t>14302057</t>
  </si>
  <si>
    <t>b6f73cb9-7370-4174-86fd-06d1ca093c28</t>
  </si>
  <si>
    <t>27766013780</t>
  </si>
  <si>
    <t>14301805</t>
  </si>
  <si>
    <t>084bf704-c6b2-4bff-8401-281dfa04a3a4</t>
  </si>
  <si>
    <t>2026-05-26 06:31:25</t>
  </si>
  <si>
    <t>27609515010</t>
  </si>
  <si>
    <t>14301919</t>
  </si>
  <si>
    <t>fe4415db-0b22-41d2-aad7-d0a635d1d690</t>
  </si>
  <si>
    <t>27721873193</t>
  </si>
  <si>
    <t>14301771</t>
  </si>
  <si>
    <t>7811a0b5-5cae-4c22-a7eb-b86fe9170ea8</t>
  </si>
  <si>
    <t>2026-05-26 06:31:20</t>
  </si>
  <si>
    <t>27729081790</t>
  </si>
  <si>
    <t>14301793</t>
  </si>
  <si>
    <t>7c5c935a-80e3-462f-8268-3eb5525de7fd</t>
  </si>
  <si>
    <t>27676889928</t>
  </si>
  <si>
    <t>2026-05-26 06:31:08</t>
  </si>
  <si>
    <t>14301764</t>
  </si>
  <si>
    <t>355f1a65-6fe1-4182-8837-a8dafc32f4e4</t>
  </si>
  <si>
    <t>2026-05-26 06:31:07</t>
  </si>
  <si>
    <t>27727510093</t>
  </si>
  <si>
    <t>14301796</t>
  </si>
  <si>
    <t>6882fe2f-6719-4c5a-bf86-7d5e6bb6f5f1</t>
  </si>
  <si>
    <t>2026-05-26 06:31:01</t>
  </si>
  <si>
    <t>27674191227</t>
  </si>
  <si>
    <t>14301905</t>
  </si>
  <si>
    <t>30893f86-e4ce-4605-b958-56fe69227bea</t>
  </si>
  <si>
    <t>27723064848</t>
  </si>
  <si>
    <t>14301973</t>
  </si>
  <si>
    <t>489a233a-3729-4f1f-933e-9061af4db3a9</t>
  </si>
  <si>
    <t>27713476487</t>
  </si>
  <si>
    <t>14302236</t>
  </si>
  <si>
    <t>2b811419-716a-457b-9b57-c5ff2005d114</t>
  </si>
  <si>
    <t>27664715232</t>
  </si>
  <si>
    <t>14301765</t>
  </si>
  <si>
    <t>f1ac03b9-1c3a-4311-92a8-903ce8af0621</t>
  </si>
  <si>
    <t>2026-05-26 06:30:58</t>
  </si>
  <si>
    <t>27727865964</t>
  </si>
  <si>
    <t>14301871</t>
  </si>
  <si>
    <t>28bcef14-780a-42aa-b622-25dafb8538fc</t>
  </si>
  <si>
    <t>27793901105</t>
  </si>
  <si>
    <t>2026-05-26 06:30:53</t>
  </si>
  <si>
    <t>14301759</t>
  </si>
  <si>
    <t>79b70515-f3f1-4030-befc-f2a13f7b3d19</t>
  </si>
  <si>
    <t>2026-05-26 06:30:45</t>
  </si>
  <si>
    <t>27712978535</t>
  </si>
  <si>
    <t>14301777</t>
  </si>
  <si>
    <t>7324cfc7-334c-415e-89c8-c4fbcf45618f</t>
  </si>
  <si>
    <t>2026-05-26 06:29:47</t>
  </si>
  <si>
    <t>27660804137</t>
  </si>
  <si>
    <t>14301819</t>
  </si>
  <si>
    <t>b187ef01-3cbe-4f1d-98d3-75cdf43865d8</t>
  </si>
  <si>
    <t>2026-05-26 06:29:45</t>
  </si>
  <si>
    <t>27794115635</t>
  </si>
  <si>
    <t>14301877</t>
  </si>
  <si>
    <t>8b5db21f-fc78-473b-be7f-eed286c48ec8</t>
  </si>
  <si>
    <t>2026-05-26 06:29:42</t>
  </si>
  <si>
    <t>27762692409</t>
  </si>
  <si>
    <t>14301752</t>
  </si>
  <si>
    <t>664f2271-1b4e-4192-a039-e5609c90cf55</t>
  </si>
  <si>
    <t>27760855632</t>
  </si>
  <si>
    <t>2026-05-26 06:29:41</t>
  </si>
  <si>
    <t>14301766</t>
  </si>
  <si>
    <t>3324c812-8ad6-412c-a2b6-4437178f2318</t>
  </si>
  <si>
    <t>27729327266</t>
  </si>
  <si>
    <t>2026-05-26 06:29:39</t>
  </si>
  <si>
    <t>14301311</t>
  </si>
  <si>
    <t>4b8a14b1-8c6d-4da0-871d-2461606241d8</t>
  </si>
  <si>
    <t>2026-05-26 06:29:35</t>
  </si>
  <si>
    <t>27727564222</t>
  </si>
  <si>
    <t>14301310</t>
  </si>
  <si>
    <t>eed858d8-7f56-43f5-a676-f5b23fea59da</t>
  </si>
  <si>
    <t>27721108252</t>
  </si>
  <si>
    <t>2026-05-26 06:29:32</t>
  </si>
  <si>
    <t>14301797</t>
  </si>
  <si>
    <t>9314b067-4129-4751-b47d-3060bf33f94c</t>
  </si>
  <si>
    <t>2026-05-26 06:29:30</t>
  </si>
  <si>
    <t>27823978893</t>
  </si>
  <si>
    <t>14301309</t>
  </si>
  <si>
    <t>104e35d1-38ce-4336-a557-cdeb3a4f747f</t>
  </si>
  <si>
    <t>2026-05-26 06:29:29</t>
  </si>
  <si>
    <t>27827889590</t>
  </si>
  <si>
    <t>14301308</t>
  </si>
  <si>
    <t>76cc93cf-bec3-4f90-af59-a96d197dc20a</t>
  </si>
  <si>
    <t>2026-05-26 06:29:28</t>
  </si>
  <si>
    <t>27712268507</t>
  </si>
  <si>
    <t>14301305</t>
  </si>
  <si>
    <t>5ddf414e-403f-4457-ab24-6921a300fb76</t>
  </si>
  <si>
    <t>27790211498</t>
  </si>
  <si>
    <t>2026-05-26 06:29:26</t>
  </si>
  <si>
    <t>14301306</t>
  </si>
  <si>
    <t>fdbe3add-76e6-4c65-8d6c-3023b0fa4032</t>
  </si>
  <si>
    <t>27714242228</t>
  </si>
  <si>
    <t>14301307</t>
  </si>
  <si>
    <t>ff7ea216-2d02-403e-ae72-66ecce6348ba</t>
  </si>
  <si>
    <t>27794083551</t>
  </si>
  <si>
    <t>14301303</t>
  </si>
  <si>
    <t>d8dca90f-baeb-4cd7-a748-4902179f96e2</t>
  </si>
  <si>
    <t>2026-05-26 06:29:25</t>
  </si>
  <si>
    <t>27723329461</t>
  </si>
  <si>
    <t>14301119</t>
  </si>
  <si>
    <t>46510bec-c9b9-4982-84fd-b2ae478ce693</t>
  </si>
  <si>
    <t>2026-05-26 06:29:24</t>
  </si>
  <si>
    <t>27792878457</t>
  </si>
  <si>
    <t>14301300</t>
  </si>
  <si>
    <t>fa6c8b0a-d83f-4334-9139-051f1ffdb249</t>
  </si>
  <si>
    <t>27769209862</t>
  </si>
  <si>
    <t>14301302</t>
  </si>
  <si>
    <t>0478b20c-ccf5-4e68-9d36-7a87e031eef7</t>
  </si>
  <si>
    <t>27822828456</t>
  </si>
  <si>
    <t>14301299</t>
  </si>
  <si>
    <t>b05ca858-9ed6-4a8a-8e24-1bd97fb45479</t>
  </si>
  <si>
    <t>2026-05-26 06:28:41</t>
  </si>
  <si>
    <t>27792877934</t>
  </si>
  <si>
    <t>14301823</t>
  </si>
  <si>
    <t>7bf98577-44d8-46ba-9ace-e058901c83c6</t>
  </si>
  <si>
    <t>27657032955</t>
  </si>
  <si>
    <t>2026-05-26 06:28:39</t>
  </si>
  <si>
    <t>14301786</t>
  </si>
  <si>
    <t>03d0c0c5-ef1e-48a8-a514-0d35d8d6c5bc</t>
  </si>
  <si>
    <t>27823004946</t>
  </si>
  <si>
    <t>14301880</t>
  </si>
  <si>
    <t>cb732e77-ab2d-427e-b2fa-c5b608af8ad6</t>
  </si>
  <si>
    <t>27827128502</t>
  </si>
  <si>
    <t>14301761</t>
  </si>
  <si>
    <t>a91d88e5-616e-4659-a6d2-e45bf58e3318</t>
  </si>
  <si>
    <t>2026-05-26 06:28:38</t>
  </si>
  <si>
    <t>27723415294</t>
  </si>
  <si>
    <t>14301773</t>
  </si>
  <si>
    <t>cb261cc3-144d-4cdb-a972-f2f77e0b4d28</t>
  </si>
  <si>
    <t>27792377329</t>
  </si>
  <si>
    <t>14301794</t>
  </si>
  <si>
    <t>74f8af54-e50d-4c28-8d56-60cc4d90db2a</t>
  </si>
  <si>
    <t>27711319651</t>
  </si>
  <si>
    <t>2026-05-26 06:27:56</t>
  </si>
  <si>
    <t>14301768</t>
  </si>
  <si>
    <t>f337888f-9a7b-4889-9428-c52209ddda0c</t>
  </si>
  <si>
    <t>2026-05-26 06:27:20</t>
  </si>
  <si>
    <t>27797063850</t>
  </si>
  <si>
    <t>14301828</t>
  </si>
  <si>
    <t>84cdbf23-0ece-4d5c-a0a3-b6c3f1f57d22</t>
  </si>
  <si>
    <t>27828866804</t>
  </si>
  <si>
    <t>14301884</t>
  </si>
  <si>
    <t>bb3ab2f2-6615-4fa2-9173-bc4fbfa0580f</t>
  </si>
  <si>
    <t>27660072307</t>
  </si>
  <si>
    <t>14301790</t>
  </si>
  <si>
    <t>d9cc1dc6-adf3-4e6f-b1c4-138348c34a35</t>
  </si>
  <si>
    <t>2026-05-26 06:16:12</t>
  </si>
  <si>
    <t>27646388419</t>
  </si>
  <si>
    <t>14301785</t>
  </si>
  <si>
    <t>8621fff5-82a1-4634-9a42-8d1c7125bcdb</t>
  </si>
  <si>
    <t>27827022536</t>
  </si>
  <si>
    <t>2026-05-26 06:16:08</t>
  </si>
  <si>
    <t>14301993</t>
  </si>
  <si>
    <t>fab712e0-ee30-4cbf-a9ed-ea5c73eac4f0</t>
  </si>
  <si>
    <t>27792561767</t>
  </si>
  <si>
    <t>14301801</t>
  </si>
  <si>
    <t>507298ca-9f2a-4dee-9896-b106397f2a77</t>
  </si>
  <si>
    <t>27762764776</t>
  </si>
  <si>
    <t>2026-05-26 06:16:07</t>
  </si>
  <si>
    <t>14301779</t>
  </si>
  <si>
    <t>c1fc8c78-e204-4ae2-aa6b-abdc8007b8ee</t>
  </si>
  <si>
    <t>27665023414</t>
  </si>
  <si>
    <t>2026-05-26 06:16:01</t>
  </si>
  <si>
    <t>14301836</t>
  </si>
  <si>
    <t>793e790d-d3c7-42b6-9a25-78167d94724e</t>
  </si>
  <si>
    <t>27827957607</t>
  </si>
  <si>
    <t>14301792</t>
  </si>
  <si>
    <t>b038c170-5c5d-4be9-ad60-256265f307fe</t>
  </si>
  <si>
    <t>27720345612</t>
  </si>
  <si>
    <t>2026-05-26 06:16:00</t>
  </si>
  <si>
    <t>14301783</t>
  </si>
  <si>
    <t>787686ca-9221-4395-9077-ab5a624e52a4</t>
  </si>
  <si>
    <t>27722417679</t>
  </si>
  <si>
    <t>2026-05-26 06:15:01</t>
  </si>
  <si>
    <t>14301795</t>
  </si>
  <si>
    <t>c132a85a-8d95-4a16-93f9-5890616c2c49</t>
  </si>
  <si>
    <t>27713878386</t>
  </si>
  <si>
    <t>14301845</t>
  </si>
  <si>
    <t>ff1520fd-f28b-4873-8838-38b229696ee8</t>
  </si>
  <si>
    <t>27636740603</t>
  </si>
  <si>
    <t>14301915</t>
  </si>
  <si>
    <t>f2299aae-e1ac-4c21-8f3f-f6d381d51212</t>
  </si>
  <si>
    <t>27713403632</t>
  </si>
  <si>
    <t>2026-05-26 06:14:14</t>
  </si>
  <si>
    <t>14301807</t>
  </si>
  <si>
    <t>599e276f-4e13-40e8-8fd3-a506ff1ee8a7</t>
  </si>
  <si>
    <t>2026-05-26 06:13:33</t>
  </si>
  <si>
    <t>27714868450</t>
  </si>
  <si>
    <t>14302238</t>
  </si>
  <si>
    <t>bdadee7e-f6c6-4750-9d47-32a60767a2dc</t>
  </si>
  <si>
    <t>27728366506</t>
  </si>
  <si>
    <t>14301891</t>
  </si>
  <si>
    <t>afc302c1-69f6-4900-ba59-f6799ef0e1aa</t>
  </si>
  <si>
    <t>2026-05-26 06:13:32</t>
  </si>
  <si>
    <t>27773615909</t>
  </si>
  <si>
    <t>14301802</t>
  </si>
  <si>
    <t>f7993841-376f-4f03-9fff-6e0b88667e68</t>
  </si>
  <si>
    <t>2026-05-26 06:13:30</t>
  </si>
  <si>
    <t>27760824529</t>
  </si>
  <si>
    <t>14301826</t>
  </si>
  <si>
    <t>45164abd-48d5-4478-a6f2-0ace508ee58b</t>
  </si>
  <si>
    <t>2026-05-26 06:13:25</t>
  </si>
  <si>
    <t>27768160114</t>
  </si>
  <si>
    <t>14301860</t>
  </si>
  <si>
    <t>bde802b1-c6a5-47b5-b8b2-1a26a88056f8</t>
  </si>
  <si>
    <t>2026-05-26 06:13:24</t>
  </si>
  <si>
    <t>27711629570</t>
  </si>
  <si>
    <t>14301830</t>
  </si>
  <si>
    <t>385f409a-6805-4eaa-a4f5-984459882beb</t>
  </si>
  <si>
    <t>27761669056</t>
  </si>
  <si>
    <t>2026-05-26 06:13:04</t>
  </si>
  <si>
    <t>14302085</t>
  </si>
  <si>
    <t>474f6c2b-9614-4f95-930d-668e9c4f9e31</t>
  </si>
  <si>
    <t>27725541981</t>
  </si>
  <si>
    <t>2026-05-26 06:12:55</t>
  </si>
  <si>
    <t>14301798</t>
  </si>
  <si>
    <t>c2cb848a-1239-4b2d-a1a5-a0f0ad15db6c</t>
  </si>
  <si>
    <t>27828332309</t>
  </si>
  <si>
    <t>2026-05-26 06:12:52</t>
  </si>
  <si>
    <t>14301810</t>
  </si>
  <si>
    <t>cfc7c329-f8a7-474f-ba1f-cbb12de39a2b</t>
  </si>
  <si>
    <t>27637313569</t>
  </si>
  <si>
    <t>14301897</t>
  </si>
  <si>
    <t>5dd12c22-e729-40fe-8e1b-b1ec942b3a16</t>
  </si>
  <si>
    <t>27798296419</t>
  </si>
  <si>
    <t>14301863</t>
  </si>
  <si>
    <t>1ae94951-7902-4fa9-8b67-c9b06dda7add</t>
  </si>
  <si>
    <t>2026-05-26 06:12:01</t>
  </si>
  <si>
    <t>27729912453</t>
  </si>
  <si>
    <t>14301898</t>
  </si>
  <si>
    <t>e6cf18d1-f390-454e-be07-05d2baafe082</t>
  </si>
  <si>
    <t>27711111973</t>
  </si>
  <si>
    <t>14301816</t>
  </si>
  <si>
    <t>9a1bdc75-b294-4815-ae69-dfd3813a77ba</t>
  </si>
  <si>
    <t>2026-05-26 06:12:00</t>
  </si>
  <si>
    <t>27827930263</t>
  </si>
  <si>
    <t>14301803</t>
  </si>
  <si>
    <t>16ab4f28-c7f1-43b3-b9c2-128d4b17f60a</t>
  </si>
  <si>
    <t>27769789366</t>
  </si>
  <si>
    <t>14301822</t>
  </si>
  <si>
    <t>e6c5c9c3-9159-423d-a405-a70351d56a12</t>
  </si>
  <si>
    <t>2026-05-26 06:10:50</t>
  </si>
  <si>
    <t>27609659894</t>
  </si>
  <si>
    <t>14301809</t>
  </si>
  <si>
    <t>cc99ac32-d4d2-4d7b-865d-371895e44cfb</t>
  </si>
  <si>
    <t>27731998751</t>
  </si>
  <si>
    <t>14301868</t>
  </si>
  <si>
    <t>103d45b8-4348-4def-9443-b92c69523a3a</t>
  </si>
  <si>
    <t>27665314959</t>
  </si>
  <si>
    <t>14301900</t>
  </si>
  <si>
    <t>af829aa4-ca60-4bb3-8631-92abc1694a26</t>
  </si>
  <si>
    <t>27760452335</t>
  </si>
  <si>
    <t>14301824</t>
  </si>
  <si>
    <t>cdef7bda-1526-4cc9-96ca-18a592cc42f8</t>
  </si>
  <si>
    <t>2026-05-26 06:09:07</t>
  </si>
  <si>
    <t>27766964195</t>
  </si>
  <si>
    <t>14301812</t>
  </si>
  <si>
    <t>826695a5-fbda-4d25-957e-81e86e32d44b</t>
  </si>
  <si>
    <t>27728410572</t>
  </si>
  <si>
    <t>14301901</t>
  </si>
  <si>
    <t>4b741528-d0fc-4d0d-9152-81c7f42fac5b</t>
  </si>
  <si>
    <t>27799972580</t>
  </si>
  <si>
    <t>14301842</t>
  </si>
  <si>
    <t>d7950a66-6666-41a2-87c0-0f063bf0466e</t>
  </si>
  <si>
    <t>27822187159</t>
  </si>
  <si>
    <t>2026-05-26 06:08:33</t>
  </si>
  <si>
    <t>14301906</t>
  </si>
  <si>
    <t>a5a15de2-9fb3-4c3f-9f08-d0a048198350</t>
  </si>
  <si>
    <t>27792940760</t>
  </si>
  <si>
    <t>2026-05-26 06:08:32</t>
  </si>
  <si>
    <t>14301820</t>
  </si>
  <si>
    <t>e9129702-5717-4952-b537-76f7e3cb2f12</t>
  </si>
  <si>
    <t>2026-05-26 06:08:16</t>
  </si>
  <si>
    <t>27790963816</t>
  </si>
  <si>
    <t>14301829</t>
  </si>
  <si>
    <t>8d6cc926-b155-470d-ab15-b32169be0311</t>
  </si>
  <si>
    <t>27665554306</t>
  </si>
  <si>
    <t>14301872</t>
  </si>
  <si>
    <t>367e1a3f-079b-4501-87c9-2b21f15703f6</t>
  </si>
  <si>
    <t>27638214922</t>
  </si>
  <si>
    <t>14301922</t>
  </si>
  <si>
    <t>c1eff77c-2c2e-4037-a535-0672bf990ade</t>
  </si>
  <si>
    <t>27826331506</t>
  </si>
  <si>
    <t>2026-05-26 06:07:34</t>
  </si>
  <si>
    <t>14302282</t>
  </si>
  <si>
    <t>ab7f4f59-c917-44e9-bab9-fe95ffb223b0</t>
  </si>
  <si>
    <t>27764524376</t>
  </si>
  <si>
    <t>14301843</t>
  </si>
  <si>
    <t>f63bba9c-5465-4193-969c-907174c9e4bd</t>
  </si>
  <si>
    <t>27661269115</t>
  </si>
  <si>
    <t>2026-05-26 06:07:33</t>
  </si>
  <si>
    <t>14301839</t>
  </si>
  <si>
    <t>4d8ce8e4-a541-4863-b0a3-0bf49b1599e1</t>
  </si>
  <si>
    <t>2026-05-26 06:07:15</t>
  </si>
  <si>
    <t>27786989736</t>
  </si>
  <si>
    <t>14302048</t>
  </si>
  <si>
    <t>bd9bf025-b207-4f47-aed1-0c2d6395a598</t>
  </si>
  <si>
    <t>2026-05-26 06:06:55</t>
  </si>
  <si>
    <t>27768108833</t>
  </si>
  <si>
    <t>14301909</t>
  </si>
  <si>
    <t>490c882b-fbd6-4be2-8f68-512dc5e1d1ee</t>
  </si>
  <si>
    <t>2026-05-26 06:06:54</t>
  </si>
  <si>
    <t>27674378682</t>
  </si>
  <si>
    <t>14301858</t>
  </si>
  <si>
    <t>f837759d-f204-4fc2-a283-af2b29f01453</t>
  </si>
  <si>
    <t>27665516179</t>
  </si>
  <si>
    <t>14301883</t>
  </si>
  <si>
    <t>98aff23f-fa3b-4031-9373-7a823ae3592e</t>
  </si>
  <si>
    <t>27760969345</t>
  </si>
  <si>
    <t>14301832</t>
  </si>
  <si>
    <t>42f7936b-0ee5-43a2-b539-4d85c82a2767</t>
  </si>
  <si>
    <t>2026-05-26 06:06:44</t>
  </si>
  <si>
    <t>27661624202</t>
  </si>
  <si>
    <t>14301844</t>
  </si>
  <si>
    <t>1045ae34-1409-44f6-a430-8ac139da6fbc</t>
  </si>
  <si>
    <t>27661787564</t>
  </si>
  <si>
    <t>14301885</t>
  </si>
  <si>
    <t>ef79ab7e-66c6-4dcc-bdc7-9d4a2eaa6db6</t>
  </si>
  <si>
    <t>2026-05-26 06:06:02</t>
  </si>
  <si>
    <t>27727040018</t>
  </si>
  <si>
    <t>14301837</t>
  </si>
  <si>
    <t>4f6c80ee-56f5-41a8-a888-8df0e0711b86</t>
  </si>
  <si>
    <t>2026-05-26 06:06:01</t>
  </si>
  <si>
    <t>27762684659</t>
  </si>
  <si>
    <t>14301848</t>
  </si>
  <si>
    <t>c22ce7bd-4afc-43b4-9234-1d775b4a48fe</t>
  </si>
  <si>
    <t>27728660728</t>
  </si>
  <si>
    <t>14301911</t>
  </si>
  <si>
    <t>64017132-c792-430a-ab9c-447d1ad52219</t>
  </si>
  <si>
    <t>27713729308</t>
  </si>
  <si>
    <t>14301910</t>
  </si>
  <si>
    <t>304c989f-09b4-4fa2-b31b-86e6eb9a3071</t>
  </si>
  <si>
    <t>2026-05-26 06:04:07</t>
  </si>
  <si>
    <t>27711281517</t>
  </si>
  <si>
    <t>14302111</t>
  </si>
  <si>
    <t>00b831b1-20f0-4c04-ac5a-a441c97adaef</t>
  </si>
  <si>
    <t>2026-05-26 06:04:03</t>
  </si>
  <si>
    <t>27795538400</t>
  </si>
  <si>
    <t>14301859</t>
  </si>
  <si>
    <t>7e68207e-222b-4a4b-9457-d4f9a2343add</t>
  </si>
  <si>
    <t>2026-05-26 06:04:00</t>
  </si>
  <si>
    <t>27675653810</t>
  </si>
  <si>
    <t>14302283</t>
  </si>
  <si>
    <t>68552de4-6822-4d76-b003-85cacc8fb797</t>
  </si>
  <si>
    <t>2026-05-26 06:03:52</t>
  </si>
  <si>
    <t>27762638810</t>
  </si>
  <si>
    <t>14301846</t>
  </si>
  <si>
    <t>20a8f08d-c81e-4b36-a1a0-bf8623db0d0e</t>
  </si>
  <si>
    <t>2026-05-26 06:03:49</t>
  </si>
  <si>
    <t>27820798211</t>
  </si>
  <si>
    <t>14301920</t>
  </si>
  <si>
    <t>952d7d64-d48d-46ec-8394-e5e29236ba09</t>
  </si>
  <si>
    <t>27723239408</t>
  </si>
  <si>
    <t>14302442</t>
  </si>
  <si>
    <t>d9f2c343-7779-4d2a-b764-a1d0b30bc49d</t>
  </si>
  <si>
    <t>27727059047</t>
  </si>
  <si>
    <t>2026-05-25 18:31:12</t>
  </si>
  <si>
    <t>14302511</t>
  </si>
  <si>
    <t>99a9252d-876b-49db-9336-d4a5639385a4</t>
  </si>
  <si>
    <t>27768078729</t>
  </si>
  <si>
    <t>2026-05-25 16:02:57</t>
  </si>
  <si>
    <t>14301988</t>
  </si>
  <si>
    <t>b1ffb7ae-0b1d-471a-9027-86e35700f66d</t>
  </si>
  <si>
    <t>27760478423</t>
  </si>
  <si>
    <t>2026-05-25 15:34:19</t>
  </si>
  <si>
    <t>14301926</t>
  </si>
  <si>
    <t>c14751fd-b4df-4061-98ff-b5afb97c6a83</t>
  </si>
  <si>
    <t>2026-05-25 15:30:40</t>
  </si>
  <si>
    <t>27674521941</t>
  </si>
  <si>
    <t>14301869</t>
  </si>
  <si>
    <t>7f0bbc18-02dd-43ab-b14f-941531b9f640</t>
  </si>
  <si>
    <t>27795956935</t>
  </si>
  <si>
    <t>14302079</t>
  </si>
  <si>
    <t>f5a6448a-c70c-477a-ae7c-a0fd374af738</t>
  </si>
  <si>
    <t>27729313903</t>
  </si>
  <si>
    <t>14302082</t>
  </si>
  <si>
    <t>e9b1b274-1a49-489e-a0cc-db523848f470</t>
  </si>
  <si>
    <t>27728328415</t>
  </si>
  <si>
    <t>14302028</t>
  </si>
  <si>
    <t>997a0e3c-de8d-4e51-adc0-3c48aae79310</t>
  </si>
  <si>
    <t>27721262270</t>
  </si>
  <si>
    <t>2026-05-25 15:29:25</t>
  </si>
  <si>
    <t>14301930</t>
  </si>
  <si>
    <t>69ca36ef-35cc-414e-9e75-3f1f40a352e9</t>
  </si>
  <si>
    <t>2026-05-25 15:27:23</t>
  </si>
  <si>
    <t>27728459928</t>
  </si>
  <si>
    <t>14301914</t>
  </si>
  <si>
    <t>98ad5655-8142-47eb-a9fc-13e94b78e553</t>
  </si>
  <si>
    <t>27724302296</t>
  </si>
  <si>
    <t>2026-05-25 15:27:22</t>
  </si>
  <si>
    <t>14301873</t>
  </si>
  <si>
    <t>76525d8b-1539-4f6e-97d8-8680f6bb9765</t>
  </si>
  <si>
    <t>27793639924</t>
  </si>
  <si>
    <t>14301945</t>
  </si>
  <si>
    <t>f4f34797-0f69-419f-99f9-7fccda638eb1</t>
  </si>
  <si>
    <t>27774542324</t>
  </si>
  <si>
    <t>14301981</t>
  </si>
  <si>
    <t>3e87643a-c676-4a1c-bde0-6db4e78ad6c7</t>
  </si>
  <si>
    <t>27829264907</t>
  </si>
  <si>
    <t>2026-05-25 15:26:24</t>
  </si>
  <si>
    <t>14301942</t>
  </si>
  <si>
    <t>2665c6ae-efe6-4b88-9360-4733b72a3430</t>
  </si>
  <si>
    <t>2026-05-25 15:26:22</t>
  </si>
  <si>
    <t>27766703590</t>
  </si>
  <si>
    <t>14301882</t>
  </si>
  <si>
    <t>2d8c8dd1-f00b-4e73-a1af-e4123d32bf7f</t>
  </si>
  <si>
    <t>27839488304</t>
  </si>
  <si>
    <t>14301921</t>
  </si>
  <si>
    <t>5687e398-6e6e-40db-bd24-e89c67e73e5f</t>
  </si>
  <si>
    <t>2026-05-25 15:26:21</t>
  </si>
  <si>
    <t>27715224169</t>
  </si>
  <si>
    <t>14301957</t>
  </si>
  <si>
    <t>404cbe2b-77ae-437e-b325-3658892131ae</t>
  </si>
  <si>
    <t>27824091617</t>
  </si>
  <si>
    <t>14301982</t>
  </si>
  <si>
    <t>8610022d-b2b1-4abb-a434-b57a6941a4d3</t>
  </si>
  <si>
    <t>2026-05-25 15:24:52</t>
  </si>
  <si>
    <t>27792216737</t>
  </si>
  <si>
    <t>14301929</t>
  </si>
  <si>
    <t>1ae6de6b-3f61-427b-9696-93c025c2f8fe</t>
  </si>
  <si>
    <t>27725611572</t>
  </si>
  <si>
    <t>2026-05-25 15:24:50</t>
  </si>
  <si>
    <t>14301946</t>
  </si>
  <si>
    <t>b6ab2f3d-809d-455b-9e1a-5f872f8ea0ad</t>
  </si>
  <si>
    <t>27798031435</t>
  </si>
  <si>
    <t>14301887</t>
  </si>
  <si>
    <t>d1034dee-a483-4038-93c7-04cdd039862c</t>
  </si>
  <si>
    <t>27798630546</t>
  </si>
  <si>
    <t>14301961</t>
  </si>
  <si>
    <t>86602e9e-0564-49aa-b42e-cec9a55df04a</t>
  </si>
  <si>
    <t>27767488007</t>
  </si>
  <si>
    <t>14301894</t>
  </si>
  <si>
    <t>14beda4d-2f39-46c9-a323-f0b1bc2197a4</t>
  </si>
  <si>
    <t>2026-05-25 15:23:35</t>
  </si>
  <si>
    <t>27761608443</t>
  </si>
  <si>
    <t>14302218</t>
  </si>
  <si>
    <t>497b8618-57b7-45c4-afd1-9c358e759207</t>
  </si>
  <si>
    <t>2026-05-25 15:23:33</t>
  </si>
  <si>
    <t>27615407646</t>
  </si>
  <si>
    <t>14301958</t>
  </si>
  <si>
    <t>8003316a-181d-4ab4-9459-7a1a508b29b7</t>
  </si>
  <si>
    <t>2026-05-25 15:23:32</t>
  </si>
  <si>
    <t>27723824707</t>
  </si>
  <si>
    <t>14301990</t>
  </si>
  <si>
    <t>ae1f0e34-48a3-4198-b55b-a3823f0de137</t>
  </si>
  <si>
    <t>27822906348</t>
  </si>
  <si>
    <t>14301895</t>
  </si>
  <si>
    <t>a92549fb-fdea-4d2e-ba93-523c5d542826</t>
  </si>
  <si>
    <t>27660078938</t>
  </si>
  <si>
    <t>2026-05-25 15:23:17</t>
  </si>
  <si>
    <t>14302474</t>
  </si>
  <si>
    <t>77a3e006-793f-4183-b042-35e41fb019cd</t>
  </si>
  <si>
    <t>27727112635</t>
  </si>
  <si>
    <t>2026-05-25 15:23:16</t>
  </si>
  <si>
    <t>14301941</t>
  </si>
  <si>
    <t>2341a9c4-d6e4-4dd3-9065-43ffb8d2795f</t>
  </si>
  <si>
    <t>2026-05-25 15:23:15</t>
  </si>
  <si>
    <t>27849603560</t>
  </si>
  <si>
    <t>14301970</t>
  </si>
  <si>
    <t>11c2bedf-7628-4c6d-bfaa-59f84240298d</t>
  </si>
  <si>
    <t>27828420963</t>
  </si>
  <si>
    <t>14302000</t>
  </si>
  <si>
    <t>e502bd9e-15ac-47c2-ab74-02e690831514</t>
  </si>
  <si>
    <t>27712913770</t>
  </si>
  <si>
    <t>2026-05-25 15:22:09</t>
  </si>
  <si>
    <t>14302014</t>
  </si>
  <si>
    <t>d0673310-9023-477b-a0c8-69ca12a690ec</t>
  </si>
  <si>
    <t>27818384662</t>
  </si>
  <si>
    <t>14302005</t>
  </si>
  <si>
    <t>0168fae5-e875-48ac-8696-9ee6a35541c0</t>
  </si>
  <si>
    <t>2026-05-25 15:22:06</t>
  </si>
  <si>
    <t>27763588902</t>
  </si>
  <si>
    <t>14301902</t>
  </si>
  <si>
    <t>59713a77-4943-4c7e-948c-f36f444e4a12</t>
  </si>
  <si>
    <t>2026-05-25 15:21:51</t>
  </si>
  <si>
    <t>27606653548</t>
  </si>
  <si>
    <t>14301947</t>
  </si>
  <si>
    <t>5dacd41f-eabb-4ff7-bf80-f9dabfb2d041</t>
  </si>
  <si>
    <t>27721140969</t>
  </si>
  <si>
    <t>2026-05-25 15:21:49</t>
  </si>
  <si>
    <t>14301977</t>
  </si>
  <si>
    <t>d29b812f-a4f4-47b8-be04-89cb4c973356</t>
  </si>
  <si>
    <t>27769433534</t>
  </si>
  <si>
    <t>14301913</t>
  </si>
  <si>
    <t>199297ff-ffe7-4ca6-adaf-bac02cada9cf</t>
  </si>
  <si>
    <t>2026-05-25 15:21:19</t>
  </si>
  <si>
    <t>27607763046</t>
  </si>
  <si>
    <t>14301949</t>
  </si>
  <si>
    <t>90283c13-5b9a-4c04-b15c-b962773dc86d</t>
  </si>
  <si>
    <t>27793091961</t>
  </si>
  <si>
    <t>2026-05-25 15:21:11</t>
  </si>
  <si>
    <t>14301999</t>
  </si>
  <si>
    <t>8736946f-a809-4ad2-bc05-895c4ed7d323</t>
  </si>
  <si>
    <t>2026-05-25 15:21:08</t>
  </si>
  <si>
    <t>27822129861</t>
  </si>
  <si>
    <t>14301984</t>
  </si>
  <si>
    <t>4340598c-a252-4c00-984f-8a7298e626c5</t>
  </si>
  <si>
    <t>2026-05-25 15:21:01</t>
  </si>
  <si>
    <t>27710003070</t>
  </si>
  <si>
    <t>14301916</t>
  </si>
  <si>
    <t>7b80d56a-b4bd-457e-aa72-82e6e565c915</t>
  </si>
  <si>
    <t>2026-05-25 15:20:58</t>
  </si>
  <si>
    <t>27712075948</t>
  </si>
  <si>
    <t>14302016</t>
  </si>
  <si>
    <t>a7a0bcef-8d6f-4c7b-ba94-d48b073aba2d</t>
  </si>
  <si>
    <t>27661022374</t>
  </si>
  <si>
    <t>14302105</t>
  </si>
  <si>
    <t>18f72ee7-a31d-474f-be98-1164c5c9be37</t>
  </si>
  <si>
    <t>27766481158</t>
  </si>
  <si>
    <t>14301980</t>
  </si>
  <si>
    <t>cb3aa5ee-2936-4dcd-b079-233a31454bbc</t>
  </si>
  <si>
    <t>27711352191</t>
  </si>
  <si>
    <t>2026-05-25 15:20:52</t>
  </si>
  <si>
    <t>14301917</t>
  </si>
  <si>
    <t>0e64689e-edc8-4c82-9871-6eda455eb509</t>
  </si>
  <si>
    <t>2026-05-25 15:20:47</t>
  </si>
  <si>
    <t>27822205263</t>
  </si>
  <si>
    <t>14301966</t>
  </si>
  <si>
    <t>76bb2b56-5def-4eac-9945-362d036d534c</t>
  </si>
  <si>
    <t>27828846988</t>
  </si>
  <si>
    <t>14302023</t>
  </si>
  <si>
    <t>cf212f41-c530-4fa2-91e6-48a6f8a01512</t>
  </si>
  <si>
    <t>27823966177</t>
  </si>
  <si>
    <t>2026-05-25 15:20:10</t>
  </si>
  <si>
    <t>14302024</t>
  </si>
  <si>
    <t>95e2b28d-da84-4850-8900-59a00b00ab26</t>
  </si>
  <si>
    <t>2026-05-25 15:20:01</t>
  </si>
  <si>
    <t>27729265483</t>
  </si>
  <si>
    <t>14301985</t>
  </si>
  <si>
    <t>50037fcd-0e50-4763-b1ab-cafd5ea30888</t>
  </si>
  <si>
    <t>2026-05-25 15:20:00</t>
  </si>
  <si>
    <t>27829521679</t>
  </si>
  <si>
    <t>14301923</t>
  </si>
  <si>
    <t>0bb5c262-053a-4134-aa3d-3f96c286086e</t>
  </si>
  <si>
    <t>2026-05-25 15:19:57</t>
  </si>
  <si>
    <t>27761599603</t>
  </si>
  <si>
    <t>14301994</t>
  </si>
  <si>
    <t>bfef7036-b37b-4c27-8897-4a6975c4e539</t>
  </si>
  <si>
    <t>2026-05-25 15:19:44</t>
  </si>
  <si>
    <t>27818696873</t>
  </si>
  <si>
    <t>14301974</t>
  </si>
  <si>
    <t>6efb2acf-8ec8-474e-a696-412a6e53ff97</t>
  </si>
  <si>
    <t>2026-05-25 15:19:37</t>
  </si>
  <si>
    <t>27716107722</t>
  </si>
  <si>
    <t>14302003</t>
  </si>
  <si>
    <t>d023f498-6506-48f1-8342-8b387db48d38</t>
  </si>
  <si>
    <t>2026-05-25 15:19:18</t>
  </si>
  <si>
    <t>27766179400</t>
  </si>
  <si>
    <t>14301937</t>
  </si>
  <si>
    <t>a185f346-7ff0-4b0d-972d-a6391b009180</t>
  </si>
  <si>
    <t>27727274112</t>
  </si>
  <si>
    <t>14302031</t>
  </si>
  <si>
    <t>c61a661b-ff3c-41c0-b75e-867db555982e</t>
  </si>
  <si>
    <t>27826852678</t>
  </si>
  <si>
    <t>14302035</t>
  </si>
  <si>
    <t>bb346f9e-ae04-4234-ab64-583d9042cc4f</t>
  </si>
  <si>
    <t>27724574856</t>
  </si>
  <si>
    <t>2026-05-25 15:18:58</t>
  </si>
  <si>
    <t>14302038</t>
  </si>
  <si>
    <t>40918bb4-f60a-426b-9843-5291c0a5df62</t>
  </si>
  <si>
    <t>27711817651</t>
  </si>
  <si>
    <t>14301996</t>
  </si>
  <si>
    <t>4b4846c4-5e6f-477f-8490-06d11ff520d6</t>
  </si>
  <si>
    <t>2026-05-25 15:18:56</t>
  </si>
  <si>
    <t>27715236651</t>
  </si>
  <si>
    <t>14301938</t>
  </si>
  <si>
    <t>7752c12c-8903-4519-8225-4c84154573bc</t>
  </si>
  <si>
    <t>2026-05-25 15:18:53</t>
  </si>
  <si>
    <t>27729931548</t>
  </si>
  <si>
    <t>14302006</t>
  </si>
  <si>
    <t>a3d18d2b-f1bb-4113-b941-16019cf96d3a</t>
  </si>
  <si>
    <t>2026-05-25 15:18:47</t>
  </si>
  <si>
    <t>27760865193</t>
  </si>
  <si>
    <t>14301983</t>
  </si>
  <si>
    <t>949c7b8e-44fe-4512-89aa-b00d89036305</t>
  </si>
  <si>
    <t>2026-05-25 15:18:46</t>
  </si>
  <si>
    <t>27794776086</t>
  </si>
  <si>
    <t>14302049</t>
  </si>
  <si>
    <t>908ebd92-97a5-4a12-a58d-8a688346c2ee</t>
  </si>
  <si>
    <t>27772752065</t>
  </si>
  <si>
    <t>2026-05-25 15:18:41</t>
  </si>
  <si>
    <t>14302015</t>
  </si>
  <si>
    <t>d3704f4c-405c-4900-9e8c-15cc11b37e75</t>
  </si>
  <si>
    <t>2026-05-25 15:18:33</t>
  </si>
  <si>
    <t>27725258533</t>
  </si>
  <si>
    <t>14301950</t>
  </si>
  <si>
    <t>2ff79963-d659-4701-baed-7644d1c6a962</t>
  </si>
  <si>
    <t>27609249085</t>
  </si>
  <si>
    <t>14302051</t>
  </si>
  <si>
    <t>0be5fac9-b86d-48c4-976d-11578c541625</t>
  </si>
  <si>
    <t>27715111091</t>
  </si>
  <si>
    <t>14302008</t>
  </si>
  <si>
    <t>81c6c02e-3584-4a8c-9ee9-c6f2b8ebedfc</t>
  </si>
  <si>
    <t>2026-05-25 15:18:19</t>
  </si>
  <si>
    <t>27766582918</t>
  </si>
  <si>
    <t>14302053</t>
  </si>
  <si>
    <t>52c27f1e-51d1-4051-a4b5-ca2ac62fa5d9</t>
  </si>
  <si>
    <t>27764152848</t>
  </si>
  <si>
    <t>14302128</t>
  </si>
  <si>
    <t>51f3d36d-1905-4c37-9829-4a50eca0eeca</t>
  </si>
  <si>
    <t>27720987928</t>
  </si>
  <si>
    <t>14302019</t>
  </si>
  <si>
    <t>3151a3c5-cee1-49bf-ab82-04b3f33513be</t>
  </si>
  <si>
    <t>2026-05-25 15:18:00</t>
  </si>
  <si>
    <t>27720230677</t>
  </si>
  <si>
    <t>14301954</t>
  </si>
  <si>
    <t>8d7ec3fe-9fd8-44d3-a5d0-255ac82c5dcc</t>
  </si>
  <si>
    <t>27763841697</t>
  </si>
  <si>
    <t>14301995</t>
  </si>
  <si>
    <t>25750648-a267-4a1c-a8cf-df6a0297db20</t>
  </si>
  <si>
    <t>27825692622</t>
  </si>
  <si>
    <t>14302042</t>
  </si>
  <si>
    <t>85b186e2-581e-4ba9-a713-7a56a95b6389</t>
  </si>
  <si>
    <t>27665122645</t>
  </si>
  <si>
    <t>2026-05-25 15:17:58</t>
  </si>
  <si>
    <t>14301975</t>
  </si>
  <si>
    <t>515e0c5c-9069-42a3-a9e3-64fa009452c3</t>
  </si>
  <si>
    <t>27728201503</t>
  </si>
  <si>
    <t>2026-05-25 15:17:28</t>
  </si>
  <si>
    <t>14302032</t>
  </si>
  <si>
    <t>806a13fd-d8cb-4f2f-83d8-5cc9aebeb396</t>
  </si>
  <si>
    <t>2026-05-25 15:17:01</t>
  </si>
  <si>
    <t>27823963314</t>
  </si>
  <si>
    <t>14302061</t>
  </si>
  <si>
    <t>cbeb4a90-998a-44ec-9e17-7160e857e4c5</t>
  </si>
  <si>
    <t>27649689165</t>
  </si>
  <si>
    <t>14301967</t>
  </si>
  <si>
    <t>70fbc4dd-605f-44b5-9b11-038f73fcfd92</t>
  </si>
  <si>
    <t>2026-05-25 15:16:58</t>
  </si>
  <si>
    <t>27606096336</t>
  </si>
  <si>
    <t>14302064</t>
  </si>
  <si>
    <t>ba297c95-f981-4ba1-8c79-9d9066e168d7</t>
  </si>
  <si>
    <t>27761341039</t>
  </si>
  <si>
    <t>14302073</t>
  </si>
  <si>
    <t>2eb3cb93-e2ae-452d-b856-05bd618aa69d</t>
  </si>
  <si>
    <t>27609461006</t>
  </si>
  <si>
    <t>14302142</t>
  </si>
  <si>
    <t>5efb48be-ae87-479a-bd36-6c6f50a5be73</t>
  </si>
  <si>
    <t>27712751484</t>
  </si>
  <si>
    <t>14302009</t>
  </si>
  <si>
    <t>ec9b809a-5fba-4deb-a165-472fe0e2b30a</t>
  </si>
  <si>
    <t>2026-05-25 15:16:50</t>
  </si>
  <si>
    <t>27767109818</t>
  </si>
  <si>
    <t>14302027</t>
  </si>
  <si>
    <t>a2691e4e-3275-4f95-bf44-b26643a4593e</t>
  </si>
  <si>
    <t>27769228012</t>
  </si>
  <si>
    <t>14302037</t>
  </si>
  <si>
    <t>a1284a28-2b49-4fe9-b439-305e2f32c661</t>
  </si>
  <si>
    <t>27794482351</t>
  </si>
  <si>
    <t>14301968</t>
  </si>
  <si>
    <t>01e9f9f6-69e7-4df8-91b9-9286d07d9005</t>
  </si>
  <si>
    <t>27660144080</t>
  </si>
  <si>
    <t>14302306</t>
  </si>
  <si>
    <t>2de433e3-0e80-4eb7-ba8f-daa858c9cd55</t>
  </si>
  <si>
    <t>2026-05-25 15:16:33</t>
  </si>
  <si>
    <t>27780511736</t>
  </si>
  <si>
    <t>14302125</t>
  </si>
  <si>
    <t>d45667fe-c2a8-4f4a-a437-b9d01ad7ec21</t>
  </si>
  <si>
    <t>2026-05-25 15:16:29</t>
  </si>
  <si>
    <t>27760961638</t>
  </si>
  <si>
    <t>14302017</t>
  </si>
  <si>
    <t>679cb344-e271-4cb6-9d1a-935885deea52</t>
  </si>
  <si>
    <t>27791069347</t>
  </si>
  <si>
    <t>2026-05-25 15:16:13</t>
  </si>
  <si>
    <t>14302033</t>
  </si>
  <si>
    <t>fe2f319b-4eb6-4550-ae0b-65a16b8b7a47</t>
  </si>
  <si>
    <t>27826725071</t>
  </si>
  <si>
    <t>14302041</t>
  </si>
  <si>
    <t>fa9086f2-458f-457c-be2e-f5302499917c</t>
  </si>
  <si>
    <t>27664632980</t>
  </si>
  <si>
    <t>14302439</t>
  </si>
  <si>
    <t>ad3df956-e67a-4ff0-b1e8-114ad74a4855</t>
  </si>
  <si>
    <t>27797901053</t>
  </si>
  <si>
    <t>2026-05-25 15:15:46</t>
  </si>
  <si>
    <t>14302056</t>
  </si>
  <si>
    <t>38bd10bf-8486-45a9-af59-fd7886cfdc37</t>
  </si>
  <si>
    <t>2026-05-25 15:14:53</t>
  </si>
  <si>
    <t>27767054241</t>
  </si>
  <si>
    <t>14302021</t>
  </si>
  <si>
    <t>836e8700-61be-46b6-b795-d4ab31647767</t>
  </si>
  <si>
    <t>2026-05-25 15:14:46</t>
  </si>
  <si>
    <t>27780711010</t>
  </si>
  <si>
    <t>14302152</t>
  </si>
  <si>
    <t>f2e0a7da-8480-4fca-a10c-07667420f8fb</t>
  </si>
  <si>
    <t>27769561009</t>
  </si>
  <si>
    <t>2026-05-25 15:14:44</t>
  </si>
  <si>
    <t>14302264</t>
  </si>
  <si>
    <t>a11fb6b7-2a21-4f87-a1ab-bd95a1760080</t>
  </si>
  <si>
    <t>27797509962</t>
  </si>
  <si>
    <t>14302022</t>
  </si>
  <si>
    <t>e0e03c80-43c7-495e-bc45-0729e66d6e42</t>
  </si>
  <si>
    <t>2026-05-25 15:14:43</t>
  </si>
  <si>
    <t>27790420228</t>
  </si>
  <si>
    <t>14301987</t>
  </si>
  <si>
    <t>5c79b405-c260-4f90-9ab8-d1d4da0bb59f</t>
  </si>
  <si>
    <t>27636706771</t>
  </si>
  <si>
    <t>14302263</t>
  </si>
  <si>
    <t>f1e8eb67-5715-4d99-a020-511bfe84e2ef</t>
  </si>
  <si>
    <t>27712464852</t>
  </si>
  <si>
    <t>2026-05-25 15:14:41</t>
  </si>
  <si>
    <t>14302062</t>
  </si>
  <si>
    <t>fe6de7da-4443-4811-b5d4-c0333d6c0c12</t>
  </si>
  <si>
    <t>2026-05-25 15:14:40</t>
  </si>
  <si>
    <t>27674160764</t>
  </si>
  <si>
    <t>14302050</t>
  </si>
  <si>
    <t>94c244ea-c438-4fcf-80a6-e9ce43638900</t>
  </si>
  <si>
    <t>2026-05-25 15:14:39</t>
  </si>
  <si>
    <t>27711895254</t>
  </si>
  <si>
    <t>14302059</t>
  </si>
  <si>
    <t>06e8c53f-51e0-4441-b9cb-e48800e5a6fa</t>
  </si>
  <si>
    <t>27608473247</t>
  </si>
  <si>
    <t>14301991</t>
  </si>
  <si>
    <t>848a6f23-4d89-417e-9e11-23ec70189eb5</t>
  </si>
  <si>
    <t>27798307568</t>
  </si>
  <si>
    <t>14302077</t>
  </si>
  <si>
    <t>1ddc5ee1-4152-4299-bb85-d15314a73d50</t>
  </si>
  <si>
    <t>2026-05-25 15:14:06</t>
  </si>
  <si>
    <t>27765665153</t>
  </si>
  <si>
    <t>14301992</t>
  </si>
  <si>
    <t>224607d3-fce7-4515-9700-260806d77eb6</t>
  </si>
  <si>
    <t>2026-05-25 15:13:59</t>
  </si>
  <si>
    <t>27715393087</t>
  </si>
  <si>
    <t>14302140</t>
  </si>
  <si>
    <t>7ff66e8c-8268-4ce8-b816-11e9bc5bde40</t>
  </si>
  <si>
    <t>27761682405</t>
  </si>
  <si>
    <t>14302036</t>
  </si>
  <si>
    <t>5f870d4f-0c66-4534-8154-536fe7335efe</t>
  </si>
  <si>
    <t>2026-05-25 15:13:51</t>
  </si>
  <si>
    <t>27827336264</t>
  </si>
  <si>
    <t>14302071</t>
  </si>
  <si>
    <t>3b307ca4-01e2-4bd2-a777-0790ec1d1eb5</t>
  </si>
  <si>
    <t>2026-05-25 15:13:42</t>
  </si>
  <si>
    <t>27712839330</t>
  </si>
  <si>
    <t>14302001</t>
  </si>
  <si>
    <t>b15b0a4b-818b-497d-838f-41fc30d0a836</t>
  </si>
  <si>
    <t>2026-05-25 15:13:34</t>
  </si>
  <si>
    <t>27720441975</t>
  </si>
  <si>
    <t>14302058</t>
  </si>
  <si>
    <t>10066286-6d39-426c-aa42-0a5b786352e7</t>
  </si>
  <si>
    <t>27673572753</t>
  </si>
  <si>
    <t>14302074</t>
  </si>
  <si>
    <t>e031561d-77a6-44ed-a9de-e8ba214fe069</t>
  </si>
  <si>
    <t>2026-05-25 15:13:14</t>
  </si>
  <si>
    <t>27818307880</t>
  </si>
  <si>
    <t>14302080</t>
  </si>
  <si>
    <t>bc344eab-ee6f-4328-8d9f-44d2642ca8ae</t>
  </si>
  <si>
    <t>2026-05-25 15:13:13</t>
  </si>
  <si>
    <t>27798565636</t>
  </si>
  <si>
    <t>14302002</t>
  </si>
  <si>
    <t>0580d02b-f9ce-4c77-a255-cf7a04fb6192</t>
  </si>
  <si>
    <t>2026-05-25 15:12:58</t>
  </si>
  <si>
    <t>27720777675</t>
  </si>
  <si>
    <t>14302047</t>
  </si>
  <si>
    <t>ce21ee38-50a6-4938-9928-ec047b36fcfd</t>
  </si>
  <si>
    <t>2026-05-25 15:12:52</t>
  </si>
  <si>
    <t>27772632903</t>
  </si>
  <si>
    <t>14302243</t>
  </si>
  <si>
    <t>3e89f49b-1117-47a5-8d4a-369be3bb485d</t>
  </si>
  <si>
    <t>27761204373</t>
  </si>
  <si>
    <t>14302055</t>
  </si>
  <si>
    <t>c1b5321e-f723-4e4e-b03b-71aa42d64513</t>
  </si>
  <si>
    <t>27766647894</t>
  </si>
  <si>
    <t>2026-05-25 15:12:41</t>
  </si>
  <si>
    <t>14302065</t>
  </si>
  <si>
    <t>741ba231-f5b4-4b42-a611-93ac68017e45</t>
  </si>
  <si>
    <t>2026-05-25 15:12:21</t>
  </si>
  <si>
    <t>27829558192</t>
  </si>
  <si>
    <t>14302010</t>
  </si>
  <si>
    <t>3f2ea9bf-9491-4f18-90d7-c3a962528e51</t>
  </si>
  <si>
    <t>2026-05-25 15:12:18</t>
  </si>
  <si>
    <t>27768169516</t>
  </si>
  <si>
    <t>14302091</t>
  </si>
  <si>
    <t>2b990edf-08e2-4b24-881e-c8cc1b296f74</t>
  </si>
  <si>
    <t>27721183315</t>
  </si>
  <si>
    <t>14302327</t>
  </si>
  <si>
    <t>29ca1eaa-4bd0-4a65-bb76-c090de40ff7c</t>
  </si>
  <si>
    <t>27662719574</t>
  </si>
  <si>
    <t>14302011</t>
  </si>
  <si>
    <t>858a2abf-69bd-4713-a6dc-52a0aff1155e</t>
  </si>
  <si>
    <t>2026-05-25 15:12:11</t>
  </si>
  <si>
    <t>27609138350</t>
  </si>
  <si>
    <t>14302099</t>
  </si>
  <si>
    <t>635e6e29-b606-4ecc-8853-bdd0be5a1736</t>
  </si>
  <si>
    <t>27724065623</t>
  </si>
  <si>
    <t>14302054</t>
  </si>
  <si>
    <t>b4e038de-102a-46c2-94ae-b1e92807e9af</t>
  </si>
  <si>
    <t>2026-05-25 15:12:10</t>
  </si>
  <si>
    <t>27764397854</t>
  </si>
  <si>
    <t>14302502</t>
  </si>
  <si>
    <t>2fef07c8-3fb7-48b1-a74d-fe1943b2a25c</t>
  </si>
  <si>
    <t>2026-05-25 15:11:35</t>
  </si>
  <si>
    <t>27799157844</t>
  </si>
  <si>
    <t>14302097</t>
  </si>
  <si>
    <t>c421f4c8-fae1-45f3-83c2-4a1e8248216e</t>
  </si>
  <si>
    <t>2026-05-25 15:11:31</t>
  </si>
  <si>
    <t>27798960015</t>
  </si>
  <si>
    <t>14302025</t>
  </si>
  <si>
    <t>81ba16d6-f35a-4ce6-9761-6409c80dbd00</t>
  </si>
  <si>
    <t>2026-05-25 15:11:30</t>
  </si>
  <si>
    <t>27774151966</t>
  </si>
  <si>
    <t>14302103</t>
  </si>
  <si>
    <t>4586cfca-c83b-412c-9b6c-b54f05a4020a</t>
  </si>
  <si>
    <t>27723630527</t>
  </si>
  <si>
    <t>14302121</t>
  </si>
  <si>
    <t>71502d35-7928-48a3-9342-f6ee551e3867</t>
  </si>
  <si>
    <t>27660460456</t>
  </si>
  <si>
    <t>14302081</t>
  </si>
  <si>
    <t>33b765d3-d520-4e35-b8d4-cdd07e7bc441</t>
  </si>
  <si>
    <t>27728192230</t>
  </si>
  <si>
    <t>14302184</t>
  </si>
  <si>
    <t>4b04ed7e-2740-472a-889f-097e26bd4332</t>
  </si>
  <si>
    <t>2026-05-25 15:11:29</t>
  </si>
  <si>
    <t>27724908028</t>
  </si>
  <si>
    <t>14302092</t>
  </si>
  <si>
    <t>24dcb78c-e845-4b10-b79c-1df49a06613a</t>
  </si>
  <si>
    <t>2026-05-25 15:11:28</t>
  </si>
  <si>
    <t>27663522471</t>
  </si>
  <si>
    <t>14302026</t>
  </si>
  <si>
    <t>9bf14fab-95e0-47d8-904a-b7c4108a7b81</t>
  </si>
  <si>
    <t>2026-05-25 15:11:27</t>
  </si>
  <si>
    <t>27767141791</t>
  </si>
  <si>
    <t>14302124</t>
  </si>
  <si>
    <t>fc835db1-65c3-4f83-805a-ea3b24dbd901</t>
  </si>
  <si>
    <t>27794364047</t>
  </si>
  <si>
    <t>14302069</t>
  </si>
  <si>
    <t>155b9d6d-6081-42a2-95e4-4b4ba1edc505</t>
  </si>
  <si>
    <t>2026-05-25 15:10:54</t>
  </si>
  <si>
    <t>27774477218</t>
  </si>
  <si>
    <t>14302102</t>
  </si>
  <si>
    <t>6a2f40e1-d04f-4b85-82b8-7978aab402ac</t>
  </si>
  <si>
    <t>2026-05-25 15:10:40</t>
  </si>
  <si>
    <t>27723017488</t>
  </si>
  <si>
    <t>14302375</t>
  </si>
  <si>
    <t>e4488d3c-9598-4e5b-957d-4d93d780fea8</t>
  </si>
  <si>
    <t>27763085027</t>
  </si>
  <si>
    <t>14302126</t>
  </si>
  <si>
    <t>8c51b17f-db70-405b-bc30-2f690a2966ad</t>
  </si>
  <si>
    <t>27790605495</t>
  </si>
  <si>
    <t>2026-05-25 15:10:08</t>
  </si>
  <si>
    <t>14302034</t>
  </si>
  <si>
    <t>6c70769c-732f-4dbb-b8cc-95366c9396e2</t>
  </si>
  <si>
    <t>2026-05-25 15:10:06</t>
  </si>
  <si>
    <t>27660853407</t>
  </si>
  <si>
    <t>14302096</t>
  </si>
  <si>
    <t>360f6d27-76cf-47ec-a9af-c21794ba1d90</t>
  </si>
  <si>
    <t>2026-05-25 15:10:04</t>
  </si>
  <si>
    <t>27797581241</t>
  </si>
  <si>
    <t>14302076</t>
  </si>
  <si>
    <t>0bb2ccda-bba4-4d46-a8ad-552a31879daf</t>
  </si>
  <si>
    <t>27712130132</t>
  </si>
  <si>
    <t>2026-05-25 15:10:01</t>
  </si>
  <si>
    <t>14302117</t>
  </si>
  <si>
    <t>e968dd67-9ce0-416b-8d80-c9bce09dba7a</t>
  </si>
  <si>
    <t>2026-05-25 15:09:44</t>
  </si>
  <si>
    <t>27764558910</t>
  </si>
  <si>
    <t>14302129</t>
  </si>
  <si>
    <t>d229b243-9010-42dc-af22-f94ca3c91da2</t>
  </si>
  <si>
    <t>27832369427</t>
  </si>
  <si>
    <t>2026-05-25 15:09:43</t>
  </si>
  <si>
    <t>14302043</t>
  </si>
  <si>
    <t>ffeef39a-f354-4edb-8915-5d8f0c073022</t>
  </si>
  <si>
    <t>2026-05-25 15:09:40</t>
  </si>
  <si>
    <t>27606740374</t>
  </si>
  <si>
    <t>14302108</t>
  </si>
  <si>
    <t>667631f5-3804-4221-9046-cfc77877f3e3</t>
  </si>
  <si>
    <t>2026-05-25 15:09:38</t>
  </si>
  <si>
    <t>27664324937</t>
  </si>
  <si>
    <t>14302321</t>
  </si>
  <si>
    <t>c7c0e9b4-9c9b-4de4-a5f4-5a91ce4038d3</t>
  </si>
  <si>
    <t>27815246283</t>
  </si>
  <si>
    <t>14297699</t>
  </si>
  <si>
    <t>74a83524-e007-4e88-b417-7a78e649c658</t>
  </si>
  <si>
    <t>27637626598</t>
  </si>
  <si>
    <t>2026-05-25 15:09:06</t>
  </si>
  <si>
    <t>14302135</t>
  </si>
  <si>
    <t>91825355-4440-4344-b125-791a42d68760</t>
  </si>
  <si>
    <t>27710795494</t>
  </si>
  <si>
    <t>14302123</t>
  </si>
  <si>
    <t>e762eda2-bc3d-4b4d-853f-2024b39bea78</t>
  </si>
  <si>
    <t>2026-05-25 15:08:19</t>
  </si>
  <si>
    <t>27818962158</t>
  </si>
  <si>
    <t>14302045</t>
  </si>
  <si>
    <t>2fa6cd28-4b78-4b44-a3cc-0c64f623e619</t>
  </si>
  <si>
    <t>2026-05-25 15:08:14</t>
  </si>
  <si>
    <t>27665268250</t>
  </si>
  <si>
    <t>14302087</t>
  </si>
  <si>
    <t>e68f7c58-4db4-4cdf-b240-af1cdd4c1694</t>
  </si>
  <si>
    <t>27663323393</t>
  </si>
  <si>
    <t>2026-05-25 15:08:11</t>
  </si>
  <si>
    <t>14302110</t>
  </si>
  <si>
    <t>e18c4003-28ee-4531-94d8-8833c8611878</t>
  </si>
  <si>
    <t>2026-05-25 15:08:10</t>
  </si>
  <si>
    <t>27721782354</t>
  </si>
  <si>
    <t>14297723</t>
  </si>
  <si>
    <t>f668ab39-a5b7-4842-a2fa-19b54b8ee5cb</t>
  </si>
  <si>
    <t>2026-05-25 15:08:09</t>
  </si>
  <si>
    <t>27768240727</t>
  </si>
  <si>
    <t>14302147</t>
  </si>
  <si>
    <t>11d39029-5356-4a1e-8b3e-1bc8815a39a2</t>
  </si>
  <si>
    <t>2026-05-25 15:08:05</t>
  </si>
  <si>
    <t>27761271251</t>
  </si>
  <si>
    <t>14302083</t>
  </si>
  <si>
    <t>10863f45-cf94-4689-aeef-3f9c5c226dcf</t>
  </si>
  <si>
    <t>2026-05-25 15:08:02</t>
  </si>
  <si>
    <t>27663118367</t>
  </si>
  <si>
    <t>14302200</t>
  </si>
  <si>
    <t>6a8e3622-c9a2-4902-8e3d-355f31ebebe3</t>
  </si>
  <si>
    <t>27761398485</t>
  </si>
  <si>
    <t>14302141</t>
  </si>
  <si>
    <t>4447bda2-4c68-474e-be8d-66553b3ed5e0</t>
  </si>
  <si>
    <t>27763382035</t>
  </si>
  <si>
    <t>14302349</t>
  </si>
  <si>
    <t>9964cac2-e4cd-46dd-a2dd-1f1f050028a2</t>
  </si>
  <si>
    <t>27766674281</t>
  </si>
  <si>
    <t>14302063</t>
  </si>
  <si>
    <t>4047dccf-203d-4a8c-ae8e-e4132672a2f1</t>
  </si>
  <si>
    <t>2026-05-25 15:07:59</t>
  </si>
  <si>
    <t>27720616848</t>
  </si>
  <si>
    <t>14302101</t>
  </si>
  <si>
    <t>91be8f08-6af3-4348-ae84-58588cfe1709</t>
  </si>
  <si>
    <t>2026-05-25 15:07:54</t>
  </si>
  <si>
    <t>27768218555</t>
  </si>
  <si>
    <t>14302204</t>
  </si>
  <si>
    <t>58018ed9-8712-40b6-a131-5562fe5ffd20</t>
  </si>
  <si>
    <t>27762774067</t>
  </si>
  <si>
    <t>2026-05-25 15:07:52</t>
  </si>
  <si>
    <t>14302136</t>
  </si>
  <si>
    <t>15d2f2ff-fd42-4fa6-b4ed-40ac084cf58f</t>
  </si>
  <si>
    <t>2026-05-25 15:07:51</t>
  </si>
  <si>
    <t>27724925586</t>
  </si>
  <si>
    <t>14302367</t>
  </si>
  <si>
    <t>a302ccde-15f9-4ab0-b367-f1222cc121fa</t>
  </si>
  <si>
    <t>2026-05-25 15:07:19</t>
  </si>
  <si>
    <t>27649474252</t>
  </si>
  <si>
    <t>14302146</t>
  </si>
  <si>
    <t>a872fef8-d508-46dc-9ade-3fc522a566a5</t>
  </si>
  <si>
    <t>2026-05-25 15:07:17</t>
  </si>
  <si>
    <t>27789922220</t>
  </si>
  <si>
    <t>14302067</t>
  </si>
  <si>
    <t>405f9f0f-217d-429e-a512-32a04b5fa008</t>
  </si>
  <si>
    <t>2026-05-25 15:07:16</t>
  </si>
  <si>
    <t>27820466297</t>
  </si>
  <si>
    <t>14302119</t>
  </si>
  <si>
    <t>326a66b4-4dce-43fa-9a45-ac2881b82453</t>
  </si>
  <si>
    <t>2026-05-25 15:07:14</t>
  </si>
  <si>
    <t>27824319714</t>
  </si>
  <si>
    <t>14302138</t>
  </si>
  <si>
    <t>0d3df02e-3364-4ea2-8197-1c59c5f0b8ea</t>
  </si>
  <si>
    <t>27827468617</t>
  </si>
  <si>
    <t>14302068</t>
  </si>
  <si>
    <t>d32c312c-d4f9-4b3a-8c4e-504a22234383</t>
  </si>
  <si>
    <t>2026-05-25 15:07:06</t>
  </si>
  <si>
    <t>27719604313</t>
  </si>
  <si>
    <t>14302226</t>
  </si>
  <si>
    <t>fa6c809b-e297-4865-9012-c4a54164ca55</t>
  </si>
  <si>
    <t>27649302894</t>
  </si>
  <si>
    <t>14302109</t>
  </si>
  <si>
    <t>faa3e6c9-662d-4677-bfa6-f87ee7ce63b7</t>
  </si>
  <si>
    <t>27825375951</t>
  </si>
  <si>
    <t>2026-05-25 15:07:05</t>
  </si>
  <si>
    <t>14302215</t>
  </si>
  <si>
    <t>7a71be02-4acf-47cf-b78e-6fca8e5cfb2a</t>
  </si>
  <si>
    <t>27797388028</t>
  </si>
  <si>
    <t>14302388</t>
  </si>
  <si>
    <t>9f81a378-fef5-44d0-ae93-2e40b41f8460</t>
  </si>
  <si>
    <t>27769033471</t>
  </si>
  <si>
    <t>2026-05-25 15:07:03</t>
  </si>
  <si>
    <t>14299437</t>
  </si>
  <si>
    <t>46130d04-16ee-4ad1-9fc9-799308d25696</t>
  </si>
  <si>
    <t>2026-05-25 15:06:56</t>
  </si>
  <si>
    <t>27637112322</t>
  </si>
  <si>
    <t>14299438</t>
  </si>
  <si>
    <t>f9e9f525-bef0-4771-81ae-e7e7100470d3</t>
  </si>
  <si>
    <t>27828144592</t>
  </si>
  <si>
    <t>14299512</t>
  </si>
  <si>
    <t>af461ed1-2467-462d-af2b-c6bfb159d07e</t>
  </si>
  <si>
    <t>27792503129</t>
  </si>
  <si>
    <t>14302434</t>
  </si>
  <si>
    <t>b5009617-c81d-40a4-ac62-c1d27714e9bc</t>
  </si>
  <si>
    <t>27715440621</t>
  </si>
  <si>
    <t>2026-05-25 15:06:13</t>
  </si>
  <si>
    <t>14302154</t>
  </si>
  <si>
    <t>f2a8db17-1636-4a60-a871-d41c426d9aee</t>
  </si>
  <si>
    <t>27762349993</t>
  </si>
  <si>
    <t>2026-05-25 15:05:52</t>
  </si>
  <si>
    <t>14302205</t>
  </si>
  <si>
    <t>6b769cde-2289-429c-8479-823d11ce350d</t>
  </si>
  <si>
    <t>2026-05-25 15:05:23</t>
  </si>
  <si>
    <t>27765433908</t>
  </si>
  <si>
    <t>14302190</t>
  </si>
  <si>
    <t>f2cfead1-9c42-439a-be1d-0de7450f7634</t>
  </si>
  <si>
    <t>2026-05-25 15:05:22</t>
  </si>
  <si>
    <t>27768602439</t>
  </si>
  <si>
    <t>14302148</t>
  </si>
  <si>
    <t>2679591f-7439-4eb8-9381-6bec1a6e9ceb</t>
  </si>
  <si>
    <t>27795296913</t>
  </si>
  <si>
    <t>14302256</t>
  </si>
  <si>
    <t>c9f4a1e1-c6bf-4c21-91d6-b56a180fd28f</t>
  </si>
  <si>
    <t>27763466552</t>
  </si>
  <si>
    <t>14302118</t>
  </si>
  <si>
    <t>c969e386-1f09-4e07-a308-767f3fa74f01</t>
  </si>
  <si>
    <t>2026-05-25 15:05:19</t>
  </si>
  <si>
    <t>27826741907</t>
  </si>
  <si>
    <t>14302186</t>
  </si>
  <si>
    <t>cf8920ed-6e49-4d89-ad01-36004520dd8b</t>
  </si>
  <si>
    <t>2026-05-25 15:05:14</t>
  </si>
  <si>
    <t>27790884398</t>
  </si>
  <si>
    <t>14302122</t>
  </si>
  <si>
    <t>5b66d312-4934-4ab7-b5e8-1ce6cef84dba</t>
  </si>
  <si>
    <t>27768433449</t>
  </si>
  <si>
    <t>14302084</t>
  </si>
  <si>
    <t>27c003da-b597-4d7d-9434-3d30c7b97a40</t>
  </si>
  <si>
    <t>27725885205</t>
  </si>
  <si>
    <t>14302151</t>
  </si>
  <si>
    <t>5b9517eb-5bf0-4ca4-bd23-a376890122e0</t>
  </si>
  <si>
    <t>27765349310</t>
  </si>
  <si>
    <t>14302295</t>
  </si>
  <si>
    <t>0cd92a28-ad5a-4141-9fb4-39966bff3f33</t>
  </si>
  <si>
    <t>27729075356</t>
  </si>
  <si>
    <t>14302149</t>
  </si>
  <si>
    <t>9b6e4a17-eceb-419c-a62b-0817dea0ae15</t>
  </si>
  <si>
    <t>27829739712</t>
  </si>
  <si>
    <t>2026-05-25 15:04:56</t>
  </si>
  <si>
    <t>14302153</t>
  </si>
  <si>
    <t>a5cb4e2a-ced1-43d9-a23b-1cfd9effac75</t>
  </si>
  <si>
    <t>27822940387</t>
  </si>
  <si>
    <t>14302165</t>
  </si>
  <si>
    <t>cf102313-5092-44cb-b9c0-ac6e99152b48</t>
  </si>
  <si>
    <t>27768375321</t>
  </si>
  <si>
    <t>14302088</t>
  </si>
  <si>
    <t>f3bd5047-b87b-4551-b1aa-65c1cb8b4248</t>
  </si>
  <si>
    <t>2026-05-25 15:04:55</t>
  </si>
  <si>
    <t>27825059858</t>
  </si>
  <si>
    <t>14302403</t>
  </si>
  <si>
    <t>0c5543d8-fb00-4262-8dbf-079b442d16c7</t>
  </si>
  <si>
    <t>27767652613</t>
  </si>
  <si>
    <t>2026-05-25 15:03:35</t>
  </si>
  <si>
    <t>14302094</t>
  </si>
  <si>
    <t>16406d35-092a-4c6e-9d78-ef0271f5e426</t>
  </si>
  <si>
    <t>27798449927</t>
  </si>
  <si>
    <t>2026-05-25 15:02:05</t>
  </si>
  <si>
    <t>14302162</t>
  </si>
  <si>
    <t>38378ecb-54be-4fd1-8230-14233f0a32d9</t>
  </si>
  <si>
    <t>2026-05-25 15:01:00</t>
  </si>
  <si>
    <t>27648768678</t>
  </si>
  <si>
    <t>14302176</t>
  </si>
  <si>
    <t>95f5aa3d-24df-4731-b109-07c8215734c6</t>
  </si>
  <si>
    <t>27766510016</t>
  </si>
  <si>
    <t>14298782</t>
  </si>
  <si>
    <t>c367a0e8-1960-4b7d-8eea-8c1eac38c45e</t>
  </si>
  <si>
    <t>27826382919</t>
  </si>
  <si>
    <t>2026-05-25 14:59:55</t>
  </si>
  <si>
    <t>14302161</t>
  </si>
  <si>
    <t>97d0741d-9e2c-4d4e-ae06-67716c8fb7c0</t>
  </si>
  <si>
    <t>2026-05-25 14:59:52</t>
  </si>
  <si>
    <t>27764342404</t>
  </si>
  <si>
    <t>14302166</t>
  </si>
  <si>
    <t>df46de4c-15a4-42f5-9e1b-adc8f877dae7</t>
  </si>
  <si>
    <t>27764163376</t>
  </si>
  <si>
    <t>14302100</t>
  </si>
  <si>
    <t>c83917da-2637-4a9e-9b8b-465d489b0b8e</t>
  </si>
  <si>
    <t>27826795965</t>
  </si>
  <si>
    <t>2026-05-25 14:59:51</t>
  </si>
  <si>
    <t>14302182</t>
  </si>
  <si>
    <t>22f64208-ce5f-4a20-a6b1-a0755255762b</t>
  </si>
  <si>
    <t>27721360158</t>
  </si>
  <si>
    <t>14302174</t>
  </si>
  <si>
    <t>2a8325c0-f066-4dda-abf3-215033d61fa6</t>
  </si>
  <si>
    <t>2026-05-25 14:58:37</t>
  </si>
  <si>
    <t>27768490844</t>
  </si>
  <si>
    <t>14302168</t>
  </si>
  <si>
    <t>a390649f-c38b-4d47-bf17-52a093c2055f</t>
  </si>
  <si>
    <t>2026-05-25 14:58:32</t>
  </si>
  <si>
    <t>27661496177</t>
  </si>
  <si>
    <t>14302178</t>
  </si>
  <si>
    <t>c8d7543e-aec0-4aa9-b0b0-66b619635299</t>
  </si>
  <si>
    <t>27764530179</t>
  </si>
  <si>
    <t>14302183</t>
  </si>
  <si>
    <t>65d1901c-163a-4915-8ba3-258019933913</t>
  </si>
  <si>
    <t>27724887806</t>
  </si>
  <si>
    <t>14302106</t>
  </si>
  <si>
    <t>68cab1a0-b082-49e3-adb0-0922885d7a61</t>
  </si>
  <si>
    <t>2026-05-25 14:58:31</t>
  </si>
  <si>
    <t>27725476708</t>
  </si>
  <si>
    <t>14298446</t>
  </si>
  <si>
    <t>890f584a-c33a-4c17-bcbd-1c061680a375</t>
  </si>
  <si>
    <t>2026-05-25 14:58:02</t>
  </si>
  <si>
    <t>27762127539</t>
  </si>
  <si>
    <t>14302317</t>
  </si>
  <si>
    <t>fa25a7e3-e6bc-4dab-a0bd-7426d2b95caf</t>
  </si>
  <si>
    <t>27767286445</t>
  </si>
  <si>
    <t>2026-05-25 14:57:45</t>
  </si>
  <si>
    <t>14302187</t>
  </si>
  <si>
    <t>bfc9095b-93a2-4e81-83e7-99c26b5d56aa</t>
  </si>
  <si>
    <t>2026-05-25 14:56:18</t>
  </si>
  <si>
    <t>27723089723</t>
  </si>
  <si>
    <t>14302116</t>
  </si>
  <si>
    <t>3ca8572e-d5d2-424d-a7be-acae1837ae45</t>
  </si>
  <si>
    <t>2026-05-25 14:56:11</t>
  </si>
  <si>
    <t>27761751156</t>
  </si>
  <si>
    <t>14302207</t>
  </si>
  <si>
    <t>45020d55-904b-4649-b635-eeac89a7794e</t>
  </si>
  <si>
    <t>27825028993</t>
  </si>
  <si>
    <t>14302175</t>
  </si>
  <si>
    <t>5c06091e-dadc-431e-90eb-efad50fe5303</t>
  </si>
  <si>
    <t>27724030912</t>
  </si>
  <si>
    <t>14302248</t>
  </si>
  <si>
    <t>3216b8cc-cae5-4896-b11e-3105193947a8</t>
  </si>
  <si>
    <t>27724628287</t>
  </si>
  <si>
    <t>14302311</t>
  </si>
  <si>
    <t>89eac198-f822-4c3e-868e-71b8e754a61e</t>
  </si>
  <si>
    <t>27796475779</t>
  </si>
  <si>
    <t>2026-05-25 14:54:29</t>
  </si>
  <si>
    <t>14302312</t>
  </si>
  <si>
    <t>207a585e-689b-466d-a0f1-ec74959ccb9b</t>
  </si>
  <si>
    <t>27764373886</t>
  </si>
  <si>
    <t>2026-05-25 14:53:49</t>
  </si>
  <si>
    <t>14302120</t>
  </si>
  <si>
    <t>960aa60a-f9ba-4903-8c2d-9621cb0f7de8</t>
  </si>
  <si>
    <t>2026-05-25 14:52:50</t>
  </si>
  <si>
    <t>27762862979</t>
  </si>
  <si>
    <t>14302155</t>
  </si>
  <si>
    <t>915fd481-4988-4df8-94bf-95f528b047ee</t>
  </si>
  <si>
    <t>27724010605</t>
  </si>
  <si>
    <t>14302232</t>
  </si>
  <si>
    <t>100355b3-9185-474d-8497-8aebe3aa8665</t>
  </si>
  <si>
    <t>27636452834</t>
  </si>
  <si>
    <t>14302239</t>
  </si>
  <si>
    <t>81dd4409-de05-4d1e-99c8-5fb3d4184a39</t>
  </si>
  <si>
    <t>2026-05-25 14:51:48</t>
  </si>
  <si>
    <t>27825065381</t>
  </si>
  <si>
    <t>14302158</t>
  </si>
  <si>
    <t>63a4bec5-611c-414a-8cbb-b4f1d73fdf9e</t>
  </si>
  <si>
    <t>2026-05-25 14:51:45</t>
  </si>
  <si>
    <t>27636255054</t>
  </si>
  <si>
    <t>14302241</t>
  </si>
  <si>
    <t>b89fee5a-7c55-4ed0-b6bc-762d6e72234b</t>
  </si>
  <si>
    <t>27826453766</t>
  </si>
  <si>
    <t>14302185</t>
  </si>
  <si>
    <t>d3d99bf6-1d4d-475b-a53f-556149a34d7c</t>
  </si>
  <si>
    <t>27767191965</t>
  </si>
  <si>
    <t>14302208</t>
  </si>
  <si>
    <t>1fba0254-42be-489c-b593-da14ce5c14cd</t>
  </si>
  <si>
    <t>27818752430</t>
  </si>
  <si>
    <t>2026-05-25 14:51:04</t>
  </si>
  <si>
    <t>14302127</t>
  </si>
  <si>
    <t>b190d6c0-1c0e-49c9-99be-a7ccf6c348c7</t>
  </si>
  <si>
    <t>2026-05-25 14:50:59</t>
  </si>
  <si>
    <t>27763596450</t>
  </si>
  <si>
    <t>14302280</t>
  </si>
  <si>
    <t>4e264827-1681-4c7c-b88e-6b4dabee52a7</t>
  </si>
  <si>
    <t>27726866710</t>
  </si>
  <si>
    <t>14302167</t>
  </si>
  <si>
    <t>f8ac4aa7-e3fc-4348-8912-566fda544b32</t>
  </si>
  <si>
    <t>27712415956</t>
  </si>
  <si>
    <t>14302130</t>
  </si>
  <si>
    <t>546ab15e-e451-4876-8076-df8b7f77b592</t>
  </si>
  <si>
    <t>2026-05-25 14:50:30</t>
  </si>
  <si>
    <t>27829505725</t>
  </si>
  <si>
    <t>14302302</t>
  </si>
  <si>
    <t>8d118a5f-6a23-4a8c-84e8-776cda2da66a</t>
  </si>
  <si>
    <t>27714730979</t>
  </si>
  <si>
    <t>14302170</t>
  </si>
  <si>
    <t>68dd47c2-2192-40d0-b22b-02c476b02773</t>
  </si>
  <si>
    <t>27824091037</t>
  </si>
  <si>
    <t>14302172</t>
  </si>
  <si>
    <t>17cdebec-d763-4df3-8ba9-9206ba980bf9</t>
  </si>
  <si>
    <t>27797350389</t>
  </si>
  <si>
    <t>2026-05-25 14:50:15</t>
  </si>
  <si>
    <t>14302314</t>
  </si>
  <si>
    <t>ad0a065b-a30f-4d5a-b529-084fffb2b2e8</t>
  </si>
  <si>
    <t>2026-05-25 14:49:47</t>
  </si>
  <si>
    <t>27608188629</t>
  </si>
  <si>
    <t>14302203</t>
  </si>
  <si>
    <t>9f2d98d5-c2b5-4d9f-92ea-91f88c903d68</t>
  </si>
  <si>
    <t>2026-05-25 14:49:32</t>
  </si>
  <si>
    <t>27722142782</t>
  </si>
  <si>
    <t>14302213</t>
  </si>
  <si>
    <t>ec1d3796-d4f1-4433-9a67-2e3a631bb71d</t>
  </si>
  <si>
    <t>27721973483</t>
  </si>
  <si>
    <t>2026-05-25 14:49:26</t>
  </si>
  <si>
    <t>14302143</t>
  </si>
  <si>
    <t>e8ad81d2-1266-4c4c-830e-10f498ca769d</t>
  </si>
  <si>
    <t>27609109185</t>
  </si>
  <si>
    <t>14302180</t>
  </si>
  <si>
    <t>5148d5e2-3402-4d44-ad23-18e630c9a674</t>
  </si>
  <si>
    <t>27829396799</t>
  </si>
  <si>
    <t>14302395</t>
  </si>
  <si>
    <t>ef730a69-1dbe-49c0-a220-173b2753f5fb</t>
  </si>
  <si>
    <t>27794003628</t>
  </si>
  <si>
    <t>14302179</t>
  </si>
  <si>
    <t>c4f48bb5-4cf1-464f-bf1b-79bb0a2262fc</t>
  </si>
  <si>
    <t>2026-05-25 14:47:59</t>
  </si>
  <si>
    <t>27674843582</t>
  </si>
  <si>
    <t>14302189</t>
  </si>
  <si>
    <t>4a282532-ddd4-4dc7-9513-12a76189c176</t>
  </si>
  <si>
    <t>2026-05-25 14:47:47</t>
  </si>
  <si>
    <t>27767663461</t>
  </si>
  <si>
    <t>14302332</t>
  </si>
  <si>
    <t>29ffdda5-9a2f-4efd-aeb7-b2fb21d72fc5</t>
  </si>
  <si>
    <t>27648173527</t>
  </si>
  <si>
    <t>14302216</t>
  </si>
  <si>
    <t>2e55b24d-3e09-4397-83b1-5ea297d53794</t>
  </si>
  <si>
    <t>2026-05-25 14:47:21</t>
  </si>
  <si>
    <t>27636901760</t>
  </si>
  <si>
    <t>14302188</t>
  </si>
  <si>
    <t>a8802f36-0b63-4ebc-8702-d5ea892b27bb</t>
  </si>
  <si>
    <t>27797184712</t>
  </si>
  <si>
    <t>2026-05-25 14:47:16</t>
  </si>
  <si>
    <t>14302319</t>
  </si>
  <si>
    <t>c570b2dc-c26b-4ddf-a5e5-426569c2c8da</t>
  </si>
  <si>
    <t>27674480964</t>
  </si>
  <si>
    <t>14302196</t>
  </si>
  <si>
    <t>5b9a888a-f348-4569-a094-0488a94192ea</t>
  </si>
  <si>
    <t>2026-05-25 14:47:15</t>
  </si>
  <si>
    <t>27723854095</t>
  </si>
  <si>
    <t>14302261</t>
  </si>
  <si>
    <t>b7e5d8df-ce76-4322-9fa4-47ebdd030847</t>
  </si>
  <si>
    <t>27608370031</t>
  </si>
  <si>
    <t>14302164</t>
  </si>
  <si>
    <t>f5034755-cfed-4165-ae3f-f24eeec0c140</t>
  </si>
  <si>
    <t>2026-05-25 14:47:11</t>
  </si>
  <si>
    <t>27725142348</t>
  </si>
  <si>
    <t>14302274</t>
  </si>
  <si>
    <t>0eb2c452-ebe6-4302-89c4-d62aa4d9f97d</t>
  </si>
  <si>
    <t>27823839158</t>
  </si>
  <si>
    <t>14302195</t>
  </si>
  <si>
    <t>095183dc-0b37-4a81-a394-bc3010470f95</t>
  </si>
  <si>
    <t>2026-05-25 14:46:59</t>
  </si>
  <si>
    <t>27724091222</t>
  </si>
  <si>
    <t>14302192</t>
  </si>
  <si>
    <t>5e283e97-18e7-47bd-b264-885dbac85dca</t>
  </si>
  <si>
    <t>2026-05-25 14:46:58</t>
  </si>
  <si>
    <t>27823477622</t>
  </si>
  <si>
    <t>14302444</t>
  </si>
  <si>
    <t>19e7e578-560a-4d06-8e4e-c4c152153559</t>
  </si>
  <si>
    <t>27765299254</t>
  </si>
  <si>
    <t>14302347</t>
  </si>
  <si>
    <t>1978184e-4138-4f7e-827d-5b5372db8615</t>
  </si>
  <si>
    <t>2026-05-25 14:46:18</t>
  </si>
  <si>
    <t>27728029002</t>
  </si>
  <si>
    <t>14302209</t>
  </si>
  <si>
    <t>02a9a6c7-09d0-4b3c-b584-943d1cdc2549</t>
  </si>
  <si>
    <t>2026-05-25 14:45:58</t>
  </si>
  <si>
    <t>27609073661</t>
  </si>
  <si>
    <t>14302212</t>
  </si>
  <si>
    <t>6dcc06c0-a611-440a-a2bc-30c26efdad5a</t>
  </si>
  <si>
    <t>2026-05-25 14:45:54</t>
  </si>
  <si>
    <t>27763184193</t>
  </si>
  <si>
    <t>14302198</t>
  </si>
  <si>
    <t>74c2731a-982e-4b6b-bca3-b16d83ad9bb4</t>
  </si>
  <si>
    <t>2026-05-25 14:45:51</t>
  </si>
  <si>
    <t>27665122137</t>
  </si>
  <si>
    <t>14302206</t>
  </si>
  <si>
    <t>30d0246a-5da0-4ae9-9e93-440e413ffec1</t>
  </si>
  <si>
    <t>27674851338</t>
  </si>
  <si>
    <t>14302284</t>
  </si>
  <si>
    <t>0c87d990-3d4f-4e6c-9375-d712a40f3fd2</t>
  </si>
  <si>
    <t>2026-05-25 14:45:50</t>
  </si>
  <si>
    <t>27797445810</t>
  </si>
  <si>
    <t>14302214</t>
  </si>
  <si>
    <t>b43b3e79-875b-4833-ba3f-4d529767a8d6</t>
  </si>
  <si>
    <t>27796179380</t>
  </si>
  <si>
    <t>14302299</t>
  </si>
  <si>
    <t>6ed35b41-58f2-406c-a15a-6f4a4aa1860b</t>
  </si>
  <si>
    <t>2026-05-25 14:45:39</t>
  </si>
  <si>
    <t>27790895970</t>
  </si>
  <si>
    <t>14302210</t>
  </si>
  <si>
    <t>edbf49a4-0f76-408e-aa8a-ac8b76db0703</t>
  </si>
  <si>
    <t>2026-05-25 14:45:36</t>
  </si>
  <si>
    <t>27715308181</t>
  </si>
  <si>
    <t>14302225</t>
  </si>
  <si>
    <t>a1fce5c5-f01d-45dc-af28-ce6721a90562</t>
  </si>
  <si>
    <t>2026-05-25 14:45:23</t>
  </si>
  <si>
    <t>27828447001</t>
  </si>
  <si>
    <t>14302202</t>
  </si>
  <si>
    <t>12238009-d570-411d-9466-30b8fd635b3d</t>
  </si>
  <si>
    <t>2026-05-25 14:45:22</t>
  </si>
  <si>
    <t>27764272026</t>
  </si>
  <si>
    <t>14302211</t>
  </si>
  <si>
    <t>5497ecad-0d45-4e11-b025-e9bd7035bbbe</t>
  </si>
  <si>
    <t>27728022492</t>
  </si>
  <si>
    <t>14302231</t>
  </si>
  <si>
    <t>0f586abc-38c5-4f3e-b9a1-dab9c74d0f09</t>
  </si>
  <si>
    <t>27608899442</t>
  </si>
  <si>
    <t>14302271</t>
  </si>
  <si>
    <t>5b2e7c32-778d-4b83-bdfa-edd92718dec3</t>
  </si>
  <si>
    <t>2026-05-25 14:44:53</t>
  </si>
  <si>
    <t>27795782134</t>
  </si>
  <si>
    <t>14302245</t>
  </si>
  <si>
    <t>9c3cd314-4f94-42ca-89cb-f9f6f02d788b</t>
  </si>
  <si>
    <t>2026-05-25 14:44:42</t>
  </si>
  <si>
    <t>27714269251</t>
  </si>
  <si>
    <t>14302288</t>
  </si>
  <si>
    <t>8b654648-0ed2-4c4b-a2d1-2fcf343d3025</t>
  </si>
  <si>
    <t>2026-05-25 14:44:39</t>
  </si>
  <si>
    <t>27729540149</t>
  </si>
  <si>
    <t>14302222</t>
  </si>
  <si>
    <t>b271556b-2a09-4541-8010-4d89c446475b</t>
  </si>
  <si>
    <t>2026-05-25 14:44:37</t>
  </si>
  <si>
    <t>27723461806</t>
  </si>
  <si>
    <t>14302297</t>
  </si>
  <si>
    <t>7ea09ceb-e824-4042-834e-394818d23ee8</t>
  </si>
  <si>
    <t>27793961449</t>
  </si>
  <si>
    <t>14302230</t>
  </si>
  <si>
    <t>1555b45c-be14-465d-bf83-bb0749f24d6b</t>
  </si>
  <si>
    <t>27763954179</t>
  </si>
  <si>
    <t>14302199</t>
  </si>
  <si>
    <t>8e475d49-205a-4f3a-8ea0-e351b22300c8</t>
  </si>
  <si>
    <t>2026-05-25 14:44:33</t>
  </si>
  <si>
    <t>27729202099</t>
  </si>
  <si>
    <t>14302371</t>
  </si>
  <si>
    <t>bb8b7d34-0880-4d7e-830b-d6b55a38290f</t>
  </si>
  <si>
    <t>2026-05-25 14:44:32</t>
  </si>
  <si>
    <t>27797457436</t>
  </si>
  <si>
    <t>14302229</t>
  </si>
  <si>
    <t>3f7f8210-8fb7-48e8-b322-153bc7593de0</t>
  </si>
  <si>
    <t>2026-05-25 14:44:24</t>
  </si>
  <si>
    <t>27791568132</t>
  </si>
  <si>
    <t>14302396</t>
  </si>
  <si>
    <t>7d077ac9-b56f-4f48-adb2-57ed790c9db7</t>
  </si>
  <si>
    <t>2026-05-25 14:44:21</t>
  </si>
  <si>
    <t>27767884126</t>
  </si>
  <si>
    <t>14302296</t>
  </si>
  <si>
    <t>dc4ca845-b22c-424d-8efc-3e7ec6955ac9</t>
  </si>
  <si>
    <t>2026-05-25 14:44:15</t>
  </si>
  <si>
    <t>27794063638</t>
  </si>
  <si>
    <t>14302227</t>
  </si>
  <si>
    <t>818f5288-3b12-44b6-a829-88c953643df2</t>
  </si>
  <si>
    <t>27725069955</t>
  </si>
  <si>
    <t>14302240</t>
  </si>
  <si>
    <t>539f710a-1fe6-42b7-926f-6c19447800d5</t>
  </si>
  <si>
    <t>27823998593</t>
  </si>
  <si>
    <t>14302266</t>
  </si>
  <si>
    <t>18845f46-de4b-4ffb-9bde-7bc8ff7cf763</t>
  </si>
  <si>
    <t>27798413901</t>
  </si>
  <si>
    <t>2026-05-25 14:44:01</t>
  </si>
  <si>
    <t>14302234</t>
  </si>
  <si>
    <t>334a97f2-8cd1-4fac-81c4-6bb621f755e5</t>
  </si>
  <si>
    <t>27822267271</t>
  </si>
  <si>
    <t>2026-05-25 14:43:20</t>
  </si>
  <si>
    <t>14302247</t>
  </si>
  <si>
    <t>d66ccd9f-3524-420c-b9d6-009d9a4538db</t>
  </si>
  <si>
    <t>2026-05-25 14:43:16</t>
  </si>
  <si>
    <t>27790663752</t>
  </si>
  <si>
    <t>14302292</t>
  </si>
  <si>
    <t>bbe7fb07-7071-4c7e-860e-93e57ac06395</t>
  </si>
  <si>
    <t>2026-05-25 14:43:15</t>
  </si>
  <si>
    <t>27726697926</t>
  </si>
  <si>
    <t>14302224</t>
  </si>
  <si>
    <t>305dd86c-1017-4ade-ace6-12c6bf398a7f</t>
  </si>
  <si>
    <t>27646801579</t>
  </si>
  <si>
    <t>14302235</t>
  </si>
  <si>
    <t>41afeeeb-265d-4a9a-a2d5-673c24445907</t>
  </si>
  <si>
    <t>27797414077</t>
  </si>
  <si>
    <t>14302254</t>
  </si>
  <si>
    <t>2588e031-59c6-4f08-81da-b5d229253236</t>
  </si>
  <si>
    <t>27713976608</t>
  </si>
  <si>
    <t>14302278</t>
  </si>
  <si>
    <t>6a06623f-ffec-4461-91c2-dd1a6c9b07a0</t>
  </si>
  <si>
    <t>2026-05-25 14:43:12</t>
  </si>
  <si>
    <t>27715624218</t>
  </si>
  <si>
    <t>14302246</t>
  </si>
  <si>
    <t>dbb7fbbe-6f33-4c15-ae12-31abfb5715ba</t>
  </si>
  <si>
    <t>2026-05-25 14:43:10</t>
  </si>
  <si>
    <t>27716966288</t>
  </si>
  <si>
    <t>14302333</t>
  </si>
  <si>
    <t>9b6d1524-1945-40dd-91b6-99a57073a17a</t>
  </si>
  <si>
    <t>2026-05-25 14:43:08</t>
  </si>
  <si>
    <t>27664087578</t>
  </si>
  <si>
    <t>14302221</t>
  </si>
  <si>
    <t>51fe9d3e-7cc5-4176-880d-3157fc3ea78d</t>
  </si>
  <si>
    <t>2026-05-25 14:43:07</t>
  </si>
  <si>
    <t>27764817662</t>
  </si>
  <si>
    <t>14302253</t>
  </si>
  <si>
    <t>324e34e0-8b2b-4f68-a820-725f3d1482f3</t>
  </si>
  <si>
    <t>27719714464</t>
  </si>
  <si>
    <t>14302250</t>
  </si>
  <si>
    <t>66b7946b-b6ec-4f35-910d-c39febce1618</t>
  </si>
  <si>
    <t>2026-05-25 14:43:06</t>
  </si>
  <si>
    <t>27716276505</t>
  </si>
  <si>
    <t>14302460</t>
  </si>
  <si>
    <t>707db024-b331-4eda-a21f-0d7eb77926a0</t>
  </si>
  <si>
    <t>27827455674</t>
  </si>
  <si>
    <t>14302310</t>
  </si>
  <si>
    <t>b9dacb3a-99a5-4354-ada3-c609db0e4a0f</t>
  </si>
  <si>
    <t>2026-05-25 14:43:01</t>
  </si>
  <si>
    <t>27796175897</t>
  </si>
  <si>
    <t>14302249</t>
  </si>
  <si>
    <t>9c7e8056-32aa-40f1-b7c5-fe25fbff634a</t>
  </si>
  <si>
    <t>2026-05-25 14:42:57</t>
  </si>
  <si>
    <t>27725736728</t>
  </si>
  <si>
    <t>14302269</t>
  </si>
  <si>
    <t>c82c1d82-1d40-431d-aa4a-59203c8ff92b</t>
  </si>
  <si>
    <t>2026-05-25 14:42:54</t>
  </si>
  <si>
    <t>27763991098</t>
  </si>
  <si>
    <t>14302351</t>
  </si>
  <si>
    <t>a3c13048-d35c-40eb-a345-2f23f5e75cdd</t>
  </si>
  <si>
    <t>27825459684</t>
  </si>
  <si>
    <t>14302262</t>
  </si>
  <si>
    <t>a71df2ea-2144-4981-9bfb-af9b587f7f40</t>
  </si>
  <si>
    <t>2026-05-25 14:42:50</t>
  </si>
  <si>
    <t>27711742146</t>
  </si>
  <si>
    <t>14302372</t>
  </si>
  <si>
    <t>8bfadf53-0a9a-48f1-8070-a14faf973758</t>
  </si>
  <si>
    <t>2026-05-25 14:42:42</t>
  </si>
  <si>
    <t>27723237122</t>
  </si>
  <si>
    <t>14302268</t>
  </si>
  <si>
    <t>1cca4449-6727-46bb-8247-c82b68a787b5</t>
  </si>
  <si>
    <t>2026-05-25 14:42:39</t>
  </si>
  <si>
    <t>27822254319</t>
  </si>
  <si>
    <t>14302233</t>
  </si>
  <si>
    <t>dd500a46-d103-433e-9d70-b0b09a668a55</t>
  </si>
  <si>
    <t>2026-05-25 14:42:33</t>
  </si>
  <si>
    <t>27728200046</t>
  </si>
  <si>
    <t>14302313</t>
  </si>
  <si>
    <t>0b6a03d7-6414-4dee-9d42-52a4af079795</t>
  </si>
  <si>
    <t>2026-05-25 14:42:21</t>
  </si>
  <si>
    <t>27828320325</t>
  </si>
  <si>
    <t>14302267</t>
  </si>
  <si>
    <t>04e87ecf-5859-4119-978e-046748743bfd</t>
  </si>
  <si>
    <t>27725293243</t>
  </si>
  <si>
    <t>14297862</t>
  </si>
  <si>
    <t>109431a5-c3c7-4858-9f84-e15b96dfe81b</t>
  </si>
  <si>
    <t>27608308006</t>
  </si>
  <si>
    <t>2026-05-25 14:41:56</t>
  </si>
  <si>
    <t>14302281</t>
  </si>
  <si>
    <t>b38e2f07-cb09-4e68-90b1-4a29c9595073</t>
  </si>
  <si>
    <t>2026-05-25 14:41:46</t>
  </si>
  <si>
    <t>27637875715</t>
  </si>
  <si>
    <t>14302330</t>
  </si>
  <si>
    <t>1b577503-733d-4d0f-8f2c-874160148048</t>
  </si>
  <si>
    <t>27712483099</t>
  </si>
  <si>
    <t>14302343</t>
  </si>
  <si>
    <t>f2bfe3b4-cd57-4329-9c67-a60f57f31e81</t>
  </si>
  <si>
    <t>27724101719</t>
  </si>
  <si>
    <t>14302416</t>
  </si>
  <si>
    <t>1b8e3cfc-38a5-46fb-aaae-7377bcecf798</t>
  </si>
  <si>
    <t>2026-05-25 14:41:34</t>
  </si>
  <si>
    <t>27660963896</t>
  </si>
  <si>
    <t>14302277</t>
  </si>
  <si>
    <t>93324851-4c14-4804-a79a-218035c5166e</t>
  </si>
  <si>
    <t>2026-05-25 14:41:33</t>
  </si>
  <si>
    <t>27796798816</t>
  </si>
  <si>
    <t>14302287</t>
  </si>
  <si>
    <t>103c6158-0bde-4bf8-bd5a-599a65e42b4d</t>
  </si>
  <si>
    <t>2026-05-25 14:41:25</t>
  </si>
  <si>
    <t>27648928251</t>
  </si>
  <si>
    <t>14302276</t>
  </si>
  <si>
    <t>d2c9bb25-4fa8-438b-a093-c34009cf84a1</t>
  </si>
  <si>
    <t>2026-05-25 14:41:16</t>
  </si>
  <si>
    <t>27765387661</t>
  </si>
  <si>
    <t>14302404</t>
  </si>
  <si>
    <t>66c7bbff-335d-43ec-a41c-e95b0d091f13</t>
  </si>
  <si>
    <t>27767791389</t>
  </si>
  <si>
    <t>14302290</t>
  </si>
  <si>
    <t>1f51ac8b-0f1d-4b30-aa0c-839fbff2f63b</t>
  </si>
  <si>
    <t>27790755347</t>
  </si>
  <si>
    <t>2026-05-25 14:40:39</t>
  </si>
  <si>
    <t>14302337</t>
  </si>
  <si>
    <t>11c80878-c840-4432-bc46-1516e97f2581</t>
  </si>
  <si>
    <t>27835995809</t>
  </si>
  <si>
    <t>14302421</t>
  </si>
  <si>
    <t>c3a9b73c-cb2b-44ec-8c28-eb9b4ff2bb09</t>
  </si>
  <si>
    <t>27790560896</t>
  </si>
  <si>
    <t>14302285</t>
  </si>
  <si>
    <t>e8f6d2f3-5af9-4b28-bf3c-9b272cb1e6a2</t>
  </si>
  <si>
    <t>2026-05-25 14:40:38</t>
  </si>
  <si>
    <t>27767970062</t>
  </si>
  <si>
    <t>14302355</t>
  </si>
  <si>
    <t>9da09e63-6244-4fa2-8a53-3708b97413ad</t>
  </si>
  <si>
    <t>2026-05-25 14:40:16</t>
  </si>
  <si>
    <t>27720296162</t>
  </si>
  <si>
    <t>14302291</t>
  </si>
  <si>
    <t>e04c45bb-6430-4e26-b406-1d2eb28a3233</t>
  </si>
  <si>
    <t>2026-05-25 14:40:12</t>
  </si>
  <si>
    <t>27768505642</t>
  </si>
  <si>
    <t>14302378</t>
  </si>
  <si>
    <t>0c17f763-2913-4fe3-80d5-3b9e68a67382</t>
  </si>
  <si>
    <t>2026-05-25 14:40:07</t>
  </si>
  <si>
    <t>27794093903</t>
  </si>
  <si>
    <t>14302289</t>
  </si>
  <si>
    <t>a7849425-4a36-4c18-ac46-9ba7b59355cb</t>
  </si>
  <si>
    <t>2026-05-25 14:39:59</t>
  </si>
  <si>
    <t>27716141393</t>
  </si>
  <si>
    <t>14302301</t>
  </si>
  <si>
    <t>3df61f74-17ae-4371-b058-88e78b02f1f2</t>
  </si>
  <si>
    <t>27712016553</t>
  </si>
  <si>
    <t>14302392</t>
  </si>
  <si>
    <t>da501e78-ce18-4ce2-8ea2-a0c9bfee7f51</t>
  </si>
  <si>
    <t>27722304122</t>
  </si>
  <si>
    <t>14302514</t>
  </si>
  <si>
    <t>507bde90-471a-436d-ae3a-10b97c15ca28</t>
  </si>
  <si>
    <t>27762867783</t>
  </si>
  <si>
    <t>14302370</t>
  </si>
  <si>
    <t>986b2fda-47dc-4970-81b9-75d65f4e83ac</t>
  </si>
  <si>
    <t>2026-05-25 14:39:40</t>
  </si>
  <si>
    <t>27794636487</t>
  </si>
  <si>
    <t>14302326</t>
  </si>
  <si>
    <t>e8795eec-3cba-4419-9140-b298788393b8</t>
  </si>
  <si>
    <t>2026-05-25 14:39:37</t>
  </si>
  <si>
    <t>27725871967</t>
  </si>
  <si>
    <t>14298023</t>
  </si>
  <si>
    <t>90765118-ada9-4104-bd0d-0f469f993f8d</t>
  </si>
  <si>
    <t>2026-05-25 14:39:35</t>
  </si>
  <si>
    <t>27714388608</t>
  </si>
  <si>
    <t>14302303</t>
  </si>
  <si>
    <t>fcffffce-8902-4fad-8ad6-2af8a57dc5b7</t>
  </si>
  <si>
    <t>2026-05-25 14:39:34</t>
  </si>
  <si>
    <t>27760169658</t>
  </si>
  <si>
    <t>14302406</t>
  </si>
  <si>
    <t>46796841-34be-40f3-b960-c1e965285f21</t>
  </si>
  <si>
    <t>27727171938</t>
  </si>
  <si>
    <t>14302309</t>
  </si>
  <si>
    <t>8eeda25f-5959-4b76-9c24-9f29309d51e0</t>
  </si>
  <si>
    <t>2026-05-25 14:38:50</t>
  </si>
  <si>
    <t>27720938290</t>
  </si>
  <si>
    <t>14302279</t>
  </si>
  <si>
    <t>420b8405-bd8d-421c-a6c6-e6ca3bb25634</t>
  </si>
  <si>
    <t>2026-05-25 14:38:49</t>
  </si>
  <si>
    <t>27728082091</t>
  </si>
  <si>
    <t>14302308</t>
  </si>
  <si>
    <t>9dc431db-c6fd-418b-b454-9b5717931256</t>
  </si>
  <si>
    <t>27772956800</t>
  </si>
  <si>
    <t>14302570</t>
  </si>
  <si>
    <t>7c0f9a04-3ed3-45ec-aa63-38295daf2a73</t>
  </si>
  <si>
    <t>27836906420</t>
  </si>
  <si>
    <t>14302307</t>
  </si>
  <si>
    <t>c1185109-59f7-4c1b-8c3e-8f90b037c70b</t>
  </si>
  <si>
    <t>2026-05-25 14:38:46</t>
  </si>
  <si>
    <t>27614005431</t>
  </si>
  <si>
    <t>14302316</t>
  </si>
  <si>
    <t>8621f301-28ff-4747-a409-9a91920b2c3c</t>
  </si>
  <si>
    <t>27726902101</t>
  </si>
  <si>
    <t>14302338</t>
  </si>
  <si>
    <t>60c8b0d0-dcc1-4f34-a6d3-5d4595c435be</t>
  </si>
  <si>
    <t>27791299603</t>
  </si>
  <si>
    <t>2026-05-25 14:38:15</t>
  </si>
  <si>
    <t>14302441</t>
  </si>
  <si>
    <t>b51671ca-1353-4dfa-9410-9785efb3f0dc</t>
  </si>
  <si>
    <t>27716069507</t>
  </si>
  <si>
    <t>2026-05-25 14:38:10</t>
  </si>
  <si>
    <t>14302451</t>
  </si>
  <si>
    <t>40c5978f-b2c5-4cb2-964f-9346fb8de1c4</t>
  </si>
  <si>
    <t>27766606110</t>
  </si>
  <si>
    <t>2026-05-25 14:38:06</t>
  </si>
  <si>
    <t>14302393</t>
  </si>
  <si>
    <t>d9a6be52-a41d-4274-8bf7-589326ec13c0</t>
  </si>
  <si>
    <t>27722926121</t>
  </si>
  <si>
    <t>14302500</t>
  </si>
  <si>
    <t>8eb00b34-fa25-4f0c-b25a-2deca0736496</t>
  </si>
  <si>
    <t>2026-05-25 14:37:45</t>
  </si>
  <si>
    <t>27767662883</t>
  </si>
  <si>
    <t>14302452</t>
  </si>
  <si>
    <t>503e832d-9cf5-431a-9f3c-469cc379f011</t>
  </si>
  <si>
    <t>2026-05-25 14:37:43</t>
  </si>
  <si>
    <t>27768173572</t>
  </si>
  <si>
    <t>14302325</t>
  </si>
  <si>
    <t>b7f550af-960c-4c96-a2ff-622deefa7e62</t>
  </si>
  <si>
    <t>27795594128</t>
  </si>
  <si>
    <t>2026-05-25 14:37:32</t>
  </si>
  <si>
    <t>14302420</t>
  </si>
  <si>
    <t>5b8a5e80-3b9f-4713-8bb7-cf03d9af90e0</t>
  </si>
  <si>
    <t>27792950681</t>
  </si>
  <si>
    <t>14302541</t>
  </si>
  <si>
    <t>6452ed41-def6-4bf6-9416-4f9b01c08886</t>
  </si>
  <si>
    <t>27848125913</t>
  </si>
  <si>
    <t>14302386</t>
  </si>
  <si>
    <t>103b1817-db4f-4c03-925f-36aaa3c8fd1e</t>
  </si>
  <si>
    <t>27768671258</t>
  </si>
  <si>
    <t>2026-05-25 14:36:46</t>
  </si>
  <si>
    <t>14302293</t>
  </si>
  <si>
    <t>bef8f627-da54-412a-8c96-80c2d579baf1</t>
  </si>
  <si>
    <t>2026-05-25 14:36:42</t>
  </si>
  <si>
    <t>27769301481</t>
  </si>
  <si>
    <t>14302334</t>
  </si>
  <si>
    <t>66233fd3-c59b-41cc-b055-2636e339dac4</t>
  </si>
  <si>
    <t>2026-05-25 14:36:41</t>
  </si>
  <si>
    <t>27712419641</t>
  </si>
  <si>
    <t>14302324</t>
  </si>
  <si>
    <t>26436b68-12dc-4b72-8e39-f3ec09e9b1bc</t>
  </si>
  <si>
    <t>2026-05-25 14:36:38</t>
  </si>
  <si>
    <t>27720885305</t>
  </si>
  <si>
    <t>14302560</t>
  </si>
  <si>
    <t>5e11454d-614e-4c56-8ced-e44f35d58d3f</t>
  </si>
  <si>
    <t>2026-05-25 14:36:37</t>
  </si>
  <si>
    <t>27794138147</t>
  </si>
  <si>
    <t>14302322</t>
  </si>
  <si>
    <t>3675a8ee-9960-4c3c-abce-c747d7a774a6</t>
  </si>
  <si>
    <t>2026-05-25 14:36:30</t>
  </si>
  <si>
    <t>27760195410</t>
  </si>
  <si>
    <t>14302492</t>
  </si>
  <si>
    <t>01d0b71a-e1d8-4cd4-99a4-4b7c14f09739</t>
  </si>
  <si>
    <t>27608990073</t>
  </si>
  <si>
    <t>14302346</t>
  </si>
  <si>
    <t>947911dd-56b6-43f1-b818-82a4edffafac</t>
  </si>
  <si>
    <t>2026-05-25 14:36:25</t>
  </si>
  <si>
    <t>27663601902</t>
  </si>
  <si>
    <t>14302361</t>
  </si>
  <si>
    <t>483396e6-d35f-4597-9fe7-c344c4abb3c3</t>
  </si>
  <si>
    <t>27728389910</t>
  </si>
  <si>
    <t>2026-05-25 14:35:46</t>
  </si>
  <si>
    <t>14302450</t>
  </si>
  <si>
    <t>b0751058-eb10-49b7-bdf1-08a05352d5a2</t>
  </si>
  <si>
    <t>27760965418</t>
  </si>
  <si>
    <t>2026-05-25 14:35:18</t>
  </si>
  <si>
    <t>14302342</t>
  </si>
  <si>
    <t>990b9c66-d1de-4eab-b36f-f2ca069561fd</t>
  </si>
  <si>
    <t>2026-05-25 14:35:09</t>
  </si>
  <si>
    <t>27723939546</t>
  </si>
  <si>
    <t>14302490</t>
  </si>
  <si>
    <t>c3b027d4-d0ee-444f-b0c7-db88059368e8</t>
  </si>
  <si>
    <t>27825362018</t>
  </si>
  <si>
    <t>14302328</t>
  </si>
  <si>
    <t>64aea18e-2b71-4b85-981d-4db3e9f0961b</t>
  </si>
  <si>
    <t>2026-05-25 14:35:03</t>
  </si>
  <si>
    <t>27766519671</t>
  </si>
  <si>
    <t>14302335</t>
  </si>
  <si>
    <t>59605ae2-ad11-41fb-9403-3b295a4e20a8</t>
  </si>
  <si>
    <t>2026-05-25 14:35:02</t>
  </si>
  <si>
    <t>27824279079</t>
  </si>
  <si>
    <t>14302344</t>
  </si>
  <si>
    <t>2fa44011-2bbc-4dd8-97e0-b946de879306</t>
  </si>
  <si>
    <t>27769398358</t>
  </si>
  <si>
    <t>14302445</t>
  </si>
  <si>
    <t>5b74a41d-47e6-406f-ae63-795220fc5150</t>
  </si>
  <si>
    <t>27822669105</t>
  </si>
  <si>
    <t>14302339</t>
  </si>
  <si>
    <t>2f300513-ac99-455c-9c71-de179d37c26c</t>
  </si>
  <si>
    <t>2026-05-25 14:35:01</t>
  </si>
  <si>
    <t>27729144620</t>
  </si>
  <si>
    <t>14302354</t>
  </si>
  <si>
    <t>c73fdbba-a448-4ac7-8226-1e022aeae2d5</t>
  </si>
  <si>
    <t>2026-05-25 14:34:59</t>
  </si>
  <si>
    <t>27608574051</t>
  </si>
  <si>
    <t>14302331</t>
  </si>
  <si>
    <t>98438f6b-db11-45dd-b72f-7c8ac236b09e</t>
  </si>
  <si>
    <t>27827900662</t>
  </si>
  <si>
    <t>2026-05-25 14:34:58</t>
  </si>
  <si>
    <t>14302512</t>
  </si>
  <si>
    <t>89affe09-43c1-4039-ad69-0a43cad56f1b</t>
  </si>
  <si>
    <t>27762548078</t>
  </si>
  <si>
    <t>2026-05-25 14:34:57</t>
  </si>
  <si>
    <t>14302341</t>
  </si>
  <si>
    <t>2ebc6897-f126-44ef-b10b-716703c3a6f7</t>
  </si>
  <si>
    <t>27790665379</t>
  </si>
  <si>
    <t>2026-05-25 14:34:55</t>
  </si>
  <si>
    <t>14302379</t>
  </si>
  <si>
    <t>8964d695-cc85-4a2a-adcc-ffe6af459d8f</t>
  </si>
  <si>
    <t>27713445255</t>
  </si>
  <si>
    <t>14302520</t>
  </si>
  <si>
    <t>0303f0c2-f370-4e68-ab53-2b8a2f737a41</t>
  </si>
  <si>
    <t>2026-05-25 14:34:54</t>
  </si>
  <si>
    <t>27791682460</t>
  </si>
  <si>
    <t>14302489</t>
  </si>
  <si>
    <t>d17edbbf-461c-4431-a1ab-4d21117fb9a7</t>
  </si>
  <si>
    <t>27826287295</t>
  </si>
  <si>
    <t>14302504</t>
  </si>
  <si>
    <t>e6b7b75f-17cf-4786-a01f-c0555a976536</t>
  </si>
  <si>
    <t>27829766596</t>
  </si>
  <si>
    <t>14302353</t>
  </si>
  <si>
    <t>f999f37e-4109-4d20-8de9-70d592ebef2e</t>
  </si>
  <si>
    <t>2026-05-25 14:34:47</t>
  </si>
  <si>
    <t>27722385356</t>
  </si>
  <si>
    <t>14302497</t>
  </si>
  <si>
    <t>0c18ec01-d7f6-4c59-9052-dc7bd30f2f47</t>
  </si>
  <si>
    <t>2026-05-25 14:34:43</t>
  </si>
  <si>
    <t>27792709121</t>
  </si>
  <si>
    <t>14302360</t>
  </si>
  <si>
    <t>41b3132f-db6f-4f78-9137-e1c191da07de</t>
  </si>
  <si>
    <t>2026-05-25 14:34:42</t>
  </si>
  <si>
    <t>27763685527</t>
  </si>
  <si>
    <t>14302329</t>
  </si>
  <si>
    <t>b972da0f-5a36-4498-bfcc-fa621277d2c6</t>
  </si>
  <si>
    <t>2026-05-25 14:34:41</t>
  </si>
  <si>
    <t>27791253075</t>
  </si>
  <si>
    <t>14302373</t>
  </si>
  <si>
    <t>e34934ed-62b2-41b9-acc3-6cb1ea0f5f9b</t>
  </si>
  <si>
    <t>27836750587</t>
  </si>
  <si>
    <t>14302358</t>
  </si>
  <si>
    <t>3d04b926-befb-4914-8731-4bfa15c15a98</t>
  </si>
  <si>
    <t>27798361043</t>
  </si>
  <si>
    <t>14302384</t>
  </si>
  <si>
    <t>52515133-6080-4e1f-a647-d30d8b3182fe</t>
  </si>
  <si>
    <t>2026-05-25 14:34:10</t>
  </si>
  <si>
    <t>27825930208</t>
  </si>
  <si>
    <t>14302356</t>
  </si>
  <si>
    <t>958c5de2-b1bd-49a2-91bc-f9c345a4c957</t>
  </si>
  <si>
    <t>27721374357</t>
  </si>
  <si>
    <t>14302516</t>
  </si>
  <si>
    <t>fcaae791-c3bf-4bc2-8bed-ac99a3759e1a</t>
  </si>
  <si>
    <t>27798918241</t>
  </si>
  <si>
    <t>14302510</t>
  </si>
  <si>
    <t>fcddf371-9203-42c4-95f5-998ab9e60d35</t>
  </si>
  <si>
    <t>27763204498</t>
  </si>
  <si>
    <t>14302383</t>
  </si>
  <si>
    <t>11c5eae2-b56d-47ad-8048-be5939218eb1</t>
  </si>
  <si>
    <t>2026-05-25 14:33:38</t>
  </si>
  <si>
    <t>27818566209</t>
  </si>
  <si>
    <t>14302352</t>
  </si>
  <si>
    <t>f70de57e-4d2d-4b47-8511-2d086441347b</t>
  </si>
  <si>
    <t>27663385388</t>
  </si>
  <si>
    <t>2026-05-25 14:33:31</t>
  </si>
  <si>
    <t>14302557</t>
  </si>
  <si>
    <t>faad0084-d659-4e50-a28a-7386d898e020</t>
  </si>
  <si>
    <t>2026-05-25 14:33:28</t>
  </si>
  <si>
    <t>27761389881</t>
  </si>
  <si>
    <t>14302369</t>
  </si>
  <si>
    <t>07142d83-2968-4bfd-8c6f-4f87ceda117c</t>
  </si>
  <si>
    <t>2026-05-25 14:33:27</t>
  </si>
  <si>
    <t>27762084874</t>
  </si>
  <si>
    <t>14302407</t>
  </si>
  <si>
    <t>64fe989f-9384-48e4-9355-bc7a0835cbe6</t>
  </si>
  <si>
    <t>27714197940</t>
  </si>
  <si>
    <t>14302438</t>
  </si>
  <si>
    <t>f7d23205-09ea-460d-aed8-a060db7ea77f</t>
  </si>
  <si>
    <t>27796169262</t>
  </si>
  <si>
    <t>14302503</t>
  </si>
  <si>
    <t>dc2bdeab-24d2-480a-9d5f-c14278c255c2</t>
  </si>
  <si>
    <t>2026-05-25 14:32:55</t>
  </si>
  <si>
    <t>27818973950</t>
  </si>
  <si>
    <t>14300077</t>
  </si>
  <si>
    <t>809656d7-61f6-4bf1-bc8b-c85b30cf905b</t>
  </si>
  <si>
    <t>27715238321</t>
  </si>
  <si>
    <t>14302381</t>
  </si>
  <si>
    <t>2bf2f0b2-771e-4c9c-b430-f8897fddb657</t>
  </si>
  <si>
    <t>2026-05-25 14:32:43</t>
  </si>
  <si>
    <t>27797646984</t>
  </si>
  <si>
    <t>14302507</t>
  </si>
  <si>
    <t>7b415673-1780-42a2-8b95-43c808e7ac27</t>
  </si>
  <si>
    <t>2026-05-25 14:32:34</t>
  </si>
  <si>
    <t>27765355024</t>
  </si>
  <si>
    <t>14302387</t>
  </si>
  <si>
    <t>d752eb4c-4f18-4d23-a9e5-cc31c10858eb</t>
  </si>
  <si>
    <t>2026-05-25 14:32:33</t>
  </si>
  <si>
    <t>27729015768</t>
  </si>
  <si>
    <t>14302350</t>
  </si>
  <si>
    <t>287bea3c-1a57-4861-9c86-1084a4eca41e</t>
  </si>
  <si>
    <t>2026-05-25 14:32:28</t>
  </si>
  <si>
    <t>27665302573</t>
  </si>
  <si>
    <t>14302553</t>
  </si>
  <si>
    <t>3be67347-d1d2-4f57-b9c0-9a6d3e10b81d</t>
  </si>
  <si>
    <t>27764693924</t>
  </si>
  <si>
    <t>14302385</t>
  </si>
  <si>
    <t>1b3286dc-adc5-44ed-9804-5d51f6369229</t>
  </si>
  <si>
    <t>2026-05-25 14:32:27</t>
  </si>
  <si>
    <t>27660000789</t>
  </si>
  <si>
    <t>14302459</t>
  </si>
  <si>
    <t>57faafe4-aa2d-4c55-9aac-af7089b7f785</t>
  </si>
  <si>
    <t>27607726745</t>
  </si>
  <si>
    <t>14302412</t>
  </si>
  <si>
    <t>1f0fd9d9-c3b8-47f4-b6a7-47fd162cbe40</t>
  </si>
  <si>
    <t>27837208020</t>
  </si>
  <si>
    <t>14302394</t>
  </si>
  <si>
    <t>8722fa64-8ca5-48a9-8203-7d2db3385e3b</t>
  </si>
  <si>
    <t>2026-05-25 14:31:05</t>
  </si>
  <si>
    <t>27725107213</t>
  </si>
  <si>
    <t>14302486</t>
  </si>
  <si>
    <t>ca8203a6-c50b-4b56-a289-674c2d796432</t>
  </si>
  <si>
    <t>27608474574</t>
  </si>
  <si>
    <t>14302365</t>
  </si>
  <si>
    <t>35a98aa9-ef63-4d52-bf3b-7a239d451da6</t>
  </si>
  <si>
    <t>27720399024</t>
  </si>
  <si>
    <t>2026-05-25 14:31:04</t>
  </si>
  <si>
    <t>14302402</t>
  </si>
  <si>
    <t>dc31f470-c27a-419e-8c8f-2330b39047b1</t>
  </si>
  <si>
    <t>27766698358</t>
  </si>
  <si>
    <t>14302399</t>
  </si>
  <si>
    <t>b5fefb2e-173c-4385-b72f-29385f369d82</t>
  </si>
  <si>
    <t>2026-05-25 14:31:02</t>
  </si>
  <si>
    <t>27826775070</t>
  </si>
  <si>
    <t>14302415</t>
  </si>
  <si>
    <t>66744e8e-5247-4206-8bc3-56931f5d6b54</t>
  </si>
  <si>
    <t>27726302254</t>
  </si>
  <si>
    <t>14302398</t>
  </si>
  <si>
    <t>f23cac38-5fb5-452a-8402-46929b534811</t>
  </si>
  <si>
    <t>27664967474</t>
  </si>
  <si>
    <t>2026-05-25 14:30:35</t>
  </si>
  <si>
    <t>14302562</t>
  </si>
  <si>
    <t>dd44bb3a-e07e-4cc2-8432-9201ca8af5a5</t>
  </si>
  <si>
    <t>27713064233</t>
  </si>
  <si>
    <t>14302515</t>
  </si>
  <si>
    <t>3b1f4944-9f7b-4ab3-9554-94cdb764bfcd</t>
  </si>
  <si>
    <t>27829397328</t>
  </si>
  <si>
    <t>14302411</t>
  </si>
  <si>
    <t>78cc4936-9f02-458a-9ed4-5db2dbce5d96</t>
  </si>
  <si>
    <t>2026-05-25 14:29:45</t>
  </si>
  <si>
    <t>27820536917</t>
  </si>
  <si>
    <t>14302376</t>
  </si>
  <si>
    <t>0b5ae4ab-ab87-4472-8e6e-f72a99c1acd9</t>
  </si>
  <si>
    <t>2026-05-25 14:29:42</t>
  </si>
  <si>
    <t>27760454459</t>
  </si>
  <si>
    <t>14302408</t>
  </si>
  <si>
    <t>6d3b9767-0c42-4f13-9bf6-6523050b15b0</t>
  </si>
  <si>
    <t>2026-05-25 14:29:33</t>
  </si>
  <si>
    <t>27661467001</t>
  </si>
  <si>
    <t>14302409</t>
  </si>
  <si>
    <t>01572783-696b-4829-91e4-81ea7f51b92d</t>
  </si>
  <si>
    <t>27774638758</t>
  </si>
  <si>
    <t>14302524</t>
  </si>
  <si>
    <t>08462aa8-0359-495a-902c-2a778dff78e9</t>
  </si>
  <si>
    <t>27722232534</t>
  </si>
  <si>
    <t>14302563</t>
  </si>
  <si>
    <t>140c0b58-94a1-4ff5-83ca-6213aa6bd1c6</t>
  </si>
  <si>
    <t>27827591242</t>
  </si>
  <si>
    <t>14300094</t>
  </si>
  <si>
    <t>1d8247b7-47f3-4b4d-9aed-ed98b56f9241</t>
  </si>
  <si>
    <t>27660974894</t>
  </si>
  <si>
    <t>2026-05-25 14:28:26</t>
  </si>
  <si>
    <t>14302446</t>
  </si>
  <si>
    <t>c2c93c7e-090c-4667-bba2-c0e99b362981</t>
  </si>
  <si>
    <t>2026-05-25 14:28:18</t>
  </si>
  <si>
    <t>27727832071</t>
  </si>
  <si>
    <t>14299510</t>
  </si>
  <si>
    <t>13336416-de1b-4828-920b-75af95dc7cf3</t>
  </si>
  <si>
    <t>27720789586</t>
  </si>
  <si>
    <t>2026-05-25 14:28:12</t>
  </si>
  <si>
    <t>14302418</t>
  </si>
  <si>
    <t>089bc998-77e3-4e03-86c9-aca426a344f7</t>
  </si>
  <si>
    <t>27647956244</t>
  </si>
  <si>
    <t>2026-05-25 14:27:58</t>
  </si>
  <si>
    <t>14302433</t>
  </si>
  <si>
    <t>2d8ffea0-a9a7-419b-9109-d7cde6e3d278</t>
  </si>
  <si>
    <t>27793669663</t>
  </si>
  <si>
    <t>2026-05-25 14:27:38</t>
  </si>
  <si>
    <t>14302499</t>
  </si>
  <si>
    <t>28229ea2-8f4c-40cf-92a7-00a9738ef3b7</t>
  </si>
  <si>
    <t>27661522307</t>
  </si>
  <si>
    <t>14302391</t>
  </si>
  <si>
    <t>cd0e9269-b482-4419-b853-1d3908cc69fb</t>
  </si>
  <si>
    <t>2026-05-25 14:27:13</t>
  </si>
  <si>
    <t>27727112019</t>
  </si>
  <si>
    <t>14302447</t>
  </si>
  <si>
    <t>4f1f7e7b-5255-450a-8696-80665e50f680</t>
  </si>
  <si>
    <t>2026-05-25 14:27:09</t>
  </si>
  <si>
    <t>27760152155</t>
  </si>
  <si>
    <t>14302427</t>
  </si>
  <si>
    <t>ccefff63-c0f1-40f9-a091-e68483aefcea</t>
  </si>
  <si>
    <t>27826956058</t>
  </si>
  <si>
    <t>2026-05-25 14:26:59</t>
  </si>
  <si>
    <t>14302568</t>
  </si>
  <si>
    <t>67cc66b6-6eb1-4fd6-8915-6ab91cab8904</t>
  </si>
  <si>
    <t>2026-05-25 14:26:57</t>
  </si>
  <si>
    <t>27728068281</t>
  </si>
  <si>
    <t>14302456</t>
  </si>
  <si>
    <t>e4b43d35-a2cc-4c00-9e07-dd2d409a8c50</t>
  </si>
  <si>
    <t>27825412086</t>
  </si>
  <si>
    <t>2026-05-25 14:26:56</t>
  </si>
  <si>
    <t>14302424</t>
  </si>
  <si>
    <t>dcef4e4c-2291-42de-b9d0-6e92e5eb2ccb</t>
  </si>
  <si>
    <t>27791168568</t>
  </si>
  <si>
    <t>14302546</t>
  </si>
  <si>
    <t>d77175ce-4f59-4ad3-8791-0224c0562097</t>
  </si>
  <si>
    <t>27714881180</t>
  </si>
  <si>
    <t>14302440</t>
  </si>
  <si>
    <t>50b20c50-e32a-4937-9cf4-9d94cae8bdb4</t>
  </si>
  <si>
    <t>2026-05-25 14:26:34</t>
  </si>
  <si>
    <t>27795943600</t>
  </si>
  <si>
    <t>14302405</t>
  </si>
  <si>
    <t>65f3e1c7-bcc1-4fae-8c05-aa70e605a825</t>
  </si>
  <si>
    <t>2026-05-25 14:26:28</t>
  </si>
  <si>
    <t>27818535701</t>
  </si>
  <si>
    <t>14302417</t>
  </si>
  <si>
    <t>c22889bc-fa85-4b29-bede-0738d5e68de7</t>
  </si>
  <si>
    <t>27790205627</t>
  </si>
  <si>
    <t>14302480</t>
  </si>
  <si>
    <t>d3803afc-f29c-4484-a3da-cc6131bc31c3</t>
  </si>
  <si>
    <t>27765492173</t>
  </si>
  <si>
    <t>14302566</t>
  </si>
  <si>
    <t>a9634823-9c3d-46b7-9e01-81900b9a37c9</t>
  </si>
  <si>
    <t>27796434821</t>
  </si>
  <si>
    <t>14302547</t>
  </si>
  <si>
    <t>03abbb6d-9a87-4ae4-852d-b92c53fe0521</t>
  </si>
  <si>
    <t>2026-05-25 14:26:25</t>
  </si>
  <si>
    <t>27727378720</t>
  </si>
  <si>
    <t>14302436</t>
  </si>
  <si>
    <t>b0d1826e-f3aa-47e8-b3ed-9500a8347586</t>
  </si>
  <si>
    <t>2026-05-25 14:26:24</t>
  </si>
  <si>
    <t>27722763929</t>
  </si>
  <si>
    <t>14302555</t>
  </si>
  <si>
    <t>442d1270-b29b-4c17-aebd-b504160f48fb</t>
  </si>
  <si>
    <t>27760190391</t>
  </si>
  <si>
    <t>14301332</t>
  </si>
  <si>
    <t>7c6891b2-6a37-447e-bc37-90f27a5c1be2</t>
  </si>
  <si>
    <t>27791095706</t>
  </si>
  <si>
    <t>2026-05-25 14:24:27</t>
  </si>
  <si>
    <t>14302454</t>
  </si>
  <si>
    <t>057b9ddd-8f26-4cad-a200-b2d591dbde50</t>
  </si>
  <si>
    <t>2026-05-25 14:24:10</t>
  </si>
  <si>
    <t>27762303208</t>
  </si>
  <si>
    <t>14302428</t>
  </si>
  <si>
    <t>c9269948-40ce-4e0e-8c35-bf08a9a567a5</t>
  </si>
  <si>
    <t>27608808770</t>
  </si>
  <si>
    <t>14298879</t>
  </si>
  <si>
    <t>41d2c846-6741-40a7-ad05-be1dfd01ac35</t>
  </si>
  <si>
    <t>27823590184</t>
  </si>
  <si>
    <t>14300146</t>
  </si>
  <si>
    <t>0c32bd54-8088-4f50-b3ea-703dffcd695d</t>
  </si>
  <si>
    <t>2026-05-25 14:23:30</t>
  </si>
  <si>
    <t>27762341173</t>
  </si>
  <si>
    <t>14302435</t>
  </si>
  <si>
    <t>45991441-5c60-4f3e-8ae2-fcbc5f03d8b5</t>
  </si>
  <si>
    <t>2026-05-25 14:23:21</t>
  </si>
  <si>
    <t>27798819985</t>
  </si>
  <si>
    <t>14302413</t>
  </si>
  <si>
    <t>42b1210e-015e-4323-bd10-cdefc4a69d81</t>
  </si>
  <si>
    <t>2026-05-25 14:23:20</t>
  </si>
  <si>
    <t>27820750935</t>
  </si>
  <si>
    <t>14302423</t>
  </si>
  <si>
    <t>1897e93f-13c3-4257-beba-875d1846a5d4</t>
  </si>
  <si>
    <t>2026-05-25 14:23:16</t>
  </si>
  <si>
    <t>27765338537</t>
  </si>
  <si>
    <t>14302548</t>
  </si>
  <si>
    <t>9a250fc7-ae28-4c70-829e-86fe48977b58</t>
  </si>
  <si>
    <t>27762112113</t>
  </si>
  <si>
    <t>14302437</t>
  </si>
  <si>
    <t>15983d6f-1836-438c-81b6-19693f3f0809</t>
  </si>
  <si>
    <t>27794584095</t>
  </si>
  <si>
    <t>14302455</t>
  </si>
  <si>
    <t>0f801fdd-e88e-4e7e-832f-d0fa9d740876</t>
  </si>
  <si>
    <t>27767734050</t>
  </si>
  <si>
    <t>2026-05-25 14:23:15</t>
  </si>
  <si>
    <t>14297981</t>
  </si>
  <si>
    <t>263eb7ca-11e3-4326-806d-60e718a90d5f</t>
  </si>
  <si>
    <t>27826693666</t>
  </si>
  <si>
    <t>2026-05-25 14:23:12</t>
  </si>
  <si>
    <t>14300068</t>
  </si>
  <si>
    <t>8b230597-773a-4cb6-84fe-2a03c57cd23e</t>
  </si>
  <si>
    <t>27729446503</t>
  </si>
  <si>
    <t>2026-05-25 14:21:23</t>
  </si>
  <si>
    <t>14302545</t>
  </si>
  <si>
    <t>4cc84c88-c98d-454c-9521-b5f1564cb2f0</t>
  </si>
  <si>
    <t>27711198936</t>
  </si>
  <si>
    <t>2026-05-25 14:21:09</t>
  </si>
  <si>
    <t>14302491</t>
  </si>
  <si>
    <t>e063ed2b-9db3-4419-a296-7bba16c5b73e</t>
  </si>
  <si>
    <t>27722564889</t>
  </si>
  <si>
    <t>2026-05-25 14:20:47</t>
  </si>
  <si>
    <t>14301744</t>
  </si>
  <si>
    <t>7b76f8ba-e9da-4919-ba43-ae4568de9066</t>
  </si>
  <si>
    <t>27725750072</t>
  </si>
  <si>
    <t>2026-05-25 14:20:46</t>
  </si>
  <si>
    <t>14300941</t>
  </si>
  <si>
    <t>b77ce579-f35d-4afe-acdf-5aa68c04dcdb</t>
  </si>
  <si>
    <t>2026-05-25 14:20:45</t>
  </si>
  <si>
    <t>27727728493</t>
  </si>
  <si>
    <t>14302429</t>
  </si>
  <si>
    <t>4a51c12b-38cc-4238-bd07-7c869b7c4769</t>
  </si>
  <si>
    <t>2026-05-25 14:19:58</t>
  </si>
  <si>
    <t>27637176829</t>
  </si>
  <si>
    <t>14302431</t>
  </si>
  <si>
    <t>7cc35317-e2a9-40ed-b03f-07a7d91bde30</t>
  </si>
  <si>
    <t>2026-05-25 14:19:54</t>
  </si>
  <si>
    <t>27799810692</t>
  </si>
  <si>
    <t>14302495</t>
  </si>
  <si>
    <t>bcba6c39-37bd-4191-aa95-ccfc138bb43b</t>
  </si>
  <si>
    <t>2026-05-25 14:19:51</t>
  </si>
  <si>
    <t>27673532469</t>
  </si>
  <si>
    <t>14302508</t>
  </si>
  <si>
    <t>a2aa187e-79f4-48e0-88fd-0d6f8279a367</t>
  </si>
  <si>
    <t>27769779832</t>
  </si>
  <si>
    <t>14302513</t>
  </si>
  <si>
    <t>7390e17f-cac5-4501-923d-6963a36f8716</t>
  </si>
  <si>
    <t>27762476365</t>
  </si>
  <si>
    <t>14302564</t>
  </si>
  <si>
    <t>6f10bbfe-c793-4363-a981-4a3454f554a6</t>
  </si>
  <si>
    <t>2026-05-25 14:17:47</t>
  </si>
  <si>
    <t>27725172248</t>
  </si>
  <si>
    <t>14302449</t>
  </si>
  <si>
    <t>0d6d8176-09c6-430d-b820-0afa769f05bc</t>
  </si>
  <si>
    <t>2026-05-25 14:17:45</t>
  </si>
  <si>
    <t>27722774738</t>
  </si>
  <si>
    <t>14302448</t>
  </si>
  <si>
    <t>47701230-6ced-495d-86c4-0284da088664</t>
  </si>
  <si>
    <t>2026-05-25 14:17:40</t>
  </si>
  <si>
    <t>27792665414</t>
  </si>
  <si>
    <t>14302461</t>
  </si>
  <si>
    <t>0e378bf3-8cf0-4ac6-9ff6-e9bb12ac7407</t>
  </si>
  <si>
    <t>2026-05-25 14:17:35</t>
  </si>
  <si>
    <t>27839916989</t>
  </si>
  <si>
    <t>14302475</t>
  </si>
  <si>
    <t>26189f72-24b0-415b-bc60-f20868493c44</t>
  </si>
  <si>
    <t>27825915563</t>
  </si>
  <si>
    <t>14302549</t>
  </si>
  <si>
    <t>737c03f5-16b2-4bd4-83e3-549f0833dc5b</t>
  </si>
  <si>
    <t>27794683013</t>
  </si>
  <si>
    <t>14302559</t>
  </si>
  <si>
    <t>d5aa1e9f-03ba-4459-a3bf-78e6ff7c7ed3</t>
  </si>
  <si>
    <t>27767436232</t>
  </si>
  <si>
    <t>14302542</t>
  </si>
  <si>
    <t>11777803-eeae-4dbd-8eb2-267a92fb6515</t>
  </si>
  <si>
    <t>2026-05-25 14:16:45</t>
  </si>
  <si>
    <t>27834379111</t>
  </si>
  <si>
    <t>14302554</t>
  </si>
  <si>
    <t>9f8a7ae1-ae19-462b-8987-e83b50f4aa02</t>
  </si>
  <si>
    <t>2026-05-25 14:16:33</t>
  </si>
  <si>
    <t>27727942315</t>
  </si>
  <si>
    <t>14302518</t>
  </si>
  <si>
    <t>f387d262-9b00-4888-9e0f-db988b90e04e</t>
  </si>
  <si>
    <t>2026-05-25 14:16:28</t>
  </si>
  <si>
    <t>27799048852</t>
  </si>
  <si>
    <t>14302476</t>
  </si>
  <si>
    <t>63813a6d-66fd-4e83-8ae0-86c908be898a</t>
  </si>
  <si>
    <t>27720964475</t>
  </si>
  <si>
    <t>14297608</t>
  </si>
  <si>
    <t>cce71b48-9389-4721-ba56-5be8d02526c4</t>
  </si>
  <si>
    <t>27794035630</t>
  </si>
  <si>
    <t>2026-05-25 14:16:08</t>
  </si>
  <si>
    <t>14297660</t>
  </si>
  <si>
    <t>5360aacb-07b0-46f5-bad4-1a3b3199be69</t>
  </si>
  <si>
    <t>2026-05-25 14:15:56</t>
  </si>
  <si>
    <t>27725042247</t>
  </si>
  <si>
    <t>14297661</t>
  </si>
  <si>
    <t>f0cd7a3a-44f2-4c14-8cd5-c283880cb755</t>
  </si>
  <si>
    <t>27636602335</t>
  </si>
  <si>
    <t>14302551</t>
  </si>
  <si>
    <t>96ba04c4-a6ed-4017-bbbd-e0425fd5b2d9</t>
  </si>
  <si>
    <t>2026-05-25 14:15:55</t>
  </si>
  <si>
    <t>27827209152</t>
  </si>
  <si>
    <t>14302544</t>
  </si>
  <si>
    <t>480dca1e-cd4e-4022-a0db-d412e04a035d</t>
  </si>
  <si>
    <t>2026-05-25 14:15:17</t>
  </si>
  <si>
    <t>27726014927</t>
  </si>
  <si>
    <t>14302571</t>
  </si>
  <si>
    <t>29ed422a-1170-45c0-9848-88a3ad25ca53</t>
  </si>
  <si>
    <t>27607030943</t>
  </si>
  <si>
    <t>14302453</t>
  </si>
  <si>
    <t>a3c8ddca-55da-4482-ad08-a6a2a03962c7</t>
  </si>
  <si>
    <t>2026-05-25 14:15:16</t>
  </si>
  <si>
    <t>27797596909</t>
  </si>
  <si>
    <t>14302552</t>
  </si>
  <si>
    <t>ce814bb2-8f9d-4aa7-9db5-6647d81eff93</t>
  </si>
  <si>
    <t>27727325040</t>
  </si>
  <si>
    <t>14297612</t>
  </si>
  <si>
    <t>10802f27-edc6-400d-b3af-50e37ad749c9</t>
  </si>
  <si>
    <t>2026-05-25 14:14:28</t>
  </si>
  <si>
    <t>27796308968</t>
  </si>
  <si>
    <t>14297618</t>
  </si>
  <si>
    <t>4735298b-808b-483d-b1b1-f6207d0bd1f3</t>
  </si>
  <si>
    <t>27646277119</t>
  </si>
  <si>
    <t>14297599</t>
  </si>
  <si>
    <t>5f5a597f-59d5-4ff1-a501-7d187595d3d6</t>
  </si>
  <si>
    <t>2026-05-25 14:14:15</t>
  </si>
  <si>
    <t>27720559609</t>
  </si>
  <si>
    <t>14302457</t>
  </si>
  <si>
    <t>edec9322-03aa-4325-beed-9d6438b6228c</t>
  </si>
  <si>
    <t>27828637241</t>
  </si>
  <si>
    <t>14302505</t>
  </si>
  <si>
    <t>a93f1f39-9e2e-470f-a089-3e55bb62eedf</t>
  </si>
  <si>
    <t>27724701695</t>
  </si>
  <si>
    <t>14302561</t>
  </si>
  <si>
    <t>baf2b51d-bdd3-49af-ad79-51b61cf97606</t>
  </si>
  <si>
    <t>27767240912</t>
  </si>
  <si>
    <t>14302477</t>
  </si>
  <si>
    <t>41fcb556-393c-4d59-9fd0-e9645c9360f9</t>
  </si>
  <si>
    <t>2026-05-25 14:13:41</t>
  </si>
  <si>
    <t>27721294983</t>
  </si>
  <si>
    <t>14302550</t>
  </si>
  <si>
    <t>c96b00f1-6cf2-4904-81a1-4e2d74c7c21b</t>
  </si>
  <si>
    <t>2026-05-25 14:13:38</t>
  </si>
  <si>
    <t>27675786183</t>
  </si>
  <si>
    <t>14302517</t>
  </si>
  <si>
    <t>36168825-6a79-4a34-be36-5f0986c907d8</t>
  </si>
  <si>
    <t>2026-05-25 14:13:34</t>
  </si>
  <si>
    <t>27820837788</t>
  </si>
  <si>
    <t>14302521</t>
  </si>
  <si>
    <t>5ac5cccc-7f32-43d0-babc-8a12d581d3ec</t>
  </si>
  <si>
    <t>27609150221</t>
  </si>
  <si>
    <t>14302479</t>
  </si>
  <si>
    <t>007987c0-6b65-4692-a800-35b8c8ab7173</t>
  </si>
  <si>
    <t>27716193388</t>
  </si>
  <si>
    <t>14302565</t>
  </si>
  <si>
    <t>1e4a816c-0b48-45f2-bb8c-cf1bd5a27961</t>
  </si>
  <si>
    <t>27722460229</t>
  </si>
  <si>
    <t>2026-05-25 14:13:02</t>
  </si>
  <si>
    <t>14297611</t>
  </si>
  <si>
    <t>8e3762d9-63bd-4bcf-9a7d-2d89f12c02e2</t>
  </si>
  <si>
    <t>2026-05-25 14:12:55</t>
  </si>
  <si>
    <t>27734959694</t>
  </si>
  <si>
    <t>14297610</t>
  </si>
  <si>
    <t>aba502bf-5831-481a-a7d8-cdf90df3a34a</t>
  </si>
  <si>
    <t>2026-05-25 14:12:54</t>
  </si>
  <si>
    <t>27798055258</t>
  </si>
  <si>
    <t>14297609</t>
  </si>
  <si>
    <t>def8e115-df64-4888-90cc-bf4b8ebf83de</t>
  </si>
  <si>
    <t>2026-05-25 14:12:37</t>
  </si>
  <si>
    <t>27769119633</t>
  </si>
  <si>
    <t>14297607</t>
  </si>
  <si>
    <t>e0d6e7c8-0750-4da9-8801-def4362771de</t>
  </si>
  <si>
    <t>2026-05-25 14:12:16</t>
  </si>
  <si>
    <t>27673539839</t>
  </si>
  <si>
    <t>14297600</t>
  </si>
  <si>
    <t>eec3ec2a-012a-4c02-8172-96256af86891</t>
  </si>
  <si>
    <t>2026-05-25 14:12:09</t>
  </si>
  <si>
    <t>27834783018</t>
  </si>
  <si>
    <t>14297601</t>
  </si>
  <si>
    <t>5b8ec0f3-de74-4eac-a238-184694b5c182</t>
  </si>
  <si>
    <t>27828488589</t>
  </si>
  <si>
    <t>14297604</t>
  </si>
  <si>
    <t>dcfc11b1-3262-4b88-8572-694a7c4b6a04</t>
  </si>
  <si>
    <t>27818273705</t>
  </si>
  <si>
    <t>14302458</t>
  </si>
  <si>
    <t>65e8ab39-ce12-4add-9ead-0e95089b70b6</t>
  </si>
  <si>
    <t>27835392342</t>
  </si>
  <si>
    <t>14297617</t>
  </si>
  <si>
    <t>3df2ed44-a193-477e-832e-fa684ec86101</t>
  </si>
  <si>
    <t>2026-05-25 14:07:49</t>
  </si>
  <si>
    <t>27728328866</t>
  </si>
  <si>
    <t>14297615</t>
  </si>
  <si>
    <t>b1b05ef3-dee1-4044-8e66-dcf0602eaa2c</t>
  </si>
  <si>
    <t>2026-05-25 14:07:35</t>
  </si>
  <si>
    <t>27769478265</t>
  </si>
  <si>
    <t>14297616</t>
  </si>
  <si>
    <t>1ec77d7e-250a-4eac-bea4-f8798208af51</t>
  </si>
  <si>
    <t>27791049356</t>
  </si>
  <si>
    <t>14297613</t>
  </si>
  <si>
    <t>c161d670-caa3-4b47-8e60-53d4468c28ee</t>
  </si>
  <si>
    <t>2026-05-25 14:07:34</t>
  </si>
  <si>
    <t>27795692717</t>
  </si>
  <si>
    <t>14297614</t>
  </si>
  <si>
    <t>cb0a241f-5b29-47a1-a16f-798e64ec2a86</t>
  </si>
  <si>
    <t>27797346823</t>
  </si>
  <si>
    <t>14297755</t>
  </si>
  <si>
    <t>b015fae5-5844-43a8-9aa2-3ac53b0cfc72</t>
  </si>
  <si>
    <t>27636384495</t>
  </si>
  <si>
    <t>2026-05-25 14:05:58</t>
  </si>
  <si>
    <t>14297656</t>
  </si>
  <si>
    <t>597b60e9-7470-4c47-aab7-eb795cc445c8</t>
  </si>
  <si>
    <t>2026-05-25 14:05:47</t>
  </si>
  <si>
    <t>27728938599</t>
  </si>
  <si>
    <t>14297658</t>
  </si>
  <si>
    <t>d89fed31-5dd6-43cb-9923-976474af2617</t>
  </si>
  <si>
    <t>27767942035</t>
  </si>
  <si>
    <t>14297654</t>
  </si>
  <si>
    <t>553b62ed-d3ea-4a95-bf43-972763a27eaa</t>
  </si>
  <si>
    <t>2026-05-25 14:05:46</t>
  </si>
  <si>
    <t>27827538044</t>
  </si>
  <si>
    <t>14297655</t>
  </si>
  <si>
    <t>18719ecd-db3d-41ca-bf95-7796d8057be3</t>
  </si>
  <si>
    <t>27724741186</t>
  </si>
  <si>
    <t>14297653</t>
  </si>
  <si>
    <t>b8d0097d-6c31-49be-8263-f97a1314e590</t>
  </si>
  <si>
    <t>2026-05-25 14:05:36</t>
  </si>
  <si>
    <t>27649427141</t>
  </si>
  <si>
    <t>14297651</t>
  </si>
  <si>
    <t>60f32806-bede-4521-a253-e6ea6a1f3647</t>
  </si>
  <si>
    <t>2026-05-25 14:05:31</t>
  </si>
  <si>
    <t>27829345076</t>
  </si>
  <si>
    <t>14297648</t>
  </si>
  <si>
    <t>ab5a78c4-3f7f-449d-8d5e-ef1ab1db0446</t>
  </si>
  <si>
    <t>2026-05-25 14:05:30</t>
  </si>
  <si>
    <t>27729038164</t>
  </si>
  <si>
    <t>14297649</t>
  </si>
  <si>
    <t>679f0f44-1147-4e57-ae29-0dc049987307</t>
  </si>
  <si>
    <t>27797446396</t>
  </si>
  <si>
    <t>14297650</t>
  </si>
  <si>
    <t>9814522b-224b-4689-ad23-89756e86c8d6</t>
  </si>
  <si>
    <t>27724598326</t>
  </si>
  <si>
    <t>14297647</t>
  </si>
  <si>
    <t>59661e11-8c0e-4f76-8045-34b0dd2f532b</t>
  </si>
  <si>
    <t>2026-05-25 14:04:58</t>
  </si>
  <si>
    <t>27828609839</t>
  </si>
  <si>
    <t>14297646</t>
  </si>
  <si>
    <t>6dd20a5c-9783-4058-bc96-2ced41b66cb5</t>
  </si>
  <si>
    <t>2026-05-25 14:04:53</t>
  </si>
  <si>
    <t>27606130279</t>
  </si>
  <si>
    <t>14297645</t>
  </si>
  <si>
    <t>2ce3af6b-2b64-4c40-bf14-2540d1f57deb</t>
  </si>
  <si>
    <t>27733771000</t>
  </si>
  <si>
    <t>2026-05-25 14:04:49</t>
  </si>
  <si>
    <t>14297644</t>
  </si>
  <si>
    <t>87f3b1e8-8b8f-4e8e-98b9-c7ad5143d4ed</t>
  </si>
  <si>
    <t>27827089005</t>
  </si>
  <si>
    <t>2026-05-25 14:04:48</t>
  </si>
  <si>
    <t>14297641</t>
  </si>
  <si>
    <t>afd5acb3-787b-42a9-9133-c6e056d1aef4</t>
  </si>
  <si>
    <t>27712624092</t>
  </si>
  <si>
    <t>2026-05-25 14:04:46</t>
  </si>
  <si>
    <t>14297642</t>
  </si>
  <si>
    <t>cdf28ca5-4ee2-4704-97d1-ee79f27f7b9c</t>
  </si>
  <si>
    <t>27713678223</t>
  </si>
  <si>
    <t>14297639</t>
  </si>
  <si>
    <t>c6c34b8d-9fe1-4094-b4f3-3fa2de6061d0</t>
  </si>
  <si>
    <t>2026-05-25 14:04:45</t>
  </si>
  <si>
    <t>27769104020</t>
  </si>
  <si>
    <t>14297640</t>
  </si>
  <si>
    <t>2d135746-891a-452b-b6ed-997cc029a0ec</t>
  </si>
  <si>
    <t>27782009774</t>
  </si>
  <si>
    <t>14297689</t>
  </si>
  <si>
    <t>9ca967b8-e0db-41ef-bd9f-5e81256110e1</t>
  </si>
  <si>
    <t>2026-05-25 14:04:26</t>
  </si>
  <si>
    <t>27798228507</t>
  </si>
  <si>
    <t>14297690</t>
  </si>
  <si>
    <t>e6765c66-b0e6-4f76-b335-82d909957ca3</t>
  </si>
  <si>
    <t>27651468852</t>
  </si>
  <si>
    <t>14297692</t>
  </si>
  <si>
    <t>5caf6563-7471-41b3-afdf-b4022d46b662</t>
  </si>
  <si>
    <t>27725698764</t>
  </si>
  <si>
    <t>14297688</t>
  </si>
  <si>
    <t>d81433db-fa71-4dd1-8e36-24ecce4c1031</t>
  </si>
  <si>
    <t>27796684409</t>
  </si>
  <si>
    <t>2026-05-25 14:04:25</t>
  </si>
  <si>
    <t>14297686</t>
  </si>
  <si>
    <t>7f151017-31b1-46ec-8916-ec64953dcab9</t>
  </si>
  <si>
    <t>2026-05-25 14:04:22</t>
  </si>
  <si>
    <t>27797925958</t>
  </si>
  <si>
    <t>14297687</t>
  </si>
  <si>
    <t>90607cac-6311-42e7-a312-88a14d5186ca</t>
  </si>
  <si>
    <t>27727953249</t>
  </si>
  <si>
    <t>14297685</t>
  </si>
  <si>
    <t>f27c2140-d7af-4cc2-9d70-4fbcdf59779f</t>
  </si>
  <si>
    <t>27794448842</t>
  </si>
  <si>
    <t>2026-05-25 14:04:21</t>
  </si>
  <si>
    <t>14297851</t>
  </si>
  <si>
    <t>964f34e6-c64a-42e1-a530-2ee473253143</t>
  </si>
  <si>
    <t>2026-05-25 14:03:56</t>
  </si>
  <si>
    <t>27716237740</t>
  </si>
  <si>
    <t>14297683</t>
  </si>
  <si>
    <t>ac5a01a8-4c89-4f05-95af-ba6a28e9d36a</t>
  </si>
  <si>
    <t>27763715423</t>
  </si>
  <si>
    <t>2026-05-25 14:03:48</t>
  </si>
  <si>
    <t>14297681</t>
  </si>
  <si>
    <t>46f94d65-6627-4443-a18e-3e8e6862dfd5</t>
  </si>
  <si>
    <t>2026-05-25 14:03:16</t>
  </si>
  <si>
    <t>27823656434</t>
  </si>
  <si>
    <t>14297676</t>
  </si>
  <si>
    <t>3cd14dd7-73d5-4a4b-9c20-504054f17459</t>
  </si>
  <si>
    <t>27795280034</t>
  </si>
  <si>
    <t>2026-05-25 14:02:48</t>
  </si>
  <si>
    <t>14297677</t>
  </si>
  <si>
    <t>f098b3c6-4bc4-4718-b696-24c70fa787ba</t>
  </si>
  <si>
    <t>27646907046</t>
  </si>
  <si>
    <t>14297678</t>
  </si>
  <si>
    <t>a1d81d69-6e1c-4930-b208-d1a87598bb99</t>
  </si>
  <si>
    <t>27660740793</t>
  </si>
  <si>
    <t>14297680</t>
  </si>
  <si>
    <t>abdc60f6-9d53-4a4d-902a-ebcc9682bd81</t>
  </si>
  <si>
    <t>27792578253</t>
  </si>
  <si>
    <t>14297671</t>
  </si>
  <si>
    <t>cd7b0d40-3d59-4a96-8723-0e90266c3ab9</t>
  </si>
  <si>
    <t>2026-05-25 14:02:46</t>
  </si>
  <si>
    <t>27760323627</t>
  </si>
  <si>
    <t>14297672</t>
  </si>
  <si>
    <t>c36d1892-0d8d-48a7-9479-d097ed13c366</t>
  </si>
  <si>
    <t>27723261100</t>
  </si>
  <si>
    <t>14297673</t>
  </si>
  <si>
    <t>b41d96bf-7a88-4440-88a7-29ded52d18c4</t>
  </si>
  <si>
    <t>27822191192</t>
  </si>
  <si>
    <t>14297675</t>
  </si>
  <si>
    <t>daf4f6c7-da8b-493f-a6a6-8ddca6efdb96</t>
  </si>
  <si>
    <t>27848196021</t>
  </si>
  <si>
    <t>14297702</t>
  </si>
  <si>
    <t>00892760-4ec5-490a-9d7b-ca1b21bcfdde</t>
  </si>
  <si>
    <t>27767975468</t>
  </si>
  <si>
    <t>2026-05-25 14:02:18</t>
  </si>
  <si>
    <t>14297700</t>
  </si>
  <si>
    <t>b3a76a17-4b85-48de-9f0c-57362b332518</t>
  </si>
  <si>
    <t>2026-05-25 14:01:55</t>
  </si>
  <si>
    <t>27660038092</t>
  </si>
  <si>
    <t>14297698</t>
  </si>
  <si>
    <t>9569c597-beed-4efb-bc15-6a38f6ecbf2d</t>
  </si>
  <si>
    <t>27767091377</t>
  </si>
  <si>
    <t>2026-05-25 14:01:34</t>
  </si>
  <si>
    <t>14297697</t>
  </si>
  <si>
    <t>2d62426f-4bfb-4fcb-bf54-6b42c730ceef</t>
  </si>
  <si>
    <t>2026-05-25 14:00:47</t>
  </si>
  <si>
    <t>27793815956</t>
  </si>
  <si>
    <t>14297696</t>
  </si>
  <si>
    <t>a3f98e52-2678-4ccc-a18e-e088d81658f2</t>
  </si>
  <si>
    <t>27792706850</t>
  </si>
  <si>
    <t>2026-05-25 14:00:39</t>
  </si>
  <si>
    <t>14297780</t>
  </si>
  <si>
    <t>f77883cd-9b65-4c37-a866-91f0bdd68785</t>
  </si>
  <si>
    <t>2026-05-25 14:00:27</t>
  </si>
  <si>
    <t>27824751005</t>
  </si>
  <si>
    <t>14297781</t>
  </si>
  <si>
    <t>e7463da7-38d7-468e-ae0d-6412743dd82d</t>
  </si>
  <si>
    <t>27763043811</t>
  </si>
  <si>
    <t>14297782</t>
  </si>
  <si>
    <t>ba01c5fc-dcc1-444e-b3ae-804ab58ce610</t>
  </si>
  <si>
    <t>27799897967</t>
  </si>
  <si>
    <t>14302558</t>
  </si>
  <si>
    <t>b7f0fb6e-2e70-4d54-a9b7-e692ed08df15</t>
  </si>
  <si>
    <t>27674380724</t>
  </si>
  <si>
    <t>14297779</t>
  </si>
  <si>
    <t>a0dc3fbb-f227-4923-86fd-f5027548b54a</t>
  </si>
  <si>
    <t>27606858551</t>
  </si>
  <si>
    <t>2026-05-25 14:00:17</t>
  </si>
  <si>
    <t>14297776</t>
  </si>
  <si>
    <t>6c6f163a-9bb8-4108-8945-f6d9b43d77e5</t>
  </si>
  <si>
    <t>2026-05-25 14:00:11</t>
  </si>
  <si>
    <t>27723709783</t>
  </si>
  <si>
    <t>14297777</t>
  </si>
  <si>
    <t>4a49d8bc-b493-48a7-a232-848e72f6a47e</t>
  </si>
  <si>
    <t>27760395881</t>
  </si>
  <si>
    <t>14297778</t>
  </si>
  <si>
    <t>7c64852f-0bbe-4c0f-a739-7511dedf9a2e</t>
  </si>
  <si>
    <t>27763244476</t>
  </si>
  <si>
    <t>14297752</t>
  </si>
  <si>
    <t>a6523d9b-9215-4196-b354-9330209e8b00</t>
  </si>
  <si>
    <t>27663333226</t>
  </si>
  <si>
    <t>2026-05-25 14:00:10</t>
  </si>
  <si>
    <t>14297774</t>
  </si>
  <si>
    <t>49b40f27-2b04-48ea-a58b-cbf3213855ae</t>
  </si>
  <si>
    <t>27797455647</t>
  </si>
  <si>
    <t>2026-05-25 13:59:43</t>
  </si>
  <si>
    <t>14297771</t>
  </si>
  <si>
    <t>491a948e-b92f-46e7-8a6f-621a61fabf66</t>
  </si>
  <si>
    <t>2026-05-25 13:59:42</t>
  </si>
  <si>
    <t>27712966440</t>
  </si>
  <si>
    <t>14297773</t>
  </si>
  <si>
    <t>8a52a5e9-0258-4b51-99ea-d87aeff1716f</t>
  </si>
  <si>
    <t>27608056261</t>
  </si>
  <si>
    <t>14297770</t>
  </si>
  <si>
    <t>d66a5450-c003-4901-b50f-6b928b0ab488</t>
  </si>
  <si>
    <t>2026-05-25 13:59:38</t>
  </si>
  <si>
    <t>27768314531</t>
  </si>
  <si>
    <t>14297760</t>
  </si>
  <si>
    <t>0eadb295-e693-4509-aaf7-c59760ee9c31</t>
  </si>
  <si>
    <t>2026-05-25 13:59:37</t>
  </si>
  <si>
    <t>27729689383</t>
  </si>
  <si>
    <t>14297759</t>
  </si>
  <si>
    <t>0e0a148d-6bcc-4b6c-8413-fb26030f97cd</t>
  </si>
  <si>
    <t>2026-05-25 13:59:28</t>
  </si>
  <si>
    <t>27727427636</t>
  </si>
  <si>
    <t>14297758</t>
  </si>
  <si>
    <t>08b89419-8867-4ae6-9dea-52a9301ea44d</t>
  </si>
  <si>
    <t>2026-05-25 13:59:25</t>
  </si>
  <si>
    <t>27725705263</t>
  </si>
  <si>
    <t>14297757</t>
  </si>
  <si>
    <t>45ab976f-133b-422f-8b9f-ab8020592074</t>
  </si>
  <si>
    <t>2026-05-25 13:59:23</t>
  </si>
  <si>
    <t>27796762479</t>
  </si>
  <si>
    <t>14297753</t>
  </si>
  <si>
    <t>0f6dc9d0-dedf-48d2-b6cc-4b661e613333</t>
  </si>
  <si>
    <t>2026-05-25 13:59:21</t>
  </si>
  <si>
    <t>27826394019</t>
  </si>
  <si>
    <t>14297754</t>
  </si>
  <si>
    <t>a61e0379-3bfe-403f-a621-efe534ee690e</t>
  </si>
  <si>
    <t>27827588635</t>
  </si>
  <si>
    <t>14297749</t>
  </si>
  <si>
    <t>496bec92-452e-476c-8f6f-f629b76e2f7c</t>
  </si>
  <si>
    <t>27799403585</t>
  </si>
  <si>
    <t>2026-05-25 13:59:19</t>
  </si>
  <si>
    <t>14297751</t>
  </si>
  <si>
    <t>c59aa192-92a8-4a86-9072-26676e0cc9dc</t>
  </si>
  <si>
    <t>27799476323</t>
  </si>
  <si>
    <t>14297746</t>
  </si>
  <si>
    <t>6a9d9d6c-1322-4389-82b3-3fc1de2576c7</t>
  </si>
  <si>
    <t>2026-05-25 13:59:18</t>
  </si>
  <si>
    <t>27713779025</t>
  </si>
  <si>
    <t>14297747</t>
  </si>
  <si>
    <t>b34b1ef3-e07b-4be9-bad2-5fe7eff26aed</t>
  </si>
  <si>
    <t>27769392541</t>
  </si>
  <si>
    <t>14302483</t>
  </si>
  <si>
    <t>d51bf545-e954-4501-bf89-f3e035becfe8</t>
  </si>
  <si>
    <t>27766981170</t>
  </si>
  <si>
    <t>2026-05-25 13:58:48</t>
  </si>
  <si>
    <t>14297902</t>
  </si>
  <si>
    <t>7bdb3674-9885-4e0a-8d14-bae6e2d355e5</t>
  </si>
  <si>
    <t>27724664473</t>
  </si>
  <si>
    <t>2026-05-25 13:58:21</t>
  </si>
  <si>
    <t>14297745</t>
  </si>
  <si>
    <t>68091e03-5f0c-4c4e-b712-618cc5a5b096</t>
  </si>
  <si>
    <t>2026-05-25 13:58:19</t>
  </si>
  <si>
    <t>27712129885</t>
  </si>
  <si>
    <t>14297744</t>
  </si>
  <si>
    <t>66ef1734-59ce-46ed-986e-d7e54ada30d1</t>
  </si>
  <si>
    <t>27662730057</t>
  </si>
  <si>
    <t>2026-05-25 13:58:16</t>
  </si>
  <si>
    <t>14297743</t>
  </si>
  <si>
    <t>80cd01f7-51b8-4e49-8ad5-3b8faf97638f</t>
  </si>
  <si>
    <t>2026-05-25 13:58:14</t>
  </si>
  <si>
    <t>27765745920</t>
  </si>
  <si>
    <t>14297769</t>
  </si>
  <si>
    <t>88e3cffe-d262-4619-9f36-ec9f3aad2334</t>
  </si>
  <si>
    <t>2026-05-25 13:58:09</t>
  </si>
  <si>
    <t>27764534506</t>
  </si>
  <si>
    <t>14297768</t>
  </si>
  <si>
    <t>07b865e0-6a14-4366-9692-6157e2da20d6</t>
  </si>
  <si>
    <t>2026-05-25 13:57:53</t>
  </si>
  <si>
    <t>27664213692</t>
  </si>
  <si>
    <t>14297763</t>
  </si>
  <si>
    <t>cc39f7c8-5d08-49f2-bc2f-4e3245972c5e</t>
  </si>
  <si>
    <t>2026-05-25 13:57:50</t>
  </si>
  <si>
    <t>27679881095</t>
  </si>
  <si>
    <t>14297764</t>
  </si>
  <si>
    <t>2d8be41f-0853-4170-946e-3872f6c0bc9b</t>
  </si>
  <si>
    <t>27711916813</t>
  </si>
  <si>
    <t>14297765</t>
  </si>
  <si>
    <t>ec108c58-9326-4c65-a22f-dcf267a926d1</t>
  </si>
  <si>
    <t>27768564116</t>
  </si>
  <si>
    <t>14297761</t>
  </si>
  <si>
    <t>dfd5b0fb-0293-4a54-b2ee-99866fc5147e</t>
  </si>
  <si>
    <t>2026-05-25 13:56:24</t>
  </si>
  <si>
    <t>27799604941</t>
  </si>
  <si>
    <t>14297762</t>
  </si>
  <si>
    <t>e418bff3-68d4-41bf-aeb6-a1f653c9e5b8</t>
  </si>
  <si>
    <t>27822983254</t>
  </si>
  <si>
    <t>14297868</t>
  </si>
  <si>
    <t>ddb718f8-87e3-401e-b9aa-a8634004414c</t>
  </si>
  <si>
    <t>2026-05-25 13:56:11</t>
  </si>
  <si>
    <t>27795394401</t>
  </si>
  <si>
    <t>14302462</t>
  </si>
  <si>
    <t>6ddd5416-7425-4f7c-a82f-975f44ba1e08</t>
  </si>
  <si>
    <t>27637233541</t>
  </si>
  <si>
    <t>2026-05-25 13:56:08</t>
  </si>
  <si>
    <t>14297840</t>
  </si>
  <si>
    <t>dca13b11-5e64-4e8c-a092-ba4653a34c3e</t>
  </si>
  <si>
    <t>2026-05-25 13:55:56</t>
  </si>
  <si>
    <t>27797700472</t>
  </si>
  <si>
    <t>14302464</t>
  </si>
  <si>
    <t>b35b09b3-e873-4f97-8d1e-5eef961fac34</t>
  </si>
  <si>
    <t>27822192964</t>
  </si>
  <si>
    <t>14302482</t>
  </si>
  <si>
    <t>a8ee3e4d-5791-4059-ad4f-4dca9cc53ffd</t>
  </si>
  <si>
    <t>27765869440</t>
  </si>
  <si>
    <t>14297827</t>
  </si>
  <si>
    <t>87440b38-ceef-4628-a859-928d9c354cc8</t>
  </si>
  <si>
    <t>27769701289</t>
  </si>
  <si>
    <t>2026-05-25 13:54:57</t>
  </si>
  <si>
    <t>14297822</t>
  </si>
  <si>
    <t>ea3b3479-e4d2-4352-95c6-3d3a237aa6b3</t>
  </si>
  <si>
    <t>27607154994</t>
  </si>
  <si>
    <t>2026-05-25 13:54:47</t>
  </si>
  <si>
    <t>14297836</t>
  </si>
  <si>
    <t>9564cef6-c414-4e35-8c1b-a19422424a66</t>
  </si>
  <si>
    <t>2026-05-25 13:54:41</t>
  </si>
  <si>
    <t>27761642181</t>
  </si>
  <si>
    <t>14302472</t>
  </si>
  <si>
    <t>686170f2-a62a-4796-9609-cd24a92220a7</t>
  </si>
  <si>
    <t>27764476577</t>
  </si>
  <si>
    <t>14297832</t>
  </si>
  <si>
    <t>3ccdc53a-ee0b-48df-a906-57f7b84dcc19</t>
  </si>
  <si>
    <t>2026-05-25 13:54:40</t>
  </si>
  <si>
    <t>27606708186</t>
  </si>
  <si>
    <t>14297833</t>
  </si>
  <si>
    <t>30745fcf-6d9c-4aaa-a38b-ba7da64dbef8</t>
  </si>
  <si>
    <t>27760434197</t>
  </si>
  <si>
    <t>14297831</t>
  </si>
  <si>
    <t>66366f43-0bbb-4c23-b5ad-19cee37cd506</t>
  </si>
  <si>
    <t>27822927813</t>
  </si>
  <si>
    <t>2026-05-25 13:54:39</t>
  </si>
  <si>
    <t>14297829</t>
  </si>
  <si>
    <t>0e90fc9d-2a99-4876-a683-b42878fb6dde</t>
  </si>
  <si>
    <t>2026-05-25 13:54:25</t>
  </si>
  <si>
    <t>27721732523</t>
  </si>
  <si>
    <t>14297828</t>
  </si>
  <si>
    <t>b798a3b9-adcf-4ae3-9ddb-61333c5e9862</t>
  </si>
  <si>
    <t>2026-05-25 13:54:22</t>
  </si>
  <si>
    <t>27715429206</t>
  </si>
  <si>
    <t>14302540</t>
  </si>
  <si>
    <t>e923e15b-821d-4825-9ffc-2115e5607bbb</t>
  </si>
  <si>
    <t>27836226503</t>
  </si>
  <si>
    <t>2026-05-25 13:53:53</t>
  </si>
  <si>
    <t>14297853</t>
  </si>
  <si>
    <t>a9e58930-687b-4d84-8134-cb2c312df912</t>
  </si>
  <si>
    <t>27714613896</t>
  </si>
  <si>
    <t>2026-05-25 13:53:49</t>
  </si>
  <si>
    <t>14297826</t>
  </si>
  <si>
    <t>bcdb8989-4606-4a36-ab63-9484c681d95d</t>
  </si>
  <si>
    <t>2026-05-25 13:53:46</t>
  </si>
  <si>
    <t>27720631911</t>
  </si>
  <si>
    <t>14297823</t>
  </si>
  <si>
    <t>7c7a4b7f-c6a1-4ed2-8183-5ed597e46c51</t>
  </si>
  <si>
    <t>2026-05-25 13:53:41</t>
  </si>
  <si>
    <t>27790909166</t>
  </si>
  <si>
    <t>14297825</t>
  </si>
  <si>
    <t>6fae2ff6-7b99-4a2b-a54a-4d7153b76b9d</t>
  </si>
  <si>
    <t>27790823851</t>
  </si>
  <si>
    <t>14297820</t>
  </si>
  <si>
    <t>8839cc38-879e-474a-9da3-664cdabfbe59</t>
  </si>
  <si>
    <t>27795797902</t>
  </si>
  <si>
    <t>2026-05-25 13:53:40</t>
  </si>
  <si>
    <t>14297815</t>
  </si>
  <si>
    <t>011f7410-695f-4a5a-b3a5-0abcc24c1c91</t>
  </si>
  <si>
    <t>27713685928</t>
  </si>
  <si>
    <t>2026-05-25 13:53:37</t>
  </si>
  <si>
    <t>14297816</t>
  </si>
  <si>
    <t>bd43a0e9-4728-4a0b-bd8e-9f70363c289a</t>
  </si>
  <si>
    <t>27727338825</t>
  </si>
  <si>
    <t>14297818</t>
  </si>
  <si>
    <t>5923478e-8efd-475d-bcd2-63d6f8a648ac</t>
  </si>
  <si>
    <t>27799381405</t>
  </si>
  <si>
    <t>14297819</t>
  </si>
  <si>
    <t>8abe525b-7405-4a20-95f9-227768b8365a</t>
  </si>
  <si>
    <t>27659715666</t>
  </si>
  <si>
    <t>14297814</t>
  </si>
  <si>
    <t>7cd64abd-01a2-4b1e-b40a-cbe865dece51</t>
  </si>
  <si>
    <t>2026-05-25 13:53:32</t>
  </si>
  <si>
    <t>27712066787</t>
  </si>
  <si>
    <t>14297812</t>
  </si>
  <si>
    <t>0e5228a1-aa56-4c1f-bbdd-4737d1875c21</t>
  </si>
  <si>
    <t>27729543615</t>
  </si>
  <si>
    <t>2026-05-25 13:53:30</t>
  </si>
  <si>
    <t>14297867</t>
  </si>
  <si>
    <t>978322c2-a601-45e9-b524-b0ac6c4ab612</t>
  </si>
  <si>
    <t>27774746121</t>
  </si>
  <si>
    <t>2026-05-25 13:53:27</t>
  </si>
  <si>
    <t>14297866</t>
  </si>
  <si>
    <t>0d744f55-983d-4f57-afe9-177203ea8ba9</t>
  </si>
  <si>
    <t>2026-05-25 13:53:26</t>
  </si>
  <si>
    <t>27721269207</t>
  </si>
  <si>
    <t>14297865</t>
  </si>
  <si>
    <t>8221ff79-7f2f-4331-8dbe-e939d14fe294</t>
  </si>
  <si>
    <t>27712220615</t>
  </si>
  <si>
    <t>2026-05-25 13:53:19</t>
  </si>
  <si>
    <t>14297863</t>
  </si>
  <si>
    <t>301d70d0-7286-4e5c-98bd-c9f0318c13ef</t>
  </si>
  <si>
    <t>2026-05-25 13:53:17</t>
  </si>
  <si>
    <t>27797942030</t>
  </si>
  <si>
    <t>14302465</t>
  </si>
  <si>
    <t>b60f1c40-84eb-4133-afbb-d48e09a8cf7f</t>
  </si>
  <si>
    <t>27799136869</t>
  </si>
  <si>
    <t>14297859</t>
  </si>
  <si>
    <t>a68e45b3-7905-4c8b-beb5-ec81b3c546c4</t>
  </si>
  <si>
    <t>27827456333</t>
  </si>
  <si>
    <t>2026-05-25 13:52:58</t>
  </si>
  <si>
    <t>14297861</t>
  </si>
  <si>
    <t>22e830fa-61bd-418a-b82f-77acbc0c5627</t>
  </si>
  <si>
    <t>27713576824</t>
  </si>
  <si>
    <t>14302471</t>
  </si>
  <si>
    <t>8be5ace9-a125-4708-9d33-7199ec1fddab</t>
  </si>
  <si>
    <t>2026-05-25 13:52:44</t>
  </si>
  <si>
    <t>27722502894</t>
  </si>
  <si>
    <t>14297855</t>
  </si>
  <si>
    <t>addc913f-e3c9-44c8-a7e6-d4eb8ffbdef1</t>
  </si>
  <si>
    <t>2026-05-25 13:52:35</t>
  </si>
  <si>
    <t>27722882604</t>
  </si>
  <si>
    <t>14297854</t>
  </si>
  <si>
    <t>884dd576-d59b-4ff0-9166-77b3098e58a0</t>
  </si>
  <si>
    <t>27722858048</t>
  </si>
  <si>
    <t>2026-05-25 13:52:28</t>
  </si>
  <si>
    <t>14297843</t>
  </si>
  <si>
    <t>f79eb549-a492-454a-920d-d83622977002</t>
  </si>
  <si>
    <t>2026-05-25 13:51:57</t>
  </si>
  <si>
    <t>27796207240</t>
  </si>
  <si>
    <t>14297850</t>
  </si>
  <si>
    <t>0ad537d0-2a06-4454-a94f-d0cb31922484</t>
  </si>
  <si>
    <t>27713969230</t>
  </si>
  <si>
    <t>14297852</t>
  </si>
  <si>
    <t>34c048cd-fbc2-40dc-9789-7e92b977d40b</t>
  </si>
  <si>
    <t>27661311459</t>
  </si>
  <si>
    <t>14297842</t>
  </si>
  <si>
    <t>0ae0adef-4c53-4027-b7df-5d61307e0d97</t>
  </si>
  <si>
    <t>2026-05-25 13:51:56</t>
  </si>
  <si>
    <t>27727378583</t>
  </si>
  <si>
    <t>14297895</t>
  </si>
  <si>
    <t>0c567b0c-5b76-4090-b0dc-16f0ccb4a331</t>
  </si>
  <si>
    <t>27822367647</t>
  </si>
  <si>
    <t>2026-05-25 13:51:45</t>
  </si>
  <si>
    <t>14297841</t>
  </si>
  <si>
    <t>7799255b-db2f-4d63-bf61-ac9951839ed1</t>
  </si>
  <si>
    <t>2026-05-25 13:51:41</t>
  </si>
  <si>
    <t>27726109474</t>
  </si>
  <si>
    <t>14299055</t>
  </si>
  <si>
    <t>76ecc9e7-a8fa-46e1-817a-5ac50bde3b0b</t>
  </si>
  <si>
    <t>2026-05-25 13:51:39</t>
  </si>
  <si>
    <t>27729795435</t>
  </si>
  <si>
    <t>14297847</t>
  </si>
  <si>
    <t>0ced638f-4eec-4c75-a79b-42fc21b5d259</t>
  </si>
  <si>
    <t>2026-05-25 13:51:19</t>
  </si>
  <si>
    <t>27711994579</t>
  </si>
  <si>
    <t>14297900</t>
  </si>
  <si>
    <t>dde337a6-4e3d-4e5b-bba1-8af4eacc5e29</t>
  </si>
  <si>
    <t>2026-05-25 13:51:06</t>
  </si>
  <si>
    <t>27766928461</t>
  </si>
  <si>
    <t>14297898</t>
  </si>
  <si>
    <t>a0a43625-17a1-4a69-b975-6b70fc29094b</t>
  </si>
  <si>
    <t>27823678293</t>
  </si>
  <si>
    <t>14297897</t>
  </si>
  <si>
    <t>8b82cfec-fedb-45ea-8af6-471b756d88ca</t>
  </si>
  <si>
    <t>2026-05-25 13:50:54</t>
  </si>
  <si>
    <t>27715925834</t>
  </si>
  <si>
    <t>14297894</t>
  </si>
  <si>
    <t>341c6361-a085-46bb-a027-324e37f06408</t>
  </si>
  <si>
    <t>2026-05-25 13:50:50</t>
  </si>
  <si>
    <t>27818639494</t>
  </si>
  <si>
    <t>14297891</t>
  </si>
  <si>
    <t>cd526b64-56ab-4ab5-aab6-e259e1aaed8d</t>
  </si>
  <si>
    <t>2026-05-25 13:50:49</t>
  </si>
  <si>
    <t>27829610557</t>
  </si>
  <si>
    <t>14297893</t>
  </si>
  <si>
    <t>fd3d3a9a-7d40-4a7b-9945-747d6f93eb68</t>
  </si>
  <si>
    <t>27608098435</t>
  </si>
  <si>
    <t>14297888</t>
  </si>
  <si>
    <t>5ca58b53-4f16-4e6b-9af0-89dba98b39eb</t>
  </si>
  <si>
    <t>27799077384</t>
  </si>
  <si>
    <t>2026-05-25 13:50:40</t>
  </si>
  <si>
    <t>14297889</t>
  </si>
  <si>
    <t>b75fceb7-c8c8-4676-a318-a789c812fd05</t>
  </si>
  <si>
    <t>27820418847</t>
  </si>
  <si>
    <t>14297890</t>
  </si>
  <si>
    <t>5dd0dd61-a8ed-4da1-b48b-8e63d0d586c4</t>
  </si>
  <si>
    <t>27792233575</t>
  </si>
  <si>
    <t>14297887</t>
  </si>
  <si>
    <t>e1941eb4-5b49-4662-917a-867e2dafa052</t>
  </si>
  <si>
    <t>27793802261</t>
  </si>
  <si>
    <t>2026-05-25 13:50:10</t>
  </si>
  <si>
    <t>14297886</t>
  </si>
  <si>
    <t>2106ed8e-f396-45ee-bdd5-9ad4036b4519</t>
  </si>
  <si>
    <t>2026-05-25 13:50:07</t>
  </si>
  <si>
    <t>27760168656</t>
  </si>
  <si>
    <t>14297883</t>
  </si>
  <si>
    <t>46200ebf-4701-41b2-b7f0-850224682c7e</t>
  </si>
  <si>
    <t>27766174463</t>
  </si>
  <si>
    <t>2026-05-25 13:50:05</t>
  </si>
  <si>
    <t>14297884</t>
  </si>
  <si>
    <t>a65f06a2-3ce8-4333-b63d-69edbad3fd38</t>
  </si>
  <si>
    <t>27769023276</t>
  </si>
  <si>
    <t>14297885</t>
  </si>
  <si>
    <t>6928aa82-f0b3-4773-9d30-5a070ec7a266</t>
  </si>
  <si>
    <t>27764941578</t>
  </si>
  <si>
    <t>14297882</t>
  </si>
  <si>
    <t>7158ddff-1d83-4e8a-b63f-a085cc415c61</t>
  </si>
  <si>
    <t>2026-05-25 13:50:04</t>
  </si>
  <si>
    <t>27763426973</t>
  </si>
  <si>
    <t>14297939</t>
  </si>
  <si>
    <t>bfa7ef7a-72a6-4ce0-8fd2-c9d21c9335a1</t>
  </si>
  <si>
    <t>27712911737</t>
  </si>
  <si>
    <t>2026-05-25 13:49:11</t>
  </si>
  <si>
    <t>14297846</t>
  </si>
  <si>
    <t>8c006fda-7e1d-476a-9491-5bf7fc4ed30a</t>
  </si>
  <si>
    <t>2026-05-25 13:49:10</t>
  </si>
  <si>
    <t>27823163028</t>
  </si>
  <si>
    <t>14297845</t>
  </si>
  <si>
    <t>e6246000-f82a-44ad-bfb4-934c0e36a06d</t>
  </si>
  <si>
    <t>2026-05-25 13:49:06</t>
  </si>
  <si>
    <t>27793540596</t>
  </si>
  <si>
    <t>14297844</t>
  </si>
  <si>
    <t>ee81863f-4527-41c9-8403-862ab12bfb99</t>
  </si>
  <si>
    <t>2026-05-25 13:49:05</t>
  </si>
  <si>
    <t>27766634331</t>
  </si>
  <si>
    <t>14297937</t>
  </si>
  <si>
    <t>fdbe0f50-ffc9-4eb7-a6b0-18971eba5b3c</t>
  </si>
  <si>
    <t>27762693810</t>
  </si>
  <si>
    <t>14297938</t>
  </si>
  <si>
    <t>c85ae4c8-2b67-418f-a790-589aba2d6520</t>
  </si>
  <si>
    <t>27661223352</t>
  </si>
  <si>
    <t>14297935</t>
  </si>
  <si>
    <t>20ed0c2e-5d3f-414d-8164-ba3dda2d7b90</t>
  </si>
  <si>
    <t>2026-05-25 13:48:58</t>
  </si>
  <si>
    <t>27820489312</t>
  </si>
  <si>
    <t>14297932</t>
  </si>
  <si>
    <t>66c97c2d-d965-494f-a181-fd9f38e7fa5b</t>
  </si>
  <si>
    <t>2026-05-25 13:48:44</t>
  </si>
  <si>
    <t>27724742817</t>
  </si>
  <si>
    <t>14297930</t>
  </si>
  <si>
    <t>ab7da690-3a92-4ccd-b3d2-dcd951f78abb</t>
  </si>
  <si>
    <t>2026-05-25 13:48:18</t>
  </si>
  <si>
    <t>27769862893</t>
  </si>
  <si>
    <t>14302539</t>
  </si>
  <si>
    <t>a7ad0167-9c49-4883-ba8b-6a2c3bea5dfd</t>
  </si>
  <si>
    <t>27828104091</t>
  </si>
  <si>
    <t>14297929</t>
  </si>
  <si>
    <t>f3d32844-899a-43e7-a4ad-e56a87dd0003</t>
  </si>
  <si>
    <t>27768871953</t>
  </si>
  <si>
    <t>2026-05-25 13:48:17</t>
  </si>
  <si>
    <t>14297928</t>
  </si>
  <si>
    <t>2c06e5c1-412b-4efb-887e-63c339f356e3</t>
  </si>
  <si>
    <t>27766024936</t>
  </si>
  <si>
    <t>2026-05-25 13:47:55</t>
  </si>
  <si>
    <t>14297927</t>
  </si>
  <si>
    <t>8f0db408-ca59-43e3-a86b-0f5f77928938</t>
  </si>
  <si>
    <t>2026-05-25 13:47:51</t>
  </si>
  <si>
    <t>27761758113</t>
  </si>
  <si>
    <t>14297923</t>
  </si>
  <si>
    <t>ffd8911a-1bd4-49ae-ba97-cf9f3c36f10c</t>
  </si>
  <si>
    <t>27729890901</t>
  </si>
  <si>
    <t>2026-05-25 13:47:50</t>
  </si>
  <si>
    <t>14297925</t>
  </si>
  <si>
    <t>2ec97b4e-a9f6-4e14-8c7b-c15cadc647f9</t>
  </si>
  <si>
    <t>27721070951</t>
  </si>
  <si>
    <t>14297922</t>
  </si>
  <si>
    <t>e2ef0c65-4005-4128-accb-2315b506d9ce</t>
  </si>
  <si>
    <t>2026-05-25 13:47:37</t>
  </si>
  <si>
    <t>27823146170</t>
  </si>
  <si>
    <t>14297916</t>
  </si>
  <si>
    <t>a759f97c-8e97-4ba3-b7ce-61f6482a4302</t>
  </si>
  <si>
    <t>2026-05-25 13:47:36</t>
  </si>
  <si>
    <t>27722398750</t>
  </si>
  <si>
    <t>14297917</t>
  </si>
  <si>
    <t>07a86cee-8a99-4fde-8851-f85d834e5124</t>
  </si>
  <si>
    <t>27727488890</t>
  </si>
  <si>
    <t>14297918</t>
  </si>
  <si>
    <t>02f45709-5e8e-4c14-b81e-311ba1e0c68e</t>
  </si>
  <si>
    <t>27761896173</t>
  </si>
  <si>
    <t>14297919</t>
  </si>
  <si>
    <t>f65779ab-1425-4156-9b01-37b9a20017c7</t>
  </si>
  <si>
    <t>27799633783</t>
  </si>
  <si>
    <t>14302538</t>
  </si>
  <si>
    <t>6c124739-e9f7-4427-9e58-9e4d93228275</t>
  </si>
  <si>
    <t>27665567821</t>
  </si>
  <si>
    <t>2026-05-25 13:47:13</t>
  </si>
  <si>
    <t>14302537</t>
  </si>
  <si>
    <t>de36f130-6316-4d06-9745-bc388ff18d01</t>
  </si>
  <si>
    <t>2026-05-25 13:47:08</t>
  </si>
  <si>
    <t>27793963943</t>
  </si>
  <si>
    <t>14302533</t>
  </si>
  <si>
    <t>f84dad3e-4450-4ca6-b0d0-f4cf8a5d3eae</t>
  </si>
  <si>
    <t>2026-05-25 13:46:51</t>
  </si>
  <si>
    <t>27791744554</t>
  </si>
  <si>
    <t>14302536</t>
  </si>
  <si>
    <t>6af5ad77-19b0-4caf-8474-05ccbd938462</t>
  </si>
  <si>
    <t>27780061307</t>
  </si>
  <si>
    <t>14302532</t>
  </si>
  <si>
    <t>ab04b07f-51db-4098-8946-6fb2f7a4b75d</t>
  </si>
  <si>
    <t>2026-05-25 13:46:23</t>
  </si>
  <si>
    <t>27766352054</t>
  </si>
  <si>
    <t>14302530</t>
  </si>
  <si>
    <t>abba5f7f-d139-4bfe-8803-ac52c6fa6acc</t>
  </si>
  <si>
    <t>27729330830</t>
  </si>
  <si>
    <t>2026-05-25 13:46:13</t>
  </si>
  <si>
    <t>14302529</t>
  </si>
  <si>
    <t>cc6437e8-eb1d-4072-b04e-8e853833448e</t>
  </si>
  <si>
    <t>27715232214</t>
  </si>
  <si>
    <t>2026-05-25 13:46:12</t>
  </si>
  <si>
    <t>14302522</t>
  </si>
  <si>
    <t>8b8bcc91-8cb2-428c-926b-4b879b99bcdb</t>
  </si>
  <si>
    <t>2026-05-25 13:46:08</t>
  </si>
  <si>
    <t>27665415916</t>
  </si>
  <si>
    <t>14302526</t>
  </si>
  <si>
    <t>76ab12e5-2395-4b9f-accd-a050185379e4</t>
  </si>
  <si>
    <t>27766907108</t>
  </si>
  <si>
    <t>14302527</t>
  </si>
  <si>
    <t>2e78d63b-5ad3-460c-aaef-ff892ae999f4</t>
  </si>
  <si>
    <t>27793261026</t>
  </si>
  <si>
    <t>14302528</t>
  </si>
  <si>
    <t>61b39320-c36a-4828-ae69-6b2c0c3dd1f5</t>
  </si>
  <si>
    <t>27714468602</t>
  </si>
  <si>
    <t>14297995</t>
  </si>
  <si>
    <t>b26c7da5-d9d8-4e36-a21b-b813f98fa51a</t>
  </si>
  <si>
    <t>27729098129</t>
  </si>
  <si>
    <t>2026-05-25 13:45:11</t>
  </si>
  <si>
    <t>14297978</t>
  </si>
  <si>
    <t>a43b61d0-5265-4ef7-abcd-25a2a85f0c70</t>
  </si>
  <si>
    <t>27724995099</t>
  </si>
  <si>
    <t>2026-05-25 13:44:47</t>
  </si>
  <si>
    <t>14297996</t>
  </si>
  <si>
    <t>8abfdce6-fa93-49a3-bc7a-b57c1bcbb6ee</t>
  </si>
  <si>
    <t>2026-05-25 13:44:44</t>
  </si>
  <si>
    <t>27760825113</t>
  </si>
  <si>
    <t>14297999</t>
  </si>
  <si>
    <t>7b3aef41-7d5c-458e-a3d0-3da6c8d01bbe</t>
  </si>
  <si>
    <t>27664602352</t>
  </si>
  <si>
    <t>14297994</t>
  </si>
  <si>
    <t>e3b52f83-3b41-4064-b7a7-f3ee180bb203</t>
  </si>
  <si>
    <t>27604122886</t>
  </si>
  <si>
    <t>2026-05-25 13:44:24</t>
  </si>
  <si>
    <t>14297993</t>
  </si>
  <si>
    <t>f6a05b67-503d-4f1e-97f7-c829a015b676</t>
  </si>
  <si>
    <t>2026-05-25 13:44:22</t>
  </si>
  <si>
    <t>27822211679</t>
  </si>
  <si>
    <t>14302485</t>
  </si>
  <si>
    <t>bc257c97-f71e-412a-9f29-67c1b3fd2d65</t>
  </si>
  <si>
    <t>2026-05-25 13:44:18</t>
  </si>
  <si>
    <t>27713066188</t>
  </si>
  <si>
    <t>14297987</t>
  </si>
  <si>
    <t>9b212445-4d32-4fc9-9010-d6d78f420747</t>
  </si>
  <si>
    <t>27721898722</t>
  </si>
  <si>
    <t>2026-05-25 13:44:05</t>
  </si>
  <si>
    <t>14297988</t>
  </si>
  <si>
    <t>27dfb796-0e71-41a6-88a3-d001f749dbe9</t>
  </si>
  <si>
    <t>27763228351</t>
  </si>
  <si>
    <t>14297989</t>
  </si>
  <si>
    <t>8a202d5f-591f-458e-aa22-3e06ac76202f</t>
  </si>
  <si>
    <t>27712806919</t>
  </si>
  <si>
    <t>14297990</t>
  </si>
  <si>
    <t>fddcb178-d99f-42a3-a832-ea9d09324dfc</t>
  </si>
  <si>
    <t>27636533680</t>
  </si>
  <si>
    <t>14297985</t>
  </si>
  <si>
    <t>2d917812-42e8-4efc-b2f9-b3fade00ec43</t>
  </si>
  <si>
    <t>27792811752</t>
  </si>
  <si>
    <t>2026-05-25 13:43:50</t>
  </si>
  <si>
    <t>14297980</t>
  </si>
  <si>
    <t>2e2dbbb6-04f4-4e55-aff3-3f46831bdffb</t>
  </si>
  <si>
    <t>2026-05-25 13:43:49</t>
  </si>
  <si>
    <t>27765670769</t>
  </si>
  <si>
    <t>14297982</t>
  </si>
  <si>
    <t>4de140b5-7276-4cde-a675-7b650ad31005</t>
  </si>
  <si>
    <t>27724876925</t>
  </si>
  <si>
    <t>14297984</t>
  </si>
  <si>
    <t>cc90ed8f-3b9d-4ed5-8dae-7d54700be833</t>
  </si>
  <si>
    <t>27799942015</t>
  </si>
  <si>
    <t>14298427</t>
  </si>
  <si>
    <t>ef4651a9-342e-40ea-b5be-41088a7069a3</t>
  </si>
  <si>
    <t>2026-05-25 13:43:48</t>
  </si>
  <si>
    <t>27793709237</t>
  </si>
  <si>
    <t>14297971</t>
  </si>
  <si>
    <t>9c5a47da-f1e8-498e-bf7f-0f654be3c822</t>
  </si>
  <si>
    <t>2026-05-25 13:43:34</t>
  </si>
  <si>
    <t>27826247124</t>
  </si>
  <si>
    <t>14297972</t>
  </si>
  <si>
    <t>9a4c712c-6723-471f-9b75-77877aaf90e6</t>
  </si>
  <si>
    <t>27827835131</t>
  </si>
  <si>
    <t>14297975</t>
  </si>
  <si>
    <t>c056e8ff-c625-411b-bddd-50929403a305</t>
  </si>
  <si>
    <t>27714244451</t>
  </si>
  <si>
    <t>14297977</t>
  </si>
  <si>
    <t>b9ed1663-2397-4a29-ad5f-92772a6dc5e8</t>
  </si>
  <si>
    <t>27609184052</t>
  </si>
  <si>
    <t>14298005</t>
  </si>
  <si>
    <t>fd15e774-5617-4b15-b7c4-7d222c217646</t>
  </si>
  <si>
    <t>2026-05-25 13:42:37</t>
  </si>
  <si>
    <t>27608836472</t>
  </si>
  <si>
    <t>14298001</t>
  </si>
  <si>
    <t>7157db5d-aa33-4c77-beaa-689137bc36b4</t>
  </si>
  <si>
    <t>2026-05-25 13:41:46</t>
  </si>
  <si>
    <t>27798022953</t>
  </si>
  <si>
    <t>14298002</t>
  </si>
  <si>
    <t>693d9edd-e343-4efe-8d83-ff7640da1fc6</t>
  </si>
  <si>
    <t>27729786735</t>
  </si>
  <si>
    <t>14298000</t>
  </si>
  <si>
    <t>11ecfbc2-3a3d-4ec0-95f5-84e8e36c6c1a</t>
  </si>
  <si>
    <t>27797065855</t>
  </si>
  <si>
    <t>2026-05-25 13:41:33</t>
  </si>
  <si>
    <t>14298288</t>
  </si>
  <si>
    <t>d9f21876-c6f2-4796-8d1d-d130dd27035d</t>
  </si>
  <si>
    <t>2026-05-25 13:41:13</t>
  </si>
  <si>
    <t>27797178001</t>
  </si>
  <si>
    <t>14298050</t>
  </si>
  <si>
    <t>8a715300-78b2-4878-81d6-391f957bf1ca</t>
  </si>
  <si>
    <t>2026-05-25 13:41:09</t>
  </si>
  <si>
    <t>27663222897</t>
  </si>
  <si>
    <t>14298048</t>
  </si>
  <si>
    <t>6450bf71-7ee4-45c0-9e2d-90617a70e4f4</t>
  </si>
  <si>
    <t>2026-05-25 13:41:08</t>
  </si>
  <si>
    <t>27826440761</t>
  </si>
  <si>
    <t>14298049</t>
  </si>
  <si>
    <t>9cb861a6-3764-469c-8f97-ecc5fad66580</t>
  </si>
  <si>
    <t>27722343610</t>
  </si>
  <si>
    <t>14298043</t>
  </si>
  <si>
    <t>cd3cea3a-ab2d-4897-a706-d3dd062ebc87</t>
  </si>
  <si>
    <t>2026-05-25 13:41:07</t>
  </si>
  <si>
    <t>27795446348</t>
  </si>
  <si>
    <t>14298045</t>
  </si>
  <si>
    <t>e7cc4a34-a762-4006-9834-80d1a3f957ab</t>
  </si>
  <si>
    <t>27798599078</t>
  </si>
  <si>
    <t>14298046</t>
  </si>
  <si>
    <t>eb8e3ea6-bcb6-400e-ab98-97b0eac14f11</t>
  </si>
  <si>
    <t>27792868472</t>
  </si>
  <si>
    <t>14298047</t>
  </si>
  <si>
    <t>72ae4558-3535-4ac3-9787-ee437997ba75</t>
  </si>
  <si>
    <t>27825450028</t>
  </si>
  <si>
    <t>14298041</t>
  </si>
  <si>
    <t>6a7065c6-6d8c-4cef-9159-ce2504ae7239</t>
  </si>
  <si>
    <t>27725873020</t>
  </si>
  <si>
    <t>14298037</t>
  </si>
  <si>
    <t>b6ce56c2-c3b2-468d-9532-3a08fa9b3b63</t>
  </si>
  <si>
    <t>2026-05-25 13:40:15</t>
  </si>
  <si>
    <t>27767124095</t>
  </si>
  <si>
    <t>14298038</t>
  </si>
  <si>
    <t>19399710-71c6-4959-a2d6-6b44d15de332</t>
  </si>
  <si>
    <t>27729010564</t>
  </si>
  <si>
    <t>14298039</t>
  </si>
  <si>
    <t>c1b23c2b-6d0a-435a-a67e-799ceba348b6</t>
  </si>
  <si>
    <t>27828334591</t>
  </si>
  <si>
    <t>14298040</t>
  </si>
  <si>
    <t>b36be27d-bc73-454a-b5a6-877e68a565c7</t>
  </si>
  <si>
    <t>27820889118</t>
  </si>
  <si>
    <t>14298036</t>
  </si>
  <si>
    <t>8cfab074-1976-4def-b36c-b56cb9fd454b</t>
  </si>
  <si>
    <t>27712466787</t>
  </si>
  <si>
    <t>2026-05-25 13:40:14</t>
  </si>
  <si>
    <t>14302481</t>
  </si>
  <si>
    <t>d40582dd-c266-49a5-9852-fdf60712a0e1</t>
  </si>
  <si>
    <t>27767391428</t>
  </si>
  <si>
    <t>14298034</t>
  </si>
  <si>
    <t>e28d58dd-ef90-44fa-aa11-721a9029da66</t>
  </si>
  <si>
    <t>27826231761</t>
  </si>
  <si>
    <t>2026-05-25 13:40:11</t>
  </si>
  <si>
    <t>14298033</t>
  </si>
  <si>
    <t>82a3a1fd-eb2b-43e3-abbe-7aab24f3f57e</t>
  </si>
  <si>
    <t>27712745424</t>
  </si>
  <si>
    <t>2026-05-25 13:39:52</t>
  </si>
  <si>
    <t>14298099</t>
  </si>
  <si>
    <t>69a18bfb-d98a-4cf0-871c-7ec9c92e7e33</t>
  </si>
  <si>
    <t>27608266362</t>
  </si>
  <si>
    <t>2026-05-25 13:39:12</t>
  </si>
  <si>
    <t>14298104</t>
  </si>
  <si>
    <t>d45cf5e6-dd5c-49bc-9176-825ebec15ec1</t>
  </si>
  <si>
    <t>27727497703</t>
  </si>
  <si>
    <t>2026-05-25 13:39:01</t>
  </si>
  <si>
    <t>14302478</t>
  </si>
  <si>
    <t>47bfb3a2-c00d-4107-8bae-0d34b0fd80c4</t>
  </si>
  <si>
    <t>27714612232</t>
  </si>
  <si>
    <t>14298097</t>
  </si>
  <si>
    <t>dcba2552-35c4-4afb-ae95-1590932b9a83</t>
  </si>
  <si>
    <t>27724482697</t>
  </si>
  <si>
    <t>2026-05-25 13:38:56</t>
  </si>
  <si>
    <t>14298098</t>
  </si>
  <si>
    <t>6b8dd9d5-ae7d-4ec6-8150-69df8dff53df</t>
  </si>
  <si>
    <t>27647297481</t>
  </si>
  <si>
    <t>14298102</t>
  </si>
  <si>
    <t>5763c432-f937-45ac-bb77-7f2258948dd1</t>
  </si>
  <si>
    <t>27724003214</t>
  </si>
  <si>
    <t>14298096</t>
  </si>
  <si>
    <t>eed9098c-b1c0-4dd5-a99b-e1b62ae558d2</t>
  </si>
  <si>
    <t>2026-05-25 13:38:50</t>
  </si>
  <si>
    <t>27728140406</t>
  </si>
  <si>
    <t>14298095</t>
  </si>
  <si>
    <t>8b3ec9a7-747b-4207-9325-2f7754ee1a14</t>
  </si>
  <si>
    <t>27715206116</t>
  </si>
  <si>
    <t>2026-05-25 13:38:42</t>
  </si>
  <si>
    <t>14298092</t>
  </si>
  <si>
    <t>90ab441d-bc99-4241-bd02-c375dc0c4127</t>
  </si>
  <si>
    <t>27728571059</t>
  </si>
  <si>
    <t>2026-05-25 13:38:39</t>
  </si>
  <si>
    <t>14298091</t>
  </si>
  <si>
    <t>5358b4ca-85f7-4faa-bcd9-d8f44ce4888b</t>
  </si>
  <si>
    <t>2026-05-25 13:38:35</t>
  </si>
  <si>
    <t>27727823835</t>
  </si>
  <si>
    <t>14298087</t>
  </si>
  <si>
    <t>6ac1da41-e211-4d5c-a03a-f90baf444bd0</t>
  </si>
  <si>
    <t>27721072012</t>
  </si>
  <si>
    <t>2026-05-25 13:38:34</t>
  </si>
  <si>
    <t>14298089</t>
  </si>
  <si>
    <t>8ede83c2-101d-4219-a98a-c99842ac9444</t>
  </si>
  <si>
    <t>27763514305</t>
  </si>
  <si>
    <t>14298086</t>
  </si>
  <si>
    <t>fe9c81c3-9aba-4d14-ad7c-bb60c00ff18c</t>
  </si>
  <si>
    <t>2026-05-25 13:38:23</t>
  </si>
  <si>
    <t>27719928480</t>
  </si>
  <si>
    <t>14298083</t>
  </si>
  <si>
    <t>48655493-8e38-402b-a82d-937dd02813f2</t>
  </si>
  <si>
    <t>2026-05-25 13:38:18</t>
  </si>
  <si>
    <t>27729657893</t>
  </si>
  <si>
    <t>14298085</t>
  </si>
  <si>
    <t>2b9a5a0b-f9f1-4ba9-8728-3f7b634fa070</t>
  </si>
  <si>
    <t>27716140905</t>
  </si>
  <si>
    <t>14298082</t>
  </si>
  <si>
    <t>77b9f046-cdfa-4b15-882c-91742e60e860</t>
  </si>
  <si>
    <t>2026-05-25 13:38:14</t>
  </si>
  <si>
    <t>27772844724</t>
  </si>
  <si>
    <t>14298080</t>
  </si>
  <si>
    <t>acd36124-c78f-433b-9d60-011b8d8a74fa</t>
  </si>
  <si>
    <t>2026-05-25 13:38:13</t>
  </si>
  <si>
    <t>27794848844</t>
  </si>
  <si>
    <t>14298078</t>
  </si>
  <si>
    <t>8ac42ce7-b656-4a09-b6a1-da7698391131</t>
  </si>
  <si>
    <t>27837074739</t>
  </si>
  <si>
    <t>2026-05-25 13:38:09</t>
  </si>
  <si>
    <t>14298074</t>
  </si>
  <si>
    <t>182137d0-6bb2-4665-8efa-54d6fd28aacb</t>
  </si>
  <si>
    <t>2026-05-25 13:38:08</t>
  </si>
  <si>
    <t>27723405796</t>
  </si>
  <si>
    <t>14298076</t>
  </si>
  <si>
    <t>64854cef-6402-44a1-8697-e92fab9d4588</t>
  </si>
  <si>
    <t>27773586677</t>
  </si>
  <si>
    <t>14298077</t>
  </si>
  <si>
    <t>39c2eb3a-9ea9-4b54-96f2-9321924a5a14</t>
  </si>
  <si>
    <t>27648994537</t>
  </si>
  <si>
    <t>14298130</t>
  </si>
  <si>
    <t>5c8384a7-0843-481c-ac2c-c536c35b6ac4</t>
  </si>
  <si>
    <t>2026-05-25 13:21:58</t>
  </si>
  <si>
    <t>27728143932</t>
  </si>
  <si>
    <t>14298131</t>
  </si>
  <si>
    <t>8096397b-92fa-4450-8c65-63caaae59793</t>
  </si>
  <si>
    <t>27764905905</t>
  </si>
  <si>
    <t>14298132</t>
  </si>
  <si>
    <t>e04b1683-c090-49cf-9b5a-b5a345398768</t>
  </si>
  <si>
    <t>27727364425</t>
  </si>
  <si>
    <t>14298149</t>
  </si>
  <si>
    <t>79ad7090-8c01-428e-a478-003797448710</t>
  </si>
  <si>
    <t>2026-05-25 13:21:27</t>
  </si>
  <si>
    <t>27762617973</t>
  </si>
  <si>
    <t>14298151</t>
  </si>
  <si>
    <t>634c9fde-e124-4aa5-8503-2cea139fd81c</t>
  </si>
  <si>
    <t>27832385105</t>
  </si>
  <si>
    <t>14298152</t>
  </si>
  <si>
    <t>8503c217-44f6-451d-9c21-ff8b80eef031</t>
  </si>
  <si>
    <t>27767777506</t>
  </si>
  <si>
    <t>14298146</t>
  </si>
  <si>
    <t>8e46d0b2-6a72-49e3-99b9-bb5b37dc0593</t>
  </si>
  <si>
    <t>2026-05-25 13:20:48</t>
  </si>
  <si>
    <t>27636163579</t>
  </si>
  <si>
    <t>14298165</t>
  </si>
  <si>
    <t>7b86bc40-603e-49a8-bed6-d9fa8c5746fc</t>
  </si>
  <si>
    <t>2026-05-25 13:20:36</t>
  </si>
  <si>
    <t>27798650990</t>
  </si>
  <si>
    <t>14298164</t>
  </si>
  <si>
    <t>25ca7bb3-103f-43b2-a8b4-1d900556baff</t>
  </si>
  <si>
    <t>2026-05-25 13:20:33</t>
  </si>
  <si>
    <t>27760110809</t>
  </si>
  <si>
    <t>14298160</t>
  </si>
  <si>
    <t>2fe6f428-ed84-4d4d-9563-94c298f28ad5</t>
  </si>
  <si>
    <t>2026-05-25 13:20:31</t>
  </si>
  <si>
    <t>27713310406</t>
  </si>
  <si>
    <t>14298161</t>
  </si>
  <si>
    <t>4e76cf30-09af-461c-827b-235ba0f61f1f</t>
  </si>
  <si>
    <t>27797674391</t>
  </si>
  <si>
    <t>14298162</t>
  </si>
  <si>
    <t>7fd9411c-8e5f-43ad-867a-fd5c85658ca7</t>
  </si>
  <si>
    <t>27839285010</t>
  </si>
  <si>
    <t>14298163</t>
  </si>
  <si>
    <t>8f724413-9d07-42eb-8e1e-929b6db2d1e7</t>
  </si>
  <si>
    <t>27715851555</t>
  </si>
  <si>
    <t>14298280</t>
  </si>
  <si>
    <t>497f0317-ffee-439d-9359-a581fbee3176</t>
  </si>
  <si>
    <t>2026-05-25 13:04:56</t>
  </si>
  <si>
    <t>27766354369</t>
  </si>
  <si>
    <t>14298276</t>
  </si>
  <si>
    <t>6a8e8aa4-c559-4d49-a17a-71a531e015d6</t>
  </si>
  <si>
    <t>2026-05-25 13:04:44</t>
  </si>
  <si>
    <t>27714044709</t>
  </si>
  <si>
    <t>14298277</t>
  </si>
  <si>
    <t>41cad602-7d39-46df-8b56-e5c99b92cdf0</t>
  </si>
  <si>
    <t>27673937237</t>
  </si>
  <si>
    <t>14298278</t>
  </si>
  <si>
    <t>b0637dbc-7c80-467d-950d-da73d83a707d</t>
  </si>
  <si>
    <t>27798021497</t>
  </si>
  <si>
    <t>14298279</t>
  </si>
  <si>
    <t>0132ccdd-ada2-4932-8c51-0b9531c62a7f</t>
  </si>
  <si>
    <t>27725130451</t>
  </si>
  <si>
    <t>14298317</t>
  </si>
  <si>
    <t>d378cb74-a75a-43c6-a6bf-b14bce07b287</t>
  </si>
  <si>
    <t>27608111135</t>
  </si>
  <si>
    <t>2026-05-25 13:03:10</t>
  </si>
  <si>
    <t>14298316</t>
  </si>
  <si>
    <t>69e41ac1-fea6-4507-b637-bbf08da4772f</t>
  </si>
  <si>
    <t>2026-05-25 13:03:09</t>
  </si>
  <si>
    <t>27796321972</t>
  </si>
  <si>
    <t>14298314</t>
  </si>
  <si>
    <t>fa0b6b25-db96-4018-9baa-48f2429dda34</t>
  </si>
  <si>
    <t>2026-05-25 13:03:08</t>
  </si>
  <si>
    <t>27760690780</t>
  </si>
  <si>
    <t>14298313</t>
  </si>
  <si>
    <t>283eacb5-1a08-4885-9144-207101fd3b61</t>
  </si>
  <si>
    <t>2026-05-25 13:03:07</t>
  </si>
  <si>
    <t>27636635610</t>
  </si>
  <si>
    <t>14298312</t>
  </si>
  <si>
    <t>c64c3869-06be-4313-8089-9329bd2724e5</t>
  </si>
  <si>
    <t>2026-05-25 13:02:54</t>
  </si>
  <si>
    <t>27765193159</t>
  </si>
  <si>
    <t>14298310</t>
  </si>
  <si>
    <t>40253219-e6e9-425a-b6ff-63787ec6c79a</t>
  </si>
  <si>
    <t>2026-05-25 13:02:46</t>
  </si>
  <si>
    <t>27714389899</t>
  </si>
  <si>
    <t>14298311</t>
  </si>
  <si>
    <t>34b8fdf5-7c40-4074-84ac-cc9d76973475</t>
  </si>
  <si>
    <t>27660013573</t>
  </si>
  <si>
    <t>14298308</t>
  </si>
  <si>
    <t>81817275-56db-4e53-920d-736526ac91a8</t>
  </si>
  <si>
    <t>2026-05-25 13:02:25</t>
  </si>
  <si>
    <t>27760210869</t>
  </si>
  <si>
    <t>14298309</t>
  </si>
  <si>
    <t>48e29509-de70-483f-b039-41c17ce3b0d7</t>
  </si>
  <si>
    <t>27761520809</t>
  </si>
  <si>
    <t>14298307</t>
  </si>
  <si>
    <t>ad2dcf4d-4227-4e5b-bb28-4c1cae868201</t>
  </si>
  <si>
    <t>2026-05-25 13:02:08</t>
  </si>
  <si>
    <t>27795505629</t>
  </si>
  <si>
    <t>14298305</t>
  </si>
  <si>
    <t>0fdbaeca-518e-41f2-ab87-a3b5cf84076c</t>
  </si>
  <si>
    <t>2026-05-25 13:01:55</t>
  </si>
  <si>
    <t>27735146265</t>
  </si>
  <si>
    <t>14298306</t>
  </si>
  <si>
    <t>8402a71b-be2b-4be7-8767-932cfa3ce7af</t>
  </si>
  <si>
    <t>27762335796</t>
  </si>
  <si>
    <t>14298304</t>
  </si>
  <si>
    <t>826e4b26-1cef-42a4-8945-38dfde4623ab</t>
  </si>
  <si>
    <t>2026-05-25 13:01:38</t>
  </si>
  <si>
    <t>27794742663</t>
  </si>
  <si>
    <t>14298303</t>
  </si>
  <si>
    <t>ee1d9b37-b63e-47f3-a47c-ec94bc3613c8</t>
  </si>
  <si>
    <t>2026-05-25 13:01:34</t>
  </si>
  <si>
    <t>27729887207</t>
  </si>
  <si>
    <t>14298332</t>
  </si>
  <si>
    <t>d9431f45-abca-48b5-8f6e-57a623cf195f</t>
  </si>
  <si>
    <t>27660119709</t>
  </si>
  <si>
    <t>2026-05-25 13:01:32</t>
  </si>
  <si>
    <t>14298333</t>
  </si>
  <si>
    <t>748fffad-3e85-4271-b3da-668eac74ce48</t>
  </si>
  <si>
    <t>27827118167</t>
  </si>
  <si>
    <t>14298329</t>
  </si>
  <si>
    <t>c0c80cc2-a5da-41fc-a08c-b8593c58bebb</t>
  </si>
  <si>
    <t>2026-05-25 13:01:18</t>
  </si>
  <si>
    <t>27760111344</t>
  </si>
  <si>
    <t>14298328</t>
  </si>
  <si>
    <t>9d19cfbc-0868-41db-ad81-83556d0110e6</t>
  </si>
  <si>
    <t>2026-05-25 13:01:01</t>
  </si>
  <si>
    <t>27665993631</t>
  </si>
  <si>
    <t>14298327</t>
  </si>
  <si>
    <t>e6dad994-6848-4142-9b9f-c8923cd40969</t>
  </si>
  <si>
    <t>2026-05-25 13:00:58</t>
  </si>
  <si>
    <t>27660074577</t>
  </si>
  <si>
    <t>14298326</t>
  </si>
  <si>
    <t>efdda073-2887-4678-8f54-0af52bd57a8a</t>
  </si>
  <si>
    <t>2026-05-25 13:00:51</t>
  </si>
  <si>
    <t>27713753210</t>
  </si>
  <si>
    <t>14298325</t>
  </si>
  <si>
    <t>47026e4f-86e4-4a3a-bfa8-5a02d3fe55c1</t>
  </si>
  <si>
    <t>27823449747</t>
  </si>
  <si>
    <t>2026-05-25 13:00:26</t>
  </si>
  <si>
    <t>14298322</t>
  </si>
  <si>
    <t>8fea02d9-a785-4be7-b4d7-8ec0caceeab5</t>
  </si>
  <si>
    <t>2026-05-25 13:00:25</t>
  </si>
  <si>
    <t>27790297752</t>
  </si>
  <si>
    <t>14298323</t>
  </si>
  <si>
    <t>3e90a835-b731-4c64-acec-9e9df6db01fa</t>
  </si>
  <si>
    <t>27817913695</t>
  </si>
  <si>
    <t>14298324</t>
  </si>
  <si>
    <t>7fbcf467-c562-4a40-bf30-3018441731ed</t>
  </si>
  <si>
    <t>27818479977</t>
  </si>
  <si>
    <t>14298337</t>
  </si>
  <si>
    <t>d47184dc-153d-4a12-852c-09926ccabb6b</t>
  </si>
  <si>
    <t>2026-05-25 12:57:58</t>
  </si>
  <si>
    <t>27827639490</t>
  </si>
  <si>
    <t>14298338</t>
  </si>
  <si>
    <t>0e951eb2-c735-4a1f-aa12-5e7c5ff41a79</t>
  </si>
  <si>
    <t>27648124605</t>
  </si>
  <si>
    <t>14298369</t>
  </si>
  <si>
    <t>4fa53f87-ab4e-461a-872f-42730aca3788</t>
  </si>
  <si>
    <t>2026-05-25 12:57:49</t>
  </si>
  <si>
    <t>27648027482</t>
  </si>
  <si>
    <t>14298372</t>
  </si>
  <si>
    <t>505c6539-ea1c-405b-ab5b-4145a8244e6c</t>
  </si>
  <si>
    <t>27824818194</t>
  </si>
  <si>
    <t>14298373</t>
  </si>
  <si>
    <t>13253df4-402b-47fd-b2f2-3a27c0eeced5</t>
  </si>
  <si>
    <t>27768127432</t>
  </si>
  <si>
    <t>14298374</t>
  </si>
  <si>
    <t>a76dfe67-e021-43b2-975d-18159a3a0a3f</t>
  </si>
  <si>
    <t>27783828905</t>
  </si>
  <si>
    <t>14298368</t>
  </si>
  <si>
    <t>3d49330f-6609-4453-b47f-91d9ecbcf0d1</t>
  </si>
  <si>
    <t>2026-05-25 12:57:45</t>
  </si>
  <si>
    <t>27723706019</t>
  </si>
  <si>
    <t>14298366</t>
  </si>
  <si>
    <t>bc7908cc-2bce-459a-a745-7d0ecb37dcc0</t>
  </si>
  <si>
    <t>2026-05-25 12:56:28</t>
  </si>
  <si>
    <t>27720812957</t>
  </si>
  <si>
    <t>14298367</t>
  </si>
  <si>
    <t>ed8cd51e-b445-411e-9cc8-f0b82457cc2c</t>
  </si>
  <si>
    <t>27673545129</t>
  </si>
  <si>
    <t>14298363</t>
  </si>
  <si>
    <t>57641d76-69a0-45f4-a7af-02ed8ec61989</t>
  </si>
  <si>
    <t>2026-05-25 12:56:27</t>
  </si>
  <si>
    <t>27820626236</t>
  </si>
  <si>
    <t>14298364</t>
  </si>
  <si>
    <t>b439e341-2399-4e9c-8f45-91aad3579f08</t>
  </si>
  <si>
    <t>27822266222</t>
  </si>
  <si>
    <t>14298361</t>
  </si>
  <si>
    <t>52cec72a-efd4-4830-af55-e835407ccd55</t>
  </si>
  <si>
    <t>27792211320</t>
  </si>
  <si>
    <t>2026-05-25 12:56:23</t>
  </si>
  <si>
    <t>14298360</t>
  </si>
  <si>
    <t>c30b84b1-c0c6-4aa2-bac8-2456482a55a1</t>
  </si>
  <si>
    <t>2026-05-25 12:56:19</t>
  </si>
  <si>
    <t>27715048325</t>
  </si>
  <si>
    <t>14298409</t>
  </si>
  <si>
    <t>121eab9e-8de9-41d0-8e0f-664464e3a9a6</t>
  </si>
  <si>
    <t>2026-05-25 12:56:16</t>
  </si>
  <si>
    <t>27760337802</t>
  </si>
  <si>
    <t>14298410</t>
  </si>
  <si>
    <t>a0f87603-a286-4429-a910-c8b1340fcbb1</t>
  </si>
  <si>
    <t>27664318456</t>
  </si>
  <si>
    <t>14298408</t>
  </si>
  <si>
    <t>20c84fb3-314d-42e2-9a1e-6612d9c2a631</t>
  </si>
  <si>
    <t>27825145039</t>
  </si>
  <si>
    <t>2026-05-25 12:56:09</t>
  </si>
  <si>
    <t>14298407</t>
  </si>
  <si>
    <t>bb68aea0-441f-44f9-bdb1-9bd2a5b3d99b</t>
  </si>
  <si>
    <t>2026-05-25 12:56:04</t>
  </si>
  <si>
    <t>27823960010</t>
  </si>
  <si>
    <t>14298402</t>
  </si>
  <si>
    <t>26b5965c-fd7c-4e32-9278-1ae420525ad8</t>
  </si>
  <si>
    <t>2026-05-25 12:56:02</t>
  </si>
  <si>
    <t>27674960662</t>
  </si>
  <si>
    <t>14298403</t>
  </si>
  <si>
    <t>edb55245-2a6a-47e6-baf6-e50777b5a10d</t>
  </si>
  <si>
    <t>27665105951</t>
  </si>
  <si>
    <t>14298404</t>
  </si>
  <si>
    <t>2052c05c-29c0-4fa0-81a1-438c91d15b86</t>
  </si>
  <si>
    <t>27665578671</t>
  </si>
  <si>
    <t>14298406</t>
  </si>
  <si>
    <t>349ce4ed-a8dc-463e-b3ba-40bf41a819d4</t>
  </si>
  <si>
    <t>27673882358</t>
  </si>
  <si>
    <t>14298401</t>
  </si>
  <si>
    <t>35b409db-23e3-4cc5-b9f6-5855c5f5e441</t>
  </si>
  <si>
    <t>2026-05-25 12:54:39</t>
  </si>
  <si>
    <t>27818175358</t>
  </si>
  <si>
    <t>14298399</t>
  </si>
  <si>
    <t>d740404f-62a2-4653-9a33-3e87210ec939</t>
  </si>
  <si>
    <t>2026-05-25 12:54:36</t>
  </si>
  <si>
    <t>27769996467</t>
  </si>
  <si>
    <t>14298397</t>
  </si>
  <si>
    <t>d7a045c6-447e-41b8-aae4-7351c7b05c49</t>
  </si>
  <si>
    <t>2026-05-25 12:54:35</t>
  </si>
  <si>
    <t>27714671020</t>
  </si>
  <si>
    <t>14298396</t>
  </si>
  <si>
    <t>5a577992-df36-4a9d-8a7e-6b30a264bd5f</t>
  </si>
  <si>
    <t>2026-05-25 12:54:28</t>
  </si>
  <si>
    <t>27714594570</t>
  </si>
  <si>
    <t>14298394</t>
  </si>
  <si>
    <t>626a558e-bf13-45c2-87a5-511fb4fa6e90</t>
  </si>
  <si>
    <t>2026-05-25 12:54:27</t>
  </si>
  <si>
    <t>27824354943</t>
  </si>
  <si>
    <t>14298395</t>
  </si>
  <si>
    <t>e76ae097-d8bc-4c23-8840-bc4c9e0c4e53</t>
  </si>
  <si>
    <t>27793122734</t>
  </si>
  <si>
    <t>14298420</t>
  </si>
  <si>
    <t>2a6f7af4-3a2e-4d83-8597-2b5b02129f05</t>
  </si>
  <si>
    <t>27713972177</t>
  </si>
  <si>
    <t>2026-05-25 12:53:54</t>
  </si>
  <si>
    <t>14298414</t>
  </si>
  <si>
    <t>716fa1cc-73a8-44b4-a263-7a1aa646fea6</t>
  </si>
  <si>
    <t>27646575189</t>
  </si>
  <si>
    <t>2026-05-25 12:53:52</t>
  </si>
  <si>
    <t>14298415</t>
  </si>
  <si>
    <t>ba2bce1a-cfe5-46f6-ad7b-0e646cd12db9</t>
  </si>
  <si>
    <t>27795014735</t>
  </si>
  <si>
    <t>14298418</t>
  </si>
  <si>
    <t>5e5b636b-7b3d-4a35-9c75-78a33094cca7</t>
  </si>
  <si>
    <t>27727293058</t>
  </si>
  <si>
    <t>14298419</t>
  </si>
  <si>
    <t>49b06fbc-4c24-407e-9d3d-214f70250fd1</t>
  </si>
  <si>
    <t>27674698126</t>
  </si>
  <si>
    <t>14298623</t>
  </si>
  <si>
    <t>d5ffbf59-e7bf-4b41-a00a-0c5e94f0291e</t>
  </si>
  <si>
    <t>27712979327</t>
  </si>
  <si>
    <t>2026-05-25 12:53:31</t>
  </si>
  <si>
    <t>14298411</t>
  </si>
  <si>
    <t>541e1f67-a6a7-4691-85c1-a4c152cb43b9</t>
  </si>
  <si>
    <t>27697091622</t>
  </si>
  <si>
    <t>2026-05-25 12:53:21</t>
  </si>
  <si>
    <t>14298412</t>
  </si>
  <si>
    <t>fb1ef70a-a61e-4225-8071-b454b20473de</t>
  </si>
  <si>
    <t>27636756032</t>
  </si>
  <si>
    <t>14298464</t>
  </si>
  <si>
    <t>e0fd323d-70a4-455a-ac73-d433e0a63a57</t>
  </si>
  <si>
    <t>27822536060</t>
  </si>
  <si>
    <t>2026-05-25 12:52:19</t>
  </si>
  <si>
    <t>14298460</t>
  </si>
  <si>
    <t>89212525-78e3-4d91-b75d-ad5b2980be45</t>
  </si>
  <si>
    <t>2026-05-25 12:52:17</t>
  </si>
  <si>
    <t>27727750891</t>
  </si>
  <si>
    <t>14298461</t>
  </si>
  <si>
    <t>bfe7cffd-15a5-4dd6-9c57-bc23fd71c6a9</t>
  </si>
  <si>
    <t>27822315522</t>
  </si>
  <si>
    <t>14298462</t>
  </si>
  <si>
    <t>4b62d309-ac75-45b6-8b1a-b0f938293cde</t>
  </si>
  <si>
    <t>27828887945</t>
  </si>
  <si>
    <t>14298463</t>
  </si>
  <si>
    <t>9cf95ea4-1fed-41c7-8bc6-449847c901f0</t>
  </si>
  <si>
    <t>27820577565</t>
  </si>
  <si>
    <t>14298456</t>
  </si>
  <si>
    <t>eeebb15d-259c-477a-95f6-5c58d890d4e1</t>
  </si>
  <si>
    <t>27828674033</t>
  </si>
  <si>
    <t>2026-05-25 12:52:06</t>
  </si>
  <si>
    <t>14298458</t>
  </si>
  <si>
    <t>3fe6dd31-2dd0-4271-9c6a-87073fd2af15</t>
  </si>
  <si>
    <t>27793537771</t>
  </si>
  <si>
    <t>14302466</t>
  </si>
  <si>
    <t>cc5c612d-2fc6-4b77-9e5e-facaac86a0dc</t>
  </si>
  <si>
    <t>27721881975</t>
  </si>
  <si>
    <t>14298455</t>
  </si>
  <si>
    <t>3b2cf90d-9802-4d81-83d5-3f572db97965</t>
  </si>
  <si>
    <t>2026-05-25 12:51:02</t>
  </si>
  <si>
    <t>27713275152</t>
  </si>
  <si>
    <t>14298449</t>
  </si>
  <si>
    <t>14170b2b-47ba-4e8c-8adb-ae627e608bda</t>
  </si>
  <si>
    <t>2026-05-25 12:51:01</t>
  </si>
  <si>
    <t>27799580799</t>
  </si>
  <si>
    <t>14298451</t>
  </si>
  <si>
    <t>a99dfcf1-1e78-4113-b6c8-17a41485391a</t>
  </si>
  <si>
    <t>27810628776</t>
  </si>
  <si>
    <t>14298452</t>
  </si>
  <si>
    <t>f73b4f87-3170-496a-a14b-5db591b4e2d7</t>
  </si>
  <si>
    <t>27721957774</t>
  </si>
  <si>
    <t>14298448</t>
  </si>
  <si>
    <t>790dbddf-ea57-49b0-ac20-7915c808d2d7</t>
  </si>
  <si>
    <t>27649790520</t>
  </si>
  <si>
    <t>2026-05-25 12:50:58</t>
  </si>
  <si>
    <t>14298445</t>
  </si>
  <si>
    <t>61efff52-57a9-4990-96c3-90d522582375</t>
  </si>
  <si>
    <t>27829686086</t>
  </si>
  <si>
    <t>2026-05-25 12:50:33</t>
  </si>
  <si>
    <t>14298443</t>
  </si>
  <si>
    <t>97537a60-9f2b-4898-8f24-95197352d9f5</t>
  </si>
  <si>
    <t>27711829837</t>
  </si>
  <si>
    <t>2026-05-25 12:50:29</t>
  </si>
  <si>
    <t>14298478</t>
  </si>
  <si>
    <t>23313907-13bd-4b39-9d7d-debcef08842e</t>
  </si>
  <si>
    <t>27729908488</t>
  </si>
  <si>
    <t>2026-05-25 12:50:01</t>
  </si>
  <si>
    <t>14298480</t>
  </si>
  <si>
    <t>5859f0bb-af8e-4c33-9fd9-75b7b63e55c7</t>
  </si>
  <si>
    <t>27716452890</t>
  </si>
  <si>
    <t>14298474</t>
  </si>
  <si>
    <t>54f338f4-c113-4a46-bd56-291c0eda4e8f</t>
  </si>
  <si>
    <t>2026-05-25 12:50:00</t>
  </si>
  <si>
    <t>27823000733</t>
  </si>
  <si>
    <t>14298475</t>
  </si>
  <si>
    <t>fb68ec1b-976a-47e8-9f28-902e21719527</t>
  </si>
  <si>
    <t>27791556644</t>
  </si>
  <si>
    <t>14298477</t>
  </si>
  <si>
    <t>bd6ae3aa-cfc5-4ec7-8023-c7873537044c</t>
  </si>
  <si>
    <t>27725681037</t>
  </si>
  <si>
    <t>14298473</t>
  </si>
  <si>
    <t>0c4cd3ef-61ff-4828-9c84-caf3397685db</t>
  </si>
  <si>
    <t>27607749993</t>
  </si>
  <si>
    <t>2026-05-25 12:49:42</t>
  </si>
  <si>
    <t>14298471</t>
  </si>
  <si>
    <t>e7ddd875-5200-4e33-98ad-19da7557acfa</t>
  </si>
  <si>
    <t>27765913571</t>
  </si>
  <si>
    <t>2026-05-25 12:49:16</t>
  </si>
  <si>
    <t>14298472</t>
  </si>
  <si>
    <t>abe32a9d-e9ac-4877-91e2-801c01ae0ded</t>
  </si>
  <si>
    <t>2026-05-25 12:49:15</t>
  </si>
  <si>
    <t>27827489823</t>
  </si>
  <si>
    <t>14298470</t>
  </si>
  <si>
    <t>823a9e49-1e49-4532-9f46-3c36e2a5c6a0</t>
  </si>
  <si>
    <t>27793936057</t>
  </si>
  <si>
    <t>2026-05-25 12:49:10</t>
  </si>
  <si>
    <t>14298468</t>
  </si>
  <si>
    <t>ad79ed91-7054-414b-bfac-73ed075aa6be</t>
  </si>
  <si>
    <t>2026-05-25 12:49:09</t>
  </si>
  <si>
    <t>27767815841</t>
  </si>
  <si>
    <t>14298467</t>
  </si>
  <si>
    <t>85275354-3914-4385-8469-ce8b38cdd9da</t>
  </si>
  <si>
    <t>2026-05-25 12:49:07</t>
  </si>
  <si>
    <t>27768578327</t>
  </si>
  <si>
    <t>14298466</t>
  </si>
  <si>
    <t>906b8363-8c21-4f3a-a8e4-14abd7af1fbe</t>
  </si>
  <si>
    <t>2026-05-25 12:49:06</t>
  </si>
  <si>
    <t>27790171449</t>
  </si>
  <si>
    <t>14302467</t>
  </si>
  <si>
    <t>2e218c8e-797b-4de9-8ad3-f52f2a0a2c9f</t>
  </si>
  <si>
    <t>27673033522</t>
  </si>
  <si>
    <t>2026-05-25 12:48:56</t>
  </si>
  <si>
    <t>14298536</t>
  </si>
  <si>
    <t>5b4dc447-6617-42ec-8b48-1100c01a73ab</t>
  </si>
  <si>
    <t>2026-05-25 12:48:55</t>
  </si>
  <si>
    <t>27793093912</t>
  </si>
  <si>
    <t>14298534</t>
  </si>
  <si>
    <t>981ed931-cae6-409f-a7c1-fc66a1677c77</t>
  </si>
  <si>
    <t>2026-05-25 12:48:54</t>
  </si>
  <si>
    <t>27766556740</t>
  </si>
  <si>
    <t>14298535</t>
  </si>
  <si>
    <t>e5c01d77-d9fb-42b7-9ca2-ff43309f1ab1</t>
  </si>
  <si>
    <t>27661527596</t>
  </si>
  <si>
    <t>14302469</t>
  </si>
  <si>
    <t>6befac24-2ed7-45cf-8f7b-445f3c19f2af</t>
  </si>
  <si>
    <t>27793969110</t>
  </si>
  <si>
    <t>14298530</t>
  </si>
  <si>
    <t>05138b0c-d162-4f98-b355-d629523a2553</t>
  </si>
  <si>
    <t>2026-05-25 12:48:53</t>
  </si>
  <si>
    <t>27712685771</t>
  </si>
  <si>
    <t>14298532</t>
  </si>
  <si>
    <t>02db9edc-e978-46da-a130-d785ab488751</t>
  </si>
  <si>
    <t>27716835436</t>
  </si>
  <si>
    <t>14298533</t>
  </si>
  <si>
    <t>9f0809a7-a5d9-441e-b875-5c9dac06f49f</t>
  </si>
  <si>
    <t>27720730641</t>
  </si>
  <si>
    <t>14298529</t>
  </si>
  <si>
    <t>eb83bf6f-3a6a-47f7-8e50-df3760a25151</t>
  </si>
  <si>
    <t>27726254672</t>
  </si>
  <si>
    <t>2026-05-25 12:48:37</t>
  </si>
  <si>
    <t>14298528</t>
  </si>
  <si>
    <t>963be716-0c65-4bb8-917e-b58154d50c01</t>
  </si>
  <si>
    <t>2026-05-25 12:48:35</t>
  </si>
  <si>
    <t>27772751875</t>
  </si>
  <si>
    <t>14298524</t>
  </si>
  <si>
    <t>1f075c90-75fc-4403-af0d-f81211eb9889</t>
  </si>
  <si>
    <t>2026-05-25 12:48:32</t>
  </si>
  <si>
    <t>27711987211</t>
  </si>
  <si>
    <t>14298526</t>
  </si>
  <si>
    <t>ad672368-82a4-4b61-8c71-57042f899ca3</t>
  </si>
  <si>
    <t>27762072319</t>
  </si>
  <si>
    <t>14298527</t>
  </si>
  <si>
    <t>8b4740b5-988d-4ec7-8ca4-06210a65566e</t>
  </si>
  <si>
    <t>27796567908</t>
  </si>
  <si>
    <t>14298522</t>
  </si>
  <si>
    <t>3adb9c52-aa4c-49d9-8d29-37df47705b6c</t>
  </si>
  <si>
    <t>2026-05-25 12:48:19</t>
  </si>
  <si>
    <t>27823010012</t>
  </si>
  <si>
    <t>14298521</t>
  </si>
  <si>
    <t>2cf80812-dc29-4377-9991-54f8465bede3</t>
  </si>
  <si>
    <t>2026-05-25 12:47:53</t>
  </si>
  <si>
    <t>27761197289</t>
  </si>
  <si>
    <t>14298520</t>
  </si>
  <si>
    <t>51418288-63c2-4906-a45e-ebc290e32bd2</t>
  </si>
  <si>
    <t>2026-05-25 12:47:51</t>
  </si>
  <si>
    <t>27609129296</t>
  </si>
  <si>
    <t>14298517</t>
  </si>
  <si>
    <t>3be79a29-722d-49d2-b4e3-39c27df437bd</t>
  </si>
  <si>
    <t>2026-05-25 12:47:49</t>
  </si>
  <si>
    <t>27828231106</t>
  </si>
  <si>
    <t>14298518</t>
  </si>
  <si>
    <t>99afadf0-507f-445f-888e-9d7e32f13d2d</t>
  </si>
  <si>
    <t>27823618439</t>
  </si>
  <si>
    <t>14298519</t>
  </si>
  <si>
    <t>fc299197-f737-40da-9da8-a1b88c469a80</t>
  </si>
  <si>
    <t>27607927647</t>
  </si>
  <si>
    <t>14298514</t>
  </si>
  <si>
    <t>6b4d44ef-33ff-4b97-ad35-de62a42e1874</t>
  </si>
  <si>
    <t>2026-05-25 12:47:48</t>
  </si>
  <si>
    <t>27739739636</t>
  </si>
  <si>
    <t>14298516</t>
  </si>
  <si>
    <t>314cd011-f605-4f80-b6bc-ceb00500ff73</t>
  </si>
  <si>
    <t>27767563226</t>
  </si>
  <si>
    <t>14298512</t>
  </si>
  <si>
    <t>1ec39259-a21e-40b3-a8b3-69f67b21aba2</t>
  </si>
  <si>
    <t>2026-05-25 12:47:30</t>
  </si>
  <si>
    <t>27795812698</t>
  </si>
  <si>
    <t>14298513</t>
  </si>
  <si>
    <t>186d59f4-14b5-4c4e-b8b6-e3778aa79e2b</t>
  </si>
  <si>
    <t>27636017209</t>
  </si>
  <si>
    <t>14298582</t>
  </si>
  <si>
    <t>68d9b44a-db94-43a5-976c-29b54749121c</t>
  </si>
  <si>
    <t>27796745147</t>
  </si>
  <si>
    <t>2026-05-25 12:47:07</t>
  </si>
  <si>
    <t>14298581</t>
  </si>
  <si>
    <t>1a952f8c-f809-4f6f-9008-6dc3a79dcc99</t>
  </si>
  <si>
    <t>2026-05-25 12:47:06</t>
  </si>
  <si>
    <t>27798194709</t>
  </si>
  <si>
    <t>14298579</t>
  </si>
  <si>
    <t>9e06af15-8789-4162-9ff1-4068111eba0f</t>
  </si>
  <si>
    <t>2026-05-25 12:47:04</t>
  </si>
  <si>
    <t>27848465212</t>
  </si>
  <si>
    <t>14298576</t>
  </si>
  <si>
    <t>a2450522-1a30-4472-81aa-e504a23bb2f0</t>
  </si>
  <si>
    <t>2026-05-25 12:47:02</t>
  </si>
  <si>
    <t>27720455224</t>
  </si>
  <si>
    <t>14298571</t>
  </si>
  <si>
    <t>d4202b34-a262-4163-9738-5a0ab5674fae</t>
  </si>
  <si>
    <t>2026-05-25 12:47:01</t>
  </si>
  <si>
    <t>27790471229</t>
  </si>
  <si>
    <t>14298573</t>
  </si>
  <si>
    <t>1448481a-3843-400e-a8c5-3d42d67906fd</t>
  </si>
  <si>
    <t>27797145344</t>
  </si>
  <si>
    <t>14298574</t>
  </si>
  <si>
    <t>32e851cc-63df-4daf-8811-9ffc16e903a7</t>
  </si>
  <si>
    <t>27760632657</t>
  </si>
  <si>
    <t>14298575</t>
  </si>
  <si>
    <t>8610e0a1-f406-4f72-9128-c29f1c483a1d</t>
  </si>
  <si>
    <t>27767785906</t>
  </si>
  <si>
    <t>14298569</t>
  </si>
  <si>
    <t>1bf50e46-4050-4a34-bce5-84202fe5f20d</t>
  </si>
  <si>
    <t>27762757475</t>
  </si>
  <si>
    <t>14298566</t>
  </si>
  <si>
    <t>ddc06b21-dfe6-4d48-a9f2-1dcdce78edc6</t>
  </si>
  <si>
    <t>2026-05-25 12:47:00</t>
  </si>
  <si>
    <t>27646489816</t>
  </si>
  <si>
    <t>14298568</t>
  </si>
  <si>
    <t>f6abaf26-1fef-441e-aa45-0482700ede00</t>
  </si>
  <si>
    <t>27797059298</t>
  </si>
  <si>
    <t>14298564</t>
  </si>
  <si>
    <t>7851e1b6-c252-4afe-a169-617a69ad1ac4</t>
  </si>
  <si>
    <t>2026-05-25 12:46:34</t>
  </si>
  <si>
    <t>27794963309</t>
  </si>
  <si>
    <t>14298565</t>
  </si>
  <si>
    <t>c6197db9-ff96-4913-a88a-0cc4e092102a</t>
  </si>
  <si>
    <t>27765494482</t>
  </si>
  <si>
    <t>14298563</t>
  </si>
  <si>
    <t>55fe2e64-a2d0-49bd-8c9d-05b49412ce56</t>
  </si>
  <si>
    <t>2026-05-25 12:46:19</t>
  </si>
  <si>
    <t>27766355451</t>
  </si>
  <si>
    <t>14298561</t>
  </si>
  <si>
    <t>d223d95e-66cb-4822-a776-9f7b1265b943</t>
  </si>
  <si>
    <t>2026-05-25 12:46:17</t>
  </si>
  <si>
    <t>27791791002</t>
  </si>
  <si>
    <t>14298558</t>
  </si>
  <si>
    <t>f01c99d7-db33-4e20-be55-eb6c53c7df40</t>
  </si>
  <si>
    <t>27796479267</t>
  </si>
  <si>
    <t>2026-05-25 12:45:49</t>
  </si>
  <si>
    <t>14298559</t>
  </si>
  <si>
    <t>ef2f8359-4df4-4618-a94c-f7a8c1d9fd75</t>
  </si>
  <si>
    <t>27663021927</t>
  </si>
  <si>
    <t>14298557</t>
  </si>
  <si>
    <t>7d00696a-5e10-4574-9ff2-384d386ca7a9</t>
  </si>
  <si>
    <t>2026-05-25 12:45:14</t>
  </si>
  <si>
    <t>27774099738</t>
  </si>
  <si>
    <t>14298615</t>
  </si>
  <si>
    <t>73d57412-953a-4c41-958e-cb106dd24dc4</t>
  </si>
  <si>
    <t>2026-05-25 12:45:10</t>
  </si>
  <si>
    <t>27766347965</t>
  </si>
  <si>
    <t>14298600</t>
  </si>
  <si>
    <t>f4002eec-c9ec-4595-a16e-0a3ae081e82c</t>
  </si>
  <si>
    <t>2026-05-25 12:45:05</t>
  </si>
  <si>
    <t>27729772866</t>
  </si>
  <si>
    <t>14298601</t>
  </si>
  <si>
    <t>6895befa-d506-4d5a-8c4e-46c411cd11be</t>
  </si>
  <si>
    <t>27761066007</t>
  </si>
  <si>
    <t>14298613</t>
  </si>
  <si>
    <t>1a577430-61fd-48b9-9bc0-f91ea722bd6c</t>
  </si>
  <si>
    <t>27714547355</t>
  </si>
  <si>
    <t>14298614</t>
  </si>
  <si>
    <t>c090dea2-1439-43d4-aab2-fb84fb2a930f</t>
  </si>
  <si>
    <t>27712076226</t>
  </si>
  <si>
    <t>14298598</t>
  </si>
  <si>
    <t>4b3dc5ae-eb9f-4605-a029-1b5752c45403</t>
  </si>
  <si>
    <t>2026-05-25 12:45:01</t>
  </si>
  <si>
    <t>27727996460</t>
  </si>
  <si>
    <t>14298596</t>
  </si>
  <si>
    <t>25ff5dd0-8dd0-4876-80d4-256b80e2e3a7</t>
  </si>
  <si>
    <t>2026-05-25 12:45:00</t>
  </si>
  <si>
    <t>27726626675</t>
  </si>
  <si>
    <t>14298597</t>
  </si>
  <si>
    <t>9fbf3901-e1e5-40b6-9bc1-7253c9c11055</t>
  </si>
  <si>
    <t>27767064923</t>
  </si>
  <si>
    <t>14298592</t>
  </si>
  <si>
    <t>de039eba-5bc7-43c2-9ba1-1cfba09a7f6e</t>
  </si>
  <si>
    <t>27791174425</t>
  </si>
  <si>
    <t>2026-05-25 12:44:15</t>
  </si>
  <si>
    <t>14298595</t>
  </si>
  <si>
    <t>8e673c6b-175a-4dbf-8d23-4d111ad4dc05</t>
  </si>
  <si>
    <t>27723355985</t>
  </si>
  <si>
    <t>14302468</t>
  </si>
  <si>
    <t>24d2c814-1b60-445c-9bfa-2f23cd1f3df3</t>
  </si>
  <si>
    <t>27793689407</t>
  </si>
  <si>
    <t>14298591</t>
  </si>
  <si>
    <t>496203b3-f459-44ba-a013-150aa1ff77b6</t>
  </si>
  <si>
    <t>2026-05-25 12:44:14</t>
  </si>
  <si>
    <t>27769357270</t>
  </si>
  <si>
    <t>14298588</t>
  </si>
  <si>
    <t>bc60c13e-2560-46e3-b4b5-a551316031ef</t>
  </si>
  <si>
    <t>2026-05-25 12:44:03</t>
  </si>
  <si>
    <t>27664927491</t>
  </si>
  <si>
    <t>14298589</t>
  </si>
  <si>
    <t>dae9170f-dab4-488a-83d5-7413be8544d8</t>
  </si>
  <si>
    <t>27675844914</t>
  </si>
  <si>
    <t>14298590</t>
  </si>
  <si>
    <t>0e531664-8861-4a7b-a548-970dfb8040be</t>
  </si>
  <si>
    <t>27607142280</t>
  </si>
  <si>
    <t>14298611</t>
  </si>
  <si>
    <t>804c915b-67b0-4686-8fff-ff69ad47aecf</t>
  </si>
  <si>
    <t>27818083863</t>
  </si>
  <si>
    <t>2026-05-25 12:43:10</t>
  </si>
  <si>
    <t>14298612</t>
  </si>
  <si>
    <t>eaf87552-0e0c-4b51-8b24-220263b82d31</t>
  </si>
  <si>
    <t>27726874095</t>
  </si>
  <si>
    <t>14298609</t>
  </si>
  <si>
    <t>3a0824d2-5d27-4e7b-bd7a-f9d943da8fbc</t>
  </si>
  <si>
    <t>2026-05-25 12:42:59</t>
  </si>
  <si>
    <t>27722548894</t>
  </si>
  <si>
    <t>14298607</t>
  </si>
  <si>
    <t>b73be265-0071-4cda-9c11-3c18fd4aa07a</t>
  </si>
  <si>
    <t>2026-05-25 12:42:57</t>
  </si>
  <si>
    <t>27827769219</t>
  </si>
  <si>
    <t>14298608</t>
  </si>
  <si>
    <t>2318aa68-f2d8-443d-a2dc-f8582b062a04</t>
  </si>
  <si>
    <t>27823944698</t>
  </si>
  <si>
    <t>14298602</t>
  </si>
  <si>
    <t>e19ed364-a9d5-47ae-8b7b-8d518e9efbaf</t>
  </si>
  <si>
    <t>2026-05-25 12:42:43</t>
  </si>
  <si>
    <t>27763534505</t>
  </si>
  <si>
    <t>14298603</t>
  </si>
  <si>
    <t>de284c9a-4e37-4407-8b21-be082eaec6d3</t>
  </si>
  <si>
    <t>27798036963</t>
  </si>
  <si>
    <t>14298604</t>
  </si>
  <si>
    <t>82744cb9-79dd-41f1-be36-3c23379b8eea</t>
  </si>
  <si>
    <t>27648261774</t>
  </si>
  <si>
    <t>14298606</t>
  </si>
  <si>
    <t>b99b256e-94c3-4386-af58-12b9f441fddb</t>
  </si>
  <si>
    <t>27637877469</t>
  </si>
  <si>
    <t>14298631</t>
  </si>
  <si>
    <t>00b39ebe-10e8-4082-9925-26d18c8293b2</t>
  </si>
  <si>
    <t>2026-05-25 12:42:11</t>
  </si>
  <si>
    <t>27791965549</t>
  </si>
  <si>
    <t>14298630</t>
  </si>
  <si>
    <t>21d061cf-ef03-4a6d-99c7-80a829b70cf4</t>
  </si>
  <si>
    <t>27823753540</t>
  </si>
  <si>
    <t>2026-05-25 12:42:00</t>
  </si>
  <si>
    <t>14298629</t>
  </si>
  <si>
    <t>7d5ecc8d-9dc0-4f0c-a455-d3889d2a6571</t>
  </si>
  <si>
    <t>2026-05-25 12:41:54</t>
  </si>
  <si>
    <t>27607624174</t>
  </si>
  <si>
    <t>14298627</t>
  </si>
  <si>
    <t>20b6fabe-3869-4d64-a625-b3dcc0a1f502</t>
  </si>
  <si>
    <t>2026-05-25 12:41:52</t>
  </si>
  <si>
    <t>27818589265</t>
  </si>
  <si>
    <t>14298628</t>
  </si>
  <si>
    <t>7f627f2c-dee7-4581-af05-44d9bef88976</t>
  </si>
  <si>
    <t>27799971590</t>
  </si>
  <si>
    <t>14298622</t>
  </si>
  <si>
    <t>487ab662-f497-4b42-98e1-30044b1534ee</t>
  </si>
  <si>
    <t>2026-05-25 12:41:47</t>
  </si>
  <si>
    <t>27649840603</t>
  </si>
  <si>
    <t>14298676</t>
  </si>
  <si>
    <t>e34bf3ca-58f1-430a-a832-89b03cec2f32</t>
  </si>
  <si>
    <t>27720354360</t>
  </si>
  <si>
    <t>2026-05-25 12:41:15</t>
  </si>
  <si>
    <t>14298621</t>
  </si>
  <si>
    <t>d52aae6b-2e66-4908-90fd-0d56bd34925b</t>
  </si>
  <si>
    <t>2026-05-25 12:41:06</t>
  </si>
  <si>
    <t>27767949128</t>
  </si>
  <si>
    <t>14298674</t>
  </si>
  <si>
    <t>bfb5419e-b748-490d-b83d-b6d725739eaa</t>
  </si>
  <si>
    <t>27634367050</t>
  </si>
  <si>
    <t>2026-05-25 12:41:03</t>
  </si>
  <si>
    <t>14298619</t>
  </si>
  <si>
    <t>ba02a3f0-58d1-4a89-95a4-a85d32e2409d</t>
  </si>
  <si>
    <t>27765557634</t>
  </si>
  <si>
    <t>2026-05-25 12:41:01</t>
  </si>
  <si>
    <t>14298675</t>
  </si>
  <si>
    <t>c31dd946-1855-4f7f-a390-b19bfdb76c89</t>
  </si>
  <si>
    <t>2026-05-25 12:40:38</t>
  </si>
  <si>
    <t>27648205326</t>
  </si>
  <si>
    <t>14298673</t>
  </si>
  <si>
    <t>6cc4cdec-333f-453e-9ca6-45cc5d08c9bb</t>
  </si>
  <si>
    <t>2026-05-25 12:40:35</t>
  </si>
  <si>
    <t>27769148762</t>
  </si>
  <si>
    <t>14298672</t>
  </si>
  <si>
    <t>f74d2a1a-7a66-482f-8804-ffeb1597e150</t>
  </si>
  <si>
    <t>2026-05-25 12:40:31</t>
  </si>
  <si>
    <t>27790336737</t>
  </si>
  <si>
    <t>14298671</t>
  </si>
  <si>
    <t>5bc026cd-00ca-44eb-b0fa-b101d3127baf</t>
  </si>
  <si>
    <t>2026-05-25 12:40:29</t>
  </si>
  <si>
    <t>27637586593</t>
  </si>
  <si>
    <t>14298669</t>
  </si>
  <si>
    <t>70a774e8-c986-49d4-b8e5-45d4b5f1cbaf</t>
  </si>
  <si>
    <t>2026-05-25 12:40:27</t>
  </si>
  <si>
    <t>27607213596</t>
  </si>
  <si>
    <t>14298664</t>
  </si>
  <si>
    <t>e5ec4b86-2d07-445d-99c1-8a87ae3c1a46</t>
  </si>
  <si>
    <t>2026-05-25 12:40:22</t>
  </si>
  <si>
    <t>27829246417</t>
  </si>
  <si>
    <t>14298665</t>
  </si>
  <si>
    <t>e07a6146-4992-4878-b647-fc1a6735fa34</t>
  </si>
  <si>
    <t>27826991204</t>
  </si>
  <si>
    <t>14298666</t>
  </si>
  <si>
    <t>c8ae20a1-3584-42c7-9c51-657bd785d4c9</t>
  </si>
  <si>
    <t>27648439836</t>
  </si>
  <si>
    <t>14298668</t>
  </si>
  <si>
    <t>1c47f6fe-6ae3-4421-9559-1f221665fc7f</t>
  </si>
  <si>
    <t>27722442769</t>
  </si>
  <si>
    <t>14298663</t>
  </si>
  <si>
    <t>5d52559b-78dc-49d0-a8a3-5657efa08634</t>
  </si>
  <si>
    <t>2026-05-25 12:40:21</t>
  </si>
  <si>
    <t>27728955796</t>
  </si>
  <si>
    <t>14298659</t>
  </si>
  <si>
    <t>c4b6b180-6d35-4ae3-be1f-eb6d5ab1f698</t>
  </si>
  <si>
    <t>2026-05-25 12:40:17</t>
  </si>
  <si>
    <t>27767427985</t>
  </si>
  <si>
    <t>14298662</t>
  </si>
  <si>
    <t>30e63c19-8fcc-454e-bb3b-d2ce71e03be9</t>
  </si>
  <si>
    <t>27637555383</t>
  </si>
  <si>
    <t>14298658</t>
  </si>
  <si>
    <t>611dda9a-0d28-405e-867e-e3cfb33b3714</t>
  </si>
  <si>
    <t>2026-05-25 12:40:08</t>
  </si>
  <si>
    <t>27818268937</t>
  </si>
  <si>
    <t>14298657</t>
  </si>
  <si>
    <t>b357cd12-f689-4451-8d23-702848ca0eff</t>
  </si>
  <si>
    <t>2026-05-25 12:40:05</t>
  </si>
  <si>
    <t>27799787408</t>
  </si>
  <si>
    <t>14298656</t>
  </si>
  <si>
    <t>a57e2d6e-ae26-4be1-849c-44a5724d3e95</t>
  </si>
  <si>
    <t>2026-05-25 12:39:59</t>
  </si>
  <si>
    <t>27647461595</t>
  </si>
  <si>
    <t>14298655</t>
  </si>
  <si>
    <t>b5e328e5-adbf-4c57-94d4-ad8b414c0146</t>
  </si>
  <si>
    <t>2026-05-25 12:39:49</t>
  </si>
  <si>
    <t>27609457693</t>
  </si>
  <si>
    <t>14301948</t>
  </si>
  <si>
    <t>7f785ff7-9eb4-4c94-a68f-e44bcf0e4172</t>
  </si>
  <si>
    <t>2026-05-25 12:38:57</t>
  </si>
  <si>
    <t>27722305573</t>
  </si>
  <si>
    <t>14300949</t>
  </si>
  <si>
    <t>f543ec56-d0e4-4ee8-83a7-bf9215202040</t>
  </si>
  <si>
    <t>2026-05-25 12:37:17</t>
  </si>
  <si>
    <t>27649884434</t>
  </si>
  <si>
    <t>14297824</t>
  </si>
  <si>
    <t>0364124a-2393-45c2-8b66-328206688162</t>
  </si>
  <si>
    <t>2026-05-25 12:15:56</t>
  </si>
  <si>
    <t>27793127119</t>
  </si>
  <si>
    <t>14302425</t>
  </si>
  <si>
    <t>d2805cc3-3bf9-4a73-93bf-4edbdfe21f56</t>
  </si>
  <si>
    <t>27763592718</t>
  </si>
  <si>
    <t>2026-05-25 09:21:21</t>
  </si>
  <si>
    <t>14298019</t>
  </si>
  <si>
    <t>f7702df2-6cf1-453b-a5be-165fe2672c1b</t>
  </si>
  <si>
    <t>2026-05-25 09:10:16</t>
  </si>
  <si>
    <t>27829623224</t>
  </si>
  <si>
    <t>14298567</t>
  </si>
  <si>
    <t>604c3233-dbb0-4443-bc27-2967329aac5f</t>
  </si>
  <si>
    <t>27765608010</t>
  </si>
  <si>
    <t>14299829</t>
  </si>
  <si>
    <t>1d79e6b5-df1b-41cd-9428-c5e565c247b1</t>
  </si>
  <si>
    <t>27826767197</t>
  </si>
  <si>
    <t>2026-05-25 09:09:31</t>
  </si>
  <si>
    <t>14300354</t>
  </si>
  <si>
    <t>73176998-dc9b-41f7-adf9-8ee4fd29377d</t>
  </si>
  <si>
    <t>27608300770</t>
  </si>
  <si>
    <t>2026-05-25 07:36:32</t>
  </si>
  <si>
    <t>14298734</t>
  </si>
  <si>
    <t>2ad48e6c-a3c9-47dd-afaf-88a1ef6922b7</t>
  </si>
  <si>
    <t>27724449545</t>
  </si>
  <si>
    <t>2026-05-25 07:32:21</t>
  </si>
  <si>
    <t>14299317</t>
  </si>
  <si>
    <t>c76dcc26-5138-4eca-a462-85cf81dcfe87</t>
  </si>
  <si>
    <t>27794365343</t>
  </si>
  <si>
    <t>2026-05-25 07:18:08</t>
  </si>
  <si>
    <t>14299424</t>
  </si>
  <si>
    <t>d6d6ce72-cdfc-4adc-ab7f-84c56c38d301</t>
  </si>
  <si>
    <t>2026-05-25 07:17:25</t>
  </si>
  <si>
    <t>27664215447</t>
  </si>
  <si>
    <t>14298218</t>
  </si>
  <si>
    <t>c5576a0f-68a9-45fe-80dd-47df95e0a7ef</t>
  </si>
  <si>
    <t>27818129455</t>
  </si>
  <si>
    <t>2026-05-25 07:15:23</t>
  </si>
  <si>
    <t>14298244</t>
  </si>
  <si>
    <t>2f3dde7e-34de-4d8e-9a18-88d8664bf4c8</t>
  </si>
  <si>
    <t>27825038630</t>
  </si>
  <si>
    <t>2026-05-25 06:58:26</t>
  </si>
  <si>
    <t>14300357</t>
  </si>
  <si>
    <t>0d3bd43d-d6ff-4f66-820d-bdc1e3e46d1e</t>
  </si>
  <si>
    <t>27727030813</t>
  </si>
  <si>
    <t>2026-05-25 06:53:39</t>
  </si>
  <si>
    <t>14298004</t>
  </si>
  <si>
    <t>db15e681-757e-4a4a-a2bc-44f729e9f4b8</t>
  </si>
  <si>
    <t>2026-05-25 06:47:34</t>
  </si>
  <si>
    <t>27764071554</t>
  </si>
  <si>
    <t>14298051</t>
  </si>
  <si>
    <t>550402e8-cf15-4bb3-a416-30bbc513b1ab</t>
  </si>
  <si>
    <t>2026-05-23 08:37:56</t>
  </si>
  <si>
    <t>27818423925</t>
  </si>
  <si>
    <t>14300099</t>
  </si>
  <si>
    <t>4b0cc6f8-75b8-4ce9-b08e-9bc75414ecff</t>
  </si>
  <si>
    <t>27729430417</t>
  </si>
  <si>
    <t>2026-05-22 10:56:55</t>
  </si>
  <si>
    <t>14300334</t>
  </si>
  <si>
    <t>b3abd9b5-f58f-4c9e-a066-b7d2943934e8</t>
  </si>
  <si>
    <t>2026-05-22 10:55:56</t>
  </si>
  <si>
    <t>27649879584</t>
  </si>
  <si>
    <t>14299629</t>
  </si>
  <si>
    <t>92517c79-8ccf-4335-96be-a8ff9d7148d9</t>
  </si>
  <si>
    <t>2026-05-22 09:47:49</t>
  </si>
  <si>
    <t>27760510363</t>
  </si>
  <si>
    <t>14298605</t>
  </si>
  <si>
    <t>1f4625fe-c0db-4545-aa68-5304daed0f73</t>
  </si>
  <si>
    <t>27729106313</t>
  </si>
  <si>
    <t>2026-05-22 09:39:53</t>
  </si>
  <si>
    <t>14300155</t>
  </si>
  <si>
    <t>c565ca3f-0fe3-49c3-991e-f80847c1cb8c</t>
  </si>
  <si>
    <t>2026-05-22 09:29:57</t>
  </si>
  <si>
    <t>27797420886</t>
  </si>
  <si>
    <t>14297875</t>
  </si>
  <si>
    <t>c05cdd45-d994-4ddb-b020-74fa50e2cfdb</t>
  </si>
  <si>
    <t>2026-05-22 06:56:46</t>
  </si>
  <si>
    <t>27796873097</t>
  </si>
  <si>
    <t>14297983</t>
  </si>
  <si>
    <t>838a6a67-c786-42b8-b9ca-9130f121316a</t>
  </si>
  <si>
    <t>27608940646</t>
  </si>
  <si>
    <t>2026-05-22 06:55:55</t>
  </si>
  <si>
    <t>14297951</t>
  </si>
  <si>
    <t>9000f2c5-aa5e-47df-b013-f434bb81af00</t>
  </si>
  <si>
    <t>27715426860</t>
  </si>
  <si>
    <t>2026-05-22 06:55:38</t>
  </si>
  <si>
    <t>14297603</t>
  </si>
  <si>
    <t>7553faa8-3654-4bfb-b3d6-92207bd77658</t>
  </si>
  <si>
    <t>2026-05-22 06:47:33</t>
  </si>
  <si>
    <t>27799834930</t>
  </si>
  <si>
    <t>14297899</t>
  </si>
  <si>
    <t>abfe57a9-ee75-477f-a4f9-4a149d185a81</t>
  </si>
  <si>
    <t>27769972554</t>
  </si>
  <si>
    <t>2026-05-22 06:44:08</t>
  </si>
  <si>
    <t>14297657</t>
  </si>
  <si>
    <t>fab9f5ed-2d85-40ab-a158-bde0ee7b712b</t>
  </si>
  <si>
    <t>27791941159</t>
  </si>
  <si>
    <t>2026-05-22 06:28:00</t>
  </si>
  <si>
    <t>14297848</t>
  </si>
  <si>
    <t>20875817-4cd4-4624-ae72-db6d13869f9a</t>
  </si>
  <si>
    <t>2026-05-22 06:27:06</t>
  </si>
  <si>
    <t>27727426433</t>
  </si>
  <si>
    <t>14299236</t>
  </si>
  <si>
    <t>3979de00-6b90-4fa5-b8cd-9c72be186d4a</t>
  </si>
  <si>
    <t>27606287194</t>
  </si>
  <si>
    <t>2026-05-22 06:26:43</t>
  </si>
  <si>
    <t>14297834</t>
  </si>
  <si>
    <t>75861a72-c255-45c9-9506-4b429e611009</t>
  </si>
  <si>
    <t>2026-05-22 06:25:32</t>
  </si>
  <si>
    <t>27826107451</t>
  </si>
  <si>
    <t>14300179</t>
  </si>
  <si>
    <t>1ae8abfa-7ed5-41c0-9a8b-64e666853bc5</t>
  </si>
  <si>
    <t>2026-05-22 06:21:20</t>
  </si>
  <si>
    <t>27664951468</t>
  </si>
  <si>
    <t>14297724</t>
  </si>
  <si>
    <t>1797ca16-0387-42ec-8d54-82a28df68d82</t>
  </si>
  <si>
    <t>27795244019</t>
  </si>
  <si>
    <t>2026-05-22 06:21:02</t>
  </si>
  <si>
    <t>14297643</t>
  </si>
  <si>
    <t>a2e4ae89-9ad8-43dc-8f26-886bab482bd8</t>
  </si>
  <si>
    <t>27827050520</t>
  </si>
  <si>
    <t>2026-05-22 06:18:13</t>
  </si>
  <si>
    <t>14297670</t>
  </si>
  <si>
    <t>645198e5-2900-4d57-ae27-2ed15d53853e</t>
  </si>
  <si>
    <t>2026-05-22 06:16:45</t>
  </si>
  <si>
    <t>27793079688</t>
  </si>
  <si>
    <t>14297839</t>
  </si>
  <si>
    <t>1c979063-be09-41cc-86a5-dc16a474fef2</t>
  </si>
  <si>
    <t>2026-05-22 06:14:01</t>
  </si>
  <si>
    <t>27796813037</t>
  </si>
  <si>
    <t>14297858</t>
  </si>
  <si>
    <t>ba6119e7-7e4a-4bf3-99c3-4e789a88ba7a</t>
  </si>
  <si>
    <t>2026-05-22 06:12:21</t>
  </si>
  <si>
    <t>27646172427</t>
  </si>
  <si>
    <t>14297767</t>
  </si>
  <si>
    <t>f886d880-877f-4bbe-8e94-5e2823005a43</t>
  </si>
  <si>
    <t>2026-05-22 06:11:32</t>
  </si>
  <si>
    <t>27765033174</t>
  </si>
  <si>
    <t>14297811</t>
  </si>
  <si>
    <t>44eeb162-8d88-4961-bb18-ad432d1ed176</t>
  </si>
  <si>
    <t>2026-05-22 06:08:15</t>
  </si>
  <si>
    <t>27728890075</t>
  </si>
  <si>
    <t>14297857</t>
  </si>
  <si>
    <t>e7a2f62b-366a-4d70-b359-af0dc748945b</t>
  </si>
  <si>
    <t>2026-05-22 06:05:34</t>
  </si>
  <si>
    <t>27637655400</t>
  </si>
  <si>
    <t>14297790</t>
  </si>
  <si>
    <t>62808a4d-e758-4f06-87be-910343806af7</t>
  </si>
  <si>
    <t>2026-05-22 06:03:05</t>
  </si>
  <si>
    <t>27727650301</t>
  </si>
  <si>
    <t>14297879</t>
  </si>
  <si>
    <t>41f395ea-71f6-4f14-b5d6-95920144c119</t>
  </si>
  <si>
    <t>2026-05-21 15:03:13</t>
  </si>
  <si>
    <t>27661460793</t>
  </si>
  <si>
    <t>14297926</t>
  </si>
  <si>
    <t>a0c5fb45-de40-4b5c-8a0c-30f751840307</t>
  </si>
  <si>
    <t>27674742411</t>
  </si>
  <si>
    <t>2026-05-21 14:53:41</t>
  </si>
  <si>
    <t>14297905</t>
  </si>
  <si>
    <t>ed314161-b8a2-4f92-9268-ac5858ed48a8</t>
  </si>
  <si>
    <t>2026-05-21 14:44:25</t>
  </si>
  <si>
    <t>27827956848</t>
  </si>
  <si>
    <t>14297880</t>
  </si>
  <si>
    <t>8b1a73cf-8d85-4b63-90cc-a2fc650f74da</t>
  </si>
  <si>
    <t>27648915725</t>
  </si>
  <si>
    <t>2026-05-21 14:43:59</t>
  </si>
  <si>
    <t>14298870</t>
  </si>
  <si>
    <t>19d45637-f0a1-48ee-9ee4-be209eaa1f9e</t>
  </si>
  <si>
    <t>27762980054</t>
  </si>
  <si>
    <t>2026-05-21 14:40:15</t>
  </si>
  <si>
    <t>14298067</t>
  </si>
  <si>
    <t>562c6156-be8a-4798-83db-6df7679b22b2</t>
  </si>
  <si>
    <t>27790395309</t>
  </si>
  <si>
    <t>2026-05-21 14:34:30</t>
  </si>
  <si>
    <t>14298079</t>
  </si>
  <si>
    <t>53a24409-6a3d-4f0e-be0e-1ed64f3bb396</t>
  </si>
  <si>
    <t>27714679879</t>
  </si>
  <si>
    <t>2026-05-21 14:32:25</t>
  </si>
  <si>
    <t>14298670</t>
  </si>
  <si>
    <t>cdd12e5f-d0c2-4d60-ac42-964e02da5f22</t>
  </si>
  <si>
    <t>2026-05-21 14:30:56</t>
  </si>
  <si>
    <t>27729590651</t>
  </si>
  <si>
    <t>14298246</t>
  </si>
  <si>
    <t>5cd2161f-7597-4b49-839e-d74549c5d4cd</t>
  </si>
  <si>
    <t>2026-05-21 14:22:17</t>
  </si>
  <si>
    <t>27795917114</t>
  </si>
  <si>
    <t>14299700</t>
  </si>
  <si>
    <t>6cf95f14-7651-4c5c-9208-785d9f6feb61</t>
  </si>
  <si>
    <t>27761599974</t>
  </si>
  <si>
    <t>2026-05-21 14:20:52</t>
  </si>
  <si>
    <t>14298103</t>
  </si>
  <si>
    <t>f28f7ec9-a6da-4aff-83eb-ee0a78f2c06d</t>
  </si>
  <si>
    <t>27727367768</t>
  </si>
  <si>
    <t>2026-05-21 14:19:53</t>
  </si>
  <si>
    <t>14298515</t>
  </si>
  <si>
    <t>f00d7209-eda5-4f72-a72e-6f023b303aef</t>
  </si>
  <si>
    <t>27745205180</t>
  </si>
  <si>
    <t>2026-05-21 14:11:19</t>
  </si>
  <si>
    <t>14298912</t>
  </si>
  <si>
    <t>2d7c00cf-8b2b-4940-9e47-1ea44346f28f</t>
  </si>
  <si>
    <t>2026-05-21 14:10:11</t>
  </si>
  <si>
    <t>27764469711</t>
  </si>
  <si>
    <t>14299214</t>
  </si>
  <si>
    <t>c32337a6-bad9-43f8-b7f4-463da7f6a4a5</t>
  </si>
  <si>
    <t>27762274912</t>
  </si>
  <si>
    <t>2026-05-21 14:07:50</t>
  </si>
  <si>
    <t>14298646</t>
  </si>
  <si>
    <t>57611060-c061-446a-9891-85f39af4375f</t>
  </si>
  <si>
    <t>2026-05-21 13:37:54</t>
  </si>
  <si>
    <t>27725406147</t>
  </si>
  <si>
    <t>14299005</t>
  </si>
  <si>
    <t>18755d61-f2bf-4df5-9ae6-521b3740c50d</t>
  </si>
  <si>
    <t>2026-05-21 13:36:25</t>
  </si>
  <si>
    <t>27760770024</t>
  </si>
  <si>
    <t>14297931</t>
  </si>
  <si>
    <t>6ec278b4-7a3c-4ea6-8888-2d23d300ce3c</t>
  </si>
  <si>
    <t>27792022536</t>
  </si>
  <si>
    <t>2026-05-21 13:27:57</t>
  </si>
  <si>
    <t>14299257</t>
  </si>
  <si>
    <t>8edb6b54-c67a-4b29-9106-45edf54d0505</t>
  </si>
  <si>
    <t>2026-05-21 13:23:23</t>
  </si>
  <si>
    <t>27761538446</t>
  </si>
  <si>
    <t>14298365</t>
  </si>
  <si>
    <t>1f0571b4-6a31-471c-8c7d-d463a4127512</t>
  </si>
  <si>
    <t>2026-05-21 13:21:42</t>
  </si>
  <si>
    <t>27711203944</t>
  </si>
  <si>
    <t>14299388</t>
  </si>
  <si>
    <t>b97a7e32-623e-4d4c-9db7-148a584f773b</t>
  </si>
  <si>
    <t>27791082662</t>
  </si>
  <si>
    <t>2026-05-21 13:00:08</t>
  </si>
  <si>
    <t>14299451</t>
  </si>
  <si>
    <t>e9fa64a7-6b86-48cf-a504-0a5587111642</t>
  </si>
  <si>
    <t>27720312067</t>
  </si>
  <si>
    <t>2026-05-21 12:56:25</t>
  </si>
  <si>
    <t>14299463</t>
  </si>
  <si>
    <t>f3621484-df04-455a-97ed-2ae808f8da31</t>
  </si>
  <si>
    <t>2026-05-21 12:52:36</t>
  </si>
  <si>
    <t>27818315254</t>
  </si>
  <si>
    <t>14299493</t>
  </si>
  <si>
    <t>b6a9b349-c5a3-4c1a-a333-a61f295fed62</t>
  </si>
  <si>
    <t>2026-05-21 12:44:37</t>
  </si>
  <si>
    <t>27761035339</t>
  </si>
  <si>
    <t>14299587</t>
  </si>
  <si>
    <t>067f13f7-fcf3-44a1-998b-e03c7b573215</t>
  </si>
  <si>
    <t>2026-05-21 12:42:28</t>
  </si>
  <si>
    <t>27636586377</t>
  </si>
  <si>
    <t>14299501</t>
  </si>
  <si>
    <t>e49e8e87-0844-43d4-8bbd-bdd23a13f843</t>
  </si>
  <si>
    <t>2026-05-21 12:39:44</t>
  </si>
  <si>
    <t>27769797587</t>
  </si>
  <si>
    <t>14299327</t>
  </si>
  <si>
    <t>49df6bf2-a8ff-4b65-951b-f26433a7bbcc</t>
  </si>
  <si>
    <t>2026-05-21 12:38:47</t>
  </si>
  <si>
    <t>27607961069</t>
  </si>
  <si>
    <t>14299455</t>
  </si>
  <si>
    <t>5eccda37-7650-41ae-b9a5-01f7a45b71a0</t>
  </si>
  <si>
    <t>2026-05-21 12:28:31</t>
  </si>
  <si>
    <t>27794040697</t>
  </si>
  <si>
    <t>14299477</t>
  </si>
  <si>
    <t>8fb3a0aa-8e93-417e-8e89-206a0621c6de</t>
  </si>
  <si>
    <t>2026-05-21 12:26:17</t>
  </si>
  <si>
    <t>27726640904</t>
  </si>
  <si>
    <t>14299505</t>
  </si>
  <si>
    <t>581187a2-82a7-4248-b008-7c76677e0585</t>
  </si>
  <si>
    <t>27739089217</t>
  </si>
  <si>
    <t>2026-05-21 12:23:54</t>
  </si>
  <si>
    <t>14300004</t>
  </si>
  <si>
    <t>5c4aa072-0fab-4ba8-b3a1-15c5a46b9b65</t>
  </si>
  <si>
    <t>27793008993</t>
  </si>
  <si>
    <t>2026-05-21 12:22:39</t>
  </si>
  <si>
    <t>14299478</t>
  </si>
  <si>
    <t>83b0994a-3879-460b-8ce0-437d06f500e3</t>
  </si>
  <si>
    <t>2026-05-21 12:22:17</t>
  </si>
  <si>
    <t>27646718723</t>
  </si>
  <si>
    <t>14299376</t>
  </si>
  <si>
    <t>7827822b-3369-414a-a270-41f4e39d2f61</t>
  </si>
  <si>
    <t>2026-05-21 12:18:53</t>
  </si>
  <si>
    <t>27646942808</t>
  </si>
  <si>
    <t>14299679</t>
  </si>
  <si>
    <t>8678df3a-f7b3-45e9-b5ec-e655375adaa0</t>
  </si>
  <si>
    <t>2026-05-21 12:11:54</t>
  </si>
  <si>
    <t>27713028220</t>
  </si>
  <si>
    <t>14299490</t>
  </si>
  <si>
    <t>ff167330-130a-4334-b943-2d6e4427375f</t>
  </si>
  <si>
    <t>27608042565</t>
  </si>
  <si>
    <t>2026-05-21 12:04:26</t>
  </si>
  <si>
    <t>14301297</t>
  </si>
  <si>
    <t>f223261f-19af-40cb-be05-85924de6b792</t>
  </si>
  <si>
    <t>27828318470</t>
  </si>
  <si>
    <t>2026-05-21 12:03:24</t>
  </si>
  <si>
    <t>14298755</t>
  </si>
  <si>
    <t>ac8ea734-df7d-4d84-98f4-c524bb24cd06</t>
  </si>
  <si>
    <t>27725571739</t>
  </si>
  <si>
    <t>2026-05-21 12:03:08</t>
  </si>
  <si>
    <t>14300633</t>
  </si>
  <si>
    <t>439f24d0-e1bc-4430-946e-575c7420f04f</t>
  </si>
  <si>
    <t>27723593469</t>
  </si>
  <si>
    <t>2026-05-21 11:59:31</t>
  </si>
  <si>
    <t>14300389</t>
  </si>
  <si>
    <t>cd9e54d2-1ef9-4b56-8d65-2c3fc16a9f09</t>
  </si>
  <si>
    <t>2026-05-21 11:57:42</t>
  </si>
  <si>
    <t>27768427016</t>
  </si>
  <si>
    <t>14299615</t>
  </si>
  <si>
    <t>a295562d-520a-49e2-b569-ca2879549a23</t>
  </si>
  <si>
    <t>2026-05-21 11:51:09</t>
  </si>
  <si>
    <t>27721603255</t>
  </si>
  <si>
    <t>14299727</t>
  </si>
  <si>
    <t>c273bc2a-ecc1-4022-9ef6-3cf49a030bf5</t>
  </si>
  <si>
    <t>27664260168</t>
  </si>
  <si>
    <t>2026-05-21 11:21:48</t>
  </si>
  <si>
    <t>14299658</t>
  </si>
  <si>
    <t>62a6c968-2fa0-4fea-8481-c9c36a85cbcc</t>
  </si>
  <si>
    <t>27647435278</t>
  </si>
  <si>
    <t>2026-05-21 10:56:39</t>
  </si>
  <si>
    <t>14299601</t>
  </si>
  <si>
    <t>c4200d49-4762-4f88-9b7e-0433fed35fa6</t>
  </si>
  <si>
    <t>2026-05-21 10:47:58</t>
  </si>
  <si>
    <t>27764735753</t>
  </si>
  <si>
    <t>14299678</t>
  </si>
  <si>
    <t>19ca46a5-ba21-494b-8b1f-53f955d9abf1</t>
  </si>
  <si>
    <t>27794159947</t>
  </si>
  <si>
    <t>2026-05-21 10:35:59</t>
  </si>
  <si>
    <t>14299635</t>
  </si>
  <si>
    <t>b6ff7a50-c903-4d2b-a208-7992512e2b6e</t>
  </si>
  <si>
    <t>2026-05-21 10:25:35</t>
  </si>
  <si>
    <t>27725968005</t>
  </si>
  <si>
    <t>14299654</t>
  </si>
  <si>
    <t>ee2661fc-2895-41ff-9d1c-f6ef89078a7d</t>
  </si>
  <si>
    <t>2026-05-21 10:22:50</t>
  </si>
  <si>
    <t>27794721780</t>
  </si>
  <si>
    <t>14299661</t>
  </si>
  <si>
    <t>7e6584aa-b1ef-4a5e-9c38-fdff60b1f263</t>
  </si>
  <si>
    <t>27636222365</t>
  </si>
  <si>
    <t>2026-05-21 10:22:31</t>
  </si>
  <si>
    <t>14299161</t>
  </si>
  <si>
    <t>bd9339aa-8f30-448a-9c98-77d9f2a92d93</t>
  </si>
  <si>
    <t>27796307396</t>
  </si>
  <si>
    <t>2026-05-21 10:21:06</t>
  </si>
  <si>
    <t>14299816</t>
  </si>
  <si>
    <t>8428d5af-1e25-48a2-8468-33296ce88251</t>
  </si>
  <si>
    <t>27760806121</t>
  </si>
  <si>
    <t>2026-05-21 10:19:29</t>
  </si>
  <si>
    <t>14299056</t>
  </si>
  <si>
    <t>3b12d72b-0e5f-4d0f-b66a-28a99dd5257f</t>
  </si>
  <si>
    <t>2026-05-21 10:18:01</t>
  </si>
  <si>
    <t>27715560588</t>
  </si>
  <si>
    <t>14300876</t>
  </si>
  <si>
    <t>9e06705f-2027-406c-9e71-2f0abc43143c</t>
  </si>
  <si>
    <t>2026-05-21 10:16:02</t>
  </si>
  <si>
    <t>27826429435</t>
  </si>
  <si>
    <t>14299763</t>
  </si>
  <si>
    <t>fc9a6a44-81f8-4940-a6a6-039560298b11</t>
  </si>
  <si>
    <t>2026-05-21 10:15:41</t>
  </si>
  <si>
    <t>27714137146</t>
  </si>
  <si>
    <t>14299723</t>
  </si>
  <si>
    <t>0946ccb4-14d3-43ee-ac90-ae26e62e2cfc</t>
  </si>
  <si>
    <t>27829554666</t>
  </si>
  <si>
    <t>2026-05-21 10:12:37</t>
  </si>
  <si>
    <t>14299725</t>
  </si>
  <si>
    <t>9f281fef-1231-4c7d-a655-346c46db872b</t>
  </si>
  <si>
    <t>2026-05-21 10:12:27</t>
  </si>
  <si>
    <t>27791888546</t>
  </si>
  <si>
    <t>14299846</t>
  </si>
  <si>
    <t>83f5ba08-2098-415f-8880-4c1f9c01c2b6</t>
  </si>
  <si>
    <t>27728548661</t>
  </si>
  <si>
    <t>2026-05-21 10:10:40</t>
  </si>
  <si>
    <t>14299905</t>
  </si>
  <si>
    <t>4f0b56eb-0ec9-4b0d-a46e-d89163a2f691</t>
  </si>
  <si>
    <t>27791614510</t>
  </si>
  <si>
    <t>2026-05-21 10:06:11</t>
  </si>
  <si>
    <t>14300280</t>
  </si>
  <si>
    <t>492dc670-b4b7-433b-a67c-572cd22d702f</t>
  </si>
  <si>
    <t>2026-05-21 10:05:02</t>
  </si>
  <si>
    <t>27661232847</t>
  </si>
  <si>
    <t>14299195</t>
  </si>
  <si>
    <t>136e21e1-eedf-49f4-90c6-90843301ac87</t>
  </si>
  <si>
    <t>27762580659</t>
  </si>
  <si>
    <t>2026-05-21 10:00:13</t>
  </si>
  <si>
    <t>14299191</t>
  </si>
  <si>
    <t>3675f541-df1a-41c6-8331-23a75802196a</t>
  </si>
  <si>
    <t>27663977524</t>
  </si>
  <si>
    <t>2026-05-21 09:57:33</t>
  </si>
  <si>
    <t>14300109</t>
  </si>
  <si>
    <t>be43112e-cd31-4863-9097-6c20527d1a0d</t>
  </si>
  <si>
    <t>27794573740</t>
  </si>
  <si>
    <t>2026-05-21 09:52:41</t>
  </si>
  <si>
    <t>14299855</t>
  </si>
  <si>
    <t>58e9f8fc-aa3a-4d4c-b423-3f71267c6d63</t>
  </si>
  <si>
    <t>27674322018</t>
  </si>
  <si>
    <t>2026-05-21 09:40:17</t>
  </si>
  <si>
    <t>14298486</t>
  </si>
  <si>
    <t>857bc4d2-c88a-4795-b07c-86854bedab96</t>
  </si>
  <si>
    <t>2026-05-21 09:37:28</t>
  </si>
  <si>
    <t>27725765629</t>
  </si>
  <si>
    <t>14299879</t>
  </si>
  <si>
    <t>8396eafc-cabd-4763-a83d-2802066915ee</t>
  </si>
  <si>
    <t>27815902591</t>
  </si>
  <si>
    <t>2026-05-21 09:34:49</t>
  </si>
  <si>
    <t>14301976</t>
  </si>
  <si>
    <t>4b7dbc3a-89e9-4258-9b3e-bb3ad6f09e07</t>
  </si>
  <si>
    <t>2026-05-21 09:34:19</t>
  </si>
  <si>
    <t>27799431151</t>
  </si>
  <si>
    <t>14300058</t>
  </si>
  <si>
    <t>c8d79b5a-f2cc-4048-b2f2-13a7fe17ce44</t>
  </si>
  <si>
    <t>27660659355</t>
  </si>
  <si>
    <t>2026-05-21 09:31:06</t>
  </si>
  <si>
    <t>14299984</t>
  </si>
  <si>
    <t>20c25123-fd80-4dbc-a201-5dfa60b583b9</t>
  </si>
  <si>
    <t>27723857791</t>
  </si>
  <si>
    <t>2026-05-21 09:26:07</t>
  </si>
  <si>
    <t>14300006</t>
  </si>
  <si>
    <t>9f9cab95-73f6-4475-aeda-e3eb66f3bc73</t>
  </si>
  <si>
    <t>27760535001</t>
  </si>
  <si>
    <t>2026-05-21 09:18:16</t>
  </si>
  <si>
    <t>14301239</t>
  </si>
  <si>
    <t>b7c35543-bb79-4ff3-8090-c587c6c1076d</t>
  </si>
  <si>
    <t>2026-05-21 09:17:02</t>
  </si>
  <si>
    <t>27794785532</t>
  </si>
  <si>
    <t>14299945</t>
  </si>
  <si>
    <t>6f328dcc-1097-4eef-94df-444251aa8cd4</t>
  </si>
  <si>
    <t>2026-05-21 09:14:50</t>
  </si>
  <si>
    <t>27637072306</t>
  </si>
  <si>
    <t>14300013</t>
  </si>
  <si>
    <t>2dfe25fa-ad36-49c0-b9a7-55233dae04da</t>
  </si>
  <si>
    <t>2026-05-21 09:10:56</t>
  </si>
  <si>
    <t>27760744144</t>
  </si>
  <si>
    <t>14300008</t>
  </si>
  <si>
    <t>f778aab3-56ef-45d4-8018-11d7f241f5b2</t>
  </si>
  <si>
    <t>2026-05-21 09:08:46</t>
  </si>
  <si>
    <t>27764975631</t>
  </si>
  <si>
    <t>14300521</t>
  </si>
  <si>
    <t>a3ddb5ed-92c8-43a8-8867-c2ed994b343c</t>
  </si>
  <si>
    <t>2026-05-21 09:08:27</t>
  </si>
  <si>
    <t>27647671547</t>
  </si>
  <si>
    <t>14300079</t>
  </si>
  <si>
    <t>640ea73b-6ef9-47cc-b3e8-b5524d5e80f7</t>
  </si>
  <si>
    <t>2026-05-21 09:07:34</t>
  </si>
  <si>
    <t>27714986523</t>
  </si>
  <si>
    <t>14301904</t>
  </si>
  <si>
    <t>67dddaa6-0431-4ebc-a2cc-a699e89dd952</t>
  </si>
  <si>
    <t>27823671121</t>
  </si>
  <si>
    <t>2026-05-21 09:04:52</t>
  </si>
  <si>
    <t>14301865</t>
  </si>
  <si>
    <t>dc4f9109-1347-4ace-a740-00355afba199</t>
  </si>
  <si>
    <t>2026-05-21 09:03:45</t>
  </si>
  <si>
    <t>27824795759</t>
  </si>
  <si>
    <t>14300488</t>
  </si>
  <si>
    <t>d1183401-b352-46b1-9806-e6fdc8f797c1</t>
  </si>
  <si>
    <t>27791810080</t>
  </si>
  <si>
    <t>2026-05-21 09:02:29</t>
  </si>
  <si>
    <t>14300194</t>
  </si>
  <si>
    <t>f8203c7d-e266-4f55-8709-7c5db48ea01b</t>
  </si>
  <si>
    <t>2026-05-21 08:59:21</t>
  </si>
  <si>
    <t>27822925848</t>
  </si>
  <si>
    <t>14300096</t>
  </si>
  <si>
    <t>955e9e11-71dc-4ee0-b1cf-04857698bc51</t>
  </si>
  <si>
    <t>27762857205</t>
  </si>
  <si>
    <t>2026-05-21 08:54:58</t>
  </si>
  <si>
    <t>14301787</t>
  </si>
  <si>
    <t>864ba5d7-93e1-4f24-8639-24fed7f86129</t>
  </si>
  <si>
    <t>2026-05-21 08:47:17</t>
  </si>
  <si>
    <t>27792802235</t>
  </si>
  <si>
    <t>14300170</t>
  </si>
  <si>
    <t>b415820b-e4eb-424a-9ab9-bf319fef4da0</t>
  </si>
  <si>
    <t>2026-05-21 08:47:11</t>
  </si>
  <si>
    <t>27711330647</t>
  </si>
  <si>
    <t>14300201</t>
  </si>
  <si>
    <t>e73222c7-90c0-4e68-9b0a-e2483fc3ecd1</t>
  </si>
  <si>
    <t>27724458903</t>
  </si>
  <si>
    <t>2026-05-21 08:42:10</t>
  </si>
  <si>
    <t>14300836</t>
  </si>
  <si>
    <t>2227584b-1b08-4a9f-ba1f-5be4815097c0</t>
  </si>
  <si>
    <t>27665698193</t>
  </si>
  <si>
    <t>2026-05-21 08:34:46</t>
  </si>
  <si>
    <t>14300138</t>
  </si>
  <si>
    <t>ea577683-4da7-4313-94ef-808a1d6f558c</t>
  </si>
  <si>
    <t>2026-05-21 08:34:37</t>
  </si>
  <si>
    <t>27822882752</t>
  </si>
  <si>
    <t>14300250</t>
  </si>
  <si>
    <t>34076923-8fa9-4c1d-b20a-4a76e9a1af7c</t>
  </si>
  <si>
    <t>2026-05-21 08:27:18</t>
  </si>
  <si>
    <t>27673705271</t>
  </si>
  <si>
    <t>14301833</t>
  </si>
  <si>
    <t>78451359-5b74-40ad-b6e2-3e54773a6a78</t>
  </si>
  <si>
    <t>27663317582</t>
  </si>
  <si>
    <t>2026-05-21 08:22:40</t>
  </si>
  <si>
    <t>14300346</t>
  </si>
  <si>
    <t>c5f8efdc-443a-4a44-a9e7-f2b7a7009f4b</t>
  </si>
  <si>
    <t>2026-05-21 07:59:56</t>
  </si>
  <si>
    <t>27726935925</t>
  </si>
  <si>
    <t>14300840</t>
  </si>
  <si>
    <t>868a60c3-f8f8-4b1b-90a4-67957c6672ae</t>
  </si>
  <si>
    <t>2026-05-21 07:56:21</t>
  </si>
  <si>
    <t>27728461179</t>
  </si>
  <si>
    <t>14300378</t>
  </si>
  <si>
    <t>a2993189-33d1-4ca0-a215-64354e942343</t>
  </si>
  <si>
    <t>27727867175</t>
  </si>
  <si>
    <t>2026-05-21 07:55:25</t>
  </si>
  <si>
    <t>14301047</t>
  </si>
  <si>
    <t>d1e087be-0d12-4948-b182-fa64b01b8bbb</t>
  </si>
  <si>
    <t>2026-05-21 07:53:20</t>
  </si>
  <si>
    <t>27726898189</t>
  </si>
  <si>
    <t>14300900</t>
  </si>
  <si>
    <t>0628b9f9-db0a-4968-89f5-e50265655cf6</t>
  </si>
  <si>
    <t>CD</t>
  </si>
  <si>
    <t>Client Deceased</t>
  </si>
  <si>
    <t>2026-05-21 07:49:40</t>
  </si>
  <si>
    <t>27795714085</t>
  </si>
  <si>
    <t>14300535</t>
  </si>
  <si>
    <t>f3e70eee-f8d7-4e66-bd9f-15a5723b45cd</t>
  </si>
  <si>
    <t>2026-05-21 07:49:08</t>
  </si>
  <si>
    <t>27767827646</t>
  </si>
  <si>
    <t>14300440</t>
  </si>
  <si>
    <t>50ed9034-1470-4326-950a-9b6374843b80</t>
  </si>
  <si>
    <t>2026-05-21 07:47:25</t>
  </si>
  <si>
    <t>27797357363</t>
  </si>
  <si>
    <t>14300451</t>
  </si>
  <si>
    <t>04380e78-64a8-4364-b8b9-1495aa0401dd</t>
  </si>
  <si>
    <t>27796019055</t>
  </si>
  <si>
    <t>2026-05-21 07:46:20</t>
  </si>
  <si>
    <t>14300727</t>
  </si>
  <si>
    <t>621d3d35-7e6e-47c3-b674-5a1c865085df</t>
  </si>
  <si>
    <t>2026-05-21 07:45:33</t>
  </si>
  <si>
    <t>27792518209</t>
  </si>
  <si>
    <t>14300560</t>
  </si>
  <si>
    <t>1e774551-fad4-463a-afd9-5287751cf38d</t>
  </si>
  <si>
    <t>27727631869</t>
  </si>
  <si>
    <t>2026-05-21 07:45:11</t>
  </si>
  <si>
    <t>14300596</t>
  </si>
  <si>
    <t>2cae659b-4888-4e3e-add3-9dae41efd8fd</t>
  </si>
  <si>
    <t>27729102699</t>
  </si>
  <si>
    <t>2026-05-21 07:44:17</t>
  </si>
  <si>
    <t>14300512</t>
  </si>
  <si>
    <t>030b8117-4d28-4f0e-ba7e-294d1796f182</t>
  </si>
  <si>
    <t>27712507988</t>
  </si>
  <si>
    <t>2026-05-21 07:41:10</t>
  </si>
  <si>
    <t>14300605</t>
  </si>
  <si>
    <t>20a4a814-d0db-40c2-8a5e-8a5401e9eaf1</t>
  </si>
  <si>
    <t>2026-05-21 07:33:40</t>
  </si>
  <si>
    <t>27825193721</t>
  </si>
  <si>
    <t>14300559</t>
  </si>
  <si>
    <t>306c367b-a4be-470c-b299-1443569e6bd1</t>
  </si>
  <si>
    <t>27723149812</t>
  </si>
  <si>
    <t>2026-05-21 07:32:27</t>
  </si>
  <si>
    <t>14300887</t>
  </si>
  <si>
    <t>aced5b0b-0714-4080-b129-9dd498ee47e4</t>
  </si>
  <si>
    <t>2026-05-21 07:31:41</t>
  </si>
  <si>
    <t>27791644533</t>
  </si>
  <si>
    <t>14300599</t>
  </si>
  <si>
    <t>9dd2008e-5379-406f-844c-154bec5a02cf</t>
  </si>
  <si>
    <t>27798341649</t>
  </si>
  <si>
    <t>2026-05-21 07:31:34</t>
  </si>
  <si>
    <t>14300925</t>
  </si>
  <si>
    <t>83835ce4-9ce9-469e-a571-2d40b123f66f</t>
  </si>
  <si>
    <t>2026-05-21 07:28:45</t>
  </si>
  <si>
    <t>27828635989</t>
  </si>
  <si>
    <t>14300604</t>
  </si>
  <si>
    <t>84f0fa94-035e-4de3-b7d8-3d1ebbf51be6</t>
  </si>
  <si>
    <t>2026-05-21 07:28:12</t>
  </si>
  <si>
    <t>27608575291</t>
  </si>
  <si>
    <t>14300206</t>
  </si>
  <si>
    <t>101c1c80-72fd-49c4-8673-cb3b4cfebbf3</t>
  </si>
  <si>
    <t>2026-05-21 07:24:21</t>
  </si>
  <si>
    <t>27826285776</t>
  </si>
  <si>
    <t>14300631</t>
  </si>
  <si>
    <t>6b022f6b-5f4c-4651-8e40-aac21357751b</t>
  </si>
  <si>
    <t>2026-05-21 07:23:59</t>
  </si>
  <si>
    <t>27769094868</t>
  </si>
  <si>
    <t>14300821</t>
  </si>
  <si>
    <t>40516e67-af96-4b70-995c-f2adb4fb86a5</t>
  </si>
  <si>
    <t>2026-05-21 07:21:42</t>
  </si>
  <si>
    <t>27794987379</t>
  </si>
  <si>
    <t>14300803</t>
  </si>
  <si>
    <t>3782314c-2ee5-4571-9a63-8858ddae7869</t>
  </si>
  <si>
    <t>2026-05-21 07:16:50</t>
  </si>
  <si>
    <t>27767121727</t>
  </si>
  <si>
    <t>14301160</t>
  </si>
  <si>
    <t>b2210eda-a06b-4da8-a0b4-a49884759ae5</t>
  </si>
  <si>
    <t>2026-05-21 07:12:23</t>
  </si>
  <si>
    <t>27727118374</t>
  </si>
  <si>
    <t>14300875</t>
  </si>
  <si>
    <t>968725cf-9844-4b1f-b606-b6a79739e223</t>
  </si>
  <si>
    <t>27824342409</t>
  </si>
  <si>
    <t>2026-05-21 07:11:45</t>
  </si>
  <si>
    <t>14300998</t>
  </si>
  <si>
    <t>a37bb796-3d24-4fb2-b959-d56545677b09</t>
  </si>
  <si>
    <t>27769180140</t>
  </si>
  <si>
    <t>2026-05-21 07:10:00</t>
  </si>
  <si>
    <t>14298457</t>
  </si>
  <si>
    <t>77ee7020-9eff-4f27-b682-2faf124ab190</t>
  </si>
  <si>
    <t>2026-05-21 07:06:19</t>
  </si>
  <si>
    <t>27836865657</t>
  </si>
  <si>
    <t>14300714</t>
  </si>
  <si>
    <t>130fd62b-6930-449c-8898-9ebccb83e58e</t>
  </si>
  <si>
    <t>27767174402</t>
  </si>
  <si>
    <t>2026-05-21 07:02:24</t>
  </si>
  <si>
    <t>14300698</t>
  </si>
  <si>
    <t>4c54bf4f-1e04-4550-bcab-1a4558803a22</t>
  </si>
  <si>
    <t>2026-05-21 07:00:05</t>
  </si>
  <si>
    <t>27649285815</t>
  </si>
  <si>
    <t>14301253</t>
  </si>
  <si>
    <t>bdfa0d79-48ba-4108-812b-6ebf761b2561</t>
  </si>
  <si>
    <t>2026-05-21 06:57:50</t>
  </si>
  <si>
    <t>27826331077</t>
  </si>
  <si>
    <t>14301295</t>
  </si>
  <si>
    <t>4541d3e4-8b23-4eb0-9628-e89815cb2a5f</t>
  </si>
  <si>
    <t>2026-05-21 06:57:46</t>
  </si>
  <si>
    <t>27660493807</t>
  </si>
  <si>
    <t>14300970</t>
  </si>
  <si>
    <t>9856118c-26c4-4dfd-afba-3e0e7c1feae6</t>
  </si>
  <si>
    <t>2026-05-21 06:30:16</t>
  </si>
  <si>
    <t>27799152673</t>
  </si>
  <si>
    <t>14300985</t>
  </si>
  <si>
    <t>c848c880-2da3-4a74-9ad8-609f5b458203</t>
  </si>
  <si>
    <t>2026-05-21 06:24:02</t>
  </si>
  <si>
    <t>27721863792</t>
  </si>
  <si>
    <t>14300784</t>
  </si>
  <si>
    <t>60d161cd-16e3-41a3-8349-36adf7300809</t>
  </si>
  <si>
    <t>27829355334</t>
  </si>
  <si>
    <t>2026-05-21 06:20:07</t>
  </si>
  <si>
    <t>14302197</t>
  </si>
  <si>
    <t>d393c10e-6ca0-42ce-bdc9-f4077f0b2f50</t>
  </si>
  <si>
    <t>27724939954</t>
  </si>
  <si>
    <t>2026-05-21 05:23:33</t>
  </si>
  <si>
    <t>14301075</t>
  </si>
  <si>
    <t>0d02d4f5-cdca-4f2a-a499-9d886c8acfd1</t>
  </si>
  <si>
    <t>2026-05-20 15:26:57</t>
  </si>
  <si>
    <t>27608161904</t>
  </si>
  <si>
    <t>14301111</t>
  </si>
  <si>
    <t>c3249d7a-a9e1-4ef7-955d-4252ebeeaa43</t>
  </si>
  <si>
    <t>27826257374</t>
  </si>
  <si>
    <t>2026-05-20 15:26:56</t>
  </si>
  <si>
    <t>14301997</t>
  </si>
  <si>
    <t>469e0f7e-aa1c-49a1-bcf6-a5be0addea2b</t>
  </si>
  <si>
    <t>27723132788</t>
  </si>
  <si>
    <t>2026-05-20 15:26:16</t>
  </si>
  <si>
    <t>14301018</t>
  </si>
  <si>
    <t>b24d2b4f-2fa6-4cec-8b00-0ee8dde94b91</t>
  </si>
  <si>
    <t>2026-05-20 15:25:00</t>
  </si>
  <si>
    <t>27769630723</t>
  </si>
  <si>
    <t>14301126</t>
  </si>
  <si>
    <t>4926d8a0-c78f-4174-911a-f0ddfeaff286</t>
  </si>
  <si>
    <t>27714317418</t>
  </si>
  <si>
    <t>2026-05-20 15:20:29</t>
  </si>
  <si>
    <t>14301373</t>
  </si>
  <si>
    <t>b16746e2-9e8d-408f-81ab-ac58f5de29c1</t>
  </si>
  <si>
    <t>2026-05-20 15:17:02</t>
  </si>
  <si>
    <t>27766213229</t>
  </si>
  <si>
    <t>14301154</t>
  </si>
  <si>
    <t>6370c96d-c297-42d7-bb6d-7712949f7ca7</t>
  </si>
  <si>
    <t>27798866380</t>
  </si>
  <si>
    <t>2026-05-20 15:05:40</t>
  </si>
  <si>
    <t>14301301</t>
  </si>
  <si>
    <t>a19c53cd-323a-4dd1-a6d8-10931fea9ecd</t>
  </si>
  <si>
    <t>27796012478</t>
  </si>
  <si>
    <t>2026-05-20 15:01:46</t>
  </si>
  <si>
    <t>14301806</t>
  </si>
  <si>
    <t>d1cfef54-c508-42e2-808e-cec065078750</t>
  </si>
  <si>
    <t>27799334016</t>
  </si>
  <si>
    <t>2026-05-20 15:00:23</t>
  </si>
  <si>
    <t>14301273</t>
  </si>
  <si>
    <t>c0f654c2-8a29-4dbc-a8c4-52a040171551</t>
  </si>
  <si>
    <t>27728682122</t>
  </si>
  <si>
    <t>2026-05-20 14:57:23</t>
  </si>
  <si>
    <t>14301355</t>
  </si>
  <si>
    <t>0486979a-ad02-4c8c-ba47-d29dd0093b0e</t>
  </si>
  <si>
    <t>2026-05-20 14:46:24</t>
  </si>
  <si>
    <t>27794702968</t>
  </si>
  <si>
    <t>14301352</t>
  </si>
  <si>
    <t>9dc83c79-0a35-434c-9cdd-01e0cef590d3</t>
  </si>
  <si>
    <t>2026-05-20 14:45:08</t>
  </si>
  <si>
    <t>27761899118</t>
  </si>
  <si>
    <t>14301400</t>
  </si>
  <si>
    <t>3b859ddb-409a-4073-b9c6-8ec20df0568b</t>
  </si>
  <si>
    <t>2026-05-20 14:34:31</t>
  </si>
  <si>
    <t>27760165972</t>
  </si>
  <si>
    <t>14301570</t>
  </si>
  <si>
    <t>62db4f29-b0d8-4e19-9c4b-2fd914dc99d8</t>
  </si>
  <si>
    <t>27728391474</t>
  </si>
  <si>
    <t>2026-05-20 14:19:28</t>
  </si>
  <si>
    <t>14301573</t>
  </si>
  <si>
    <t>5b543e5e-b21f-4187-baa6-a1a82791d556</t>
  </si>
  <si>
    <t>27606602064</t>
  </si>
  <si>
    <t>14302300</t>
  </si>
  <si>
    <t>022db119-3c87-4f74-b774-9e1167818233</t>
  </si>
  <si>
    <t>2026-05-20 14:19:13</t>
  </si>
  <si>
    <t>27794071164</t>
  </si>
  <si>
    <t>14301516</t>
  </si>
  <si>
    <t>a353e9b8-f90b-4743-b879-c822ed2858fc</t>
  </si>
  <si>
    <t>27794706613</t>
  </si>
  <si>
    <t>2026-05-20 14:17:58</t>
  </si>
  <si>
    <t>14302286</t>
  </si>
  <si>
    <t>67c8c040-52e2-433e-9219-090687f29017</t>
  </si>
  <si>
    <t>2026-05-20 14:16:07</t>
  </si>
  <si>
    <t>27826497035</t>
  </si>
  <si>
    <t>14301617</t>
  </si>
  <si>
    <t>c48a4aef-cef6-4b00-a33a-affbcdb47686</t>
  </si>
  <si>
    <t>2026-05-20 14:14:16</t>
  </si>
  <si>
    <t>27727844404</t>
  </si>
  <si>
    <t>14301713</t>
  </si>
  <si>
    <t>034916e3-f3c5-4ff3-b2f1-4b0b0b8b420c</t>
  </si>
  <si>
    <t>27724352510</t>
  </si>
  <si>
    <t>2026-05-20 14:06:19</t>
  </si>
  <si>
    <t>14301879</t>
  </si>
  <si>
    <t>96eb0885-a581-4075-9228-4fcec0eafb75</t>
  </si>
  <si>
    <t>27793458432</t>
  </si>
  <si>
    <t>2026-05-20 14:00:05</t>
  </si>
  <si>
    <t>14301729</t>
  </si>
  <si>
    <t>1c2e9691-8ead-485f-8bde-afbe70ae5384</t>
  </si>
  <si>
    <t>2026-05-20 13:58:00</t>
  </si>
  <si>
    <t>27797133175</t>
  </si>
  <si>
    <t>14301862</t>
  </si>
  <si>
    <t>1f99b77a-ec07-4f72-a0dd-9284e047b722</t>
  </si>
  <si>
    <t>2026-05-20 13:55:06</t>
  </si>
  <si>
    <t>27822390353</t>
  </si>
  <si>
    <t>14301825</t>
  </si>
  <si>
    <t>0196de7c-8c36-4cd4-8567-0395d376ba3f</t>
  </si>
  <si>
    <t>2026-05-20 13:51:19</t>
  </si>
  <si>
    <t>27818051711</t>
  </si>
  <si>
    <t>14297909</t>
  </si>
  <si>
    <t>d2e8a2db-d74b-44d2-90d8-dbf46c20aacd</t>
  </si>
  <si>
    <t>27768081598</t>
  </si>
  <si>
    <t>2026-05-20 13:32:06</t>
  </si>
  <si>
    <t>14299406</t>
  </si>
  <si>
    <t>b9dc0633-a085-4703-8025-98a405803f05</t>
  </si>
  <si>
    <t>27636523499</t>
  </si>
  <si>
    <t>2026-05-20 13:31:18</t>
  </si>
  <si>
    <t>14302114</t>
  </si>
  <si>
    <t>183c92e8-cac7-4d70-b231-39d27fd9aec0</t>
  </si>
  <si>
    <t>2026-05-20 13:28:59</t>
  </si>
  <si>
    <t>27724309655</t>
  </si>
  <si>
    <t>14301935</t>
  </si>
  <si>
    <t>e0f0535e-4c49-4224-b200-5b6e1cee4abb</t>
  </si>
  <si>
    <t>2026-05-20 13:28:48</t>
  </si>
  <si>
    <t>27827003838</t>
  </si>
  <si>
    <t>14298593</t>
  </si>
  <si>
    <t>37bf884a-9b60-48ad-8d87-5980e1245c6d</t>
  </si>
  <si>
    <t>2026-05-20 13:28:21</t>
  </si>
  <si>
    <t>27793462832</t>
  </si>
  <si>
    <t>14301953</t>
  </si>
  <si>
    <t>2f8a61f0-e2b4-41f1-9798-3c930630160a</t>
  </si>
  <si>
    <t>2026-05-20 13:25:04</t>
  </si>
  <si>
    <t>27829304100</t>
  </si>
  <si>
    <t>14298760</t>
  </si>
  <si>
    <t>6cbb7506-4a6a-4397-8ece-8fdd392148de</t>
  </si>
  <si>
    <t>27647653603</t>
  </si>
  <si>
    <t>2026-05-20 13:15:05</t>
  </si>
  <si>
    <t>14301986</t>
  </si>
  <si>
    <t>7fc9700a-cf5b-456d-a5a5-e5a2fff879f2</t>
  </si>
  <si>
    <t>27608820897</t>
  </si>
  <si>
    <t>2026-05-20 13:09:03</t>
  </si>
  <si>
    <t>14302160</t>
  </si>
  <si>
    <t>592bd350-6325-40ff-8487-f5026762e987</t>
  </si>
  <si>
    <t>2026-05-20 12:59:19</t>
  </si>
  <si>
    <t>27675461477</t>
  </si>
  <si>
    <t>14302242</t>
  </si>
  <si>
    <t>3927226f-9c1f-4041-b1c2-49c4f34e6237</t>
  </si>
  <si>
    <t>2026-05-20 12:57:54</t>
  </si>
  <si>
    <t>27737012983</t>
  </si>
  <si>
    <t>14302294</t>
  </si>
  <si>
    <t>296a657e-2b05-4ce5-bbee-a2acc603a94f</t>
  </si>
  <si>
    <t>2026-05-20 12:45:17</t>
  </si>
  <si>
    <t>27727985253</t>
  </si>
  <si>
    <t>14302259</t>
  </si>
  <si>
    <t>4cad66cc-7b89-4f41-af32-934b9cf65985</t>
  </si>
  <si>
    <t>27827670586</t>
  </si>
  <si>
    <t>2026-05-20 12:40:49</t>
  </si>
  <si>
    <t>14298832</t>
  </si>
  <si>
    <t>16d57f2d-9f9a-44d7-9f4c-17e4ffe2cb2e</t>
  </si>
  <si>
    <t>27766454645</t>
  </si>
  <si>
    <t>2026-05-20 12:24:57</t>
  </si>
  <si>
    <t>14302389</t>
  </si>
  <si>
    <t>eef1f7eb-885b-4e96-9b31-94f62ed050f2</t>
  </si>
  <si>
    <t>27722385568</t>
  </si>
  <si>
    <t>2026-05-20 12:23:58</t>
  </si>
  <si>
    <t>14302336</t>
  </si>
  <si>
    <t>2b548559-39d2-48a9-b0f3-ec78f16d065b</t>
  </si>
  <si>
    <t>2026-05-20 12:23:12</t>
  </si>
  <si>
    <t>27829903247</t>
  </si>
  <si>
    <t>14298796</t>
  </si>
  <si>
    <t>0b0e7169-f2be-47a1-ad6a-efb7653430ef</t>
  </si>
  <si>
    <t>2026-05-20 12:17:35</t>
  </si>
  <si>
    <t>27790574634</t>
  </si>
  <si>
    <t>14302567</t>
  </si>
  <si>
    <t>91f0fabd-535b-4637-932f-c3b334dc92d1</t>
  </si>
  <si>
    <t>2026-05-20 12:16:55</t>
  </si>
  <si>
    <t>27660967636</t>
  </si>
  <si>
    <t>14299414</t>
  </si>
  <si>
    <t>46368d5f-f2f6-47b4-a326-740078b1e051</t>
  </si>
  <si>
    <t>2026-05-20 10:37:02</t>
  </si>
  <si>
    <t>27793739341</t>
  </si>
  <si>
    <t>14297992</t>
  </si>
  <si>
    <t>ad546c36-13ca-4c54-9016-1aaff8a7a39b</t>
  </si>
  <si>
    <t>2026-05-20 10:33:12</t>
  </si>
  <si>
    <t>27796740790</t>
  </si>
  <si>
    <t>14297986</t>
  </si>
  <si>
    <t>f1622372-f5ce-4f8f-9c13-3f3131bb553e</t>
  </si>
  <si>
    <t>2026-05-20 10:31:06</t>
  </si>
  <si>
    <t>27769213043</t>
  </si>
  <si>
    <t>14298173</t>
  </si>
  <si>
    <t>81f4d266-4369-4b4f-8363-ed7ec6370138</t>
  </si>
  <si>
    <t>2026-05-20 10:13:59</t>
  </si>
  <si>
    <t>27764524682</t>
  </si>
  <si>
    <t>14298677</t>
  </si>
  <si>
    <t>5d40e8ab-c3b6-4140-9251-60175255aefa</t>
  </si>
  <si>
    <t>27796646966</t>
  </si>
  <si>
    <t>2026-05-20 10:12:00</t>
  </si>
  <si>
    <t>14298225</t>
  </si>
  <si>
    <t>f05ddc04-df2e-4677-8742-16eb80aab8ee</t>
  </si>
  <si>
    <t>2026-05-20 10:09:48</t>
  </si>
  <si>
    <t>27722156855</t>
  </si>
  <si>
    <t>14298344</t>
  </si>
  <si>
    <t>abca6a54-7c12-4542-b5a8-62e75268ff63</t>
  </si>
  <si>
    <t>27726962713</t>
  </si>
  <si>
    <t>2026-05-20 10:07:09</t>
  </si>
  <si>
    <t>14298260</t>
  </si>
  <si>
    <t>40e402a2-d1b8-4c8c-ab80-8f83fcbe9af2</t>
  </si>
  <si>
    <t>27793812331</t>
  </si>
  <si>
    <t>2026-05-20 10:07:06</t>
  </si>
  <si>
    <t>14298287</t>
  </si>
  <si>
    <t>299d334b-7ca4-45b5-8720-bdfa4e1ce2dc</t>
  </si>
  <si>
    <t>27727095503</t>
  </si>
  <si>
    <t>2026-05-20 10:04:28</t>
  </si>
  <si>
    <t>14298331</t>
  </si>
  <si>
    <t>5473341f-cb10-4169-9585-293779f24386</t>
  </si>
  <si>
    <t>2026-05-20 10:02:48</t>
  </si>
  <si>
    <t>27637952610</t>
  </si>
  <si>
    <t>14298379</t>
  </si>
  <si>
    <t>c3d550de-128b-408f-9073-286ea83c0142</t>
  </si>
  <si>
    <t>27663884706</t>
  </si>
  <si>
    <t>2026-05-20 09:56:47</t>
  </si>
  <si>
    <t>14298400</t>
  </si>
  <si>
    <t>46aca614-d5d1-4541-9c0d-ee26389b1296</t>
  </si>
  <si>
    <t>27646750714</t>
  </si>
  <si>
    <t>2026-05-20 09:53:28</t>
  </si>
  <si>
    <t>14298424</t>
  </si>
  <si>
    <t>acd3f1c9-ac50-4d95-8efa-4281675f0b4d</t>
  </si>
  <si>
    <t>2026-05-20 09:51:07</t>
  </si>
  <si>
    <t>27729358090</t>
  </si>
  <si>
    <t>14298447</t>
  </si>
  <si>
    <t>f657131e-6e34-468f-a52c-667245b45daf</t>
  </si>
  <si>
    <t>2026-05-20 09:48:02</t>
  </si>
  <si>
    <t>27712569366</t>
  </si>
  <si>
    <t>14298540</t>
  </si>
  <si>
    <t>aed5afae-d4d2-41ba-b375-6fd7c938afdb</t>
  </si>
  <si>
    <t>2026-05-20 09:41:25</t>
  </si>
  <si>
    <t>27716190055</t>
  </si>
  <si>
    <t>14298551</t>
  </si>
  <si>
    <t>102c447b-42f0-458c-8a15-14d26639195b</t>
  </si>
  <si>
    <t>2026-05-20 09:38:51</t>
  </si>
  <si>
    <t>27796854272</t>
  </si>
  <si>
    <t>14298648</t>
  </si>
  <si>
    <t>1073eec6-0a52-4dd3-918a-3fbd2b53c889</t>
  </si>
  <si>
    <t>27648918120</t>
  </si>
  <si>
    <t>2026-05-20 09:31:03</t>
  </si>
  <si>
    <t>14298620</t>
  </si>
  <si>
    <t>e8114215-82b9-420b-afa8-5a0e4659641b</t>
  </si>
  <si>
    <t>2026-05-20 09:30:27</t>
  </si>
  <si>
    <t>27766541618</t>
  </si>
  <si>
    <t>14298660</t>
  </si>
  <si>
    <t>8c0706e0-faaf-4253-a61d-22a02dce8ce2</t>
  </si>
  <si>
    <t>2026-05-20 09:29:41</t>
  </si>
  <si>
    <t>27823238701</t>
  </si>
  <si>
    <t>14298705</t>
  </si>
  <si>
    <t>753bb616-91e4-4cfe-b283-7f0266770111</t>
  </si>
  <si>
    <t>2026-05-20 09:27:59</t>
  </si>
  <si>
    <t>27713086472</t>
  </si>
  <si>
    <t>14297710</t>
  </si>
  <si>
    <t>baf51e5a-7c46-47cf-a59f-011310d9f942</t>
  </si>
  <si>
    <t>2026-05-20 09:25:45</t>
  </si>
  <si>
    <t>27637513314</t>
  </si>
  <si>
    <t>14298697</t>
  </si>
  <si>
    <t>efb780fc-4384-4091-b181-d13532241f8c</t>
  </si>
  <si>
    <t>2026-05-20 09:25:39</t>
  </si>
  <si>
    <t>27797602380</t>
  </si>
  <si>
    <t>14298693</t>
  </si>
  <si>
    <t>f556b8ca-7712-4804-9a88-b07c422b42aa</t>
  </si>
  <si>
    <t>2026-05-20 09:23:53</t>
  </si>
  <si>
    <t>27766125751</t>
  </si>
  <si>
    <t>14298737</t>
  </si>
  <si>
    <t>d9906db2-1bb9-4994-b6b1-8a94078b54b6</t>
  </si>
  <si>
    <t>2026-05-20 09:23:14</t>
  </si>
  <si>
    <t>27609668919</t>
  </si>
  <si>
    <t>14298829</t>
  </si>
  <si>
    <t>2ac09100-4e1c-42c8-aca1-bd9b1c4a3de6</t>
  </si>
  <si>
    <t>27721423461</t>
  </si>
  <si>
    <t>2026-05-20 09:21:17</t>
  </si>
  <si>
    <t>14301436</t>
  </si>
  <si>
    <t>9420bde7-76c1-4b7d-bb70-2f48d5fc74fd</t>
  </si>
  <si>
    <t>2026-05-20 08:23:31</t>
  </si>
  <si>
    <t>27792503310</t>
  </si>
  <si>
    <t>14298134</t>
  </si>
  <si>
    <t>fe0be837-dbe1-44ec-999c-c0981932b6b4</t>
  </si>
  <si>
    <t>27760243592</t>
  </si>
  <si>
    <t>2026-05-19 12:32:46</t>
  </si>
  <si>
    <t>14301334</t>
  </si>
  <si>
    <t>6b67bb74-a86f-4fcf-87c2-682e1adc887e</t>
  </si>
  <si>
    <t>27607502834</t>
  </si>
  <si>
    <t>2026-05-19 12:31:50</t>
  </si>
  <si>
    <t>14301078</t>
  </si>
  <si>
    <t>aeb8df11-bad6-4756-864b-308b93d2a6d0</t>
  </si>
  <si>
    <t>2026-05-19 11:49:56</t>
  </si>
  <si>
    <t>27648828382</t>
  </si>
  <si>
    <t>14297575</t>
  </si>
  <si>
    <t>e4938f2d-11c7-4c7f-9b02-66c48c71eadf</t>
  </si>
  <si>
    <t>27660445254</t>
  </si>
  <si>
    <t>2026-05-19 11:47:10</t>
  </si>
  <si>
    <t>14302430</t>
  </si>
  <si>
    <t>6a429ae6-612b-4434-a1a3-33fbc0c2d776</t>
  </si>
  <si>
    <t>2026-05-19 09:22:54</t>
  </si>
  <si>
    <t>27727196068</t>
  </si>
  <si>
    <t>14299001</t>
  </si>
  <si>
    <t>b86a22b4-aaa3-4558-8115-5f9d57e2ff39</t>
  </si>
  <si>
    <t>2026-05-19 08:49:44</t>
  </si>
  <si>
    <t>27675797019</t>
  </si>
  <si>
    <t>14300078</t>
  </si>
  <si>
    <t>685a8a4b-35e0-476d-9953-26dd97624ebe</t>
  </si>
  <si>
    <t>2026-05-19 06:55:17</t>
  </si>
  <si>
    <t>27724098821</t>
  </si>
  <si>
    <t>14302159</t>
  </si>
  <si>
    <t>48dba9bf-1788-40e0-9674-7306a7c4a7e4</t>
  </si>
  <si>
    <t>27636429276</t>
  </si>
  <si>
    <t>2026-05-19 06:40:39</t>
  </si>
  <si>
    <t>14302115</t>
  </si>
  <si>
    <t>6e0bc84b-4f12-4b5f-9394-0fa7ea1b30fe</t>
  </si>
  <si>
    <t>27761700507</t>
  </si>
  <si>
    <t>2026-05-19 06:24:26</t>
  </si>
  <si>
    <t>14297713</t>
  </si>
  <si>
    <t>e42f6dc0-46c3-4717-af4a-452b81b8683b</t>
  </si>
  <si>
    <t>2026-05-19 06:19:25</t>
  </si>
  <si>
    <t>27845964782</t>
  </si>
  <si>
    <t>14301460</t>
  </si>
  <si>
    <t>d715273b-0a98-4da8-847a-b9a2bf8325b1</t>
  </si>
  <si>
    <t>27725758983</t>
  </si>
  <si>
    <t>2026-05-19 06:15:35</t>
  </si>
  <si>
    <t>14297748</t>
  </si>
  <si>
    <t>05cc4a39-0c6d-474c-b933-4bea21e5f767</t>
  </si>
  <si>
    <t>2026-05-19 06:14:03</t>
  </si>
  <si>
    <t>27715198181</t>
  </si>
  <si>
    <t>14302066</t>
  </si>
  <si>
    <t>459e893b-f682-44c1-a908-440a0ab41410</t>
  </si>
  <si>
    <t>2026-05-19 06:07:23</t>
  </si>
  <si>
    <t>27609315064</t>
  </si>
  <si>
    <t>14298348</t>
  </si>
  <si>
    <t>274a554e-7b1d-4d8b-bbe8-e883bd9ba6a6</t>
  </si>
  <si>
    <t>27765792508</t>
  </si>
  <si>
    <t>2026-05-18 15:04:55</t>
  </si>
  <si>
    <t>14299442</t>
  </si>
  <si>
    <t>5ba081bf-b7e4-49cb-b2d7-4660ce9b9ef2</t>
  </si>
  <si>
    <t>27714627593</t>
  </si>
  <si>
    <t>2026-05-18 14:59:37</t>
  </si>
  <si>
    <t>14299261</t>
  </si>
  <si>
    <t>aae6c2c1-cc18-49e1-ba92-e8fcf1dc7cfc</t>
  </si>
  <si>
    <t>2026-05-18 14:59:14</t>
  </si>
  <si>
    <t>27763858806</t>
  </si>
  <si>
    <t>14298951</t>
  </si>
  <si>
    <t>78e7a085-2c9b-490f-bc18-aa7db11bc5f9</t>
  </si>
  <si>
    <t>2026-05-18 14:55:04</t>
  </si>
  <si>
    <t>27613262055</t>
  </si>
  <si>
    <t>14298044</t>
  </si>
  <si>
    <t>92518f62-c18c-4c6b-ba95-08dac3e30863</t>
  </si>
  <si>
    <t>2026-05-18 14:52:14</t>
  </si>
  <si>
    <t>27630890505</t>
  </si>
  <si>
    <t>14297715</t>
  </si>
  <si>
    <t>27644da9-e98c-49c6-b104-22222762aea3</t>
  </si>
  <si>
    <t>2026-05-18 14:49:33</t>
  </si>
  <si>
    <t>27766636492</t>
  </si>
  <si>
    <t>14298035</t>
  </si>
  <si>
    <t>1ecfa0b5-5d95-42dc-abe0-e16fcf243bd7</t>
  </si>
  <si>
    <t>27797561699</t>
  </si>
  <si>
    <t>2026-05-18 14:44:21</t>
  </si>
  <si>
    <t>14297945</t>
  </si>
  <si>
    <t>2cb4f842-bdf0-4f7f-b8a1-4eb95762defb</t>
  </si>
  <si>
    <t>2026-05-18 14:30:25</t>
  </si>
  <si>
    <t>27713299137</t>
  </si>
  <si>
    <t>14298642</t>
  </si>
  <si>
    <t>33935071-c918-4c75-aa1d-7972b8a50f04</t>
  </si>
  <si>
    <t>2026-05-18 14:23:06</t>
  </si>
  <si>
    <t>27726464211</t>
  </si>
  <si>
    <t>14298683</t>
  </si>
  <si>
    <t>dfefefa5-eb9b-4d71-a8de-9b26cfa7c368</t>
  </si>
  <si>
    <t>27714587727</t>
  </si>
  <si>
    <t>2026-05-18 14:12:11</t>
  </si>
  <si>
    <t>14301413</t>
  </si>
  <si>
    <t>507e068c-70d0-479f-bb9b-c4ace6d06db1</t>
  </si>
  <si>
    <t>27715089631</t>
  </si>
  <si>
    <t>2026-05-18 14:08:04</t>
  </si>
  <si>
    <t>14298014</t>
  </si>
  <si>
    <t>b82979f7-b43b-416a-8d0b-9ce713f6ee1d</t>
  </si>
  <si>
    <t>2026-05-18 14:04:28</t>
  </si>
  <si>
    <t>27826779237</t>
  </si>
  <si>
    <t>14302046</t>
  </si>
  <si>
    <t>cf3808a1-9967-4004-9c87-e28d1daa5e41</t>
  </si>
  <si>
    <t>27739683404</t>
  </si>
  <si>
    <t>2026-05-18 13:59:51</t>
  </si>
  <si>
    <t>14301480</t>
  </si>
  <si>
    <t>0e7f4e58-de26-42ab-ac4a-3ccec7a1e8cb</t>
  </si>
  <si>
    <t>2026-05-18 13:49:38</t>
  </si>
  <si>
    <t>27820926850</t>
  </si>
  <si>
    <t>14297813</t>
  </si>
  <si>
    <t>1fd8c89e-4755-4e3e-909d-38edec98bdbb</t>
  </si>
  <si>
    <t>2026-05-18 13:08:25</t>
  </si>
  <si>
    <t>27721758527</t>
  </si>
  <si>
    <t>14297772</t>
  </si>
  <si>
    <t>4989301e-08bc-43c0-84df-963b6d31eb2d</t>
  </si>
  <si>
    <t>2026-05-18 13:07:23</t>
  </si>
  <si>
    <t>27760321387</t>
  </si>
  <si>
    <t>14297933</t>
  </si>
  <si>
    <t>ee7e0925-f973-4462-a43d-4ab3c11f0d8f</t>
  </si>
  <si>
    <t>2026-05-18 12:58:49</t>
  </si>
  <si>
    <t>27793907411</t>
  </si>
  <si>
    <t>14299821</t>
  </si>
  <si>
    <t>ae71bf56-cc11-4cd0-a759-c33aeedce62f</t>
  </si>
  <si>
    <t>2026-05-18 12:50:54</t>
  </si>
  <si>
    <t>27797884309</t>
  </si>
  <si>
    <t>14300662</t>
  </si>
  <si>
    <t>951b33a3-95c5-41e6-9e9d-55ac7143fdd0</t>
  </si>
  <si>
    <t>2026-05-18 12:47:36</t>
  </si>
  <si>
    <t>27721232526</t>
  </si>
  <si>
    <t>14301989</t>
  </si>
  <si>
    <t>9a29389d-b4db-4fc9-b3c7-ab07487d784f</t>
  </si>
  <si>
    <t>2026-05-18 12:47:35</t>
  </si>
  <si>
    <t>27763200539</t>
  </si>
  <si>
    <t>14300241</t>
  </si>
  <si>
    <t>5d6ee136-66dd-48a4-8076-35960d732553</t>
  </si>
  <si>
    <t>2026-05-18 12:46:27</t>
  </si>
  <si>
    <t>27729411060</t>
  </si>
  <si>
    <t>14298626</t>
  </si>
  <si>
    <t>6554e013-04e1-42cd-b827-db4bdbed77be</t>
  </si>
  <si>
    <t>27673531234</t>
  </si>
  <si>
    <t>2026-05-18 12:44:07</t>
  </si>
  <si>
    <t>14298572</t>
  </si>
  <si>
    <t>5563dc7c-26fb-4b56-a535-b13a367f5079</t>
  </si>
  <si>
    <t>27792600925</t>
  </si>
  <si>
    <t>2026-05-18 12:32:43</t>
  </si>
  <si>
    <t>14298942</t>
  </si>
  <si>
    <t>60da35aa-d7a8-4605-8424-ad0800f79cee</t>
  </si>
  <si>
    <t>27607632159</t>
  </si>
  <si>
    <t>2026-05-18 12:27:29</t>
  </si>
  <si>
    <t>14299110</t>
  </si>
  <si>
    <t>35255810-9770-411c-a169-39de6f16da35</t>
  </si>
  <si>
    <t>27724887499</t>
  </si>
  <si>
    <t>2026-05-18 12:21:10</t>
  </si>
  <si>
    <t>14297835</t>
  </si>
  <si>
    <t>2b915475-f78d-4f24-a7a8-43c242647ded</t>
  </si>
  <si>
    <t>27729568595</t>
  </si>
  <si>
    <t>2026-05-18 12:19:30</t>
  </si>
  <si>
    <t>14301190</t>
  </si>
  <si>
    <t>c3f5d940-d00c-49e2-9f04-2b11c533112b</t>
  </si>
  <si>
    <t>2026-05-18 12:18:54</t>
  </si>
  <si>
    <t>27764552645</t>
  </si>
  <si>
    <t>14297872</t>
  </si>
  <si>
    <t>19d870a9-a83c-4a4b-a41f-17afeffe4df3</t>
  </si>
  <si>
    <t>2026-05-18 12:15:15</t>
  </si>
  <si>
    <t>27608194162</t>
  </si>
  <si>
    <t>14297912</t>
  </si>
  <si>
    <t>87ad6203-8f6f-4d73-9486-476a4230617e</t>
  </si>
  <si>
    <t>27799562129</t>
  </si>
  <si>
    <t>2026-05-18 12:01:11</t>
  </si>
  <si>
    <t>14299283</t>
  </si>
  <si>
    <t>1a738545-3f3c-41ce-95d6-c7deb834c6d6</t>
  </si>
  <si>
    <t>2026-05-18 11:57:16</t>
  </si>
  <si>
    <t>27714022578</t>
  </si>
  <si>
    <t>14299285</t>
  </si>
  <si>
    <t>d589e534-fb22-4278-95ae-8b6f97f0f768</t>
  </si>
  <si>
    <t>2026-05-18 11:55:15</t>
  </si>
  <si>
    <t>27715071056</t>
  </si>
  <si>
    <t>14297960</t>
  </si>
  <si>
    <t>ba765ac3-1c4a-4eb1-a343-bb04cd7fec9d</t>
  </si>
  <si>
    <t>2026-05-18 11:11:43</t>
  </si>
  <si>
    <t>27791048464</t>
  </si>
  <si>
    <t>14299373</t>
  </si>
  <si>
    <t>96daec19-30ef-4dfc-9179-90bb18a7d473</t>
  </si>
  <si>
    <t>27713629238</t>
  </si>
  <si>
    <t>2026-05-18 10:21:45</t>
  </si>
  <si>
    <t>14302244</t>
  </si>
  <si>
    <t>f4acc782-21d0-484d-bd57-475fa8d8083a</t>
  </si>
  <si>
    <t>2026-05-18 10:17:27</t>
  </si>
  <si>
    <t>27763169321</t>
  </si>
  <si>
    <t>14298125</t>
  </si>
  <si>
    <t>60c26e48-4a49-4805-9ace-858123c572f1</t>
  </si>
  <si>
    <t>2026-05-18 10:11:16</t>
  </si>
  <si>
    <t>27768543932</t>
  </si>
  <si>
    <t>14302181</t>
  </si>
  <si>
    <t>c56c009a-34e0-4ee5-a93a-7c97ad7fc7d4</t>
  </si>
  <si>
    <t>27795238735</t>
  </si>
  <si>
    <t>2026-05-18 09:53:41</t>
  </si>
  <si>
    <t>14298978</t>
  </si>
  <si>
    <t>758369fa-41bd-40eb-8c04-8facff96dd0a</t>
  </si>
  <si>
    <t>27724901082</t>
  </si>
  <si>
    <t>2026-05-18 09:52:08</t>
  </si>
  <si>
    <t>14298290</t>
  </si>
  <si>
    <t>db3a5cd9-abd6-4a67-bdb7-842e4c05a92e</t>
  </si>
  <si>
    <t>27791330843</t>
  </si>
  <si>
    <t>2026-05-18 09:39:19</t>
  </si>
  <si>
    <t>14299830</t>
  </si>
  <si>
    <t>0a391267-2d3e-4238-a845-273f0538175b</t>
  </si>
  <si>
    <t>2026-05-18 09:24:27</t>
  </si>
  <si>
    <t>27739074130</t>
  </si>
  <si>
    <t>14299012</t>
  </si>
  <si>
    <t>7ccccfae-55d1-4dd8-be60-8923cf53e4e7</t>
  </si>
  <si>
    <t>27664808640</t>
  </si>
  <si>
    <t>2026-05-18 09:20:56</t>
  </si>
  <si>
    <t>14298523</t>
  </si>
  <si>
    <t>2fa57dce-a71a-48ce-9855-5a192de6e1c2</t>
  </si>
  <si>
    <t>2026-05-18 09:15:42</t>
  </si>
  <si>
    <t>27725667115</t>
  </si>
  <si>
    <t>14299116</t>
  </si>
  <si>
    <t>8aed1a7d-9fea-4e1e-b010-169afd353bc8</t>
  </si>
  <si>
    <t>2026-05-18 09:09:11</t>
  </si>
  <si>
    <t>27769290491</t>
  </si>
  <si>
    <t>14299027</t>
  </si>
  <si>
    <t>1fd12aaf-15a4-4b48-acf9-dd248abdcc2b</t>
  </si>
  <si>
    <t>2026-05-18 09:02:27</t>
  </si>
  <si>
    <t>27646291459</t>
  </si>
  <si>
    <t>14301250</t>
  </si>
  <si>
    <t>80ce0724-d052-453d-81c4-27f1d533719d</t>
  </si>
  <si>
    <t>27761513206</t>
  </si>
  <si>
    <t>2026-05-18 09:00:45</t>
  </si>
  <si>
    <t>14298742</t>
  </si>
  <si>
    <t>00cbafa4-b83f-4dd8-a5da-90386055e176</t>
  </si>
  <si>
    <t>2026-05-18 08:57:40</t>
  </si>
  <si>
    <t>27728862228</t>
  </si>
  <si>
    <t>14301266</t>
  </si>
  <si>
    <t>ff822b8c-b61a-476e-b514-8632e66de6f4</t>
  </si>
  <si>
    <t>2026-05-18 08:55:58</t>
  </si>
  <si>
    <t>27728958951</t>
  </si>
  <si>
    <t>14298788</t>
  </si>
  <si>
    <t>273b3005-ad0f-439e-a38a-a1897e63b017</t>
  </si>
  <si>
    <t>27673862956</t>
  </si>
  <si>
    <t>2026-05-18 08:55:51</t>
  </si>
  <si>
    <t>14299124</t>
  </si>
  <si>
    <t>fbb919fe-79f5-4160-9cb3-542659f53982</t>
  </si>
  <si>
    <t>27711576020</t>
  </si>
  <si>
    <t>2026-05-18 08:50:27</t>
  </si>
  <si>
    <t>14302194</t>
  </si>
  <si>
    <t>b9e5d8aa-672a-46c8-a057-855fe139e6af</t>
  </si>
  <si>
    <t>27722681244</t>
  </si>
  <si>
    <t>2026-05-18 08:46:54</t>
  </si>
  <si>
    <t>14298944</t>
  </si>
  <si>
    <t>17dc5d39-4f30-4536-b98c-2ef8f252f6fe</t>
  </si>
  <si>
    <t>2026-05-18 08:33:36</t>
  </si>
  <si>
    <t>27722374967</t>
  </si>
  <si>
    <t>14299248</t>
  </si>
  <si>
    <t>e3bd95d1-f2b2-4f90-8072-446f1486b29a</t>
  </si>
  <si>
    <t>2026-05-18 08:26:18</t>
  </si>
  <si>
    <t>27767576573</t>
  </si>
  <si>
    <t>14299044</t>
  </si>
  <si>
    <t>0d161a16-29c9-4e5d-9e58-9898bb84d528</t>
  </si>
  <si>
    <t>2026-05-18 08:01:32</t>
  </si>
  <si>
    <t>27721801416</t>
  </si>
  <si>
    <t>14299093</t>
  </si>
  <si>
    <t>6e308ee4-a0cc-4b66-9638-ccf5c2d9ac0d</t>
  </si>
  <si>
    <t>2026-05-18 07:57:10</t>
  </si>
  <si>
    <t>27720270220</t>
  </si>
  <si>
    <t>14299095</t>
  </si>
  <si>
    <t>69abc7e7-ebac-4066-be37-b32a3eb79f57</t>
  </si>
  <si>
    <t>27713224783</t>
  </si>
  <si>
    <t>2026-05-18 07:55:42</t>
  </si>
  <si>
    <t>14301344</t>
  </si>
  <si>
    <t>f51c168b-b793-47ff-a0d4-cfdb21dc3742</t>
  </si>
  <si>
    <t>2026-05-18 07:55:14</t>
  </si>
  <si>
    <t>27649251506</t>
  </si>
  <si>
    <t>14301776</t>
  </si>
  <si>
    <t>aa04f168-3cd7-43e8-9fe4-93bdba9774d1</t>
  </si>
  <si>
    <t>2026-05-18 07:49:31</t>
  </si>
  <si>
    <t>27660235117</t>
  </si>
  <si>
    <t>14300002</t>
  </si>
  <si>
    <t>5b061572-c201-4850-9eb0-408942d68118</t>
  </si>
  <si>
    <t>2026-05-18 07:41:40</t>
  </si>
  <si>
    <t>27721888407</t>
  </si>
  <si>
    <t>14301406</t>
  </si>
  <si>
    <t>ac9e652e-46e0-4b28-9d45-654ab0d4f6fb</t>
  </si>
  <si>
    <t>2026-05-18 07:38:09</t>
  </si>
  <si>
    <t>27636397723</t>
  </si>
  <si>
    <t>14299841</t>
  </si>
  <si>
    <t>0382308d-61d9-4e9e-97d5-b8f6522f9302</t>
  </si>
  <si>
    <t>2026-05-18 07:31:50</t>
  </si>
  <si>
    <t>27711967693</t>
  </si>
  <si>
    <t>14302112</t>
  </si>
  <si>
    <t>baa4294b-eb74-4ba3-b967-6e4721d84e9b</t>
  </si>
  <si>
    <t>27606046291</t>
  </si>
  <si>
    <t>2026-05-18 07:29:13</t>
  </si>
  <si>
    <t>14297864</t>
  </si>
  <si>
    <t>15572bd0-2a89-4557-9c84-2883307ba8cc</t>
  </si>
  <si>
    <t>2026-05-18 07:11:44</t>
  </si>
  <si>
    <t>27767413773</t>
  </si>
  <si>
    <t>14301108</t>
  </si>
  <si>
    <t>952ceda6-55b1-4c79-8c8c-680ca0cf66a2</t>
  </si>
  <si>
    <t>2026-05-18 07:06:14</t>
  </si>
  <si>
    <t>27822694532</t>
  </si>
  <si>
    <t>14299370</t>
  </si>
  <si>
    <t>9271ecd1-8af5-4094-b2eb-bc8738ab721d</t>
  </si>
  <si>
    <t>27607786583</t>
  </si>
  <si>
    <t>2026-05-18 07:03:23</t>
  </si>
  <si>
    <t>14299398</t>
  </si>
  <si>
    <t>d49f9d17-194d-42ad-877b-cb70c7ea1b50</t>
  </si>
  <si>
    <t>2026-05-18 06:56:13</t>
  </si>
  <si>
    <t>27796149242</t>
  </si>
  <si>
    <t>14298610</t>
  </si>
  <si>
    <t>2c537157-11a6-45a2-849e-5a0d8c4c671e</t>
  </si>
  <si>
    <t>2026-05-18 06:49:30</t>
  </si>
  <si>
    <t>27798006281</t>
  </si>
  <si>
    <t>14299969</t>
  </si>
  <si>
    <t>e838b931-0bae-41d9-bb94-41af3bdb1e69</t>
  </si>
  <si>
    <t>27818535502</t>
  </si>
  <si>
    <t>2026-05-18 06:48:54</t>
  </si>
  <si>
    <t>14301125</t>
  </si>
  <si>
    <t>aca7bca3-2b3a-4916-8f2e-ff87c91dae2d</t>
  </si>
  <si>
    <t>2026-05-18 06:47:28</t>
  </si>
  <si>
    <t>27713968454</t>
  </si>
  <si>
    <t>14301130</t>
  </si>
  <si>
    <t>682dabe6-9b96-40ea-b7a3-c477ac3a3c13</t>
  </si>
  <si>
    <t>27659608814</t>
  </si>
  <si>
    <t>2026-05-18 06:45:50</t>
  </si>
  <si>
    <t>14301502</t>
  </si>
  <si>
    <t>ca7c055a-f39b-4715-be1a-7488228c3991</t>
  </si>
  <si>
    <t>2026-05-18 06:39:12</t>
  </si>
  <si>
    <t>27791635759</t>
  </si>
  <si>
    <t>14299492</t>
  </si>
  <si>
    <t>a7f50a00-eb3b-4453-9353-4672fb4313de</t>
  </si>
  <si>
    <t>2026-05-18 06:37:51</t>
  </si>
  <si>
    <t>27726259382</t>
  </si>
  <si>
    <t>14301173</t>
  </si>
  <si>
    <t>21f4e57d-27b6-4807-b895-d9b826d66cf0</t>
  </si>
  <si>
    <t>2026-05-18 06:29:49</t>
  </si>
  <si>
    <t>27660722350</t>
  </si>
  <si>
    <t>14301547</t>
  </si>
  <si>
    <t>e14112e3-a157-4bc6-bef2-aa6c592ddaba</t>
  </si>
  <si>
    <t>2026-05-18 06:25:26</t>
  </si>
  <si>
    <t>27636157968</t>
  </si>
  <si>
    <t>14299547</t>
  </si>
  <si>
    <t>789664b1-b988-47dd-bdd0-5b3186c76ae4</t>
  </si>
  <si>
    <t>2026-05-18 06:22:41</t>
  </si>
  <si>
    <t>27726665692</t>
  </si>
  <si>
    <t>14299565</t>
  </si>
  <si>
    <t>8471eea4-59b9-4118-8516-ecf8c9f2ce6b</t>
  </si>
  <si>
    <t>27784762268</t>
  </si>
  <si>
    <t>2026-05-18 06:19:27</t>
  </si>
  <si>
    <t>14301569</t>
  </si>
  <si>
    <t>9d1df318-7be9-4319-9494-7938a7dbeb2e</t>
  </si>
  <si>
    <t>27768764242</t>
  </si>
  <si>
    <t>14298826</t>
  </si>
  <si>
    <t>fa7c11a9-7365-4a89-a1b2-aa33cf6fa5bd</t>
  </si>
  <si>
    <t>27762837006</t>
  </si>
  <si>
    <t>2026-05-18 06:17:21</t>
  </si>
  <si>
    <t>14298854</t>
  </si>
  <si>
    <t>eacc22f5-ac81-4975-9eb5-94f311a8ebc3</t>
  </si>
  <si>
    <t>27826224457</t>
  </si>
  <si>
    <t>2026-05-18 06:13:48</t>
  </si>
  <si>
    <t>14302150</t>
  </si>
  <si>
    <t>aeb300bd-b7d8-49c2-bb97-8afbdc938200</t>
  </si>
  <si>
    <t>2026-05-18 06:12:43</t>
  </si>
  <si>
    <t>27664201958</t>
  </si>
  <si>
    <t>14298860</t>
  </si>
  <si>
    <t>345155a9-f084-45c2-a209-50c467eae296</t>
  </si>
  <si>
    <t>27791323912</t>
  </si>
  <si>
    <t>2026-05-18 06:11:57</t>
  </si>
  <si>
    <t>14298881</t>
  </si>
  <si>
    <t>38e66ff9-340e-49be-83fc-361602c2819a</t>
  </si>
  <si>
    <t>2026-05-18 06:07:45</t>
  </si>
  <si>
    <t>27663361839</t>
  </si>
  <si>
    <t>14298918</t>
  </si>
  <si>
    <t>965fad2e-d904-44c4-9a48-226831c7e91a</t>
  </si>
  <si>
    <t>2026-05-18 06:03:52</t>
  </si>
  <si>
    <t>27790256703</t>
  </si>
  <si>
    <t>14299798</t>
  </si>
  <si>
    <t>a3c84363-f1b5-4302-b2ce-b072f752dc34</t>
  </si>
  <si>
    <t>27715038627</t>
  </si>
  <si>
    <t>2026-05-15 12:51:12</t>
  </si>
  <si>
    <t>14299715</t>
  </si>
  <si>
    <t>5014861f-fbf8-40ed-ae5b-0971b9051346</t>
  </si>
  <si>
    <t>2026-05-15 12:18:26</t>
  </si>
  <si>
    <t>27661418700</t>
  </si>
  <si>
    <t>14302380</t>
  </si>
  <si>
    <t>0d95ff69-f7ab-4583-9f82-691817aeb3e6</t>
  </si>
  <si>
    <t>2026-05-15 12:12:50</t>
  </si>
  <si>
    <t>27768943064</t>
  </si>
  <si>
    <t>14302401</t>
  </si>
  <si>
    <t>60999fd2-a24b-403d-953f-2b54517d9ba4</t>
  </si>
  <si>
    <t>2026-05-15 12:10:43</t>
  </si>
  <si>
    <t>27844298505</t>
  </si>
  <si>
    <t>14298172</t>
  </si>
  <si>
    <t>b022c292-7229-4c16-af89-b1ad9f54000e</t>
  </si>
  <si>
    <t>27764097055</t>
  </si>
  <si>
    <t>2026-05-15 12:05:18</t>
  </si>
  <si>
    <t>14299832</t>
  </si>
  <si>
    <t>6ba5dc75-150f-4301-bc37-4f0ba042fb57</t>
  </si>
  <si>
    <t>2026-05-15 12:03:10</t>
  </si>
  <si>
    <t>27760515125</t>
  </si>
  <si>
    <t>14302501</t>
  </si>
  <si>
    <t>5526b74c-ed73-40fc-9998-f9d90b8f1607</t>
  </si>
  <si>
    <t>27774413106</t>
  </si>
  <si>
    <t>2026-05-15 12:03:08</t>
  </si>
  <si>
    <t>14299672</t>
  </si>
  <si>
    <t>7b976075-fcd0-4903-80bb-5bb38ad07c9e</t>
  </si>
  <si>
    <t>2026-05-15 11:55:03</t>
  </si>
  <si>
    <t>27767959223</t>
  </si>
  <si>
    <t>14298284</t>
  </si>
  <si>
    <t>755d1ba4-2074-4758-bd60-6bd3cf573a20</t>
  </si>
  <si>
    <t>27725133468</t>
  </si>
  <si>
    <t>2026-05-15 11:53:57</t>
  </si>
  <si>
    <t>14301965</t>
  </si>
  <si>
    <t>25c500c1-e054-41f3-a605-f7e047ea7798</t>
  </si>
  <si>
    <t>2026-05-15 11:53:25</t>
  </si>
  <si>
    <t>27825327989</t>
  </si>
  <si>
    <t>14299665</t>
  </si>
  <si>
    <t>5e2bb33c-2184-49f6-be3e-20e373ee403d</t>
  </si>
  <si>
    <t>2026-05-15 11:48:53</t>
  </si>
  <si>
    <t>27713008260</t>
  </si>
  <si>
    <t>14299659</t>
  </si>
  <si>
    <t>9a10746c-7940-43c8-b83a-326fbdc22e3f</t>
  </si>
  <si>
    <t>2026-05-15 11:48:05</t>
  </si>
  <si>
    <t>27716177931</t>
  </si>
  <si>
    <t>14302509</t>
  </si>
  <si>
    <t>7361b683-13d3-44df-8a0f-223f7d1e1433</t>
  </si>
  <si>
    <t>2026-05-15 11:46:40</t>
  </si>
  <si>
    <t>27760575626</t>
  </si>
  <si>
    <t>14299641</t>
  </si>
  <si>
    <t>c1ddcb9d-80c9-4c8c-9ef1-f8acc1ad8075</t>
  </si>
  <si>
    <t>2026-05-15 11:45:24</t>
  </si>
  <si>
    <t>27649774591</t>
  </si>
  <si>
    <t>14298417</t>
  </si>
  <si>
    <t>e0679c66-66e6-4bab-ad12-44d686402224</t>
  </si>
  <si>
    <t>2026-05-15 11:22:13</t>
  </si>
  <si>
    <t>27716262158</t>
  </si>
  <si>
    <t>14301934</t>
  </si>
  <si>
    <t>30e09b81-521f-44f5-9fd4-6ccbe42628a8</t>
  </si>
  <si>
    <t>27712622722</t>
  </si>
  <si>
    <t>2026-05-15 11:18:57</t>
  </si>
  <si>
    <t>14301932</t>
  </si>
  <si>
    <t>e054420d-3e23-4418-a213-55e38f543950</t>
  </si>
  <si>
    <t>2026-05-15 11:09:29</t>
  </si>
  <si>
    <t>27837553234</t>
  </si>
  <si>
    <t>14301876</t>
  </si>
  <si>
    <t>f12c2883-31d2-4ab7-9776-1fdd7a3e6773</t>
  </si>
  <si>
    <t>2026-05-15 09:58:34</t>
  </si>
  <si>
    <t>27606092007</t>
  </si>
  <si>
    <t>14298454</t>
  </si>
  <si>
    <t>7bbef6e7-0f98-4bfc-9b6d-901fac05072b</t>
  </si>
  <si>
    <t>27768320250</t>
  </si>
  <si>
    <t>2026-05-15 09:43:26</t>
  </si>
  <si>
    <t>14301769</t>
  </si>
  <si>
    <t>b03800a8-b956-4c52-8ae5-78ee3127d0c8</t>
  </si>
  <si>
    <t>2026-05-15 09:41:41</t>
  </si>
  <si>
    <t>27799199100</t>
  </si>
  <si>
    <t>14301722</t>
  </si>
  <si>
    <t>cf42ca4c-f730-42af-b3e5-367063c73f1a</t>
  </si>
  <si>
    <t>27727447712</t>
  </si>
  <si>
    <t>2026-05-15 09:30:23</t>
  </si>
  <si>
    <t>14301052</t>
  </si>
  <si>
    <t>e005571f-66e3-4a8c-ba09-99dc5a89fa0c</t>
  </si>
  <si>
    <t>27799225048</t>
  </si>
  <si>
    <t>2026-05-15 09:29:04</t>
  </si>
  <si>
    <t>14301855</t>
  </si>
  <si>
    <t>a6926fca-1a34-4aa3-bf00-a0f02565540c</t>
  </si>
  <si>
    <t>2026-05-15 09:27:11</t>
  </si>
  <si>
    <t>27767663658</t>
  </si>
  <si>
    <t>14301036</t>
  </si>
  <si>
    <t>4dde5aec-5a9b-48db-8998-72dea4209b43</t>
  </si>
  <si>
    <t>2026-05-15 09:26:29</t>
  </si>
  <si>
    <t>27764591814</t>
  </si>
  <si>
    <t>14301706</t>
  </si>
  <si>
    <t>9e225adb-434f-4efc-83b5-efb303000ce5</t>
  </si>
  <si>
    <t>2026-05-15 09:24:03</t>
  </si>
  <si>
    <t>27827973102</t>
  </si>
  <si>
    <t>14300978</t>
  </si>
  <si>
    <t>255d100d-3a35-42ac-8f64-eb3cd2e00b94</t>
  </si>
  <si>
    <t>2026-05-15 09:21:37</t>
  </si>
  <si>
    <t>27727829631</t>
  </si>
  <si>
    <t>14300330</t>
  </si>
  <si>
    <t>0f521913-0955-4c8a-92b7-fe2b20cd4f9d</t>
  </si>
  <si>
    <t>27661059241</t>
  </si>
  <si>
    <t>2026-05-15 09:21:23</t>
  </si>
  <si>
    <t>14300913</t>
  </si>
  <si>
    <t>edbad67b-03c8-499f-a4ef-2e353991d23e</t>
  </si>
  <si>
    <t>2026-05-15 09:07:07</t>
  </si>
  <si>
    <t>27764965032</t>
  </si>
  <si>
    <t>14300801</t>
  </si>
  <si>
    <t>9afe84ce-134b-4a00-acd8-523bfadd8aef</t>
  </si>
  <si>
    <t>2026-05-15 08:53:25</t>
  </si>
  <si>
    <t>27648591574</t>
  </si>
  <si>
    <t>14300813</t>
  </si>
  <si>
    <t>444ce0b6-7fc9-4618-9a1b-efd4e1212109</t>
  </si>
  <si>
    <t>27607779407</t>
  </si>
  <si>
    <t>2026-05-15 08:50:37</t>
  </si>
  <si>
    <t>14300333</t>
  </si>
  <si>
    <t>e7875f87-3e8e-4132-97fa-ac1153d99064</t>
  </si>
  <si>
    <t>2026-05-15 08:50:08</t>
  </si>
  <si>
    <t>27637609294</t>
  </si>
  <si>
    <t>14300788</t>
  </si>
  <si>
    <t>98a8b002-9989-46a9-ab00-ffa2eb1b06e2</t>
  </si>
  <si>
    <t>27790244753</t>
  </si>
  <si>
    <t>2026-05-15 08:48:48</t>
  </si>
  <si>
    <t>14300774</t>
  </si>
  <si>
    <t>874ede82-3226-48dd-9bdd-16e5bb368082</t>
  </si>
  <si>
    <t>2026-05-15 08:46:09</t>
  </si>
  <si>
    <t>27606108756</t>
  </si>
  <si>
    <t>14300754</t>
  </si>
  <si>
    <t>f89d4fbd-710c-4b25-b31c-e85210b1350f</t>
  </si>
  <si>
    <t>27606851582</t>
  </si>
  <si>
    <t>2026-05-15 08:45:14</t>
  </si>
  <si>
    <t>14298291</t>
  </si>
  <si>
    <t>1daa8640-840d-43f6-b9ad-15bbc0b10f0f</t>
  </si>
  <si>
    <t>2026-05-15 08:40:52</t>
  </si>
  <si>
    <t>27648462037</t>
  </si>
  <si>
    <t>14300712</t>
  </si>
  <si>
    <t>0395a9e0-ec4d-488e-a913-2aad541679e6</t>
  </si>
  <si>
    <t>2026-05-15 08:37:26</t>
  </si>
  <si>
    <t>27760711600</t>
  </si>
  <si>
    <t>14300589</t>
  </si>
  <si>
    <t>27cc8561-f2f1-44c4-9d46-a3160680dc70</t>
  </si>
  <si>
    <t>2026-05-15 08:25:03</t>
  </si>
  <si>
    <t>27723736296</t>
  </si>
  <si>
    <t>14300510</t>
  </si>
  <si>
    <t>ec187a7c-9b87-4961-b819-505716ec6411</t>
  </si>
  <si>
    <t>27795779823</t>
  </si>
  <si>
    <t>2026-05-15 08:00:21</t>
  </si>
  <si>
    <t>14301466</t>
  </si>
  <si>
    <t>8cf895cb-2084-4872-9863-1ee3fdc30702</t>
  </si>
  <si>
    <t>2026-05-15 07:41:29</t>
  </si>
  <si>
    <t>27724824960</t>
  </si>
  <si>
    <t>14301456</t>
  </si>
  <si>
    <t>ed552c9c-b68c-41b0-8a2e-e6e59bf482a6</t>
  </si>
  <si>
    <t>27664268920</t>
  </si>
  <si>
    <t>2026-05-15 07:31:46</t>
  </si>
  <si>
    <t>14300056</t>
  </si>
  <si>
    <t>e5b1940b-55fb-46f4-b7a7-bdbd20e608c9</t>
  </si>
  <si>
    <t>27721933339</t>
  </si>
  <si>
    <t>2026-05-15 07:24:37</t>
  </si>
  <si>
    <t>14302228</t>
  </si>
  <si>
    <t>31cc6696-9e8e-4512-84a2-25245128efe8</t>
  </si>
  <si>
    <t>27767454279</t>
  </si>
  <si>
    <t>2026-05-15 07:22:56</t>
  </si>
  <si>
    <t>14300052</t>
  </si>
  <si>
    <t>9e981127-7a5f-4dab-ad69-24474e42978c</t>
  </si>
  <si>
    <t>27766228187</t>
  </si>
  <si>
    <t>2026-05-15 07:11:36</t>
  </si>
  <si>
    <t>14301649</t>
  </si>
  <si>
    <t>e18edf92-0705-4f9b-9959-83a27e781696</t>
  </si>
  <si>
    <t>27716551065</t>
  </si>
  <si>
    <t>2026-05-15 07:03:54</t>
  </si>
  <si>
    <t>14300131</t>
  </si>
  <si>
    <t>5d522271-3624-43fd-9924-016ec5d1c745</t>
  </si>
  <si>
    <t>2026-05-15 07:01:20</t>
  </si>
  <si>
    <t>27737664596</t>
  </si>
  <si>
    <t>14300137</t>
  </si>
  <si>
    <t>328f7488-5f06-4ed1-b8b9-07763edf1807</t>
  </si>
  <si>
    <t>27649550006</t>
  </si>
  <si>
    <t>2026-05-15 06:55:47</t>
  </si>
  <si>
    <t>14300632</t>
  </si>
  <si>
    <t>c5268a21-ed60-4c5d-a0d2-74f78ed1b01c</t>
  </si>
  <si>
    <t>27722834004</t>
  </si>
  <si>
    <t>2026-05-15 06:54:01</t>
  </si>
  <si>
    <t>14300207</t>
  </si>
  <si>
    <t>71b7bf9b-2855-44bb-8755-57e96af03774</t>
  </si>
  <si>
    <t>2026-05-15 06:46:04</t>
  </si>
  <si>
    <t>27760431919</t>
  </si>
  <si>
    <t>14300230</t>
  </si>
  <si>
    <t>9f12f600-1f0b-49db-8092-c0b5f3469c54</t>
  </si>
  <si>
    <t>2026-05-15 06:44:53</t>
  </si>
  <si>
    <t>27768043881</t>
  </si>
  <si>
    <t>14301378</t>
  </si>
  <si>
    <t>4b19b667-f695-44ec-bab7-d82ec01efd20</t>
  </si>
  <si>
    <t>2026-05-15 06:43:08</t>
  </si>
  <si>
    <t>27774226552</t>
  </si>
  <si>
    <t>14301687</t>
  </si>
  <si>
    <t>2f65740c-4afc-40e7-bfad-aa8883e752d8</t>
  </si>
  <si>
    <t>27663928648</t>
  </si>
  <si>
    <t>2026-05-15 06:41:21</t>
  </si>
  <si>
    <t>14301387</t>
  </si>
  <si>
    <t>f7d3d660-5325-4633-9672-6818bb328ab0</t>
  </si>
  <si>
    <t>27799511404</t>
  </si>
  <si>
    <t>2026-05-15 06:40:31</t>
  </si>
  <si>
    <t>14302359</t>
  </si>
  <si>
    <t>dd42176f-aa30-4d6e-b1bf-64e66ea18e28</t>
  </si>
  <si>
    <t>2026-05-15 06:38:34</t>
  </si>
  <si>
    <t>27715982579</t>
  </si>
  <si>
    <t>14300290</t>
  </si>
  <si>
    <t>82a3ad09-618b-45bc-bd42-bc641b2238f4</t>
  </si>
  <si>
    <t>2026-05-15 06:36:20</t>
  </si>
  <si>
    <t>27661639255</t>
  </si>
  <si>
    <t>14302131</t>
  </si>
  <si>
    <t>6413c2c6-6362-449b-8823-e286f688e8bf</t>
  </si>
  <si>
    <t>2026-05-15 06:25:45</t>
  </si>
  <si>
    <t>27649188575</t>
  </si>
  <si>
    <t>14300393</t>
  </si>
  <si>
    <t>571b222d-899d-4604-b24e-be7c15164f9a</t>
  </si>
  <si>
    <t>27793292845</t>
  </si>
  <si>
    <t>2026-05-15 06:21:46</t>
  </si>
  <si>
    <t>14302414</t>
  </si>
  <si>
    <t>d9b1ccbb-b369-42de-9d10-e6ee29c8f129</t>
  </si>
  <si>
    <t>2026-05-15 06:10:27</t>
  </si>
  <si>
    <t>27818628141</t>
  </si>
  <si>
    <t>14297581</t>
  </si>
  <si>
    <t>07c99761-43af-4224-aa89-ed7dc2994d31</t>
  </si>
  <si>
    <t>27790429232</t>
  </si>
  <si>
    <t>2026-05-15 06:06:12</t>
  </si>
  <si>
    <t>14302272</t>
  </si>
  <si>
    <t>b6bdc0c4-07aa-4e53-8eb1-32f87d006aef</t>
  </si>
  <si>
    <t>27714008775</t>
  </si>
  <si>
    <t>2026-05-14 14:30:30</t>
  </si>
  <si>
    <t>14300500</t>
  </si>
  <si>
    <t>f3746a16-68a3-4db8-a72f-626d11b2527c</t>
  </si>
  <si>
    <t>2026-05-14 14:11:56</t>
  </si>
  <si>
    <t>27764522306</t>
  </si>
  <si>
    <t>14300514</t>
  </si>
  <si>
    <t>4bee498b-bf96-47b4-b435-922984b83860</t>
  </si>
  <si>
    <t>27647607435</t>
  </si>
  <si>
    <t>2026-05-14 14:07:35</t>
  </si>
  <si>
    <t>14302260</t>
  </si>
  <si>
    <t>2ddce38e-bdd9-4293-828f-ad7d8ccba982</t>
  </si>
  <si>
    <t>2026-05-14 13:42:28</t>
  </si>
  <si>
    <t>27608058931</t>
  </si>
  <si>
    <t>14300351</t>
  </si>
  <si>
    <t>d3945d34-cb67-48d1-849c-eed00bf9a394</t>
  </si>
  <si>
    <t>2026-05-14 13:40:07</t>
  </si>
  <si>
    <t>27760511005</t>
  </si>
  <si>
    <t>14300591</t>
  </si>
  <si>
    <t>369802dc-af94-4ea0-aa0e-c541765eafc4</t>
  </si>
  <si>
    <t>2026-05-14 13:37:04</t>
  </si>
  <si>
    <t>27606111184</t>
  </si>
  <si>
    <t>14301571</t>
  </si>
  <si>
    <t>29e1bf67-bde2-4eee-a4b6-0023cb379214</t>
  </si>
  <si>
    <t>2026-05-14 13:35:15</t>
  </si>
  <si>
    <t>27769078890</t>
  </si>
  <si>
    <t>14301856</t>
  </si>
  <si>
    <t>4c37bded-e151-4a17-9350-ea70b13b4fe3</t>
  </si>
  <si>
    <t>2026-05-14 13:24:36</t>
  </si>
  <si>
    <t>27822213331</t>
  </si>
  <si>
    <t>14301593</t>
  </si>
  <si>
    <t>70b03e7f-7b22-42ef-a462-79a45bed2c73</t>
  </si>
  <si>
    <t>27826205364</t>
  </si>
  <si>
    <t>2026-05-14 13:20:01</t>
  </si>
  <si>
    <t>14300418</t>
  </si>
  <si>
    <t>1971f87f-98c2-4e6e-8349-263f98604889</t>
  </si>
  <si>
    <t>2026-05-14 13:00:44</t>
  </si>
  <si>
    <t>27772477650</t>
  </si>
  <si>
    <t>14300472</t>
  </si>
  <si>
    <t>8d0b502c-4ef9-45ab-8480-e5433e8b836f</t>
  </si>
  <si>
    <t>2026-05-14 12:58:26</t>
  </si>
  <si>
    <t>27818421480</t>
  </si>
  <si>
    <t>14300453</t>
  </si>
  <si>
    <t>ecbf459c-e3f4-43f9-b7b1-d6a64fe591e9</t>
  </si>
  <si>
    <t>2026-05-14 12:55:02</t>
  </si>
  <si>
    <t>27797183853</t>
  </si>
  <si>
    <t>14300459</t>
  </si>
  <si>
    <t>71d72120-d541-4221-886b-eb565c847134</t>
  </si>
  <si>
    <t>2026-05-14 12:53:32</t>
  </si>
  <si>
    <t>27715521155</t>
  </si>
  <si>
    <t>14300469</t>
  </si>
  <si>
    <t>3312f964-8457-47ed-b42d-91d5a9adcdf8</t>
  </si>
  <si>
    <t>2026-05-14 12:51:51</t>
  </si>
  <si>
    <t>27723471914</t>
  </si>
  <si>
    <t>14300480</t>
  </si>
  <si>
    <t>6c2ee0a6-bf77-4aff-8b86-fd5a9e33b58b</t>
  </si>
  <si>
    <t>27823882914</t>
  </si>
  <si>
    <t>2026-05-14 12:48:50</t>
  </si>
  <si>
    <t>14299410</t>
  </si>
  <si>
    <t>13c3274d-b7a6-4134-bacd-ba8f836071e9</t>
  </si>
  <si>
    <t>2026-05-14 12:33:31</t>
  </si>
  <si>
    <t>27722510836</t>
  </si>
  <si>
    <t>14297881</t>
  </si>
  <si>
    <t>6169ebc1-8988-45ef-91c5-9542593e01bd</t>
  </si>
  <si>
    <t>2026-05-14 12:12:19</t>
  </si>
  <si>
    <t>27796831777</t>
  </si>
  <si>
    <t>14298059</t>
  </si>
  <si>
    <t>af085d18-45e0-46fc-905c-e2d71112eec1</t>
  </si>
  <si>
    <t>2026-05-14 12:03:56</t>
  </si>
  <si>
    <t>27646911567</t>
  </si>
  <si>
    <t>14297979</t>
  </si>
  <si>
    <t>9a2de88c-d83b-4aef-9eeb-c92b123d3618</t>
  </si>
  <si>
    <t>2026-05-14 11:58:32</t>
  </si>
  <si>
    <t>27609074769</t>
  </si>
  <si>
    <t>14298416</t>
  </si>
  <si>
    <t>a1cc926a-8222-4011-8319-96979f5837af</t>
  </si>
  <si>
    <t>27763938574</t>
  </si>
  <si>
    <t>2026-05-14 10:31:43</t>
  </si>
  <si>
    <t>14299303</t>
  </si>
  <si>
    <t>f85d4da4-b978-4790-a7c9-636f464bd030</t>
  </si>
  <si>
    <t>2026-05-14 10:26:29</t>
  </si>
  <si>
    <t>27765187828</t>
  </si>
  <si>
    <t>14298587</t>
  </si>
  <si>
    <t>bb27702b-e079-4339-9057-a24a3bb8d7fd</t>
  </si>
  <si>
    <t>2026-05-14 10:25:27</t>
  </si>
  <si>
    <t>27660745504</t>
  </si>
  <si>
    <t>14297693</t>
  </si>
  <si>
    <t>a76f9645-f68b-48d1-b466-ec4c88b3a9bc</t>
  </si>
  <si>
    <t>27606744874</t>
  </si>
  <si>
    <t>2026-05-14 10:03:06</t>
  </si>
  <si>
    <t>14297691</t>
  </si>
  <si>
    <t>a5603c70-f13d-4b1b-bed0-6a5fa6438f01</t>
  </si>
  <si>
    <t>2026-05-14 09:50:38</t>
  </si>
  <si>
    <t>27722725000</t>
  </si>
  <si>
    <t>14297973</t>
  </si>
  <si>
    <t>61cb31af-8500-44c0-83ec-07c8ee1bfe56</t>
  </si>
  <si>
    <t>27716441965</t>
  </si>
  <si>
    <t>2026-05-14 09:49:23</t>
  </si>
  <si>
    <t>14297838</t>
  </si>
  <si>
    <t>13d0c5c8-5de0-44c2-8c55-7a9a77641389</t>
  </si>
  <si>
    <t>2026-05-14 09:32:18</t>
  </si>
  <si>
    <t>27636619581</t>
  </si>
  <si>
    <t>14299712</t>
  </si>
  <si>
    <t>2d72f824-585a-4a05-8069-2dce5c4ad397</t>
  </si>
  <si>
    <t>27769450647</t>
  </si>
  <si>
    <t>2026-05-14 09:19:16</t>
  </si>
  <si>
    <t>14299597</t>
  </si>
  <si>
    <t>ecbeccfb-aa82-4322-9770-e6211ce00ec4</t>
  </si>
  <si>
    <t>2026-05-14 09:16:09</t>
  </si>
  <si>
    <t>27772715849</t>
  </si>
  <si>
    <t>14299367</t>
  </si>
  <si>
    <t>2b940c16-95ed-4f00-8203-d27b7951ba1d</t>
  </si>
  <si>
    <t>2026-05-14 09:11:14</t>
  </si>
  <si>
    <t>27790556088</t>
  </si>
  <si>
    <t>14297684</t>
  </si>
  <si>
    <t>1b9a4551-a5dc-4fb9-9f63-48bd4d17af3f</t>
  </si>
  <si>
    <t>2026-05-14 09:04:17</t>
  </si>
  <si>
    <t>27606388368</t>
  </si>
  <si>
    <t>14299738</t>
  </si>
  <si>
    <t>7423e418-33e9-4b71-89a1-41eb1a6aab57</t>
  </si>
  <si>
    <t>27664749006</t>
  </si>
  <si>
    <t>2026-05-14 07:01:34</t>
  </si>
  <si>
    <t>14299692</t>
  </si>
  <si>
    <t>18107516-3be3-4790-9fe6-170dcfa425ad</t>
  </si>
  <si>
    <t>2026-05-14 07:01:20</t>
  </si>
  <si>
    <t>Millicent Motsuku</t>
  </si>
  <si>
    <t>27827368393</t>
  </si>
  <si>
    <t>14299701</t>
  </si>
  <si>
    <t>04ecac62-319f-400d-8fc6-3f9f31ceec56</t>
  </si>
  <si>
    <t>27794687866</t>
  </si>
  <si>
    <t>2026-05-14 06:58:55</t>
  </si>
  <si>
    <t>14299655</t>
  </si>
  <si>
    <t>87064cd2-d761-46be-94db-2c59a3eaabdd</t>
  </si>
  <si>
    <t>27728089409</t>
  </si>
  <si>
    <t>2026-05-14 06:58:30</t>
  </si>
  <si>
    <t>14298197</t>
  </si>
  <si>
    <t>ca7fd6da-8271-4813-a5cf-bfb7c00055a6</t>
  </si>
  <si>
    <t>2026-05-14 06:57:09</t>
  </si>
  <si>
    <t>27764778408</t>
  </si>
  <si>
    <t>14299760</t>
  </si>
  <si>
    <t>86a847d0-9bac-493d-85b2-0fa06f5ad6cb</t>
  </si>
  <si>
    <t>27607421924</t>
  </si>
  <si>
    <t>MULTI</t>
  </si>
  <si>
    <t>Multiple Calls</t>
  </si>
  <si>
    <t>2026-05-14 06:56:09</t>
  </si>
  <si>
    <t>Siyabonga Khoza</t>
  </si>
  <si>
    <t>14299761</t>
  </si>
  <si>
    <t>bcce5de5-621f-4065-94a8-d7a3f5bbbdf7</t>
  </si>
  <si>
    <t>2026-05-14 06:54:22</t>
  </si>
  <si>
    <t>Thandile Nokubeni</t>
  </si>
  <si>
    <t>27766237952</t>
  </si>
  <si>
    <t>14299822</t>
  </si>
  <si>
    <t>fc95466d-c98e-4059-9bf0-54106c8b36a5</t>
  </si>
  <si>
    <t>2026-05-14 06:51:26</t>
  </si>
  <si>
    <t>27828642016</t>
  </si>
  <si>
    <t>14299799</t>
  </si>
  <si>
    <t>8ad8ccf6-09a4-4edc-92dc-f4a829358dee</t>
  </si>
  <si>
    <t>27660813883</t>
  </si>
  <si>
    <t>2026-05-14 06:50:16</t>
  </si>
  <si>
    <t>14299670</t>
  </si>
  <si>
    <t>4c9008af-acb7-48cc-b27d-4a86d0823291</t>
  </si>
  <si>
    <t>2026-05-14 06:46:28</t>
  </si>
  <si>
    <t>27729678780</t>
  </si>
  <si>
    <t>14302496</t>
  </si>
  <si>
    <t>2ad94f0c-d252-45cc-824d-6dffd365f3e1</t>
  </si>
  <si>
    <t>2026-05-14 06:44:27</t>
  </si>
  <si>
    <t>Seboifeng Mogola</t>
  </si>
  <si>
    <t>27826844588</t>
  </si>
  <si>
    <t>14302029</t>
  </si>
  <si>
    <t>a1429ee5-8726-4e4f-ab44-55c03e01afc2</t>
  </si>
  <si>
    <t>27732919522</t>
  </si>
  <si>
    <t>2026-05-14 06:43:41</t>
  </si>
  <si>
    <t>14301927</t>
  </si>
  <si>
    <t>f8274b3f-4d75-4992-af41-67e419f646a0</t>
  </si>
  <si>
    <t>2026-05-14 06:41:45</t>
  </si>
  <si>
    <t>27823382891</t>
  </si>
  <si>
    <t>14299837</t>
  </si>
  <si>
    <t>15800c5f-9833-4bc2-a0a1-bb45376625d3</t>
  </si>
  <si>
    <t>2026-05-14 06:39:05</t>
  </si>
  <si>
    <t>27741196968</t>
  </si>
  <si>
    <t>14298075</t>
  </si>
  <si>
    <t>e02424e0-5ac0-4055-8ac9-0571013da8ae</t>
  </si>
  <si>
    <t>2026-05-14 06:36:23</t>
  </si>
  <si>
    <t>27725766551</t>
  </si>
  <si>
    <t>14299405</t>
  </si>
  <si>
    <t>50760ad5-7f74-42fa-aa13-12c708d53150</t>
  </si>
  <si>
    <t>27722071951</t>
  </si>
  <si>
    <t>2026-05-14 06:35:08</t>
  </si>
  <si>
    <t>14297605</t>
  </si>
  <si>
    <t>afdc4be8-8a7f-4ebd-a4b8-3344483455f0</t>
  </si>
  <si>
    <t>2026-05-14 06:34:06</t>
  </si>
  <si>
    <t>27793922865</t>
  </si>
  <si>
    <t>14297921</t>
  </si>
  <si>
    <t>8caabdcc-98de-4921-8b24-ad680aded7b1</t>
  </si>
  <si>
    <t>27822675386</t>
  </si>
  <si>
    <t>2026-05-14 06:33:00</t>
  </si>
  <si>
    <t>14299857</t>
  </si>
  <si>
    <t>aca760ff-fd57-451b-94ed-124c9557f55c</t>
  </si>
  <si>
    <t>2026-05-14 06:32:57</t>
  </si>
  <si>
    <t>27648420030</t>
  </si>
  <si>
    <t>14299322</t>
  </si>
  <si>
    <t>935e679d-d1be-4cce-b165-b23059380b38</t>
  </si>
  <si>
    <t>2026-05-14 06:29:01</t>
  </si>
  <si>
    <t>Musiiwa Mary Mabirimisa</t>
  </si>
  <si>
    <t>27637352919</t>
  </si>
  <si>
    <t>14297974</t>
  </si>
  <si>
    <t>e8beaed7-1be0-4871-ad9c-e663e93e33a1</t>
  </si>
  <si>
    <t>2026-05-14 06:27:04</t>
  </si>
  <si>
    <t>27725513672</t>
  </si>
  <si>
    <t>14299297</t>
  </si>
  <si>
    <t>12f479e6-a3f1-4d40-ac51-49e0b485f318</t>
  </si>
  <si>
    <t>27769199187</t>
  </si>
  <si>
    <t>14302171</t>
  </si>
  <si>
    <t>0bb211c0-39f3-403b-b8c9-bd530a57ef77</t>
  </si>
  <si>
    <t>27791922050</t>
  </si>
  <si>
    <t>2026-05-14 06:25:48</t>
  </si>
  <si>
    <t>14301366</t>
  </si>
  <si>
    <t>ea614990-495b-4e94-bf52-cad3372642d5</t>
  </si>
  <si>
    <t>27769299830</t>
  </si>
  <si>
    <t>2026-05-14 06:23:17</t>
  </si>
  <si>
    <t>14297756</t>
  </si>
  <si>
    <t>d230d31f-2b5d-44a7-9a31-b4eb22c364c8</t>
  </si>
  <si>
    <t>2026-05-14 06:22:28</t>
  </si>
  <si>
    <t>27716121115</t>
  </si>
  <si>
    <t>14297934</t>
  </si>
  <si>
    <t>27dd1859-7501-43b4-863b-33fac0ae41d2</t>
  </si>
  <si>
    <t>2026-05-14 06:21:06</t>
  </si>
  <si>
    <t>27797594526</t>
  </si>
  <si>
    <t>14299216</t>
  </si>
  <si>
    <t>8659478f-01ef-422b-8f3c-2778e478bdec</t>
  </si>
  <si>
    <t>2026-05-14 06:20:22</t>
  </si>
  <si>
    <t>27798626203</t>
  </si>
  <si>
    <t>14300483</t>
  </si>
  <si>
    <t>dfbdd187-6984-4bfc-867f-5dbeddf11352</t>
  </si>
  <si>
    <t>27768588660</t>
  </si>
  <si>
    <t>2026-05-14 06:17:08</t>
  </si>
  <si>
    <t>14299957</t>
  </si>
  <si>
    <t>63d5393d-19ce-45da-8cb3-b861ea98cd47</t>
  </si>
  <si>
    <t>2026-05-14 06:15:52</t>
  </si>
  <si>
    <t>27711854553</t>
  </si>
  <si>
    <t>14300542</t>
  </si>
  <si>
    <t>665b901a-049d-4772-9e66-6874e532c6f9</t>
  </si>
  <si>
    <t>2026-05-14 06:11:50</t>
  </si>
  <si>
    <t>27760934617</t>
  </si>
  <si>
    <t>14302473</t>
  </si>
  <si>
    <t>0112f691-cc60-4881-bf59-8bbae7924cee</t>
  </si>
  <si>
    <t>2026-05-14 06:11:11</t>
  </si>
  <si>
    <t>27724831573</t>
  </si>
  <si>
    <t>14300223</t>
  </si>
  <si>
    <t>8bb72a8e-a52a-4fb1-93b4-99a3024e7c56</t>
  </si>
  <si>
    <t>2026-05-14 06:09:29</t>
  </si>
  <si>
    <t>27649217331</t>
  </si>
  <si>
    <t>14302470</t>
  </si>
  <si>
    <t>2ca6392c-b7f7-4354-a079-7a6162f93565</t>
  </si>
  <si>
    <t>2026-05-14 06:07:10</t>
  </si>
  <si>
    <t>27796474920</t>
  </si>
  <si>
    <t>14300307</t>
  </si>
  <si>
    <t>a9b6bd88-f244-4376-970f-bdf034c5e5d4</t>
  </si>
  <si>
    <t>27761748140</t>
  </si>
  <si>
    <t>2026-05-14 06:06:01</t>
  </si>
  <si>
    <t>14301255</t>
  </si>
  <si>
    <t>afca33fc-9ae6-452f-b6a5-3e4e4a8f7036</t>
  </si>
  <si>
    <t>27675671328</t>
  </si>
  <si>
    <t>2026-05-14 06:05:59</t>
  </si>
  <si>
    <t>14302270</t>
  </si>
  <si>
    <t>2dd1923c-c788-4336-b3bb-cbe66026c9da</t>
  </si>
  <si>
    <t>27636475659</t>
  </si>
  <si>
    <t>2026-05-14 05:59:27</t>
  </si>
  <si>
    <t>14301474</t>
  </si>
  <si>
    <t>05bd2fbd-17ab-47e6-9ad7-7ef0f62d65fd</t>
  </si>
  <si>
    <t>2026-05-13 14:47:16</t>
  </si>
  <si>
    <t>27661630968</t>
  </si>
  <si>
    <t>14301131</t>
  </si>
  <si>
    <t>4615030b-ad53-4b46-8f91-683941093aa1</t>
  </si>
  <si>
    <t>2026-05-13 14:46:55</t>
  </si>
  <si>
    <t>27661789130</t>
  </si>
  <si>
    <t>14299938</t>
  </si>
  <si>
    <t>bc1da011-66a8-46a8-9572-02cd27e58334</t>
  </si>
  <si>
    <t>27715036209</t>
  </si>
  <si>
    <t>2026-05-13 14:45:25</t>
  </si>
  <si>
    <t>14301263</t>
  </si>
  <si>
    <t>249d8c8f-c3a0-49d8-8791-b255dd43f4ae</t>
  </si>
  <si>
    <t>Sifundo</t>
  </si>
  <si>
    <t>Sikhakhane</t>
  </si>
  <si>
    <t>2026-05-13 14:44:20</t>
  </si>
  <si>
    <t>2026-05-13 10:09:58</t>
  </si>
  <si>
    <t>27792254287</t>
  </si>
  <si>
    <t>14302133</t>
  </si>
  <si>
    <t>f3282561-c747-49ff-b01a-7fa6e88a795d</t>
  </si>
  <si>
    <t>27760534550</t>
  </si>
  <si>
    <t>2026-05-13 14:37:21</t>
  </si>
  <si>
    <t>14302275</t>
  </si>
  <si>
    <t>1228f66a-2302-4712-9d1d-f1fe9d89a51c</t>
  </si>
  <si>
    <t>2026-05-13 14:36:56</t>
  </si>
  <si>
    <t>27760473349</t>
  </si>
  <si>
    <t>14298042</t>
  </si>
  <si>
    <t>5604f425-0869-46c1-a6f9-b463f5ef6894</t>
  </si>
  <si>
    <t>2026-05-13 14:35:57</t>
  </si>
  <si>
    <t>27649213201</t>
  </si>
  <si>
    <t>14302315</t>
  </si>
  <si>
    <t>20c5d694-efad-4212-aa4a-a6a26884dc72</t>
  </si>
  <si>
    <t>2026-05-13 14:33:35</t>
  </si>
  <si>
    <t>27822637560</t>
  </si>
  <si>
    <t>14300153</t>
  </si>
  <si>
    <t>d704c0c6-bb93-4e4b-8d6b-9011f4a3e990</t>
  </si>
  <si>
    <t>2026-05-13 14:32:30</t>
  </si>
  <si>
    <t>27820954052</t>
  </si>
  <si>
    <t>14302169</t>
  </si>
  <si>
    <t>05b28648-fb90-4219-bda9-654e677b25d7</t>
  </si>
  <si>
    <t>2026-05-13 14:30:47</t>
  </si>
  <si>
    <t>27729089882</t>
  </si>
  <si>
    <t>14299260</t>
  </si>
  <si>
    <t>c5112151-a0ea-4ef4-94f7-5e4c174d7620</t>
  </si>
  <si>
    <t>27715389734</t>
  </si>
  <si>
    <t>2026-05-13 14:24:19</t>
  </si>
  <si>
    <t>14301758</t>
  </si>
  <si>
    <t>aaf2d7bd-9282-4b04-8867-ac4873bf1e2a</t>
  </si>
  <si>
    <t>2026-05-13 14:23:37</t>
  </si>
  <si>
    <t>27663885420</t>
  </si>
  <si>
    <t>14301763</t>
  </si>
  <si>
    <t>f3744dbd-7030-4629-acaf-92a24bee0d2e</t>
  </si>
  <si>
    <t>2026-05-13 14:23:30</t>
  </si>
  <si>
    <t>27722784082</t>
  </si>
  <si>
    <t>14300738</t>
  </si>
  <si>
    <t>a678db73-6515-478e-9e18-2c96914dfd2d</t>
  </si>
  <si>
    <t>27673887929</t>
  </si>
  <si>
    <t>2026-05-13 14:21:37</t>
  </si>
  <si>
    <t>14298594</t>
  </si>
  <si>
    <t>f2c7425c-4671-4add-8219-8b931b2cfeb3</t>
  </si>
  <si>
    <t>2026-05-13 14:21:22</t>
  </si>
  <si>
    <t>27715438813</t>
  </si>
  <si>
    <t>14298492</t>
  </si>
  <si>
    <t>d0c97bc9-8e7e-4d21-b19b-47f5748079ac</t>
  </si>
  <si>
    <t>2026-05-13 14:20:12</t>
  </si>
  <si>
    <t>27720243465</t>
  </si>
  <si>
    <t>14302488</t>
  </si>
  <si>
    <t>4f45dc77-5551-4299-96a5-73cafdad209d</t>
  </si>
  <si>
    <t>27660506188</t>
  </si>
  <si>
    <t>2026-05-13 14:18:57</t>
  </si>
  <si>
    <t>14298413</t>
  </si>
  <si>
    <t>bcc0401d-a80f-4f10-9745-9bc1fa516411</t>
  </si>
  <si>
    <t>27712551564</t>
  </si>
  <si>
    <t>2026-05-13 14:17:24</t>
  </si>
  <si>
    <t>14302078</t>
  </si>
  <si>
    <t>87feb6c1-1da8-43c3-ae12-ed765141c5bf</t>
  </si>
  <si>
    <t>2026-05-13 14:13:01</t>
  </si>
  <si>
    <t>27768244629</t>
  </si>
  <si>
    <t>14302145</t>
  </si>
  <si>
    <t>a3d9b03b-ef9f-4bcf-8882-27f4ab5aa2a8</t>
  </si>
  <si>
    <t>27836547928</t>
  </si>
  <si>
    <t>2026-05-13 14:08:40</t>
  </si>
  <si>
    <t>14298022</t>
  </si>
  <si>
    <t>5130dc3c-af0a-4b95-9250-fb3395acae66</t>
  </si>
  <si>
    <t>27712075425</t>
  </si>
  <si>
    <t>2026-05-13 14:07:30</t>
  </si>
  <si>
    <t>14301566</t>
  </si>
  <si>
    <t>0a21b6f3-9878-4ba2-a62e-74e193a15c84</t>
  </si>
  <si>
    <t>CCFD</t>
  </si>
  <si>
    <t>Client Contacted For Documents</t>
  </si>
  <si>
    <t>2026-05-13 14:01:24</t>
  </si>
  <si>
    <t>27826216398</t>
  </si>
  <si>
    <t>14300030</t>
  </si>
  <si>
    <t>57c0ad30-19a6-4938-9237-df7243add1b2</t>
  </si>
  <si>
    <t>2026-05-13 13:54:15</t>
  </si>
  <si>
    <t>27727222157</t>
  </si>
  <si>
    <t>14302357</t>
  </si>
  <si>
    <t>b1aab0de-8221-4482-80db-574d9dc70682</t>
  </si>
  <si>
    <t>27820556811</t>
  </si>
  <si>
    <t>14302348</t>
  </si>
  <si>
    <t>464107b2-2533-46af-a8d2-20fb6bdd77cd</t>
  </si>
  <si>
    <t>2026-05-13 13:53:12</t>
  </si>
  <si>
    <t>27761100176</t>
  </si>
  <si>
    <t>14298764</t>
  </si>
  <si>
    <t>e0360d47-ffe7-4e4b-a487-2722eaaf28c0</t>
  </si>
  <si>
    <t>2026-05-13 13:45:42</t>
  </si>
  <si>
    <t>27720872406</t>
  </si>
  <si>
    <t>14297750</t>
  </si>
  <si>
    <t>27572e19-ed37-4909-8357-e423be2e05ea</t>
  </si>
  <si>
    <t>2026-05-13 13:42:52</t>
  </si>
  <si>
    <t>27649647366</t>
  </si>
  <si>
    <t>14297725</t>
  </si>
  <si>
    <t>f4eb590b-8e91-409e-9402-2654a8eecee0</t>
  </si>
  <si>
    <t>2026-05-13 13:42:40</t>
  </si>
  <si>
    <t>27727868008</t>
  </si>
  <si>
    <t>14300419</t>
  </si>
  <si>
    <t>ac43ae41-8a0b-452f-8fe3-9efcbf890a5a</t>
  </si>
  <si>
    <t>2026-05-13 13:37:47</t>
  </si>
  <si>
    <t>27769690013</t>
  </si>
  <si>
    <t>14297821</t>
  </si>
  <si>
    <t>7b6dabb7-980c-4a61-89e8-a505be58b325</t>
  </si>
  <si>
    <t>2026-05-13 13:36:52</t>
  </si>
  <si>
    <t>27723221359</t>
  </si>
  <si>
    <t>14297849</t>
  </si>
  <si>
    <t>aace5472-6395-4a0b-b37b-2836c5f5975a</t>
  </si>
  <si>
    <t>2026-05-13 13:34:48</t>
  </si>
  <si>
    <t>27720728374</t>
  </si>
  <si>
    <t>14297997</t>
  </si>
  <si>
    <t>ada2a22d-3efb-4ee3-b98f-dce6b583dc94</t>
  </si>
  <si>
    <t>27760853923</t>
  </si>
  <si>
    <t>2026-05-13 13:34:35</t>
  </si>
  <si>
    <t>14301728</t>
  </si>
  <si>
    <t>2e0e6b82-975a-448f-b06a-3964658b0ea6</t>
  </si>
  <si>
    <t>2026-05-13 13:33:30</t>
  </si>
  <si>
    <t>27609009036</t>
  </si>
  <si>
    <t>14302368</t>
  </si>
  <si>
    <t>e242c6a2-9445-4d4a-901e-b36ef7518daa</t>
  </si>
  <si>
    <t>27673397006</t>
  </si>
  <si>
    <t>2026-05-13 13:33:27</t>
  </si>
  <si>
    <t>14298977</t>
  </si>
  <si>
    <t>1079079e-5569-4832-812e-48f8abb34864</t>
  </si>
  <si>
    <t>2026-05-13 13:32:55</t>
  </si>
  <si>
    <t>27796687602</t>
  </si>
  <si>
    <t>14298986</t>
  </si>
  <si>
    <t>bf7cb323-49e1-4739-9c8d-125d890ad62f</t>
  </si>
  <si>
    <t>27725282143</t>
  </si>
  <si>
    <t>2026-05-13 13:32:28</t>
  </si>
  <si>
    <t>14298240</t>
  </si>
  <si>
    <t>a7f1d98f-3093-4e3a-9545-6bf15e559660</t>
  </si>
  <si>
    <t>2026-05-13 13:30:56</t>
  </si>
  <si>
    <t>27636180820</t>
  </si>
  <si>
    <t>14299072</t>
  </si>
  <si>
    <t>fb22f898-21be-4c01-b72b-21b106f5ff37</t>
  </si>
  <si>
    <t>2026-05-13 13:30:54</t>
  </si>
  <si>
    <t>27762322636</t>
  </si>
  <si>
    <t>14301653</t>
  </si>
  <si>
    <t>a9b253fe-6f1a-4bf6-8681-0197ab1558cb</t>
  </si>
  <si>
    <t>2026-05-13 13:30:44</t>
  </si>
  <si>
    <t>27823456834</t>
  </si>
  <si>
    <t>14300977</t>
  </si>
  <si>
    <t>d16c2b47-bbb6-493b-b7c4-4d34934b459f</t>
  </si>
  <si>
    <t>2026-05-13 13:27:44</t>
  </si>
  <si>
    <t>27797291227</t>
  </si>
  <si>
    <t>14298003</t>
  </si>
  <si>
    <t>89982ed9-a97b-47f1-950c-eee51fcc8900</t>
  </si>
  <si>
    <t>27725375919</t>
  </si>
  <si>
    <t>2026-05-13 13:26:12</t>
  </si>
  <si>
    <t>14298020</t>
  </si>
  <si>
    <t>bb8479d8-3dcd-40e3-9558-1a8481b0c978</t>
  </si>
  <si>
    <t>2026-05-13 13:24:43</t>
  </si>
  <si>
    <t>27665428359</t>
  </si>
  <si>
    <t>14298058</t>
  </si>
  <si>
    <t>b57e2fd6-98e8-4eb3-b1a3-54edf2f529a6</t>
  </si>
  <si>
    <t>2026-05-13 13:23:27</t>
  </si>
  <si>
    <t>27724013469</t>
  </si>
  <si>
    <t>14300940</t>
  </si>
  <si>
    <t>bac16510-cc2c-4a4d-870d-a486202de00a</t>
  </si>
  <si>
    <t>27792400658</t>
  </si>
  <si>
    <t>2026-05-13 13:23:01</t>
  </si>
  <si>
    <t>14300133</t>
  </si>
  <si>
    <t>40fd6403-a909-4fb0-b352-0ee20a1101f2</t>
  </si>
  <si>
    <t>2026-05-13 13:22:49</t>
  </si>
  <si>
    <t>27766528014</t>
  </si>
  <si>
    <t>14302422</t>
  </si>
  <si>
    <t>c1d9346f-44e8-41a3-aac9-b5f25cef32f9</t>
  </si>
  <si>
    <t>2026-05-13 13:22:25</t>
  </si>
  <si>
    <t>27608462558</t>
  </si>
  <si>
    <t>14301289</t>
  </si>
  <si>
    <t>6fa7a50a-1947-4dc0-964c-1e534c107534</t>
  </si>
  <si>
    <t>2026-05-13 13:02:19</t>
  </si>
  <si>
    <t>27664309108</t>
  </si>
  <si>
    <t>14299649</t>
  </si>
  <si>
    <t>3ba674d0-a3c6-4b76-b53f-d96edec882f0</t>
  </si>
  <si>
    <t>27713272178</t>
  </si>
  <si>
    <t>2026-05-13 13:01:26</t>
  </si>
  <si>
    <t>14299639</t>
  </si>
  <si>
    <t>b68d8eb0-e612-44b7-a5ea-0578744a413d</t>
  </si>
  <si>
    <t>2026-05-13 12:59:52</t>
  </si>
  <si>
    <t>27825469504</t>
  </si>
  <si>
    <t>14299613</t>
  </si>
  <si>
    <t>0e7883ad-470d-46eb-af54-4a12bdbccdc9</t>
  </si>
  <si>
    <t>2026-05-13 12:56:54</t>
  </si>
  <si>
    <t>27794756854</t>
  </si>
  <si>
    <t>14299611</t>
  </si>
  <si>
    <t>d9d6bf64-e13e-4925-947c-6e94f3f564bb</t>
  </si>
  <si>
    <t>2026-05-13 12:56:51</t>
  </si>
  <si>
    <t>27836702487</t>
  </si>
  <si>
    <t>14299542</t>
  </si>
  <si>
    <t>aedd1575-7a51-4d8f-920e-d4b7d0d08ebe</t>
  </si>
  <si>
    <t>2026-05-13 12:48:35</t>
  </si>
  <si>
    <t>27761801780</t>
  </si>
  <si>
    <t>14299508</t>
  </si>
  <si>
    <t>ac56ff2b-6832-4565-9ac1-a8c24311eb9c</t>
  </si>
  <si>
    <t>27725360349</t>
  </si>
  <si>
    <t>2026-05-13 12:47:56</t>
  </si>
  <si>
    <t>14298301</t>
  </si>
  <si>
    <t>4fb89707-55a8-4a0b-810c-ae63d22107f8</t>
  </si>
  <si>
    <t>27716785990</t>
  </si>
  <si>
    <t>2026-05-13 12:47:26</t>
  </si>
  <si>
    <t>14298315</t>
  </si>
  <si>
    <t>e0f5f2c4-a902-44fc-b81f-52cd7c0b5cac</t>
  </si>
  <si>
    <t>27726675363</t>
  </si>
  <si>
    <t>2026-05-13 12:46:31</t>
  </si>
  <si>
    <t>14298500</t>
  </si>
  <si>
    <t>871c7a6d-bbf8-4081-8579-05de4602c9ca</t>
  </si>
  <si>
    <t>27822695013</t>
  </si>
  <si>
    <t>2026-05-13 12:42:58</t>
  </si>
  <si>
    <t>14299705</t>
  </si>
  <si>
    <t>fcc0bc20-f1b2-408f-b30e-25a00540936b</t>
  </si>
  <si>
    <t>2026-05-13 12:42:03</t>
  </si>
  <si>
    <t>27722204388</t>
  </si>
  <si>
    <t>14299652</t>
  </si>
  <si>
    <t>68e13563-1e52-45ca-823d-93a3aaecc5ab</t>
  </si>
  <si>
    <t>2026-05-13 12:37:56</t>
  </si>
  <si>
    <t>27761966418</t>
  </si>
  <si>
    <t>14298577</t>
  </si>
  <si>
    <t>26e7a3da-77a5-47ef-8840-6c8ea4dac3ad</t>
  </si>
  <si>
    <t>2026-05-13 12:36:28</t>
  </si>
  <si>
    <t>27722788249</t>
  </si>
  <si>
    <t>14298617</t>
  </si>
  <si>
    <t>3ef5b515-01d1-4974-ac34-446fa34b2d6c</t>
  </si>
  <si>
    <t>2026-05-13 12:34:31</t>
  </si>
  <si>
    <t>27764190681</t>
  </si>
  <si>
    <t>14298955</t>
  </si>
  <si>
    <t>21f5ec96-e681-4e9b-ad76-3adfe1b88cd8</t>
  </si>
  <si>
    <t>27660088309</t>
  </si>
  <si>
    <t>2026-05-13 12:32:48</t>
  </si>
  <si>
    <t>14298232</t>
  </si>
  <si>
    <t>ba11e84b-9aee-4061-b3ad-71954ea8cecd</t>
  </si>
  <si>
    <t>27764232487</t>
  </si>
  <si>
    <t>2026-05-13 12:32:35</t>
  </si>
  <si>
    <t>14299884</t>
  </si>
  <si>
    <t>6142730d-7e46-471d-be93-006b86bb0972</t>
  </si>
  <si>
    <t>27792045020</t>
  </si>
  <si>
    <t>2026-05-13 12:28:15</t>
  </si>
  <si>
    <t>14299428</t>
  </si>
  <si>
    <t>40bb4417-e07c-46e8-a5ac-8d66254839bd</t>
  </si>
  <si>
    <t>2026-05-13 12:26:47</t>
  </si>
  <si>
    <t>27825129040</t>
  </si>
  <si>
    <t>14299433</t>
  </si>
  <si>
    <t>3394eb57-14d3-4285-b4de-6d9963a7701c</t>
  </si>
  <si>
    <t>27793546980</t>
  </si>
  <si>
    <t>2026-05-13 12:26:41</t>
  </si>
  <si>
    <t>14298840</t>
  </si>
  <si>
    <t>074dfba3-d3cf-4ea3-a0ac-0923a46a741c</t>
  </si>
  <si>
    <t>27721507971</t>
  </si>
  <si>
    <t>2026-05-13 12:24:50</t>
  </si>
  <si>
    <t>14298756</t>
  </si>
  <si>
    <t>1eb3a99b-ebbb-4d7d-9807-e589de9d69b1</t>
  </si>
  <si>
    <t>2026-05-13 12:22:17</t>
  </si>
  <si>
    <t>27769692192</t>
  </si>
  <si>
    <t>14302543</t>
  </si>
  <si>
    <t>4ff139e4-7679-4dfd-ba67-abcb7d1c2778</t>
  </si>
  <si>
    <t>2026-05-13 12:17:15</t>
  </si>
  <si>
    <t>27637536713</t>
  </si>
  <si>
    <t>14298803</t>
  </si>
  <si>
    <t>64df9d87-ab64-4cbd-9105-150ae39371ab</t>
  </si>
  <si>
    <t>2026-05-13 12:15:15</t>
  </si>
  <si>
    <t>27646280520</t>
  </si>
  <si>
    <t>14298868</t>
  </si>
  <si>
    <t>884eadaf-68a2-49e9-a64e-494533606663</t>
  </si>
  <si>
    <t>2026-05-13 12:12:44</t>
  </si>
  <si>
    <t>27714683243</t>
  </si>
  <si>
    <t>14300903</t>
  </si>
  <si>
    <t>3a3d4b4e-74b3-421f-9d57-2574fb5ff1b7</t>
  </si>
  <si>
    <t>2026-05-13 12:12:23</t>
  </si>
  <si>
    <t>27763062597</t>
  </si>
  <si>
    <t>14298851</t>
  </si>
  <si>
    <t>fdfc9c17-5887-498a-9a53-4ec775f8f46f</t>
  </si>
  <si>
    <t>2026-05-13 12:12:09</t>
  </si>
  <si>
    <t>27820935556</t>
  </si>
  <si>
    <t>14298890</t>
  </si>
  <si>
    <t>b7d63fb9-a23e-4fee-b8d4-d1ed55d9f4bb</t>
  </si>
  <si>
    <t>2026-05-13 12:09:28</t>
  </si>
  <si>
    <t>27725269284</t>
  </si>
  <si>
    <t>14298169</t>
  </si>
  <si>
    <t>91fb73d3-9c42-4953-b474-309f440f2bf4</t>
  </si>
  <si>
    <t>2026-05-13 12:07:24</t>
  </si>
  <si>
    <t>27760695566</t>
  </si>
  <si>
    <t>14299076</t>
  </si>
  <si>
    <t>be75086e-b6d9-4671-ba23-98c1efcdf4ed</t>
  </si>
  <si>
    <t>27636795462</t>
  </si>
  <si>
    <t>2026-05-13 12:06:57</t>
  </si>
  <si>
    <t>14298180</t>
  </si>
  <si>
    <t>9330a618-a5b3-4601-b026-c8e5ab60e3a4</t>
  </si>
  <si>
    <t>2026-05-13 12:06:49</t>
  </si>
  <si>
    <t>27636464631</t>
  </si>
  <si>
    <t>14300236</t>
  </si>
  <si>
    <t>f023e142-641a-45d6-b115-c6582b34ad84</t>
  </si>
  <si>
    <t>2026-05-13 12:04:41</t>
  </si>
  <si>
    <t>27636602710</t>
  </si>
  <si>
    <t>14300211</t>
  </si>
  <si>
    <t>953b2f28-6f25-4116-aa03-f3b18801a58e</t>
  </si>
  <si>
    <t>27663693311</t>
  </si>
  <si>
    <t>2026-05-13 12:02:56</t>
  </si>
  <si>
    <t>14300212</t>
  </si>
  <si>
    <t>6aef706a-bc73-4983-bf56-f8f559bbd75c</t>
  </si>
  <si>
    <t>2026-05-13 12:02:45</t>
  </si>
  <si>
    <t>27727164425</t>
  </si>
  <si>
    <t>14297794</t>
  </si>
  <si>
    <t>a9af9658-2d37-4e44-96e9-e5b47446a07b</t>
  </si>
  <si>
    <t>2026-05-13 12:01:44</t>
  </si>
  <si>
    <t>27760231691</t>
  </si>
  <si>
    <t>14297798</t>
  </si>
  <si>
    <t>5b1bb4f1-106e-4849-b45e-0fd2795953c0</t>
  </si>
  <si>
    <t>27608948380</t>
  </si>
  <si>
    <t>2026-05-13 12:01:41</t>
  </si>
  <si>
    <t>14299238</t>
  </si>
  <si>
    <t>f7fce9ca-fdd6-4aef-b989-9515df073a6f</t>
  </si>
  <si>
    <t>2026-05-13 12:01:35</t>
  </si>
  <si>
    <t>27827259674</t>
  </si>
  <si>
    <t>14300861</t>
  </si>
  <si>
    <t>6d96fe62-ce87-4e94-bbae-97c75f13799f</t>
  </si>
  <si>
    <t>2026-05-13 11:59:31</t>
  </si>
  <si>
    <t>27792852799</t>
  </si>
  <si>
    <t>14297797</t>
  </si>
  <si>
    <t>f9bf89a3-ca8c-476b-875f-2df1afa94a16</t>
  </si>
  <si>
    <t>27826325145</t>
  </si>
  <si>
    <t>2026-05-13 11:56:50</t>
  </si>
  <si>
    <t>14299181</t>
  </si>
  <si>
    <t>9e50d20e-a497-4d28-b684-3cf51ba35630</t>
  </si>
  <si>
    <t>2026-05-13 11:55:13</t>
  </si>
  <si>
    <t>27649859544</t>
  </si>
  <si>
    <t>14302377</t>
  </si>
  <si>
    <t>7085080b-9945-41b8-acdf-a39eca8916a8</t>
  </si>
  <si>
    <t>27767548982</t>
  </si>
  <si>
    <t>2026-05-13 11:27:55</t>
  </si>
  <si>
    <t>14298846</t>
  </si>
  <si>
    <t>1b1949d8-ffd1-4e5b-be65-480bcb30b44d</t>
  </si>
  <si>
    <t>2026-05-13 11:22:22</t>
  </si>
  <si>
    <t>27663144672</t>
  </si>
  <si>
    <t>14300083</t>
  </si>
  <si>
    <t>e8d61a0e-8513-4279-924b-4713cb29efe4</t>
  </si>
  <si>
    <t>27725931980</t>
  </si>
  <si>
    <t>2026-05-13 11:10:03</t>
  </si>
  <si>
    <t>14301818</t>
  </si>
  <si>
    <t>f3ac71a8-ca70-4eb8-907f-0a9693d068c1</t>
  </si>
  <si>
    <t>2026-05-13 10:47:03</t>
  </si>
  <si>
    <t>27721495488</t>
  </si>
  <si>
    <t>14298922</t>
  </si>
  <si>
    <t>cdaa8460-7f1d-4840-a350-5f70e698b7fd</t>
  </si>
  <si>
    <t>2026-05-13 10:44:31</t>
  </si>
  <si>
    <t>27822908811</t>
  </si>
  <si>
    <t>14298910</t>
  </si>
  <si>
    <t>51686a43-2d87-4046-9629-9d3a961d0bb0</t>
  </si>
  <si>
    <t>2026-05-13 10:44:13</t>
  </si>
  <si>
    <t>27829903657</t>
  </si>
  <si>
    <t>14301505</t>
  </si>
  <si>
    <t>47c0e651-dacc-4125-bbd7-fe2101c1f1c7</t>
  </si>
  <si>
    <t>2026-05-13 10:40:07</t>
  </si>
  <si>
    <t>27766067082</t>
  </si>
  <si>
    <t>14302426</t>
  </si>
  <si>
    <t>8e2b3c74-32a6-4d2c-aa15-273cab52f1d1</t>
  </si>
  <si>
    <t>27768973432</t>
  </si>
  <si>
    <t>2026-05-13 10:37:09</t>
  </si>
  <si>
    <t>14299785</t>
  </si>
  <si>
    <t>da222a78-637c-4cee-b085-d0aed793f421</t>
  </si>
  <si>
    <t>2026-05-13 10:34:04</t>
  </si>
  <si>
    <t>27824252914</t>
  </si>
  <si>
    <t>14301630</t>
  </si>
  <si>
    <t>108f63e1-32ce-421a-b614-84063f44edcf</t>
  </si>
  <si>
    <t>2026-05-13 10:29:58</t>
  </si>
  <si>
    <t>27799210424</t>
  </si>
  <si>
    <t>14302095</t>
  </si>
  <si>
    <t>517e5996-35f8-476c-ad99-069fc43882b4</t>
  </si>
  <si>
    <t>2026-05-13 10:24:59</t>
  </si>
  <si>
    <t>27761614609</t>
  </si>
  <si>
    <t>14302093</t>
  </si>
  <si>
    <t>4e6229dc-7a89-4259-955a-0971d24ffb41</t>
  </si>
  <si>
    <t>2026-05-13 10:23:29</t>
  </si>
  <si>
    <t>27711494937</t>
  </si>
  <si>
    <t>14301998</t>
  </si>
  <si>
    <t>0bcb3a78-77e0-447f-a4d9-d2402f8021f7</t>
  </si>
  <si>
    <t>2026-05-13 10:16:04</t>
  </si>
  <si>
    <t>27722104018</t>
  </si>
  <si>
    <t>14300592</t>
  </si>
  <si>
    <t>f8a853e9-d542-4aed-b82d-494c23cea3c7</t>
  </si>
  <si>
    <t>2026-05-13 10:14:10</t>
  </si>
  <si>
    <t>27763750721</t>
  </si>
  <si>
    <t>14301694</t>
  </si>
  <si>
    <t>b9786b04-9cd8-48b8-b724-59ddf6fee59e</t>
  </si>
  <si>
    <t>27646246126</t>
  </si>
  <si>
    <t>2026-05-13 10:13:39</t>
  </si>
  <si>
    <t>14301701</t>
  </si>
  <si>
    <t>d3f59d16-88ee-4517-839d-c5ff8002fbea</t>
  </si>
  <si>
    <t>2026-05-13 10:12:11</t>
  </si>
  <si>
    <t>27660973679</t>
  </si>
  <si>
    <t>14302072</t>
  </si>
  <si>
    <t>c8c7b076-1f1c-4683-b518-ad9c9a5d6152</t>
  </si>
  <si>
    <t>2026-05-13 10:08:05</t>
  </si>
  <si>
    <t>27725482299</t>
  </si>
  <si>
    <t>14302052</t>
  </si>
  <si>
    <t>c07d407d-d959-4aeb-86e7-8fd71db37720</t>
  </si>
  <si>
    <t>2026-05-13 10:07:26</t>
  </si>
  <si>
    <t>27762379782</t>
  </si>
  <si>
    <t>14300126</t>
  </si>
  <si>
    <t>1396e67d-1c0d-49cb-8e46-10e58143fb51</t>
  </si>
  <si>
    <t>2026-05-13 10:06:00</t>
  </si>
  <si>
    <t>27826292243</t>
  </si>
  <si>
    <t>14302012</t>
  </si>
  <si>
    <t>e66e340d-25a7-465d-9628-3b8224071a0c</t>
  </si>
  <si>
    <t>2026-05-13 10:03:33</t>
  </si>
  <si>
    <t>27637985612</t>
  </si>
  <si>
    <t>14302018</t>
  </si>
  <si>
    <t>92dcd923-0e62-4f7b-bc4e-a736ce02945a</t>
  </si>
  <si>
    <t>2026-05-13 10:01:19</t>
  </si>
  <si>
    <t>27674705135</t>
  </si>
  <si>
    <t>14300626</t>
  </si>
  <si>
    <t>0d76baa1-cca3-4eac-9cc4-fb0b42092cbe</t>
  </si>
  <si>
    <t>27766097758</t>
  </si>
  <si>
    <t>2026-05-13 10:00:18</t>
  </si>
  <si>
    <t>14301385</t>
  </si>
  <si>
    <t>c07a0300-dcff-44c2-a922-89bb1d30fa64</t>
  </si>
  <si>
    <t>2026-05-13 09:59:31</t>
  </si>
  <si>
    <t>27648186860</t>
  </si>
  <si>
    <t>14301402</t>
  </si>
  <si>
    <t>a0f862ff-1694-45be-a33b-09037733e760</t>
  </si>
  <si>
    <t>2026-05-13 09:59:18</t>
  </si>
  <si>
    <t>27607952267</t>
  </si>
  <si>
    <t>14300779</t>
  </si>
  <si>
    <t>f6e63239-20d8-487c-9679-d6ce5b975042</t>
  </si>
  <si>
    <t>27793911492</t>
  </si>
  <si>
    <t>2026-05-13 09:57:58</t>
  </si>
  <si>
    <t>14301265</t>
  </si>
  <si>
    <t>a80db179-b965-46f4-ad8f-f429238b10ef</t>
  </si>
  <si>
    <t>2026-05-13 09:55:46</t>
  </si>
  <si>
    <t>27627858207</t>
  </si>
  <si>
    <t>14301472</t>
  </si>
  <si>
    <t>18a88c23-f617-426a-b37d-7ac9dc0220df</t>
  </si>
  <si>
    <t>27744196703</t>
  </si>
  <si>
    <t>2026-05-13 09:54:47</t>
  </si>
  <si>
    <t>14301283</t>
  </si>
  <si>
    <t>c7bed9ad-877c-4c43-8ded-e10df50b1456</t>
  </si>
  <si>
    <t>2026-05-13 09:53:02</t>
  </si>
  <si>
    <t>27716541284</t>
  </si>
  <si>
    <t>14301331</t>
  </si>
  <si>
    <t>04540a21-177f-4a40-86b8-1cc65cd61b53</t>
  </si>
  <si>
    <t>2026-05-13 09:49:20</t>
  </si>
  <si>
    <t>27724206429</t>
  </si>
  <si>
    <t>14301952</t>
  </si>
  <si>
    <t>5a7181ed-c651-4328-ab10-88d573dc127b</t>
  </si>
  <si>
    <t>2026-05-13 09:48:56</t>
  </si>
  <si>
    <t>27647671754</t>
  </si>
  <si>
    <t>14300069</t>
  </si>
  <si>
    <t>d855a406-ba8e-4f08-b750-1d2a51c29b14</t>
  </si>
  <si>
    <t>2026-05-13 09:46:06</t>
  </si>
  <si>
    <t>27822292635</t>
  </si>
  <si>
    <t>14299049</t>
  </si>
  <si>
    <t>b4331b36-4cf1-4f31-bddb-5d001cf313f4</t>
  </si>
  <si>
    <t>2026-05-13 09:45:42</t>
  </si>
  <si>
    <t>27726078353</t>
  </si>
  <si>
    <t>14299064</t>
  </si>
  <si>
    <t>5e892168-fccf-4358-823a-e41a212d16e9</t>
  </si>
  <si>
    <t>27764035224</t>
  </si>
  <si>
    <t>2026-05-13 09:44:24</t>
  </si>
  <si>
    <t>14299058</t>
  </si>
  <si>
    <t>c8eaaef9-8327-4b67-8c49-7fb41e838cc9</t>
  </si>
  <si>
    <t>27766507837</t>
  </si>
  <si>
    <t>2026-05-13 09:43:59</t>
  </si>
  <si>
    <t>14301317</t>
  </si>
  <si>
    <t>d290eed4-7be1-4e17-b171-88009ed1ef88</t>
  </si>
  <si>
    <t>2026-05-13 09:42:53</t>
  </si>
  <si>
    <t>27762068106</t>
  </si>
  <si>
    <t>14299092</t>
  </si>
  <si>
    <t>7987fbae-2904-4d0f-b3ef-ee44fe3cee73</t>
  </si>
  <si>
    <t>2026-05-13 09:41:47</t>
  </si>
  <si>
    <t>27674904818</t>
  </si>
  <si>
    <t>14300643</t>
  </si>
  <si>
    <t>203a4763-c3bd-44c6-90fa-0884396fb50f</t>
  </si>
  <si>
    <t>2026-05-13 09:40:48</t>
  </si>
  <si>
    <t>27767976214</t>
  </si>
  <si>
    <t>14300683</t>
  </si>
  <si>
    <t>493b9947-04c1-42c1-99f3-473c452bac75</t>
  </si>
  <si>
    <t>2026-05-13 09:40:38</t>
  </si>
  <si>
    <t>27767949870</t>
  </si>
  <si>
    <t>14301341</t>
  </si>
  <si>
    <t>5d68a0b2-f421-4d82-9cc6-0f50e41322e6</t>
  </si>
  <si>
    <t>27792884381</t>
  </si>
  <si>
    <t>14300505</t>
  </si>
  <si>
    <t>4854b2bd-d948-4b06-8ca4-cf531ede6333</t>
  </si>
  <si>
    <t>2026-05-13 09:39:16</t>
  </si>
  <si>
    <t>27636640664</t>
  </si>
  <si>
    <t>14298242</t>
  </si>
  <si>
    <t>b819b7b0-479f-4e08-8beb-e49e538de81f</t>
  </si>
  <si>
    <t>2026-05-13 09:38:39</t>
  </si>
  <si>
    <t>27828450038</t>
  </si>
  <si>
    <t>14301746</t>
  </si>
  <si>
    <t>ff12ec55-93bc-4f78-a963-78bf506418df</t>
  </si>
  <si>
    <t>2026-05-13 09:37:53</t>
  </si>
  <si>
    <t>27734647032</t>
  </si>
  <si>
    <t>14300504</t>
  </si>
  <si>
    <t>5dd52ca4-b67c-42ee-8c8d-e430b05d3dec</t>
  </si>
  <si>
    <t>2026-05-13 09:37:24</t>
  </si>
  <si>
    <t>27729399618</t>
  </si>
  <si>
    <t>14301141</t>
  </si>
  <si>
    <t>74068c45-e086-4894-ad0a-ad64988ad6e7</t>
  </si>
  <si>
    <t>27664576785</t>
  </si>
  <si>
    <t>2026-05-13 09:36:42</t>
  </si>
  <si>
    <t>14299374</t>
  </si>
  <si>
    <t>c82a3f05-8259-4a66-9f9c-1a63188f30f0</t>
  </si>
  <si>
    <t>27711957692</t>
  </si>
  <si>
    <t>2026-05-13 09:36:37</t>
  </si>
  <si>
    <t>14301740</t>
  </si>
  <si>
    <t>1dde45e2-9d46-49b4-bb60-0c8484f27d97</t>
  </si>
  <si>
    <t>2026-05-13 09:36:16</t>
  </si>
  <si>
    <t>27713862580</t>
  </si>
  <si>
    <t>14301137</t>
  </si>
  <si>
    <t>f5fbc47f-136b-4c63-b578-bea089b5c7a3</t>
  </si>
  <si>
    <t>2026-05-13 09:33:57</t>
  </si>
  <si>
    <t>27714080914</t>
  </si>
  <si>
    <t>14300555</t>
  </si>
  <si>
    <t>838b18d6-5f46-49df-9789-a3da18d141f0</t>
  </si>
  <si>
    <t>2026-05-13 09:33:16</t>
  </si>
  <si>
    <t>27827086208</t>
  </si>
  <si>
    <t>14299363</t>
  </si>
  <si>
    <t>2ab0490b-358b-4b45-9407-77b1661bef92</t>
  </si>
  <si>
    <t>2026-05-13 09:30:09</t>
  </si>
  <si>
    <t>27721759777</t>
  </si>
  <si>
    <t>14301164</t>
  </si>
  <si>
    <t>41576080-dc1c-4788-bdd6-09636921421d</t>
  </si>
  <si>
    <t>2026-05-13 09:27:51</t>
  </si>
  <si>
    <t>27766550421</t>
  </si>
  <si>
    <t>14300538</t>
  </si>
  <si>
    <t>a318d6c4-d5fb-4230-8f6b-bd3b942c45f7</t>
  </si>
  <si>
    <t>2026-05-13 09:26:06</t>
  </si>
  <si>
    <t>27607595591</t>
  </si>
  <si>
    <t>14302498</t>
  </si>
  <si>
    <t>669b0fde-f94d-4cf9-b5d4-ce1684368e19</t>
  </si>
  <si>
    <t>27661364191</t>
  </si>
  <si>
    <t>2026-05-13 09:25:25</t>
  </si>
  <si>
    <t>14299047</t>
  </si>
  <si>
    <t>7cee3ade-a934-4986-85d5-92a7114dd9e2</t>
  </si>
  <si>
    <t>2026-05-13 09:25:09</t>
  </si>
  <si>
    <t>27715317710</t>
  </si>
  <si>
    <t>14302494</t>
  </si>
  <si>
    <t>b27ca753-a504-4499-83bb-1d4bf8ee860d</t>
  </si>
  <si>
    <t>2026-05-13 09:23:25</t>
  </si>
  <si>
    <t>27721439725</t>
  </si>
  <si>
    <t>14301102</t>
  </si>
  <si>
    <t>e04d312b-97d3-45b7-aa24-a3c21f131095</t>
  </si>
  <si>
    <t>27723436613</t>
  </si>
  <si>
    <t>2026-05-13 09:22:02</t>
  </si>
  <si>
    <t>14301060</t>
  </si>
  <si>
    <t>f32d8900-f811-42cc-b5a8-50893ce08df8</t>
  </si>
  <si>
    <t>2026-05-13 09:19:06</t>
  </si>
  <si>
    <t>27764441990</t>
  </si>
  <si>
    <t>14299401</t>
  </si>
  <si>
    <t>05cb3e78-f8fb-40c0-8192-f93ff7c6d886</t>
  </si>
  <si>
    <t>2026-05-13 09:17:45</t>
  </si>
  <si>
    <t>27647055267</t>
  </si>
  <si>
    <t>14300315</t>
  </si>
  <si>
    <t>45570c86-8d00-49b4-b6ba-15f64fab6767</t>
  </si>
  <si>
    <t>2026-05-13 09:15:50</t>
  </si>
  <si>
    <t>27763092353</t>
  </si>
  <si>
    <t>14300934</t>
  </si>
  <si>
    <t>3c6de639-165e-4dc5-9803-c7727e38ae64</t>
  </si>
  <si>
    <t>2026-05-13 09:14:15</t>
  </si>
  <si>
    <t>27769042947</t>
  </si>
  <si>
    <t>14301008</t>
  </si>
  <si>
    <t>43150f9c-dda6-4d6c-925b-2ad60bc108f9</t>
  </si>
  <si>
    <t>27648309919</t>
  </si>
  <si>
    <t>2026-05-13 09:14:02</t>
  </si>
  <si>
    <t>14301006</t>
  </si>
  <si>
    <t>3d3702d7-837a-4d9a-b364-19767923d2bc</t>
  </si>
  <si>
    <t>2026-05-13 09:11:54</t>
  </si>
  <si>
    <t>27726907453</t>
  </si>
  <si>
    <t>14301642</t>
  </si>
  <si>
    <t>1f4d139b-38ec-4471-8a8a-24a5cf743469</t>
  </si>
  <si>
    <t>2026-05-13 09:11:39</t>
  </si>
  <si>
    <t>27721531310</t>
  </si>
  <si>
    <t>14300981</t>
  </si>
  <si>
    <t>899b96b4-f30b-4686-955b-33062d9d7360</t>
  </si>
  <si>
    <t>2026-05-13 09:10:49</t>
  </si>
  <si>
    <t>27829900245</t>
  </si>
  <si>
    <t>14300986</t>
  </si>
  <si>
    <t>fc1cb400-8eb4-4670-a43c-cde8c6feb948</t>
  </si>
  <si>
    <t>2026-05-13 09:09:57</t>
  </si>
  <si>
    <t>27797866008</t>
  </si>
  <si>
    <t>14297991</t>
  </si>
  <si>
    <t>fa292dd7-460c-4458-ac9a-97c6181851b4</t>
  </si>
  <si>
    <t>2026-05-13 09:09:56</t>
  </si>
  <si>
    <t>27724948429</t>
  </si>
  <si>
    <t>14299532</t>
  </si>
  <si>
    <t>6a3e01e5-7231-4413-b382-ad082b8684a3</t>
  </si>
  <si>
    <t>2026-05-13 09:07:52</t>
  </si>
  <si>
    <t>27729622885</t>
  </si>
  <si>
    <t>14299530</t>
  </si>
  <si>
    <t>12add501-d4b4-4a9a-92b2-636da352d18d</t>
  </si>
  <si>
    <t>27824312557</t>
  </si>
  <si>
    <t>2026-05-13 09:07:51</t>
  </si>
  <si>
    <t>14300960</t>
  </si>
  <si>
    <t>d4d32d2f-2211-451c-9b15-5671d6d801fc</t>
  </si>
  <si>
    <t>27716044064</t>
  </si>
  <si>
    <t>2026-05-13 09:06:57</t>
  </si>
  <si>
    <t>14300916</t>
  </si>
  <si>
    <t>ea1a1df9-6007-4fb5-b69b-b0d1aa12f69d</t>
  </si>
  <si>
    <t>2026-05-13 09:05:23</t>
  </si>
  <si>
    <t>27607854768</t>
  </si>
  <si>
    <t>14300929</t>
  </si>
  <si>
    <t>9c9cb4fd-c87e-4d4c-98b7-edbe54189ad9</t>
  </si>
  <si>
    <t>2026-05-13 09:04:39</t>
  </si>
  <si>
    <t>27764418044</t>
  </si>
  <si>
    <t>14300901</t>
  </si>
  <si>
    <t>b1f82a53-1605-4021-84d4-f68eaa73381d</t>
  </si>
  <si>
    <t>2026-05-13 09:03:27</t>
  </si>
  <si>
    <t>27822994975</t>
  </si>
  <si>
    <t>14300802</t>
  </si>
  <si>
    <t>cfe5d876-0ff8-427a-ba8c-d512f50a3d06</t>
  </si>
  <si>
    <t>2026-05-13 09:02:22</t>
  </si>
  <si>
    <t>27729945929</t>
  </si>
  <si>
    <t>14300871</t>
  </si>
  <si>
    <t>825bd04f-0c81-4c7d-ad10-35be3f52a163</t>
  </si>
  <si>
    <t>2026-05-13 09:01:41</t>
  </si>
  <si>
    <t>27711110274</t>
  </si>
  <si>
    <t>14300872</t>
  </si>
  <si>
    <t>bf891bf4-9e2b-467f-87bf-efbac22df8ea</t>
  </si>
  <si>
    <t>2026-05-13 09:01:33</t>
  </si>
  <si>
    <t>27724081668</t>
  </si>
  <si>
    <t>14300834</t>
  </si>
  <si>
    <t>d5965be7-3722-4db9-90fa-b86f49b6b72c</t>
  </si>
  <si>
    <t>2026-05-13 09:00:42</t>
  </si>
  <si>
    <t>27664242247</t>
  </si>
  <si>
    <t>14297837</t>
  </si>
  <si>
    <t>fad07f97-7279-4704-bbe1-8799027c8f47</t>
  </si>
  <si>
    <t>27820961827</t>
  </si>
  <si>
    <t>2026-05-13 08:59:04</t>
  </si>
  <si>
    <t>14300830</t>
  </si>
  <si>
    <t>4058a172-b407-4adc-a2a1-bbc90e5166d3</t>
  </si>
  <si>
    <t>2026-05-13 08:57:53</t>
  </si>
  <si>
    <t>27723419094</t>
  </si>
  <si>
    <t>14300797</t>
  </si>
  <si>
    <t>83f11e90-6596-47be-a7c6-ffca5a063cb9</t>
  </si>
  <si>
    <t>27712849583</t>
  </si>
  <si>
    <t>2026-05-13 08:55:58</t>
  </si>
  <si>
    <t>14300799</t>
  </si>
  <si>
    <t>7235f171-e609-4695-b692-95926baa9378</t>
  </si>
  <si>
    <t>2026-05-13 08:55:57</t>
  </si>
  <si>
    <t>27729598980</t>
  </si>
  <si>
    <t>14297901</t>
  </si>
  <si>
    <t>0283696d-b794-4b55-b22d-65f05dfca757</t>
  </si>
  <si>
    <t>27769486209</t>
  </si>
  <si>
    <t>2026-05-13 08:53:24</t>
  </si>
  <si>
    <t>14300717</t>
  </si>
  <si>
    <t>d3bd5a82-8c6c-48f6-ab1b-94235474ba30</t>
  </si>
  <si>
    <t>2026-05-13 08:51:23</t>
  </si>
  <si>
    <t>27774642154</t>
  </si>
  <si>
    <t>14300471</t>
  </si>
  <si>
    <t>f3ba3bfe-c003-4986-bc57-c965a112af6e</t>
  </si>
  <si>
    <t>2026-05-13 08:47:51</t>
  </si>
  <si>
    <t>27793725443</t>
  </si>
  <si>
    <t>14299899</t>
  </si>
  <si>
    <t>0c9599dd-eee5-4945-b748-f09ec9cad86a</t>
  </si>
  <si>
    <t>27766528953</t>
  </si>
  <si>
    <t>2026-05-13 07:56:52</t>
  </si>
  <si>
    <t>14301813</t>
  </si>
  <si>
    <t>60ff97d3-c4f0-4452-b160-57913cde0471</t>
  </si>
  <si>
    <t>2026-05-13 07:55:40</t>
  </si>
  <si>
    <t>27764876929</t>
  </si>
  <si>
    <t>14299936</t>
  </si>
  <si>
    <t>f416e235-c720-41c8-a586-9e8906749613</t>
  </si>
  <si>
    <t>2026-05-13 07:54:17</t>
  </si>
  <si>
    <t>27715962470</t>
  </si>
  <si>
    <t>14300584</t>
  </si>
  <si>
    <t>2acb3414-e604-4934-8532-8063b03ddc82</t>
  </si>
  <si>
    <t>27674777647</t>
  </si>
  <si>
    <t>2026-05-13 07:53:00</t>
  </si>
  <si>
    <t>14300452</t>
  </si>
  <si>
    <t>16e39a4d-dac7-4a1b-a28b-20022e199246</t>
  </si>
  <si>
    <t>2026-05-13 07:52:35</t>
  </si>
  <si>
    <t>27796074206</t>
  </si>
  <si>
    <t>14300337</t>
  </si>
  <si>
    <t>4836b996-dfb7-45a8-b6a6-0733019dd177</t>
  </si>
  <si>
    <t>2026-05-13 07:50:37</t>
  </si>
  <si>
    <t>27720243798</t>
  </si>
  <si>
    <t>14300528</t>
  </si>
  <si>
    <t>52800bcb-2c8b-4aa9-b75b-b19fa6aaa3e0</t>
  </si>
  <si>
    <t>2026-05-13 07:49:05</t>
  </si>
  <si>
    <t>27791286706</t>
  </si>
  <si>
    <t>14300515</t>
  </si>
  <si>
    <t>4f9553b2-489f-4d56-b03a-a2b2b42c9276</t>
  </si>
  <si>
    <t>27837878632</t>
  </si>
  <si>
    <t>2026-05-13 07:47:16</t>
  </si>
  <si>
    <t>14300479</t>
  </si>
  <si>
    <t>7fb56784-f032-490e-9ed5-bbb2dbd00a7a</t>
  </si>
  <si>
    <t>27822591274</t>
  </si>
  <si>
    <t>2026-05-13 07:42:28</t>
  </si>
  <si>
    <t>14301618</t>
  </si>
  <si>
    <t>be5ce9fe-5186-429c-8611-3a9bbd28828a</t>
  </si>
  <si>
    <t>27761639355</t>
  </si>
  <si>
    <t>2026-05-13 07:41:52</t>
  </si>
  <si>
    <t>14300441</t>
  </si>
  <si>
    <t>dc9498d2-09c6-4c4f-907d-159f56654adf</t>
  </si>
  <si>
    <t>27608463114</t>
  </si>
  <si>
    <t>2026-05-13 07:40:55</t>
  </si>
  <si>
    <t>14301808</t>
  </si>
  <si>
    <t>a299e5d7-908d-4587-9450-92682514a7d0</t>
  </si>
  <si>
    <t>27764490471</t>
  </si>
  <si>
    <t>2026-05-13 07:40:40</t>
  </si>
  <si>
    <t>14301251</t>
  </si>
  <si>
    <t>9fb773ab-26b1-4580-9127-ca7d286fc77c</t>
  </si>
  <si>
    <t>2026-05-13 07:38:43</t>
  </si>
  <si>
    <t>27762534074</t>
  </si>
  <si>
    <t>14300360</t>
  </si>
  <si>
    <t>9319e6f7-c1fa-4927-84f8-6776bb9a8e55</t>
  </si>
  <si>
    <t>2026-05-13 07:35:29</t>
  </si>
  <si>
    <t>27818261972</t>
  </si>
  <si>
    <t>14300385</t>
  </si>
  <si>
    <t>40051490-cc60-437c-ad58-a98ec35d5f05</t>
  </si>
  <si>
    <t>27825428258</t>
  </si>
  <si>
    <t>2026-05-13 07:35:26</t>
  </si>
  <si>
    <t>14301784</t>
  </si>
  <si>
    <t>a5d72be3-7f68-44fc-ad37-39894304be70</t>
  </si>
  <si>
    <t>2026-05-13 07:29:34</t>
  </si>
  <si>
    <t>27724987986</t>
  </si>
  <si>
    <t>14301791</t>
  </si>
  <si>
    <t>c962e2ac-8a09-4291-81dc-a661cca2439f</t>
  </si>
  <si>
    <t>2026-05-13 07:27:57</t>
  </si>
  <si>
    <t>27796136690</t>
  </si>
  <si>
    <t>14302419</t>
  </si>
  <si>
    <t>3c6fb11f-d7f5-4aac-b262-71b062a37789</t>
  </si>
  <si>
    <t>2026-05-13 07:22:47</t>
  </si>
  <si>
    <t>27765936875</t>
  </si>
  <si>
    <t>14302410</t>
  </si>
  <si>
    <t>5f6820a7-44c9-4959-842a-4bd07dadeabf</t>
  </si>
  <si>
    <t>2026-05-13 07:21:31</t>
  </si>
  <si>
    <t>27794131703</t>
  </si>
  <si>
    <t>14298186</t>
  </si>
  <si>
    <t>4500d308-242e-4011-8996-fe73416ade62</t>
  </si>
  <si>
    <t>2026-05-13 07:18:58</t>
  </si>
  <si>
    <t>27792515660</t>
  </si>
  <si>
    <t>14301604</t>
  </si>
  <si>
    <t>a971147f-2c89-4b27-9189-388bc80b5bc4</t>
  </si>
  <si>
    <t>2026-05-13 07:18:57</t>
  </si>
  <si>
    <t>27648157217</t>
  </si>
  <si>
    <t>14298249</t>
  </si>
  <si>
    <t>da6d7ada-797c-4aeb-988d-73ef9b92d69c</t>
  </si>
  <si>
    <t>2026-05-13 07:15:13</t>
  </si>
  <si>
    <t>27714305275</t>
  </si>
  <si>
    <t>14302534</t>
  </si>
  <si>
    <t>ab570224-4a3a-4b68-b219-e98bd0ca935e</t>
  </si>
  <si>
    <t>2026-05-13 07:14:56</t>
  </si>
  <si>
    <t>27714590119</t>
  </si>
  <si>
    <t>14299653</t>
  </si>
  <si>
    <t>938ad6eb-beae-4dd2-a6c5-06b954dbcf76</t>
  </si>
  <si>
    <t>27798277316</t>
  </si>
  <si>
    <t>2026-05-13 07:14:43</t>
  </si>
  <si>
    <t>14302523</t>
  </si>
  <si>
    <t>a7520157-866e-4400-b443-9230da2d9c40</t>
  </si>
  <si>
    <t>27794375556</t>
  </si>
  <si>
    <t>2026-05-13 07:12:42</t>
  </si>
  <si>
    <t>14298054</t>
  </si>
  <si>
    <t>c9f07327-41e9-4a4f-8339-ec62055c2771</t>
  </si>
  <si>
    <t>2026-05-13 07:10:50</t>
  </si>
  <si>
    <t>27796850197</t>
  </si>
  <si>
    <t>14302535</t>
  </si>
  <si>
    <t>4fdfdbf0-957e-44f5-bcb3-08b58c8fa6f7</t>
  </si>
  <si>
    <t>27768041895</t>
  </si>
  <si>
    <t>2026-05-13 07:10:47</t>
  </si>
  <si>
    <t>14298227</t>
  </si>
  <si>
    <t>564980ca-d493-4e3c-a29c-ce363bf6299b</t>
  </si>
  <si>
    <t>2026-05-13 07:08:17</t>
  </si>
  <si>
    <t>27716894064</t>
  </si>
  <si>
    <t>14298390</t>
  </si>
  <si>
    <t>526dfbba-6a5e-43bf-9dc5-ab40cd7f9252</t>
  </si>
  <si>
    <t>2026-05-13 07:06:16</t>
  </si>
  <si>
    <t>27660330082</t>
  </si>
  <si>
    <t>14298168</t>
  </si>
  <si>
    <t>69280d03-b00d-41d1-812a-3abbe27fc969</t>
  </si>
  <si>
    <t>2026-05-13 07:04:54</t>
  </si>
  <si>
    <t>27737575342</t>
  </si>
  <si>
    <t>14298405</t>
  </si>
  <si>
    <t>30cba8ab-4abd-4755-9ff4-f0f2c540a644</t>
  </si>
  <si>
    <t>2026-05-13 07:03:27</t>
  </si>
  <si>
    <t>27647982452</t>
  </si>
  <si>
    <t>14301960</t>
  </si>
  <si>
    <t>c1f4d51a-b153-45ba-a9ba-8c1dac12ea13</t>
  </si>
  <si>
    <t>2026-05-13 07:03:11</t>
  </si>
  <si>
    <t>27725548674</t>
  </si>
  <si>
    <t>14298469</t>
  </si>
  <si>
    <t>a75a4b9f-e6a1-41c0-998b-690ccef8ac4b</t>
  </si>
  <si>
    <t>2026-05-13 07:01:20</t>
  </si>
  <si>
    <t>27790986153</t>
  </si>
  <si>
    <t>14299299</t>
  </si>
  <si>
    <t>afb9ff95-9a4e-4418-8aab-845ca4a54fda</t>
  </si>
  <si>
    <t>2026-05-13 06:59:41</t>
  </si>
  <si>
    <t>27797689966</t>
  </si>
  <si>
    <t>14298578</t>
  </si>
  <si>
    <t>866044f6-3d7a-4ad6-aee0-1f9625452c87</t>
  </si>
  <si>
    <t>2026-05-13 06:59:29</t>
  </si>
  <si>
    <t>27823642147</t>
  </si>
  <si>
    <t>14298599</t>
  </si>
  <si>
    <t>14740e2e-9b31-4953-ab79-00bc1d5bb29d</t>
  </si>
  <si>
    <t>2026-05-13 06:57:02</t>
  </si>
  <si>
    <t>27648884415</t>
  </si>
  <si>
    <t>14301762</t>
  </si>
  <si>
    <t>6bbd75a2-74f9-43f9-9239-70ce3b7192bc</t>
  </si>
  <si>
    <t>2026-05-13 06:55:53</t>
  </si>
  <si>
    <t>27794198824</t>
  </si>
  <si>
    <t>14298998</t>
  </si>
  <si>
    <t>6259048d-7789-4bf9-bee6-d4b9c3c82ec6</t>
  </si>
  <si>
    <t>2026-05-13 06:55:43</t>
  </si>
  <si>
    <t>27660380277</t>
  </si>
  <si>
    <t>14298841</t>
  </si>
  <si>
    <t>a0140e29-61ed-4589-8090-3a0b6b574e22</t>
  </si>
  <si>
    <t>2026-05-13 06:55:39</t>
  </si>
  <si>
    <t>27721522260</t>
  </si>
  <si>
    <t>14302493</t>
  </si>
  <si>
    <t>87a49b4a-c33a-4727-aa74-6065679dcfb9</t>
  </si>
  <si>
    <t>27608083627</t>
  </si>
  <si>
    <t>2026-05-13 06:54:40</t>
  </si>
  <si>
    <t>14298117</t>
  </si>
  <si>
    <t>1783aa71-995e-4eff-bc37-55c992e8e285</t>
  </si>
  <si>
    <t>2026-05-13 06:53:25</t>
  </si>
  <si>
    <t>27823991191</t>
  </si>
  <si>
    <t>14298842</t>
  </si>
  <si>
    <t>0fb8a984-853f-488d-8424-fc6e1ec4bc12</t>
  </si>
  <si>
    <t>2026-05-13 06:51:32</t>
  </si>
  <si>
    <t>27823267459</t>
  </si>
  <si>
    <t>14299007</t>
  </si>
  <si>
    <t>b9f64b56-457c-41b4-8b17-465ed4bf960d</t>
  </si>
  <si>
    <t>2026-05-13 06:46:55</t>
  </si>
  <si>
    <t>27798294715</t>
  </si>
  <si>
    <t>14299206</t>
  </si>
  <si>
    <t>05a70040-0cda-43cb-96f1-5f405b19789f</t>
  </si>
  <si>
    <t>2026-05-13 06:46:43</t>
  </si>
  <si>
    <t>27714152379</t>
  </si>
  <si>
    <t>14299204</t>
  </si>
  <si>
    <t>c550db2e-563b-4354-93aa-18220d5b3bb3</t>
  </si>
  <si>
    <t>2026-05-13 06:46:10</t>
  </si>
  <si>
    <t>27607217027</t>
  </si>
  <si>
    <t>14298389</t>
  </si>
  <si>
    <t>bccf7e72-f8ca-4a7a-bec7-d7247e5d70b1</t>
  </si>
  <si>
    <t>27760822442</t>
  </si>
  <si>
    <t>2026-05-13 06:46:05</t>
  </si>
  <si>
    <t>14302177</t>
  </si>
  <si>
    <t>faa780d8-448e-4bef-acdd-8269b0c0617b</t>
  </si>
  <si>
    <t>27727355191</t>
  </si>
  <si>
    <t>2026-05-13 06:45:45</t>
  </si>
  <si>
    <t>14299207</t>
  </si>
  <si>
    <t>6d713b98-c4ca-4fe3-bef9-70610ffb00ad</t>
  </si>
  <si>
    <t>2026-05-13 06:44:54</t>
  </si>
  <si>
    <t>27716645001</t>
  </si>
  <si>
    <t>14302113</t>
  </si>
  <si>
    <t>d98cb7cd-b75f-4d30-905b-386affe8874c</t>
  </si>
  <si>
    <t>2026-05-13 06:41:48</t>
  </si>
  <si>
    <t>27714056686</t>
  </si>
  <si>
    <t>14298880</t>
  </si>
  <si>
    <t>17343bad-e5e5-43bd-abd6-097cc6adfdd5</t>
  </si>
  <si>
    <t>2026-05-13 06:41:03</t>
  </si>
  <si>
    <t>27662697371</t>
  </si>
  <si>
    <t>14299237</t>
  </si>
  <si>
    <t>835c19c3-bf4b-4924-9b37-115bfb286cc8</t>
  </si>
  <si>
    <t>2026-05-13 06:40:06</t>
  </si>
  <si>
    <t>27820794193</t>
  </si>
  <si>
    <t>14300952</t>
  </si>
  <si>
    <t>afc56993-3c48-43a0-912a-991e1e20c19d</t>
  </si>
  <si>
    <t>27608333273</t>
  </si>
  <si>
    <t>2026-05-13 06:39:39</t>
  </si>
  <si>
    <t>14297976</t>
  </si>
  <si>
    <t>f2c64d9a-e2af-4bf1-99d5-b97ff5946eed</t>
  </si>
  <si>
    <t>27726214126</t>
  </si>
  <si>
    <t>2026-05-13 06:36:24</t>
  </si>
  <si>
    <t>14299662</t>
  </si>
  <si>
    <t>cdbf1a6a-f367-4439-b8be-cb40185b31bf</t>
  </si>
  <si>
    <t>27786122741</t>
  </si>
  <si>
    <t>2026-05-13 06:30:43</t>
  </si>
  <si>
    <t>14301396</t>
  </si>
  <si>
    <t>89a5a541-94f0-4e5e-97b5-e8163249a14c</t>
  </si>
  <si>
    <t>27712759023</t>
  </si>
  <si>
    <t>14301454</t>
  </si>
  <si>
    <t>f5a0c725-203e-48cf-a149-8dc4059abc52</t>
  </si>
  <si>
    <t>27798167877</t>
  </si>
  <si>
    <t>2026-05-13 06:25:38</t>
  </si>
  <si>
    <t>14298616</t>
  </si>
  <si>
    <t>18bbcdd5-bdb4-43ee-ab25-970a82e16a60</t>
  </si>
  <si>
    <t>27735260940</t>
  </si>
  <si>
    <t>2026-05-13 06:24:18</t>
  </si>
  <si>
    <t>14302107</t>
  </si>
  <si>
    <t>fc489ab4-86c4-4b89-9984-3da880d811d9</t>
  </si>
  <si>
    <t>2026-05-13 06:23:25</t>
  </si>
  <si>
    <t>27714587244</t>
  </si>
  <si>
    <t>14302104</t>
  </si>
  <si>
    <t>04d05cf0-9caa-4182-b704-84ee5d93a22b</t>
  </si>
  <si>
    <t>27762245032</t>
  </si>
  <si>
    <t>2026-05-13 06:22:48</t>
  </si>
  <si>
    <t>14299368</t>
  </si>
  <si>
    <t>789932c0-f73e-4607-8aef-166f49c49c5c</t>
  </si>
  <si>
    <t>27822396673</t>
  </si>
  <si>
    <t>2026-05-13 06:22:46</t>
  </si>
  <si>
    <t>14302070</t>
  </si>
  <si>
    <t>919efc54-768f-47e7-a671-568ac1a06c58</t>
  </si>
  <si>
    <t>2026-05-13 06:19:59</t>
  </si>
  <si>
    <t>27673540860</t>
  </si>
  <si>
    <t>14299789</t>
  </si>
  <si>
    <t>51a8dd2b-a9eb-411e-9f48-4c8d65bd20fa</t>
  </si>
  <si>
    <t>2026-05-13 06:19:56</t>
  </si>
  <si>
    <t>27799445110</t>
  </si>
  <si>
    <t>14300948</t>
  </si>
  <si>
    <t>e9ad3239-dc70-45e1-bb21-034a659ea8df</t>
  </si>
  <si>
    <t>27665272474</t>
  </si>
  <si>
    <t>2026-05-13 06:18:31</t>
  </si>
  <si>
    <t>14301117</t>
  </si>
  <si>
    <t>6401da40-7b5e-4b94-8275-078d3a624b96</t>
  </si>
  <si>
    <t>2026-05-13 06:17:02</t>
  </si>
  <si>
    <t>27607084101</t>
  </si>
  <si>
    <t>14300946</t>
  </si>
  <si>
    <t>c3176def-b08e-4a28-9571-910d30dffd2a</t>
  </si>
  <si>
    <t>2026-05-13 06:14:58</t>
  </si>
  <si>
    <t>27822647591</t>
  </si>
  <si>
    <t>14301445</t>
  </si>
  <si>
    <t>d969ad57-03c4-4cde-a702-3731d386f53d</t>
  </si>
  <si>
    <t>2026-05-13 06:09:51</t>
  </si>
  <si>
    <t>27711463682</t>
  </si>
  <si>
    <t>14300917</t>
  </si>
  <si>
    <t>ff681b7f-d9b8-4848-a8e7-941556980ee8</t>
  </si>
  <si>
    <t>2026-05-13 06:08:51</t>
  </si>
  <si>
    <t>27764120776</t>
  </si>
  <si>
    <t>14302191</t>
  </si>
  <si>
    <t>e9d8a4b4-5f6c-46b4-b008-345b3df773c5</t>
  </si>
  <si>
    <t>2026-05-13 06:07:14</t>
  </si>
  <si>
    <t>27796156757</t>
  </si>
  <si>
    <t>14302157</t>
  </si>
  <si>
    <t>a6f1277c-1ca3-40e2-ace1-69d4ce47e9a0</t>
  </si>
  <si>
    <t>27764803381</t>
  </si>
  <si>
    <t>2026-05-13 06:06:01</t>
  </si>
  <si>
    <t>14299108</t>
  </si>
  <si>
    <t>6e63613e-2f19-4aaf-b6d0-1903df50f059</t>
  </si>
  <si>
    <t>27662721363</t>
  </si>
  <si>
    <t>2026-05-12 15:14:37</t>
  </si>
  <si>
    <t>14297571</t>
  </si>
  <si>
    <t>346cf506-002a-4b7c-bc05-2ab1bf6e915b</t>
  </si>
  <si>
    <t>2026-05-12 15:14:17</t>
  </si>
  <si>
    <t>27766417124</t>
  </si>
  <si>
    <t>14302556</t>
  </si>
  <si>
    <t>12535cf4-85f2-44b5-8736-ae4a9ba9680a</t>
  </si>
  <si>
    <t>2026-05-12 15:13:51</t>
  </si>
  <si>
    <t>27729856408</t>
  </si>
  <si>
    <t>14300678</t>
  </si>
  <si>
    <t>87daad20-7a4f-4413-b4ee-9acc5f5cbdfb</t>
  </si>
  <si>
    <t>27724605155</t>
  </si>
  <si>
    <t>2026-05-12 15:11:47</t>
  </si>
  <si>
    <t>14298632</t>
  </si>
  <si>
    <t>9fd66d5e-8c23-404a-a25a-f5f7ee65623a</t>
  </si>
  <si>
    <t>2026-05-12 15:07:37</t>
  </si>
  <si>
    <t>27727490164</t>
  </si>
  <si>
    <t>14299574</t>
  </si>
  <si>
    <t>14056ba8-cf4f-4201-98ba-9145d380c52d</t>
  </si>
  <si>
    <t>27790579748</t>
  </si>
  <si>
    <t>2026-05-12 15:05:15</t>
  </si>
  <si>
    <t>14302020</t>
  </si>
  <si>
    <t>89624762-ba5f-4828-a591-517b33079cce</t>
  </si>
  <si>
    <t>27766824415</t>
  </si>
  <si>
    <t>14298525</t>
  </si>
  <si>
    <t>a8a2bc31-d915-4e3d-90ff-11edee1ebcc8</t>
  </si>
  <si>
    <t>27767117119</t>
  </si>
  <si>
    <t>2026-05-12 15:03:53</t>
  </si>
  <si>
    <t>14298583</t>
  </si>
  <si>
    <t>422a8d8b-433d-4f4f-8fdd-fae608716b25</t>
  </si>
  <si>
    <t>2026-05-12 15:03:13</t>
  </si>
  <si>
    <t>27829548532</t>
  </si>
  <si>
    <t>14298861</t>
  </si>
  <si>
    <t>aa8a28b8-e9a3-4ba1-a488-4ac8c20ff055</t>
  </si>
  <si>
    <t>2026-05-12 15:01:36</t>
  </si>
  <si>
    <t>27792441748</t>
  </si>
  <si>
    <t>14299458</t>
  </si>
  <si>
    <t>6c0d8dbb-cba5-41e9-8970-bdb0c546026e</t>
  </si>
  <si>
    <t>27713959912</t>
  </si>
  <si>
    <t>2026-05-12 15:01:25</t>
  </si>
  <si>
    <t>14299381</t>
  </si>
  <si>
    <t>cb5a1236-14cc-412f-9098-d4dbed1e7065</t>
  </si>
  <si>
    <t>27794741000</t>
  </si>
  <si>
    <t>2026-05-12 14:57:12</t>
  </si>
  <si>
    <t>14297924</t>
  </si>
  <si>
    <t>193db579-db21-440a-8c21-39fb45c7e37e</t>
  </si>
  <si>
    <t>27789054308</t>
  </si>
  <si>
    <t>2026-05-12 14:56:46</t>
  </si>
  <si>
    <t>14299385</t>
  </si>
  <si>
    <t>4e1beb68-31a3-456c-9a3e-0cae7fe5cc43</t>
  </si>
  <si>
    <t>2026-05-12 14:56:45</t>
  </si>
  <si>
    <t>27663113576</t>
  </si>
  <si>
    <t>14299353</t>
  </si>
  <si>
    <t>e243066c-4168-40dd-80a9-bf03f0b5b897</t>
  </si>
  <si>
    <t>2026-05-12 14:56:16</t>
  </si>
  <si>
    <t>27765240259</t>
  </si>
  <si>
    <t>14299180</t>
  </si>
  <si>
    <t>22538d40-459d-4f37-b279-057559e4074d</t>
  </si>
  <si>
    <t>27790136875</t>
  </si>
  <si>
    <t>2026-05-12 14:55:36</t>
  </si>
  <si>
    <t>14302163</t>
  </si>
  <si>
    <t>fbe582ee-e544-4104-b42d-1986d4e5283f</t>
  </si>
  <si>
    <t>2026-05-12 14:48:36</t>
  </si>
  <si>
    <t>27720778576</t>
  </si>
  <si>
    <t>14300806</t>
  </si>
  <si>
    <t>189358f2-e96f-4b61-86ba-2c9e3b44b8df</t>
  </si>
  <si>
    <t>2026-05-12 14:40:17</t>
  </si>
  <si>
    <t>27723469138</t>
  </si>
  <si>
    <t>14297584</t>
  </si>
  <si>
    <t>0e609d1e-2ac2-47b2-995c-3a2aee6713b1</t>
  </si>
  <si>
    <t>2026-05-12 14:29:30</t>
  </si>
  <si>
    <t>27716107370</t>
  </si>
  <si>
    <t>14301499</t>
  </si>
  <si>
    <t>f5631ad8-3cfc-47c0-9de0-86f84ad63735</t>
  </si>
  <si>
    <t>2026-05-12 14:28:31</t>
  </si>
  <si>
    <t>27647652326</t>
  </si>
  <si>
    <t>14301496</t>
  </si>
  <si>
    <t>5db86efd-0fb9-41ba-ad84-5cf3b9f9ac95</t>
  </si>
  <si>
    <t>2026-05-12 14:28:25</t>
  </si>
  <si>
    <t>27766532251</t>
  </si>
  <si>
    <t>14301594</t>
  </si>
  <si>
    <t>5f5d8f4a-60b1-4ae6-9940-41bb1fc79a5b</t>
  </si>
  <si>
    <t>2026-05-12 14:13:32</t>
  </si>
  <si>
    <t>27716537505</t>
  </si>
  <si>
    <t>14298973</t>
  </si>
  <si>
    <t>a5a3225b-2adc-4443-b661-92a84ca7e0d2</t>
  </si>
  <si>
    <t>2026-05-12 14:11:56</t>
  </si>
  <si>
    <t>27661425990</t>
  </si>
  <si>
    <t>14301674</t>
  </si>
  <si>
    <t>fa25f83a-d471-4822-b1d5-4539919eadc2</t>
  </si>
  <si>
    <t>2026-05-12 14:02:21</t>
  </si>
  <si>
    <t>27722319725</t>
  </si>
  <si>
    <t>14298750</t>
  </si>
  <si>
    <t>fc3fd9c2-7514-40ff-a42e-8c3d617a9676</t>
  </si>
  <si>
    <t>27765881125</t>
  </si>
  <si>
    <t>2026-05-12 14:00:08</t>
  </si>
  <si>
    <t>14298707</t>
  </si>
  <si>
    <t>0811faf2-9f02-4412-a54b-fecc2aaf4872</t>
  </si>
  <si>
    <t>2026-05-12 13:59:20</t>
  </si>
  <si>
    <t>27724995010</t>
  </si>
  <si>
    <t>14298128</t>
  </si>
  <si>
    <t>b46026e8-2c12-4093-b6a1-3289b278d2ee</t>
  </si>
  <si>
    <t>27609323655</t>
  </si>
  <si>
    <t>2026-05-12 13:57:44</t>
  </si>
  <si>
    <t>14297913</t>
  </si>
  <si>
    <t>dc3aadea-4b7c-4a9c-adca-27f08d7e3439</t>
  </si>
  <si>
    <t>2026-05-12 13:56:51</t>
  </si>
  <si>
    <t>27822539863</t>
  </si>
  <si>
    <t>14298625</t>
  </si>
  <si>
    <t>aa9b5994-87f2-4fd2-b1c3-d5059b43251c</t>
  </si>
  <si>
    <t>27729733657</t>
  </si>
  <si>
    <t>2026-05-12 13:55:16</t>
  </si>
  <si>
    <t>14297659</t>
  </si>
  <si>
    <t>1d1bad14-327e-459c-a7a4-691fb88932b8</t>
  </si>
  <si>
    <t>2026-05-12 13:54:27</t>
  </si>
  <si>
    <t>27665184752</t>
  </si>
  <si>
    <t>14301951</t>
  </si>
  <si>
    <t>9a7edc5e-0ad6-4701-8196-3e499eceac58</t>
  </si>
  <si>
    <t>2026-05-12 13:52:36</t>
  </si>
  <si>
    <t>27726580879</t>
  </si>
  <si>
    <t>14298444</t>
  </si>
  <si>
    <t>462842f1-f513-49af-bb42-e92343a9d0a5</t>
  </si>
  <si>
    <t>2026-05-12 13:45:56</t>
  </si>
  <si>
    <t>27661042529</t>
  </si>
  <si>
    <t>14302432</t>
  </si>
  <si>
    <t>21a0e203-b598-4e02-8f32-e528a1a4d0e5</t>
  </si>
  <si>
    <t>27827539662</t>
  </si>
  <si>
    <t>2026-05-12 13:44:08</t>
  </si>
  <si>
    <t>14297962</t>
  </si>
  <si>
    <t>61346182-f7c5-4f20-aa7b-dfac0f9f5081</t>
  </si>
  <si>
    <t>2026-05-12 13:42:40</t>
  </si>
  <si>
    <t>27790755395</t>
  </si>
  <si>
    <t>14300442</t>
  </si>
  <si>
    <t>39d17d61-db5e-430a-9727-65a65726e4df</t>
  </si>
  <si>
    <t>2026-05-12 13:41:16</t>
  </si>
  <si>
    <t>27822160562</t>
  </si>
  <si>
    <t>14301529</t>
  </si>
  <si>
    <t>5e25250d-ea58-4fb2-97b2-ea45f9d98ef1</t>
  </si>
  <si>
    <t>2026-05-12 13:39:01</t>
  </si>
  <si>
    <t>27838815076</t>
  </si>
  <si>
    <t>14299909</t>
  </si>
  <si>
    <t>07b2c333-5b88-4f04-8ec7-fa42d3b5198c</t>
  </si>
  <si>
    <t>2026-05-12 13:34:28</t>
  </si>
  <si>
    <t>27768588848</t>
  </si>
  <si>
    <t>14298100</t>
  </si>
  <si>
    <t>46d70064-f761-4719-a5c1-87a7f6a9f6da</t>
  </si>
  <si>
    <t>2026-05-12 13:33:11</t>
  </si>
  <si>
    <t>27794891385</t>
  </si>
  <si>
    <t>14300795</t>
  </si>
  <si>
    <t>87181391-28a8-4ff3-880e-53da06e153f4</t>
  </si>
  <si>
    <t>2026-05-12 13:33:01</t>
  </si>
  <si>
    <t>27768836929</t>
  </si>
  <si>
    <t>14301560</t>
  </si>
  <si>
    <t>6d55703d-3ba9-4352-8bd6-b177b324cba5</t>
  </si>
  <si>
    <t>2026-05-12 13:32:09</t>
  </si>
  <si>
    <t>27826933467</t>
  </si>
  <si>
    <t>14298140</t>
  </si>
  <si>
    <t>9a5e4b52-f159-4168-856f-12f5dd2aec39</t>
  </si>
  <si>
    <t>2026-05-12 13:28:24</t>
  </si>
  <si>
    <t>27609446591</t>
  </si>
  <si>
    <t>14299742</t>
  </si>
  <si>
    <t>ec30ebb1-9764-402d-bc66-02163641d8ee</t>
  </si>
  <si>
    <t>2026-05-12 13:25:21</t>
  </si>
  <si>
    <t>27824059028</t>
  </si>
  <si>
    <t>14299279</t>
  </si>
  <si>
    <t>e91b5cc6-5a25-48b7-b783-7501cc0bf4f9</t>
  </si>
  <si>
    <t>2026-05-12 13:05:23</t>
  </si>
  <si>
    <t>27665301503</t>
  </si>
  <si>
    <t>14297920</t>
  </si>
  <si>
    <t>aa34136c-e2f2-4c6e-a99a-1b2e4fab2959</t>
  </si>
  <si>
    <t>2026-05-12 13:04:22</t>
  </si>
  <si>
    <t>27763170177</t>
  </si>
  <si>
    <t>14301559</t>
  </si>
  <si>
    <t>9abd5d4a-95d3-4f71-895f-4bbcb780ea99</t>
  </si>
  <si>
    <t>27763464411</t>
  </si>
  <si>
    <t>2026-05-12 13:02:17</t>
  </si>
  <si>
    <t>14300502</t>
  </si>
  <si>
    <t>9a22939f-b4cc-470e-b79a-48fd378f3416</t>
  </si>
  <si>
    <t>2026-05-12 13:01:30</t>
  </si>
  <si>
    <t>27768356469</t>
  </si>
  <si>
    <t>14301677</t>
  </si>
  <si>
    <t>f8e570e0-723b-4b44-980d-246b7efa4080</t>
  </si>
  <si>
    <t>2026-05-12 12:57:01</t>
  </si>
  <si>
    <t>27728003018</t>
  </si>
  <si>
    <t>14299320</t>
  </si>
  <si>
    <t>1b79fe7b-ef0c-47f5-ae0f-c9cc597d154b</t>
  </si>
  <si>
    <t>2026-05-12 12:56:07</t>
  </si>
  <si>
    <t>27636903200</t>
  </si>
  <si>
    <t>14298148</t>
  </si>
  <si>
    <t>68604f24-2f96-4178-932d-f98a8cb869c5</t>
  </si>
  <si>
    <t>2026-05-12 12:52:09</t>
  </si>
  <si>
    <t>27646960957</t>
  </si>
  <si>
    <t>14300437</t>
  </si>
  <si>
    <t>ba44bb16-9526-488e-b655-dc4850853827</t>
  </si>
  <si>
    <t>2026-05-12 12:50:53</t>
  </si>
  <si>
    <t>27765066819</t>
  </si>
  <si>
    <t>14297718</t>
  </si>
  <si>
    <t>bcfc4adf-6a5e-43b7-a1c6-6390ce157e97</t>
  </si>
  <si>
    <t>2026-05-12 12:50:05</t>
  </si>
  <si>
    <t>27716667344</t>
  </si>
  <si>
    <t>14297716</t>
  </si>
  <si>
    <t>2b38b8c6-0c06-4585-80a2-cde8a67a0dba</t>
  </si>
  <si>
    <t>2026-05-12 12:50:03</t>
  </si>
  <si>
    <t>27608154702</t>
  </si>
  <si>
    <t>14297662</t>
  </si>
  <si>
    <t>451356ed-01f1-40e3-b53f-bfc16dbb7e60</t>
  </si>
  <si>
    <t>2026-05-12 12:49:42</t>
  </si>
  <si>
    <t>27792731012</t>
  </si>
  <si>
    <t>14299489</t>
  </si>
  <si>
    <t>202d8a67-a2d6-48e6-ba56-56b2f0065f26</t>
  </si>
  <si>
    <t>27637536894</t>
  </si>
  <si>
    <t>2026-05-12 12:45:33</t>
  </si>
  <si>
    <t>14299486</t>
  </si>
  <si>
    <t>f6012737-79bc-4d24-b77b-0c06d4374d9e</t>
  </si>
  <si>
    <t>27725693641</t>
  </si>
  <si>
    <t>2026-05-12 12:45:27</t>
  </si>
  <si>
    <t>14299872</t>
  </si>
  <si>
    <t>07ef19c3-b72c-4684-8ccd-0f85218696b9</t>
  </si>
  <si>
    <t>QA FIX</t>
  </si>
  <si>
    <t>QA Rework</t>
  </si>
  <si>
    <t>2026-05-12 12:45:12</t>
  </si>
  <si>
    <t>27736101596</t>
  </si>
  <si>
    <t>14299511</t>
  </si>
  <si>
    <t>f2c41012-f307-4434-8102-18f5d7ec94f0</t>
  </si>
  <si>
    <t>27606250964</t>
  </si>
  <si>
    <t>2026-05-12 12:44:45</t>
  </si>
  <si>
    <t>14298919</t>
  </si>
  <si>
    <t>d4143ada-a6db-4534-9a55-584ecc4d42a1</t>
  </si>
  <si>
    <t>2026-05-12 12:43:31</t>
  </si>
  <si>
    <t>27796503078</t>
  </si>
  <si>
    <t>14299466</t>
  </si>
  <si>
    <t>c2acc50c-c7ac-41fc-b701-b5261ad0a6b0</t>
  </si>
  <si>
    <t>2026-05-12 12:42:46</t>
  </si>
  <si>
    <t>27713589525</t>
  </si>
  <si>
    <t>14299509</t>
  </si>
  <si>
    <t>ffaa83e6-43ae-47c2-b8bc-57d9e47e804b</t>
  </si>
  <si>
    <t>2026-05-12 12:40:07</t>
  </si>
  <si>
    <t>27791831270</t>
  </si>
  <si>
    <t>14297574</t>
  </si>
  <si>
    <t>df69d647-9228-483d-b5d2-eb6826e12369</t>
  </si>
  <si>
    <t>2026-05-12 12:38:31</t>
  </si>
  <si>
    <t>27818387850</t>
  </si>
  <si>
    <t>14297588</t>
  </si>
  <si>
    <t>27871276-08c8-483d-a458-bfaf5d885840</t>
  </si>
  <si>
    <t>2026-05-12 12:38:12</t>
  </si>
  <si>
    <t>27606113327</t>
  </si>
  <si>
    <t>14298298</t>
  </si>
  <si>
    <t>0832e488-a136-4fb4-964e-9b680287ddc8</t>
  </si>
  <si>
    <t>27824545214</t>
  </si>
  <si>
    <t>2026-05-12 12:32:38</t>
  </si>
  <si>
    <t>14299396</t>
  </si>
  <si>
    <t>69a0d643-84a8-4799-abda-3d73b488371d</t>
  </si>
  <si>
    <t>2026-05-12 12:31:52</t>
  </si>
  <si>
    <t>27607786549</t>
  </si>
  <si>
    <t>14299402</t>
  </si>
  <si>
    <t>300a1c41-c5e2-4cea-8c75-5c70ab923625</t>
  </si>
  <si>
    <t>2026-05-12 12:31:09</t>
  </si>
  <si>
    <t>27649116897</t>
  </si>
  <si>
    <t>14298286</t>
  </si>
  <si>
    <t>0fc3ed7d-93d9-45b5-a7e3-9a0c46071777</t>
  </si>
  <si>
    <t>2026-05-12 12:28:46</t>
  </si>
  <si>
    <t>27720398796</t>
  </si>
  <si>
    <t>14298345</t>
  </si>
  <si>
    <t>b8c7b40e-336d-49ce-9770-ed0fcde6f2ee</t>
  </si>
  <si>
    <t>2026-05-12 12:27:10</t>
  </si>
  <si>
    <t>27762923119</t>
  </si>
  <si>
    <t>14299502</t>
  </si>
  <si>
    <t>e7fa9f8f-1601-4115-91c4-746e86ae6389</t>
  </si>
  <si>
    <t>2026-05-12 12:25:33</t>
  </si>
  <si>
    <t>27791238753</t>
  </si>
  <si>
    <t>14299497</t>
  </si>
  <si>
    <t>7c4792f0-9d60-4ff0-8d6b-bbc74a159fc8</t>
  </si>
  <si>
    <t>2026-05-12 12:25:32</t>
  </si>
  <si>
    <t>27733030323</t>
  </si>
  <si>
    <t>14301697</t>
  </si>
  <si>
    <t>9ea06dc1-4728-402e-ac0d-79749f7925e6</t>
  </si>
  <si>
    <t>2026-05-12 12:24:49</t>
  </si>
  <si>
    <t>27728060357</t>
  </si>
  <si>
    <t>14298508</t>
  </si>
  <si>
    <t>bdf2b036-b2f1-4b74-803d-dc171b67dfff</t>
  </si>
  <si>
    <t>27799315720</t>
  </si>
  <si>
    <t>2026-05-12 12:23:20</t>
  </si>
  <si>
    <t>14299680</t>
  </si>
  <si>
    <t>a16b1135-761c-4997-a952-b604d4debab0</t>
  </si>
  <si>
    <t>27827600804</t>
  </si>
  <si>
    <t>2026-05-12 12:19:13</t>
  </si>
  <si>
    <t>14302525</t>
  </si>
  <si>
    <t>170c6dfa-25b5-458c-a45c-91a004e227e0</t>
  </si>
  <si>
    <t>27763881888</t>
  </si>
  <si>
    <t>2026-05-12 12:17:21</t>
  </si>
  <si>
    <t>14299648</t>
  </si>
  <si>
    <t>715d98b1-5a21-481d-8437-bd459bbf49ef</t>
  </si>
  <si>
    <t>27792611325</t>
  </si>
  <si>
    <t>2026-05-12 12:15:29</t>
  </si>
  <si>
    <t>14299163</t>
  </si>
  <si>
    <t>938f449b-df3e-4d6c-b050-a7b66b1e83a1</t>
  </si>
  <si>
    <t>2026-05-12 12:15:17</t>
  </si>
  <si>
    <t>27827206970</t>
  </si>
  <si>
    <t>14298570</t>
  </si>
  <si>
    <t>c91983e3-ad2f-45f3-b497-90f90f367916</t>
  </si>
  <si>
    <t>2026-05-12 12:12:59</t>
  </si>
  <si>
    <t>27767892879</t>
  </si>
  <si>
    <t>14297936</t>
  </si>
  <si>
    <t>ace140eb-ebea-42a9-afce-2baa1d3ef6fa</t>
  </si>
  <si>
    <t>2026-05-12 12:12:25</t>
  </si>
  <si>
    <t>27824187999</t>
  </si>
  <si>
    <t>14300322</t>
  </si>
  <si>
    <t>eb8d4a61-a3a0-40c0-b3fa-3fbbd2c8c222</t>
  </si>
  <si>
    <t>2026-05-12 12:09:33</t>
  </si>
  <si>
    <t>27792986967</t>
  </si>
  <si>
    <t>14299736</t>
  </si>
  <si>
    <t>f6834dda-a9e4-41b0-85b2-87bc141dca2d</t>
  </si>
  <si>
    <t>2026-05-12 12:03:45</t>
  </si>
  <si>
    <t>27726630152</t>
  </si>
  <si>
    <t>14298686</t>
  </si>
  <si>
    <t>db5fce64-eec2-411a-8d5e-b3b3c7e6367b</t>
  </si>
  <si>
    <t>2026-05-12 11:51:20</t>
  </si>
  <si>
    <t>27765507272</t>
  </si>
  <si>
    <t>14299356</t>
  </si>
  <si>
    <t>ff951f8c-1e69-490d-959a-a1a589c09dcf</t>
  </si>
  <si>
    <t>2026-05-12 11:13:24</t>
  </si>
  <si>
    <t>27649668055</t>
  </si>
  <si>
    <t>14299061</t>
  </si>
  <si>
    <t>382a54fb-9f76-439f-8e68-a080f96a5be9</t>
  </si>
  <si>
    <t>2026-05-12 11:05:37</t>
  </si>
  <si>
    <t>27825590020</t>
  </si>
  <si>
    <t>14298740</t>
  </si>
  <si>
    <t>2f586ef3-0387-4330-a507-e34196476c76</t>
  </si>
  <si>
    <t>2026-05-12 11:04:45</t>
  </si>
  <si>
    <t>27824285682</t>
  </si>
  <si>
    <t>14302364</t>
  </si>
  <si>
    <t>db68f098-2bb2-42b3-a349-a8ab5c0ac695</t>
  </si>
  <si>
    <t>27713988352</t>
  </si>
  <si>
    <t>2026-05-12 11:03:40</t>
  </si>
  <si>
    <t>14298777</t>
  </si>
  <si>
    <t>69a4be37-5bf6-4ff3-8345-b8d4e0a69adf</t>
  </si>
  <si>
    <t>2026-05-12 10:59:37</t>
  </si>
  <si>
    <t>27646789041</t>
  </si>
  <si>
    <t>14299316</t>
  </si>
  <si>
    <t>73f9f127-11b3-4914-9c98-e1a94b1c3f41</t>
  </si>
  <si>
    <t>2026-05-12 10:53:45</t>
  </si>
  <si>
    <t>27792206580</t>
  </si>
  <si>
    <t>14298856</t>
  </si>
  <si>
    <t>df54ff49-ef9c-43d0-8a98-47769c891788</t>
  </si>
  <si>
    <t>27760101804</t>
  </si>
  <si>
    <t>2026-05-12 10:48:43</t>
  </si>
  <si>
    <t>14297860</t>
  </si>
  <si>
    <t>2c17b361-2dbe-4156-bf6e-cf63f6488deb</t>
  </si>
  <si>
    <t>2026-05-12 10:44:40</t>
  </si>
  <si>
    <t>27714699574</t>
  </si>
  <si>
    <t>14299269</t>
  </si>
  <si>
    <t>d5fb8323-9a25-4e99-a5f9-a494ce8846eb</t>
  </si>
  <si>
    <t>2026-05-12 10:40:06</t>
  </si>
  <si>
    <t>27723605295</t>
  </si>
  <si>
    <t>14301328</t>
  </si>
  <si>
    <t>4f245734-d699-4c76-8355-ce1d88723e68</t>
  </si>
  <si>
    <t>27661609926</t>
  </si>
  <si>
    <t>2026-05-12 10:37:47</t>
  </si>
  <si>
    <t>14298939</t>
  </si>
  <si>
    <t>b0c6910e-7a1c-4922-9ff1-fb1e4cbbd6bb</t>
  </si>
  <si>
    <t>27607828542</t>
  </si>
  <si>
    <t>2026-05-12 10:37:44</t>
  </si>
  <si>
    <t>14298940</t>
  </si>
  <si>
    <t>ae13eee8-a6fe-47c7-9434-d5e7ddf51679</t>
  </si>
  <si>
    <t>2026-05-12 10:36:27</t>
  </si>
  <si>
    <t>27827994524</t>
  </si>
  <si>
    <t>14298933</t>
  </si>
  <si>
    <t>7946fe98-2055-45e1-bf89-631e0dbc856b</t>
  </si>
  <si>
    <t>2026-05-12 10:35:41</t>
  </si>
  <si>
    <t>27720137697</t>
  </si>
  <si>
    <t>14299874</t>
  </si>
  <si>
    <t>ed3c785c-6f87-40c3-9837-baec9927612e</t>
  </si>
  <si>
    <t>Oumas Pouline</t>
  </si>
  <si>
    <t>Baloyi</t>
  </si>
  <si>
    <t>2026-05-12 10:34:07</t>
  </si>
  <si>
    <t>2026-05-12 10:33:25</t>
  </si>
  <si>
    <t>27799903253</t>
  </si>
  <si>
    <t>14299052</t>
  </si>
  <si>
    <t>aff90406-2b07-48bf-8df7-7d7b614488fe</t>
  </si>
  <si>
    <t>2026-05-12 10:31:32</t>
  </si>
  <si>
    <t>27715289526</t>
  </si>
  <si>
    <t>14301103</t>
  </si>
  <si>
    <t>531e7d37-d105-44f8-8e9e-dd84715201b4</t>
  </si>
  <si>
    <t>27721509110</t>
  </si>
  <si>
    <t>14300710</t>
  </si>
  <si>
    <t>74e0b788-fb1b-45a9-b0d2-a3f7fdf6204b</t>
  </si>
  <si>
    <t>27792211545</t>
  </si>
  <si>
    <t>2026-05-12 10:28:45</t>
  </si>
  <si>
    <t>14299069</t>
  </si>
  <si>
    <t>6cfc8001-2261-436f-81d6-479c189a19bf</t>
  </si>
  <si>
    <t>27720827212</t>
  </si>
  <si>
    <t>2026-05-12 10:28:16</t>
  </si>
  <si>
    <t>14299081</t>
  </si>
  <si>
    <t>2de65777-3e88-4bbc-a6f2-03531a0df29e</t>
  </si>
  <si>
    <t>2026-05-12 10:26:59</t>
  </si>
  <si>
    <t>27723996992</t>
  </si>
  <si>
    <t>14299895</t>
  </si>
  <si>
    <t>594bcd9d-2e38-415d-86a5-169a23f87b66</t>
  </si>
  <si>
    <t>27715419848</t>
  </si>
  <si>
    <t>2026-05-12 10:25:05</t>
  </si>
  <si>
    <t>14302487</t>
  </si>
  <si>
    <t>305111fa-5a31-4773-ab5d-65e85cbc1d39</t>
  </si>
  <si>
    <t>2026-05-12 09:45:55</t>
  </si>
  <si>
    <t>27606414155</t>
  </si>
  <si>
    <t>14300464</t>
  </si>
  <si>
    <t>15886aad-b69e-4597-b0fd-368f054814a0</t>
  </si>
  <si>
    <t>27608320237</t>
  </si>
  <si>
    <t>2026-05-12 09:45:45</t>
  </si>
  <si>
    <t>14302060</t>
  </si>
  <si>
    <t>0ac62b03-909c-49b3-8210-9b8f663908bf</t>
  </si>
  <si>
    <t>2026-05-12 09:44:19</t>
  </si>
  <si>
    <t>27822966566</t>
  </si>
  <si>
    <t>14299175</t>
  </si>
  <si>
    <t>6d410ff2-2000-4522-bded-b91ad59f5576</t>
  </si>
  <si>
    <t>27725452100</t>
  </si>
  <si>
    <t>2026-05-12 09:42:27</t>
  </si>
  <si>
    <t>14301275</t>
  </si>
  <si>
    <t>94dcb862-a6e0-4aa1-9138-8af5ea6cb23f</t>
  </si>
  <si>
    <t>2026-05-12 09:40:16</t>
  </si>
  <si>
    <t>27637069021</t>
  </si>
  <si>
    <t>14300232</t>
  </si>
  <si>
    <t>722c10a2-3e62-48ab-a03c-c9cba4b0543d</t>
  </si>
  <si>
    <t>2026-05-12 09:36:59</t>
  </si>
  <si>
    <t>27824219874</t>
  </si>
  <si>
    <t>14301439</t>
  </si>
  <si>
    <t>c5a1bac6-a367-415e-8b79-c3cf7a0598bf</t>
  </si>
  <si>
    <t>27660973340</t>
  </si>
  <si>
    <t>2026-05-12 09:36:58</t>
  </si>
  <si>
    <t>14300218</t>
  </si>
  <si>
    <t>1b24b085-0805-4367-a012-70b91bd198bb</t>
  </si>
  <si>
    <t>2026-05-12 09:35:36</t>
  </si>
  <si>
    <t>27726687943</t>
  </si>
  <si>
    <t>14299939</t>
  </si>
  <si>
    <t>4aa4686a-1002-4648-9f30-1ea3dc13dbf1</t>
  </si>
  <si>
    <t>27769105947</t>
  </si>
  <si>
    <t>2026-05-12 09:33:43</t>
  </si>
  <si>
    <t>14301428</t>
  </si>
  <si>
    <t>2696eafc-a3f0-4193-acca-f313bee176a3</t>
  </si>
  <si>
    <t>27720556888</t>
  </si>
  <si>
    <t>2026-05-12 09:32:37</t>
  </si>
  <si>
    <t>14301432</t>
  </si>
  <si>
    <t>6cdda0fe-63a1-4dd1-a69f-cb4bdf389869</t>
  </si>
  <si>
    <t>27608451931</t>
  </si>
  <si>
    <t>14301330</t>
  </si>
  <si>
    <t>7a505bd0-e27c-4bfd-96eb-78b3fa615088</t>
  </si>
  <si>
    <t>27722170629</t>
  </si>
  <si>
    <t>2026-05-12 09:31:05</t>
  </si>
  <si>
    <t>14299950</t>
  </si>
  <si>
    <t>5ca5173a-d40a-412e-906f-dd452a950fee</t>
  </si>
  <si>
    <t>2026-05-12 09:31:01</t>
  </si>
  <si>
    <t>27648713953</t>
  </si>
  <si>
    <t>14300219</t>
  </si>
  <si>
    <t>02a48d44-b3e1-4cf7-9865-1988245d251b</t>
  </si>
  <si>
    <t>2026-05-12 09:28:50</t>
  </si>
  <si>
    <t>27608505667</t>
  </si>
  <si>
    <t>14301024</t>
  </si>
  <si>
    <t>31acc2fd-498f-4054-8046-721730fa4d93</t>
  </si>
  <si>
    <t>2026-05-12 09:26:14</t>
  </si>
  <si>
    <t>27767702508</t>
  </si>
  <si>
    <t>14301939</t>
  </si>
  <si>
    <t>e961dc80-00b0-4a48-8967-cce6bdddb55b</t>
  </si>
  <si>
    <t>2026-05-12 09:24:38</t>
  </si>
  <si>
    <t>27817454875</t>
  </si>
  <si>
    <t>14301354</t>
  </si>
  <si>
    <t>2fc6b1e9-f47b-41e1-b797-5294529f5d60</t>
  </si>
  <si>
    <t>2026-05-12 09:23:45</t>
  </si>
  <si>
    <t>27791515543</t>
  </si>
  <si>
    <t>14301924</t>
  </si>
  <si>
    <t>db38e551-eee7-4ed7-a493-0bb9b3c92b22</t>
  </si>
  <si>
    <t>2026-05-12 09:22:28</t>
  </si>
  <si>
    <t>27724393145</t>
  </si>
  <si>
    <t>14299962</t>
  </si>
  <si>
    <t>09b0423c-a953-4951-a4fb-a2fe51ff372e</t>
  </si>
  <si>
    <t>2026-05-12 09:21:53</t>
  </si>
  <si>
    <t>27713891635</t>
  </si>
  <si>
    <t>14301899</t>
  </si>
  <si>
    <t>7dbe39e9-9424-42cc-bd2e-8e5784f86e66</t>
  </si>
  <si>
    <t>27637974014</t>
  </si>
  <si>
    <t>2026-05-12 09:20:24</t>
  </si>
  <si>
    <t>14300184</t>
  </si>
  <si>
    <t>038952e1-6892-4c57-9fae-ac15c9f52c66</t>
  </si>
  <si>
    <t>2026-05-12 09:17:39</t>
  </si>
  <si>
    <t>27715552299</t>
  </si>
  <si>
    <t>14301892</t>
  </si>
  <si>
    <t>52f3f95a-3f1a-46b7-a6c5-0574f7ce40d5</t>
  </si>
  <si>
    <t>2026-05-12 09:16:46</t>
  </si>
  <si>
    <t>27786815925</t>
  </si>
  <si>
    <t>14301864</t>
  </si>
  <si>
    <t>98e2be15-f659-4509-a047-bcd0e0a56450</t>
  </si>
  <si>
    <t>2026-05-12 09:14:56</t>
  </si>
  <si>
    <t>27792171407</t>
  </si>
  <si>
    <t>14301177</t>
  </si>
  <si>
    <t>7b65a967-7c7e-4c2b-888b-4a7180a3ddf4</t>
  </si>
  <si>
    <t>2026-05-12 09:09:04</t>
  </si>
  <si>
    <t>27823371291</t>
  </si>
  <si>
    <t>14301188</t>
  </si>
  <si>
    <t>85d91f44-a53b-478b-b481-ba20e9d156ec</t>
  </si>
  <si>
    <t>2026-05-12 09:08:42</t>
  </si>
  <si>
    <t>27637527124</t>
  </si>
  <si>
    <t>14301074</t>
  </si>
  <si>
    <t>507bb085-cea4-492e-a029-25ccea53a9ea</t>
  </si>
  <si>
    <t>2026-05-12 09:04:41</t>
  </si>
  <si>
    <t>27648826490</t>
  </si>
  <si>
    <t>14301071</t>
  </si>
  <si>
    <t>c87f018c-666b-4190-913b-887781102e85</t>
  </si>
  <si>
    <t>27649905485</t>
  </si>
  <si>
    <t>2026-05-12 08:59:52</t>
  </si>
  <si>
    <t>14299990</t>
  </si>
  <si>
    <t>9f38dfc2-b99c-46c1-ba86-af0811cc3199</t>
  </si>
  <si>
    <t>2026-05-12 08:58:39</t>
  </si>
  <si>
    <t>27762172762</t>
  </si>
  <si>
    <t>14301754</t>
  </si>
  <si>
    <t>becc56f7-77b1-4675-8f42-74787ab042cd</t>
  </si>
  <si>
    <t>27713348032</t>
  </si>
  <si>
    <t>2026-05-12 08:56:40</t>
  </si>
  <si>
    <t>14301546</t>
  </si>
  <si>
    <t>3b704826-bbaa-4a6f-a54d-21bea2078c84</t>
  </si>
  <si>
    <t>2026-05-12 08:56:30</t>
  </si>
  <si>
    <t>27649712666</t>
  </si>
  <si>
    <t>14300174</t>
  </si>
  <si>
    <t>c0e65798-c046-43bb-ad6d-2a9db6ad7a9e</t>
  </si>
  <si>
    <t>27764888891</t>
  </si>
  <si>
    <t>2026-05-12 08:53:51</t>
  </si>
  <si>
    <t>14300172</t>
  </si>
  <si>
    <t>0555c4fb-72be-4614-9764-a44651fd0757</t>
  </si>
  <si>
    <t>2026-05-12 08:50:37</t>
  </si>
  <si>
    <t>27767845377</t>
  </si>
  <si>
    <t>14300165</t>
  </si>
  <si>
    <t>9c354200-3784-45d9-9837-3d301cc3c94e</t>
  </si>
  <si>
    <t>27725522648</t>
  </si>
  <si>
    <t>2026-05-12 08:48:27</t>
  </si>
  <si>
    <t>14300074</t>
  </si>
  <si>
    <t>cb7a9784-d07d-48f7-8b6b-3d0bd9002341</t>
  </si>
  <si>
    <t>27818136024</t>
  </si>
  <si>
    <t>2026-05-12 08:48:26</t>
  </si>
  <si>
    <t>14300964</t>
  </si>
  <si>
    <t>558c762f-f064-4787-b53c-9ac970b4eaed</t>
  </si>
  <si>
    <t>2026-05-12 08:47:00</t>
  </si>
  <si>
    <t>27793466381</t>
  </si>
  <si>
    <t>14300967</t>
  </si>
  <si>
    <t>a19f0ba6-6a17-4159-8383-0c65592967b9</t>
  </si>
  <si>
    <t>27790827565</t>
  </si>
  <si>
    <t>14299998</t>
  </si>
  <si>
    <t>ec85021f-fc8b-4b44-8e1e-f7b0276efdd8</t>
  </si>
  <si>
    <t>2026-05-12 08:44:49</t>
  </si>
  <si>
    <t>27796142583</t>
  </si>
  <si>
    <t>14300034</t>
  </si>
  <si>
    <t>9f4458e8-07c9-49ef-9537-ea13ea3da29b</t>
  </si>
  <si>
    <t>2026-05-12 08:44:47</t>
  </si>
  <si>
    <t>27727883822</t>
  </si>
  <si>
    <t>14301742</t>
  </si>
  <si>
    <t>1a549b64-eeae-4e78-b53b-f07a5d41b5b7</t>
  </si>
  <si>
    <t>27820572336</t>
  </si>
  <si>
    <t>2026-05-12 08:43:27</t>
  </si>
  <si>
    <t>14300827</t>
  </si>
  <si>
    <t>04ed8574-e61a-4e52-b517-5ff13ccd2d9d</t>
  </si>
  <si>
    <t>27661152703</t>
  </si>
  <si>
    <t>2026-05-12 08:39:18</t>
  </si>
  <si>
    <t>14300855</t>
  </si>
  <si>
    <t>911cd1f0-b315-4d2f-91ec-8d4813180b7d</t>
  </si>
  <si>
    <t>2026-05-12 08:37:52</t>
  </si>
  <si>
    <t>27729664367</t>
  </si>
  <si>
    <t>14300884</t>
  </si>
  <si>
    <t>6565b9f0-f0d9-4d0b-b6ad-f3d608104e73</t>
  </si>
  <si>
    <t>27721814534</t>
  </si>
  <si>
    <t>2026-05-12 08:33:39</t>
  </si>
  <si>
    <t>14301840</t>
  </si>
  <si>
    <t>158cf7d6-4b15-49b0-aed2-d05c16a7c157</t>
  </si>
  <si>
    <t>27712467183</t>
  </si>
  <si>
    <t>2026-05-12 08:33:36</t>
  </si>
  <si>
    <t>14302320</t>
  </si>
  <si>
    <t>971e9e43-d775-47b3-b819-3f5d3bd6a6a7</t>
  </si>
  <si>
    <t>2026-05-12 08:28:42</t>
  </si>
  <si>
    <t>27791392572</t>
  </si>
  <si>
    <t>14300014</t>
  </si>
  <si>
    <t>3a22a33d-0594-4133-87cb-32a57aec58bb</t>
  </si>
  <si>
    <t>2026-05-12 08:24:06</t>
  </si>
  <si>
    <t>27723470700</t>
  </si>
  <si>
    <t>14300699</t>
  </si>
  <si>
    <t>36d8418e-aad7-4f14-b37b-b2633f705508</t>
  </si>
  <si>
    <t>2026-05-12 08:03:29</t>
  </si>
  <si>
    <t>27660446228</t>
  </si>
  <si>
    <t>14297998</t>
  </si>
  <si>
    <t>f2c6529e-a8ce-471f-b675-64205d385eae</t>
  </si>
  <si>
    <t>27664018031</t>
  </si>
  <si>
    <t>2026-05-12 08:01:05</t>
  </si>
  <si>
    <t>14300086</t>
  </si>
  <si>
    <t>b290f278-2eb7-4db5-83a3-d830a282f528</t>
  </si>
  <si>
    <t>27711080243</t>
  </si>
  <si>
    <t>2026-05-12 08:00:45</t>
  </si>
  <si>
    <t>14300119</t>
  </si>
  <si>
    <t>7dd01efe-97d0-427f-90dc-ef3f84e91e5e</t>
  </si>
  <si>
    <t>2026-05-12 07:57:39</t>
  </si>
  <si>
    <t>27797544289</t>
  </si>
  <si>
    <t>14300118</t>
  </si>
  <si>
    <t>bc1f3a0c-f7f5-41bb-b68e-0a27575fcce4</t>
  </si>
  <si>
    <t>2026-05-12 07:57:36</t>
  </si>
  <si>
    <t>27761380264</t>
  </si>
  <si>
    <t>14300162</t>
  </si>
  <si>
    <t>0f837a0f-44c2-4483-9c3b-7babf75cd415</t>
  </si>
  <si>
    <t>2026-05-12 07:56:11</t>
  </si>
  <si>
    <t>27839999558</t>
  </si>
  <si>
    <t>14301695</t>
  </si>
  <si>
    <t>411154d3-9e73-42fe-a6e3-59aa18f4d105</t>
  </si>
  <si>
    <t>27726852003</t>
  </si>
  <si>
    <t>14298967</t>
  </si>
  <si>
    <t>62ca1243-5ab2-44d2-af91-fc2838ba9bca</t>
  </si>
  <si>
    <t>2026-05-12 07:56:00</t>
  </si>
  <si>
    <t>27663293133</t>
  </si>
  <si>
    <t>14300401</t>
  </si>
  <si>
    <t>53b95fa0-3b9f-4cc8-953d-ce6619f5ddf3</t>
  </si>
  <si>
    <t>2026-05-12 07:54:52</t>
  </si>
  <si>
    <t>27822800998</t>
  </si>
  <si>
    <t>14300150</t>
  </si>
  <si>
    <t>d24321e1-75f1-49d2-aab6-0676a3ab98ff</t>
  </si>
  <si>
    <t>2026-05-12 07:54:48</t>
  </si>
  <si>
    <t>27607026403</t>
  </si>
  <si>
    <t>14300281</t>
  </si>
  <si>
    <t>aeccda46-42d2-4fab-b9c1-0d7830f30891</t>
  </si>
  <si>
    <t>27662214753</t>
  </si>
  <si>
    <t>2026-05-12 07:52:43</t>
  </si>
  <si>
    <t>14300395</t>
  </si>
  <si>
    <t>7d5bbb9a-8067-4bb0-90de-f31e80f76738</t>
  </si>
  <si>
    <t>27728533167</t>
  </si>
  <si>
    <t>2026-05-12 07:52:15</t>
  </si>
  <si>
    <t>14302463</t>
  </si>
  <si>
    <t>4778a891-b814-4233-81b3-79c7bbd96064</t>
  </si>
  <si>
    <t>2026-05-12 07:51:24</t>
  </si>
  <si>
    <t>27829594458</t>
  </si>
  <si>
    <t>14301852</t>
  </si>
  <si>
    <t>a47b2855-4fd0-4d59-ad5d-5895d3e3826f</t>
  </si>
  <si>
    <t>2026-05-12 07:51:22</t>
  </si>
  <si>
    <t>27796373738</t>
  </si>
  <si>
    <t>14302443</t>
  </si>
  <si>
    <t>ca95fc7e-943d-41df-962f-410484fa28a7</t>
  </si>
  <si>
    <t>27799330941</t>
  </si>
  <si>
    <t>2026-05-12 07:49:59</t>
  </si>
  <si>
    <t>14301878</t>
  </si>
  <si>
    <t>4892c7cd-c367-45ed-b61e-fb2764dd790b</t>
  </si>
  <si>
    <t>2026-05-12 07:49:20</t>
  </si>
  <si>
    <t>27768541280</t>
  </si>
  <si>
    <t>14302252</t>
  </si>
  <si>
    <t>a667e219-3214-4e07-93d4-1b1aa959ed33</t>
  </si>
  <si>
    <t>2026-05-12 07:47:41</t>
  </si>
  <si>
    <t>27720330220</t>
  </si>
  <si>
    <t>14298012</t>
  </si>
  <si>
    <t>9cc441d7-62a8-4f53-baad-1630f148e811</t>
  </si>
  <si>
    <t>2026-05-12 07:46:56</t>
  </si>
  <si>
    <t>27799368634</t>
  </si>
  <si>
    <t>14302506</t>
  </si>
  <si>
    <t>f3042da5-4175-4058-b4fc-d22e97b70f55</t>
  </si>
  <si>
    <t>27675371128</t>
  </si>
  <si>
    <t>2026-05-12 07:44:15</t>
  </si>
  <si>
    <t>14302090</t>
  </si>
  <si>
    <t>56a48e85-2801-41a8-9017-483201a93c40</t>
  </si>
  <si>
    <t>2026-05-12 07:43:43</t>
  </si>
  <si>
    <t>27766348747</t>
  </si>
  <si>
    <t>14300327</t>
  </si>
  <si>
    <t>22426f7f-c676-4a9b-8b24-632a34749e84</t>
  </si>
  <si>
    <t>2026-05-12 07:36:08</t>
  </si>
  <si>
    <t>27723887184</t>
  </si>
  <si>
    <t>14300725</t>
  </si>
  <si>
    <t>6d57be09-1655-46cb-9ad1-4089b89a557c</t>
  </si>
  <si>
    <t>2026-05-12 07:35:14</t>
  </si>
  <si>
    <t>27725705667</t>
  </si>
  <si>
    <t>14300728</t>
  </si>
  <si>
    <t>661285a7-a6e1-43e0-8490-3e57ac00304b</t>
  </si>
  <si>
    <t>2026-05-12 07:34:31</t>
  </si>
  <si>
    <t>27762085984</t>
  </si>
  <si>
    <t>14302220</t>
  </si>
  <si>
    <t>d196ff1b-241d-4931-ba88-17a4a4512e21</t>
  </si>
  <si>
    <t>2026-05-12 07:30:55</t>
  </si>
  <si>
    <t>27824726410</t>
  </si>
  <si>
    <t>14300425</t>
  </si>
  <si>
    <t>28113ab7-4070-4bf8-a375-060b72f45d4a</t>
  </si>
  <si>
    <t>2026-05-12 07:30:08</t>
  </si>
  <si>
    <t>27726735059</t>
  </si>
  <si>
    <t>14300461</t>
  </si>
  <si>
    <t>10b56621-129e-4202-bdba-7a8f3ee122f4</t>
  </si>
  <si>
    <t>27724611566</t>
  </si>
  <si>
    <t>2026-05-12 07:29:04</t>
  </si>
  <si>
    <t>14297637</t>
  </si>
  <si>
    <t>91f00532-5d5c-4e70-a245-f2270bd8097e</t>
  </si>
  <si>
    <t>27823517622</t>
  </si>
  <si>
    <t>2026-05-12 07:27:47</t>
  </si>
  <si>
    <t>14302305</t>
  </si>
  <si>
    <t>fa22f1a6-6515-4196-a27a-148f2086a3ed</t>
  </si>
  <si>
    <t>2026-05-12 07:27:10</t>
  </si>
  <si>
    <t>27763240234</t>
  </si>
  <si>
    <t>14297737</t>
  </si>
  <si>
    <t>c18f641e-cd4e-4cf9-81e4-a00d8e616279</t>
  </si>
  <si>
    <t>27712255151</t>
  </si>
  <si>
    <t>2026-05-12 07:23:29</t>
  </si>
  <si>
    <t>14300574</t>
  </si>
  <si>
    <t>1d75ab0d-8708-42e1-85ff-0aa02bcdc95f</t>
  </si>
  <si>
    <t>2026-05-12 07:22:45</t>
  </si>
  <si>
    <t>27726276818</t>
  </si>
  <si>
    <t>14298093</t>
  </si>
  <si>
    <t>33b28780-8e0f-4f39-bde3-4550f391f9d4</t>
  </si>
  <si>
    <t>27795303718</t>
  </si>
  <si>
    <t>2026-05-12 07:21:12</t>
  </si>
  <si>
    <t>14298094</t>
  </si>
  <si>
    <t>24471341-27e1-44b4-9e48-22f706dc0326</t>
  </si>
  <si>
    <t>27724518550</t>
  </si>
  <si>
    <t>14298090</t>
  </si>
  <si>
    <t>ff86862b-40a3-4cae-8d18-279e48a5b0ad</t>
  </si>
  <si>
    <t>2026-05-12 07:21:10</t>
  </si>
  <si>
    <t>27764928816</t>
  </si>
  <si>
    <t>14298081</t>
  </si>
  <si>
    <t>35a43743-170b-49f4-9e29-32bfc53acb57</t>
  </si>
  <si>
    <t>2026-05-12 07:20:47</t>
  </si>
  <si>
    <t>27715471289</t>
  </si>
  <si>
    <t>14301849</t>
  </si>
  <si>
    <t>87bfebc7-92be-4f55-8d7b-326faf051edf</t>
  </si>
  <si>
    <t>DQQD</t>
  </si>
  <si>
    <t>DNQ Quote Declined</t>
  </si>
  <si>
    <t>2026-05-12 07:20:29</t>
  </si>
  <si>
    <t>27729397717</t>
  </si>
  <si>
    <t>14300564</t>
  </si>
  <si>
    <t>b6dea54f-e099-477e-b0a9-bec62ab55e3f</t>
  </si>
  <si>
    <t>2026-05-12 07:19:08</t>
  </si>
  <si>
    <t>27783864995</t>
  </si>
  <si>
    <t>14300557</t>
  </si>
  <si>
    <t>52367e89-62cd-48de-9c1a-247559c8dc76</t>
  </si>
  <si>
    <t>2026-05-12 07:18:45</t>
  </si>
  <si>
    <t>27762102921</t>
  </si>
  <si>
    <t>14300587</t>
  </si>
  <si>
    <t>ba5858fc-1939-428e-b50d-d1fbecd83612</t>
  </si>
  <si>
    <t>27791984024</t>
  </si>
  <si>
    <t>2026-05-12 07:17:53</t>
  </si>
  <si>
    <t>14300581</t>
  </si>
  <si>
    <t>ebc927f8-f8c6-4c5e-8731-c6004320d4e7</t>
  </si>
  <si>
    <t>2026-05-12 07:17:49</t>
  </si>
  <si>
    <t>27763798265</t>
  </si>
  <si>
    <t>14300575</t>
  </si>
  <si>
    <t>16b898ae-22fe-4881-9175-cbd2cd3d993f</t>
  </si>
  <si>
    <t>27766479239</t>
  </si>
  <si>
    <t>2026-05-12 07:17:33</t>
  </si>
  <si>
    <t>14300613</t>
  </si>
  <si>
    <t>7cab2ad6-8f69-4278-a525-38004d3770be</t>
  </si>
  <si>
    <t>2026-05-12 07:14:54</t>
  </si>
  <si>
    <t>27720938160</t>
  </si>
  <si>
    <t>14300639</t>
  </si>
  <si>
    <t>5a6f7bdb-3edc-429a-a690-e20ddfb1b88c</t>
  </si>
  <si>
    <t>2026-05-12 07:14:15</t>
  </si>
  <si>
    <t>27818987453</t>
  </si>
  <si>
    <t>14300638</t>
  </si>
  <si>
    <t>e959ca14-797b-453b-8b29-e71b7bc8e5ef</t>
  </si>
  <si>
    <t>2026-05-12 07:14:07</t>
  </si>
  <si>
    <t>27828441345</t>
  </si>
  <si>
    <t>14297652</t>
  </si>
  <si>
    <t>c79ff50b-7769-4fe1-b6ef-b685cf804a9f</t>
  </si>
  <si>
    <t>2026-05-12 07:11:54</t>
  </si>
  <si>
    <t>27760382617</t>
  </si>
  <si>
    <t>14297635</t>
  </si>
  <si>
    <t>8bdc4bc1-eec5-4027-a218-e550a63a5925</t>
  </si>
  <si>
    <t>2026-05-12 07:11:47</t>
  </si>
  <si>
    <t>27720272150</t>
  </si>
  <si>
    <t>14300657</t>
  </si>
  <si>
    <t>e7e2f383-8d9f-4f1b-a155-9a8ebf589a59</t>
  </si>
  <si>
    <t>2026-05-12 07:09:54</t>
  </si>
  <si>
    <t>27824736030</t>
  </si>
  <si>
    <t>14300658</t>
  </si>
  <si>
    <t>c42a8327-b4aa-4ae8-9e33-92fd84731264</t>
  </si>
  <si>
    <t>27664725065</t>
  </si>
  <si>
    <t>14297682</t>
  </si>
  <si>
    <t>094df509-f9e0-43cd-9cd8-e75c218101af</t>
  </si>
  <si>
    <t>2026-05-12 06:34:16</t>
  </si>
  <si>
    <t>27829603898</t>
  </si>
  <si>
    <t>14300669</t>
  </si>
  <si>
    <t>2bcaff71-3d3c-4bb4-bb67-c8a0c95d99ae</t>
  </si>
  <si>
    <t>27793718681</t>
  </si>
  <si>
    <t>2026-05-12 06:32:36</t>
  </si>
  <si>
    <t>14297775</t>
  </si>
  <si>
    <t>1efe15ec-15e5-4843-bc6c-47ccb8d1bbdb</t>
  </si>
  <si>
    <t>2026-05-12 06:31:29</t>
  </si>
  <si>
    <t>27636582129</t>
  </si>
  <si>
    <t>14300732</t>
  </si>
  <si>
    <t>a27b1af3-37bb-4878-b0fb-bd382567fefa</t>
  </si>
  <si>
    <t>27727366216</t>
  </si>
  <si>
    <t>2026-05-12 06:18:36</t>
  </si>
  <si>
    <t>14300734</t>
  </si>
  <si>
    <t>51740b6d-755e-41d0-bea8-d0aeb564eedf</t>
  </si>
  <si>
    <t>27723542057</t>
  </si>
  <si>
    <t>2026-05-12 06:17:16</t>
  </si>
  <si>
    <t>14297856</t>
  </si>
  <si>
    <t>3b81ac05-ef52-4fc8-972b-a72ab8c86193</t>
  </si>
  <si>
    <t>2026-05-12 06:16:22</t>
  </si>
  <si>
    <t>27765817186</t>
  </si>
  <si>
    <t>14300767</t>
  </si>
  <si>
    <t>d8a05d01-7ed5-44b4-b3b0-9ff84698b6e7</t>
  </si>
  <si>
    <t>2026-05-12 06:15:24</t>
  </si>
  <si>
    <t>27648122927</t>
  </si>
  <si>
    <t>14300707</t>
  </si>
  <si>
    <t>0f310101-641e-4d0a-8a43-3bb728a4a8c7</t>
  </si>
  <si>
    <t>27608832033</t>
  </si>
  <si>
    <t>2026-05-12 06:12:50</t>
  </si>
  <si>
    <t>14300756</t>
  </si>
  <si>
    <t>b067f94e-c733-44dc-9c98-065a118165f6</t>
  </si>
  <si>
    <t>2026-05-12 06:07:51</t>
  </si>
  <si>
    <t>27712914262</t>
  </si>
  <si>
    <t>14300248</t>
  </si>
  <si>
    <t>d9155d63-2d90-4f3a-b99b-7f57574afb3f</t>
  </si>
  <si>
    <t>27711874679</t>
  </si>
  <si>
    <t>2026-05-11 14:47:24</t>
  </si>
  <si>
    <t>14302251</t>
  </si>
  <si>
    <t>bf65b7b6-4e76-4744-a6e3-1d8b0b12c059</t>
  </si>
  <si>
    <t>27716632562</t>
  </si>
  <si>
    <t>2026-05-11 14:34:27</t>
  </si>
  <si>
    <t>14300356</t>
  </si>
  <si>
    <t>8cd4949b-8de6-46c2-85b4-a8c31a55f98f</t>
  </si>
  <si>
    <t>2026-05-11 14:29:47</t>
  </si>
  <si>
    <t>27726334994</t>
  </si>
  <si>
    <t>14302366</t>
  </si>
  <si>
    <t>62ad39ba-23c1-486a-ad5f-aad412417419</t>
  </si>
  <si>
    <t>2026-05-11 14:28:42</t>
  </si>
  <si>
    <t>27799610246</t>
  </si>
  <si>
    <t>14302363</t>
  </si>
  <si>
    <t>b464dfc7-0100-468a-a2ac-e128728de649</t>
  </si>
  <si>
    <t>2026-05-11 14:27:34</t>
  </si>
  <si>
    <t>27820594643</t>
  </si>
  <si>
    <t>14302258</t>
  </si>
  <si>
    <t>5c56133e-c55e-43de-a4ee-e6d8d0507206</t>
  </si>
  <si>
    <t>2026-05-11 14:27:29</t>
  </si>
  <si>
    <t>27764901230</t>
  </si>
  <si>
    <t>14301424</t>
  </si>
  <si>
    <t>322eccbd-fd8d-4b34-8def-2d23c17f2af6</t>
  </si>
  <si>
    <t>2026-05-11 14:22:08</t>
  </si>
  <si>
    <t>27714367075</t>
  </si>
  <si>
    <t>14300365</t>
  </si>
  <si>
    <t>4b04bbb4-6389-4a95-8a28-d1ceb376c52b</t>
  </si>
  <si>
    <t>2026-05-11 14:19:09</t>
  </si>
  <si>
    <t>27712047066</t>
  </si>
  <si>
    <t>14301700</t>
  </si>
  <si>
    <t>f185b78a-441b-4a07-98c6-2d674a2fc7be</t>
  </si>
  <si>
    <t>2026-05-11 14:17:00</t>
  </si>
  <si>
    <t>27764288044</t>
  </si>
  <si>
    <t>14298147</t>
  </si>
  <si>
    <t>526730b4-e98b-4aee-8191-4efe56e11cb4</t>
  </si>
  <si>
    <t>27791901327</t>
  </si>
  <si>
    <t>2026-05-11 14:15:12</t>
  </si>
  <si>
    <t>14300288</t>
  </si>
  <si>
    <t>788147fa-ec36-4403-a696-1b69b0a2dd79</t>
  </si>
  <si>
    <t>2026-05-11 14:14:47</t>
  </si>
  <si>
    <t>27798079262</t>
  </si>
  <si>
    <t>14300310</t>
  </si>
  <si>
    <t>e57036b6-3d70-4c62-a786-ae7992e84ff1</t>
  </si>
  <si>
    <t>2026-05-11 14:14:23</t>
  </si>
  <si>
    <t>27769789597</t>
  </si>
  <si>
    <t>14298865</t>
  </si>
  <si>
    <t>8ce61992-dd90-4dae-9005-5b9385b2c006</t>
  </si>
  <si>
    <t>27723749244</t>
  </si>
  <si>
    <t>2026-05-11 14:13:37</t>
  </si>
  <si>
    <t>14301377</t>
  </si>
  <si>
    <t>4a338ecc-35e9-4960-b6c3-dcf62dafcf87</t>
  </si>
  <si>
    <t>2026-05-11 14:13:31</t>
  </si>
  <si>
    <t>27772994356</t>
  </si>
  <si>
    <t>14299220</t>
  </si>
  <si>
    <t>e1df534b-90d5-45c2-a4fd-fb0dbcdee0c8</t>
  </si>
  <si>
    <t>2026-05-11 14:12:10</t>
  </si>
  <si>
    <t>27715204690</t>
  </si>
  <si>
    <t>14298109</t>
  </si>
  <si>
    <t>79095474-430a-475d-91aa-fabdbceac5de</t>
  </si>
  <si>
    <t>2026-05-11 14:11:44</t>
  </si>
  <si>
    <t>27607607153</t>
  </si>
  <si>
    <t>14301838</t>
  </si>
  <si>
    <t>23ec8454-2066-4773-b5d6-a3a733fd340a</t>
  </si>
  <si>
    <t>27761023776</t>
  </si>
  <si>
    <t>2026-05-11 14:08:33</t>
  </si>
  <si>
    <t>14301741</t>
  </si>
  <si>
    <t>b8497350-a396-47e2-a71c-eb9f01ca26a5</t>
  </si>
  <si>
    <t>2026-05-11 13:12:41</t>
  </si>
  <si>
    <t>27827619871</t>
  </si>
  <si>
    <t>14302044</t>
  </si>
  <si>
    <t>4123dc69-6fb7-4a10-8975-bcc6ce68015e</t>
  </si>
  <si>
    <t>2026-05-11 13:12:23</t>
  </si>
  <si>
    <t>27828484027</t>
  </si>
  <si>
    <t>14299488</t>
  </si>
  <si>
    <t>4c53e5bb-8b3e-49cc-8527-df48f412904b</t>
  </si>
  <si>
    <t>27715170181</t>
  </si>
  <si>
    <t>2026-05-11 13:10:35</t>
  </si>
  <si>
    <t>14298101</t>
  </si>
  <si>
    <t>8c5c7898-d232-4737-bc3f-3ad720a6301b</t>
  </si>
  <si>
    <t>2026-05-11 13:10:24</t>
  </si>
  <si>
    <t>27818779573</t>
  </si>
  <si>
    <t>14298123</t>
  </si>
  <si>
    <t>8a23d50c-802a-4f66-898b-5d2b45ec43ca</t>
  </si>
  <si>
    <t>27764487549</t>
  </si>
  <si>
    <t>2026-05-11 12:32:33</t>
  </si>
  <si>
    <t>14298228</t>
  </si>
  <si>
    <t>a1de00f5-6be3-4499-9af7-3057dac0ab5b</t>
  </si>
  <si>
    <t>27649455467</t>
  </si>
  <si>
    <t>2026-05-11 12:31:16</t>
  </si>
  <si>
    <t>14301145</t>
  </si>
  <si>
    <t>3a8196a0-5d2e-4912-a1ff-89761a4f9d8e</t>
  </si>
  <si>
    <t>2026-05-11 12:30:59</t>
  </si>
  <si>
    <t>27673238985</t>
  </si>
  <si>
    <t>14301533</t>
  </si>
  <si>
    <t>f6ce83a3-c601-4b71-bad2-02796d67089d</t>
  </si>
  <si>
    <t>2026-05-11 12:28:35</t>
  </si>
  <si>
    <t>27714368123</t>
  </si>
  <si>
    <t>14302156</t>
  </si>
  <si>
    <t>a6f1d661-3bef-4837-90e5-7925bbdd76b5</t>
  </si>
  <si>
    <t>2026-05-11 12:26:12</t>
  </si>
  <si>
    <t>27761446913</t>
  </si>
  <si>
    <t>14301079</t>
  </si>
  <si>
    <t>bc9cb804-e542-4c23-9c11-5e5ed6207318</t>
  </si>
  <si>
    <t>2026-05-11 12:25:20</t>
  </si>
  <si>
    <t>27636614101</t>
  </si>
  <si>
    <t>14298064</t>
  </si>
  <si>
    <t>bb55761a-b590-44fa-ad77-a32e1e02b051</t>
  </si>
  <si>
    <t>2026-05-11 12:24:37</t>
  </si>
  <si>
    <t>27766236134</t>
  </si>
  <si>
    <t>14302089</t>
  </si>
  <si>
    <t>98d41ee1-8a8c-49e1-9156-268b2a7783d2</t>
  </si>
  <si>
    <t>2026-05-11 12:24:31</t>
  </si>
  <si>
    <t>27636169775</t>
  </si>
  <si>
    <t>14301090</t>
  </si>
  <si>
    <t>13d472bb-94f1-414b-8212-e08afdb710b5</t>
  </si>
  <si>
    <t>2026-05-11 12:23:27</t>
  </si>
  <si>
    <t>27711124777</t>
  </si>
  <si>
    <t>14298150</t>
  </si>
  <si>
    <t>927b8ab0-eca0-4f22-b57f-9825a2e6620d</t>
  </si>
  <si>
    <t>2026-05-11 12:17:41</t>
  </si>
  <si>
    <t>27797620791</t>
  </si>
  <si>
    <t>14298028</t>
  </si>
  <si>
    <t>5fab031a-23f4-4856-9d6e-a0e2ed0367e3</t>
  </si>
  <si>
    <t>2026-05-11 12:17:06</t>
  </si>
  <si>
    <t>27766801899</t>
  </si>
  <si>
    <t>14301753</t>
  </si>
  <si>
    <t>ca17be9e-efb0-450b-a057-0781c5ee181d</t>
  </si>
  <si>
    <t>2026-05-11 12:15:13</t>
  </si>
  <si>
    <t>27822541865</t>
  </si>
  <si>
    <t>14301023</t>
  </si>
  <si>
    <t>82040844-2988-4570-b784-224eae816ccc</t>
  </si>
  <si>
    <t>2026-05-11 12:14:19</t>
  </si>
  <si>
    <t>27712174412</t>
  </si>
  <si>
    <t>14298330</t>
  </si>
  <si>
    <t>9154b7a2-72fb-41da-bbca-7bce299bad4d</t>
  </si>
  <si>
    <t>2026-05-11 12:14:17</t>
  </si>
  <si>
    <t>27723056545</t>
  </si>
  <si>
    <t>14299289</t>
  </si>
  <si>
    <t>bae0fd94-d95f-4b24-8f6a-426ed480d0b9</t>
  </si>
  <si>
    <t>2026-05-11 12:11:59</t>
  </si>
  <si>
    <t>27722706108</t>
  </si>
  <si>
    <t>14302086</t>
  </si>
  <si>
    <t>b4dc0787-022e-455b-a7f7-dd7b307ad167</t>
  </si>
  <si>
    <t>27826811654</t>
  </si>
  <si>
    <t>14301532</t>
  </si>
  <si>
    <t>84c7bc82-5fdf-4631-8baf-be0bf5015f37</t>
  </si>
  <si>
    <t>2026-05-11 12:10:47</t>
  </si>
  <si>
    <t>27716194437</t>
  </si>
  <si>
    <t>14301530</t>
  </si>
  <si>
    <t>640dfcd7-7686-401a-8e0c-b3733f520448</t>
  </si>
  <si>
    <t>2026-05-11 12:10:41</t>
  </si>
  <si>
    <t>27790669069</t>
  </si>
  <si>
    <t>14299295</t>
  </si>
  <si>
    <t>c66f3805-0852-4b32-82f7-66203b4ee000</t>
  </si>
  <si>
    <t>2026-05-11 12:08:08</t>
  </si>
  <si>
    <t>27607208562</t>
  </si>
  <si>
    <t>14299203</t>
  </si>
  <si>
    <t>65e7ea0e-3581-4cb1-b163-2b9b585dba9c</t>
  </si>
  <si>
    <t>2026-05-11 12:07:27</t>
  </si>
  <si>
    <t>27799165258</t>
  </si>
  <si>
    <t>14299198</t>
  </si>
  <si>
    <t>5c707d4d-c718-4b0b-adc8-13704a6bbc99</t>
  </si>
  <si>
    <t>2026-05-11 12:06:47</t>
  </si>
  <si>
    <t>27822555445</t>
  </si>
  <si>
    <t>14302137</t>
  </si>
  <si>
    <t>d95b530a-78b1-4c75-8bcb-a4098564e375</t>
  </si>
  <si>
    <t>2026-05-11 12:06:42</t>
  </si>
  <si>
    <t>27726522523</t>
  </si>
  <si>
    <t>14299196</t>
  </si>
  <si>
    <t>064e7d38-0d71-4e0b-9fa1-0cce2758d4fb</t>
  </si>
  <si>
    <t>2026-05-11 12:06:41</t>
  </si>
  <si>
    <t>27795260084</t>
  </si>
  <si>
    <t>14298141</t>
  </si>
  <si>
    <t>8c59927d-d915-4e66-841f-f63e3bdbe379</t>
  </si>
  <si>
    <t>2026-05-11 12:05:19</t>
  </si>
  <si>
    <t>27767340030</t>
  </si>
  <si>
    <t>14299571</t>
  </si>
  <si>
    <t>69d57a58-017f-42cf-968e-4daf7fc48d05</t>
  </si>
  <si>
    <t>2026-05-11 12:03:11</t>
  </si>
  <si>
    <t>27763243480</t>
  </si>
  <si>
    <t>14301128</t>
  </si>
  <si>
    <t>8827b247-a567-4894-ac14-1e322a749724</t>
  </si>
  <si>
    <t>27714227901</t>
  </si>
  <si>
    <t>14299272</t>
  </si>
  <si>
    <t>4f4bce03-673c-4f34-9011-da75e75e73fc</t>
  </si>
  <si>
    <t>2026-05-11 12:02:40</t>
  </si>
  <si>
    <t>27725859878</t>
  </si>
  <si>
    <t>14298844</t>
  </si>
  <si>
    <t>21507f46-f525-4dbb-889c-d584bbff66f9</t>
  </si>
  <si>
    <t>27823531055</t>
  </si>
  <si>
    <t>2026-05-11 12:01:49</t>
  </si>
  <si>
    <t>14298230</t>
  </si>
  <si>
    <t>6cb1390e-b4e5-4092-8b13-c8d6530b3667</t>
  </si>
  <si>
    <t>2026-05-11 12:00:38</t>
  </si>
  <si>
    <t>27649975001</t>
  </si>
  <si>
    <t>14302098</t>
  </si>
  <si>
    <t>9a4f3bf2-42a8-4c9a-bee8-84307e0def1d</t>
  </si>
  <si>
    <t>2026-05-11 11:59:55</t>
  </si>
  <si>
    <t>27728072351</t>
  </si>
  <si>
    <t>14301971</t>
  </si>
  <si>
    <t>1c4b479d-b162-413d-b89f-8088510ce91c</t>
  </si>
  <si>
    <t>2026-05-11 11:56:42</t>
  </si>
  <si>
    <t>27829329581</t>
  </si>
  <si>
    <t>14302531</t>
  </si>
  <si>
    <t>79c50109-4a6f-44a2-9a75-7bf8b0b62d03</t>
  </si>
  <si>
    <t>27761919326</t>
  </si>
  <si>
    <t>2026-05-11 11:50:49</t>
  </si>
  <si>
    <t>14302134</t>
  </si>
  <si>
    <t>65c80655-2602-4681-ba8c-02bbde545518</t>
  </si>
  <si>
    <t>2026-05-11 11:47:04</t>
  </si>
  <si>
    <t>27726777107</t>
  </si>
  <si>
    <t>14302237</t>
  </si>
  <si>
    <t>cd3a4658-678a-4b84-b000-6d81a241b625</t>
  </si>
  <si>
    <t>2026-05-11 11:44:09</t>
  </si>
  <si>
    <t>27724176076</t>
  </si>
  <si>
    <t>14301316</t>
  </si>
  <si>
    <t>4461796a-419a-43f9-8ec3-c7b6398ac86e</t>
  </si>
  <si>
    <t>27647909098</t>
  </si>
  <si>
    <t>2026-05-11 11:38:51</t>
  </si>
  <si>
    <t>14302193</t>
  </si>
  <si>
    <t>c32685b7-bfd8-414f-bdb4-a86adacf99b5</t>
  </si>
  <si>
    <t>2026-05-11 11:38:04</t>
  </si>
  <si>
    <t>27824757020</t>
  </si>
  <si>
    <t>14298008</t>
  </si>
  <si>
    <t>6d1deb62-73d7-4821-aa36-d320df4b03d2</t>
  </si>
  <si>
    <t>27774693030</t>
  </si>
  <si>
    <t>2026-05-11 11:34:38</t>
  </si>
  <si>
    <t>14299465</t>
  </si>
  <si>
    <t>da0f8213-0597-4f49-964b-684ed6687b00</t>
  </si>
  <si>
    <t>27714046040</t>
  </si>
  <si>
    <t>2026-05-11 11:20:35</t>
  </si>
  <si>
    <t>14302217</t>
  </si>
  <si>
    <t>3d4a6e74-0f28-471a-88d3-cdb62ec822f8</t>
  </si>
  <si>
    <t>2026-05-11 11:13:03</t>
  </si>
  <si>
    <t>27794099759</t>
  </si>
  <si>
    <t>14302223</t>
  </si>
  <si>
    <t>a8d26c1c-ad48-46d5-bcec-f0c9076020aa</t>
  </si>
  <si>
    <t>27798431264</t>
  </si>
  <si>
    <t>2026-05-11 11:12:05</t>
  </si>
  <si>
    <t>14297817</t>
  </si>
  <si>
    <t>bf722873-964e-46ad-aab3-631791fc44e8</t>
  </si>
  <si>
    <t>2026-05-11 11:05:44</t>
  </si>
  <si>
    <t>27766243795</t>
  </si>
  <si>
    <t>14301851</t>
  </si>
  <si>
    <t>71ed4330-7ce8-4888-90d4-f0bba9053a52</t>
  </si>
  <si>
    <t>27762933917</t>
  </si>
  <si>
    <t>2026-05-11 10:45:45</t>
  </si>
  <si>
    <t>14298233</t>
  </si>
  <si>
    <t>953e2bdc-d741-46bb-8f05-d3c5921e1511</t>
  </si>
  <si>
    <t>2026-05-11 10:45:01</t>
  </si>
  <si>
    <t>27796334543</t>
  </si>
  <si>
    <t>14298052</t>
  </si>
  <si>
    <t>83b41462-929d-432f-bb5f-f81c59c9896e</t>
  </si>
  <si>
    <t>2026-05-11 10:37:31</t>
  </si>
  <si>
    <t>27818639147</t>
  </si>
  <si>
    <t>14301481</t>
  </si>
  <si>
    <t>815053ea-ce0d-4e3c-995a-55c626b1fc07</t>
  </si>
  <si>
    <t>2026-05-11 10:34:07</t>
  </si>
  <si>
    <t>27740768520</t>
  </si>
  <si>
    <t>14302255</t>
  </si>
  <si>
    <t>f18ac635-e7d2-49d9-bd26-85abda7e13b1</t>
  </si>
  <si>
    <t>2026-05-11 10:25:57</t>
  </si>
  <si>
    <t>27637370728</t>
  </si>
  <si>
    <t>14301091</t>
  </si>
  <si>
    <t>51b4511b-1ef7-4f36-93b9-005752a9387f</t>
  </si>
  <si>
    <t>2026-05-11 10:20:19</t>
  </si>
  <si>
    <t>27726590864</t>
  </si>
  <si>
    <t>14301745</t>
  </si>
  <si>
    <t>66125859-740b-4474-ab6e-1097be86fa36</t>
  </si>
  <si>
    <t>2026-05-11 10:18:02</t>
  </si>
  <si>
    <t>27762831843</t>
  </si>
  <si>
    <t>14301680</t>
  </si>
  <si>
    <t>99b0f3f5-b42c-41dd-86b7-2819917506dc</t>
  </si>
  <si>
    <t>2026-05-11 10:15:58</t>
  </si>
  <si>
    <t>27626736695</t>
  </si>
  <si>
    <t>14302298</t>
  </si>
  <si>
    <t>3524f9ce-37a5-451a-a669-bea5ee49d2e3</t>
  </si>
  <si>
    <t>2026-05-11 10:14:42</t>
  </si>
  <si>
    <t>27607021890</t>
  </si>
  <si>
    <t>14302265</t>
  </si>
  <si>
    <t>6f236d9d-e493-4fa9-87f6-35b075763545</t>
  </si>
  <si>
    <t>27820565680</t>
  </si>
  <si>
    <t>14301541</t>
  </si>
  <si>
    <t>2e5fb583-6f6b-4630-bdb6-ca7b23f190d0</t>
  </si>
  <si>
    <t>2026-05-11 10:11:32</t>
  </si>
  <si>
    <t>27729609933</t>
  </si>
  <si>
    <t>14298341</t>
  </si>
  <si>
    <t>a80343d5-26a4-434a-b34b-2adbf2aaf7c8</t>
  </si>
  <si>
    <t>2026-05-11 10:08:09</t>
  </si>
  <si>
    <t>27760714519</t>
  </si>
  <si>
    <t>14298336</t>
  </si>
  <si>
    <t>8d10e65d-e7a2-47d8-bb8d-5bfaebd95eca</t>
  </si>
  <si>
    <t>2026-05-11 10:07:09</t>
  </si>
  <si>
    <t>27813415535</t>
  </si>
  <si>
    <t>14301789</t>
  </si>
  <si>
    <t>b1a66b6e-3aa5-425d-a1ec-ffdbc6600d26</t>
  </si>
  <si>
    <t>2026-05-11 10:04:10</t>
  </si>
  <si>
    <t>27608394741</t>
  </si>
  <si>
    <t>14302273</t>
  </si>
  <si>
    <t>87fd9d52-33ed-4308-ad1e-ac0ce7606e8b</t>
  </si>
  <si>
    <t>2026-05-11 10:02:38</t>
  </si>
  <si>
    <t>27823059361</t>
  </si>
  <si>
    <t>14301169</t>
  </si>
  <si>
    <t>b9f6c314-d9c6-490b-95db-a3d67aea4ee0</t>
  </si>
  <si>
    <t>27799207545</t>
  </si>
  <si>
    <t>2026-05-11 10:01:17</t>
  </si>
  <si>
    <t>14298254</t>
  </si>
  <si>
    <t>9b1d08e9-76cf-4db4-87ec-87663fe0a248</t>
  </si>
  <si>
    <t>27768960251</t>
  </si>
  <si>
    <t>2026-05-11 10:00:38</t>
  </si>
  <si>
    <t>14298295</t>
  </si>
  <si>
    <t>52a4e319-fd5b-4ece-b762-afa1e223bd5e</t>
  </si>
  <si>
    <t>2026-05-11 09:58:44</t>
  </si>
  <si>
    <t>27793660078</t>
  </si>
  <si>
    <t>14298253</t>
  </si>
  <si>
    <t>75fb272f-deba-44dc-89b5-8a5f0425a313</t>
  </si>
  <si>
    <t>2026-05-11 09:57:01</t>
  </si>
  <si>
    <t>27763529015</t>
  </si>
  <si>
    <t>14301817</t>
  </si>
  <si>
    <t>503d3d9a-85e8-488f-9dcb-72f09bb6c9f0</t>
  </si>
  <si>
    <t>2026-05-11 09:55:04</t>
  </si>
  <si>
    <t>27791544224</t>
  </si>
  <si>
    <t>14301652</t>
  </si>
  <si>
    <t>21dc4968-ec96-4155-9d9d-c0acff462527</t>
  </si>
  <si>
    <t>27664473369</t>
  </si>
  <si>
    <t>2026-05-11 09:54:10</t>
  </si>
  <si>
    <t>14301659</t>
  </si>
  <si>
    <t>7c605dc3-6dca-4d7a-8932-9baea75d4c96</t>
  </si>
  <si>
    <t>2026-05-11 09:53:17</t>
  </si>
  <si>
    <t>27828457356</t>
  </si>
  <si>
    <t>14298178</t>
  </si>
  <si>
    <t>cc24b550-1136-4364-b591-92bd0ac0a3f2</t>
  </si>
  <si>
    <t>2026-05-11 09:51:29</t>
  </si>
  <si>
    <t>27721392878</t>
  </si>
  <si>
    <t>14298176</t>
  </si>
  <si>
    <t>7902600f-dfcd-4aa2-9caf-b71cc5ffc290</t>
  </si>
  <si>
    <t>2026-05-11 09:51:26</t>
  </si>
  <si>
    <t>27825861865</t>
  </si>
  <si>
    <t>14297593</t>
  </si>
  <si>
    <t>c3507e5b-195f-4217-b65d-2960ce73b838</t>
  </si>
  <si>
    <t>2026-05-11 09:50:07</t>
  </si>
  <si>
    <t>27728395554</t>
  </si>
  <si>
    <t>14298088</t>
  </si>
  <si>
    <t>91772bb5-31c1-4892-b7bf-5bc8ffc4ba16</t>
  </si>
  <si>
    <t>2026-05-11 09:47:55</t>
  </si>
  <si>
    <t>27715183488</t>
  </si>
  <si>
    <t>14298084</t>
  </si>
  <si>
    <t>ea662085-2b11-40b9-8d1d-8823967927e5</t>
  </si>
  <si>
    <t>2026-05-11 09:47:39</t>
  </si>
  <si>
    <t>27608258499</t>
  </si>
  <si>
    <t>14299616</t>
  </si>
  <si>
    <t>5b4386bd-613f-448c-bd07-be7fc19f51d4</t>
  </si>
  <si>
    <t>2026-05-11 09:47:06</t>
  </si>
  <si>
    <t>27661575759</t>
  </si>
  <si>
    <t>14299553</t>
  </si>
  <si>
    <t>4c6e7bf9-bb1e-44db-8412-9b7898830e5f</t>
  </si>
  <si>
    <t>2026-05-11 09:45:59</t>
  </si>
  <si>
    <t>27824261719</t>
  </si>
  <si>
    <t>14297970</t>
  </si>
  <si>
    <t>59b88d32-095e-4371-928a-1e2333de8622</t>
  </si>
  <si>
    <t>2026-05-11 09:43:38</t>
  </si>
  <si>
    <t>27763879396</t>
  </si>
  <si>
    <t>14302040</t>
  </si>
  <si>
    <t>c03b54bc-aff6-4cb4-9218-85a873d81d18</t>
  </si>
  <si>
    <t>2026-05-11 09:42:41</t>
  </si>
  <si>
    <t>27824844215</t>
  </si>
  <si>
    <t>14301495</t>
  </si>
  <si>
    <t>9eed0240-b4ba-43aa-bde1-be48c459eabe</t>
  </si>
  <si>
    <t>2026-05-11 09:41:09</t>
  </si>
  <si>
    <t>27762926649</t>
  </si>
  <si>
    <t>14301093</t>
  </si>
  <si>
    <t>b02aeb15-c269-44b5-a3b5-5696036df243</t>
  </si>
  <si>
    <t>2026-05-11 09:40:54</t>
  </si>
  <si>
    <t>27660159087</t>
  </si>
  <si>
    <t>14299399</t>
  </si>
  <si>
    <t>51a62b4f-3aeb-41e7-b711-1386313156c0</t>
  </si>
  <si>
    <t>27798926028</t>
  </si>
  <si>
    <t>2026-05-11 09:39:53</t>
  </si>
  <si>
    <t>14297896</t>
  </si>
  <si>
    <t>d4c9a334-137a-4fd7-b894-b666bc0d3332</t>
  </si>
  <si>
    <t>2026-05-11 09:35:38</t>
  </si>
  <si>
    <t>27825894267</t>
  </si>
  <si>
    <t>14297830</t>
  </si>
  <si>
    <t>2332b99b-0390-4ef2-89f3-3eb7fd1849bf</t>
  </si>
  <si>
    <t>27647020382</t>
  </si>
  <si>
    <t>2026-05-11 09:34:03</t>
  </si>
  <si>
    <t>14299273</t>
  </si>
  <si>
    <t>8e405bb7-f4bf-4114-9dab-59572611d916</t>
  </si>
  <si>
    <t>2026-05-11 09:22:38</t>
  </si>
  <si>
    <t>27713254378</t>
  </si>
  <si>
    <t>14299267</t>
  </si>
  <si>
    <t>4ca68957-8d1f-44a2-a947-c42c46ea79fa</t>
  </si>
  <si>
    <t>2026-05-11 09:21:14</t>
  </si>
  <si>
    <t>27794475146</t>
  </si>
  <si>
    <t>14302201</t>
  </si>
  <si>
    <t>4ea6d0c5-60bf-41fc-9550-546bc752e4cb</t>
  </si>
  <si>
    <t>2026-05-11 09:18:34</t>
  </si>
  <si>
    <t>27762954848</t>
  </si>
  <si>
    <t>14301964</t>
  </si>
  <si>
    <t>e98a4f01-a26e-465c-a1ba-ebd28a5c4ad4</t>
  </si>
  <si>
    <t>27763613559</t>
  </si>
  <si>
    <t>2026-05-11 09:13:18</t>
  </si>
  <si>
    <t>14301723</t>
  </si>
  <si>
    <t>d0c7ffca-0884-4308-bba4-905b3102b15f</t>
  </si>
  <si>
    <t>27718923479</t>
  </si>
  <si>
    <t>2026-05-11 09:12:06</t>
  </si>
  <si>
    <t>14301719</t>
  </si>
  <si>
    <t>299862b3-9717-420e-8798-1461065d5f92</t>
  </si>
  <si>
    <t>2026-05-11 09:10:12</t>
  </si>
  <si>
    <t>27608568774</t>
  </si>
  <si>
    <t>14301733</t>
  </si>
  <si>
    <t>c7c5a23b-d11a-4a92-8612-360aa762cdec</t>
  </si>
  <si>
    <t>2026-05-11 09:07:54</t>
  </si>
  <si>
    <t>27673937464</t>
  </si>
  <si>
    <t>14302397</t>
  </si>
  <si>
    <t>6df2b838-d1bb-4b09-98c7-cec1a143e52f</t>
  </si>
  <si>
    <t>27768358440</t>
  </si>
  <si>
    <t>14302318</t>
  </si>
  <si>
    <t>916ecd16-e5db-48b5-814e-51e839ffc71f</t>
  </si>
  <si>
    <t>2026-05-11 09:05:58</t>
  </si>
  <si>
    <t>27720349366</t>
  </si>
  <si>
    <t>14302345</t>
  </si>
  <si>
    <t>9027653c-1d54-44ed-8877-6bec4a7c2c03</t>
  </si>
  <si>
    <t>2026-05-11 09:05:04</t>
  </si>
  <si>
    <t>27673893379</t>
  </si>
  <si>
    <t>14301245</t>
  </si>
  <si>
    <t>396e2d52-a8c8-44a6-a536-65418db66555</t>
  </si>
  <si>
    <t>2026-05-11 09:03:10</t>
  </si>
  <si>
    <t>27726488776</t>
  </si>
  <si>
    <t>14301243</t>
  </si>
  <si>
    <t>5ba8b54b-7f6b-4af1-a18f-8f04c7213ad0</t>
  </si>
  <si>
    <t>2026-05-11 09:01:05</t>
  </si>
  <si>
    <t>27818655900</t>
  </si>
  <si>
    <t>14298428</t>
  </si>
  <si>
    <t>fe6c03bc-5604-402f-a8f9-9d874aeef71e</t>
  </si>
  <si>
    <t>27713446899</t>
  </si>
  <si>
    <t>2026-05-11 09:00:32</t>
  </si>
  <si>
    <t>14301549</t>
  </si>
  <si>
    <t>9d871a11-9a50-434b-ab9a-459a498190be</t>
  </si>
  <si>
    <t>2026-05-11 08:57:38</t>
  </si>
  <si>
    <t>27721371830</t>
  </si>
  <si>
    <t>14301551</t>
  </si>
  <si>
    <t>b679ced1-e937-4c15-8a78-d9684c6202b8</t>
  </si>
  <si>
    <t>2026-05-11 08:56:18</t>
  </si>
  <si>
    <t>27767670467</t>
  </si>
  <si>
    <t>14299417</t>
  </si>
  <si>
    <t>05ddbdb2-d641-41ee-9aad-568c8c26cb89</t>
  </si>
  <si>
    <t>27606872531</t>
  </si>
  <si>
    <t>2026-05-11 08:55:01</t>
  </si>
  <si>
    <t>14301214</t>
  </si>
  <si>
    <t>895663f4-9e60-47a3-909c-23da592ce50d</t>
  </si>
  <si>
    <t>27767240297</t>
  </si>
  <si>
    <t>14301213</t>
  </si>
  <si>
    <t>3fc91fc8-2fa5-4afa-a6d0-4602f03a0a77</t>
  </si>
  <si>
    <t>2026-05-11 08:54:36</t>
  </si>
  <si>
    <t>27729421475</t>
  </si>
  <si>
    <t>14299584</t>
  </si>
  <si>
    <t>80fb8a24-e1be-407d-8064-8b5e499ce005</t>
  </si>
  <si>
    <t>2026-05-11 08:54:08</t>
  </si>
  <si>
    <t>27711837874</t>
  </si>
  <si>
    <t>14301598</t>
  </si>
  <si>
    <t>7f2f4bc7-4c07-4819-b91d-5ab83e1ab7dc</t>
  </si>
  <si>
    <t>2026-05-11 08:53:48</t>
  </si>
  <si>
    <t>27713892131</t>
  </si>
  <si>
    <t>14301591</t>
  </si>
  <si>
    <t>a8f9dbb3-4d04-459d-b8f1-6cd413ce55f6</t>
  </si>
  <si>
    <t>2026-05-11 08:53:06</t>
  </si>
  <si>
    <t>27762382193</t>
  </si>
  <si>
    <t>14301575</t>
  </si>
  <si>
    <t>eac6561e-f91b-4649-ba67-4e4310f2123d</t>
  </si>
  <si>
    <t>2026-05-11 08:51:50</t>
  </si>
  <si>
    <t>27822210658</t>
  </si>
  <si>
    <t>14300965</t>
  </si>
  <si>
    <t>1f16904e-1921-4cab-981f-f1ab790da343</t>
  </si>
  <si>
    <t>2026-05-11 08:50:35</t>
  </si>
  <si>
    <t>27795507213</t>
  </si>
  <si>
    <t>14299434</t>
  </si>
  <si>
    <t>54e5f69c-cfb1-497f-9e7f-68b064a5cadc</t>
  </si>
  <si>
    <t>27673078246</t>
  </si>
  <si>
    <t>2026-05-11 08:47:27</t>
  </si>
  <si>
    <t>14298198</t>
  </si>
  <si>
    <t>9f502049-544a-495c-800f-6e7ca6805eae</t>
  </si>
  <si>
    <t>2026-05-11 08:45:34</t>
  </si>
  <si>
    <t>27795368554</t>
  </si>
  <si>
    <t>14297668</t>
  </si>
  <si>
    <t>f833fdc4-31e9-4ad5-b59d-e1c97cb3b7d0</t>
  </si>
  <si>
    <t>27818604159</t>
  </si>
  <si>
    <t>2026-05-11 08:45:12</t>
  </si>
  <si>
    <t>14298206</t>
  </si>
  <si>
    <t>ccf45f96-0561-4cf8-b9ce-1db517dd2604</t>
  </si>
  <si>
    <t>2026-05-11 08:44:41</t>
  </si>
  <si>
    <t>27716119825</t>
  </si>
  <si>
    <t>14298196</t>
  </si>
  <si>
    <t>d8c54d6e-6575-4059-9d04-82e79d038b78</t>
  </si>
  <si>
    <t>2026-05-11 08:44:06</t>
  </si>
  <si>
    <t>27829752281</t>
  </si>
  <si>
    <t>14298192</t>
  </si>
  <si>
    <t>dd16f586-0575-40c2-883a-2c336cf3dfb9</t>
  </si>
  <si>
    <t>2026-05-11 08:43:51</t>
  </si>
  <si>
    <t>27720862641</t>
  </si>
  <si>
    <t>14297731</t>
  </si>
  <si>
    <t>c1069e54-c62e-4d72-884f-5bb73bb22e07</t>
  </si>
  <si>
    <t>27827419656</t>
  </si>
  <si>
    <t>2026-05-11 08:43:40</t>
  </si>
  <si>
    <t>14302004</t>
  </si>
  <si>
    <t>1f7ad159-5321-4946-af9d-e72abd5df704</t>
  </si>
  <si>
    <t>2026-05-11 08:42:28</t>
  </si>
  <si>
    <t>27790691557</t>
  </si>
  <si>
    <t>14299483</t>
  </si>
  <si>
    <t>7b4cc556-0eeb-452e-b53e-6b4c21593313</t>
  </si>
  <si>
    <t>2026-05-11 08:42:00</t>
  </si>
  <si>
    <t>27767100726</t>
  </si>
  <si>
    <t>14299487</t>
  </si>
  <si>
    <t>5aaa9f89-f1f3-4722-8437-b73c3a23b2a9</t>
  </si>
  <si>
    <t>2026-05-11 08:41:38</t>
  </si>
  <si>
    <t>27712356301</t>
  </si>
  <si>
    <t>14299416</t>
  </si>
  <si>
    <t>bdc16f9c-ae04-4323-943e-4b680c2089d8</t>
  </si>
  <si>
    <t>2026-05-11 08:41:24</t>
  </si>
  <si>
    <t>27763635036</t>
  </si>
  <si>
    <t>14297727</t>
  </si>
  <si>
    <t>0202aae0-d2b8-4df1-9bc8-e9a3a43f1864</t>
  </si>
  <si>
    <t>27760675108</t>
  </si>
  <si>
    <t>2026-05-11 08:40:07</t>
  </si>
  <si>
    <t>14297667</t>
  </si>
  <si>
    <t>bf21217d-454a-4985-9d63-3758e6faf4b8</t>
  </si>
  <si>
    <t>27660780299</t>
  </si>
  <si>
    <t>2026-05-11 08:39:21</t>
  </si>
  <si>
    <t>14297674</t>
  </si>
  <si>
    <t>c41454a6-99ac-47f8-adf2-376a2d4e024e</t>
  </si>
  <si>
    <t>2026-05-11 08:39:01</t>
  </si>
  <si>
    <t>27844632349</t>
  </si>
  <si>
    <t>14299111</t>
  </si>
  <si>
    <t>e855fc50-7616-4d52-92ce-a347f41cca34</t>
  </si>
  <si>
    <t>2026-05-11 08:37:59</t>
  </si>
  <si>
    <t>27794859274</t>
  </si>
  <si>
    <t>14299321</t>
  </si>
  <si>
    <t>852addb4-a49f-417f-972a-4fb0472ad670</t>
  </si>
  <si>
    <t>2026-05-11 08:37:19</t>
  </si>
  <si>
    <t>27647259398</t>
  </si>
  <si>
    <t>14302323</t>
  </si>
  <si>
    <t>c288f8cb-0db0-42c1-baa7-e4384952c5cb</t>
  </si>
  <si>
    <t>2026-05-11 08:35:30</t>
  </si>
  <si>
    <t>27713983334</t>
  </si>
  <si>
    <t>14297602</t>
  </si>
  <si>
    <t>d36ce9e5-01d9-43ed-9d0d-0f08332f9b7d</t>
  </si>
  <si>
    <t>2026-05-11 08:34:12</t>
  </si>
  <si>
    <t>27609285224</t>
  </si>
  <si>
    <t>14297967</t>
  </si>
  <si>
    <t>80dd80b6-bb5e-447b-94af-ae308b0ac85e</t>
  </si>
  <si>
    <t>2026-05-11 08:32:36</t>
  </si>
  <si>
    <t>27712057940</t>
  </si>
  <si>
    <t>14299631</t>
  </si>
  <si>
    <t>e4ddc581-89ef-4133-bdbd-4ff6bb004fd1</t>
  </si>
  <si>
    <t>2026-05-11 07:59:17</t>
  </si>
  <si>
    <t>27826775505</t>
  </si>
  <si>
    <t>14298995</t>
  </si>
  <si>
    <t>b5a5eaa6-18ed-4324-acc0-301b27060792</t>
  </si>
  <si>
    <t>27797311025</t>
  </si>
  <si>
    <t>2026-05-11 07:57:52</t>
  </si>
  <si>
    <t>14299186</t>
  </si>
  <si>
    <t>3801b84f-8420-49a8-a08a-2587e7408df7</t>
  </si>
  <si>
    <t>2026-05-11 07:56:09</t>
  </si>
  <si>
    <t>27795442611</t>
  </si>
  <si>
    <t>14299194</t>
  </si>
  <si>
    <t>f17b3cf7-5424-4e32-b68a-1308dd86296c</t>
  </si>
  <si>
    <t>2026-05-11 07:55:23</t>
  </si>
  <si>
    <t>27646713830</t>
  </si>
  <si>
    <t>14299134</t>
  </si>
  <si>
    <t>c59df3bb-94e1-4533-8255-4929bb608b1d</t>
  </si>
  <si>
    <t>2026-05-11 07:51:34</t>
  </si>
  <si>
    <t>27729493083</t>
  </si>
  <si>
    <t>14299135</t>
  </si>
  <si>
    <t>3dd5e71e-07e9-4b27-86e7-2221d0418c68</t>
  </si>
  <si>
    <t>2026-05-11 07:51:33</t>
  </si>
  <si>
    <t>27714816404</t>
  </si>
  <si>
    <t>14299122</t>
  </si>
  <si>
    <t>4ce8ca41-bf0c-4ad3-b286-9a63004215ff</t>
  </si>
  <si>
    <t>2026-05-11 07:49:41</t>
  </si>
  <si>
    <t>27729612047</t>
  </si>
  <si>
    <t>14299118</t>
  </si>
  <si>
    <t>4038afa5-de22-48bb-99ec-d26059126dfd</t>
  </si>
  <si>
    <t>2026-05-11 07:47:42</t>
  </si>
  <si>
    <t>27767997855</t>
  </si>
  <si>
    <t>14299096</t>
  </si>
  <si>
    <t>4bb8f0c1-cd82-4326-8ee2-94a57a6dbd1e</t>
  </si>
  <si>
    <t>2026-05-11 07:44:45</t>
  </si>
  <si>
    <t>27721906531</t>
  </si>
  <si>
    <t>14298370</t>
  </si>
  <si>
    <t>98a3cf4b-beb2-4630-a1a4-d352368ce85a</t>
  </si>
  <si>
    <t>2026-05-11 07:38:42</t>
  </si>
  <si>
    <t>27662499829</t>
  </si>
  <si>
    <t>14302569</t>
  </si>
  <si>
    <t>ad81081f-e4c6-4405-97a0-72c0f10305fb</t>
  </si>
  <si>
    <t>2026-05-11 07:36:18</t>
  </si>
  <si>
    <t>27818165961</t>
  </si>
  <si>
    <t>14298997</t>
  </si>
  <si>
    <t>3d7a76cf-20ee-4f7d-9035-f175eb415871</t>
  </si>
  <si>
    <t>2026-05-11 07:36:01</t>
  </si>
  <si>
    <t>27609057307</t>
  </si>
  <si>
    <t>14299006</t>
  </si>
  <si>
    <t>975120ed-ff8b-49b9-9622-16a847844408</t>
  </si>
  <si>
    <t>2026-05-11 07:33:24</t>
  </si>
  <si>
    <t>27768252284</t>
  </si>
  <si>
    <t>14298917</t>
  </si>
  <si>
    <t>cb84d100-e372-4db0-8a8a-ec20531943fd</t>
  </si>
  <si>
    <t>27763178899</t>
  </si>
  <si>
    <t>2026-05-11 07:31:12</t>
  </si>
  <si>
    <t>14298993</t>
  </si>
  <si>
    <t>6a810850-fed1-4ba0-bb34-ed694b36dab1</t>
  </si>
  <si>
    <t>2026-05-11 07:31:05</t>
  </si>
  <si>
    <t>27818559163</t>
  </si>
  <si>
    <t>14300175</t>
  </si>
  <si>
    <t>b25bdee2-505f-44e3-aa6d-dc466a143327</t>
  </si>
  <si>
    <t>2026-05-11 07:30:07</t>
  </si>
  <si>
    <t>27826447872</t>
  </si>
  <si>
    <t>14298975</t>
  </si>
  <si>
    <t>0eee9451-6f3c-4c12-86c0-423e5f3600b1</t>
  </si>
  <si>
    <t>2026-05-11 07:30:06</t>
  </si>
  <si>
    <t>27637877719</t>
  </si>
  <si>
    <t>14298943</t>
  </si>
  <si>
    <t>5a2be415-044e-41c7-8237-29e373c64488</t>
  </si>
  <si>
    <t>2026-05-11 07:28:30</t>
  </si>
  <si>
    <t>27824750660</t>
  </si>
  <si>
    <t>14298926</t>
  </si>
  <si>
    <t>624154ed-1fba-452d-a791-cb063aa5dada</t>
  </si>
  <si>
    <t>2026-05-11 07:26:42</t>
  </si>
  <si>
    <t>27791881764</t>
  </si>
  <si>
    <t>14298936</t>
  </si>
  <si>
    <t>76d1aa87-4079-4cdf-97f0-5088e91c9d1b</t>
  </si>
  <si>
    <t>2026-05-11 07:25:56</t>
  </si>
  <si>
    <t>27720663389</t>
  </si>
  <si>
    <t>14298882</t>
  </si>
  <si>
    <t>ce8e9530-b36b-4390-934e-059d399bf0b2</t>
  </si>
  <si>
    <t>2026-05-11 07:22:17</t>
  </si>
  <si>
    <t>27795655051</t>
  </si>
  <si>
    <t>14298886</t>
  </si>
  <si>
    <t>501a1c2b-13a8-4859-9502-b71d25ed23eb</t>
  </si>
  <si>
    <t>2026-05-11 07:22:14</t>
  </si>
  <si>
    <t>27729039574</t>
  </si>
  <si>
    <t>14298704</t>
  </si>
  <si>
    <t>43e97a20-86fa-46f5-9f1d-7ae75c799810</t>
  </si>
  <si>
    <t>2026-05-11 07:18:34</t>
  </si>
  <si>
    <t>27762754219</t>
  </si>
  <si>
    <t>14298766</t>
  </si>
  <si>
    <t>d76ed78d-caab-49ed-be1e-5e5f373428fc</t>
  </si>
  <si>
    <t>2026-05-11 07:17:44</t>
  </si>
  <si>
    <t>27820503428</t>
  </si>
  <si>
    <t>14298820</t>
  </si>
  <si>
    <t>d01b2f23-29c8-4328-90db-bfb43d6eb72d</t>
  </si>
  <si>
    <t>2026-05-11 07:17:38</t>
  </si>
  <si>
    <t>27661077643</t>
  </si>
  <si>
    <t>14298834</t>
  </si>
  <si>
    <t>248fd2e7-5155-407d-85a6-b9f2b25aa3c7</t>
  </si>
  <si>
    <t>2026-05-11 07:17:13</t>
  </si>
  <si>
    <t>27674259259</t>
  </si>
  <si>
    <t>14298362</t>
  </si>
  <si>
    <t>f02eb658-d295-47cf-8713-3665b19310b4</t>
  </si>
  <si>
    <t>27797711604</t>
  </si>
  <si>
    <t>2026-05-11 07:12:39</t>
  </si>
  <si>
    <t>14298806</t>
  </si>
  <si>
    <t>7af4653b-b612-4db1-866a-3a9ce0ca8948</t>
  </si>
  <si>
    <t>2026-05-11 07:10:55</t>
  </si>
  <si>
    <t>27768285271</t>
  </si>
  <si>
    <t>14298794</t>
  </si>
  <si>
    <t>06eb3664-ec9f-4c9f-ad37-f4518c61ba57</t>
  </si>
  <si>
    <t>2026-05-11 07:09:05</t>
  </si>
  <si>
    <t>27762256646</t>
  </si>
  <si>
    <t>14298771</t>
  </si>
  <si>
    <t>ae0b3815-c9d8-4046-b775-2504b5293db5</t>
  </si>
  <si>
    <t>2026-05-11 07:08:31</t>
  </si>
  <si>
    <t>27715867339</t>
  </si>
  <si>
    <t>14299911</t>
  </si>
  <si>
    <t>e6ed3050-4ed4-4116-8fae-998f792f26af</t>
  </si>
  <si>
    <t>27764923270</t>
  </si>
  <si>
    <t>2026-05-11 07:07:18</t>
  </si>
  <si>
    <t>14298779</t>
  </si>
  <si>
    <t>2e792e3d-2a44-48dc-9b80-9c5e0bcafd14</t>
  </si>
  <si>
    <t>2026-05-11 07:07:13</t>
  </si>
  <si>
    <t>27724459864</t>
  </si>
  <si>
    <t>14298781</t>
  </si>
  <si>
    <t>12d1c45e-cf9b-4751-b3b8-5f8f82b0dc49</t>
  </si>
  <si>
    <t>27646726192</t>
  </si>
  <si>
    <t>14298759</t>
  </si>
  <si>
    <t>01ab2700-fa10-43f4-b85d-b121fddb8573</t>
  </si>
  <si>
    <t>2026-05-11 07:05:15</t>
  </si>
  <si>
    <t>27637387202</t>
  </si>
  <si>
    <t>14298728</t>
  </si>
  <si>
    <t>be6ab0ec-e2fe-4334-ad2b-297cd19608e5</t>
  </si>
  <si>
    <t>2026-05-11 07:04:09</t>
  </si>
  <si>
    <t>27767808069</t>
  </si>
  <si>
    <t>14298730</t>
  </si>
  <si>
    <t>35f654f3-2264-49ec-af31-dd73ae805f0f</t>
  </si>
  <si>
    <t>2026-05-11 07:04:06</t>
  </si>
  <si>
    <t>27820544483</t>
  </si>
  <si>
    <t>14298743</t>
  </si>
  <si>
    <t>75004c8d-7529-4dcb-afe3-a503801e8bb0</t>
  </si>
  <si>
    <t>2026-05-11 07:03:09</t>
  </si>
  <si>
    <t>27793816837</t>
  </si>
  <si>
    <t>14298716</t>
  </si>
  <si>
    <t>f4cb8ad7-31c7-4146-83f7-50247688abf4</t>
  </si>
  <si>
    <t>2026-05-11 07:01:54</t>
  </si>
  <si>
    <t>27649645792</t>
  </si>
  <si>
    <t>14298726</t>
  </si>
  <si>
    <t>948070cc-1a80-4bdf-a41c-32245ba8411a</t>
  </si>
  <si>
    <t>2026-05-11 07:01:14</t>
  </si>
  <si>
    <t>27725635899</t>
  </si>
  <si>
    <t>14298359</t>
  </si>
  <si>
    <t>9ccae87a-8a0c-4424-a192-7ba186662980</t>
  </si>
  <si>
    <t>2026-05-11 07:00:49</t>
  </si>
  <si>
    <t>27724690681</t>
  </si>
  <si>
    <t>14298667</t>
  </si>
  <si>
    <t>51a48d76-e148-4721-a51d-7d22378b749a</t>
  </si>
  <si>
    <t>2026-05-11 06:58:01</t>
  </si>
  <si>
    <t>27761745995</t>
  </si>
  <si>
    <t>14298661</t>
  </si>
  <si>
    <t>bab67bcf-1ea5-4a1a-98f8-2844086b530d</t>
  </si>
  <si>
    <t>27636895898</t>
  </si>
  <si>
    <t>2026-05-11 06:55:35</t>
  </si>
  <si>
    <t>14298624</t>
  </si>
  <si>
    <t>960ef182-3c99-49f7-87fe-05657784657f</t>
  </si>
  <si>
    <t>2026-05-11 06:52:58</t>
  </si>
  <si>
    <t>27714761544</t>
  </si>
  <si>
    <t>14298560</t>
  </si>
  <si>
    <t>3e224d7b-d623-4f92-b124-0d729ae25d51</t>
  </si>
  <si>
    <t>2026-05-11 06:50:38</t>
  </si>
  <si>
    <t>27716886872</t>
  </si>
  <si>
    <t>14298562</t>
  </si>
  <si>
    <t>9e6cf58d-1d16-43d9-97d0-3a35ca341c98</t>
  </si>
  <si>
    <t>2026-05-11 06:50:35</t>
  </si>
  <si>
    <t>27721703570</t>
  </si>
  <si>
    <t>14298580</t>
  </si>
  <si>
    <t>179a7aa1-25c5-415b-b87c-f86c271db6cc</t>
  </si>
  <si>
    <t>2026-05-11 06:49:01</t>
  </si>
  <si>
    <t>27728974969</t>
  </si>
  <si>
    <t>14298371</t>
  </si>
  <si>
    <t>3940e5a5-aa76-47fd-9631-7f9ab75fa1e5</t>
  </si>
  <si>
    <t>2026-05-11 06:48:20</t>
  </si>
  <si>
    <t>27822549965</t>
  </si>
  <si>
    <t>14298548</t>
  </si>
  <si>
    <t>0b465b6b-b0e9-44ea-8821-c1220750b77a</t>
  </si>
  <si>
    <t>2026-05-11 06:47:15</t>
  </si>
  <si>
    <t>27818204106</t>
  </si>
  <si>
    <t>14298554</t>
  </si>
  <si>
    <t>4cc61156-d1b6-4245-8252-f34f7562646d</t>
  </si>
  <si>
    <t>2026-05-11 06:46:43</t>
  </si>
  <si>
    <t>27765145926</t>
  </si>
  <si>
    <t>14298531</t>
  </si>
  <si>
    <t>54c017cd-d46e-4af5-b640-8a9034a98462</t>
  </si>
  <si>
    <t>2026-05-11 06:45:15</t>
  </si>
  <si>
    <t>27715741058</t>
  </si>
  <si>
    <t>14298504</t>
  </si>
  <si>
    <t>790448f4-c91f-49d8-b00e-65ed8fc64a8f</t>
  </si>
  <si>
    <t>2026-05-11 06:44:52</t>
  </si>
  <si>
    <t>27727277885</t>
  </si>
  <si>
    <t>14298476</t>
  </si>
  <si>
    <t>8d9e7103-b704-4445-86f9-14f84773c493</t>
  </si>
  <si>
    <t>27722782500</t>
  </si>
  <si>
    <t>2026-05-11 06:41:15</t>
  </si>
  <si>
    <t>14298459</t>
  </si>
  <si>
    <t>030710f1-68f1-4a62-80ba-84ea36d6cd74</t>
  </si>
  <si>
    <t>2026-05-11 06:40:17</t>
  </si>
  <si>
    <t>27767785060</t>
  </si>
  <si>
    <t>14298479</t>
  </si>
  <si>
    <t>b402bfda-781e-4006-bd3a-cbef2f23dee8</t>
  </si>
  <si>
    <t>2026-05-11 06:38:56</t>
  </si>
  <si>
    <t>27714866093</t>
  </si>
  <si>
    <t>14298450</t>
  </si>
  <si>
    <t>a8725da8-6a99-4ef0-a0dd-5870316f5c02</t>
  </si>
  <si>
    <t>2026-05-11 06:35:44</t>
  </si>
  <si>
    <t>27637213184</t>
  </si>
  <si>
    <t>14298453</t>
  </si>
  <si>
    <t>9c0d1d99-974a-4504-80de-876e984769a5</t>
  </si>
  <si>
    <t>2026-05-11 06:34:44</t>
  </si>
  <si>
    <t>27663806798</t>
  </si>
  <si>
    <t>14298431</t>
  </si>
  <si>
    <t>26a57ef5-69e9-44e4-87ee-f63ca726a4dd</t>
  </si>
  <si>
    <t>2026-05-11 06:34:26</t>
  </si>
  <si>
    <t>27795210925</t>
  </si>
  <si>
    <t>14298432</t>
  </si>
  <si>
    <t>fd16749e-8e0f-4942-8699-70f6aa869b77</t>
  </si>
  <si>
    <t>2026-05-11 06:34:21</t>
  </si>
  <si>
    <t>27766969817</t>
  </si>
  <si>
    <t>14298435</t>
  </si>
  <si>
    <t>7d59ae7c-72b1-46a6-ac47-02bd80837404</t>
  </si>
  <si>
    <t>2026-05-11 06:34:18</t>
  </si>
  <si>
    <t>27792649422</t>
  </si>
  <si>
    <t>14298426</t>
  </si>
  <si>
    <t>c607d61d-4a85-42fb-87bb-549d121e52db</t>
  </si>
  <si>
    <t>2026-05-11 06:31:01</t>
  </si>
  <si>
    <t>27763186974</t>
  </si>
  <si>
    <t>14298398</t>
  </si>
  <si>
    <t>2699a0cf-8691-4c5f-bb5c-a9f2136535cf</t>
  </si>
  <si>
    <t>2026-05-11 06:23:35</t>
  </si>
  <si>
    <t>27724720828</t>
  </si>
  <si>
    <t>14298069</t>
  </si>
  <si>
    <t>c10de88f-f14a-47c8-a6e4-3e1b43ed82d1</t>
  </si>
  <si>
    <t>2026-05-08 10:36:37</t>
  </si>
  <si>
    <t>27764400120</t>
  </si>
  <si>
    <t>14301319</t>
  </si>
  <si>
    <t>3353dd5a-e4d4-4a31-b39b-8222e7f92718</t>
  </si>
  <si>
    <t>2026-05-08 10:03:49</t>
  </si>
  <si>
    <t>Esther Ramalete</t>
  </si>
  <si>
    <t>27607541585</t>
  </si>
  <si>
    <t>14302132</t>
  </si>
  <si>
    <t>3216a61d-ff50-4569-aff8-53ace13425b6</t>
  </si>
  <si>
    <t>2026-05-08 09:58:52</t>
  </si>
  <si>
    <t>27823995925</t>
  </si>
  <si>
    <t>14302139</t>
  </si>
  <si>
    <t>433b29ad-eb15-484f-ad85-15a3e2333673</t>
  </si>
  <si>
    <t>2026-05-08 09:55:36</t>
  </si>
  <si>
    <t>27726649720</t>
  </si>
  <si>
    <t>14302519</t>
  </si>
  <si>
    <t>ab74be2b-6bd2-42a4-a7dc-d8ad827c5a02</t>
  </si>
  <si>
    <t>2026-05-08 09:50:19</t>
  </si>
  <si>
    <t>27791526582</t>
  </si>
  <si>
    <t>14301944</t>
  </si>
  <si>
    <t>0182741e-b71e-48c5-aaae-63e7ca0e0ff8</t>
  </si>
  <si>
    <t>2026-05-08 09:46:03</t>
  </si>
  <si>
    <t>27660449242</t>
  </si>
  <si>
    <t>14301657</t>
  </si>
  <si>
    <t>53662964-c48a-4150-b2e5-637f87149bf1</t>
  </si>
  <si>
    <t>2026-05-08 09:45:28</t>
  </si>
  <si>
    <t>27712819264</t>
  </si>
  <si>
    <t>14301425</t>
  </si>
  <si>
    <t>2a53b6c5-228f-44c5-bb11-2bb7b55a46cc</t>
  </si>
  <si>
    <t>27724099286</t>
  </si>
  <si>
    <t>2026-05-08 09:44:19</t>
  </si>
  <si>
    <t>14301429</t>
  </si>
  <si>
    <t>0f87cd02-e00b-480e-97e0-cecf97fa4ce2</t>
  </si>
  <si>
    <t>2026-05-08 09:42:50</t>
  </si>
  <si>
    <t>27827555263</t>
  </si>
  <si>
    <t>14301430</t>
  </si>
  <si>
    <t>250e7740-bba7-4aad-9d41-2cc62a4e8e36</t>
  </si>
  <si>
    <t>27792692779</t>
  </si>
  <si>
    <t>14301867</t>
  </si>
  <si>
    <t>b342a191-0cc3-4bca-a6dd-eca875925eaa</t>
  </si>
  <si>
    <t>2026-05-08 09:32:53</t>
  </si>
  <si>
    <t>27607986794</t>
  </si>
  <si>
    <t>14302173</t>
  </si>
  <si>
    <t>816b80f6-74c4-4382-a8ba-0da2448ddb23</t>
  </si>
  <si>
    <t>27606363601</t>
  </si>
  <si>
    <t>2026-05-08 09:31:10</t>
  </si>
  <si>
    <t>14299926</t>
  </si>
  <si>
    <t>8f429076-873c-4cf3-8c9e-05d4c176b9c0</t>
  </si>
  <si>
    <t>2026-05-08 09:30:26</t>
  </si>
  <si>
    <t>27675876087</t>
  </si>
  <si>
    <t>14301359</t>
  </si>
  <si>
    <t>9993c18f-cb1d-4bae-b037-f24c4bf4e6a6</t>
  </si>
  <si>
    <t>2026-05-08 09:25:17</t>
  </si>
  <si>
    <t>27646488024</t>
  </si>
  <si>
    <t>14301361</t>
  </si>
  <si>
    <t>4473061b-950e-41ad-aedc-4911edfc437c</t>
  </si>
  <si>
    <t>27767224410</t>
  </si>
  <si>
    <t>14301368</t>
  </si>
  <si>
    <t>163e478a-0a7f-42cd-90cb-e3e4321b9f91</t>
  </si>
  <si>
    <t>2026-05-08 09:24:46</t>
  </si>
  <si>
    <t>27762670568</t>
  </si>
  <si>
    <t>14301338</t>
  </si>
  <si>
    <t>c7cb435f-54db-4c5b-b307-c3de434049f5</t>
  </si>
  <si>
    <t>2026-05-08 09:20:33</t>
  </si>
  <si>
    <t>27823904841</t>
  </si>
  <si>
    <t>14301285</t>
  </si>
  <si>
    <t>305a174e-1ae0-40fb-b5c9-75762799449a</t>
  </si>
  <si>
    <t>2026-05-08 09:19:27</t>
  </si>
  <si>
    <t>27762594606</t>
  </si>
  <si>
    <t>14301304</t>
  </si>
  <si>
    <t>476d786c-55cd-4221-bde3-6b4052606667</t>
  </si>
  <si>
    <t>2026-05-08 09:19:17</t>
  </si>
  <si>
    <t>27726341532</t>
  </si>
  <si>
    <t>14301312</t>
  </si>
  <si>
    <t>05d55146-5ada-45b6-bf22-21428a2559cc</t>
  </si>
  <si>
    <t>2026-05-08 09:18:55</t>
  </si>
  <si>
    <t>27760756612</t>
  </si>
  <si>
    <t>14302144</t>
  </si>
  <si>
    <t>4e3583a9-e096-43d0-9614-1bdc43da6f95</t>
  </si>
  <si>
    <t>2026-05-08 09:16:35</t>
  </si>
  <si>
    <t>27828693707</t>
  </si>
  <si>
    <t>14301281</t>
  </si>
  <si>
    <t>51303f88-62a1-4397-91a1-c813baeeda4f</t>
  </si>
  <si>
    <t>27712081501</t>
  </si>
  <si>
    <t>2026-05-08 09:15:17</t>
  </si>
  <si>
    <t>14300028</t>
  </si>
  <si>
    <t>9696fcd0-14a3-4ac4-8e5f-432a49fca0fe</t>
  </si>
  <si>
    <t>27648212554</t>
  </si>
  <si>
    <t>2026-05-08 09:13:18</t>
  </si>
  <si>
    <t>14299638</t>
  </si>
  <si>
    <t>d4aedcb0-7b80-4948-ac8f-df0859e668bd</t>
  </si>
  <si>
    <t>2026-05-08 09:10:18</t>
  </si>
  <si>
    <t>27711376338</t>
  </si>
  <si>
    <t>14299883</t>
  </si>
  <si>
    <t>75d9d133-c995-4a36-8916-9d16ebc1ecea</t>
  </si>
  <si>
    <t>2026-05-08 09:09:43</t>
  </si>
  <si>
    <t>27823052300</t>
  </si>
  <si>
    <t>14299827</t>
  </si>
  <si>
    <t>cb2143b9-0f5b-4513-8f19-7509946c9d94</t>
  </si>
  <si>
    <t>27649379790</t>
  </si>
  <si>
    <t>2026-05-08 09:05:43</t>
  </si>
  <si>
    <t>14301476</t>
  </si>
  <si>
    <t>c47df3f2-8199-4336-aece-30b9624ca54f</t>
  </si>
  <si>
    <t>2026-05-08 09:03:39</t>
  </si>
  <si>
    <t>27715383829</t>
  </si>
  <si>
    <t>14301473</t>
  </si>
  <si>
    <t>73093fab-6234-423b-ae9c-8b0d81bb4376</t>
  </si>
  <si>
    <t>2026-05-08 09:03:00</t>
  </si>
  <si>
    <t>27636773810</t>
  </si>
  <si>
    <t>14299686</t>
  </si>
  <si>
    <t>8e394768-d187-47dd-ba93-8ce394cbb232</t>
  </si>
  <si>
    <t>2026-05-08 08:57:02</t>
  </si>
  <si>
    <t>27609198518</t>
  </si>
  <si>
    <t>14299681</t>
  </si>
  <si>
    <t>2bb6dee1-7669-4cac-bf22-dc2a0f921231</t>
  </si>
  <si>
    <t>2026-05-08 08:55:45</t>
  </si>
  <si>
    <t>27660170607</t>
  </si>
  <si>
    <t>14299657</t>
  </si>
  <si>
    <t>7aa26c2f-f94e-4af3-a2f0-95e67697f817</t>
  </si>
  <si>
    <t>2026-05-08 08:54:28</t>
  </si>
  <si>
    <t>27636551762</t>
  </si>
  <si>
    <t>14302400</t>
  </si>
  <si>
    <t>774ad936-a153-42e7-9163-5af215c6775a</t>
  </si>
  <si>
    <t>2026-05-08 08:53:32</t>
  </si>
  <si>
    <t>27829677267</t>
  </si>
  <si>
    <t>14299577</t>
  </si>
  <si>
    <t>8372ede9-e2eb-40b5-a64e-bfe6a4f86546</t>
  </si>
  <si>
    <t>2026-05-08 08:47:45</t>
  </si>
  <si>
    <t>27712741232</t>
  </si>
  <si>
    <t>14300945</t>
  </si>
  <si>
    <t>5895cf00-342e-4fb0-b097-9f5cb1ddaf6c</t>
  </si>
  <si>
    <t>2026-05-08 08:47:11</t>
  </si>
  <si>
    <t>27761034724</t>
  </si>
  <si>
    <t>14301936</t>
  </si>
  <si>
    <t>ead4051e-bdf0-4f1d-8970-6f0c2c70c95d</t>
  </si>
  <si>
    <t>2026-05-08 08:47:05</t>
  </si>
  <si>
    <t>27608932629</t>
  </si>
  <si>
    <t>14301026</t>
  </si>
  <si>
    <t>2d288db0-5640-429e-9f31-845703cc573a</t>
  </si>
  <si>
    <t>2026-05-08 08:45:44</t>
  </si>
  <si>
    <t>27711216891</t>
  </si>
  <si>
    <t>14301710</t>
  </si>
  <si>
    <t>5e3982f9-17e2-441c-9a21-05f562709c57</t>
  </si>
  <si>
    <t>27723446308</t>
  </si>
  <si>
    <t>2026-05-08 08:42:50</t>
  </si>
  <si>
    <t>14300098</t>
  </si>
  <si>
    <t>5ce2fbdf-0d1f-43e6-b507-4eca748d321c</t>
  </si>
  <si>
    <t>2026-05-08 08:41:38</t>
  </si>
  <si>
    <t>27798111398</t>
  </si>
  <si>
    <t>14302374</t>
  </si>
  <si>
    <t>a20abc9d-cc8b-4c76-b2e5-6eb6e8444679</t>
  </si>
  <si>
    <t>2026-05-08 08:39:35</t>
  </si>
  <si>
    <t>27647435827</t>
  </si>
  <si>
    <t>14301712</t>
  </si>
  <si>
    <t>85302a7e-b02f-4b3b-8adb-8b5f8a7b1c56</t>
  </si>
  <si>
    <t>2026-05-08 08:38:50</t>
  </si>
  <si>
    <t>27724954586</t>
  </si>
  <si>
    <t>14302382</t>
  </si>
  <si>
    <t>a87f3f0d-3fed-49f1-b87f-45f605c87f9b</t>
  </si>
  <si>
    <t>2026-05-08 08:36:33</t>
  </si>
  <si>
    <t>27608700426</t>
  </si>
  <si>
    <t>14302390</t>
  </si>
  <si>
    <t>8ffd8b99-cb5a-4d3c-b10d-26655320c1f0</t>
  </si>
  <si>
    <t>27823811606</t>
  </si>
  <si>
    <t>14299697</t>
  </si>
  <si>
    <t>a831c687-7cb8-4a8b-a9b6-fbe463cc6866</t>
  </si>
  <si>
    <t>2026-05-08 08:34:53</t>
  </si>
  <si>
    <t>27723674566</t>
  </si>
  <si>
    <t>14302362</t>
  </si>
  <si>
    <t>3719ac62-7e4c-430d-966e-e9b29f503131</t>
  </si>
  <si>
    <t>2026-05-08 08:31:32</t>
  </si>
  <si>
    <t>27799436027</t>
  </si>
  <si>
    <t>14299746</t>
  </si>
  <si>
    <t>72a6f142-5416-44f1-b5a5-2653da0c2eba</t>
  </si>
  <si>
    <t>2026-05-08 08:29:51</t>
  </si>
  <si>
    <t>27837153855</t>
  </si>
  <si>
    <t>14299764</t>
  </si>
  <si>
    <t>49fe63f2-82b9-441d-ba28-a5bda348db8c</t>
  </si>
  <si>
    <t>2026-05-08 08:27:27</t>
  </si>
  <si>
    <t>27609369209</t>
  </si>
  <si>
    <t>14299775</t>
  </si>
  <si>
    <t>b38b56e1-65cc-4295-a933-8546fa50271c</t>
  </si>
  <si>
    <t>2026-05-08 08:25:54</t>
  </si>
  <si>
    <t>27636523708</t>
  </si>
  <si>
    <t>14299790</t>
  </si>
  <si>
    <t>fc11f045-0293-4734-83d3-135b0bddbfca</t>
  </si>
  <si>
    <t>2026-05-08 08:24:35</t>
  </si>
  <si>
    <t>27820945613</t>
  </si>
  <si>
    <t>14300342</t>
  </si>
  <si>
    <t>ccad077f-6229-48fc-b2f0-c1d167b605a5</t>
  </si>
  <si>
    <t>2026-05-08 08:00:10</t>
  </si>
  <si>
    <t>27766775019</t>
  </si>
  <si>
    <t>14299946</t>
  </si>
  <si>
    <t>c3b64222-2332-41b9-893f-d0e870d8e3d5</t>
  </si>
  <si>
    <t>2026-05-08 07:58:10</t>
  </si>
  <si>
    <t>27674463385</t>
  </si>
  <si>
    <t>14297627</t>
  </si>
  <si>
    <t>75b83125-a6b5-4d48-b5cb-c0ba1263b8f2</t>
  </si>
  <si>
    <t>2026-05-08 07:57:30</t>
  </si>
  <si>
    <t>27790488800</t>
  </si>
  <si>
    <t>14297606</t>
  </si>
  <si>
    <t>aec242cc-eeb2-46e3-88cb-5ce630f2f9a7</t>
  </si>
  <si>
    <t>2026-05-08 07:56:39</t>
  </si>
  <si>
    <t>27824772905</t>
  </si>
  <si>
    <t>14297619</t>
  </si>
  <si>
    <t>0b2762a0-da29-41de-9f6a-ef3443932c85</t>
  </si>
  <si>
    <t>2026-05-08 07:56:29</t>
  </si>
  <si>
    <t>27799167549</t>
  </si>
  <si>
    <t>14299989</t>
  </si>
  <si>
    <t>750c1f8d-c453-4571-bda9-9a56e3ba1abc</t>
  </si>
  <si>
    <t>27716370945</t>
  </si>
  <si>
    <t>2026-05-08 07:55:00</t>
  </si>
  <si>
    <t>14300266</t>
  </si>
  <si>
    <t>3bcbe294-4437-4d48-a65f-036d879e58d9</t>
  </si>
  <si>
    <t>27795540037</t>
  </si>
  <si>
    <t>2026-05-08 07:54:02</t>
  </si>
  <si>
    <t>14297638</t>
  </si>
  <si>
    <t>8bf5c7e1-06a9-47e0-86e1-460d00afb1dc</t>
  </si>
  <si>
    <t>2026-05-08 07:52:50</t>
  </si>
  <si>
    <t>27712683539</t>
  </si>
  <si>
    <t>14299960</t>
  </si>
  <si>
    <t>3693535d-c9a8-48dc-aeb5-699c91873829</t>
  </si>
  <si>
    <t>2026-05-08 07:52:35</t>
  </si>
  <si>
    <t>27662087253</t>
  </si>
  <si>
    <t>14299970</t>
  </si>
  <si>
    <t>78dd1a91-3526-4526-bf62-a5d9a20b3bc3</t>
  </si>
  <si>
    <t>2026-05-08 07:51:23</t>
  </si>
  <si>
    <t>27712460117</t>
  </si>
  <si>
    <t>14299963</t>
  </si>
  <si>
    <t>31dbcecc-7045-4ae9-9b0f-4e0d2e935f01</t>
  </si>
  <si>
    <t>2026-05-08 07:50:44</t>
  </si>
  <si>
    <t>27793057033</t>
  </si>
  <si>
    <t>14297679</t>
  </si>
  <si>
    <t>10871651-3191-4cb5-b8e4-960f16e537b2</t>
  </si>
  <si>
    <t>2026-05-08 07:50:06</t>
  </si>
  <si>
    <t>27792527425</t>
  </si>
  <si>
    <t>14297694</t>
  </si>
  <si>
    <t>83186608-f695-448c-b447-09090874737b</t>
  </si>
  <si>
    <t>2026-05-08 07:48:22</t>
  </si>
  <si>
    <t>27769313990</t>
  </si>
  <si>
    <t>14297701</t>
  </si>
  <si>
    <t>7710341f-3650-4293-95d4-6451beb571ed</t>
  </si>
  <si>
    <t>27711945789</t>
  </si>
  <si>
    <t>2026-05-08 07:47:38</t>
  </si>
  <si>
    <t>14297709</t>
  </si>
  <si>
    <t>a9e5a261-bb04-41d6-aae1-08084c9722a8</t>
  </si>
  <si>
    <t>2026-05-08 07:44:24</t>
  </si>
  <si>
    <t>27827616509</t>
  </si>
  <si>
    <t>14299979</t>
  </si>
  <si>
    <t>b5866e0f-f71e-424a-b6f5-7501164fa467</t>
  </si>
  <si>
    <t>2026-05-08 07:43:06</t>
  </si>
  <si>
    <t>27712979569</t>
  </si>
  <si>
    <t>14299976</t>
  </si>
  <si>
    <t>f1a41d99-5020-4a28-a764-ab711122dffa</t>
  </si>
  <si>
    <t>2026-05-08 07:43:01</t>
  </si>
  <si>
    <t>27795461483</t>
  </si>
  <si>
    <t>14299997</t>
  </si>
  <si>
    <t>192f25a8-1fe4-4a24-b6af-4ea3645c9065</t>
  </si>
  <si>
    <t>2026-05-08 07:39:53</t>
  </si>
  <si>
    <t>27636120749</t>
  </si>
  <si>
    <t>14300001</t>
  </si>
  <si>
    <t>7bcdda1c-f457-4744-a9c9-23ec8ea5c7ad</t>
  </si>
  <si>
    <t>2026-05-08 07:38:50</t>
  </si>
  <si>
    <t>27721336344</t>
  </si>
  <si>
    <t>14300021</t>
  </si>
  <si>
    <t>58ba592e-e665-4bc5-9952-1bf65b640347</t>
  </si>
  <si>
    <t>2026-05-08 07:37:16</t>
  </si>
  <si>
    <t>27768570816</t>
  </si>
  <si>
    <t>14300106</t>
  </si>
  <si>
    <t>dec7ed63-d81a-4193-998f-604eed49eefc</t>
  </si>
  <si>
    <t>27794224037</t>
  </si>
  <si>
    <t>2026-05-08 07:35:45</t>
  </si>
  <si>
    <t>14300038</t>
  </si>
  <si>
    <t>e9fa89fc-99da-403d-87b9-b40d4d73c0da</t>
  </si>
  <si>
    <t>2026-05-08 07:35:34</t>
  </si>
  <si>
    <t>27791755394</t>
  </si>
  <si>
    <t>14300067</t>
  </si>
  <si>
    <t>bdcefa37-f3e0-4669-be40-a90031f04d7b</t>
  </si>
  <si>
    <t>2026-05-08 07:34:07</t>
  </si>
  <si>
    <t>27823981765</t>
  </si>
  <si>
    <t>14300136</t>
  </si>
  <si>
    <t>a9bd3077-2a34-41cd-aee4-210a7276165c</t>
  </si>
  <si>
    <t>2026-05-08 07:32:19</t>
  </si>
  <si>
    <t>27646956520</t>
  </si>
  <si>
    <t>14300102</t>
  </si>
  <si>
    <t>e741a02f-cbeb-4c34-9455-7ec0ecd624b4</t>
  </si>
  <si>
    <t>2026-05-08 07:31:40</t>
  </si>
  <si>
    <t>27664930775</t>
  </si>
  <si>
    <t>14300124</t>
  </si>
  <si>
    <t>4ad9dca9-8dd3-4f1a-b13b-4b354bad46ba</t>
  </si>
  <si>
    <t>27713024925</t>
  </si>
  <si>
    <t>2026-05-08 07:29:22</t>
  </si>
  <si>
    <t>14300128</t>
  </si>
  <si>
    <t>c5a7f32d-9053-43f1-a97e-83ae2e994fdd</t>
  </si>
  <si>
    <t>2026-05-08 07:29:00</t>
  </si>
  <si>
    <t>27714988111</t>
  </si>
  <si>
    <t>14300324</t>
  </si>
  <si>
    <t>691bb00c-fb87-48f9-995f-2825d3d4a2d0</t>
  </si>
  <si>
    <t>27798158410</t>
  </si>
  <si>
    <t>2026-05-08 07:27:34</t>
  </si>
  <si>
    <t>14300499</t>
  </si>
  <si>
    <t>209ce75b-30fc-420c-8176-ec5e6afa8600</t>
  </si>
  <si>
    <t>27727572446</t>
  </si>
  <si>
    <t>2026-05-08 07:25:24</t>
  </si>
  <si>
    <t>14300404</t>
  </si>
  <si>
    <t>4fd1dd31-8e81-4e07-a804-3a0970b870a8</t>
  </si>
  <si>
    <t>27764851232</t>
  </si>
  <si>
    <t>2026-05-08 07:25:05</t>
  </si>
  <si>
    <t>14300345</t>
  </si>
  <si>
    <t>18d4d718-a093-42bb-973e-a25b59819bed</t>
  </si>
  <si>
    <t>2026-05-08 07:23:33</t>
  </si>
  <si>
    <t>27795829558</t>
  </si>
  <si>
    <t>14300168</t>
  </si>
  <si>
    <t>55b96541-2b45-407c-9bce-f51485dd2014</t>
  </si>
  <si>
    <t>2026-05-08 07:22:44</t>
  </si>
  <si>
    <t>27828129753</t>
  </si>
  <si>
    <t>14300173</t>
  </si>
  <si>
    <t>6883520b-df5f-455a-96d8-4c9889699aaa</t>
  </si>
  <si>
    <t>2026-05-08 07:21:15</t>
  </si>
  <si>
    <t>27793354491</t>
  </si>
  <si>
    <t>14300183</t>
  </si>
  <si>
    <t>e88e1b35-3244-4fcb-95f7-b90c7e362ebd</t>
  </si>
  <si>
    <t>2026-05-08 07:20:00</t>
  </si>
  <si>
    <t>27827102838</t>
  </si>
  <si>
    <t>14300190</t>
  </si>
  <si>
    <t>a0445423-08ab-4ea5-932d-ad16be07e497</t>
  </si>
  <si>
    <t>2026-05-08 07:17:45</t>
  </si>
  <si>
    <t>27827101446</t>
  </si>
  <si>
    <t>14300204</t>
  </si>
  <si>
    <t>345f8e6a-64cb-4e19-a238-04f35b03d1c7</t>
  </si>
  <si>
    <t>2026-05-08 07:16:10</t>
  </si>
  <si>
    <t>27606939678</t>
  </si>
  <si>
    <t>14300477</t>
  </si>
  <si>
    <t>637a805b-d671-4308-b7dd-80039be72995</t>
  </si>
  <si>
    <t>27637895479</t>
  </si>
  <si>
    <t>14300261</t>
  </si>
  <si>
    <t>62d4e288-ac63-481e-aab7-2d572c222ba2</t>
  </si>
  <si>
    <t>2026-05-08 07:09:29</t>
  </si>
  <si>
    <t>27760422430</t>
  </si>
  <si>
    <t>14300284</t>
  </si>
  <si>
    <t>9571e8a3-9c3d-4cde-bf20-35531a276d7d</t>
  </si>
  <si>
    <t>2026-05-08 07:09:25</t>
  </si>
  <si>
    <t>27728284801</t>
  </si>
  <si>
    <t>14300320</t>
  </si>
  <si>
    <t>bddf8549-f1af-4477-98bf-2b65ecc4d538</t>
  </si>
  <si>
    <t>2026-05-08 07:06:24</t>
  </si>
  <si>
    <t>27790758241</t>
  </si>
  <si>
    <t>14300311</t>
  </si>
  <si>
    <t>25df9532-1747-41b9-8abd-18dfb128c179</t>
  </si>
  <si>
    <t>2026-05-08 07:05:23</t>
  </si>
  <si>
    <t>27728885398</t>
  </si>
  <si>
    <t>14300303</t>
  </si>
  <si>
    <t>50e24c2a-fbd1-42a6-97f3-e0338cd1b1ed</t>
  </si>
  <si>
    <t>2026-05-08 07:04:49</t>
  </si>
  <si>
    <t>27829739252</t>
  </si>
  <si>
    <t>14300943</t>
  </si>
  <si>
    <t>9681e230-d63d-46c5-83d4-addd086b37ba</t>
  </si>
  <si>
    <t>2026-05-08 07:04:47</t>
  </si>
  <si>
    <t>27722484604</t>
  </si>
  <si>
    <t>14300367</t>
  </si>
  <si>
    <t>a1b1b303-7ad8-4df4-83bd-b2e64b67a9f2</t>
  </si>
  <si>
    <t>2026-05-08 07:02:58</t>
  </si>
  <si>
    <t>27792816347</t>
  </si>
  <si>
    <t>14300390</t>
  </si>
  <si>
    <t>5278a450-38d7-4457-8232-ec1797f04e95</t>
  </si>
  <si>
    <t>2026-05-08 07:00:23</t>
  </si>
  <si>
    <t>27608651933</t>
  </si>
  <si>
    <t>14300399</t>
  </si>
  <si>
    <t>21a31ecd-b792-44fb-8b33-7ae85901b389</t>
  </si>
  <si>
    <t>2026-05-08 06:59:22</t>
  </si>
  <si>
    <t>27721496142</t>
  </si>
  <si>
    <t>14300473</t>
  </si>
  <si>
    <t>80eff7e6-5b80-4877-9eb0-866f07b5519b</t>
  </si>
  <si>
    <t>2026-05-08 06:55:29</t>
  </si>
  <si>
    <t>27826322448</t>
  </si>
  <si>
    <t>14300454</t>
  </si>
  <si>
    <t>10be32c1-4f21-4ee1-b074-61111ad4d6e4</t>
  </si>
  <si>
    <t>2026-05-08 06:54:47</t>
  </si>
  <si>
    <t>27798886390</t>
  </si>
  <si>
    <t>14300448</t>
  </si>
  <si>
    <t>87c16c83-890a-45e3-b15e-0c28854b87e9</t>
  </si>
  <si>
    <t>2026-05-08 06:54:35</t>
  </si>
  <si>
    <t>27715261738</t>
  </si>
  <si>
    <t>14300458</t>
  </si>
  <si>
    <t>97301b0b-99ed-40b6-84dc-2714c2be069d</t>
  </si>
  <si>
    <t>2026-05-08 06:54:02</t>
  </si>
  <si>
    <t>27723361108</t>
  </si>
  <si>
    <t>14300492</t>
  </si>
  <si>
    <t>37c23ff4-4256-4670-b152-9cbdaba21be2</t>
  </si>
  <si>
    <t>2026-05-08 06:52:56</t>
  </si>
  <si>
    <t>27792447907</t>
  </si>
  <si>
    <t>14300490</t>
  </si>
  <si>
    <t>b80e3aab-ae38-4497-a9f2-2abc02e9178a</t>
  </si>
  <si>
    <t>2026-05-08 06:52:54</t>
  </si>
  <si>
    <t>27660333314</t>
  </si>
  <si>
    <t>14300501</t>
  </si>
  <si>
    <t>777d926d-db94-49a5-9272-d62330725154</t>
  </si>
  <si>
    <t>27761294457</t>
  </si>
  <si>
    <t>2026-05-08 06:51:36</t>
  </si>
  <si>
    <t>14300567</t>
  </si>
  <si>
    <t>bab181f9-4eeb-41a2-85eb-3043fd52a920</t>
  </si>
  <si>
    <t>27721278543</t>
  </si>
  <si>
    <t>2026-05-08 06:45:03</t>
  </si>
  <si>
    <t>14300697</t>
  </si>
  <si>
    <t>eedac15d-fc17-4f43-a2b3-25830e39ddd8</t>
  </si>
  <si>
    <t>27665896076</t>
  </si>
  <si>
    <t>2026-05-08 06:44:19</t>
  </si>
  <si>
    <t>14300568</t>
  </si>
  <si>
    <t>cb8adc9c-d83a-42b1-929d-876fca323bb4</t>
  </si>
  <si>
    <t>2026-05-08 06:44:18</t>
  </si>
  <si>
    <t>27793246338</t>
  </si>
  <si>
    <t>14300585</t>
  </si>
  <si>
    <t>a38487ce-2d8c-4aa2-821b-8fcb24df8177</t>
  </si>
  <si>
    <t>2026-05-08 06:38:18</t>
  </si>
  <si>
    <t>27828329695</t>
  </si>
  <si>
    <t>14300602</t>
  </si>
  <si>
    <t>d1590718-ab01-4145-8871-64f9b5a23dc1</t>
  </si>
  <si>
    <t>2026-05-08 06:36:27</t>
  </si>
  <si>
    <t>27765467355</t>
  </si>
  <si>
    <t>14300649</t>
  </si>
  <si>
    <t>30f7dea8-eeaf-4cdd-a0db-0103499775a4</t>
  </si>
  <si>
    <t>2026-05-08 06:32:46</t>
  </si>
  <si>
    <t>27797574832</t>
  </si>
  <si>
    <t>14300650</t>
  </si>
  <si>
    <t>1899cf79-b430-4e27-a0b9-8ea12689d760</t>
  </si>
  <si>
    <t>27762500802</t>
  </si>
  <si>
    <t>14300659</t>
  </si>
  <si>
    <t>cd9d7cb1-44fa-4b7d-b15e-6b89a2b0ddd9</t>
  </si>
  <si>
    <t>2026-05-08 06:31:47</t>
  </si>
  <si>
    <t>27673168246</t>
  </si>
  <si>
    <t>14300672</t>
  </si>
  <si>
    <t>e098295c-ca91-4c41-bce1-9d582521ad1f</t>
  </si>
  <si>
    <t>2026-05-08 06:31:16</t>
  </si>
  <si>
    <t>27715747429</t>
  </si>
  <si>
    <t>14300763</t>
  </si>
  <si>
    <t>e231f330-69a3-4a67-9a47-ac71308d1d02</t>
  </si>
  <si>
    <t>2026-05-08 06:30:15</t>
  </si>
  <si>
    <t>27722914704</t>
  </si>
  <si>
    <t>14300689</t>
  </si>
  <si>
    <t>04f80790-ddc2-4e47-aa61-b9fb5d78299e</t>
  </si>
  <si>
    <t>2026-05-08 06:29:39</t>
  </si>
  <si>
    <t>27716577150</t>
  </si>
  <si>
    <t>14300719</t>
  </si>
  <si>
    <t>f989cbf3-6a81-4bd7-9268-cbd8f5fdb47e</t>
  </si>
  <si>
    <t>2026-05-08 06:27:42</t>
  </si>
  <si>
    <t>27725590618</t>
  </si>
  <si>
    <t>14300724</t>
  </si>
  <si>
    <t>0319738c-8148-4df0-b329-3ba59d44a7a0</t>
  </si>
  <si>
    <t>2026-05-08 06:26:25</t>
  </si>
  <si>
    <t>27828257293</t>
  </si>
  <si>
    <t>14300741</t>
  </si>
  <si>
    <t>b8a42192-867d-4636-b105-e82f0ba71225</t>
  </si>
  <si>
    <t>2026-05-08 06:24:35</t>
  </si>
  <si>
    <t>27760844173</t>
  </si>
  <si>
    <t>14300748</t>
  </si>
  <si>
    <t>4f8d0e17-3f87-4530-a20c-6e82acbac5db</t>
  </si>
  <si>
    <t>27658140265</t>
  </si>
  <si>
    <t>2026-05-08 06:22:14</t>
  </si>
  <si>
    <t>14300832</t>
  </si>
  <si>
    <t>f67dfb2b-0440-4f7f-a74c-536036100aa8</t>
  </si>
  <si>
    <t>27722934294</t>
  </si>
  <si>
    <t>2026-05-08 06:19:12</t>
  </si>
  <si>
    <t>14300815</t>
  </si>
  <si>
    <t>3418ad8e-0d75-4a64-b9d9-400460acfdcf</t>
  </si>
  <si>
    <t>2026-05-08 06:17:47</t>
  </si>
  <si>
    <t>27812679440</t>
  </si>
  <si>
    <t>14300888</t>
  </si>
  <si>
    <t>387237cf-b227-455c-aa72-a29be58dbac9</t>
  </si>
  <si>
    <t>27648177351</t>
  </si>
  <si>
    <t>2026-05-08 06:11:57</t>
  </si>
  <si>
    <t>14300843</t>
  </si>
  <si>
    <t>d29dd61c-3372-4a71-9184-6f37922e9b5d</t>
  </si>
  <si>
    <t>2026-05-08 06:11:55</t>
  </si>
  <si>
    <t>27835406451</t>
  </si>
  <si>
    <t>14300859</t>
  </si>
  <si>
    <t>38e978dd-1551-4e24-873e-34675c8fd16f</t>
  </si>
  <si>
    <t>2026-05-08 06:10:19</t>
  </si>
  <si>
    <t>27795992916</t>
  </si>
  <si>
    <t>14300867</t>
  </si>
  <si>
    <t>4604d67d-c903-42d3-87e2-90b21665b842</t>
  </si>
  <si>
    <t>2026-05-08 06:08:33</t>
  </si>
  <si>
    <t>27826207069</t>
  </si>
  <si>
    <t>14300894</t>
  </si>
  <si>
    <t>3dd6b3d9-d375-42b7-a0c1-e7eab4593fa2</t>
  </si>
  <si>
    <t>2026-05-08 06:05:35</t>
  </si>
  <si>
    <t>27723248379</t>
  </si>
  <si>
    <t>14300896</t>
  </si>
  <si>
    <t>33196b04-ef8d-4865-a337-479a8034eb6a</t>
  </si>
  <si>
    <t>CQN</t>
  </si>
  <si>
    <t>Client Quoted Not Interested</t>
  </si>
  <si>
    <t>2026-05-08 06:03:22</t>
  </si>
  <si>
    <t>27769093779</t>
  </si>
  <si>
    <t>14300902</t>
  </si>
  <si>
    <t>8ed5c310-2bb4-4364-bd3c-179469550a0a</t>
  </si>
  <si>
    <t>2026-05-08 06:01:41</t>
  </si>
  <si>
    <t>27760553591</t>
  </si>
  <si>
    <t>14301589</t>
  </si>
  <si>
    <t>cf080fab-fdad-4ec6-b6f4-77c997812761</t>
  </si>
  <si>
    <t>2026-05-07 14:46:41</t>
  </si>
  <si>
    <t>2026-05-27 08:55:02</t>
  </si>
  <si>
    <t>27636263948</t>
  </si>
  <si>
    <t>14299369</t>
  </si>
  <si>
    <t>1bc1d1cc-b19a-4f1d-bf09-ccdb0cff98ff</t>
  </si>
  <si>
    <t>27606528791</t>
  </si>
  <si>
    <t>2026-05-07 14:18:13</t>
  </si>
  <si>
    <t>14301691</t>
  </si>
  <si>
    <t>160c0a23-2968-4276-a37b-24a7e0bf2b1e</t>
  </si>
  <si>
    <t>2026-05-07 14:15:28</t>
  </si>
  <si>
    <t>27723802982</t>
  </si>
  <si>
    <t>14299533</t>
  </si>
  <si>
    <t>b3b9b575-1d45-4d23-aa8c-0a9e883f9be0</t>
  </si>
  <si>
    <t>2026-05-07 14:03:35</t>
  </si>
  <si>
    <t>27766397782</t>
  </si>
  <si>
    <t>14299531</t>
  </si>
  <si>
    <t>44c490e7-f795-4795-a625-5cc268ac31b1</t>
  </si>
  <si>
    <t>2026-05-07 14:03:34</t>
  </si>
  <si>
    <t>27827680681</t>
  </si>
  <si>
    <t>14500744</t>
  </si>
  <si>
    <t>191175c7-8333-4ee1-88c9-fb6209c1e3c1</t>
  </si>
  <si>
    <t>KOPANO</t>
  </si>
  <si>
    <t>PHETOE</t>
  </si>
  <si>
    <t>27820438979</t>
  </si>
  <si>
    <t>14500819</t>
  </si>
  <si>
    <t>d77781a9-f03f-4180-b44b-45c205edae36</t>
  </si>
  <si>
    <t>VIRTUE</t>
  </si>
  <si>
    <t>SELWANA</t>
  </si>
  <si>
    <t>27762960519</t>
  </si>
  <si>
    <t>14501437</t>
  </si>
  <si>
    <t>4cc69024-7f93-42bf-b9e7-1845a257d815</t>
  </si>
  <si>
    <t>ORNA</t>
  </si>
  <si>
    <t>UNGERER</t>
  </si>
  <si>
    <t>27828189208</t>
  </si>
  <si>
    <t>14501834</t>
  </si>
  <si>
    <t>a7ef04f6-2b68-473b-860a-aca2501dd902</t>
  </si>
  <si>
    <t>LEBOHANG</t>
  </si>
  <si>
    <t>27726090501</t>
  </si>
  <si>
    <t>14502093</t>
  </si>
  <si>
    <t>6e7c7b06-f554-4403-b771-c50aca03a97f</t>
  </si>
  <si>
    <t>27713496023</t>
  </si>
  <si>
    <t>14502032</t>
  </si>
  <si>
    <t>None</t>
  </si>
  <si>
    <t>New</t>
  </si>
  <si>
    <t>27818636374</t>
  </si>
  <si>
    <t>14502592</t>
  </si>
  <si>
    <t>27822157335</t>
  </si>
  <si>
    <t>14297766</t>
  </si>
  <si>
    <t>7ea9d4b3-c23e-44aa-8993-9f7f72743700</t>
  </si>
  <si>
    <t>27661761815</t>
  </si>
  <si>
    <t>14298911</t>
  </si>
  <si>
    <t>27647099429</t>
  </si>
  <si>
    <t>14298959</t>
  </si>
  <si>
    <t>ed4f37d4-a5d3-42d0-adae-15f2a6bb3e45</t>
  </si>
  <si>
    <t>27725936407</t>
  </si>
  <si>
    <t>14298927</t>
  </si>
  <si>
    <t>27728671331</t>
  </si>
  <si>
    <t>14299046</t>
  </si>
  <si>
    <t>5a0e69d7-a26d-4407-9ed1-1335f26b2664</t>
  </si>
  <si>
    <t>27661189357</t>
  </si>
  <si>
    <t>14299062</t>
  </si>
  <si>
    <t>75a99d5b-2997-4763-bb68-962c2f4524cd</t>
  </si>
  <si>
    <t>27607514027</t>
  </si>
  <si>
    <t>14299208</t>
  </si>
  <si>
    <t>ad0d9e44-adc1-4ff0-9bd1-09d862e2b8bf</t>
  </si>
  <si>
    <t>27724477582</t>
  </si>
  <si>
    <t>14299766</t>
  </si>
  <si>
    <t>27825937441</t>
  </si>
  <si>
    <t>14301167</t>
  </si>
  <si>
    <t>8df6dc0a-95eb-4e5c-b252-55585bc3fa8f</t>
  </si>
  <si>
    <t>27636196747</t>
  </si>
  <si>
    <t>14301925</t>
  </si>
  <si>
    <t>27826926225</t>
  </si>
  <si>
    <t>14302340</t>
  </si>
  <si>
    <t>080c5fca-814c-47b1-b13e-59dcdac765b1</t>
  </si>
  <si>
    <t>27797171931</t>
  </si>
  <si>
    <t>14302484</t>
  </si>
  <si>
    <t>a222f9c8-f064-43a3-9ded-a5e37ce7ce5b</t>
  </si>
  <si>
    <t>27763238816</t>
  </si>
  <si>
    <t>Count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</si>
  <si>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</si>
  <si>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</si>
  <si>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</si>
  <si>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</si>
  <si>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</si>
  <si>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</si>
  <si>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</si>
  <si>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</si>
  <si>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TPS Registered Number</t>
  </si>
  <si>
    <t>Outbound Pre-Routing Drop</t>
  </si>
  <si>
    <t>Engaged</t>
  </si>
  <si>
    <t>Disconnected</t>
  </si>
  <si>
    <t>CONGESTED</t>
  </si>
  <si>
    <t>Flow Inbound Abandon</t>
  </si>
  <si>
    <t>Missed</t>
  </si>
  <si>
    <t>Answered</t>
  </si>
  <si>
    <t>Customer drop</t>
  </si>
  <si>
    <t>Disconnected Number Temporary</t>
  </si>
  <si>
    <t>Sale Made - Completed Mandate</t>
  </si>
  <si>
    <t>Sale Made - Pending Mandate</t>
  </si>
  <si>
    <t>Tyme Bank Account Sale</t>
  </si>
  <si>
    <t>Do Not Call</t>
  </si>
  <si>
    <t>No Smartphones</t>
  </si>
  <si>
    <t>Client Overage Limit</t>
  </si>
  <si>
    <t>Non SA Citizen</t>
  </si>
  <si>
    <t>No Bank Account</t>
  </si>
  <si>
    <t>Client Underage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</si>
  <si>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</si>
  <si>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</si>
  <si>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</si>
  <si>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</si>
  <si>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</si>
  <si>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</si>
  <si>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</si>
  <si>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</si>
  <si>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</si>
  <si>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</si>
  <si>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</si>
  <si>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</si>
  <si>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</si>
  <si>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Cannot Afford Premium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</si>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</sst>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50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G2" t="s">
        <v>42</v>
      </c>
      <c r="H2" t="s">
        <v>43</v>
      </c>
      <c r="J2" t="s">
        <v>44</v>
      </c>
      <c r="K2" t="s">
        <v>45</v>
      </c>
      <c r="L2">
        <v>5</v>
      </c>
      <c r="M2" t="s">
        <v>46</v>
      </c>
      <c r="N2" t="s">
        <v>47</v>
      </c>
      <c r="O2" t="s">
        <v>48</v>
      </c>
      <c r="P2" t="s">
        <v>48</v>
      </c>
      <c r="Y2" t="s">
        <v>49</v>
      </c>
    </row>
    <row r="3" spans="1:38">
      <c r="A3" t="s">
        <v>50</v>
      </c>
      <c r="B3" t="s">
        <v>51</v>
      </c>
      <c r="D3" t="s">
        <v>40</v>
      </c>
      <c r="E3" t="s">
        <v>41</v>
      </c>
      <c r="G3" t="s">
        <v>52</v>
      </c>
      <c r="H3" t="s">
        <v>53</v>
      </c>
      <c r="J3" t="s">
        <v>54</v>
      </c>
      <c r="K3" t="s">
        <v>55</v>
      </c>
      <c r="L3">
        <v>5</v>
      </c>
      <c r="M3" t="s">
        <v>46</v>
      </c>
      <c r="N3" t="s">
        <v>47</v>
      </c>
      <c r="O3" t="s">
        <v>48</v>
      </c>
      <c r="P3" t="s">
        <v>48</v>
      </c>
      <c r="Y3" t="s">
        <v>56</v>
      </c>
    </row>
    <row r="4" spans="1:38">
      <c r="A4" t="s">
        <v>57</v>
      </c>
      <c r="B4" t="s">
        <v>58</v>
      </c>
      <c r="D4" t="s">
        <v>40</v>
      </c>
      <c r="E4" t="s">
        <v>41</v>
      </c>
      <c r="G4" t="s">
        <v>59</v>
      </c>
      <c r="H4" t="s">
        <v>60</v>
      </c>
      <c r="J4" t="s">
        <v>54</v>
      </c>
      <c r="K4" t="s">
        <v>55</v>
      </c>
      <c r="L4">
        <v>5</v>
      </c>
      <c r="M4" t="s">
        <v>61</v>
      </c>
      <c r="N4" t="s">
        <v>47</v>
      </c>
      <c r="O4" t="s">
        <v>48</v>
      </c>
      <c r="P4" t="s">
        <v>48</v>
      </c>
      <c r="Y4" t="s">
        <v>62</v>
      </c>
    </row>
    <row r="5" spans="1:38">
      <c r="A5" t="s">
        <v>63</v>
      </c>
      <c r="B5" t="s">
        <v>64</v>
      </c>
      <c r="D5" t="s">
        <v>40</v>
      </c>
      <c r="E5" t="s">
        <v>41</v>
      </c>
      <c r="G5" t="s">
        <v>65</v>
      </c>
      <c r="H5" t="s">
        <v>66</v>
      </c>
      <c r="J5" t="s">
        <v>54</v>
      </c>
      <c r="K5" t="s">
        <v>55</v>
      </c>
      <c r="L5">
        <v>5</v>
      </c>
      <c r="M5" t="s">
        <v>61</v>
      </c>
      <c r="N5" t="s">
        <v>47</v>
      </c>
      <c r="O5" t="s">
        <v>48</v>
      </c>
      <c r="P5" t="s">
        <v>48</v>
      </c>
      <c r="Y5" t="s">
        <v>67</v>
      </c>
    </row>
    <row r="6" spans="1:38">
      <c r="A6" t="s">
        <v>68</v>
      </c>
      <c r="B6" t="s">
        <v>69</v>
      </c>
      <c r="D6" t="s">
        <v>40</v>
      </c>
      <c r="E6" t="s">
        <v>41</v>
      </c>
      <c r="G6" t="s">
        <v>70</v>
      </c>
      <c r="H6" t="s">
        <v>71</v>
      </c>
      <c r="J6" t="s">
        <v>54</v>
      </c>
      <c r="K6" t="s">
        <v>55</v>
      </c>
      <c r="L6">
        <v>5</v>
      </c>
      <c r="M6" t="s">
        <v>72</v>
      </c>
      <c r="N6" t="s">
        <v>47</v>
      </c>
      <c r="O6" t="s">
        <v>48</v>
      </c>
      <c r="P6" t="s">
        <v>48</v>
      </c>
      <c r="Y6" t="s">
        <v>73</v>
      </c>
    </row>
    <row r="7" spans="1:38">
      <c r="A7" t="s">
        <v>74</v>
      </c>
      <c r="B7" t="s">
        <v>75</v>
      </c>
      <c r="D7" t="s">
        <v>40</v>
      </c>
      <c r="E7" t="s">
        <v>41</v>
      </c>
      <c r="G7" t="s">
        <v>76</v>
      </c>
      <c r="H7" t="s">
        <v>77</v>
      </c>
      <c r="J7" t="s">
        <v>78</v>
      </c>
      <c r="K7" t="s">
        <v>79</v>
      </c>
      <c r="L7">
        <v>5</v>
      </c>
      <c r="M7" t="s">
        <v>72</v>
      </c>
      <c r="N7" t="s">
        <v>47</v>
      </c>
      <c r="O7" t="s">
        <v>48</v>
      </c>
      <c r="P7" t="s">
        <v>48</v>
      </c>
      <c r="Y7" t="s">
        <v>80</v>
      </c>
    </row>
    <row r="8" spans="1:38">
      <c r="A8" t="s">
        <v>81</v>
      </c>
      <c r="B8" t="s">
        <v>82</v>
      </c>
      <c r="D8" t="s">
        <v>40</v>
      </c>
      <c r="E8" t="s">
        <v>41</v>
      </c>
      <c r="G8" t="s">
        <v>83</v>
      </c>
      <c r="H8" t="s">
        <v>84</v>
      </c>
      <c r="J8" t="s">
        <v>44</v>
      </c>
      <c r="K8" t="s">
        <v>45</v>
      </c>
      <c r="L8">
        <v>5</v>
      </c>
      <c r="M8" t="s">
        <v>72</v>
      </c>
      <c r="N8" t="s">
        <v>47</v>
      </c>
      <c r="O8" t="s">
        <v>48</v>
      </c>
      <c r="P8" t="s">
        <v>48</v>
      </c>
      <c r="Y8" t="s">
        <v>85</v>
      </c>
    </row>
    <row r="9" spans="1:38">
      <c r="A9" t="s">
        <v>86</v>
      </c>
      <c r="B9" t="s">
        <v>87</v>
      </c>
      <c r="D9" t="s">
        <v>40</v>
      </c>
      <c r="E9" t="s">
        <v>41</v>
      </c>
      <c r="G9" t="s">
        <v>88</v>
      </c>
      <c r="H9" t="s">
        <v>89</v>
      </c>
      <c r="J9" t="s">
        <v>90</v>
      </c>
      <c r="K9" t="s">
        <v>91</v>
      </c>
      <c r="L9">
        <v>5</v>
      </c>
      <c r="M9" t="s">
        <v>92</v>
      </c>
      <c r="N9" t="s">
        <v>47</v>
      </c>
      <c r="O9" t="s">
        <v>48</v>
      </c>
      <c r="P9" t="s">
        <v>48</v>
      </c>
      <c r="Y9" t="s">
        <v>93</v>
      </c>
    </row>
    <row r="10" spans="1:38">
      <c r="A10" t="s">
        <v>94</v>
      </c>
      <c r="B10" t="s">
        <v>95</v>
      </c>
      <c r="D10" t="s">
        <v>40</v>
      </c>
      <c r="E10" t="s">
        <v>41</v>
      </c>
      <c r="G10" t="s">
        <v>96</v>
      </c>
      <c r="H10" t="s">
        <v>97</v>
      </c>
      <c r="J10" t="s">
        <v>78</v>
      </c>
      <c r="K10" t="s">
        <v>79</v>
      </c>
      <c r="L10">
        <v>5</v>
      </c>
      <c r="M10" t="s">
        <v>98</v>
      </c>
      <c r="N10" t="s">
        <v>47</v>
      </c>
      <c r="O10" t="s">
        <v>48</v>
      </c>
      <c r="P10" t="s">
        <v>48</v>
      </c>
      <c r="Y10" t="s">
        <v>99</v>
      </c>
    </row>
    <row r="11" spans="1:38">
      <c r="A11" t="s">
        <v>100</v>
      </c>
      <c r="B11" t="s">
        <v>101</v>
      </c>
      <c r="D11" t="s">
        <v>40</v>
      </c>
      <c r="E11" t="s">
        <v>41</v>
      </c>
      <c r="J11" t="s">
        <v>44</v>
      </c>
      <c r="K11" t="s">
        <v>45</v>
      </c>
      <c r="L11">
        <v>5</v>
      </c>
      <c r="M11" t="s">
        <v>98</v>
      </c>
      <c r="N11" t="s">
        <v>47</v>
      </c>
      <c r="O11" t="s">
        <v>48</v>
      </c>
      <c r="P11" t="s">
        <v>48</v>
      </c>
      <c r="Y11" t="s">
        <v>102</v>
      </c>
    </row>
    <row r="12" spans="1:38">
      <c r="A12" t="s">
        <v>103</v>
      </c>
      <c r="B12" t="s">
        <v>104</v>
      </c>
      <c r="D12" t="s">
        <v>40</v>
      </c>
      <c r="E12" t="s">
        <v>41</v>
      </c>
      <c r="G12" t="s">
        <v>105</v>
      </c>
      <c r="H12" t="s">
        <v>106</v>
      </c>
      <c r="J12" t="s">
        <v>44</v>
      </c>
      <c r="K12" t="s">
        <v>45</v>
      </c>
      <c r="L12">
        <v>5</v>
      </c>
      <c r="M12" t="s">
        <v>98</v>
      </c>
      <c r="N12" t="s">
        <v>47</v>
      </c>
      <c r="O12" t="s">
        <v>48</v>
      </c>
      <c r="P12" t="s">
        <v>48</v>
      </c>
      <c r="Y12" t="s">
        <v>107</v>
      </c>
    </row>
    <row r="13" spans="1:38">
      <c r="A13" t="s">
        <v>108</v>
      </c>
      <c r="B13" t="s">
        <v>109</v>
      </c>
      <c r="D13" t="s">
        <v>40</v>
      </c>
      <c r="E13" t="s">
        <v>41</v>
      </c>
      <c r="G13" t="s">
        <v>110</v>
      </c>
      <c r="H13" t="s">
        <v>111</v>
      </c>
      <c r="J13" t="s">
        <v>54</v>
      </c>
      <c r="K13" t="s">
        <v>55</v>
      </c>
      <c r="L13">
        <v>5</v>
      </c>
      <c r="M13" t="s">
        <v>98</v>
      </c>
      <c r="N13" t="s">
        <v>47</v>
      </c>
      <c r="O13" t="s">
        <v>48</v>
      </c>
      <c r="P13" t="s">
        <v>48</v>
      </c>
      <c r="Y13" t="s">
        <v>112</v>
      </c>
    </row>
    <row r="14" spans="1:38">
      <c r="A14" t="s">
        <v>113</v>
      </c>
      <c r="B14" t="s">
        <v>114</v>
      </c>
      <c r="D14" t="s">
        <v>40</v>
      </c>
      <c r="E14" t="s">
        <v>41</v>
      </c>
      <c r="J14" t="s">
        <v>78</v>
      </c>
      <c r="K14" t="s">
        <v>79</v>
      </c>
      <c r="L14">
        <v>5</v>
      </c>
      <c r="M14" t="s">
        <v>115</v>
      </c>
      <c r="N14" t="s">
        <v>47</v>
      </c>
      <c r="O14" t="s">
        <v>48</v>
      </c>
      <c r="P14" t="s">
        <v>48</v>
      </c>
      <c r="Y14" t="s">
        <v>116</v>
      </c>
    </row>
    <row r="15" spans="1:38">
      <c r="A15" t="s">
        <v>117</v>
      </c>
      <c r="B15" t="s">
        <v>118</v>
      </c>
      <c r="D15" t="s">
        <v>40</v>
      </c>
      <c r="E15" t="s">
        <v>41</v>
      </c>
      <c r="G15" t="s">
        <v>119</v>
      </c>
      <c r="H15" t="s">
        <v>120</v>
      </c>
      <c r="J15" t="s">
        <v>90</v>
      </c>
      <c r="K15" t="s">
        <v>91</v>
      </c>
      <c r="L15">
        <v>5</v>
      </c>
      <c r="M15" t="s">
        <v>121</v>
      </c>
      <c r="N15" t="s">
        <v>47</v>
      </c>
      <c r="O15" t="s">
        <v>48</v>
      </c>
      <c r="P15" t="s">
        <v>48</v>
      </c>
      <c r="Y15" t="s">
        <v>122</v>
      </c>
    </row>
    <row r="16" spans="1:38">
      <c r="A16" t="s">
        <v>123</v>
      </c>
      <c r="B16" t="s">
        <v>124</v>
      </c>
      <c r="D16" t="s">
        <v>40</v>
      </c>
      <c r="E16" t="s">
        <v>41</v>
      </c>
      <c r="G16" t="s">
        <v>125</v>
      </c>
      <c r="H16" t="s">
        <v>126</v>
      </c>
      <c r="J16" t="s">
        <v>54</v>
      </c>
      <c r="K16" t="s">
        <v>55</v>
      </c>
      <c r="L16">
        <v>5</v>
      </c>
      <c r="M16" t="s">
        <v>127</v>
      </c>
      <c r="N16" t="s">
        <v>47</v>
      </c>
      <c r="O16" t="s">
        <v>48</v>
      </c>
      <c r="P16" t="s">
        <v>48</v>
      </c>
      <c r="Y16" t="s">
        <v>128</v>
      </c>
    </row>
    <row r="17" spans="1:25">
      <c r="A17" t="s">
        <v>129</v>
      </c>
      <c r="B17" t="s">
        <v>130</v>
      </c>
      <c r="D17" t="s">
        <v>40</v>
      </c>
      <c r="E17" t="s">
        <v>41</v>
      </c>
      <c r="G17" t="s">
        <v>131</v>
      </c>
      <c r="H17" t="s">
        <v>132</v>
      </c>
      <c r="J17" t="s">
        <v>133</v>
      </c>
      <c r="K17" t="s">
        <v>134</v>
      </c>
      <c r="L17">
        <v>5</v>
      </c>
      <c r="M17" t="s">
        <v>127</v>
      </c>
      <c r="N17" t="s">
        <v>135</v>
      </c>
      <c r="O17" t="s">
        <v>48</v>
      </c>
      <c r="P17" t="s">
        <v>48</v>
      </c>
      <c r="Y17" t="s">
        <v>136</v>
      </c>
    </row>
    <row r="18" spans="1:25">
      <c r="A18" t="s">
        <v>137</v>
      </c>
      <c r="B18" t="s">
        <v>138</v>
      </c>
      <c r="D18" t="s">
        <v>40</v>
      </c>
      <c r="E18" t="s">
        <v>41</v>
      </c>
      <c r="J18" t="s">
        <v>44</v>
      </c>
      <c r="K18" t="s">
        <v>45</v>
      </c>
      <c r="L18">
        <v>5</v>
      </c>
      <c r="M18" t="s">
        <v>127</v>
      </c>
      <c r="N18" t="s">
        <v>47</v>
      </c>
      <c r="O18" t="s">
        <v>48</v>
      </c>
      <c r="P18" t="s">
        <v>48</v>
      </c>
      <c r="Y18" t="s">
        <v>139</v>
      </c>
    </row>
    <row r="19" spans="1:25">
      <c r="A19" t="s">
        <v>140</v>
      </c>
      <c r="B19" t="s">
        <v>141</v>
      </c>
      <c r="D19" t="s">
        <v>40</v>
      </c>
      <c r="E19" t="s">
        <v>41</v>
      </c>
      <c r="G19" t="s">
        <v>142</v>
      </c>
      <c r="H19" t="s">
        <v>143</v>
      </c>
      <c r="J19" t="s">
        <v>90</v>
      </c>
      <c r="K19" t="s">
        <v>91</v>
      </c>
      <c r="L19">
        <v>5</v>
      </c>
      <c r="M19" t="s">
        <v>127</v>
      </c>
      <c r="N19" t="s">
        <v>47</v>
      </c>
      <c r="O19" t="s">
        <v>48</v>
      </c>
      <c r="P19" t="s">
        <v>48</v>
      </c>
      <c r="Y19" t="s">
        <v>144</v>
      </c>
    </row>
    <row r="20" spans="1:25">
      <c r="A20" t="s">
        <v>145</v>
      </c>
      <c r="B20" t="s">
        <v>146</v>
      </c>
      <c r="D20" t="s">
        <v>40</v>
      </c>
      <c r="E20" t="s">
        <v>41</v>
      </c>
      <c r="J20" t="s">
        <v>90</v>
      </c>
      <c r="K20" t="s">
        <v>91</v>
      </c>
      <c r="L20">
        <v>5</v>
      </c>
      <c r="M20" t="s">
        <v>147</v>
      </c>
      <c r="N20" t="s">
        <v>47</v>
      </c>
      <c r="O20" t="s">
        <v>48</v>
      </c>
      <c r="P20" t="s">
        <v>48</v>
      </c>
      <c r="Y20" t="s">
        <v>148</v>
      </c>
    </row>
    <row r="21" spans="1:25">
      <c r="A21" t="s">
        <v>149</v>
      </c>
      <c r="B21" t="s">
        <v>150</v>
      </c>
      <c r="D21" t="s">
        <v>40</v>
      </c>
      <c r="E21" t="s">
        <v>41</v>
      </c>
      <c r="G21" t="s">
        <v>151</v>
      </c>
      <c r="H21" t="s">
        <v>143</v>
      </c>
      <c r="J21" t="s">
        <v>90</v>
      </c>
      <c r="K21" t="s">
        <v>91</v>
      </c>
      <c r="L21">
        <v>5</v>
      </c>
      <c r="M21" t="s">
        <v>152</v>
      </c>
      <c r="N21" t="s">
        <v>47</v>
      </c>
      <c r="O21" t="s">
        <v>48</v>
      </c>
      <c r="P21" t="s">
        <v>48</v>
      </c>
      <c r="Y21" t="s">
        <v>153</v>
      </c>
    </row>
    <row r="22" spans="1:25">
      <c r="A22" t="s">
        <v>154</v>
      </c>
      <c r="B22" t="s">
        <v>155</v>
      </c>
      <c r="D22" t="s">
        <v>40</v>
      </c>
      <c r="E22" t="s">
        <v>41</v>
      </c>
      <c r="G22" t="s">
        <v>156</v>
      </c>
      <c r="H22" t="s">
        <v>157</v>
      </c>
      <c r="J22" t="s">
        <v>54</v>
      </c>
      <c r="K22" t="s">
        <v>55</v>
      </c>
      <c r="L22">
        <v>5</v>
      </c>
      <c r="M22" t="s">
        <v>152</v>
      </c>
      <c r="N22" t="s">
        <v>47</v>
      </c>
      <c r="O22" t="s">
        <v>48</v>
      </c>
      <c r="P22" t="s">
        <v>48</v>
      </c>
      <c r="Y22" t="s">
        <v>158</v>
      </c>
    </row>
    <row r="23" spans="1:25">
      <c r="A23" t="s">
        <v>159</v>
      </c>
      <c r="B23" t="s">
        <v>160</v>
      </c>
      <c r="D23" t="s">
        <v>40</v>
      </c>
      <c r="E23" t="s">
        <v>41</v>
      </c>
      <c r="G23" t="s">
        <v>161</v>
      </c>
      <c r="H23" t="s">
        <v>162</v>
      </c>
      <c r="J23" t="s">
        <v>90</v>
      </c>
      <c r="K23" t="s">
        <v>91</v>
      </c>
      <c r="L23">
        <v>5</v>
      </c>
      <c r="M23" t="s">
        <v>163</v>
      </c>
      <c r="N23" t="s">
        <v>47</v>
      </c>
      <c r="O23" t="s">
        <v>48</v>
      </c>
      <c r="P23" t="s">
        <v>164</v>
      </c>
      <c r="Y23" t="s">
        <v>165</v>
      </c>
    </row>
    <row r="24" spans="1:25">
      <c r="A24" t="s">
        <v>166</v>
      </c>
      <c r="B24" t="s">
        <v>167</v>
      </c>
      <c r="D24" t="s">
        <v>40</v>
      </c>
      <c r="E24" t="s">
        <v>41</v>
      </c>
      <c r="G24" t="s">
        <v>168</v>
      </c>
      <c r="H24" t="s">
        <v>169</v>
      </c>
      <c r="J24" t="s">
        <v>133</v>
      </c>
      <c r="K24" t="s">
        <v>134</v>
      </c>
      <c r="L24">
        <v>5</v>
      </c>
      <c r="M24" t="s">
        <v>170</v>
      </c>
      <c r="N24" t="s">
        <v>135</v>
      </c>
      <c r="O24" t="s">
        <v>48</v>
      </c>
      <c r="P24" t="s">
        <v>48</v>
      </c>
      <c r="Y24" t="s">
        <v>171</v>
      </c>
    </row>
    <row r="25" spans="1:25">
      <c r="A25" t="s">
        <v>172</v>
      </c>
      <c r="B25" t="s">
        <v>173</v>
      </c>
      <c r="D25" t="s">
        <v>40</v>
      </c>
      <c r="E25" t="s">
        <v>41</v>
      </c>
      <c r="G25" t="s">
        <v>174</v>
      </c>
      <c r="H25" t="s">
        <v>175</v>
      </c>
      <c r="J25" t="s">
        <v>44</v>
      </c>
      <c r="K25" t="s">
        <v>45</v>
      </c>
      <c r="L25">
        <v>5</v>
      </c>
      <c r="M25" t="s">
        <v>176</v>
      </c>
      <c r="N25" t="s">
        <v>47</v>
      </c>
      <c r="O25" t="s">
        <v>48</v>
      </c>
      <c r="P25" t="s">
        <v>48</v>
      </c>
      <c r="Y25" t="s">
        <v>177</v>
      </c>
    </row>
    <row r="26" spans="1:25">
      <c r="A26" t="s">
        <v>178</v>
      </c>
      <c r="B26" t="s">
        <v>179</v>
      </c>
      <c r="D26" t="s">
        <v>40</v>
      </c>
      <c r="E26" t="s">
        <v>41</v>
      </c>
      <c r="G26" t="s">
        <v>180</v>
      </c>
      <c r="H26" t="s">
        <v>181</v>
      </c>
      <c r="J26" t="s">
        <v>44</v>
      </c>
      <c r="K26" t="s">
        <v>45</v>
      </c>
      <c r="L26">
        <v>5</v>
      </c>
      <c r="M26" t="s">
        <v>176</v>
      </c>
      <c r="N26" t="s">
        <v>47</v>
      </c>
      <c r="O26" t="s">
        <v>48</v>
      </c>
      <c r="P26" t="s">
        <v>48</v>
      </c>
      <c r="Y26" t="s">
        <v>182</v>
      </c>
    </row>
    <row r="27" spans="1:25">
      <c r="A27" t="s">
        <v>183</v>
      </c>
      <c r="B27" t="s">
        <v>184</v>
      </c>
      <c r="D27" t="s">
        <v>40</v>
      </c>
      <c r="E27" t="s">
        <v>41</v>
      </c>
      <c r="G27" t="s">
        <v>185</v>
      </c>
      <c r="H27" t="s">
        <v>186</v>
      </c>
      <c r="J27" t="s">
        <v>44</v>
      </c>
      <c r="K27" t="s">
        <v>45</v>
      </c>
      <c r="L27">
        <v>5</v>
      </c>
      <c r="M27" t="s">
        <v>176</v>
      </c>
      <c r="N27" t="s">
        <v>47</v>
      </c>
      <c r="O27" t="s">
        <v>48</v>
      </c>
      <c r="P27" t="s">
        <v>48</v>
      </c>
      <c r="Y27" t="s">
        <v>187</v>
      </c>
    </row>
    <row r="28" spans="1:25">
      <c r="A28" t="s">
        <v>188</v>
      </c>
      <c r="B28" t="s">
        <v>189</v>
      </c>
      <c r="D28" t="s">
        <v>40</v>
      </c>
      <c r="E28" t="s">
        <v>41</v>
      </c>
      <c r="G28" t="s">
        <v>190</v>
      </c>
      <c r="H28" t="s">
        <v>191</v>
      </c>
      <c r="J28" t="s">
        <v>44</v>
      </c>
      <c r="K28" t="s">
        <v>45</v>
      </c>
      <c r="L28">
        <v>5</v>
      </c>
      <c r="M28" t="s">
        <v>176</v>
      </c>
      <c r="N28" t="s">
        <v>47</v>
      </c>
      <c r="O28" t="s">
        <v>48</v>
      </c>
      <c r="P28" t="s">
        <v>48</v>
      </c>
      <c r="Y28" t="s">
        <v>192</v>
      </c>
    </row>
    <row r="29" spans="1:25">
      <c r="A29" t="s">
        <v>193</v>
      </c>
      <c r="B29" t="s">
        <v>194</v>
      </c>
      <c r="D29" t="s">
        <v>40</v>
      </c>
      <c r="E29" t="s">
        <v>41</v>
      </c>
      <c r="G29" t="s">
        <v>195</v>
      </c>
      <c r="H29" t="s">
        <v>196</v>
      </c>
      <c r="J29" t="s">
        <v>54</v>
      </c>
      <c r="K29" t="s">
        <v>55</v>
      </c>
      <c r="L29">
        <v>5</v>
      </c>
      <c r="M29" t="s">
        <v>197</v>
      </c>
      <c r="N29" t="s">
        <v>47</v>
      </c>
      <c r="O29" t="s">
        <v>48</v>
      </c>
      <c r="P29" t="s">
        <v>48</v>
      </c>
      <c r="Y29" t="s">
        <v>198</v>
      </c>
    </row>
    <row r="30" spans="1:25">
      <c r="A30" t="s">
        <v>199</v>
      </c>
      <c r="B30" t="s">
        <v>200</v>
      </c>
      <c r="D30" t="s">
        <v>40</v>
      </c>
      <c r="E30" t="s">
        <v>41</v>
      </c>
      <c r="G30" t="s">
        <v>201</v>
      </c>
      <c r="H30" t="s">
        <v>202</v>
      </c>
      <c r="J30" t="s">
        <v>78</v>
      </c>
      <c r="K30" t="s">
        <v>79</v>
      </c>
      <c r="L30">
        <v>5</v>
      </c>
      <c r="M30" t="s">
        <v>203</v>
      </c>
      <c r="N30" t="s">
        <v>47</v>
      </c>
      <c r="O30" t="s">
        <v>48</v>
      </c>
      <c r="P30" t="s">
        <v>48</v>
      </c>
      <c r="Y30" t="s">
        <v>204</v>
      </c>
    </row>
    <row r="31" spans="1:25">
      <c r="A31" t="s">
        <v>205</v>
      </c>
      <c r="B31" t="s">
        <v>206</v>
      </c>
      <c r="D31" t="s">
        <v>40</v>
      </c>
      <c r="E31" t="s">
        <v>41</v>
      </c>
      <c r="G31" t="s">
        <v>207</v>
      </c>
      <c r="H31" t="s">
        <v>208</v>
      </c>
      <c r="J31" t="s">
        <v>44</v>
      </c>
      <c r="K31" t="s">
        <v>45</v>
      </c>
      <c r="L31">
        <v>5</v>
      </c>
      <c r="M31" t="s">
        <v>209</v>
      </c>
      <c r="N31" t="s">
        <v>47</v>
      </c>
      <c r="O31" t="s">
        <v>48</v>
      </c>
      <c r="P31" t="s">
        <v>48</v>
      </c>
      <c r="Y31" t="s">
        <v>210</v>
      </c>
    </row>
    <row r="32" spans="1:25">
      <c r="A32" t="s">
        <v>211</v>
      </c>
      <c r="B32" t="s">
        <v>212</v>
      </c>
      <c r="D32" t="s">
        <v>40</v>
      </c>
      <c r="E32" t="s">
        <v>41</v>
      </c>
      <c r="G32" t="s">
        <v>213</v>
      </c>
      <c r="H32" t="s">
        <v>214</v>
      </c>
      <c r="J32" t="s">
        <v>90</v>
      </c>
      <c r="K32" t="s">
        <v>91</v>
      </c>
      <c r="L32">
        <v>5</v>
      </c>
      <c r="M32" t="s">
        <v>215</v>
      </c>
      <c r="N32" t="s">
        <v>47</v>
      </c>
      <c r="O32" t="s">
        <v>48</v>
      </c>
      <c r="P32" t="s">
        <v>48</v>
      </c>
      <c r="Y32" t="s">
        <v>216</v>
      </c>
    </row>
    <row r="33" spans="1:25">
      <c r="A33" t="s">
        <v>217</v>
      </c>
      <c r="B33" t="s">
        <v>218</v>
      </c>
      <c r="D33" t="s">
        <v>40</v>
      </c>
      <c r="E33" t="s">
        <v>41</v>
      </c>
      <c r="J33" t="s">
        <v>90</v>
      </c>
      <c r="K33" t="s">
        <v>91</v>
      </c>
      <c r="L33">
        <v>5</v>
      </c>
      <c r="M33" t="s">
        <v>215</v>
      </c>
      <c r="N33" t="s">
        <v>47</v>
      </c>
      <c r="O33" t="s">
        <v>48</v>
      </c>
      <c r="P33" t="s">
        <v>48</v>
      </c>
      <c r="Y33" t="s">
        <v>219</v>
      </c>
    </row>
    <row r="34" spans="1:25">
      <c r="A34" t="s">
        <v>220</v>
      </c>
      <c r="B34" t="s">
        <v>221</v>
      </c>
      <c r="D34" t="s">
        <v>40</v>
      </c>
      <c r="E34" t="s">
        <v>41</v>
      </c>
      <c r="G34" t="s">
        <v>222</v>
      </c>
      <c r="H34" t="s">
        <v>223</v>
      </c>
      <c r="J34" t="s">
        <v>133</v>
      </c>
      <c r="K34" t="s">
        <v>134</v>
      </c>
      <c r="L34">
        <v>5</v>
      </c>
      <c r="M34" t="s">
        <v>215</v>
      </c>
      <c r="N34" t="s">
        <v>135</v>
      </c>
      <c r="O34" t="s">
        <v>48</v>
      </c>
      <c r="P34" t="s">
        <v>48</v>
      </c>
      <c r="Y34" t="s">
        <v>224</v>
      </c>
    </row>
    <row r="35" spans="1:25">
      <c r="A35" t="s">
        <v>225</v>
      </c>
      <c r="B35" t="s">
        <v>226</v>
      </c>
      <c r="D35" t="s">
        <v>40</v>
      </c>
      <c r="E35" t="s">
        <v>41</v>
      </c>
      <c r="G35" t="s">
        <v>227</v>
      </c>
      <c r="H35" t="s">
        <v>228</v>
      </c>
      <c r="J35" t="s">
        <v>44</v>
      </c>
      <c r="K35" t="s">
        <v>45</v>
      </c>
      <c r="L35">
        <v>5</v>
      </c>
      <c r="M35" t="s">
        <v>215</v>
      </c>
      <c r="N35" t="s">
        <v>47</v>
      </c>
      <c r="O35" t="s">
        <v>48</v>
      </c>
      <c r="P35" t="s">
        <v>48</v>
      </c>
      <c r="Y35" t="s">
        <v>229</v>
      </c>
    </row>
    <row r="36" spans="1:25">
      <c r="A36" t="s">
        <v>230</v>
      </c>
      <c r="B36" t="s">
        <v>231</v>
      </c>
      <c r="D36" t="s">
        <v>40</v>
      </c>
      <c r="E36" t="s">
        <v>41</v>
      </c>
      <c r="G36" t="s">
        <v>232</v>
      </c>
      <c r="H36" t="s">
        <v>233</v>
      </c>
      <c r="J36" t="s">
        <v>234</v>
      </c>
      <c r="K36" t="s">
        <v>235</v>
      </c>
      <c r="L36">
        <v>5</v>
      </c>
      <c r="M36" t="s">
        <v>236</v>
      </c>
      <c r="N36" t="s">
        <v>47</v>
      </c>
      <c r="O36" t="s">
        <v>48</v>
      </c>
      <c r="P36" t="s">
        <v>48</v>
      </c>
      <c r="Y36" t="s">
        <v>237</v>
      </c>
    </row>
    <row r="37" spans="1:25">
      <c r="A37" t="s">
        <v>238</v>
      </c>
      <c r="B37" t="s">
        <v>239</v>
      </c>
      <c r="D37" t="s">
        <v>40</v>
      </c>
      <c r="E37" t="s">
        <v>41</v>
      </c>
      <c r="G37" t="s">
        <v>240</v>
      </c>
      <c r="H37" t="s">
        <v>241</v>
      </c>
      <c r="J37" t="s">
        <v>234</v>
      </c>
      <c r="K37" t="s">
        <v>235</v>
      </c>
      <c r="L37">
        <v>5</v>
      </c>
      <c r="M37" t="s">
        <v>242</v>
      </c>
      <c r="N37" t="s">
        <v>47</v>
      </c>
      <c r="O37" t="s">
        <v>48</v>
      </c>
      <c r="P37" t="s">
        <v>48</v>
      </c>
      <c r="Y37" t="s">
        <v>243</v>
      </c>
    </row>
    <row r="38" spans="1:25">
      <c r="A38" t="s">
        <v>244</v>
      </c>
      <c r="B38" t="s">
        <v>245</v>
      </c>
      <c r="D38" t="s">
        <v>40</v>
      </c>
      <c r="E38" t="s">
        <v>41</v>
      </c>
      <c r="G38" t="s">
        <v>246</v>
      </c>
      <c r="H38" t="s">
        <v>247</v>
      </c>
      <c r="J38" t="s">
        <v>234</v>
      </c>
      <c r="K38" t="s">
        <v>235</v>
      </c>
      <c r="L38">
        <v>5</v>
      </c>
      <c r="M38" t="s">
        <v>248</v>
      </c>
      <c r="N38" t="s">
        <v>47</v>
      </c>
      <c r="O38" t="s">
        <v>48</v>
      </c>
      <c r="P38" t="s">
        <v>48</v>
      </c>
      <c r="Y38" t="s">
        <v>249</v>
      </c>
    </row>
    <row r="39" spans="1:25">
      <c r="A39" t="s">
        <v>250</v>
      </c>
      <c r="B39" t="s">
        <v>251</v>
      </c>
      <c r="D39" t="s">
        <v>40</v>
      </c>
      <c r="E39" t="s">
        <v>41</v>
      </c>
      <c r="G39" t="s">
        <v>252</v>
      </c>
      <c r="H39" t="s">
        <v>253</v>
      </c>
      <c r="J39" t="s">
        <v>234</v>
      </c>
      <c r="K39" t="s">
        <v>235</v>
      </c>
      <c r="L39">
        <v>5</v>
      </c>
      <c r="M39" t="s">
        <v>254</v>
      </c>
      <c r="N39" t="s">
        <v>47</v>
      </c>
      <c r="O39" t="s">
        <v>48</v>
      </c>
      <c r="P39" t="s">
        <v>48</v>
      </c>
      <c r="Y39" t="s">
        <v>255</v>
      </c>
    </row>
    <row r="40" spans="1:25">
      <c r="A40" t="s">
        <v>256</v>
      </c>
      <c r="B40" t="s">
        <v>257</v>
      </c>
      <c r="D40" t="s">
        <v>40</v>
      </c>
      <c r="E40" t="s">
        <v>41</v>
      </c>
      <c r="G40" t="s">
        <v>258</v>
      </c>
      <c r="H40" t="s">
        <v>259</v>
      </c>
      <c r="J40" t="s">
        <v>54</v>
      </c>
      <c r="K40" t="s">
        <v>55</v>
      </c>
      <c r="L40">
        <v>5</v>
      </c>
      <c r="M40" t="s">
        <v>260</v>
      </c>
      <c r="N40" t="s">
        <v>47</v>
      </c>
      <c r="O40" t="s">
        <v>48</v>
      </c>
      <c r="P40" t="s">
        <v>48</v>
      </c>
      <c r="Y40" t="s">
        <v>261</v>
      </c>
    </row>
    <row r="41" spans="1:25">
      <c r="A41" t="s">
        <v>262</v>
      </c>
      <c r="B41" t="s">
        <v>263</v>
      </c>
      <c r="D41" t="s">
        <v>40</v>
      </c>
      <c r="E41" t="s">
        <v>41</v>
      </c>
      <c r="G41" t="s">
        <v>264</v>
      </c>
      <c r="H41" t="s">
        <v>265</v>
      </c>
      <c r="J41" t="s">
        <v>78</v>
      </c>
      <c r="K41" t="s">
        <v>79</v>
      </c>
      <c r="L41">
        <v>5</v>
      </c>
      <c r="M41" t="s">
        <v>260</v>
      </c>
      <c r="N41" t="s">
        <v>47</v>
      </c>
      <c r="O41" t="s">
        <v>48</v>
      </c>
      <c r="P41" t="s">
        <v>48</v>
      </c>
      <c r="Y41" t="s">
        <v>266</v>
      </c>
    </row>
    <row r="42" spans="1:25">
      <c r="A42" t="s">
        <v>267</v>
      </c>
      <c r="B42" t="s">
        <v>268</v>
      </c>
      <c r="D42" t="s">
        <v>40</v>
      </c>
      <c r="E42" t="s">
        <v>41</v>
      </c>
      <c r="G42" t="s">
        <v>269</v>
      </c>
      <c r="H42" t="s">
        <v>270</v>
      </c>
      <c r="J42" t="s">
        <v>44</v>
      </c>
      <c r="K42" t="s">
        <v>45</v>
      </c>
      <c r="L42">
        <v>5</v>
      </c>
      <c r="M42" t="s">
        <v>260</v>
      </c>
      <c r="N42" t="s">
        <v>47</v>
      </c>
      <c r="O42" t="s">
        <v>48</v>
      </c>
      <c r="P42" t="s">
        <v>48</v>
      </c>
      <c r="Y42" t="s">
        <v>271</v>
      </c>
    </row>
    <row r="43" spans="1:25">
      <c r="A43" t="s">
        <v>272</v>
      </c>
      <c r="B43" t="s">
        <v>273</v>
      </c>
      <c r="D43" t="s">
        <v>40</v>
      </c>
      <c r="E43" t="s">
        <v>41</v>
      </c>
      <c r="G43" t="s">
        <v>274</v>
      </c>
      <c r="H43" t="s">
        <v>275</v>
      </c>
      <c r="J43" t="s">
        <v>44</v>
      </c>
      <c r="K43" t="s">
        <v>45</v>
      </c>
      <c r="L43">
        <v>5</v>
      </c>
      <c r="M43" t="s">
        <v>260</v>
      </c>
      <c r="N43" t="s">
        <v>47</v>
      </c>
      <c r="O43" t="s">
        <v>48</v>
      </c>
      <c r="P43" t="s">
        <v>48</v>
      </c>
      <c r="Y43" t="s">
        <v>276</v>
      </c>
    </row>
    <row r="44" spans="1:25">
      <c r="A44" t="s">
        <v>277</v>
      </c>
      <c r="B44" t="s">
        <v>278</v>
      </c>
      <c r="D44" t="s">
        <v>40</v>
      </c>
      <c r="E44" t="s">
        <v>41</v>
      </c>
      <c r="G44" t="s">
        <v>279</v>
      </c>
      <c r="H44" t="s">
        <v>280</v>
      </c>
      <c r="J44" t="s">
        <v>234</v>
      </c>
      <c r="K44" t="s">
        <v>235</v>
      </c>
      <c r="L44">
        <v>5</v>
      </c>
      <c r="M44" t="s">
        <v>281</v>
      </c>
      <c r="N44" t="s">
        <v>47</v>
      </c>
      <c r="O44" t="s">
        <v>48</v>
      </c>
      <c r="P44" t="s">
        <v>48</v>
      </c>
      <c r="Y44" t="s">
        <v>282</v>
      </c>
    </row>
    <row r="45" spans="1:25">
      <c r="A45" t="s">
        <v>283</v>
      </c>
      <c r="B45" t="s">
        <v>284</v>
      </c>
      <c r="D45" t="s">
        <v>40</v>
      </c>
      <c r="E45" t="s">
        <v>41</v>
      </c>
      <c r="G45" t="s">
        <v>285</v>
      </c>
      <c r="H45" t="s">
        <v>286</v>
      </c>
      <c r="J45" t="s">
        <v>287</v>
      </c>
      <c r="K45" t="s">
        <v>288</v>
      </c>
      <c r="L45">
        <v>11</v>
      </c>
      <c r="M45" t="s">
        <v>289</v>
      </c>
      <c r="N45" t="s">
        <v>290</v>
      </c>
      <c r="O45" t="s">
        <v>48</v>
      </c>
      <c r="P45" t="s">
        <v>48</v>
      </c>
      <c r="Y45" t="s">
        <v>291</v>
      </c>
    </row>
    <row r="46" spans="1:25">
      <c r="A46" t="s">
        <v>292</v>
      </c>
      <c r="B46" t="s">
        <v>293</v>
      </c>
      <c r="D46" t="s">
        <v>40</v>
      </c>
      <c r="E46" t="s">
        <v>41</v>
      </c>
      <c r="G46" t="s">
        <v>294</v>
      </c>
      <c r="H46" t="s">
        <v>295</v>
      </c>
      <c r="J46" t="s">
        <v>44</v>
      </c>
      <c r="K46" t="s">
        <v>45</v>
      </c>
      <c r="L46">
        <v>5</v>
      </c>
      <c r="M46" t="s">
        <v>296</v>
      </c>
      <c r="N46" t="s">
        <v>47</v>
      </c>
      <c r="O46" t="s">
        <v>48</v>
      </c>
      <c r="P46" t="s">
        <v>48</v>
      </c>
      <c r="Y46" t="s">
        <v>297</v>
      </c>
    </row>
    <row r="47" spans="1:25">
      <c r="A47" t="s">
        <v>298</v>
      </c>
      <c r="B47" t="s">
        <v>299</v>
      </c>
      <c r="D47" t="s">
        <v>40</v>
      </c>
      <c r="E47" t="s">
        <v>41</v>
      </c>
      <c r="G47" t="s">
        <v>300</v>
      </c>
      <c r="H47" t="s">
        <v>301</v>
      </c>
      <c r="J47" t="s">
        <v>90</v>
      </c>
      <c r="K47" t="s">
        <v>91</v>
      </c>
      <c r="L47">
        <v>5</v>
      </c>
      <c r="M47" t="s">
        <v>296</v>
      </c>
      <c r="N47" t="s">
        <v>47</v>
      </c>
      <c r="O47" t="s">
        <v>48</v>
      </c>
      <c r="P47" t="s">
        <v>48</v>
      </c>
      <c r="Y47" t="s">
        <v>302</v>
      </c>
    </row>
    <row r="48" spans="1:25">
      <c r="A48" t="s">
        <v>303</v>
      </c>
      <c r="B48" t="s">
        <v>304</v>
      </c>
      <c r="D48" t="s">
        <v>40</v>
      </c>
      <c r="E48" t="s">
        <v>41</v>
      </c>
      <c r="G48" t="s">
        <v>305</v>
      </c>
      <c r="H48" t="s">
        <v>306</v>
      </c>
      <c r="J48" t="s">
        <v>90</v>
      </c>
      <c r="K48" t="s">
        <v>91</v>
      </c>
      <c r="L48">
        <v>5</v>
      </c>
      <c r="M48" t="s">
        <v>296</v>
      </c>
      <c r="N48" t="s">
        <v>47</v>
      </c>
      <c r="O48" t="s">
        <v>48</v>
      </c>
      <c r="P48" t="s">
        <v>48</v>
      </c>
      <c r="Y48" t="s">
        <v>307</v>
      </c>
    </row>
    <row r="49" spans="1:25">
      <c r="A49" t="s">
        <v>308</v>
      </c>
      <c r="B49" t="s">
        <v>309</v>
      </c>
      <c r="D49" t="s">
        <v>40</v>
      </c>
      <c r="E49" t="s">
        <v>41</v>
      </c>
      <c r="G49" t="s">
        <v>310</v>
      </c>
      <c r="H49" t="s">
        <v>311</v>
      </c>
      <c r="J49" t="s">
        <v>90</v>
      </c>
      <c r="K49" t="s">
        <v>91</v>
      </c>
      <c r="L49">
        <v>5</v>
      </c>
      <c r="M49" t="s">
        <v>312</v>
      </c>
      <c r="N49" t="s">
        <v>47</v>
      </c>
      <c r="O49" t="s">
        <v>48</v>
      </c>
      <c r="P49" t="s">
        <v>48</v>
      </c>
      <c r="Y49" t="s">
        <v>313</v>
      </c>
    </row>
    <row r="50" spans="1:25">
      <c r="A50" t="s">
        <v>314</v>
      </c>
      <c r="B50" t="s">
        <v>315</v>
      </c>
      <c r="D50" t="s">
        <v>40</v>
      </c>
      <c r="E50" t="s">
        <v>41</v>
      </c>
      <c r="G50" t="s">
        <v>316</v>
      </c>
      <c r="H50" t="s">
        <v>317</v>
      </c>
      <c r="J50" t="s">
        <v>90</v>
      </c>
      <c r="K50" t="s">
        <v>91</v>
      </c>
      <c r="L50">
        <v>5</v>
      </c>
      <c r="M50" t="s">
        <v>312</v>
      </c>
      <c r="N50" t="s">
        <v>47</v>
      </c>
      <c r="O50" t="s">
        <v>48</v>
      </c>
      <c r="P50" t="s">
        <v>48</v>
      </c>
      <c r="Y50" t="s">
        <v>318</v>
      </c>
    </row>
    <row r="51" spans="1:25">
      <c r="A51" t="s">
        <v>319</v>
      </c>
      <c r="B51" t="s">
        <v>320</v>
      </c>
      <c r="D51" t="s">
        <v>40</v>
      </c>
      <c r="E51" t="s">
        <v>41</v>
      </c>
      <c r="G51" t="s">
        <v>321</v>
      </c>
      <c r="H51" t="s">
        <v>322</v>
      </c>
      <c r="J51" t="s">
        <v>54</v>
      </c>
      <c r="K51" t="s">
        <v>55</v>
      </c>
      <c r="L51">
        <v>5</v>
      </c>
      <c r="M51" t="s">
        <v>323</v>
      </c>
      <c r="N51" t="s">
        <v>47</v>
      </c>
      <c r="O51" t="s">
        <v>48</v>
      </c>
      <c r="P51" t="s">
        <v>48</v>
      </c>
      <c r="Y51" t="s">
        <v>324</v>
      </c>
    </row>
    <row r="52" spans="1:25">
      <c r="A52" t="s">
        <v>325</v>
      </c>
      <c r="B52" t="s">
        <v>326</v>
      </c>
      <c r="D52" t="s">
        <v>40</v>
      </c>
      <c r="E52" t="s">
        <v>41</v>
      </c>
      <c r="G52" t="s">
        <v>327</v>
      </c>
      <c r="H52" t="s">
        <v>328</v>
      </c>
      <c r="J52" t="s">
        <v>44</v>
      </c>
      <c r="K52" t="s">
        <v>45</v>
      </c>
      <c r="L52">
        <v>5</v>
      </c>
      <c r="M52" t="s">
        <v>329</v>
      </c>
      <c r="N52" t="s">
        <v>47</v>
      </c>
      <c r="O52" t="s">
        <v>48</v>
      </c>
      <c r="P52" t="s">
        <v>48</v>
      </c>
      <c r="Y52" t="s">
        <v>330</v>
      </c>
    </row>
    <row r="53" spans="1:25">
      <c r="A53" t="s">
        <v>331</v>
      </c>
      <c r="B53" t="s">
        <v>332</v>
      </c>
      <c r="D53" t="s">
        <v>40</v>
      </c>
      <c r="E53" t="s">
        <v>41</v>
      </c>
      <c r="G53" t="s">
        <v>333</v>
      </c>
      <c r="H53" t="s">
        <v>334</v>
      </c>
      <c r="J53" t="s">
        <v>90</v>
      </c>
      <c r="K53" t="s">
        <v>91</v>
      </c>
      <c r="L53">
        <v>5</v>
      </c>
      <c r="M53" t="s">
        <v>335</v>
      </c>
      <c r="N53" t="s">
        <v>47</v>
      </c>
      <c r="O53" t="s">
        <v>48</v>
      </c>
      <c r="P53" t="s">
        <v>48</v>
      </c>
      <c r="Y53" t="s">
        <v>336</v>
      </c>
    </row>
    <row r="54" spans="1:25">
      <c r="A54" t="s">
        <v>337</v>
      </c>
      <c r="B54" t="s">
        <v>338</v>
      </c>
      <c r="D54" t="s">
        <v>40</v>
      </c>
      <c r="E54" t="s">
        <v>41</v>
      </c>
      <c r="G54" t="s">
        <v>339</v>
      </c>
      <c r="H54" t="s">
        <v>340</v>
      </c>
      <c r="J54" t="s">
        <v>90</v>
      </c>
      <c r="K54" t="s">
        <v>91</v>
      </c>
      <c r="L54">
        <v>5</v>
      </c>
      <c r="M54" t="s">
        <v>341</v>
      </c>
      <c r="N54" t="s">
        <v>47</v>
      </c>
      <c r="O54" t="s">
        <v>48</v>
      </c>
      <c r="P54" t="s">
        <v>48</v>
      </c>
      <c r="Y54" t="s">
        <v>342</v>
      </c>
    </row>
    <row r="55" spans="1:25">
      <c r="A55" t="s">
        <v>343</v>
      </c>
      <c r="B55" t="s">
        <v>344</v>
      </c>
      <c r="D55" t="s">
        <v>40</v>
      </c>
      <c r="E55" t="s">
        <v>41</v>
      </c>
      <c r="G55" t="s">
        <v>345</v>
      </c>
      <c r="H55" t="s">
        <v>346</v>
      </c>
      <c r="J55" t="s">
        <v>44</v>
      </c>
      <c r="K55" t="s">
        <v>45</v>
      </c>
      <c r="L55">
        <v>5</v>
      </c>
      <c r="M55" t="s">
        <v>347</v>
      </c>
      <c r="N55" t="s">
        <v>47</v>
      </c>
      <c r="O55" t="s">
        <v>48</v>
      </c>
      <c r="P55" t="s">
        <v>48</v>
      </c>
      <c r="Y55" t="s">
        <v>348</v>
      </c>
    </row>
    <row r="56" spans="1:25">
      <c r="A56" t="s">
        <v>349</v>
      </c>
      <c r="B56" t="s">
        <v>350</v>
      </c>
      <c r="D56" t="s">
        <v>40</v>
      </c>
      <c r="E56" t="s">
        <v>41</v>
      </c>
      <c r="G56" t="s">
        <v>351</v>
      </c>
      <c r="H56" t="s">
        <v>352</v>
      </c>
      <c r="J56" t="s">
        <v>353</v>
      </c>
      <c r="K56" t="s">
        <v>354</v>
      </c>
      <c r="L56">
        <v>5</v>
      </c>
      <c r="M56" t="s">
        <v>355</v>
      </c>
      <c r="N56" t="s">
        <v>290</v>
      </c>
      <c r="O56" t="s">
        <v>48</v>
      </c>
      <c r="P56" t="s">
        <v>48</v>
      </c>
      <c r="Y56" t="s">
        <v>356</v>
      </c>
    </row>
    <row r="57" spans="1:25">
      <c r="A57" t="s">
        <v>357</v>
      </c>
      <c r="B57" t="s">
        <v>358</v>
      </c>
      <c r="D57" t="s">
        <v>40</v>
      </c>
      <c r="E57" t="s">
        <v>41</v>
      </c>
      <c r="G57" t="s">
        <v>359</v>
      </c>
      <c r="H57" t="s">
        <v>360</v>
      </c>
      <c r="J57" t="s">
        <v>90</v>
      </c>
      <c r="K57" t="s">
        <v>91</v>
      </c>
      <c r="L57">
        <v>5</v>
      </c>
      <c r="M57" t="s">
        <v>355</v>
      </c>
      <c r="N57" t="s">
        <v>47</v>
      </c>
      <c r="O57" t="s">
        <v>48</v>
      </c>
      <c r="P57" t="s">
        <v>48</v>
      </c>
      <c r="Y57" t="s">
        <v>361</v>
      </c>
    </row>
    <row r="58" spans="1:25">
      <c r="A58" t="s">
        <v>362</v>
      </c>
      <c r="B58" t="s">
        <v>363</v>
      </c>
      <c r="D58" t="s">
        <v>40</v>
      </c>
      <c r="E58" t="s">
        <v>41</v>
      </c>
      <c r="G58" t="s">
        <v>364</v>
      </c>
      <c r="H58" t="s">
        <v>365</v>
      </c>
      <c r="J58" t="s">
        <v>44</v>
      </c>
      <c r="K58" t="s">
        <v>45</v>
      </c>
      <c r="L58">
        <v>5</v>
      </c>
      <c r="M58" t="s">
        <v>355</v>
      </c>
      <c r="N58" t="s">
        <v>47</v>
      </c>
      <c r="O58" t="s">
        <v>48</v>
      </c>
      <c r="P58" t="s">
        <v>48</v>
      </c>
      <c r="Y58" t="s">
        <v>366</v>
      </c>
    </row>
    <row r="59" spans="1:25">
      <c r="A59" t="s">
        <v>367</v>
      </c>
      <c r="B59" t="s">
        <v>368</v>
      </c>
      <c r="D59" t="s">
        <v>40</v>
      </c>
      <c r="E59" t="s">
        <v>41</v>
      </c>
      <c r="G59" t="s">
        <v>369</v>
      </c>
      <c r="H59" t="s">
        <v>370</v>
      </c>
      <c r="J59" t="s">
        <v>371</v>
      </c>
      <c r="K59" t="s">
        <v>372</v>
      </c>
      <c r="L59">
        <v>5</v>
      </c>
      <c r="M59" t="s">
        <v>373</v>
      </c>
      <c r="N59" t="s">
        <v>47</v>
      </c>
      <c r="O59" t="s">
        <v>48</v>
      </c>
      <c r="P59" t="s">
        <v>48</v>
      </c>
      <c r="Y59" t="s">
        <v>374</v>
      </c>
    </row>
    <row r="60" spans="1:25">
      <c r="A60" t="s">
        <v>375</v>
      </c>
      <c r="B60" t="s">
        <v>376</v>
      </c>
      <c r="D60" t="s">
        <v>40</v>
      </c>
      <c r="E60" t="s">
        <v>41</v>
      </c>
      <c r="G60" t="s">
        <v>377</v>
      </c>
      <c r="H60" t="s">
        <v>378</v>
      </c>
      <c r="J60" t="s">
        <v>44</v>
      </c>
      <c r="K60" t="s">
        <v>45</v>
      </c>
      <c r="L60">
        <v>5</v>
      </c>
      <c r="M60" t="s">
        <v>373</v>
      </c>
      <c r="N60" t="s">
        <v>47</v>
      </c>
      <c r="O60" t="s">
        <v>48</v>
      </c>
      <c r="P60" t="s">
        <v>48</v>
      </c>
      <c r="Y60" t="s">
        <v>379</v>
      </c>
    </row>
    <row r="61" spans="1:25">
      <c r="A61" t="s">
        <v>380</v>
      </c>
      <c r="B61" t="s">
        <v>381</v>
      </c>
      <c r="D61" t="s">
        <v>40</v>
      </c>
      <c r="E61" t="s">
        <v>41</v>
      </c>
      <c r="G61" t="s">
        <v>382</v>
      </c>
      <c r="H61" t="s">
        <v>383</v>
      </c>
      <c r="J61" t="s">
        <v>234</v>
      </c>
      <c r="K61" t="s">
        <v>235</v>
      </c>
      <c r="L61">
        <v>5</v>
      </c>
      <c r="M61" t="s">
        <v>384</v>
      </c>
      <c r="N61" t="s">
        <v>47</v>
      </c>
      <c r="O61" t="s">
        <v>48</v>
      </c>
      <c r="P61" t="s">
        <v>48</v>
      </c>
      <c r="Y61" t="s">
        <v>385</v>
      </c>
    </row>
    <row r="62" spans="1:25">
      <c r="A62" t="s">
        <v>386</v>
      </c>
      <c r="B62" t="s">
        <v>387</v>
      </c>
      <c r="D62" t="s">
        <v>40</v>
      </c>
      <c r="E62" t="s">
        <v>41</v>
      </c>
      <c r="G62" t="s">
        <v>388</v>
      </c>
      <c r="H62" t="s">
        <v>389</v>
      </c>
      <c r="J62" t="s">
        <v>390</v>
      </c>
      <c r="K62" t="s">
        <v>390</v>
      </c>
      <c r="L62">
        <v>5</v>
      </c>
      <c r="M62" t="s">
        <v>391</v>
      </c>
      <c r="N62" t="s">
        <v>290</v>
      </c>
      <c r="O62" t="s">
        <v>48</v>
      </c>
      <c r="P62" t="s">
        <v>48</v>
      </c>
      <c r="Y62" t="s">
        <v>392</v>
      </c>
    </row>
    <row r="63" spans="1:25">
      <c r="A63" t="s">
        <v>393</v>
      </c>
      <c r="B63" t="s">
        <v>394</v>
      </c>
      <c r="D63" t="s">
        <v>40</v>
      </c>
      <c r="E63" t="s">
        <v>41</v>
      </c>
      <c r="G63" t="s">
        <v>395</v>
      </c>
      <c r="H63" t="s">
        <v>396</v>
      </c>
      <c r="J63" t="s">
        <v>90</v>
      </c>
      <c r="K63" t="s">
        <v>91</v>
      </c>
      <c r="L63">
        <v>5</v>
      </c>
      <c r="M63" t="s">
        <v>397</v>
      </c>
      <c r="N63" t="s">
        <v>47</v>
      </c>
      <c r="O63" t="s">
        <v>48</v>
      </c>
      <c r="P63" t="s">
        <v>48</v>
      </c>
      <c r="Y63" t="s">
        <v>398</v>
      </c>
    </row>
    <row r="64" spans="1:25">
      <c r="A64" t="s">
        <v>399</v>
      </c>
      <c r="B64" t="s">
        <v>400</v>
      </c>
      <c r="D64" t="s">
        <v>40</v>
      </c>
      <c r="E64" t="s">
        <v>41</v>
      </c>
      <c r="G64" t="s">
        <v>401</v>
      </c>
      <c r="H64" t="s">
        <v>402</v>
      </c>
      <c r="J64" t="s">
        <v>54</v>
      </c>
      <c r="K64" t="s">
        <v>55</v>
      </c>
      <c r="L64">
        <v>5</v>
      </c>
      <c r="M64" t="s">
        <v>403</v>
      </c>
      <c r="N64" t="s">
        <v>47</v>
      </c>
      <c r="O64" t="s">
        <v>48</v>
      </c>
      <c r="P64" t="s">
        <v>48</v>
      </c>
      <c r="Y64" t="s">
        <v>404</v>
      </c>
    </row>
    <row r="65" spans="1:25">
      <c r="A65" t="s">
        <v>405</v>
      </c>
      <c r="B65" t="s">
        <v>406</v>
      </c>
      <c r="D65" t="s">
        <v>40</v>
      </c>
      <c r="E65" t="s">
        <v>41</v>
      </c>
      <c r="G65" t="s">
        <v>407</v>
      </c>
      <c r="H65" t="s">
        <v>408</v>
      </c>
      <c r="J65" t="s">
        <v>90</v>
      </c>
      <c r="K65" t="s">
        <v>91</v>
      </c>
      <c r="L65">
        <v>5</v>
      </c>
      <c r="M65" t="s">
        <v>409</v>
      </c>
      <c r="N65" t="s">
        <v>47</v>
      </c>
      <c r="O65" t="s">
        <v>48</v>
      </c>
      <c r="P65" t="s">
        <v>48</v>
      </c>
      <c r="Y65" t="s">
        <v>410</v>
      </c>
    </row>
    <row r="66" spans="1:25">
      <c r="A66" t="s">
        <v>411</v>
      </c>
      <c r="B66" t="s">
        <v>412</v>
      </c>
      <c r="D66" t="s">
        <v>40</v>
      </c>
      <c r="E66" t="s">
        <v>41</v>
      </c>
      <c r="G66" t="s">
        <v>88</v>
      </c>
      <c r="H66" t="s">
        <v>413</v>
      </c>
      <c r="J66" t="s">
        <v>90</v>
      </c>
      <c r="K66" t="s">
        <v>91</v>
      </c>
      <c r="L66">
        <v>5</v>
      </c>
      <c r="M66" t="s">
        <v>414</v>
      </c>
      <c r="N66" t="s">
        <v>47</v>
      </c>
      <c r="O66" t="s">
        <v>48</v>
      </c>
      <c r="P66" t="s">
        <v>48</v>
      </c>
      <c r="Y66" t="s">
        <v>415</v>
      </c>
    </row>
    <row r="67" spans="1:25">
      <c r="A67" t="s">
        <v>416</v>
      </c>
      <c r="B67" t="s">
        <v>417</v>
      </c>
      <c r="D67" t="s">
        <v>40</v>
      </c>
      <c r="E67" t="s">
        <v>41</v>
      </c>
      <c r="G67" t="s">
        <v>418</v>
      </c>
      <c r="H67" t="s">
        <v>419</v>
      </c>
      <c r="J67" t="s">
        <v>54</v>
      </c>
      <c r="K67" t="s">
        <v>55</v>
      </c>
      <c r="L67">
        <v>5</v>
      </c>
      <c r="M67" t="s">
        <v>414</v>
      </c>
      <c r="N67" t="s">
        <v>47</v>
      </c>
      <c r="O67" t="s">
        <v>48</v>
      </c>
      <c r="P67" t="s">
        <v>48</v>
      </c>
      <c r="Y67" t="s">
        <v>420</v>
      </c>
    </row>
    <row r="68" spans="1:25">
      <c r="A68" t="s">
        <v>421</v>
      </c>
      <c r="B68" t="s">
        <v>422</v>
      </c>
      <c r="D68" t="s">
        <v>40</v>
      </c>
      <c r="E68" t="s">
        <v>41</v>
      </c>
      <c r="G68" t="s">
        <v>423</v>
      </c>
      <c r="H68" t="s">
        <v>424</v>
      </c>
      <c r="J68" t="s">
        <v>44</v>
      </c>
      <c r="K68" t="s">
        <v>45</v>
      </c>
      <c r="L68">
        <v>5</v>
      </c>
      <c r="M68" t="s">
        <v>414</v>
      </c>
      <c r="N68" t="s">
        <v>47</v>
      </c>
      <c r="O68" t="s">
        <v>48</v>
      </c>
      <c r="P68" t="s">
        <v>48</v>
      </c>
      <c r="Y68" t="s">
        <v>425</v>
      </c>
    </row>
    <row r="69" spans="1:25">
      <c r="A69" t="s">
        <v>426</v>
      </c>
      <c r="B69" t="s">
        <v>427</v>
      </c>
      <c r="D69" t="s">
        <v>40</v>
      </c>
      <c r="E69" t="s">
        <v>41</v>
      </c>
      <c r="G69" t="s">
        <v>428</v>
      </c>
      <c r="H69" t="s">
        <v>429</v>
      </c>
      <c r="J69" t="s">
        <v>234</v>
      </c>
      <c r="K69" t="s">
        <v>235</v>
      </c>
      <c r="L69">
        <v>5</v>
      </c>
      <c r="M69" t="s">
        <v>430</v>
      </c>
      <c r="N69" t="s">
        <v>47</v>
      </c>
      <c r="O69" t="s">
        <v>48</v>
      </c>
      <c r="P69" t="s">
        <v>48</v>
      </c>
      <c r="Y69" t="s">
        <v>431</v>
      </c>
    </row>
    <row r="70" spans="1:25">
      <c r="A70" t="s">
        <v>432</v>
      </c>
      <c r="B70" t="s">
        <v>433</v>
      </c>
      <c r="D70" t="s">
        <v>40</v>
      </c>
      <c r="E70" t="s">
        <v>41</v>
      </c>
      <c r="G70" t="s">
        <v>434</v>
      </c>
      <c r="H70" t="s">
        <v>435</v>
      </c>
      <c r="J70" t="s">
        <v>44</v>
      </c>
      <c r="K70" t="s">
        <v>45</v>
      </c>
      <c r="L70">
        <v>5</v>
      </c>
      <c r="M70" t="s">
        <v>436</v>
      </c>
      <c r="N70" t="s">
        <v>47</v>
      </c>
      <c r="O70" t="s">
        <v>48</v>
      </c>
      <c r="P70" t="s">
        <v>48</v>
      </c>
      <c r="Y70" t="s">
        <v>437</v>
      </c>
    </row>
    <row r="71" spans="1:25">
      <c r="A71" t="s">
        <v>438</v>
      </c>
      <c r="B71" t="s">
        <v>439</v>
      </c>
      <c r="D71" t="s">
        <v>40</v>
      </c>
      <c r="E71" t="s">
        <v>41</v>
      </c>
      <c r="G71" t="s">
        <v>440</v>
      </c>
      <c r="H71" t="s">
        <v>441</v>
      </c>
      <c r="J71" t="s">
        <v>371</v>
      </c>
      <c r="K71" t="s">
        <v>372</v>
      </c>
      <c r="L71">
        <v>5</v>
      </c>
      <c r="M71" t="s">
        <v>442</v>
      </c>
      <c r="N71" t="s">
        <v>47</v>
      </c>
      <c r="O71" t="s">
        <v>48</v>
      </c>
      <c r="P71" t="s">
        <v>48</v>
      </c>
      <c r="Y71" t="s">
        <v>443</v>
      </c>
    </row>
    <row r="72" spans="1:25">
      <c r="A72" t="s">
        <v>444</v>
      </c>
      <c r="B72" t="s">
        <v>445</v>
      </c>
      <c r="D72" t="s">
        <v>40</v>
      </c>
      <c r="E72" t="s">
        <v>41</v>
      </c>
      <c r="G72" t="s">
        <v>446</v>
      </c>
      <c r="H72" t="s">
        <v>447</v>
      </c>
      <c r="J72" t="s">
        <v>54</v>
      </c>
      <c r="K72" t="s">
        <v>55</v>
      </c>
      <c r="L72">
        <v>5</v>
      </c>
      <c r="M72" t="s">
        <v>442</v>
      </c>
      <c r="N72" t="s">
        <v>47</v>
      </c>
      <c r="O72" t="s">
        <v>48</v>
      </c>
      <c r="P72" t="s">
        <v>48</v>
      </c>
      <c r="Y72" t="s">
        <v>448</v>
      </c>
    </row>
    <row r="73" spans="1:25">
      <c r="A73" t="s">
        <v>449</v>
      </c>
      <c r="B73" t="s">
        <v>450</v>
      </c>
      <c r="D73" t="s">
        <v>40</v>
      </c>
      <c r="E73" t="s">
        <v>41</v>
      </c>
      <c r="G73" t="s">
        <v>451</v>
      </c>
      <c r="H73" t="s">
        <v>452</v>
      </c>
      <c r="J73" t="s">
        <v>44</v>
      </c>
      <c r="K73" t="s">
        <v>45</v>
      </c>
      <c r="L73">
        <v>5</v>
      </c>
      <c r="M73" t="s">
        <v>453</v>
      </c>
      <c r="N73" t="s">
        <v>47</v>
      </c>
      <c r="O73" t="s">
        <v>48</v>
      </c>
      <c r="P73" t="s">
        <v>48</v>
      </c>
      <c r="Y73" t="s">
        <v>454</v>
      </c>
    </row>
    <row r="74" spans="1:25">
      <c r="A74" t="s">
        <v>455</v>
      </c>
      <c r="B74" t="s">
        <v>456</v>
      </c>
      <c r="D74" t="s">
        <v>40</v>
      </c>
      <c r="E74" t="s">
        <v>41</v>
      </c>
      <c r="G74" t="s">
        <v>457</v>
      </c>
      <c r="H74" t="s">
        <v>458</v>
      </c>
      <c r="J74" t="s">
        <v>90</v>
      </c>
      <c r="K74" t="s">
        <v>91</v>
      </c>
      <c r="L74">
        <v>5</v>
      </c>
      <c r="M74" t="s">
        <v>453</v>
      </c>
      <c r="N74" t="s">
        <v>47</v>
      </c>
      <c r="O74" t="s">
        <v>48</v>
      </c>
      <c r="P74" t="s">
        <v>48</v>
      </c>
      <c r="Y74" t="s">
        <v>459</v>
      </c>
    </row>
    <row r="75" spans="1:25">
      <c r="A75" t="s">
        <v>460</v>
      </c>
      <c r="B75" t="s">
        <v>461</v>
      </c>
      <c r="D75" t="s">
        <v>40</v>
      </c>
      <c r="E75" t="s">
        <v>41</v>
      </c>
      <c r="G75" t="s">
        <v>462</v>
      </c>
      <c r="H75" t="s">
        <v>463</v>
      </c>
      <c r="J75" t="s">
        <v>234</v>
      </c>
      <c r="K75" t="s">
        <v>235</v>
      </c>
      <c r="L75">
        <v>5</v>
      </c>
      <c r="M75" t="s">
        <v>464</v>
      </c>
      <c r="N75" t="s">
        <v>47</v>
      </c>
      <c r="O75" t="s">
        <v>48</v>
      </c>
      <c r="P75" t="s">
        <v>48</v>
      </c>
      <c r="Y75" t="s">
        <v>465</v>
      </c>
    </row>
    <row r="76" spans="1:25">
      <c r="A76" t="s">
        <v>466</v>
      </c>
      <c r="B76" t="s">
        <v>467</v>
      </c>
      <c r="D76" t="s">
        <v>40</v>
      </c>
      <c r="E76" t="s">
        <v>41</v>
      </c>
      <c r="G76" t="s">
        <v>468</v>
      </c>
      <c r="H76" t="s">
        <v>469</v>
      </c>
      <c r="J76" t="s">
        <v>234</v>
      </c>
      <c r="K76" t="s">
        <v>235</v>
      </c>
      <c r="L76">
        <v>5</v>
      </c>
      <c r="M76" t="s">
        <v>470</v>
      </c>
      <c r="N76" t="s">
        <v>47</v>
      </c>
      <c r="O76" t="s">
        <v>48</v>
      </c>
      <c r="P76" t="s">
        <v>48</v>
      </c>
      <c r="Y76" t="s">
        <v>471</v>
      </c>
    </row>
    <row r="77" spans="1:25">
      <c r="A77" t="s">
        <v>472</v>
      </c>
      <c r="B77" t="s">
        <v>473</v>
      </c>
      <c r="D77" t="s">
        <v>40</v>
      </c>
      <c r="E77" t="s">
        <v>41</v>
      </c>
      <c r="G77" t="s">
        <v>474</v>
      </c>
      <c r="H77" t="s">
        <v>475</v>
      </c>
      <c r="J77" t="s">
        <v>44</v>
      </c>
      <c r="K77" t="s">
        <v>45</v>
      </c>
      <c r="L77">
        <v>5</v>
      </c>
      <c r="M77" t="s">
        <v>476</v>
      </c>
      <c r="N77" t="s">
        <v>47</v>
      </c>
      <c r="O77" t="s">
        <v>48</v>
      </c>
      <c r="P77" t="s">
        <v>48</v>
      </c>
      <c r="Y77" t="s">
        <v>477</v>
      </c>
    </row>
    <row r="78" spans="1:25">
      <c r="A78" t="s">
        <v>478</v>
      </c>
      <c r="B78" t="s">
        <v>479</v>
      </c>
      <c r="D78" t="s">
        <v>40</v>
      </c>
      <c r="E78" t="s">
        <v>41</v>
      </c>
      <c r="G78" t="s">
        <v>480</v>
      </c>
      <c r="H78" t="s">
        <v>481</v>
      </c>
      <c r="J78" t="s">
        <v>54</v>
      </c>
      <c r="K78" t="s">
        <v>55</v>
      </c>
      <c r="L78">
        <v>5</v>
      </c>
      <c r="M78" t="s">
        <v>476</v>
      </c>
      <c r="N78" t="s">
        <v>47</v>
      </c>
      <c r="O78" t="s">
        <v>48</v>
      </c>
      <c r="P78" t="s">
        <v>48</v>
      </c>
      <c r="Y78" t="s">
        <v>482</v>
      </c>
    </row>
    <row r="79" spans="1:25">
      <c r="A79" t="s">
        <v>483</v>
      </c>
      <c r="B79" t="s">
        <v>484</v>
      </c>
      <c r="D79" t="s">
        <v>40</v>
      </c>
      <c r="E79" t="s">
        <v>41</v>
      </c>
      <c r="G79" t="s">
        <v>485</v>
      </c>
      <c r="H79" t="s">
        <v>486</v>
      </c>
      <c r="J79" t="s">
        <v>90</v>
      </c>
      <c r="K79" t="s">
        <v>91</v>
      </c>
      <c r="L79">
        <v>5</v>
      </c>
      <c r="M79" t="s">
        <v>476</v>
      </c>
      <c r="N79" t="s">
        <v>47</v>
      </c>
      <c r="O79" t="s">
        <v>48</v>
      </c>
      <c r="P79" t="s">
        <v>48</v>
      </c>
      <c r="Y79" t="s">
        <v>487</v>
      </c>
    </row>
    <row r="80" spans="1:25">
      <c r="A80" t="s">
        <v>488</v>
      </c>
      <c r="B80" t="s">
        <v>489</v>
      </c>
      <c r="D80" t="s">
        <v>40</v>
      </c>
      <c r="E80" t="s">
        <v>41</v>
      </c>
      <c r="G80" t="s">
        <v>490</v>
      </c>
      <c r="H80" t="s">
        <v>491</v>
      </c>
      <c r="J80" t="s">
        <v>78</v>
      </c>
      <c r="K80" t="s">
        <v>79</v>
      </c>
      <c r="L80">
        <v>5</v>
      </c>
      <c r="M80" t="s">
        <v>476</v>
      </c>
      <c r="N80" t="s">
        <v>47</v>
      </c>
      <c r="O80" t="s">
        <v>48</v>
      </c>
      <c r="P80" t="s">
        <v>48</v>
      </c>
      <c r="Y80" t="s">
        <v>492</v>
      </c>
    </row>
    <row r="81" spans="1:25">
      <c r="A81" t="s">
        <v>493</v>
      </c>
      <c r="B81" t="s">
        <v>494</v>
      </c>
      <c r="D81" t="s">
        <v>40</v>
      </c>
      <c r="E81" t="s">
        <v>41</v>
      </c>
      <c r="G81" t="s">
        <v>495</v>
      </c>
      <c r="H81" t="s">
        <v>496</v>
      </c>
      <c r="J81" t="s">
        <v>497</v>
      </c>
      <c r="K81" t="s">
        <v>498</v>
      </c>
      <c r="L81">
        <v>5</v>
      </c>
      <c r="M81" t="s">
        <v>499</v>
      </c>
      <c r="N81" t="s">
        <v>290</v>
      </c>
      <c r="O81" t="s">
        <v>48</v>
      </c>
      <c r="P81" t="s">
        <v>48</v>
      </c>
      <c r="Y81" t="s">
        <v>500</v>
      </c>
    </row>
    <row r="82" spans="1:25">
      <c r="A82" t="s">
        <v>501</v>
      </c>
      <c r="B82" t="s">
        <v>502</v>
      </c>
      <c r="D82" t="s">
        <v>40</v>
      </c>
      <c r="E82" t="s">
        <v>41</v>
      </c>
      <c r="G82" t="s">
        <v>503</v>
      </c>
      <c r="H82" t="s">
        <v>504</v>
      </c>
      <c r="J82" t="s">
        <v>78</v>
      </c>
      <c r="K82" t="s">
        <v>79</v>
      </c>
      <c r="L82">
        <v>5</v>
      </c>
      <c r="M82" t="s">
        <v>505</v>
      </c>
      <c r="N82" t="s">
        <v>47</v>
      </c>
      <c r="O82" t="s">
        <v>48</v>
      </c>
      <c r="P82" t="s">
        <v>48</v>
      </c>
      <c r="Y82" t="s">
        <v>506</v>
      </c>
    </row>
    <row r="83" spans="1:25">
      <c r="A83" t="s">
        <v>507</v>
      </c>
      <c r="B83" t="s">
        <v>508</v>
      </c>
      <c r="D83" t="s">
        <v>40</v>
      </c>
      <c r="E83" t="s">
        <v>41</v>
      </c>
      <c r="J83" t="s">
        <v>90</v>
      </c>
      <c r="K83" t="s">
        <v>91</v>
      </c>
      <c r="L83">
        <v>5</v>
      </c>
      <c r="M83" t="s">
        <v>505</v>
      </c>
      <c r="N83" t="s">
        <v>47</v>
      </c>
      <c r="O83" t="s">
        <v>48</v>
      </c>
      <c r="P83" t="s">
        <v>48</v>
      </c>
      <c r="Y83" t="s">
        <v>509</v>
      </c>
    </row>
    <row r="84" spans="1:25">
      <c r="A84" t="s">
        <v>510</v>
      </c>
      <c r="B84" t="s">
        <v>511</v>
      </c>
      <c r="D84" t="s">
        <v>40</v>
      </c>
      <c r="E84" t="s">
        <v>41</v>
      </c>
      <c r="G84" t="s">
        <v>512</v>
      </c>
      <c r="H84" t="s">
        <v>513</v>
      </c>
      <c r="J84" t="s">
        <v>90</v>
      </c>
      <c r="K84" t="s">
        <v>91</v>
      </c>
      <c r="L84">
        <v>5</v>
      </c>
      <c r="M84" t="s">
        <v>505</v>
      </c>
      <c r="N84" t="s">
        <v>47</v>
      </c>
      <c r="O84" t="s">
        <v>48</v>
      </c>
      <c r="P84" t="s">
        <v>48</v>
      </c>
      <c r="Y84" t="s">
        <v>514</v>
      </c>
    </row>
    <row r="85" spans="1:25">
      <c r="A85" t="s">
        <v>515</v>
      </c>
      <c r="B85" t="s">
        <v>516</v>
      </c>
      <c r="D85" t="s">
        <v>40</v>
      </c>
      <c r="E85" t="s">
        <v>41</v>
      </c>
      <c r="G85" t="s">
        <v>517</v>
      </c>
      <c r="H85" t="s">
        <v>518</v>
      </c>
      <c r="J85" t="s">
        <v>90</v>
      </c>
      <c r="K85" t="s">
        <v>91</v>
      </c>
      <c r="L85">
        <v>5</v>
      </c>
      <c r="M85" t="s">
        <v>505</v>
      </c>
      <c r="N85" t="s">
        <v>47</v>
      </c>
      <c r="O85" t="s">
        <v>48</v>
      </c>
      <c r="P85" t="s">
        <v>48</v>
      </c>
      <c r="Y85" t="s">
        <v>519</v>
      </c>
    </row>
    <row r="86" spans="1:25">
      <c r="A86" t="s">
        <v>520</v>
      </c>
      <c r="B86" t="s">
        <v>521</v>
      </c>
      <c r="D86" t="s">
        <v>40</v>
      </c>
      <c r="E86" t="s">
        <v>41</v>
      </c>
      <c r="G86" t="s">
        <v>522</v>
      </c>
      <c r="H86" t="s">
        <v>523</v>
      </c>
      <c r="J86" t="s">
        <v>234</v>
      </c>
      <c r="K86" t="s">
        <v>235</v>
      </c>
      <c r="L86">
        <v>5</v>
      </c>
      <c r="M86" t="s">
        <v>524</v>
      </c>
      <c r="N86" t="s">
        <v>47</v>
      </c>
      <c r="O86" t="s">
        <v>48</v>
      </c>
      <c r="P86" t="s">
        <v>48</v>
      </c>
      <c r="Y86" t="s">
        <v>525</v>
      </c>
    </row>
    <row r="87" spans="1:25">
      <c r="A87" t="s">
        <v>526</v>
      </c>
      <c r="B87" t="s">
        <v>527</v>
      </c>
      <c r="D87" t="s">
        <v>40</v>
      </c>
      <c r="E87" t="s">
        <v>41</v>
      </c>
      <c r="G87" t="s">
        <v>528</v>
      </c>
      <c r="H87" t="s">
        <v>529</v>
      </c>
      <c r="J87" t="s">
        <v>44</v>
      </c>
      <c r="K87" t="s">
        <v>45</v>
      </c>
      <c r="L87">
        <v>5</v>
      </c>
      <c r="M87" t="s">
        <v>530</v>
      </c>
      <c r="N87" t="s">
        <v>47</v>
      </c>
      <c r="O87" t="s">
        <v>48</v>
      </c>
      <c r="P87" t="s">
        <v>48</v>
      </c>
      <c r="Y87" t="s">
        <v>531</v>
      </c>
    </row>
    <row r="88" spans="1:25">
      <c r="A88" t="s">
        <v>532</v>
      </c>
      <c r="B88" t="s">
        <v>533</v>
      </c>
      <c r="D88" t="s">
        <v>40</v>
      </c>
      <c r="E88" t="s">
        <v>41</v>
      </c>
      <c r="G88" t="s">
        <v>534</v>
      </c>
      <c r="H88" t="s">
        <v>535</v>
      </c>
      <c r="J88" t="s">
        <v>90</v>
      </c>
      <c r="K88" t="s">
        <v>91</v>
      </c>
      <c r="L88">
        <v>5</v>
      </c>
      <c r="M88" t="s">
        <v>530</v>
      </c>
      <c r="N88" t="s">
        <v>47</v>
      </c>
      <c r="O88" t="s">
        <v>48</v>
      </c>
      <c r="P88" t="s">
        <v>48</v>
      </c>
      <c r="Y88" t="s">
        <v>536</v>
      </c>
    </row>
    <row r="89" spans="1:25">
      <c r="A89" t="s">
        <v>537</v>
      </c>
      <c r="B89" t="s">
        <v>538</v>
      </c>
      <c r="D89" t="s">
        <v>40</v>
      </c>
      <c r="E89" t="s">
        <v>41</v>
      </c>
      <c r="G89" t="s">
        <v>539</v>
      </c>
      <c r="H89" t="s">
        <v>540</v>
      </c>
      <c r="J89" t="s">
        <v>541</v>
      </c>
      <c r="K89" t="s">
        <v>542</v>
      </c>
      <c r="L89">
        <v>5</v>
      </c>
      <c r="M89" t="s">
        <v>543</v>
      </c>
      <c r="N89" t="s">
        <v>290</v>
      </c>
      <c r="O89" t="s">
        <v>48</v>
      </c>
      <c r="P89" t="s">
        <v>48</v>
      </c>
      <c r="Y89" t="s">
        <v>544</v>
      </c>
    </row>
    <row r="90" spans="1:25">
      <c r="A90" t="s">
        <v>545</v>
      </c>
      <c r="B90" t="s">
        <v>546</v>
      </c>
      <c r="D90" t="s">
        <v>40</v>
      </c>
      <c r="E90" t="s">
        <v>41</v>
      </c>
      <c r="G90" t="s">
        <v>547</v>
      </c>
      <c r="H90" t="s">
        <v>548</v>
      </c>
      <c r="J90" t="s">
        <v>54</v>
      </c>
      <c r="K90" t="s">
        <v>55</v>
      </c>
      <c r="L90">
        <v>5</v>
      </c>
      <c r="M90" t="s">
        <v>549</v>
      </c>
      <c r="N90" t="s">
        <v>47</v>
      </c>
      <c r="O90" t="s">
        <v>48</v>
      </c>
      <c r="P90" t="s">
        <v>48</v>
      </c>
      <c r="Y90" t="s">
        <v>550</v>
      </c>
    </row>
    <row r="91" spans="1:25">
      <c r="A91" t="s">
        <v>551</v>
      </c>
      <c r="B91" t="s">
        <v>552</v>
      </c>
      <c r="D91" t="s">
        <v>40</v>
      </c>
      <c r="E91" t="s">
        <v>41</v>
      </c>
      <c r="G91" t="s">
        <v>553</v>
      </c>
      <c r="H91" t="s">
        <v>554</v>
      </c>
      <c r="J91" t="s">
        <v>90</v>
      </c>
      <c r="K91" t="s">
        <v>91</v>
      </c>
      <c r="L91">
        <v>5</v>
      </c>
      <c r="M91" t="s">
        <v>549</v>
      </c>
      <c r="N91" t="s">
        <v>47</v>
      </c>
      <c r="O91" t="s">
        <v>48</v>
      </c>
      <c r="P91" t="s">
        <v>48</v>
      </c>
      <c r="Y91" t="s">
        <v>555</v>
      </c>
    </row>
    <row r="92" spans="1:25">
      <c r="A92" t="s">
        <v>556</v>
      </c>
      <c r="B92" t="s">
        <v>557</v>
      </c>
      <c r="D92" t="s">
        <v>40</v>
      </c>
      <c r="E92" t="s">
        <v>41</v>
      </c>
      <c r="G92" t="s">
        <v>558</v>
      </c>
      <c r="H92" t="s">
        <v>559</v>
      </c>
      <c r="J92" t="s">
        <v>287</v>
      </c>
      <c r="K92" t="s">
        <v>288</v>
      </c>
      <c r="L92">
        <v>5</v>
      </c>
      <c r="M92" t="s">
        <v>560</v>
      </c>
      <c r="N92" t="s">
        <v>290</v>
      </c>
      <c r="O92" t="s">
        <v>48</v>
      </c>
      <c r="P92" t="s">
        <v>48</v>
      </c>
      <c r="Y92" t="s">
        <v>561</v>
      </c>
    </row>
    <row r="93" spans="1:25">
      <c r="A93" t="s">
        <v>562</v>
      </c>
      <c r="B93" t="s">
        <v>563</v>
      </c>
      <c r="D93" t="s">
        <v>40</v>
      </c>
      <c r="E93" t="s">
        <v>41</v>
      </c>
      <c r="G93" t="s">
        <v>564</v>
      </c>
      <c r="H93" t="s">
        <v>328</v>
      </c>
      <c r="J93" t="s">
        <v>90</v>
      </c>
      <c r="K93" t="s">
        <v>91</v>
      </c>
      <c r="L93">
        <v>5</v>
      </c>
      <c r="M93" t="s">
        <v>565</v>
      </c>
      <c r="N93" t="s">
        <v>47</v>
      </c>
      <c r="O93" t="s">
        <v>48</v>
      </c>
      <c r="P93" t="s">
        <v>48</v>
      </c>
      <c r="Y93" t="s">
        <v>566</v>
      </c>
    </row>
    <row r="94" spans="1:25">
      <c r="A94" t="s">
        <v>567</v>
      </c>
      <c r="B94" t="s">
        <v>568</v>
      </c>
      <c r="D94" t="s">
        <v>40</v>
      </c>
      <c r="E94" t="s">
        <v>41</v>
      </c>
      <c r="G94" t="s">
        <v>569</v>
      </c>
      <c r="H94" t="s">
        <v>570</v>
      </c>
      <c r="J94" t="s">
        <v>54</v>
      </c>
      <c r="K94" t="s">
        <v>55</v>
      </c>
      <c r="L94">
        <v>5</v>
      </c>
      <c r="M94" t="s">
        <v>571</v>
      </c>
      <c r="N94" t="s">
        <v>47</v>
      </c>
      <c r="O94" t="s">
        <v>48</v>
      </c>
      <c r="P94" t="s">
        <v>48</v>
      </c>
      <c r="Y94" t="s">
        <v>572</v>
      </c>
    </row>
    <row r="95" spans="1:25">
      <c r="A95" t="s">
        <v>573</v>
      </c>
      <c r="B95" t="s">
        <v>574</v>
      </c>
      <c r="D95" t="s">
        <v>40</v>
      </c>
      <c r="E95" t="s">
        <v>41</v>
      </c>
      <c r="G95" t="s">
        <v>575</v>
      </c>
      <c r="H95" t="s">
        <v>576</v>
      </c>
      <c r="J95" t="s">
        <v>54</v>
      </c>
      <c r="K95" t="s">
        <v>55</v>
      </c>
      <c r="L95">
        <v>5</v>
      </c>
      <c r="M95" t="s">
        <v>577</v>
      </c>
      <c r="N95" t="s">
        <v>47</v>
      </c>
      <c r="O95" t="s">
        <v>48</v>
      </c>
      <c r="P95" t="s">
        <v>48</v>
      </c>
      <c r="Y95" t="s">
        <v>578</v>
      </c>
    </row>
    <row r="96" spans="1:25">
      <c r="A96" t="s">
        <v>579</v>
      </c>
      <c r="B96" t="s">
        <v>580</v>
      </c>
      <c r="D96" t="s">
        <v>40</v>
      </c>
      <c r="E96" t="s">
        <v>41</v>
      </c>
      <c r="G96" t="s">
        <v>581</v>
      </c>
      <c r="H96" t="s">
        <v>582</v>
      </c>
      <c r="J96" t="s">
        <v>44</v>
      </c>
      <c r="K96" t="s">
        <v>45</v>
      </c>
      <c r="L96">
        <v>5</v>
      </c>
      <c r="M96" t="s">
        <v>583</v>
      </c>
      <c r="N96" t="s">
        <v>47</v>
      </c>
      <c r="O96" t="s">
        <v>48</v>
      </c>
      <c r="P96" t="s">
        <v>48</v>
      </c>
      <c r="Y96" t="s">
        <v>584</v>
      </c>
    </row>
    <row r="97" spans="1:25">
      <c r="A97" t="s">
        <v>585</v>
      </c>
      <c r="B97" t="s">
        <v>586</v>
      </c>
      <c r="D97" t="s">
        <v>40</v>
      </c>
      <c r="E97" t="s">
        <v>41</v>
      </c>
      <c r="G97" t="s">
        <v>587</v>
      </c>
      <c r="H97" t="s">
        <v>588</v>
      </c>
      <c r="J97" t="s">
        <v>44</v>
      </c>
      <c r="K97" t="s">
        <v>45</v>
      </c>
      <c r="L97">
        <v>5</v>
      </c>
      <c r="M97" t="s">
        <v>589</v>
      </c>
      <c r="N97" t="s">
        <v>47</v>
      </c>
      <c r="O97" t="s">
        <v>48</v>
      </c>
      <c r="P97" t="s">
        <v>48</v>
      </c>
      <c r="Y97" t="s">
        <v>590</v>
      </c>
    </row>
    <row r="98" spans="1:25">
      <c r="A98" t="s">
        <v>591</v>
      </c>
      <c r="B98" t="s">
        <v>592</v>
      </c>
      <c r="D98" t="s">
        <v>40</v>
      </c>
      <c r="E98" t="s">
        <v>41</v>
      </c>
      <c r="G98" t="s">
        <v>593</v>
      </c>
      <c r="H98" t="s">
        <v>594</v>
      </c>
      <c r="J98" t="s">
        <v>90</v>
      </c>
      <c r="K98" t="s">
        <v>91</v>
      </c>
      <c r="L98">
        <v>5</v>
      </c>
      <c r="M98" t="s">
        <v>595</v>
      </c>
      <c r="N98" t="s">
        <v>47</v>
      </c>
      <c r="O98" t="s">
        <v>48</v>
      </c>
      <c r="P98" t="s">
        <v>48</v>
      </c>
      <c r="Y98" t="s">
        <v>596</v>
      </c>
    </row>
    <row r="99" spans="1:25">
      <c r="A99" t="s">
        <v>597</v>
      </c>
      <c r="B99" t="s">
        <v>598</v>
      </c>
      <c r="D99" t="s">
        <v>40</v>
      </c>
      <c r="E99" t="s">
        <v>41</v>
      </c>
      <c r="G99" t="s">
        <v>599</v>
      </c>
      <c r="H99" t="s">
        <v>301</v>
      </c>
      <c r="J99" t="s">
        <v>44</v>
      </c>
      <c r="K99" t="s">
        <v>45</v>
      </c>
      <c r="L99">
        <v>5</v>
      </c>
      <c r="M99" t="s">
        <v>600</v>
      </c>
      <c r="N99" t="s">
        <v>47</v>
      </c>
      <c r="O99" t="s">
        <v>48</v>
      </c>
      <c r="P99" t="s">
        <v>48</v>
      </c>
      <c r="Y99" t="s">
        <v>601</v>
      </c>
    </row>
    <row r="100" spans="1:25">
      <c r="A100" t="s">
        <v>602</v>
      </c>
      <c r="B100" t="s">
        <v>603</v>
      </c>
      <c r="D100" t="s">
        <v>40</v>
      </c>
      <c r="E100" t="s">
        <v>41</v>
      </c>
      <c r="G100" t="s">
        <v>604</v>
      </c>
      <c r="H100" t="s">
        <v>605</v>
      </c>
      <c r="J100" t="s">
        <v>90</v>
      </c>
      <c r="K100" t="s">
        <v>91</v>
      </c>
      <c r="L100">
        <v>5</v>
      </c>
      <c r="M100" t="s">
        <v>606</v>
      </c>
      <c r="N100" t="s">
        <v>47</v>
      </c>
      <c r="O100" t="s">
        <v>48</v>
      </c>
      <c r="P100" t="s">
        <v>48</v>
      </c>
      <c r="Y100" t="s">
        <v>607</v>
      </c>
    </row>
    <row r="101" spans="1:25">
      <c r="A101" t="s">
        <v>608</v>
      </c>
      <c r="B101" t="s">
        <v>609</v>
      </c>
      <c r="D101" t="s">
        <v>40</v>
      </c>
      <c r="E101" t="s">
        <v>41</v>
      </c>
      <c r="G101" t="s">
        <v>610</v>
      </c>
      <c r="H101" t="s">
        <v>611</v>
      </c>
      <c r="J101" t="s">
        <v>44</v>
      </c>
      <c r="K101" t="s">
        <v>45</v>
      </c>
      <c r="L101">
        <v>5</v>
      </c>
      <c r="M101" t="s">
        <v>606</v>
      </c>
      <c r="N101" t="s">
        <v>47</v>
      </c>
      <c r="O101" t="s">
        <v>48</v>
      </c>
      <c r="P101" t="s">
        <v>48</v>
      </c>
      <c r="Y101" t="s">
        <v>612</v>
      </c>
    </row>
    <row r="102" spans="1:25">
      <c r="A102" t="s">
        <v>613</v>
      </c>
      <c r="B102" t="s">
        <v>614</v>
      </c>
      <c r="D102" t="s">
        <v>40</v>
      </c>
      <c r="E102" t="s">
        <v>41</v>
      </c>
      <c r="G102" t="s">
        <v>615</v>
      </c>
      <c r="H102" t="s">
        <v>616</v>
      </c>
      <c r="J102" t="s">
        <v>54</v>
      </c>
      <c r="K102" t="s">
        <v>55</v>
      </c>
      <c r="L102">
        <v>5</v>
      </c>
      <c r="M102" t="s">
        <v>617</v>
      </c>
      <c r="N102" t="s">
        <v>47</v>
      </c>
      <c r="O102" t="s">
        <v>48</v>
      </c>
      <c r="P102" t="s">
        <v>48</v>
      </c>
      <c r="Y102" t="s">
        <v>618</v>
      </c>
    </row>
    <row r="103" spans="1:25">
      <c r="A103" t="s">
        <v>619</v>
      </c>
      <c r="B103" t="s">
        <v>620</v>
      </c>
      <c r="D103" t="s">
        <v>40</v>
      </c>
      <c r="E103" t="s">
        <v>41</v>
      </c>
      <c r="G103" t="s">
        <v>621</v>
      </c>
      <c r="H103" t="s">
        <v>622</v>
      </c>
      <c r="J103" t="s">
        <v>44</v>
      </c>
      <c r="K103" t="s">
        <v>45</v>
      </c>
      <c r="L103">
        <v>5</v>
      </c>
      <c r="M103" t="s">
        <v>617</v>
      </c>
      <c r="N103" t="s">
        <v>47</v>
      </c>
      <c r="O103" t="s">
        <v>48</v>
      </c>
      <c r="P103" t="s">
        <v>48</v>
      </c>
      <c r="Y103" t="s">
        <v>623</v>
      </c>
    </row>
    <row r="104" spans="1:25">
      <c r="A104" t="s">
        <v>624</v>
      </c>
      <c r="B104" t="s">
        <v>625</v>
      </c>
      <c r="D104" t="s">
        <v>40</v>
      </c>
      <c r="E104" t="s">
        <v>41</v>
      </c>
      <c r="G104" t="s">
        <v>626</v>
      </c>
      <c r="H104" t="s">
        <v>627</v>
      </c>
      <c r="J104" t="s">
        <v>133</v>
      </c>
      <c r="K104" t="s">
        <v>134</v>
      </c>
      <c r="L104">
        <v>5</v>
      </c>
      <c r="M104" t="s">
        <v>628</v>
      </c>
      <c r="N104" t="s">
        <v>290</v>
      </c>
      <c r="O104" t="s">
        <v>48</v>
      </c>
      <c r="P104" t="s">
        <v>48</v>
      </c>
      <c r="Y104" t="s">
        <v>629</v>
      </c>
    </row>
    <row r="105" spans="1:25">
      <c r="A105" t="s">
        <v>630</v>
      </c>
      <c r="B105" t="s">
        <v>631</v>
      </c>
      <c r="D105" t="s">
        <v>40</v>
      </c>
      <c r="E105" t="s">
        <v>41</v>
      </c>
      <c r="G105" t="s">
        <v>632</v>
      </c>
      <c r="H105" t="s">
        <v>633</v>
      </c>
      <c r="J105" t="s">
        <v>78</v>
      </c>
      <c r="K105" t="s">
        <v>79</v>
      </c>
      <c r="L105">
        <v>5</v>
      </c>
      <c r="M105" t="s">
        <v>634</v>
      </c>
      <c r="N105" t="s">
        <v>47</v>
      </c>
      <c r="O105" t="s">
        <v>48</v>
      </c>
      <c r="P105" t="s">
        <v>48</v>
      </c>
      <c r="Y105" t="s">
        <v>635</v>
      </c>
    </row>
    <row r="106" spans="1:25">
      <c r="A106" t="s">
        <v>636</v>
      </c>
      <c r="B106" t="s">
        <v>637</v>
      </c>
      <c r="D106" t="s">
        <v>40</v>
      </c>
      <c r="E106" t="s">
        <v>41</v>
      </c>
      <c r="G106" t="s">
        <v>638</v>
      </c>
      <c r="H106" t="s">
        <v>639</v>
      </c>
      <c r="J106" t="s">
        <v>78</v>
      </c>
      <c r="K106" t="s">
        <v>79</v>
      </c>
      <c r="L106">
        <v>5</v>
      </c>
      <c r="M106" t="s">
        <v>634</v>
      </c>
      <c r="N106" t="s">
        <v>47</v>
      </c>
      <c r="O106" t="s">
        <v>48</v>
      </c>
      <c r="P106" t="s">
        <v>48</v>
      </c>
      <c r="Y106" t="s">
        <v>640</v>
      </c>
    </row>
    <row r="107" spans="1:25">
      <c r="A107" t="s">
        <v>641</v>
      </c>
      <c r="B107" t="s">
        <v>642</v>
      </c>
      <c r="D107" t="s">
        <v>40</v>
      </c>
      <c r="E107" t="s">
        <v>41</v>
      </c>
      <c r="G107" t="s">
        <v>643</v>
      </c>
      <c r="H107" t="s">
        <v>644</v>
      </c>
      <c r="J107" t="s">
        <v>90</v>
      </c>
      <c r="K107" t="s">
        <v>91</v>
      </c>
      <c r="L107">
        <v>5</v>
      </c>
      <c r="M107" t="s">
        <v>634</v>
      </c>
      <c r="N107" t="s">
        <v>47</v>
      </c>
      <c r="O107" t="s">
        <v>48</v>
      </c>
      <c r="P107" t="s">
        <v>48</v>
      </c>
      <c r="Y107" t="s">
        <v>645</v>
      </c>
    </row>
    <row r="108" spans="1:25">
      <c r="A108" t="s">
        <v>646</v>
      </c>
      <c r="B108" t="s">
        <v>647</v>
      </c>
      <c r="D108" t="s">
        <v>40</v>
      </c>
      <c r="E108" t="s">
        <v>41</v>
      </c>
      <c r="G108" t="s">
        <v>648</v>
      </c>
      <c r="H108" t="s">
        <v>649</v>
      </c>
      <c r="J108" t="s">
        <v>234</v>
      </c>
      <c r="K108" t="s">
        <v>235</v>
      </c>
      <c r="L108">
        <v>5</v>
      </c>
      <c r="M108" t="s">
        <v>650</v>
      </c>
      <c r="N108" t="s">
        <v>47</v>
      </c>
      <c r="O108" t="s">
        <v>48</v>
      </c>
      <c r="P108" t="s">
        <v>48</v>
      </c>
      <c r="Y108" t="s">
        <v>651</v>
      </c>
    </row>
    <row r="109" spans="1:25">
      <c r="A109" t="s">
        <v>652</v>
      </c>
      <c r="B109" t="s">
        <v>653</v>
      </c>
      <c r="D109" t="s">
        <v>40</v>
      </c>
      <c r="E109" t="s">
        <v>41</v>
      </c>
      <c r="G109" t="s">
        <v>654</v>
      </c>
      <c r="H109" t="s">
        <v>655</v>
      </c>
      <c r="J109" t="s">
        <v>44</v>
      </c>
      <c r="K109" t="s">
        <v>45</v>
      </c>
      <c r="L109">
        <v>5</v>
      </c>
      <c r="M109" t="s">
        <v>656</v>
      </c>
      <c r="N109" t="s">
        <v>47</v>
      </c>
      <c r="O109" t="s">
        <v>48</v>
      </c>
      <c r="P109" t="s">
        <v>48</v>
      </c>
      <c r="Y109" t="s">
        <v>657</v>
      </c>
    </row>
    <row r="110" spans="1:25">
      <c r="A110" t="s">
        <v>658</v>
      </c>
      <c r="B110" t="s">
        <v>659</v>
      </c>
      <c r="D110" t="s">
        <v>40</v>
      </c>
      <c r="E110" t="s">
        <v>41</v>
      </c>
      <c r="G110" t="s">
        <v>660</v>
      </c>
      <c r="H110" t="s">
        <v>661</v>
      </c>
      <c r="J110" t="s">
        <v>497</v>
      </c>
      <c r="K110" t="s">
        <v>498</v>
      </c>
      <c r="L110">
        <v>5</v>
      </c>
      <c r="M110" t="s">
        <v>662</v>
      </c>
      <c r="N110" t="s">
        <v>290</v>
      </c>
      <c r="O110" t="s">
        <v>48</v>
      </c>
      <c r="P110" t="s">
        <v>48</v>
      </c>
      <c r="Y110" t="s">
        <v>663</v>
      </c>
    </row>
    <row r="111" spans="1:25">
      <c r="A111" t="s">
        <v>664</v>
      </c>
      <c r="B111" t="s">
        <v>665</v>
      </c>
      <c r="D111" t="s">
        <v>40</v>
      </c>
      <c r="E111" t="s">
        <v>41</v>
      </c>
      <c r="G111" t="s">
        <v>626</v>
      </c>
      <c r="H111" t="s">
        <v>666</v>
      </c>
      <c r="J111" t="s">
        <v>44</v>
      </c>
      <c r="K111" t="s">
        <v>45</v>
      </c>
      <c r="L111">
        <v>5</v>
      </c>
      <c r="M111" t="s">
        <v>667</v>
      </c>
      <c r="N111" t="s">
        <v>47</v>
      </c>
      <c r="O111" t="s">
        <v>48</v>
      </c>
      <c r="P111" t="s">
        <v>48</v>
      </c>
      <c r="Y111" t="s">
        <v>668</v>
      </c>
    </row>
    <row r="112" spans="1:25">
      <c r="A112" t="s">
        <v>669</v>
      </c>
      <c r="B112" t="s">
        <v>670</v>
      </c>
      <c r="D112" t="s">
        <v>40</v>
      </c>
      <c r="E112" t="s">
        <v>41</v>
      </c>
      <c r="G112" t="s">
        <v>671</v>
      </c>
      <c r="H112" t="s">
        <v>672</v>
      </c>
      <c r="J112" t="s">
        <v>44</v>
      </c>
      <c r="K112" t="s">
        <v>45</v>
      </c>
      <c r="L112">
        <v>5</v>
      </c>
      <c r="M112" t="s">
        <v>667</v>
      </c>
      <c r="N112" t="s">
        <v>47</v>
      </c>
      <c r="O112" t="s">
        <v>48</v>
      </c>
      <c r="P112" t="s">
        <v>48</v>
      </c>
      <c r="Y112" t="s">
        <v>673</v>
      </c>
    </row>
    <row r="113" spans="1:25">
      <c r="A113" t="s">
        <v>674</v>
      </c>
      <c r="B113" t="s">
        <v>675</v>
      </c>
      <c r="D113" t="s">
        <v>40</v>
      </c>
      <c r="E113" t="s">
        <v>41</v>
      </c>
      <c r="G113" t="s">
        <v>676</v>
      </c>
      <c r="H113" t="s">
        <v>677</v>
      </c>
      <c r="J113" t="s">
        <v>90</v>
      </c>
      <c r="K113" t="s">
        <v>91</v>
      </c>
      <c r="L113">
        <v>5</v>
      </c>
      <c r="M113" t="s">
        <v>667</v>
      </c>
      <c r="N113" t="s">
        <v>47</v>
      </c>
      <c r="O113" t="s">
        <v>48</v>
      </c>
      <c r="P113" t="s">
        <v>48</v>
      </c>
      <c r="Y113" t="s">
        <v>678</v>
      </c>
    </row>
    <row r="114" spans="1:25">
      <c r="A114" t="s">
        <v>679</v>
      </c>
      <c r="B114" t="s">
        <v>680</v>
      </c>
      <c r="D114" t="s">
        <v>40</v>
      </c>
      <c r="E114" t="s">
        <v>41</v>
      </c>
      <c r="G114" t="s">
        <v>681</v>
      </c>
      <c r="H114" t="s">
        <v>682</v>
      </c>
      <c r="J114" t="s">
        <v>683</v>
      </c>
      <c r="K114" t="s">
        <v>684</v>
      </c>
      <c r="L114">
        <v>5</v>
      </c>
      <c r="M114" t="s">
        <v>667</v>
      </c>
      <c r="N114" t="s">
        <v>685</v>
      </c>
      <c r="O114" t="s">
        <v>48</v>
      </c>
      <c r="P114" t="s">
        <v>48</v>
      </c>
      <c r="Y114" t="s">
        <v>686</v>
      </c>
    </row>
    <row r="115" spans="1:25">
      <c r="A115" t="s">
        <v>687</v>
      </c>
      <c r="B115" t="s">
        <v>688</v>
      </c>
      <c r="D115" t="s">
        <v>40</v>
      </c>
      <c r="E115" t="s">
        <v>41</v>
      </c>
      <c r="G115" t="s">
        <v>689</v>
      </c>
      <c r="H115" t="s">
        <v>690</v>
      </c>
      <c r="J115" t="s">
        <v>44</v>
      </c>
      <c r="K115" t="s">
        <v>45</v>
      </c>
      <c r="L115">
        <v>5</v>
      </c>
      <c r="M115" t="s">
        <v>691</v>
      </c>
      <c r="N115" t="s">
        <v>47</v>
      </c>
      <c r="O115" t="s">
        <v>48</v>
      </c>
      <c r="P115" t="s">
        <v>48</v>
      </c>
      <c r="Y115" t="s">
        <v>692</v>
      </c>
    </row>
    <row r="116" spans="1:25">
      <c r="A116" t="s">
        <v>693</v>
      </c>
      <c r="B116" t="s">
        <v>694</v>
      </c>
      <c r="D116" t="s">
        <v>40</v>
      </c>
      <c r="E116" t="s">
        <v>41</v>
      </c>
      <c r="G116" t="s">
        <v>695</v>
      </c>
      <c r="H116" t="s">
        <v>696</v>
      </c>
      <c r="J116" t="s">
        <v>78</v>
      </c>
      <c r="K116" t="s">
        <v>79</v>
      </c>
      <c r="L116">
        <v>5</v>
      </c>
      <c r="M116" t="s">
        <v>691</v>
      </c>
      <c r="N116" t="s">
        <v>47</v>
      </c>
      <c r="O116" t="s">
        <v>48</v>
      </c>
      <c r="P116" t="s">
        <v>48</v>
      </c>
      <c r="Y116" t="s">
        <v>697</v>
      </c>
    </row>
    <row r="117" spans="1:25">
      <c r="A117" t="s">
        <v>698</v>
      </c>
      <c r="B117" t="s">
        <v>699</v>
      </c>
      <c r="D117" t="s">
        <v>40</v>
      </c>
      <c r="E117" t="s">
        <v>41</v>
      </c>
      <c r="G117" t="s">
        <v>700</v>
      </c>
      <c r="H117" t="s">
        <v>701</v>
      </c>
      <c r="J117" t="s">
        <v>541</v>
      </c>
      <c r="K117" t="s">
        <v>542</v>
      </c>
      <c r="L117">
        <v>5</v>
      </c>
      <c r="M117" t="s">
        <v>691</v>
      </c>
      <c r="N117" t="s">
        <v>685</v>
      </c>
      <c r="O117" t="s">
        <v>48</v>
      </c>
      <c r="P117" t="s">
        <v>48</v>
      </c>
      <c r="Y117" t="s">
        <v>702</v>
      </c>
    </row>
    <row r="118" spans="1:25">
      <c r="A118" t="s">
        <v>703</v>
      </c>
      <c r="B118" t="s">
        <v>704</v>
      </c>
      <c r="D118" t="s">
        <v>40</v>
      </c>
      <c r="E118" t="s">
        <v>41</v>
      </c>
      <c r="G118" t="s">
        <v>705</v>
      </c>
      <c r="H118" t="s">
        <v>706</v>
      </c>
      <c r="J118" t="s">
        <v>78</v>
      </c>
      <c r="K118" t="s">
        <v>79</v>
      </c>
      <c r="L118">
        <v>5</v>
      </c>
      <c r="M118" t="s">
        <v>691</v>
      </c>
      <c r="N118" t="s">
        <v>47</v>
      </c>
      <c r="O118" t="s">
        <v>48</v>
      </c>
      <c r="P118" t="s">
        <v>48</v>
      </c>
      <c r="Y118" t="s">
        <v>707</v>
      </c>
    </row>
    <row r="119" spans="1:25">
      <c r="A119" t="s">
        <v>708</v>
      </c>
      <c r="B119" t="s">
        <v>709</v>
      </c>
      <c r="D119" t="s">
        <v>40</v>
      </c>
      <c r="E119" t="s">
        <v>41</v>
      </c>
      <c r="G119" t="s">
        <v>710</v>
      </c>
      <c r="H119" t="s">
        <v>711</v>
      </c>
      <c r="J119" t="s">
        <v>54</v>
      </c>
      <c r="K119" t="s">
        <v>55</v>
      </c>
      <c r="L119">
        <v>5</v>
      </c>
      <c r="M119" t="s">
        <v>712</v>
      </c>
      <c r="N119" t="s">
        <v>47</v>
      </c>
      <c r="O119" t="s">
        <v>48</v>
      </c>
      <c r="P119" t="s">
        <v>48</v>
      </c>
      <c r="Y119" t="s">
        <v>713</v>
      </c>
    </row>
    <row r="120" spans="1:25">
      <c r="A120" t="s">
        <v>714</v>
      </c>
      <c r="B120" t="s">
        <v>715</v>
      </c>
      <c r="D120" t="s">
        <v>40</v>
      </c>
      <c r="E120" t="s">
        <v>41</v>
      </c>
      <c r="G120" t="s">
        <v>716</v>
      </c>
      <c r="H120" t="s">
        <v>717</v>
      </c>
      <c r="J120" t="s">
        <v>90</v>
      </c>
      <c r="K120" t="s">
        <v>91</v>
      </c>
      <c r="L120">
        <v>5</v>
      </c>
      <c r="M120" t="s">
        <v>712</v>
      </c>
      <c r="N120" t="s">
        <v>47</v>
      </c>
      <c r="O120" t="s">
        <v>48</v>
      </c>
      <c r="P120" t="s">
        <v>48</v>
      </c>
      <c r="Y120" t="s">
        <v>718</v>
      </c>
    </row>
    <row r="121" spans="1:25">
      <c r="A121" t="s">
        <v>719</v>
      </c>
      <c r="B121" t="s">
        <v>720</v>
      </c>
      <c r="D121" t="s">
        <v>40</v>
      </c>
      <c r="E121" t="s">
        <v>41</v>
      </c>
      <c r="G121" t="s">
        <v>721</v>
      </c>
      <c r="H121" t="s">
        <v>722</v>
      </c>
      <c r="J121" t="s">
        <v>90</v>
      </c>
      <c r="K121" t="s">
        <v>91</v>
      </c>
      <c r="L121">
        <v>5</v>
      </c>
      <c r="M121" t="s">
        <v>723</v>
      </c>
      <c r="N121" t="s">
        <v>47</v>
      </c>
      <c r="O121" t="s">
        <v>48</v>
      </c>
      <c r="P121" t="s">
        <v>48</v>
      </c>
      <c r="Y121" t="s">
        <v>724</v>
      </c>
    </row>
    <row r="122" spans="1:25">
      <c r="A122" t="s">
        <v>725</v>
      </c>
      <c r="B122" t="s">
        <v>726</v>
      </c>
      <c r="D122" t="s">
        <v>40</v>
      </c>
      <c r="E122" t="s">
        <v>41</v>
      </c>
      <c r="G122" t="s">
        <v>727</v>
      </c>
      <c r="H122" t="s">
        <v>728</v>
      </c>
      <c r="J122" t="s">
        <v>44</v>
      </c>
      <c r="K122" t="s">
        <v>45</v>
      </c>
      <c r="L122">
        <v>5</v>
      </c>
      <c r="M122" t="s">
        <v>729</v>
      </c>
      <c r="N122" t="s">
        <v>47</v>
      </c>
      <c r="O122" t="s">
        <v>48</v>
      </c>
      <c r="P122" t="s">
        <v>48</v>
      </c>
      <c r="Y122" t="s">
        <v>730</v>
      </c>
    </row>
    <row r="123" spans="1:25">
      <c r="A123" t="s">
        <v>731</v>
      </c>
      <c r="B123" t="s">
        <v>732</v>
      </c>
      <c r="D123" t="s">
        <v>40</v>
      </c>
      <c r="E123" t="s">
        <v>41</v>
      </c>
      <c r="G123" t="s">
        <v>733</v>
      </c>
      <c r="H123" t="s">
        <v>734</v>
      </c>
      <c r="J123" t="s">
        <v>90</v>
      </c>
      <c r="K123" t="s">
        <v>91</v>
      </c>
      <c r="L123">
        <v>5</v>
      </c>
      <c r="M123" t="s">
        <v>729</v>
      </c>
      <c r="N123" t="s">
        <v>47</v>
      </c>
      <c r="O123" t="s">
        <v>48</v>
      </c>
      <c r="P123" t="s">
        <v>48</v>
      </c>
      <c r="Y123" t="s">
        <v>735</v>
      </c>
    </row>
    <row r="124" spans="1:25">
      <c r="A124" t="s">
        <v>736</v>
      </c>
      <c r="B124" t="s">
        <v>737</v>
      </c>
      <c r="D124" t="s">
        <v>40</v>
      </c>
      <c r="E124" t="s">
        <v>41</v>
      </c>
      <c r="G124" t="s">
        <v>738</v>
      </c>
      <c r="H124" t="s">
        <v>513</v>
      </c>
      <c r="J124" t="s">
        <v>44</v>
      </c>
      <c r="K124" t="s">
        <v>45</v>
      </c>
      <c r="L124">
        <v>5</v>
      </c>
      <c r="M124" t="s">
        <v>729</v>
      </c>
      <c r="N124" t="s">
        <v>47</v>
      </c>
      <c r="O124" t="s">
        <v>48</v>
      </c>
      <c r="P124" t="s">
        <v>48</v>
      </c>
      <c r="Y124" t="s">
        <v>739</v>
      </c>
    </row>
    <row r="125" spans="1:25">
      <c r="A125" t="s">
        <v>740</v>
      </c>
      <c r="B125" t="s">
        <v>741</v>
      </c>
      <c r="D125" t="s">
        <v>40</v>
      </c>
      <c r="E125" t="s">
        <v>41</v>
      </c>
      <c r="G125" t="s">
        <v>402</v>
      </c>
      <c r="H125" t="s">
        <v>522</v>
      </c>
      <c r="J125" t="s">
        <v>90</v>
      </c>
      <c r="K125" t="s">
        <v>91</v>
      </c>
      <c r="L125">
        <v>5</v>
      </c>
      <c r="M125" t="s">
        <v>742</v>
      </c>
      <c r="N125" t="s">
        <v>47</v>
      </c>
      <c r="O125" t="s">
        <v>48</v>
      </c>
      <c r="P125" t="s">
        <v>48</v>
      </c>
      <c r="Y125" t="s">
        <v>743</v>
      </c>
    </row>
    <row r="126" spans="1:25">
      <c r="A126" t="s">
        <v>744</v>
      </c>
      <c r="B126" t="s">
        <v>745</v>
      </c>
      <c r="D126" t="s">
        <v>40</v>
      </c>
      <c r="E126" t="s">
        <v>41</v>
      </c>
      <c r="G126" t="s">
        <v>746</v>
      </c>
      <c r="H126" t="s">
        <v>706</v>
      </c>
      <c r="J126" t="s">
        <v>78</v>
      </c>
      <c r="K126" t="s">
        <v>79</v>
      </c>
      <c r="L126">
        <v>5</v>
      </c>
      <c r="M126" t="s">
        <v>747</v>
      </c>
      <c r="N126" t="s">
        <v>47</v>
      </c>
      <c r="O126" t="s">
        <v>48</v>
      </c>
      <c r="P126" t="s">
        <v>48</v>
      </c>
      <c r="Y126" t="s">
        <v>748</v>
      </c>
    </row>
    <row r="127" spans="1:25">
      <c r="A127" t="s">
        <v>749</v>
      </c>
      <c r="B127" t="s">
        <v>750</v>
      </c>
      <c r="D127" t="s">
        <v>40</v>
      </c>
      <c r="E127" t="s">
        <v>41</v>
      </c>
      <c r="G127" t="s">
        <v>751</v>
      </c>
      <c r="H127" t="s">
        <v>752</v>
      </c>
      <c r="J127" t="s">
        <v>78</v>
      </c>
      <c r="K127" t="s">
        <v>79</v>
      </c>
      <c r="L127">
        <v>5</v>
      </c>
      <c r="M127" t="s">
        <v>753</v>
      </c>
      <c r="N127" t="s">
        <v>47</v>
      </c>
      <c r="O127" t="s">
        <v>48</v>
      </c>
      <c r="P127" t="s">
        <v>48</v>
      </c>
      <c r="Y127" t="s">
        <v>754</v>
      </c>
    </row>
    <row r="128" spans="1:25">
      <c r="A128" t="s">
        <v>755</v>
      </c>
      <c r="B128" t="s">
        <v>756</v>
      </c>
      <c r="D128" t="s">
        <v>40</v>
      </c>
      <c r="E128" t="s">
        <v>41</v>
      </c>
      <c r="G128" t="s">
        <v>757</v>
      </c>
      <c r="H128" t="s">
        <v>758</v>
      </c>
      <c r="J128" t="s">
        <v>44</v>
      </c>
      <c r="K128" t="s">
        <v>45</v>
      </c>
      <c r="L128">
        <v>5</v>
      </c>
      <c r="M128" t="s">
        <v>759</v>
      </c>
      <c r="N128" t="s">
        <v>47</v>
      </c>
      <c r="O128" t="s">
        <v>48</v>
      </c>
      <c r="P128" t="s">
        <v>48</v>
      </c>
      <c r="Y128" t="s">
        <v>760</v>
      </c>
    </row>
    <row r="129" spans="1:25">
      <c r="A129" t="s">
        <v>761</v>
      </c>
      <c r="B129" t="s">
        <v>762</v>
      </c>
      <c r="D129" t="s">
        <v>40</v>
      </c>
      <c r="E129" t="s">
        <v>41</v>
      </c>
      <c r="G129" t="s">
        <v>763</v>
      </c>
      <c r="H129" t="s">
        <v>764</v>
      </c>
      <c r="J129" t="s">
        <v>765</v>
      </c>
      <c r="K129" t="s">
        <v>766</v>
      </c>
      <c r="L129">
        <v>5</v>
      </c>
      <c r="M129" t="s">
        <v>759</v>
      </c>
      <c r="N129" t="s">
        <v>290</v>
      </c>
      <c r="O129" t="s">
        <v>48</v>
      </c>
      <c r="P129" t="s">
        <v>48</v>
      </c>
      <c r="Y129" t="s">
        <v>767</v>
      </c>
    </row>
    <row r="130" spans="1:25">
      <c r="A130" t="s">
        <v>768</v>
      </c>
      <c r="B130" t="s">
        <v>769</v>
      </c>
      <c r="D130" t="s">
        <v>40</v>
      </c>
      <c r="E130" t="s">
        <v>41</v>
      </c>
      <c r="G130" t="s">
        <v>770</v>
      </c>
      <c r="H130" t="s">
        <v>771</v>
      </c>
      <c r="J130" t="s">
        <v>44</v>
      </c>
      <c r="K130" t="s">
        <v>45</v>
      </c>
      <c r="L130">
        <v>5</v>
      </c>
      <c r="M130" t="s">
        <v>759</v>
      </c>
      <c r="N130" t="s">
        <v>47</v>
      </c>
      <c r="O130" t="s">
        <v>48</v>
      </c>
      <c r="P130" t="s">
        <v>48</v>
      </c>
      <c r="Y130" t="s">
        <v>772</v>
      </c>
    </row>
    <row r="131" spans="1:25">
      <c r="A131" t="s">
        <v>773</v>
      </c>
      <c r="B131" t="s">
        <v>774</v>
      </c>
      <c r="D131" t="s">
        <v>40</v>
      </c>
      <c r="E131" t="s">
        <v>41</v>
      </c>
      <c r="G131" t="s">
        <v>775</v>
      </c>
      <c r="H131" t="s">
        <v>776</v>
      </c>
      <c r="J131" t="s">
        <v>90</v>
      </c>
      <c r="K131" t="s">
        <v>91</v>
      </c>
      <c r="L131">
        <v>5</v>
      </c>
      <c r="M131" t="s">
        <v>759</v>
      </c>
      <c r="N131" t="s">
        <v>47</v>
      </c>
      <c r="O131" t="s">
        <v>48</v>
      </c>
      <c r="P131" t="s">
        <v>48</v>
      </c>
      <c r="Y131" t="s">
        <v>777</v>
      </c>
    </row>
    <row r="132" spans="1:25">
      <c r="A132" t="s">
        <v>778</v>
      </c>
      <c r="B132" t="s">
        <v>779</v>
      </c>
      <c r="D132" t="s">
        <v>40</v>
      </c>
      <c r="E132" t="s">
        <v>41</v>
      </c>
      <c r="G132" t="s">
        <v>780</v>
      </c>
      <c r="H132" t="s">
        <v>781</v>
      </c>
      <c r="J132" t="s">
        <v>497</v>
      </c>
      <c r="K132" t="s">
        <v>498</v>
      </c>
      <c r="L132">
        <v>6</v>
      </c>
      <c r="M132" t="s">
        <v>782</v>
      </c>
      <c r="N132" t="s">
        <v>290</v>
      </c>
      <c r="O132" t="s">
        <v>48</v>
      </c>
      <c r="P132" t="s">
        <v>48</v>
      </c>
      <c r="Y132" t="s">
        <v>783</v>
      </c>
    </row>
    <row r="133" spans="1:25">
      <c r="A133" t="s">
        <v>784</v>
      </c>
      <c r="B133" t="s">
        <v>785</v>
      </c>
      <c r="D133" t="s">
        <v>40</v>
      </c>
      <c r="E133" t="s">
        <v>41</v>
      </c>
      <c r="G133" t="s">
        <v>786</v>
      </c>
      <c r="H133" t="s">
        <v>787</v>
      </c>
      <c r="J133" t="s">
        <v>78</v>
      </c>
      <c r="K133" t="s">
        <v>79</v>
      </c>
      <c r="L133">
        <v>5</v>
      </c>
      <c r="M133" t="s">
        <v>788</v>
      </c>
      <c r="N133" t="s">
        <v>47</v>
      </c>
      <c r="O133" t="s">
        <v>48</v>
      </c>
      <c r="P133" t="s">
        <v>48</v>
      </c>
      <c r="Y133" t="s">
        <v>789</v>
      </c>
    </row>
    <row r="134" spans="1:25">
      <c r="A134" t="s">
        <v>790</v>
      </c>
      <c r="B134" t="s">
        <v>791</v>
      </c>
      <c r="D134" t="s">
        <v>40</v>
      </c>
      <c r="E134" t="s">
        <v>41</v>
      </c>
      <c r="G134" t="s">
        <v>792</v>
      </c>
      <c r="H134" t="s">
        <v>793</v>
      </c>
      <c r="J134" t="s">
        <v>90</v>
      </c>
      <c r="K134" t="s">
        <v>91</v>
      </c>
      <c r="L134">
        <v>5</v>
      </c>
      <c r="M134" t="s">
        <v>794</v>
      </c>
      <c r="N134" t="s">
        <v>47</v>
      </c>
      <c r="O134" t="s">
        <v>48</v>
      </c>
      <c r="P134" t="s">
        <v>48</v>
      </c>
      <c r="Y134" t="s">
        <v>795</v>
      </c>
    </row>
    <row r="135" spans="1:25">
      <c r="A135" t="s">
        <v>796</v>
      </c>
      <c r="B135" t="s">
        <v>797</v>
      </c>
      <c r="D135" t="s">
        <v>40</v>
      </c>
      <c r="E135" t="s">
        <v>41</v>
      </c>
      <c r="G135" t="s">
        <v>798</v>
      </c>
      <c r="H135" t="s">
        <v>799</v>
      </c>
      <c r="J135" t="s">
        <v>353</v>
      </c>
      <c r="K135" t="s">
        <v>354</v>
      </c>
      <c r="L135">
        <v>7</v>
      </c>
      <c r="M135" t="s">
        <v>800</v>
      </c>
      <c r="N135" t="s">
        <v>290</v>
      </c>
      <c r="O135" t="s">
        <v>48</v>
      </c>
      <c r="P135" t="s">
        <v>48</v>
      </c>
      <c r="Y135" t="s">
        <v>801</v>
      </c>
    </row>
    <row r="136" spans="1:25">
      <c r="A136" t="s">
        <v>802</v>
      </c>
      <c r="B136" t="s">
        <v>803</v>
      </c>
      <c r="D136" t="s">
        <v>40</v>
      </c>
      <c r="E136" t="s">
        <v>41</v>
      </c>
      <c r="G136" t="s">
        <v>804</v>
      </c>
      <c r="H136" t="s">
        <v>805</v>
      </c>
      <c r="J136" t="s">
        <v>54</v>
      </c>
      <c r="K136" t="s">
        <v>55</v>
      </c>
      <c r="L136">
        <v>5</v>
      </c>
      <c r="M136" t="s">
        <v>806</v>
      </c>
      <c r="N136" t="s">
        <v>47</v>
      </c>
      <c r="O136" t="s">
        <v>48</v>
      </c>
      <c r="P136" t="s">
        <v>48</v>
      </c>
      <c r="Y136" t="s">
        <v>807</v>
      </c>
    </row>
    <row r="137" spans="1:25">
      <c r="A137" t="s">
        <v>808</v>
      </c>
      <c r="B137" t="s">
        <v>809</v>
      </c>
      <c r="D137" t="s">
        <v>40</v>
      </c>
      <c r="E137" t="s">
        <v>41</v>
      </c>
      <c r="G137" t="s">
        <v>810</v>
      </c>
      <c r="H137" t="s">
        <v>811</v>
      </c>
      <c r="J137" t="s">
        <v>54</v>
      </c>
      <c r="K137" t="s">
        <v>55</v>
      </c>
      <c r="L137">
        <v>5</v>
      </c>
      <c r="M137" t="s">
        <v>806</v>
      </c>
      <c r="N137" t="s">
        <v>47</v>
      </c>
      <c r="O137" t="s">
        <v>48</v>
      </c>
      <c r="P137" t="s">
        <v>48</v>
      </c>
      <c r="Y137" t="s">
        <v>812</v>
      </c>
    </row>
    <row r="138" spans="1:25">
      <c r="A138" t="s">
        <v>813</v>
      </c>
      <c r="B138" t="s">
        <v>814</v>
      </c>
      <c r="D138" t="s">
        <v>40</v>
      </c>
      <c r="E138" t="s">
        <v>41</v>
      </c>
      <c r="G138" t="s">
        <v>815</v>
      </c>
      <c r="H138" t="s">
        <v>816</v>
      </c>
      <c r="J138" t="s">
        <v>90</v>
      </c>
      <c r="K138" t="s">
        <v>91</v>
      </c>
      <c r="L138">
        <v>5</v>
      </c>
      <c r="M138" t="s">
        <v>806</v>
      </c>
      <c r="N138" t="s">
        <v>47</v>
      </c>
      <c r="O138" t="s">
        <v>48</v>
      </c>
      <c r="P138" t="s">
        <v>48</v>
      </c>
      <c r="Y138" t="s">
        <v>817</v>
      </c>
    </row>
    <row r="139" spans="1:25">
      <c r="A139" t="s">
        <v>818</v>
      </c>
      <c r="B139" t="s">
        <v>819</v>
      </c>
      <c r="D139" t="s">
        <v>40</v>
      </c>
      <c r="E139" t="s">
        <v>41</v>
      </c>
      <c r="G139" t="s">
        <v>820</v>
      </c>
      <c r="H139" t="s">
        <v>821</v>
      </c>
      <c r="J139" t="s">
        <v>54</v>
      </c>
      <c r="K139" t="s">
        <v>55</v>
      </c>
      <c r="L139">
        <v>5</v>
      </c>
      <c r="M139" t="s">
        <v>822</v>
      </c>
      <c r="N139" t="s">
        <v>47</v>
      </c>
      <c r="O139" t="s">
        <v>48</v>
      </c>
      <c r="P139" t="s">
        <v>48</v>
      </c>
      <c r="Y139" t="s">
        <v>823</v>
      </c>
    </row>
    <row r="140" spans="1:25">
      <c r="A140" t="s">
        <v>824</v>
      </c>
      <c r="B140" t="s">
        <v>825</v>
      </c>
      <c r="D140" t="s">
        <v>40</v>
      </c>
      <c r="E140" t="s">
        <v>41</v>
      </c>
      <c r="G140" t="s">
        <v>826</v>
      </c>
      <c r="H140" t="s">
        <v>827</v>
      </c>
      <c r="J140" t="s">
        <v>90</v>
      </c>
      <c r="K140" t="s">
        <v>91</v>
      </c>
      <c r="L140">
        <v>5</v>
      </c>
      <c r="M140" t="s">
        <v>828</v>
      </c>
      <c r="N140" t="s">
        <v>47</v>
      </c>
      <c r="O140" t="s">
        <v>48</v>
      </c>
      <c r="P140" t="s">
        <v>48</v>
      </c>
      <c r="Y140" t="s">
        <v>829</v>
      </c>
    </row>
    <row r="141" spans="1:25">
      <c r="A141" t="s">
        <v>830</v>
      </c>
      <c r="B141" t="s">
        <v>831</v>
      </c>
      <c r="D141" t="s">
        <v>40</v>
      </c>
      <c r="E141" t="s">
        <v>41</v>
      </c>
      <c r="G141" t="s">
        <v>832</v>
      </c>
      <c r="H141" t="s">
        <v>833</v>
      </c>
      <c r="J141" t="s">
        <v>90</v>
      </c>
      <c r="K141" t="s">
        <v>91</v>
      </c>
      <c r="L141">
        <v>5</v>
      </c>
      <c r="M141" t="s">
        <v>828</v>
      </c>
      <c r="N141" t="s">
        <v>47</v>
      </c>
      <c r="O141" t="s">
        <v>48</v>
      </c>
      <c r="P141" t="s">
        <v>48</v>
      </c>
      <c r="Y141" t="s">
        <v>834</v>
      </c>
    </row>
    <row r="142" spans="1:25">
      <c r="A142" t="s">
        <v>835</v>
      </c>
      <c r="B142" t="s">
        <v>836</v>
      </c>
      <c r="D142" t="s">
        <v>40</v>
      </c>
      <c r="E142" t="s">
        <v>41</v>
      </c>
      <c r="G142" t="s">
        <v>837</v>
      </c>
      <c r="H142" t="s">
        <v>838</v>
      </c>
      <c r="J142" t="s">
        <v>353</v>
      </c>
      <c r="K142" t="s">
        <v>354</v>
      </c>
      <c r="L142">
        <v>5</v>
      </c>
      <c r="M142" t="s">
        <v>828</v>
      </c>
      <c r="N142" t="s">
        <v>135</v>
      </c>
      <c r="O142" t="s">
        <v>48</v>
      </c>
      <c r="P142" t="s">
        <v>48</v>
      </c>
      <c r="Y142" t="s">
        <v>839</v>
      </c>
    </row>
    <row r="143" spans="1:25">
      <c r="A143" t="s">
        <v>840</v>
      </c>
      <c r="B143" t="s">
        <v>841</v>
      </c>
      <c r="D143" t="s">
        <v>40</v>
      </c>
      <c r="E143" t="s">
        <v>41</v>
      </c>
      <c r="G143" t="s">
        <v>842</v>
      </c>
      <c r="H143" t="s">
        <v>843</v>
      </c>
      <c r="J143" t="s">
        <v>133</v>
      </c>
      <c r="K143" t="s">
        <v>134</v>
      </c>
      <c r="L143">
        <v>5</v>
      </c>
      <c r="M143" t="s">
        <v>844</v>
      </c>
      <c r="N143" t="s">
        <v>135</v>
      </c>
      <c r="O143" t="s">
        <v>48</v>
      </c>
      <c r="P143" t="s">
        <v>48</v>
      </c>
      <c r="Y143" t="s">
        <v>845</v>
      </c>
    </row>
    <row r="144" spans="1:25">
      <c r="A144" t="s">
        <v>846</v>
      </c>
      <c r="B144" t="s">
        <v>847</v>
      </c>
      <c r="D144" t="s">
        <v>40</v>
      </c>
      <c r="E144" t="s">
        <v>41</v>
      </c>
      <c r="G144" t="s">
        <v>848</v>
      </c>
      <c r="H144" t="s">
        <v>106</v>
      </c>
      <c r="J144" t="s">
        <v>44</v>
      </c>
      <c r="K144" t="s">
        <v>45</v>
      </c>
      <c r="L144">
        <v>5</v>
      </c>
      <c r="M144" t="s">
        <v>849</v>
      </c>
      <c r="N144" t="s">
        <v>47</v>
      </c>
      <c r="O144" t="s">
        <v>48</v>
      </c>
      <c r="P144" t="s">
        <v>48</v>
      </c>
      <c r="Y144" t="s">
        <v>850</v>
      </c>
    </row>
    <row r="145" spans="1:25">
      <c r="A145" t="s">
        <v>851</v>
      </c>
      <c r="B145" t="s">
        <v>852</v>
      </c>
      <c r="D145" t="s">
        <v>40</v>
      </c>
      <c r="E145" t="s">
        <v>41</v>
      </c>
      <c r="G145" t="s">
        <v>853</v>
      </c>
      <c r="H145" t="s">
        <v>854</v>
      </c>
      <c r="J145" t="s">
        <v>54</v>
      </c>
      <c r="K145" t="s">
        <v>55</v>
      </c>
      <c r="L145">
        <v>5</v>
      </c>
      <c r="M145" t="s">
        <v>855</v>
      </c>
      <c r="N145" t="s">
        <v>47</v>
      </c>
      <c r="O145" t="s">
        <v>48</v>
      </c>
      <c r="P145" t="s">
        <v>48</v>
      </c>
      <c r="Y145" t="s">
        <v>856</v>
      </c>
    </row>
    <row r="146" spans="1:25">
      <c r="A146" t="s">
        <v>857</v>
      </c>
      <c r="B146" t="s">
        <v>858</v>
      </c>
      <c r="D146" t="s">
        <v>40</v>
      </c>
      <c r="E146" t="s">
        <v>41</v>
      </c>
      <c r="G146" t="s">
        <v>474</v>
      </c>
      <c r="H146" t="s">
        <v>429</v>
      </c>
      <c r="J146" t="s">
        <v>44</v>
      </c>
      <c r="K146" t="s">
        <v>45</v>
      </c>
      <c r="L146">
        <v>5</v>
      </c>
      <c r="M146" t="s">
        <v>859</v>
      </c>
      <c r="N146" t="s">
        <v>47</v>
      </c>
      <c r="O146" t="s">
        <v>48</v>
      </c>
      <c r="P146" t="s">
        <v>48</v>
      </c>
      <c r="Y146" t="s">
        <v>860</v>
      </c>
    </row>
    <row r="147" spans="1:25">
      <c r="A147" t="s">
        <v>861</v>
      </c>
      <c r="B147" t="s">
        <v>862</v>
      </c>
      <c r="D147" t="s">
        <v>40</v>
      </c>
      <c r="E147" t="s">
        <v>41</v>
      </c>
      <c r="G147" t="s">
        <v>863</v>
      </c>
      <c r="H147" t="s">
        <v>864</v>
      </c>
      <c r="J147" t="s">
        <v>90</v>
      </c>
      <c r="K147" t="s">
        <v>91</v>
      </c>
      <c r="L147">
        <v>5</v>
      </c>
      <c r="M147" t="s">
        <v>865</v>
      </c>
      <c r="N147" t="s">
        <v>47</v>
      </c>
      <c r="O147" t="s">
        <v>48</v>
      </c>
      <c r="P147" t="s">
        <v>48</v>
      </c>
      <c r="Y147" t="s">
        <v>866</v>
      </c>
    </row>
    <row r="148" spans="1:25">
      <c r="A148" t="s">
        <v>867</v>
      </c>
      <c r="B148" t="s">
        <v>868</v>
      </c>
      <c r="D148" t="s">
        <v>40</v>
      </c>
      <c r="E148" t="s">
        <v>41</v>
      </c>
      <c r="G148" t="s">
        <v>869</v>
      </c>
      <c r="H148" t="s">
        <v>870</v>
      </c>
      <c r="J148" t="s">
        <v>54</v>
      </c>
      <c r="K148" t="s">
        <v>55</v>
      </c>
      <c r="L148">
        <v>5</v>
      </c>
      <c r="M148" t="s">
        <v>871</v>
      </c>
      <c r="N148" t="s">
        <v>47</v>
      </c>
      <c r="O148" t="s">
        <v>48</v>
      </c>
      <c r="P148" t="s">
        <v>48</v>
      </c>
      <c r="Y148" t="s">
        <v>872</v>
      </c>
    </row>
    <row r="149" spans="1:25">
      <c r="A149" t="s">
        <v>873</v>
      </c>
      <c r="B149" t="s">
        <v>874</v>
      </c>
      <c r="D149" t="s">
        <v>40</v>
      </c>
      <c r="E149" t="s">
        <v>41</v>
      </c>
      <c r="G149" t="s">
        <v>875</v>
      </c>
      <c r="H149" t="s">
        <v>876</v>
      </c>
      <c r="J149" t="s">
        <v>90</v>
      </c>
      <c r="K149" t="s">
        <v>91</v>
      </c>
      <c r="L149">
        <v>5</v>
      </c>
      <c r="M149" t="s">
        <v>877</v>
      </c>
      <c r="N149" t="s">
        <v>47</v>
      </c>
      <c r="O149" t="s">
        <v>48</v>
      </c>
      <c r="P149" t="s">
        <v>48</v>
      </c>
      <c r="Y149" t="s">
        <v>878</v>
      </c>
    </row>
    <row r="150" spans="1:25">
      <c r="A150" t="s">
        <v>879</v>
      </c>
      <c r="B150" t="s">
        <v>880</v>
      </c>
      <c r="D150" t="s">
        <v>40</v>
      </c>
      <c r="E150" t="s">
        <v>41</v>
      </c>
      <c r="G150" t="s">
        <v>881</v>
      </c>
      <c r="H150" t="s">
        <v>882</v>
      </c>
      <c r="J150" t="s">
        <v>44</v>
      </c>
      <c r="K150" t="s">
        <v>45</v>
      </c>
      <c r="L150">
        <v>5</v>
      </c>
      <c r="M150" t="s">
        <v>877</v>
      </c>
      <c r="N150" t="s">
        <v>47</v>
      </c>
      <c r="O150" t="s">
        <v>48</v>
      </c>
      <c r="P150" t="s">
        <v>48</v>
      </c>
      <c r="Y150" t="s">
        <v>883</v>
      </c>
    </row>
    <row r="151" spans="1:25">
      <c r="A151" t="s">
        <v>884</v>
      </c>
      <c r="B151" t="s">
        <v>885</v>
      </c>
      <c r="D151" t="s">
        <v>40</v>
      </c>
      <c r="E151" t="s">
        <v>41</v>
      </c>
      <c r="G151" t="s">
        <v>886</v>
      </c>
      <c r="H151" t="s">
        <v>887</v>
      </c>
      <c r="J151" t="s">
        <v>90</v>
      </c>
      <c r="K151" t="s">
        <v>91</v>
      </c>
      <c r="L151">
        <v>5</v>
      </c>
      <c r="M151" t="s">
        <v>877</v>
      </c>
      <c r="N151" t="s">
        <v>47</v>
      </c>
      <c r="O151" t="s">
        <v>48</v>
      </c>
      <c r="P151" t="s">
        <v>48</v>
      </c>
      <c r="Y151" t="s">
        <v>888</v>
      </c>
    </row>
    <row r="152" spans="1:25">
      <c r="A152" t="s">
        <v>889</v>
      </c>
      <c r="B152" t="s">
        <v>890</v>
      </c>
      <c r="D152" t="s">
        <v>40</v>
      </c>
      <c r="E152" t="s">
        <v>41</v>
      </c>
      <c r="G152" t="s">
        <v>891</v>
      </c>
      <c r="H152" t="s">
        <v>892</v>
      </c>
      <c r="J152" t="s">
        <v>54</v>
      </c>
      <c r="K152" t="s">
        <v>55</v>
      </c>
      <c r="L152">
        <v>5</v>
      </c>
      <c r="M152" t="s">
        <v>877</v>
      </c>
      <c r="N152" t="s">
        <v>47</v>
      </c>
      <c r="O152" t="s">
        <v>48</v>
      </c>
      <c r="P152" t="s">
        <v>48</v>
      </c>
      <c r="Y152" t="s">
        <v>893</v>
      </c>
    </row>
    <row r="153" spans="1:25">
      <c r="A153" t="s">
        <v>894</v>
      </c>
      <c r="B153" t="s">
        <v>895</v>
      </c>
      <c r="D153" t="s">
        <v>40</v>
      </c>
      <c r="E153" t="s">
        <v>41</v>
      </c>
      <c r="G153" t="s">
        <v>896</v>
      </c>
      <c r="H153" t="s">
        <v>897</v>
      </c>
      <c r="J153" t="s">
        <v>54</v>
      </c>
      <c r="K153" t="s">
        <v>55</v>
      </c>
      <c r="L153">
        <v>5</v>
      </c>
      <c r="M153" t="s">
        <v>898</v>
      </c>
      <c r="N153" t="s">
        <v>47</v>
      </c>
      <c r="O153" t="s">
        <v>48</v>
      </c>
      <c r="P153" t="s">
        <v>48</v>
      </c>
      <c r="Y153" t="s">
        <v>899</v>
      </c>
    </row>
    <row r="154" spans="1:25">
      <c r="A154" t="s">
        <v>900</v>
      </c>
      <c r="B154" t="s">
        <v>901</v>
      </c>
      <c r="D154" t="s">
        <v>40</v>
      </c>
      <c r="E154" t="s">
        <v>41</v>
      </c>
      <c r="G154" t="s">
        <v>902</v>
      </c>
      <c r="H154" t="s">
        <v>903</v>
      </c>
      <c r="J154" t="s">
        <v>44</v>
      </c>
      <c r="K154" t="s">
        <v>45</v>
      </c>
      <c r="L154">
        <v>5</v>
      </c>
      <c r="M154" t="s">
        <v>904</v>
      </c>
      <c r="N154" t="s">
        <v>47</v>
      </c>
      <c r="O154" t="s">
        <v>48</v>
      </c>
      <c r="P154" t="s">
        <v>48</v>
      </c>
      <c r="Y154" t="s">
        <v>905</v>
      </c>
    </row>
    <row r="155" spans="1:25">
      <c r="A155" t="s">
        <v>906</v>
      </c>
      <c r="B155" t="s">
        <v>907</v>
      </c>
      <c r="D155" t="s">
        <v>40</v>
      </c>
      <c r="E155" t="s">
        <v>41</v>
      </c>
      <c r="G155" t="s">
        <v>908</v>
      </c>
      <c r="H155" t="s">
        <v>909</v>
      </c>
      <c r="J155" t="s">
        <v>90</v>
      </c>
      <c r="K155" t="s">
        <v>91</v>
      </c>
      <c r="L155">
        <v>5</v>
      </c>
      <c r="M155" t="s">
        <v>910</v>
      </c>
      <c r="N155" t="s">
        <v>47</v>
      </c>
      <c r="O155" t="s">
        <v>48</v>
      </c>
      <c r="P155" t="s">
        <v>48</v>
      </c>
      <c r="Y155" t="s">
        <v>911</v>
      </c>
    </row>
    <row r="156" spans="1:25">
      <c r="A156" t="s">
        <v>912</v>
      </c>
      <c r="B156" t="s">
        <v>913</v>
      </c>
      <c r="D156" t="s">
        <v>40</v>
      </c>
      <c r="E156" t="s">
        <v>41</v>
      </c>
      <c r="G156" t="s">
        <v>914</v>
      </c>
      <c r="H156" t="s">
        <v>915</v>
      </c>
      <c r="J156" t="s">
        <v>44</v>
      </c>
      <c r="K156" t="s">
        <v>45</v>
      </c>
      <c r="L156">
        <v>5</v>
      </c>
      <c r="M156" t="s">
        <v>916</v>
      </c>
      <c r="N156" t="s">
        <v>47</v>
      </c>
      <c r="O156" t="s">
        <v>48</v>
      </c>
      <c r="P156" t="s">
        <v>48</v>
      </c>
      <c r="Y156" t="s">
        <v>917</v>
      </c>
    </row>
    <row r="157" spans="1:25">
      <c r="A157" t="s">
        <v>918</v>
      </c>
      <c r="B157" t="s">
        <v>919</v>
      </c>
      <c r="D157" t="s">
        <v>40</v>
      </c>
      <c r="E157" t="s">
        <v>41</v>
      </c>
      <c r="G157" t="s">
        <v>920</v>
      </c>
      <c r="H157" t="s">
        <v>921</v>
      </c>
      <c r="J157" t="s">
        <v>78</v>
      </c>
      <c r="K157" t="s">
        <v>79</v>
      </c>
      <c r="L157">
        <v>5</v>
      </c>
      <c r="M157" t="s">
        <v>916</v>
      </c>
      <c r="N157" t="s">
        <v>47</v>
      </c>
      <c r="O157" t="s">
        <v>48</v>
      </c>
      <c r="P157" t="s">
        <v>48</v>
      </c>
      <c r="Y157" t="s">
        <v>922</v>
      </c>
    </row>
    <row r="158" spans="1:25">
      <c r="A158" t="s">
        <v>923</v>
      </c>
      <c r="B158" t="s">
        <v>924</v>
      </c>
      <c r="D158" t="s">
        <v>40</v>
      </c>
      <c r="E158" t="s">
        <v>41</v>
      </c>
      <c r="G158" t="s">
        <v>925</v>
      </c>
      <c r="H158" t="s">
        <v>926</v>
      </c>
      <c r="J158" t="s">
        <v>927</v>
      </c>
      <c r="K158" t="s">
        <v>928</v>
      </c>
      <c r="L158">
        <v>5</v>
      </c>
      <c r="M158" t="s">
        <v>916</v>
      </c>
      <c r="N158" t="s">
        <v>135</v>
      </c>
      <c r="O158" t="s">
        <v>48</v>
      </c>
      <c r="P158" t="s">
        <v>48</v>
      </c>
      <c r="Y158" t="s">
        <v>929</v>
      </c>
    </row>
    <row r="159" spans="1:25">
      <c r="A159" t="s">
        <v>930</v>
      </c>
      <c r="B159" t="s">
        <v>931</v>
      </c>
      <c r="D159" t="s">
        <v>40</v>
      </c>
      <c r="E159" t="s">
        <v>41</v>
      </c>
      <c r="G159" t="s">
        <v>932</v>
      </c>
      <c r="H159" t="s">
        <v>933</v>
      </c>
      <c r="J159" t="s">
        <v>90</v>
      </c>
      <c r="K159" t="s">
        <v>91</v>
      </c>
      <c r="L159">
        <v>5</v>
      </c>
      <c r="M159" t="s">
        <v>934</v>
      </c>
      <c r="N159" t="s">
        <v>47</v>
      </c>
      <c r="O159" t="s">
        <v>48</v>
      </c>
      <c r="P159" t="s">
        <v>48</v>
      </c>
      <c r="Y159" t="s">
        <v>935</v>
      </c>
    </row>
    <row r="160" spans="1:25">
      <c r="A160" t="s">
        <v>936</v>
      </c>
      <c r="B160" t="s">
        <v>937</v>
      </c>
      <c r="D160" t="s">
        <v>40</v>
      </c>
      <c r="E160" t="s">
        <v>41</v>
      </c>
      <c r="G160" t="s">
        <v>938</v>
      </c>
      <c r="H160" t="s">
        <v>939</v>
      </c>
      <c r="J160" t="s">
        <v>44</v>
      </c>
      <c r="K160" t="s">
        <v>45</v>
      </c>
      <c r="L160">
        <v>5</v>
      </c>
      <c r="M160" t="s">
        <v>940</v>
      </c>
      <c r="N160" t="s">
        <v>47</v>
      </c>
      <c r="O160" t="s">
        <v>48</v>
      </c>
      <c r="P160" t="s">
        <v>48</v>
      </c>
      <c r="Y160" t="s">
        <v>941</v>
      </c>
    </row>
    <row r="161" spans="1:25">
      <c r="A161" t="s">
        <v>942</v>
      </c>
      <c r="B161" t="s">
        <v>943</v>
      </c>
      <c r="D161" t="s">
        <v>40</v>
      </c>
      <c r="E161" t="s">
        <v>41</v>
      </c>
      <c r="G161" t="s">
        <v>944</v>
      </c>
      <c r="H161" t="s">
        <v>360</v>
      </c>
      <c r="J161" t="s">
        <v>90</v>
      </c>
      <c r="K161" t="s">
        <v>91</v>
      </c>
      <c r="L161">
        <v>5</v>
      </c>
      <c r="M161" t="s">
        <v>945</v>
      </c>
      <c r="N161" t="s">
        <v>47</v>
      </c>
      <c r="O161" t="s">
        <v>48</v>
      </c>
      <c r="P161" t="s">
        <v>48</v>
      </c>
      <c r="Y161" t="s">
        <v>946</v>
      </c>
    </row>
    <row r="162" spans="1:25">
      <c r="A162" t="s">
        <v>947</v>
      </c>
      <c r="B162" t="s">
        <v>948</v>
      </c>
      <c r="D162" t="s">
        <v>40</v>
      </c>
      <c r="E162" t="s">
        <v>41</v>
      </c>
      <c r="G162" t="s">
        <v>949</v>
      </c>
      <c r="H162" t="s">
        <v>950</v>
      </c>
      <c r="J162" t="s">
        <v>353</v>
      </c>
      <c r="K162" t="s">
        <v>354</v>
      </c>
      <c r="L162">
        <v>5</v>
      </c>
      <c r="M162" t="s">
        <v>951</v>
      </c>
      <c r="N162" t="s">
        <v>135</v>
      </c>
      <c r="O162" t="s">
        <v>48</v>
      </c>
      <c r="P162" t="s">
        <v>48</v>
      </c>
      <c r="Y162" t="s">
        <v>952</v>
      </c>
    </row>
    <row r="163" spans="1:25">
      <c r="A163" t="s">
        <v>953</v>
      </c>
      <c r="B163" t="s">
        <v>954</v>
      </c>
      <c r="D163" t="s">
        <v>40</v>
      </c>
      <c r="E163" t="s">
        <v>41</v>
      </c>
      <c r="G163" t="s">
        <v>955</v>
      </c>
      <c r="H163" t="s">
        <v>956</v>
      </c>
      <c r="J163" t="s">
        <v>90</v>
      </c>
      <c r="K163" t="s">
        <v>91</v>
      </c>
      <c r="L163">
        <v>5</v>
      </c>
      <c r="M163" t="s">
        <v>957</v>
      </c>
      <c r="N163" t="s">
        <v>47</v>
      </c>
      <c r="O163" t="s">
        <v>48</v>
      </c>
      <c r="P163" t="s">
        <v>48</v>
      </c>
      <c r="Y163" t="s">
        <v>958</v>
      </c>
    </row>
    <row r="164" spans="1:25">
      <c r="A164" t="s">
        <v>959</v>
      </c>
      <c r="B164" t="s">
        <v>960</v>
      </c>
      <c r="D164" t="s">
        <v>40</v>
      </c>
      <c r="E164" t="s">
        <v>41</v>
      </c>
      <c r="G164" t="s">
        <v>961</v>
      </c>
      <c r="H164" t="s">
        <v>962</v>
      </c>
      <c r="J164" t="s">
        <v>90</v>
      </c>
      <c r="K164" t="s">
        <v>91</v>
      </c>
      <c r="L164">
        <v>5</v>
      </c>
      <c r="M164" t="s">
        <v>963</v>
      </c>
      <c r="N164" t="s">
        <v>47</v>
      </c>
      <c r="O164" t="s">
        <v>48</v>
      </c>
      <c r="P164" t="s">
        <v>48</v>
      </c>
      <c r="Y164" t="s">
        <v>964</v>
      </c>
    </row>
    <row r="165" spans="1:25">
      <c r="A165" t="s">
        <v>965</v>
      </c>
      <c r="B165" t="s">
        <v>966</v>
      </c>
      <c r="D165" t="s">
        <v>40</v>
      </c>
      <c r="E165" t="s">
        <v>41</v>
      </c>
      <c r="G165" t="s">
        <v>967</v>
      </c>
      <c r="H165" t="s">
        <v>968</v>
      </c>
      <c r="J165" t="s">
        <v>90</v>
      </c>
      <c r="K165" t="s">
        <v>91</v>
      </c>
      <c r="L165">
        <v>5</v>
      </c>
      <c r="M165" t="s">
        <v>969</v>
      </c>
      <c r="N165" t="s">
        <v>47</v>
      </c>
      <c r="O165" t="s">
        <v>48</v>
      </c>
      <c r="P165" t="s">
        <v>48</v>
      </c>
      <c r="Y165" t="s">
        <v>970</v>
      </c>
    </row>
    <row r="166" spans="1:25">
      <c r="A166" t="s">
        <v>971</v>
      </c>
      <c r="B166" t="s">
        <v>972</v>
      </c>
      <c r="D166" t="s">
        <v>40</v>
      </c>
      <c r="E166" t="s">
        <v>41</v>
      </c>
      <c r="G166" t="s">
        <v>973</v>
      </c>
      <c r="H166" t="s">
        <v>974</v>
      </c>
      <c r="J166" t="s">
        <v>90</v>
      </c>
      <c r="K166" t="s">
        <v>91</v>
      </c>
      <c r="L166">
        <v>5</v>
      </c>
      <c r="M166" t="s">
        <v>975</v>
      </c>
      <c r="N166" t="s">
        <v>47</v>
      </c>
      <c r="O166" t="s">
        <v>48</v>
      </c>
      <c r="P166" t="s">
        <v>48</v>
      </c>
      <c r="Y166" t="s">
        <v>976</v>
      </c>
    </row>
    <row r="167" spans="1:25">
      <c r="A167" t="s">
        <v>977</v>
      </c>
      <c r="B167" t="s">
        <v>978</v>
      </c>
      <c r="D167" t="s">
        <v>40</v>
      </c>
      <c r="E167" t="s">
        <v>41</v>
      </c>
      <c r="G167" t="s">
        <v>979</v>
      </c>
      <c r="H167" t="s">
        <v>980</v>
      </c>
      <c r="J167" t="s">
        <v>54</v>
      </c>
      <c r="K167" t="s">
        <v>55</v>
      </c>
      <c r="L167">
        <v>5</v>
      </c>
      <c r="M167" t="s">
        <v>981</v>
      </c>
      <c r="N167" t="s">
        <v>47</v>
      </c>
      <c r="O167" t="s">
        <v>48</v>
      </c>
      <c r="P167" t="s">
        <v>48</v>
      </c>
      <c r="Y167" t="s">
        <v>982</v>
      </c>
    </row>
    <row r="168" spans="1:25">
      <c r="A168" t="s">
        <v>983</v>
      </c>
      <c r="B168" t="s">
        <v>984</v>
      </c>
      <c r="D168" t="s">
        <v>40</v>
      </c>
      <c r="E168" t="s">
        <v>41</v>
      </c>
      <c r="G168" t="s">
        <v>810</v>
      </c>
      <c r="H168" t="s">
        <v>985</v>
      </c>
      <c r="J168" t="s">
        <v>44</v>
      </c>
      <c r="K168" t="s">
        <v>45</v>
      </c>
      <c r="L168">
        <v>5</v>
      </c>
      <c r="M168" t="s">
        <v>981</v>
      </c>
      <c r="N168" t="s">
        <v>47</v>
      </c>
      <c r="O168" t="s">
        <v>48</v>
      </c>
      <c r="P168" t="s">
        <v>48</v>
      </c>
      <c r="Y168" t="s">
        <v>986</v>
      </c>
    </row>
    <row r="169" spans="1:25">
      <c r="A169" t="s">
        <v>987</v>
      </c>
      <c r="B169" t="s">
        <v>988</v>
      </c>
      <c r="D169" t="s">
        <v>40</v>
      </c>
      <c r="E169" t="s">
        <v>41</v>
      </c>
      <c r="G169" t="s">
        <v>989</v>
      </c>
      <c r="H169" t="s">
        <v>990</v>
      </c>
      <c r="J169" t="s">
        <v>44</v>
      </c>
      <c r="K169" t="s">
        <v>45</v>
      </c>
      <c r="L169">
        <v>5</v>
      </c>
      <c r="M169" t="s">
        <v>981</v>
      </c>
      <c r="N169" t="s">
        <v>47</v>
      </c>
      <c r="O169" t="s">
        <v>48</v>
      </c>
      <c r="P169" t="s">
        <v>48</v>
      </c>
      <c r="Y169" t="s">
        <v>991</v>
      </c>
    </row>
    <row r="170" spans="1:25">
      <c r="A170" t="s">
        <v>992</v>
      </c>
      <c r="B170" t="s">
        <v>993</v>
      </c>
      <c r="D170" t="s">
        <v>40</v>
      </c>
      <c r="E170" t="s">
        <v>41</v>
      </c>
      <c r="G170" t="s">
        <v>994</v>
      </c>
      <c r="H170" t="s">
        <v>995</v>
      </c>
      <c r="J170" t="s">
        <v>234</v>
      </c>
      <c r="K170" t="s">
        <v>235</v>
      </c>
      <c r="L170">
        <v>5</v>
      </c>
      <c r="M170" t="s">
        <v>996</v>
      </c>
      <c r="N170" t="s">
        <v>47</v>
      </c>
      <c r="O170" t="s">
        <v>48</v>
      </c>
      <c r="P170" t="s">
        <v>48</v>
      </c>
      <c r="Y170" t="s">
        <v>997</v>
      </c>
    </row>
    <row r="171" spans="1:25">
      <c r="A171" t="s">
        <v>998</v>
      </c>
      <c r="B171" t="s">
        <v>999</v>
      </c>
      <c r="D171" t="s">
        <v>40</v>
      </c>
      <c r="E171" t="s">
        <v>41</v>
      </c>
      <c r="G171" t="s">
        <v>213</v>
      </c>
      <c r="H171" t="s">
        <v>1000</v>
      </c>
      <c r="J171" t="s">
        <v>371</v>
      </c>
      <c r="K171" t="s">
        <v>372</v>
      </c>
      <c r="L171">
        <v>5</v>
      </c>
      <c r="M171" t="s">
        <v>1001</v>
      </c>
      <c r="N171" t="s">
        <v>47</v>
      </c>
      <c r="O171" t="s">
        <v>48</v>
      </c>
      <c r="P171" t="s">
        <v>48</v>
      </c>
      <c r="Y171" t="s">
        <v>1002</v>
      </c>
    </row>
    <row r="172" spans="1:25">
      <c r="A172" t="s">
        <v>1003</v>
      </c>
      <c r="B172" t="s">
        <v>1004</v>
      </c>
      <c r="D172" t="s">
        <v>40</v>
      </c>
      <c r="E172" t="s">
        <v>41</v>
      </c>
      <c r="G172" t="s">
        <v>1005</v>
      </c>
      <c r="H172" t="s">
        <v>1006</v>
      </c>
      <c r="J172" t="s">
        <v>90</v>
      </c>
      <c r="K172" t="s">
        <v>91</v>
      </c>
      <c r="L172">
        <v>5</v>
      </c>
      <c r="M172" t="s">
        <v>1007</v>
      </c>
      <c r="N172" t="s">
        <v>47</v>
      </c>
      <c r="O172" t="s">
        <v>48</v>
      </c>
      <c r="P172" t="s">
        <v>48</v>
      </c>
      <c r="Y172" t="s">
        <v>1008</v>
      </c>
    </row>
    <row r="173" spans="1:25">
      <c r="A173" t="s">
        <v>1009</v>
      </c>
      <c r="B173" t="s">
        <v>1010</v>
      </c>
      <c r="D173" t="s">
        <v>40</v>
      </c>
      <c r="E173" t="s">
        <v>41</v>
      </c>
      <c r="G173" t="s">
        <v>1011</v>
      </c>
      <c r="H173" t="s">
        <v>1012</v>
      </c>
      <c r="J173" t="s">
        <v>133</v>
      </c>
      <c r="K173" t="s">
        <v>134</v>
      </c>
      <c r="L173">
        <v>5</v>
      </c>
      <c r="M173" t="s">
        <v>1013</v>
      </c>
      <c r="N173" t="s">
        <v>135</v>
      </c>
      <c r="O173" t="s">
        <v>48</v>
      </c>
      <c r="P173" t="s">
        <v>48</v>
      </c>
      <c r="Y173" t="s">
        <v>1014</v>
      </c>
    </row>
    <row r="174" spans="1:25">
      <c r="A174" t="s">
        <v>1015</v>
      </c>
      <c r="B174" t="s">
        <v>1016</v>
      </c>
      <c r="D174" t="s">
        <v>40</v>
      </c>
      <c r="E174" t="s">
        <v>41</v>
      </c>
      <c r="G174" t="s">
        <v>1017</v>
      </c>
      <c r="H174" t="s">
        <v>1018</v>
      </c>
      <c r="J174" t="s">
        <v>54</v>
      </c>
      <c r="K174" t="s">
        <v>55</v>
      </c>
      <c r="L174">
        <v>5</v>
      </c>
      <c r="M174" t="s">
        <v>1019</v>
      </c>
      <c r="N174" t="s">
        <v>47</v>
      </c>
      <c r="O174" t="s">
        <v>48</v>
      </c>
      <c r="P174" t="s">
        <v>48</v>
      </c>
      <c r="Y174" t="s">
        <v>1020</v>
      </c>
    </row>
    <row r="175" spans="1:25">
      <c r="A175" t="s">
        <v>1021</v>
      </c>
      <c r="B175" t="s">
        <v>1022</v>
      </c>
      <c r="D175" t="s">
        <v>40</v>
      </c>
      <c r="E175" t="s">
        <v>41</v>
      </c>
      <c r="G175" t="s">
        <v>1023</v>
      </c>
      <c r="H175" t="s">
        <v>1024</v>
      </c>
      <c r="J175" t="s">
        <v>90</v>
      </c>
      <c r="K175" t="s">
        <v>91</v>
      </c>
      <c r="L175">
        <v>5</v>
      </c>
      <c r="M175" t="s">
        <v>1025</v>
      </c>
      <c r="N175" t="s">
        <v>47</v>
      </c>
      <c r="O175" t="s">
        <v>48</v>
      </c>
      <c r="P175" t="s">
        <v>48</v>
      </c>
      <c r="Y175" t="s">
        <v>1026</v>
      </c>
    </row>
    <row r="176" spans="1:25">
      <c r="A176" t="s">
        <v>1027</v>
      </c>
      <c r="B176" t="s">
        <v>1028</v>
      </c>
      <c r="D176" t="s">
        <v>40</v>
      </c>
      <c r="E176" t="s">
        <v>41</v>
      </c>
      <c r="G176" t="s">
        <v>1029</v>
      </c>
      <c r="H176" t="s">
        <v>1030</v>
      </c>
      <c r="J176" t="s">
        <v>90</v>
      </c>
      <c r="K176" t="s">
        <v>91</v>
      </c>
      <c r="L176">
        <v>5</v>
      </c>
      <c r="M176" t="s">
        <v>1031</v>
      </c>
      <c r="N176" t="s">
        <v>47</v>
      </c>
      <c r="O176" t="s">
        <v>48</v>
      </c>
      <c r="P176" t="s">
        <v>48</v>
      </c>
      <c r="Y176" t="s">
        <v>1032</v>
      </c>
    </row>
    <row r="177" spans="1:25">
      <c r="A177" t="s">
        <v>1033</v>
      </c>
      <c r="B177" t="s">
        <v>1034</v>
      </c>
      <c r="D177" t="s">
        <v>40</v>
      </c>
      <c r="E177" t="s">
        <v>41</v>
      </c>
      <c r="G177" t="s">
        <v>1035</v>
      </c>
      <c r="H177" t="s">
        <v>1036</v>
      </c>
      <c r="J177" t="s">
        <v>90</v>
      </c>
      <c r="K177" t="s">
        <v>91</v>
      </c>
      <c r="L177">
        <v>5</v>
      </c>
      <c r="M177" t="s">
        <v>1037</v>
      </c>
      <c r="N177" t="s">
        <v>47</v>
      </c>
      <c r="O177" t="s">
        <v>48</v>
      </c>
      <c r="P177" t="s">
        <v>48</v>
      </c>
      <c r="Y177" t="s">
        <v>1038</v>
      </c>
    </row>
    <row r="178" spans="1:25">
      <c r="A178" t="s">
        <v>1039</v>
      </c>
      <c r="B178" t="s">
        <v>1040</v>
      </c>
      <c r="D178" t="s">
        <v>40</v>
      </c>
      <c r="E178" t="s">
        <v>41</v>
      </c>
      <c r="G178" t="s">
        <v>1041</v>
      </c>
      <c r="H178" t="s">
        <v>1042</v>
      </c>
      <c r="J178" t="s">
        <v>44</v>
      </c>
      <c r="K178" t="s">
        <v>45</v>
      </c>
      <c r="L178">
        <v>5</v>
      </c>
      <c r="M178" t="s">
        <v>1043</v>
      </c>
      <c r="N178" t="s">
        <v>47</v>
      </c>
      <c r="O178" t="s">
        <v>48</v>
      </c>
      <c r="P178" t="s">
        <v>48</v>
      </c>
      <c r="Y178" t="s">
        <v>1044</v>
      </c>
    </row>
    <row r="179" spans="1:25">
      <c r="A179" t="s">
        <v>1045</v>
      </c>
      <c r="B179" t="s">
        <v>1046</v>
      </c>
      <c r="D179" t="s">
        <v>40</v>
      </c>
      <c r="E179" t="s">
        <v>41</v>
      </c>
      <c r="G179" t="s">
        <v>1047</v>
      </c>
      <c r="H179" t="s">
        <v>1048</v>
      </c>
      <c r="J179" t="s">
        <v>44</v>
      </c>
      <c r="K179" t="s">
        <v>45</v>
      </c>
      <c r="L179">
        <v>5</v>
      </c>
      <c r="M179" t="s">
        <v>1049</v>
      </c>
      <c r="N179" t="s">
        <v>47</v>
      </c>
      <c r="O179" t="s">
        <v>48</v>
      </c>
      <c r="P179" t="s">
        <v>48</v>
      </c>
      <c r="Y179" t="s">
        <v>1050</v>
      </c>
    </row>
    <row r="180" spans="1:25">
      <c r="A180" t="s">
        <v>1051</v>
      </c>
      <c r="B180" t="s">
        <v>1052</v>
      </c>
      <c r="D180" t="s">
        <v>40</v>
      </c>
      <c r="E180" t="s">
        <v>41</v>
      </c>
      <c r="G180" t="s">
        <v>1053</v>
      </c>
      <c r="H180" t="s">
        <v>1054</v>
      </c>
      <c r="J180" t="s">
        <v>90</v>
      </c>
      <c r="K180" t="s">
        <v>91</v>
      </c>
      <c r="L180">
        <v>5</v>
      </c>
      <c r="M180" t="s">
        <v>1055</v>
      </c>
      <c r="N180" t="s">
        <v>47</v>
      </c>
      <c r="O180" t="s">
        <v>48</v>
      </c>
      <c r="P180" t="s">
        <v>48</v>
      </c>
      <c r="Y180" t="s">
        <v>1056</v>
      </c>
    </row>
    <row r="181" spans="1:25">
      <c r="A181" t="s">
        <v>1057</v>
      </c>
      <c r="B181" t="s">
        <v>1058</v>
      </c>
      <c r="D181" t="s">
        <v>40</v>
      </c>
      <c r="E181" t="s">
        <v>41</v>
      </c>
      <c r="G181" t="s">
        <v>1059</v>
      </c>
      <c r="H181" t="s">
        <v>1060</v>
      </c>
      <c r="J181" t="s">
        <v>44</v>
      </c>
      <c r="K181" t="s">
        <v>45</v>
      </c>
      <c r="L181">
        <v>5</v>
      </c>
      <c r="M181" t="s">
        <v>1061</v>
      </c>
      <c r="N181" t="s">
        <v>47</v>
      </c>
      <c r="O181" t="s">
        <v>48</v>
      </c>
      <c r="P181" t="s">
        <v>48</v>
      </c>
      <c r="Y181" t="s">
        <v>1062</v>
      </c>
    </row>
    <row r="182" spans="1:25">
      <c r="A182" t="s">
        <v>1063</v>
      </c>
      <c r="B182" t="s">
        <v>1064</v>
      </c>
      <c r="D182" t="s">
        <v>40</v>
      </c>
      <c r="E182" t="s">
        <v>41</v>
      </c>
      <c r="G182" t="s">
        <v>770</v>
      </c>
      <c r="H182" t="s">
        <v>1065</v>
      </c>
      <c r="J182" t="s">
        <v>54</v>
      </c>
      <c r="K182" t="s">
        <v>55</v>
      </c>
      <c r="L182">
        <v>5</v>
      </c>
      <c r="M182" t="s">
        <v>1066</v>
      </c>
      <c r="N182" t="s">
        <v>47</v>
      </c>
      <c r="O182" t="s">
        <v>48</v>
      </c>
      <c r="P182" t="s">
        <v>48</v>
      </c>
      <c r="Y182" t="s">
        <v>1067</v>
      </c>
    </row>
    <row r="183" spans="1:25">
      <c r="A183" t="s">
        <v>1068</v>
      </c>
      <c r="B183" t="s">
        <v>1069</v>
      </c>
      <c r="D183" t="s">
        <v>40</v>
      </c>
      <c r="E183" t="s">
        <v>41</v>
      </c>
      <c r="G183" t="s">
        <v>1070</v>
      </c>
      <c r="H183" t="s">
        <v>1071</v>
      </c>
      <c r="J183" t="s">
        <v>90</v>
      </c>
      <c r="K183" t="s">
        <v>91</v>
      </c>
      <c r="L183">
        <v>5</v>
      </c>
      <c r="M183" t="s">
        <v>1072</v>
      </c>
      <c r="N183" t="s">
        <v>47</v>
      </c>
      <c r="O183" t="s">
        <v>48</v>
      </c>
      <c r="P183" t="s">
        <v>48</v>
      </c>
      <c r="Y183" t="s">
        <v>1073</v>
      </c>
    </row>
    <row r="184" spans="1:25">
      <c r="A184" t="s">
        <v>1074</v>
      </c>
      <c r="B184" t="s">
        <v>1075</v>
      </c>
      <c r="D184" t="s">
        <v>40</v>
      </c>
      <c r="E184" t="s">
        <v>41</v>
      </c>
      <c r="G184" t="s">
        <v>1076</v>
      </c>
      <c r="H184" t="s">
        <v>1077</v>
      </c>
      <c r="J184" t="s">
        <v>44</v>
      </c>
      <c r="K184" t="s">
        <v>45</v>
      </c>
      <c r="L184">
        <v>5</v>
      </c>
      <c r="M184" t="s">
        <v>1078</v>
      </c>
      <c r="N184" t="s">
        <v>47</v>
      </c>
      <c r="O184" t="s">
        <v>48</v>
      </c>
      <c r="P184" t="s">
        <v>48</v>
      </c>
      <c r="Y184" t="s">
        <v>1079</v>
      </c>
    </row>
    <row r="185" spans="1:25">
      <c r="A185" t="s">
        <v>1080</v>
      </c>
      <c r="B185" t="s">
        <v>1081</v>
      </c>
      <c r="D185" t="s">
        <v>40</v>
      </c>
      <c r="E185" t="s">
        <v>41</v>
      </c>
      <c r="G185" t="s">
        <v>1082</v>
      </c>
      <c r="H185" t="s">
        <v>1083</v>
      </c>
      <c r="J185" t="s">
        <v>78</v>
      </c>
      <c r="K185" t="s">
        <v>79</v>
      </c>
      <c r="L185">
        <v>5</v>
      </c>
      <c r="M185" t="s">
        <v>1084</v>
      </c>
      <c r="N185" t="s">
        <v>47</v>
      </c>
      <c r="O185" t="s">
        <v>48</v>
      </c>
      <c r="P185" t="s">
        <v>48</v>
      </c>
      <c r="Y185" t="s">
        <v>1085</v>
      </c>
    </row>
    <row r="186" spans="1:25">
      <c r="A186" t="s">
        <v>1086</v>
      </c>
      <c r="B186" t="s">
        <v>1087</v>
      </c>
      <c r="D186" t="s">
        <v>40</v>
      </c>
      <c r="E186" t="s">
        <v>41</v>
      </c>
      <c r="G186" t="s">
        <v>1088</v>
      </c>
      <c r="H186" t="s">
        <v>1089</v>
      </c>
      <c r="J186" t="s">
        <v>44</v>
      </c>
      <c r="K186" t="s">
        <v>45</v>
      </c>
      <c r="L186">
        <v>5</v>
      </c>
      <c r="M186" t="s">
        <v>1090</v>
      </c>
      <c r="N186" t="s">
        <v>47</v>
      </c>
      <c r="O186" t="s">
        <v>48</v>
      </c>
      <c r="P186" t="s">
        <v>48</v>
      </c>
      <c r="Y186" t="s">
        <v>1091</v>
      </c>
    </row>
    <row r="187" spans="1:25">
      <c r="A187" t="s">
        <v>1092</v>
      </c>
      <c r="B187" t="s">
        <v>1093</v>
      </c>
      <c r="D187" t="s">
        <v>40</v>
      </c>
      <c r="E187" t="s">
        <v>41</v>
      </c>
      <c r="G187" t="s">
        <v>1094</v>
      </c>
      <c r="H187" t="s">
        <v>1095</v>
      </c>
      <c r="J187" t="s">
        <v>133</v>
      </c>
      <c r="K187" t="s">
        <v>134</v>
      </c>
      <c r="L187">
        <v>5</v>
      </c>
      <c r="M187" t="s">
        <v>1090</v>
      </c>
      <c r="N187" t="s">
        <v>135</v>
      </c>
      <c r="O187" t="s">
        <v>48</v>
      </c>
      <c r="P187" t="s">
        <v>48</v>
      </c>
      <c r="Y187" t="s">
        <v>1096</v>
      </c>
    </row>
    <row r="188" spans="1:25">
      <c r="A188" t="s">
        <v>1097</v>
      </c>
      <c r="B188" t="s">
        <v>1098</v>
      </c>
      <c r="D188" t="s">
        <v>40</v>
      </c>
      <c r="E188" t="s">
        <v>41</v>
      </c>
      <c r="G188" t="s">
        <v>1099</v>
      </c>
      <c r="H188" t="s">
        <v>1100</v>
      </c>
      <c r="J188" t="s">
        <v>371</v>
      </c>
      <c r="K188" t="s">
        <v>372</v>
      </c>
      <c r="L188">
        <v>5</v>
      </c>
      <c r="M188" t="s">
        <v>1101</v>
      </c>
      <c r="N188" t="s">
        <v>47</v>
      </c>
      <c r="O188" t="s">
        <v>48</v>
      </c>
      <c r="P188" t="s">
        <v>48</v>
      </c>
      <c r="Y188" t="s">
        <v>1102</v>
      </c>
    </row>
    <row r="189" spans="1:25">
      <c r="A189" t="s">
        <v>1103</v>
      </c>
      <c r="B189" t="s">
        <v>1104</v>
      </c>
      <c r="D189" t="s">
        <v>40</v>
      </c>
      <c r="E189" t="s">
        <v>41</v>
      </c>
      <c r="G189" t="s">
        <v>1105</v>
      </c>
      <c r="H189" t="s">
        <v>1106</v>
      </c>
      <c r="J189" t="s">
        <v>371</v>
      </c>
      <c r="K189" t="s">
        <v>372</v>
      </c>
      <c r="L189">
        <v>5</v>
      </c>
      <c r="M189" t="s">
        <v>1107</v>
      </c>
      <c r="N189" t="s">
        <v>47</v>
      </c>
      <c r="O189" t="s">
        <v>48</v>
      </c>
      <c r="P189" t="s">
        <v>48</v>
      </c>
      <c r="Y189" t="s">
        <v>1108</v>
      </c>
    </row>
    <row r="190" spans="1:25">
      <c r="A190" t="s">
        <v>1109</v>
      </c>
      <c r="B190" t="s">
        <v>1110</v>
      </c>
      <c r="D190" t="s">
        <v>40</v>
      </c>
      <c r="E190" t="s">
        <v>41</v>
      </c>
      <c r="G190" t="s">
        <v>1111</v>
      </c>
      <c r="H190" t="s">
        <v>1112</v>
      </c>
      <c r="J190" t="s">
        <v>78</v>
      </c>
      <c r="K190" t="s">
        <v>79</v>
      </c>
      <c r="L190">
        <v>5</v>
      </c>
      <c r="M190" t="s">
        <v>1107</v>
      </c>
      <c r="N190" t="s">
        <v>47</v>
      </c>
      <c r="O190" t="s">
        <v>48</v>
      </c>
      <c r="P190" t="s">
        <v>48</v>
      </c>
      <c r="Y190" t="s">
        <v>1113</v>
      </c>
    </row>
    <row r="191" spans="1:25">
      <c r="A191" t="s">
        <v>1114</v>
      </c>
      <c r="B191" t="s">
        <v>1115</v>
      </c>
      <c r="D191" t="s">
        <v>40</v>
      </c>
      <c r="E191" t="s">
        <v>41</v>
      </c>
      <c r="G191" t="s">
        <v>1116</v>
      </c>
      <c r="H191" t="s">
        <v>1117</v>
      </c>
      <c r="J191" t="s">
        <v>54</v>
      </c>
      <c r="K191" t="s">
        <v>55</v>
      </c>
      <c r="L191">
        <v>5</v>
      </c>
      <c r="M191" t="s">
        <v>1118</v>
      </c>
      <c r="N191" t="s">
        <v>47</v>
      </c>
      <c r="O191" t="s">
        <v>48</v>
      </c>
      <c r="P191" t="s">
        <v>48</v>
      </c>
      <c r="Y191" t="s">
        <v>1119</v>
      </c>
    </row>
    <row r="192" spans="1:25">
      <c r="A192" t="s">
        <v>1120</v>
      </c>
      <c r="B192" t="s">
        <v>1121</v>
      </c>
      <c r="D192" t="s">
        <v>40</v>
      </c>
      <c r="E192" t="s">
        <v>41</v>
      </c>
      <c r="G192" t="s">
        <v>1122</v>
      </c>
      <c r="H192" t="s">
        <v>1123</v>
      </c>
      <c r="J192" t="s">
        <v>44</v>
      </c>
      <c r="K192" t="s">
        <v>45</v>
      </c>
      <c r="L192">
        <v>5</v>
      </c>
      <c r="M192" t="s">
        <v>1118</v>
      </c>
      <c r="N192" t="s">
        <v>47</v>
      </c>
      <c r="O192" t="s">
        <v>48</v>
      </c>
      <c r="P192" t="s">
        <v>48</v>
      </c>
      <c r="Y192" t="s">
        <v>1124</v>
      </c>
    </row>
    <row r="193" spans="1:25">
      <c r="A193" t="s">
        <v>1125</v>
      </c>
      <c r="B193" t="s">
        <v>1126</v>
      </c>
      <c r="D193" t="s">
        <v>40</v>
      </c>
      <c r="E193" t="s">
        <v>41</v>
      </c>
      <c r="G193" t="s">
        <v>1127</v>
      </c>
      <c r="H193" t="s">
        <v>1128</v>
      </c>
      <c r="J193" t="s">
        <v>90</v>
      </c>
      <c r="K193" t="s">
        <v>91</v>
      </c>
      <c r="L193">
        <v>5</v>
      </c>
      <c r="M193" t="s">
        <v>1118</v>
      </c>
      <c r="N193" t="s">
        <v>47</v>
      </c>
      <c r="O193" t="s">
        <v>48</v>
      </c>
      <c r="P193" t="s">
        <v>48</v>
      </c>
      <c r="Y193" t="s">
        <v>1129</v>
      </c>
    </row>
    <row r="194" spans="1:25">
      <c r="A194" t="s">
        <v>1130</v>
      </c>
      <c r="B194" t="s">
        <v>1131</v>
      </c>
      <c r="D194" t="s">
        <v>40</v>
      </c>
      <c r="E194" t="s">
        <v>41</v>
      </c>
      <c r="G194" t="s">
        <v>1132</v>
      </c>
      <c r="H194" t="s">
        <v>1133</v>
      </c>
      <c r="J194" t="s">
        <v>44</v>
      </c>
      <c r="K194" t="s">
        <v>45</v>
      </c>
      <c r="L194">
        <v>5</v>
      </c>
      <c r="M194" t="s">
        <v>1134</v>
      </c>
      <c r="N194" t="s">
        <v>47</v>
      </c>
      <c r="O194" t="s">
        <v>48</v>
      </c>
      <c r="P194" t="s">
        <v>48</v>
      </c>
      <c r="Y194" t="s">
        <v>1135</v>
      </c>
    </row>
    <row r="195" spans="1:25">
      <c r="A195" t="s">
        <v>1136</v>
      </c>
      <c r="B195" t="s">
        <v>1137</v>
      </c>
      <c r="D195" t="s">
        <v>40</v>
      </c>
      <c r="E195" t="s">
        <v>41</v>
      </c>
      <c r="G195" t="s">
        <v>1138</v>
      </c>
      <c r="H195" t="s">
        <v>1139</v>
      </c>
      <c r="J195" t="s">
        <v>90</v>
      </c>
      <c r="K195" t="s">
        <v>91</v>
      </c>
      <c r="L195">
        <v>5</v>
      </c>
      <c r="M195" t="s">
        <v>1140</v>
      </c>
      <c r="N195" t="s">
        <v>47</v>
      </c>
      <c r="O195" t="s">
        <v>48</v>
      </c>
      <c r="P195" t="s">
        <v>48</v>
      </c>
      <c r="Y195" t="s">
        <v>1141</v>
      </c>
    </row>
    <row r="196" spans="1:25">
      <c r="A196" t="s">
        <v>1142</v>
      </c>
      <c r="B196" t="s">
        <v>1143</v>
      </c>
      <c r="D196" t="s">
        <v>40</v>
      </c>
      <c r="E196" t="s">
        <v>41</v>
      </c>
      <c r="G196" t="s">
        <v>1144</v>
      </c>
      <c r="H196" t="s">
        <v>1145</v>
      </c>
      <c r="J196" t="s">
        <v>44</v>
      </c>
      <c r="K196" t="s">
        <v>45</v>
      </c>
      <c r="L196">
        <v>5</v>
      </c>
      <c r="M196" t="s">
        <v>1140</v>
      </c>
      <c r="N196" t="s">
        <v>47</v>
      </c>
      <c r="O196" t="s">
        <v>48</v>
      </c>
      <c r="P196" t="s">
        <v>48</v>
      </c>
      <c r="Y196" t="s">
        <v>1146</v>
      </c>
    </row>
    <row r="197" spans="1:25">
      <c r="A197" t="s">
        <v>1147</v>
      </c>
      <c r="B197" t="s">
        <v>1148</v>
      </c>
      <c r="D197" t="s">
        <v>40</v>
      </c>
      <c r="E197" t="s">
        <v>41</v>
      </c>
      <c r="G197" t="s">
        <v>1149</v>
      </c>
      <c r="H197" t="s">
        <v>1150</v>
      </c>
      <c r="J197" t="s">
        <v>54</v>
      </c>
      <c r="K197" t="s">
        <v>55</v>
      </c>
      <c r="L197">
        <v>5</v>
      </c>
      <c r="M197" t="s">
        <v>1140</v>
      </c>
      <c r="N197" t="s">
        <v>47</v>
      </c>
      <c r="O197" t="s">
        <v>48</v>
      </c>
      <c r="P197" t="s">
        <v>48</v>
      </c>
      <c r="Y197" t="s">
        <v>1151</v>
      </c>
    </row>
    <row r="198" spans="1:25">
      <c r="A198" t="s">
        <v>1152</v>
      </c>
      <c r="B198" t="s">
        <v>1153</v>
      </c>
      <c r="D198" t="s">
        <v>40</v>
      </c>
      <c r="E198" t="s">
        <v>41</v>
      </c>
      <c r="G198" t="s">
        <v>1154</v>
      </c>
      <c r="H198" t="s">
        <v>1155</v>
      </c>
      <c r="J198" t="s">
        <v>371</v>
      </c>
      <c r="K198" t="s">
        <v>372</v>
      </c>
      <c r="L198">
        <v>5</v>
      </c>
      <c r="M198" t="s">
        <v>1140</v>
      </c>
      <c r="N198" t="s">
        <v>47</v>
      </c>
      <c r="O198" t="s">
        <v>48</v>
      </c>
      <c r="P198" t="s">
        <v>48</v>
      </c>
      <c r="Y198" t="s">
        <v>1156</v>
      </c>
    </row>
    <row r="199" spans="1:25">
      <c r="A199" t="s">
        <v>1157</v>
      </c>
      <c r="B199" t="s">
        <v>1158</v>
      </c>
      <c r="D199" t="s">
        <v>40</v>
      </c>
      <c r="E199" t="s">
        <v>41</v>
      </c>
      <c r="G199" t="s">
        <v>1159</v>
      </c>
      <c r="H199" t="s">
        <v>1160</v>
      </c>
      <c r="J199" t="s">
        <v>234</v>
      </c>
      <c r="K199" t="s">
        <v>235</v>
      </c>
      <c r="L199">
        <v>5</v>
      </c>
      <c r="M199" t="s">
        <v>1161</v>
      </c>
      <c r="N199" t="s">
        <v>47</v>
      </c>
      <c r="O199" t="s">
        <v>48</v>
      </c>
      <c r="P199" t="s">
        <v>48</v>
      </c>
      <c r="Y199" t="s">
        <v>1162</v>
      </c>
    </row>
    <row r="200" spans="1:25">
      <c r="A200" t="s">
        <v>1163</v>
      </c>
      <c r="B200" t="s">
        <v>1164</v>
      </c>
      <c r="D200" t="s">
        <v>40</v>
      </c>
      <c r="E200" t="s">
        <v>41</v>
      </c>
      <c r="G200" t="s">
        <v>1165</v>
      </c>
      <c r="H200" t="s">
        <v>1166</v>
      </c>
      <c r="J200" t="s">
        <v>78</v>
      </c>
      <c r="K200" t="s">
        <v>79</v>
      </c>
      <c r="L200">
        <v>5</v>
      </c>
      <c r="M200" t="s">
        <v>1167</v>
      </c>
      <c r="N200" t="s">
        <v>47</v>
      </c>
      <c r="O200" t="s">
        <v>48</v>
      </c>
      <c r="P200" t="s">
        <v>48</v>
      </c>
      <c r="Y200" t="s">
        <v>1168</v>
      </c>
    </row>
    <row r="201" spans="1:25">
      <c r="A201" t="s">
        <v>1169</v>
      </c>
      <c r="B201" t="s">
        <v>1170</v>
      </c>
      <c r="D201" t="s">
        <v>40</v>
      </c>
      <c r="E201" t="s">
        <v>41</v>
      </c>
      <c r="G201" t="s">
        <v>1171</v>
      </c>
      <c r="H201" t="s">
        <v>275</v>
      </c>
      <c r="J201" t="s">
        <v>54</v>
      </c>
      <c r="K201" t="s">
        <v>55</v>
      </c>
      <c r="L201">
        <v>5</v>
      </c>
      <c r="M201" t="s">
        <v>1172</v>
      </c>
      <c r="N201" t="s">
        <v>47</v>
      </c>
      <c r="O201" t="s">
        <v>48</v>
      </c>
      <c r="P201" t="s">
        <v>48</v>
      </c>
      <c r="Y201" t="s">
        <v>1173</v>
      </c>
    </row>
    <row r="202" spans="1:25">
      <c r="A202" t="s">
        <v>1174</v>
      </c>
      <c r="B202" t="s">
        <v>1175</v>
      </c>
      <c r="D202" t="s">
        <v>40</v>
      </c>
      <c r="E202" t="s">
        <v>41</v>
      </c>
      <c r="G202" t="s">
        <v>1176</v>
      </c>
      <c r="H202" t="s">
        <v>1177</v>
      </c>
      <c r="J202" t="s">
        <v>44</v>
      </c>
      <c r="K202" t="s">
        <v>45</v>
      </c>
      <c r="L202">
        <v>5</v>
      </c>
      <c r="M202" t="s">
        <v>1178</v>
      </c>
      <c r="N202" t="s">
        <v>47</v>
      </c>
      <c r="O202" t="s">
        <v>48</v>
      </c>
      <c r="P202" t="s">
        <v>48</v>
      </c>
      <c r="Y202" t="s">
        <v>1179</v>
      </c>
    </row>
    <row r="203" spans="1:25">
      <c r="A203" t="s">
        <v>1180</v>
      </c>
      <c r="B203" t="s">
        <v>1181</v>
      </c>
      <c r="D203" t="s">
        <v>40</v>
      </c>
      <c r="E203" t="s">
        <v>41</v>
      </c>
      <c r="G203" t="s">
        <v>1182</v>
      </c>
      <c r="H203" t="s">
        <v>1183</v>
      </c>
      <c r="J203" t="s">
        <v>54</v>
      </c>
      <c r="K203" t="s">
        <v>55</v>
      </c>
      <c r="L203">
        <v>5</v>
      </c>
      <c r="M203" t="s">
        <v>1184</v>
      </c>
      <c r="N203" t="s">
        <v>47</v>
      </c>
      <c r="O203" t="s">
        <v>48</v>
      </c>
      <c r="P203" t="s">
        <v>48</v>
      </c>
      <c r="Y203" t="s">
        <v>1185</v>
      </c>
    </row>
    <row r="204" spans="1:25">
      <c r="A204" t="s">
        <v>1186</v>
      </c>
      <c r="B204" t="s">
        <v>1187</v>
      </c>
      <c r="D204" t="s">
        <v>40</v>
      </c>
      <c r="E204" t="s">
        <v>41</v>
      </c>
      <c r="G204" t="s">
        <v>1188</v>
      </c>
      <c r="H204" t="s">
        <v>360</v>
      </c>
      <c r="J204" t="s">
        <v>44</v>
      </c>
      <c r="K204" t="s">
        <v>45</v>
      </c>
      <c r="L204">
        <v>5</v>
      </c>
      <c r="M204" t="s">
        <v>1184</v>
      </c>
      <c r="N204" t="s">
        <v>47</v>
      </c>
      <c r="O204" t="s">
        <v>48</v>
      </c>
      <c r="P204" t="s">
        <v>48</v>
      </c>
      <c r="Y204" t="s">
        <v>1189</v>
      </c>
    </row>
    <row r="205" spans="1:25">
      <c r="A205" t="s">
        <v>1190</v>
      </c>
      <c r="B205" t="s">
        <v>1191</v>
      </c>
      <c r="D205" t="s">
        <v>40</v>
      </c>
      <c r="E205" t="s">
        <v>41</v>
      </c>
      <c r="G205" t="s">
        <v>1192</v>
      </c>
      <c r="H205" t="s">
        <v>1193</v>
      </c>
      <c r="J205" t="s">
        <v>133</v>
      </c>
      <c r="K205" t="s">
        <v>134</v>
      </c>
      <c r="L205">
        <v>5</v>
      </c>
      <c r="M205" t="s">
        <v>1194</v>
      </c>
      <c r="N205" t="s">
        <v>135</v>
      </c>
      <c r="O205" t="s">
        <v>48</v>
      </c>
      <c r="P205" t="s">
        <v>48</v>
      </c>
      <c r="Y205" t="s">
        <v>1195</v>
      </c>
    </row>
    <row r="206" spans="1:25">
      <c r="A206" t="s">
        <v>1196</v>
      </c>
      <c r="B206" t="s">
        <v>1197</v>
      </c>
      <c r="D206" t="s">
        <v>40</v>
      </c>
      <c r="E206" t="s">
        <v>41</v>
      </c>
      <c r="G206" t="s">
        <v>1198</v>
      </c>
      <c r="H206" t="s">
        <v>1199</v>
      </c>
      <c r="J206" t="s">
        <v>44</v>
      </c>
      <c r="K206" t="s">
        <v>45</v>
      </c>
      <c r="L206">
        <v>5</v>
      </c>
      <c r="M206" t="s">
        <v>1194</v>
      </c>
      <c r="N206" t="s">
        <v>47</v>
      </c>
      <c r="O206" t="s">
        <v>48</v>
      </c>
      <c r="P206" t="s">
        <v>48</v>
      </c>
      <c r="Y206" t="s">
        <v>1200</v>
      </c>
    </row>
    <row r="207" spans="1:25">
      <c r="A207" t="s">
        <v>1201</v>
      </c>
      <c r="B207" t="s">
        <v>1202</v>
      </c>
      <c r="D207" t="s">
        <v>40</v>
      </c>
      <c r="E207" t="s">
        <v>41</v>
      </c>
      <c r="G207" t="s">
        <v>1203</v>
      </c>
      <c r="H207" t="s">
        <v>1204</v>
      </c>
      <c r="J207" t="s">
        <v>234</v>
      </c>
      <c r="K207" t="s">
        <v>235</v>
      </c>
      <c r="L207">
        <v>5</v>
      </c>
      <c r="M207" t="s">
        <v>1205</v>
      </c>
      <c r="N207" t="s">
        <v>47</v>
      </c>
      <c r="O207" t="s">
        <v>48</v>
      </c>
      <c r="P207" t="s">
        <v>48</v>
      </c>
      <c r="Y207" t="s">
        <v>1206</v>
      </c>
    </row>
    <row r="208" spans="1:25">
      <c r="A208" t="s">
        <v>1207</v>
      </c>
      <c r="B208" t="s">
        <v>1208</v>
      </c>
      <c r="D208" t="s">
        <v>40</v>
      </c>
      <c r="E208" t="s">
        <v>41</v>
      </c>
      <c r="G208" t="s">
        <v>1209</v>
      </c>
      <c r="H208" t="s">
        <v>1210</v>
      </c>
      <c r="J208" t="s">
        <v>90</v>
      </c>
      <c r="K208" t="s">
        <v>91</v>
      </c>
      <c r="L208">
        <v>5</v>
      </c>
      <c r="M208" t="s">
        <v>1211</v>
      </c>
      <c r="N208" t="s">
        <v>47</v>
      </c>
      <c r="O208" t="s">
        <v>48</v>
      </c>
      <c r="P208" t="s">
        <v>48</v>
      </c>
      <c r="Y208" t="s">
        <v>1212</v>
      </c>
    </row>
    <row r="209" spans="1:25">
      <c r="A209" t="s">
        <v>1213</v>
      </c>
      <c r="B209" t="s">
        <v>1214</v>
      </c>
      <c r="D209" t="s">
        <v>40</v>
      </c>
      <c r="E209" t="s">
        <v>41</v>
      </c>
      <c r="G209" t="s">
        <v>1215</v>
      </c>
      <c r="H209" t="s">
        <v>1216</v>
      </c>
      <c r="J209" t="s">
        <v>54</v>
      </c>
      <c r="K209" t="s">
        <v>55</v>
      </c>
      <c r="L209">
        <v>5</v>
      </c>
      <c r="M209" t="s">
        <v>1211</v>
      </c>
      <c r="N209" t="s">
        <v>47</v>
      </c>
      <c r="O209" t="s">
        <v>48</v>
      </c>
      <c r="P209" t="s">
        <v>48</v>
      </c>
      <c r="Y209" t="s">
        <v>1217</v>
      </c>
    </row>
    <row r="210" spans="1:25">
      <c r="A210" t="s">
        <v>1218</v>
      </c>
      <c r="B210" t="s">
        <v>1219</v>
      </c>
      <c r="D210" t="s">
        <v>40</v>
      </c>
      <c r="E210" t="s">
        <v>41</v>
      </c>
      <c r="G210" t="s">
        <v>1220</v>
      </c>
      <c r="H210" t="s">
        <v>1221</v>
      </c>
      <c r="J210" t="s">
        <v>90</v>
      </c>
      <c r="K210" t="s">
        <v>91</v>
      </c>
      <c r="L210">
        <v>5</v>
      </c>
      <c r="M210" t="s">
        <v>1211</v>
      </c>
      <c r="N210" t="s">
        <v>47</v>
      </c>
      <c r="O210" t="s">
        <v>48</v>
      </c>
      <c r="P210" t="s">
        <v>48</v>
      </c>
      <c r="Y210" t="s">
        <v>1222</v>
      </c>
    </row>
    <row r="211" spans="1:25">
      <c r="A211" t="s">
        <v>1223</v>
      </c>
      <c r="B211" t="s">
        <v>1224</v>
      </c>
      <c r="D211" t="s">
        <v>40</v>
      </c>
      <c r="E211" t="s">
        <v>41</v>
      </c>
      <c r="G211" t="s">
        <v>1225</v>
      </c>
      <c r="H211" t="s">
        <v>1226</v>
      </c>
      <c r="J211" t="s">
        <v>234</v>
      </c>
      <c r="K211" t="s">
        <v>235</v>
      </c>
      <c r="L211">
        <v>5</v>
      </c>
      <c r="M211" t="s">
        <v>1227</v>
      </c>
      <c r="N211" t="s">
        <v>47</v>
      </c>
      <c r="O211" t="s">
        <v>48</v>
      </c>
      <c r="P211" t="s">
        <v>48</v>
      </c>
      <c r="Y211" t="s">
        <v>1228</v>
      </c>
    </row>
    <row r="212" spans="1:25">
      <c r="A212" t="s">
        <v>1229</v>
      </c>
      <c r="B212" t="s">
        <v>1230</v>
      </c>
      <c r="D212" t="s">
        <v>40</v>
      </c>
      <c r="E212" t="s">
        <v>41</v>
      </c>
      <c r="G212" t="s">
        <v>1231</v>
      </c>
      <c r="H212" t="s">
        <v>1232</v>
      </c>
      <c r="J212" t="s">
        <v>133</v>
      </c>
      <c r="K212" t="s">
        <v>134</v>
      </c>
      <c r="L212">
        <v>5</v>
      </c>
      <c r="M212" t="s">
        <v>1233</v>
      </c>
      <c r="N212" t="s">
        <v>135</v>
      </c>
      <c r="O212" t="s">
        <v>48</v>
      </c>
      <c r="P212" t="s">
        <v>48</v>
      </c>
      <c r="Y212" t="s">
        <v>1234</v>
      </c>
    </row>
    <row r="213" spans="1:25">
      <c r="A213" t="s">
        <v>1235</v>
      </c>
      <c r="B213" t="s">
        <v>1236</v>
      </c>
      <c r="D213" t="s">
        <v>40</v>
      </c>
      <c r="E213" t="s">
        <v>41</v>
      </c>
      <c r="G213" t="s">
        <v>1237</v>
      </c>
      <c r="H213" t="s">
        <v>1238</v>
      </c>
      <c r="J213" t="s">
        <v>54</v>
      </c>
      <c r="K213" t="s">
        <v>55</v>
      </c>
      <c r="L213">
        <v>5</v>
      </c>
      <c r="M213" t="s">
        <v>1239</v>
      </c>
      <c r="N213" t="s">
        <v>47</v>
      </c>
      <c r="O213" t="s">
        <v>48</v>
      </c>
      <c r="P213" t="s">
        <v>48</v>
      </c>
      <c r="Y213" t="s">
        <v>1240</v>
      </c>
    </row>
    <row r="214" spans="1:25">
      <c r="A214" t="s">
        <v>1241</v>
      </c>
      <c r="B214" t="s">
        <v>1242</v>
      </c>
      <c r="D214" t="s">
        <v>40</v>
      </c>
      <c r="E214" t="s">
        <v>41</v>
      </c>
      <c r="G214" t="s">
        <v>1243</v>
      </c>
      <c r="H214" t="s">
        <v>1244</v>
      </c>
      <c r="J214" t="s">
        <v>78</v>
      </c>
      <c r="K214" t="s">
        <v>79</v>
      </c>
      <c r="L214">
        <v>5</v>
      </c>
      <c r="M214" t="s">
        <v>1245</v>
      </c>
      <c r="N214" t="s">
        <v>47</v>
      </c>
      <c r="O214" t="s">
        <v>48</v>
      </c>
      <c r="P214" t="s">
        <v>48</v>
      </c>
      <c r="Y214" t="s">
        <v>1246</v>
      </c>
    </row>
    <row r="215" spans="1:25">
      <c r="A215" t="s">
        <v>1247</v>
      </c>
      <c r="B215" t="s">
        <v>1248</v>
      </c>
      <c r="D215" t="s">
        <v>40</v>
      </c>
      <c r="E215" t="s">
        <v>41</v>
      </c>
      <c r="G215" t="s">
        <v>1249</v>
      </c>
      <c r="H215" t="s">
        <v>1250</v>
      </c>
      <c r="J215" t="s">
        <v>90</v>
      </c>
      <c r="K215" t="s">
        <v>91</v>
      </c>
      <c r="L215">
        <v>5</v>
      </c>
      <c r="M215" t="s">
        <v>1251</v>
      </c>
      <c r="N215" t="s">
        <v>47</v>
      </c>
      <c r="O215" t="s">
        <v>48</v>
      </c>
      <c r="P215" t="s">
        <v>48</v>
      </c>
      <c r="Y215" t="s">
        <v>1252</v>
      </c>
    </row>
    <row r="216" spans="1:25">
      <c r="A216" t="s">
        <v>1253</v>
      </c>
      <c r="B216" t="s">
        <v>1254</v>
      </c>
      <c r="D216" t="s">
        <v>40</v>
      </c>
      <c r="E216" t="s">
        <v>41</v>
      </c>
      <c r="G216" t="s">
        <v>1255</v>
      </c>
      <c r="H216" t="s">
        <v>1256</v>
      </c>
      <c r="J216" t="s">
        <v>78</v>
      </c>
      <c r="K216" t="s">
        <v>79</v>
      </c>
      <c r="L216">
        <v>5</v>
      </c>
      <c r="M216" t="s">
        <v>1257</v>
      </c>
      <c r="N216" t="s">
        <v>47</v>
      </c>
      <c r="O216" t="s">
        <v>48</v>
      </c>
      <c r="P216" t="s">
        <v>48</v>
      </c>
      <c r="Y216" t="s">
        <v>1258</v>
      </c>
    </row>
    <row r="217" spans="1:25">
      <c r="A217" t="s">
        <v>1259</v>
      </c>
      <c r="B217" t="s">
        <v>1260</v>
      </c>
      <c r="D217" t="s">
        <v>40</v>
      </c>
      <c r="E217" t="s">
        <v>41</v>
      </c>
      <c r="G217" t="s">
        <v>1261</v>
      </c>
      <c r="H217" t="s">
        <v>728</v>
      </c>
      <c r="J217" t="s">
        <v>78</v>
      </c>
      <c r="K217" t="s">
        <v>79</v>
      </c>
      <c r="L217">
        <v>5</v>
      </c>
      <c r="M217" t="s">
        <v>1257</v>
      </c>
      <c r="N217" t="s">
        <v>47</v>
      </c>
      <c r="O217" t="s">
        <v>48</v>
      </c>
      <c r="P217" t="s">
        <v>48</v>
      </c>
      <c r="Y217" t="s">
        <v>1262</v>
      </c>
    </row>
    <row r="218" spans="1:25">
      <c r="A218" t="s">
        <v>1263</v>
      </c>
      <c r="B218" t="s">
        <v>1264</v>
      </c>
      <c r="D218" t="s">
        <v>40</v>
      </c>
      <c r="E218" t="s">
        <v>41</v>
      </c>
      <c r="G218" t="s">
        <v>1265</v>
      </c>
      <c r="H218" t="s">
        <v>1266</v>
      </c>
      <c r="J218" t="s">
        <v>54</v>
      </c>
      <c r="K218" t="s">
        <v>55</v>
      </c>
      <c r="L218">
        <v>5</v>
      </c>
      <c r="M218" t="s">
        <v>1267</v>
      </c>
      <c r="N218" t="s">
        <v>47</v>
      </c>
      <c r="O218" t="s">
        <v>48</v>
      </c>
      <c r="P218" t="s">
        <v>48</v>
      </c>
      <c r="Y218" t="s">
        <v>1268</v>
      </c>
    </row>
    <row r="219" spans="1:25">
      <c r="A219" t="s">
        <v>1269</v>
      </c>
      <c r="B219" t="s">
        <v>1270</v>
      </c>
      <c r="D219" t="s">
        <v>40</v>
      </c>
      <c r="E219" t="s">
        <v>41</v>
      </c>
      <c r="G219" t="s">
        <v>451</v>
      </c>
      <c r="H219" t="s">
        <v>1271</v>
      </c>
      <c r="J219" t="s">
        <v>353</v>
      </c>
      <c r="K219" t="s">
        <v>354</v>
      </c>
      <c r="L219">
        <v>5</v>
      </c>
      <c r="M219" t="s">
        <v>1272</v>
      </c>
      <c r="N219" t="s">
        <v>135</v>
      </c>
      <c r="O219" t="s">
        <v>48</v>
      </c>
      <c r="P219" t="s">
        <v>48</v>
      </c>
      <c r="Y219" t="s">
        <v>1273</v>
      </c>
    </row>
    <row r="220" spans="1:25">
      <c r="A220" t="s">
        <v>1274</v>
      </c>
      <c r="B220" t="s">
        <v>1275</v>
      </c>
      <c r="D220" t="s">
        <v>40</v>
      </c>
      <c r="E220" t="s">
        <v>41</v>
      </c>
      <c r="G220" t="s">
        <v>1276</v>
      </c>
      <c r="H220" t="s">
        <v>1277</v>
      </c>
      <c r="J220" t="s">
        <v>54</v>
      </c>
      <c r="K220" t="s">
        <v>55</v>
      </c>
      <c r="L220">
        <v>5</v>
      </c>
      <c r="M220" t="s">
        <v>1272</v>
      </c>
      <c r="N220" t="s">
        <v>47</v>
      </c>
      <c r="O220" t="s">
        <v>48</v>
      </c>
      <c r="P220" t="s">
        <v>48</v>
      </c>
      <c r="Y220" t="s">
        <v>1278</v>
      </c>
    </row>
    <row r="221" spans="1:25">
      <c r="A221" t="s">
        <v>1279</v>
      </c>
      <c r="B221" t="s">
        <v>1280</v>
      </c>
      <c r="D221" t="s">
        <v>40</v>
      </c>
      <c r="E221" t="s">
        <v>41</v>
      </c>
      <c r="G221" t="s">
        <v>1281</v>
      </c>
      <c r="H221" t="s">
        <v>1282</v>
      </c>
      <c r="J221" t="s">
        <v>90</v>
      </c>
      <c r="K221" t="s">
        <v>91</v>
      </c>
      <c r="L221">
        <v>5</v>
      </c>
      <c r="M221" t="s">
        <v>1272</v>
      </c>
      <c r="N221" t="s">
        <v>47</v>
      </c>
      <c r="O221" t="s">
        <v>48</v>
      </c>
      <c r="P221" t="s">
        <v>48</v>
      </c>
      <c r="Y221" t="s">
        <v>1283</v>
      </c>
    </row>
    <row r="222" spans="1:25">
      <c r="A222" t="s">
        <v>1284</v>
      </c>
      <c r="B222" t="s">
        <v>1285</v>
      </c>
      <c r="D222" t="s">
        <v>40</v>
      </c>
      <c r="E222" t="s">
        <v>41</v>
      </c>
      <c r="G222" t="s">
        <v>1286</v>
      </c>
      <c r="H222" t="s">
        <v>1287</v>
      </c>
      <c r="J222" t="s">
        <v>90</v>
      </c>
      <c r="K222" t="s">
        <v>91</v>
      </c>
      <c r="L222">
        <v>5</v>
      </c>
      <c r="M222" t="s">
        <v>1272</v>
      </c>
      <c r="N222" t="s">
        <v>47</v>
      </c>
      <c r="O222" t="s">
        <v>48</v>
      </c>
      <c r="P222" t="s">
        <v>48</v>
      </c>
      <c r="Y222" t="s">
        <v>1288</v>
      </c>
    </row>
    <row r="223" spans="1:25">
      <c r="A223" t="s">
        <v>1289</v>
      </c>
      <c r="B223" t="s">
        <v>1290</v>
      </c>
      <c r="D223" t="s">
        <v>40</v>
      </c>
      <c r="E223" t="s">
        <v>41</v>
      </c>
      <c r="G223" t="s">
        <v>1291</v>
      </c>
      <c r="H223" t="s">
        <v>1292</v>
      </c>
      <c r="J223" t="s">
        <v>44</v>
      </c>
      <c r="K223" t="s">
        <v>45</v>
      </c>
      <c r="L223">
        <v>5</v>
      </c>
      <c r="M223" t="s">
        <v>1272</v>
      </c>
      <c r="N223" t="s">
        <v>47</v>
      </c>
      <c r="O223" t="s">
        <v>48</v>
      </c>
      <c r="P223" t="s">
        <v>48</v>
      </c>
      <c r="Y223" t="s">
        <v>1293</v>
      </c>
    </row>
    <row r="224" spans="1:25">
      <c r="A224" t="s">
        <v>1294</v>
      </c>
      <c r="B224" t="s">
        <v>1295</v>
      </c>
      <c r="D224" t="s">
        <v>40</v>
      </c>
      <c r="E224" t="s">
        <v>41</v>
      </c>
      <c r="G224" t="s">
        <v>1296</v>
      </c>
      <c r="H224" t="s">
        <v>1297</v>
      </c>
      <c r="J224" t="s">
        <v>78</v>
      </c>
      <c r="K224" t="s">
        <v>79</v>
      </c>
      <c r="L224">
        <v>5</v>
      </c>
      <c r="M224" t="s">
        <v>1298</v>
      </c>
      <c r="N224" t="s">
        <v>47</v>
      </c>
      <c r="O224" t="s">
        <v>48</v>
      </c>
      <c r="P224" t="s">
        <v>48</v>
      </c>
      <c r="Y224" t="s">
        <v>1299</v>
      </c>
    </row>
    <row r="225" spans="1:25">
      <c r="A225" t="s">
        <v>1300</v>
      </c>
      <c r="B225" t="s">
        <v>1301</v>
      </c>
      <c r="D225" t="s">
        <v>40</v>
      </c>
      <c r="E225" t="s">
        <v>41</v>
      </c>
      <c r="G225" t="s">
        <v>1302</v>
      </c>
      <c r="H225" t="s">
        <v>1303</v>
      </c>
      <c r="J225" t="s">
        <v>54</v>
      </c>
      <c r="K225" t="s">
        <v>55</v>
      </c>
      <c r="L225">
        <v>5</v>
      </c>
      <c r="M225" t="s">
        <v>1298</v>
      </c>
      <c r="N225" t="s">
        <v>47</v>
      </c>
      <c r="O225" t="s">
        <v>48</v>
      </c>
      <c r="P225" t="s">
        <v>48</v>
      </c>
      <c r="Y225" t="s">
        <v>1304</v>
      </c>
    </row>
    <row r="226" spans="1:25">
      <c r="A226" t="s">
        <v>1305</v>
      </c>
      <c r="B226" t="s">
        <v>1306</v>
      </c>
      <c r="D226" t="s">
        <v>40</v>
      </c>
      <c r="E226" t="s">
        <v>41</v>
      </c>
      <c r="G226" t="s">
        <v>1307</v>
      </c>
      <c r="H226" t="s">
        <v>1308</v>
      </c>
      <c r="J226" t="s">
        <v>133</v>
      </c>
      <c r="K226" t="s">
        <v>134</v>
      </c>
      <c r="L226">
        <v>5</v>
      </c>
      <c r="M226" t="s">
        <v>1298</v>
      </c>
      <c r="N226" t="s">
        <v>135</v>
      </c>
      <c r="O226" t="s">
        <v>48</v>
      </c>
      <c r="P226" t="s">
        <v>48</v>
      </c>
      <c r="Y226" t="s">
        <v>1309</v>
      </c>
    </row>
    <row r="227" spans="1:25">
      <c r="A227" t="s">
        <v>1310</v>
      </c>
      <c r="B227" t="s">
        <v>1311</v>
      </c>
      <c r="D227" t="s">
        <v>40</v>
      </c>
      <c r="E227" t="s">
        <v>41</v>
      </c>
      <c r="G227" t="s">
        <v>1312</v>
      </c>
      <c r="H227" t="s">
        <v>1313</v>
      </c>
      <c r="J227" t="s">
        <v>90</v>
      </c>
      <c r="K227" t="s">
        <v>91</v>
      </c>
      <c r="L227">
        <v>5</v>
      </c>
      <c r="M227" t="s">
        <v>1314</v>
      </c>
      <c r="N227" t="s">
        <v>47</v>
      </c>
      <c r="O227" t="s">
        <v>48</v>
      </c>
      <c r="P227" t="s">
        <v>48</v>
      </c>
      <c r="Y227" t="s">
        <v>1315</v>
      </c>
    </row>
    <row r="228" spans="1:25">
      <c r="A228" t="s">
        <v>1316</v>
      </c>
      <c r="B228" t="s">
        <v>1317</v>
      </c>
      <c r="D228" t="s">
        <v>40</v>
      </c>
      <c r="E228" t="s">
        <v>41</v>
      </c>
      <c r="G228" t="s">
        <v>1318</v>
      </c>
      <c r="H228" t="s">
        <v>1319</v>
      </c>
      <c r="J228" t="s">
        <v>133</v>
      </c>
      <c r="K228" t="s">
        <v>134</v>
      </c>
      <c r="L228">
        <v>5</v>
      </c>
      <c r="M228" t="s">
        <v>1320</v>
      </c>
      <c r="N228" t="s">
        <v>290</v>
      </c>
      <c r="O228" t="s">
        <v>48</v>
      </c>
      <c r="P228" t="s">
        <v>48</v>
      </c>
      <c r="Y228" t="s">
        <v>1321</v>
      </c>
    </row>
    <row r="229" spans="1:25">
      <c r="A229" t="s">
        <v>1322</v>
      </c>
      <c r="B229" t="s">
        <v>1323</v>
      </c>
      <c r="D229" t="s">
        <v>40</v>
      </c>
      <c r="E229" t="s">
        <v>41</v>
      </c>
      <c r="G229" t="s">
        <v>1324</v>
      </c>
      <c r="H229" t="s">
        <v>1325</v>
      </c>
      <c r="J229" t="s">
        <v>78</v>
      </c>
      <c r="K229" t="s">
        <v>79</v>
      </c>
      <c r="L229">
        <v>5</v>
      </c>
      <c r="M229" t="s">
        <v>1320</v>
      </c>
      <c r="N229" t="s">
        <v>47</v>
      </c>
      <c r="O229" t="s">
        <v>48</v>
      </c>
      <c r="P229" t="s">
        <v>48</v>
      </c>
      <c r="Y229" t="s">
        <v>1326</v>
      </c>
    </row>
    <row r="230" spans="1:25">
      <c r="A230" t="s">
        <v>1327</v>
      </c>
      <c r="B230" t="s">
        <v>1328</v>
      </c>
      <c r="D230" t="s">
        <v>40</v>
      </c>
      <c r="E230" t="s">
        <v>41</v>
      </c>
      <c r="G230" t="s">
        <v>1329</v>
      </c>
      <c r="H230" t="s">
        <v>1330</v>
      </c>
      <c r="J230" t="s">
        <v>78</v>
      </c>
      <c r="K230" t="s">
        <v>79</v>
      </c>
      <c r="L230">
        <v>5</v>
      </c>
      <c r="M230" t="s">
        <v>1331</v>
      </c>
      <c r="N230" t="s">
        <v>47</v>
      </c>
      <c r="O230" t="s">
        <v>48</v>
      </c>
      <c r="P230" t="s">
        <v>48</v>
      </c>
      <c r="Y230" t="s">
        <v>1332</v>
      </c>
    </row>
    <row r="231" spans="1:25">
      <c r="A231" t="s">
        <v>1333</v>
      </c>
      <c r="B231" t="s">
        <v>1334</v>
      </c>
      <c r="D231" t="s">
        <v>40</v>
      </c>
      <c r="E231" t="s">
        <v>41</v>
      </c>
      <c r="G231" t="s">
        <v>1335</v>
      </c>
      <c r="H231" t="s">
        <v>1336</v>
      </c>
      <c r="J231" t="s">
        <v>54</v>
      </c>
      <c r="K231" t="s">
        <v>55</v>
      </c>
      <c r="L231">
        <v>5</v>
      </c>
      <c r="M231" t="s">
        <v>1337</v>
      </c>
      <c r="N231" t="s">
        <v>47</v>
      </c>
      <c r="O231" t="s">
        <v>48</v>
      </c>
      <c r="P231" t="s">
        <v>48</v>
      </c>
      <c r="Y231" t="s">
        <v>1338</v>
      </c>
    </row>
    <row r="232" spans="1:25">
      <c r="A232" t="s">
        <v>1339</v>
      </c>
      <c r="B232" t="s">
        <v>1340</v>
      </c>
      <c r="D232" t="s">
        <v>40</v>
      </c>
      <c r="E232" t="s">
        <v>41</v>
      </c>
      <c r="G232" t="s">
        <v>1099</v>
      </c>
      <c r="H232" t="s">
        <v>1341</v>
      </c>
      <c r="J232" t="s">
        <v>44</v>
      </c>
      <c r="K232" t="s">
        <v>45</v>
      </c>
      <c r="L232">
        <v>5</v>
      </c>
      <c r="M232" t="s">
        <v>1342</v>
      </c>
      <c r="N232" t="s">
        <v>47</v>
      </c>
      <c r="O232" t="s">
        <v>48</v>
      </c>
      <c r="P232" t="s">
        <v>48</v>
      </c>
      <c r="Y232" t="s">
        <v>1343</v>
      </c>
    </row>
    <row r="233" spans="1:25">
      <c r="A233" t="s">
        <v>1344</v>
      </c>
      <c r="B233" t="s">
        <v>1345</v>
      </c>
      <c r="D233" t="s">
        <v>40</v>
      </c>
      <c r="E233" t="s">
        <v>41</v>
      </c>
      <c r="G233" t="s">
        <v>1346</v>
      </c>
      <c r="H233" t="s">
        <v>435</v>
      </c>
      <c r="J233" t="s">
        <v>133</v>
      </c>
      <c r="K233" t="s">
        <v>134</v>
      </c>
      <c r="L233">
        <v>5</v>
      </c>
      <c r="M233" t="s">
        <v>1347</v>
      </c>
      <c r="N233" t="s">
        <v>135</v>
      </c>
      <c r="O233" t="s">
        <v>48</v>
      </c>
      <c r="P233" t="s">
        <v>48</v>
      </c>
      <c r="Y233" t="s">
        <v>1348</v>
      </c>
    </row>
    <row r="234" spans="1:25">
      <c r="A234" t="s">
        <v>1349</v>
      </c>
      <c r="B234" t="s">
        <v>1350</v>
      </c>
      <c r="D234" t="s">
        <v>40</v>
      </c>
      <c r="E234" t="s">
        <v>41</v>
      </c>
      <c r="G234" t="s">
        <v>1351</v>
      </c>
      <c r="H234" t="s">
        <v>1352</v>
      </c>
      <c r="J234" t="s">
        <v>90</v>
      </c>
      <c r="K234" t="s">
        <v>91</v>
      </c>
      <c r="L234">
        <v>5</v>
      </c>
      <c r="M234" t="s">
        <v>1347</v>
      </c>
      <c r="N234" t="s">
        <v>47</v>
      </c>
      <c r="O234" t="s">
        <v>48</v>
      </c>
      <c r="P234" t="s">
        <v>48</v>
      </c>
      <c r="Y234" t="s">
        <v>1353</v>
      </c>
    </row>
    <row r="235" spans="1:25">
      <c r="A235" t="s">
        <v>1354</v>
      </c>
      <c r="B235" t="s">
        <v>1355</v>
      </c>
      <c r="D235" t="s">
        <v>40</v>
      </c>
      <c r="E235" t="s">
        <v>41</v>
      </c>
      <c r="G235" t="s">
        <v>1356</v>
      </c>
      <c r="H235" t="s">
        <v>1357</v>
      </c>
      <c r="J235" t="s">
        <v>44</v>
      </c>
      <c r="K235" t="s">
        <v>45</v>
      </c>
      <c r="L235">
        <v>5</v>
      </c>
      <c r="M235" t="s">
        <v>1347</v>
      </c>
      <c r="N235" t="s">
        <v>47</v>
      </c>
      <c r="O235" t="s">
        <v>48</v>
      </c>
      <c r="P235" t="s">
        <v>48</v>
      </c>
      <c r="Y235" t="s">
        <v>1358</v>
      </c>
    </row>
    <row r="236" spans="1:25">
      <c r="A236" t="s">
        <v>1359</v>
      </c>
      <c r="B236" t="s">
        <v>1360</v>
      </c>
      <c r="D236" t="s">
        <v>40</v>
      </c>
      <c r="E236" t="s">
        <v>41</v>
      </c>
      <c r="G236" t="s">
        <v>151</v>
      </c>
      <c r="H236" t="s">
        <v>1361</v>
      </c>
      <c r="J236" t="s">
        <v>44</v>
      </c>
      <c r="K236" t="s">
        <v>45</v>
      </c>
      <c r="L236">
        <v>5</v>
      </c>
      <c r="M236" t="s">
        <v>1347</v>
      </c>
      <c r="N236" t="s">
        <v>47</v>
      </c>
      <c r="O236" t="s">
        <v>48</v>
      </c>
      <c r="P236" t="s">
        <v>48</v>
      </c>
      <c r="Y236" t="s">
        <v>1362</v>
      </c>
    </row>
    <row r="237" spans="1:25">
      <c r="A237" t="s">
        <v>1363</v>
      </c>
      <c r="B237" t="s">
        <v>1364</v>
      </c>
      <c r="D237" t="s">
        <v>40</v>
      </c>
      <c r="E237" t="s">
        <v>41</v>
      </c>
      <c r="G237" t="s">
        <v>1365</v>
      </c>
      <c r="H237" t="s">
        <v>1366</v>
      </c>
      <c r="J237" t="s">
        <v>234</v>
      </c>
      <c r="K237" t="s">
        <v>235</v>
      </c>
      <c r="L237">
        <v>5</v>
      </c>
      <c r="M237" t="s">
        <v>1367</v>
      </c>
      <c r="N237" t="s">
        <v>47</v>
      </c>
      <c r="O237" t="s">
        <v>48</v>
      </c>
      <c r="P237" t="s">
        <v>48</v>
      </c>
      <c r="Y237" t="s">
        <v>1368</v>
      </c>
    </row>
    <row r="238" spans="1:25">
      <c r="A238" t="s">
        <v>1369</v>
      </c>
      <c r="B238" t="s">
        <v>1370</v>
      </c>
      <c r="D238" t="s">
        <v>40</v>
      </c>
      <c r="E238" t="s">
        <v>41</v>
      </c>
      <c r="G238" t="s">
        <v>1371</v>
      </c>
      <c r="H238" t="s">
        <v>1372</v>
      </c>
      <c r="J238" t="s">
        <v>353</v>
      </c>
      <c r="K238" t="s">
        <v>354</v>
      </c>
      <c r="L238">
        <v>6</v>
      </c>
      <c r="M238" t="s">
        <v>1373</v>
      </c>
      <c r="N238" t="s">
        <v>135</v>
      </c>
      <c r="O238" t="s">
        <v>48</v>
      </c>
      <c r="P238" t="s">
        <v>48</v>
      </c>
      <c r="Y238" t="s">
        <v>1374</v>
      </c>
    </row>
    <row r="239" spans="1:25">
      <c r="A239" t="s">
        <v>1375</v>
      </c>
      <c r="B239" t="s">
        <v>1376</v>
      </c>
      <c r="D239" t="s">
        <v>40</v>
      </c>
      <c r="E239" t="s">
        <v>41</v>
      </c>
      <c r="G239" t="s">
        <v>1377</v>
      </c>
      <c r="H239" t="s">
        <v>1378</v>
      </c>
      <c r="J239" t="s">
        <v>90</v>
      </c>
      <c r="K239" t="s">
        <v>91</v>
      </c>
      <c r="L239">
        <v>5</v>
      </c>
      <c r="M239" t="s">
        <v>1379</v>
      </c>
      <c r="N239" t="s">
        <v>47</v>
      </c>
      <c r="O239" t="s">
        <v>48</v>
      </c>
      <c r="P239" t="s">
        <v>48</v>
      </c>
      <c r="Y239" t="s">
        <v>1380</v>
      </c>
    </row>
    <row r="240" spans="1:25">
      <c r="A240" t="s">
        <v>1381</v>
      </c>
      <c r="B240" t="s">
        <v>1382</v>
      </c>
      <c r="D240" t="s">
        <v>40</v>
      </c>
      <c r="E240" t="s">
        <v>41</v>
      </c>
      <c r="G240" t="s">
        <v>1383</v>
      </c>
      <c r="H240" t="s">
        <v>270</v>
      </c>
      <c r="J240" t="s">
        <v>54</v>
      </c>
      <c r="K240" t="s">
        <v>55</v>
      </c>
      <c r="L240">
        <v>5</v>
      </c>
      <c r="M240" t="s">
        <v>1384</v>
      </c>
      <c r="N240" t="s">
        <v>47</v>
      </c>
      <c r="O240" t="s">
        <v>48</v>
      </c>
      <c r="P240" t="s">
        <v>48</v>
      </c>
      <c r="Y240" t="s">
        <v>1385</v>
      </c>
    </row>
    <row r="241" spans="1:25">
      <c r="A241" t="s">
        <v>1386</v>
      </c>
      <c r="B241" t="s">
        <v>1387</v>
      </c>
      <c r="D241" t="s">
        <v>40</v>
      </c>
      <c r="E241" t="s">
        <v>41</v>
      </c>
      <c r="G241" t="s">
        <v>1388</v>
      </c>
      <c r="H241" t="s">
        <v>1389</v>
      </c>
      <c r="J241" t="s">
        <v>54</v>
      </c>
      <c r="K241" t="s">
        <v>55</v>
      </c>
      <c r="L241">
        <v>5</v>
      </c>
      <c r="M241" t="s">
        <v>1390</v>
      </c>
      <c r="N241" t="s">
        <v>47</v>
      </c>
      <c r="O241" t="s">
        <v>48</v>
      </c>
      <c r="P241" t="s">
        <v>48</v>
      </c>
      <c r="Y241" t="s">
        <v>1391</v>
      </c>
    </row>
    <row r="242" spans="1:25">
      <c r="A242" t="s">
        <v>1392</v>
      </c>
      <c r="B242" t="s">
        <v>1393</v>
      </c>
      <c r="D242" t="s">
        <v>40</v>
      </c>
      <c r="E242" t="s">
        <v>41</v>
      </c>
      <c r="G242" t="s">
        <v>1394</v>
      </c>
      <c r="H242" t="s">
        <v>1395</v>
      </c>
      <c r="J242" t="s">
        <v>90</v>
      </c>
      <c r="K242" t="s">
        <v>91</v>
      </c>
      <c r="L242">
        <v>5</v>
      </c>
      <c r="M242" t="s">
        <v>1396</v>
      </c>
      <c r="N242" t="s">
        <v>47</v>
      </c>
      <c r="O242" t="s">
        <v>48</v>
      </c>
      <c r="P242" t="s">
        <v>48</v>
      </c>
      <c r="Y242" t="s">
        <v>1397</v>
      </c>
    </row>
    <row r="243" spans="1:25">
      <c r="A243" t="s">
        <v>1398</v>
      </c>
      <c r="B243" t="s">
        <v>1399</v>
      </c>
      <c r="D243" t="s">
        <v>40</v>
      </c>
      <c r="E243" t="s">
        <v>41</v>
      </c>
      <c r="G243" t="s">
        <v>1400</v>
      </c>
      <c r="H243" t="s">
        <v>1401</v>
      </c>
      <c r="J243" t="s">
        <v>78</v>
      </c>
      <c r="K243" t="s">
        <v>79</v>
      </c>
      <c r="L243">
        <v>5</v>
      </c>
      <c r="M243" t="s">
        <v>1396</v>
      </c>
      <c r="N243" t="s">
        <v>47</v>
      </c>
      <c r="O243" t="s">
        <v>48</v>
      </c>
      <c r="P243" t="s">
        <v>48</v>
      </c>
      <c r="Y243" t="s">
        <v>1402</v>
      </c>
    </row>
    <row r="244" spans="1:25">
      <c r="A244" t="s">
        <v>1403</v>
      </c>
      <c r="B244" t="s">
        <v>1404</v>
      </c>
      <c r="D244" t="s">
        <v>40</v>
      </c>
      <c r="E244" t="s">
        <v>41</v>
      </c>
      <c r="G244" t="s">
        <v>1405</v>
      </c>
      <c r="H244" t="s">
        <v>1406</v>
      </c>
      <c r="J244" t="s">
        <v>54</v>
      </c>
      <c r="K244" t="s">
        <v>55</v>
      </c>
      <c r="L244">
        <v>5</v>
      </c>
      <c r="M244" t="s">
        <v>1407</v>
      </c>
      <c r="N244" t="s">
        <v>47</v>
      </c>
      <c r="O244" t="s">
        <v>48</v>
      </c>
      <c r="P244" t="s">
        <v>48</v>
      </c>
      <c r="Y244" t="s">
        <v>1408</v>
      </c>
    </row>
    <row r="245" spans="1:25">
      <c r="A245" t="s">
        <v>1409</v>
      </c>
      <c r="B245" t="s">
        <v>1410</v>
      </c>
      <c r="D245" t="s">
        <v>40</v>
      </c>
      <c r="E245" t="s">
        <v>41</v>
      </c>
      <c r="G245" t="s">
        <v>1411</v>
      </c>
      <c r="H245" t="s">
        <v>1412</v>
      </c>
      <c r="J245" t="s">
        <v>90</v>
      </c>
      <c r="K245" t="s">
        <v>91</v>
      </c>
      <c r="L245">
        <v>5</v>
      </c>
      <c r="M245" t="s">
        <v>1413</v>
      </c>
      <c r="N245" t="s">
        <v>47</v>
      </c>
      <c r="O245" t="s">
        <v>48</v>
      </c>
      <c r="P245" t="s">
        <v>48</v>
      </c>
      <c r="Y245" t="s">
        <v>1414</v>
      </c>
    </row>
    <row r="246" spans="1:25">
      <c r="A246" t="s">
        <v>1415</v>
      </c>
      <c r="B246" t="s">
        <v>1416</v>
      </c>
      <c r="D246" t="s">
        <v>40</v>
      </c>
      <c r="E246" t="s">
        <v>41</v>
      </c>
      <c r="G246" t="s">
        <v>1417</v>
      </c>
      <c r="H246" t="s">
        <v>1418</v>
      </c>
      <c r="J246" t="s">
        <v>90</v>
      </c>
      <c r="K246" t="s">
        <v>91</v>
      </c>
      <c r="L246">
        <v>5</v>
      </c>
      <c r="M246" t="s">
        <v>1419</v>
      </c>
      <c r="N246" t="s">
        <v>47</v>
      </c>
      <c r="O246" t="s">
        <v>48</v>
      </c>
      <c r="P246" t="s">
        <v>48</v>
      </c>
      <c r="Y246" t="s">
        <v>1420</v>
      </c>
    </row>
    <row r="247" spans="1:25">
      <c r="A247" t="s">
        <v>1421</v>
      </c>
      <c r="B247" t="s">
        <v>1422</v>
      </c>
      <c r="D247" t="s">
        <v>40</v>
      </c>
      <c r="E247" t="s">
        <v>41</v>
      </c>
      <c r="G247" t="s">
        <v>1423</v>
      </c>
      <c r="H247" t="s">
        <v>1424</v>
      </c>
      <c r="J247" t="s">
        <v>133</v>
      </c>
      <c r="K247" t="s">
        <v>134</v>
      </c>
      <c r="L247">
        <v>5</v>
      </c>
      <c r="M247" t="s">
        <v>1419</v>
      </c>
      <c r="N247" t="s">
        <v>290</v>
      </c>
      <c r="O247" t="s">
        <v>48</v>
      </c>
      <c r="P247" t="s">
        <v>48</v>
      </c>
      <c r="Y247" t="s">
        <v>1425</v>
      </c>
    </row>
    <row r="248" spans="1:25">
      <c r="A248" t="s">
        <v>1426</v>
      </c>
      <c r="B248" t="s">
        <v>1427</v>
      </c>
      <c r="D248" t="s">
        <v>40</v>
      </c>
      <c r="E248" t="s">
        <v>41</v>
      </c>
      <c r="H248" t="s">
        <v>1428</v>
      </c>
      <c r="J248" t="s">
        <v>44</v>
      </c>
      <c r="K248" t="s">
        <v>45</v>
      </c>
      <c r="L248">
        <v>5</v>
      </c>
      <c r="M248" t="s">
        <v>1419</v>
      </c>
      <c r="N248" t="s">
        <v>47</v>
      </c>
      <c r="O248" t="s">
        <v>48</v>
      </c>
      <c r="P248" t="s">
        <v>48</v>
      </c>
      <c r="Y248" t="s">
        <v>1428</v>
      </c>
    </row>
    <row r="249" spans="1:25">
      <c r="A249" t="s">
        <v>1429</v>
      </c>
      <c r="B249" t="s">
        <v>1430</v>
      </c>
      <c r="D249" t="s">
        <v>40</v>
      </c>
      <c r="E249" t="s">
        <v>41</v>
      </c>
      <c r="G249" t="s">
        <v>1431</v>
      </c>
      <c r="H249" t="s">
        <v>475</v>
      </c>
      <c r="J249" t="s">
        <v>90</v>
      </c>
      <c r="K249" t="s">
        <v>91</v>
      </c>
      <c r="L249">
        <v>5</v>
      </c>
      <c r="M249" t="s">
        <v>1419</v>
      </c>
      <c r="N249" t="s">
        <v>47</v>
      </c>
      <c r="O249" t="s">
        <v>48</v>
      </c>
      <c r="P249" t="s">
        <v>48</v>
      </c>
      <c r="Y249" t="s">
        <v>1432</v>
      </c>
    </row>
    <row r="250" spans="1:25">
      <c r="A250" t="s">
        <v>1433</v>
      </c>
      <c r="B250" t="s">
        <v>1434</v>
      </c>
      <c r="D250" t="s">
        <v>40</v>
      </c>
      <c r="E250" t="s">
        <v>41</v>
      </c>
      <c r="G250" t="s">
        <v>1435</v>
      </c>
      <c r="H250" t="s">
        <v>306</v>
      </c>
      <c r="J250" t="s">
        <v>54</v>
      </c>
      <c r="K250" t="s">
        <v>55</v>
      </c>
      <c r="L250">
        <v>5</v>
      </c>
      <c r="M250" t="s">
        <v>1436</v>
      </c>
      <c r="N250" t="s">
        <v>47</v>
      </c>
      <c r="O250" t="s">
        <v>48</v>
      </c>
      <c r="P250" t="s">
        <v>48</v>
      </c>
      <c r="Y250" t="s">
        <v>1437</v>
      </c>
    </row>
    <row r="251" spans="1:25">
      <c r="A251" t="s">
        <v>1438</v>
      </c>
      <c r="B251" t="s">
        <v>1439</v>
      </c>
      <c r="D251" t="s">
        <v>40</v>
      </c>
      <c r="E251" t="s">
        <v>41</v>
      </c>
      <c r="G251" t="s">
        <v>1440</v>
      </c>
      <c r="H251" t="s">
        <v>1441</v>
      </c>
      <c r="J251" t="s">
        <v>44</v>
      </c>
      <c r="K251" t="s">
        <v>45</v>
      </c>
      <c r="L251">
        <v>5</v>
      </c>
      <c r="M251" t="s">
        <v>1442</v>
      </c>
      <c r="N251" t="s">
        <v>47</v>
      </c>
      <c r="O251" t="s">
        <v>48</v>
      </c>
      <c r="P251" t="s">
        <v>48</v>
      </c>
      <c r="Y251" t="s">
        <v>1443</v>
      </c>
    </row>
    <row r="252" spans="1:25">
      <c r="A252" t="s">
        <v>1444</v>
      </c>
      <c r="B252" t="s">
        <v>1445</v>
      </c>
      <c r="D252" t="s">
        <v>40</v>
      </c>
      <c r="E252" t="s">
        <v>41</v>
      </c>
      <c r="G252" t="s">
        <v>1446</v>
      </c>
      <c r="H252" t="s">
        <v>1447</v>
      </c>
      <c r="J252" t="s">
        <v>90</v>
      </c>
      <c r="K252" t="s">
        <v>91</v>
      </c>
      <c r="L252">
        <v>5</v>
      </c>
      <c r="M252" t="s">
        <v>1442</v>
      </c>
      <c r="N252" t="s">
        <v>47</v>
      </c>
      <c r="O252" t="s">
        <v>48</v>
      </c>
      <c r="P252" t="s">
        <v>48</v>
      </c>
      <c r="Y252" t="s">
        <v>1448</v>
      </c>
    </row>
    <row r="253" spans="1:25">
      <c r="A253" t="s">
        <v>1449</v>
      </c>
      <c r="B253" t="s">
        <v>1450</v>
      </c>
      <c r="D253" t="s">
        <v>40</v>
      </c>
      <c r="E253" t="s">
        <v>41</v>
      </c>
      <c r="G253" t="s">
        <v>1451</v>
      </c>
      <c r="H253" t="s">
        <v>1452</v>
      </c>
      <c r="J253" t="s">
        <v>54</v>
      </c>
      <c r="K253" t="s">
        <v>55</v>
      </c>
      <c r="L253">
        <v>5</v>
      </c>
      <c r="M253" t="s">
        <v>1453</v>
      </c>
      <c r="N253" t="s">
        <v>47</v>
      </c>
      <c r="O253" t="s">
        <v>48</v>
      </c>
      <c r="P253" t="s">
        <v>48</v>
      </c>
      <c r="Y253" t="s">
        <v>1454</v>
      </c>
    </row>
    <row r="254" spans="1:25">
      <c r="A254" t="s">
        <v>1455</v>
      </c>
      <c r="B254" t="s">
        <v>1456</v>
      </c>
      <c r="D254" t="s">
        <v>40</v>
      </c>
      <c r="E254" t="s">
        <v>41</v>
      </c>
      <c r="G254" t="s">
        <v>1457</v>
      </c>
      <c r="H254" t="s">
        <v>429</v>
      </c>
      <c r="J254" t="s">
        <v>44</v>
      </c>
      <c r="K254" t="s">
        <v>45</v>
      </c>
      <c r="L254">
        <v>5</v>
      </c>
      <c r="M254" t="s">
        <v>1458</v>
      </c>
      <c r="N254" t="s">
        <v>47</v>
      </c>
      <c r="O254" t="s">
        <v>48</v>
      </c>
      <c r="P254" t="s">
        <v>48</v>
      </c>
      <c r="Y254" t="s">
        <v>1459</v>
      </c>
    </row>
    <row r="255" spans="1:25">
      <c r="A255" t="s">
        <v>1460</v>
      </c>
      <c r="B255" t="s">
        <v>1461</v>
      </c>
      <c r="D255" t="s">
        <v>40</v>
      </c>
      <c r="E255" t="s">
        <v>41</v>
      </c>
      <c r="G255" t="s">
        <v>1462</v>
      </c>
      <c r="H255" t="s">
        <v>1463</v>
      </c>
      <c r="J255" t="s">
        <v>90</v>
      </c>
      <c r="K255" t="s">
        <v>91</v>
      </c>
      <c r="L255">
        <v>5</v>
      </c>
      <c r="M255" t="s">
        <v>1464</v>
      </c>
      <c r="N255" t="s">
        <v>47</v>
      </c>
      <c r="O255" t="s">
        <v>48</v>
      </c>
      <c r="P255" t="s">
        <v>48</v>
      </c>
      <c r="Y255" t="s">
        <v>1465</v>
      </c>
    </row>
    <row r="256" spans="1:25">
      <c r="A256" t="s">
        <v>1466</v>
      </c>
      <c r="B256" t="s">
        <v>1467</v>
      </c>
      <c r="D256" t="s">
        <v>40</v>
      </c>
      <c r="E256" t="s">
        <v>41</v>
      </c>
      <c r="G256" t="s">
        <v>1468</v>
      </c>
      <c r="H256" t="s">
        <v>1469</v>
      </c>
      <c r="J256" t="s">
        <v>44</v>
      </c>
      <c r="K256" t="s">
        <v>45</v>
      </c>
      <c r="L256">
        <v>5</v>
      </c>
      <c r="M256" t="s">
        <v>1470</v>
      </c>
      <c r="N256" t="s">
        <v>47</v>
      </c>
      <c r="O256" t="s">
        <v>48</v>
      </c>
      <c r="P256" t="s">
        <v>48</v>
      </c>
      <c r="Y256" t="s">
        <v>1471</v>
      </c>
    </row>
    <row r="257" spans="1:25">
      <c r="A257" t="s">
        <v>1472</v>
      </c>
      <c r="B257" t="s">
        <v>1473</v>
      </c>
      <c r="D257" t="s">
        <v>40</v>
      </c>
      <c r="E257" t="s">
        <v>41</v>
      </c>
      <c r="G257" t="s">
        <v>1474</v>
      </c>
      <c r="H257" t="s">
        <v>1475</v>
      </c>
      <c r="J257" t="s">
        <v>78</v>
      </c>
      <c r="K257" t="s">
        <v>79</v>
      </c>
      <c r="L257">
        <v>5</v>
      </c>
      <c r="M257" t="s">
        <v>1470</v>
      </c>
      <c r="N257" t="s">
        <v>47</v>
      </c>
      <c r="O257" t="s">
        <v>48</v>
      </c>
      <c r="P257" t="s">
        <v>48</v>
      </c>
      <c r="Y257" t="s">
        <v>1476</v>
      </c>
    </row>
    <row r="258" spans="1:25">
      <c r="A258" t="s">
        <v>1477</v>
      </c>
      <c r="B258" t="s">
        <v>1478</v>
      </c>
      <c r="D258" t="s">
        <v>40</v>
      </c>
      <c r="E258" t="s">
        <v>41</v>
      </c>
      <c r="G258" t="s">
        <v>1479</v>
      </c>
      <c r="H258" t="s">
        <v>1480</v>
      </c>
      <c r="J258" t="s">
        <v>90</v>
      </c>
      <c r="K258" t="s">
        <v>91</v>
      </c>
      <c r="L258">
        <v>5</v>
      </c>
      <c r="M258" t="s">
        <v>1481</v>
      </c>
      <c r="N258" t="s">
        <v>47</v>
      </c>
      <c r="O258" t="s">
        <v>48</v>
      </c>
      <c r="P258" t="s">
        <v>48</v>
      </c>
      <c r="Y258" t="s">
        <v>1482</v>
      </c>
    </row>
    <row r="259" spans="1:25">
      <c r="A259" t="s">
        <v>1483</v>
      </c>
      <c r="B259" t="s">
        <v>1484</v>
      </c>
      <c r="D259" t="s">
        <v>40</v>
      </c>
      <c r="E259" t="s">
        <v>41</v>
      </c>
      <c r="G259" t="s">
        <v>1485</v>
      </c>
      <c r="H259" t="s">
        <v>1486</v>
      </c>
      <c r="J259" t="s">
        <v>90</v>
      </c>
      <c r="K259" t="s">
        <v>91</v>
      </c>
      <c r="L259">
        <v>5</v>
      </c>
      <c r="M259" t="s">
        <v>1481</v>
      </c>
      <c r="N259" t="s">
        <v>47</v>
      </c>
      <c r="O259" t="s">
        <v>48</v>
      </c>
      <c r="P259" t="s">
        <v>48</v>
      </c>
      <c r="Y259" t="s">
        <v>1487</v>
      </c>
    </row>
    <row r="260" spans="1:25">
      <c r="A260" t="s">
        <v>1488</v>
      </c>
      <c r="B260" t="s">
        <v>1489</v>
      </c>
      <c r="D260" t="s">
        <v>40</v>
      </c>
      <c r="E260" t="s">
        <v>41</v>
      </c>
      <c r="G260" t="s">
        <v>689</v>
      </c>
      <c r="H260" t="s">
        <v>1490</v>
      </c>
      <c r="J260" t="s">
        <v>78</v>
      </c>
      <c r="K260" t="s">
        <v>79</v>
      </c>
      <c r="L260">
        <v>5</v>
      </c>
      <c r="M260" t="s">
        <v>1491</v>
      </c>
      <c r="N260" t="s">
        <v>47</v>
      </c>
      <c r="O260" t="s">
        <v>48</v>
      </c>
      <c r="P260" t="s">
        <v>48</v>
      </c>
      <c r="Y260" t="s">
        <v>1492</v>
      </c>
    </row>
    <row r="261" spans="1:25">
      <c r="A261" t="s">
        <v>1493</v>
      </c>
      <c r="B261" t="s">
        <v>1494</v>
      </c>
      <c r="D261" t="s">
        <v>40</v>
      </c>
      <c r="E261" t="s">
        <v>41</v>
      </c>
      <c r="G261" t="s">
        <v>1495</v>
      </c>
      <c r="H261" t="s">
        <v>1496</v>
      </c>
      <c r="J261" t="s">
        <v>90</v>
      </c>
      <c r="K261" t="s">
        <v>91</v>
      </c>
      <c r="L261">
        <v>5</v>
      </c>
      <c r="M261" t="s">
        <v>1497</v>
      </c>
      <c r="N261" t="s">
        <v>47</v>
      </c>
      <c r="O261" t="s">
        <v>48</v>
      </c>
      <c r="P261" t="s">
        <v>48</v>
      </c>
      <c r="Y261" t="s">
        <v>1498</v>
      </c>
    </row>
    <row r="262" spans="1:25">
      <c r="A262" t="s">
        <v>1499</v>
      </c>
      <c r="B262" t="s">
        <v>1500</v>
      </c>
      <c r="D262" t="s">
        <v>40</v>
      </c>
      <c r="E262" t="s">
        <v>41</v>
      </c>
      <c r="G262" t="s">
        <v>1501</v>
      </c>
      <c r="H262" t="s">
        <v>1502</v>
      </c>
      <c r="J262" t="s">
        <v>353</v>
      </c>
      <c r="K262" t="s">
        <v>354</v>
      </c>
      <c r="L262">
        <v>5</v>
      </c>
      <c r="M262" t="s">
        <v>1503</v>
      </c>
      <c r="N262" t="s">
        <v>135</v>
      </c>
      <c r="O262" t="s">
        <v>48</v>
      </c>
      <c r="P262" t="s">
        <v>48</v>
      </c>
      <c r="Y262" t="s">
        <v>1504</v>
      </c>
    </row>
    <row r="263" spans="1:25">
      <c r="A263" t="s">
        <v>1505</v>
      </c>
      <c r="B263" t="s">
        <v>1506</v>
      </c>
      <c r="D263" t="s">
        <v>40</v>
      </c>
      <c r="E263" t="s">
        <v>41</v>
      </c>
      <c r="G263" t="s">
        <v>1507</v>
      </c>
      <c r="H263" t="s">
        <v>1508</v>
      </c>
      <c r="J263" t="s">
        <v>90</v>
      </c>
      <c r="K263" t="s">
        <v>91</v>
      </c>
      <c r="L263">
        <v>5</v>
      </c>
      <c r="M263" t="s">
        <v>1509</v>
      </c>
      <c r="N263" t="s">
        <v>47</v>
      </c>
      <c r="O263" t="s">
        <v>48</v>
      </c>
      <c r="P263" t="s">
        <v>48</v>
      </c>
      <c r="Y263" t="s">
        <v>1510</v>
      </c>
    </row>
    <row r="264" spans="1:25">
      <c r="A264" t="s">
        <v>1511</v>
      </c>
      <c r="B264" t="s">
        <v>1512</v>
      </c>
      <c r="D264" t="s">
        <v>40</v>
      </c>
      <c r="E264" t="s">
        <v>41</v>
      </c>
      <c r="G264" t="s">
        <v>1513</v>
      </c>
      <c r="H264" t="s">
        <v>1514</v>
      </c>
      <c r="J264" t="s">
        <v>90</v>
      </c>
      <c r="K264" t="s">
        <v>91</v>
      </c>
      <c r="L264">
        <v>5</v>
      </c>
      <c r="M264" t="s">
        <v>1509</v>
      </c>
      <c r="N264" t="s">
        <v>47</v>
      </c>
      <c r="O264" t="s">
        <v>48</v>
      </c>
      <c r="P264" t="s">
        <v>48</v>
      </c>
      <c r="Y264" t="s">
        <v>1515</v>
      </c>
    </row>
    <row r="265" spans="1:25">
      <c r="A265" t="s">
        <v>1516</v>
      </c>
      <c r="B265" t="s">
        <v>1517</v>
      </c>
      <c r="D265" t="s">
        <v>40</v>
      </c>
      <c r="E265" t="s">
        <v>41</v>
      </c>
      <c r="G265" t="s">
        <v>1518</v>
      </c>
      <c r="H265" t="s">
        <v>939</v>
      </c>
      <c r="J265" t="s">
        <v>90</v>
      </c>
      <c r="K265" t="s">
        <v>91</v>
      </c>
      <c r="L265">
        <v>5</v>
      </c>
      <c r="M265" t="s">
        <v>1509</v>
      </c>
      <c r="N265" t="s">
        <v>47</v>
      </c>
      <c r="O265" t="s">
        <v>48</v>
      </c>
      <c r="P265" t="s">
        <v>48</v>
      </c>
      <c r="Y265" t="s">
        <v>1519</v>
      </c>
    </row>
    <row r="266" spans="1:25">
      <c r="A266" t="s">
        <v>1520</v>
      </c>
      <c r="B266" t="s">
        <v>1521</v>
      </c>
      <c r="D266" t="s">
        <v>40</v>
      </c>
      <c r="E266" t="s">
        <v>41</v>
      </c>
      <c r="G266" t="s">
        <v>1522</v>
      </c>
      <c r="H266" t="s">
        <v>1523</v>
      </c>
      <c r="J266" t="s">
        <v>78</v>
      </c>
      <c r="K266" t="s">
        <v>79</v>
      </c>
      <c r="L266">
        <v>5</v>
      </c>
      <c r="M266" t="s">
        <v>1524</v>
      </c>
      <c r="N266" t="s">
        <v>47</v>
      </c>
      <c r="O266" t="s">
        <v>48</v>
      </c>
      <c r="P266" t="s">
        <v>48</v>
      </c>
      <c r="Y266" t="s">
        <v>1525</v>
      </c>
    </row>
    <row r="267" spans="1:25">
      <c r="A267" t="s">
        <v>1526</v>
      </c>
      <c r="B267" t="s">
        <v>1527</v>
      </c>
      <c r="D267" t="s">
        <v>40</v>
      </c>
      <c r="E267" t="s">
        <v>41</v>
      </c>
      <c r="G267" t="s">
        <v>1528</v>
      </c>
      <c r="H267" t="s">
        <v>1529</v>
      </c>
      <c r="J267" t="s">
        <v>133</v>
      </c>
      <c r="K267" t="s">
        <v>134</v>
      </c>
      <c r="L267">
        <v>5</v>
      </c>
      <c r="M267" t="s">
        <v>1530</v>
      </c>
      <c r="N267" t="s">
        <v>135</v>
      </c>
      <c r="O267" t="s">
        <v>48</v>
      </c>
      <c r="P267" t="s">
        <v>48</v>
      </c>
      <c r="Y267" t="s">
        <v>1531</v>
      </c>
    </row>
    <row r="268" spans="1:25">
      <c r="A268" t="s">
        <v>1532</v>
      </c>
      <c r="B268" t="s">
        <v>1533</v>
      </c>
      <c r="D268" t="s">
        <v>40</v>
      </c>
      <c r="E268" t="s">
        <v>41</v>
      </c>
      <c r="G268" t="s">
        <v>1534</v>
      </c>
      <c r="H268" t="s">
        <v>1535</v>
      </c>
      <c r="J268" t="s">
        <v>371</v>
      </c>
      <c r="K268" t="s">
        <v>372</v>
      </c>
      <c r="L268">
        <v>5</v>
      </c>
      <c r="M268" t="s">
        <v>1536</v>
      </c>
      <c r="N268" t="s">
        <v>47</v>
      </c>
      <c r="O268" t="s">
        <v>48</v>
      </c>
      <c r="P268" t="s">
        <v>48</v>
      </c>
      <c r="Y268" t="s">
        <v>1537</v>
      </c>
    </row>
    <row r="269" spans="1:25">
      <c r="A269" t="s">
        <v>1538</v>
      </c>
      <c r="B269" t="s">
        <v>1539</v>
      </c>
      <c r="D269" t="s">
        <v>40</v>
      </c>
      <c r="E269" t="s">
        <v>41</v>
      </c>
      <c r="G269" t="s">
        <v>1540</v>
      </c>
      <c r="H269" t="s">
        <v>1541</v>
      </c>
      <c r="J269" t="s">
        <v>54</v>
      </c>
      <c r="K269" t="s">
        <v>55</v>
      </c>
      <c r="L269">
        <v>5</v>
      </c>
      <c r="M269" t="s">
        <v>1542</v>
      </c>
      <c r="N269" t="s">
        <v>47</v>
      </c>
      <c r="O269" t="s">
        <v>48</v>
      </c>
      <c r="P269" t="s">
        <v>48</v>
      </c>
      <c r="Y269" t="s">
        <v>1543</v>
      </c>
    </row>
    <row r="270" spans="1:25">
      <c r="A270" t="s">
        <v>1544</v>
      </c>
      <c r="B270" t="s">
        <v>1545</v>
      </c>
      <c r="D270" t="s">
        <v>40</v>
      </c>
      <c r="E270" t="s">
        <v>41</v>
      </c>
      <c r="G270" t="s">
        <v>1546</v>
      </c>
      <c r="H270" t="s">
        <v>1547</v>
      </c>
      <c r="J270" t="s">
        <v>90</v>
      </c>
      <c r="K270" t="s">
        <v>91</v>
      </c>
      <c r="L270">
        <v>5</v>
      </c>
      <c r="M270" t="s">
        <v>1548</v>
      </c>
      <c r="N270" t="s">
        <v>47</v>
      </c>
      <c r="O270" t="s">
        <v>48</v>
      </c>
      <c r="P270" t="s">
        <v>48</v>
      </c>
      <c r="Y270" t="s">
        <v>1549</v>
      </c>
    </row>
    <row r="271" spans="1:25">
      <c r="A271" t="s">
        <v>1550</v>
      </c>
      <c r="B271" t="s">
        <v>1551</v>
      </c>
      <c r="D271" t="s">
        <v>40</v>
      </c>
      <c r="E271" t="s">
        <v>41</v>
      </c>
      <c r="G271" t="s">
        <v>1552</v>
      </c>
      <c r="H271" t="s">
        <v>1553</v>
      </c>
      <c r="J271" t="s">
        <v>54</v>
      </c>
      <c r="K271" t="s">
        <v>55</v>
      </c>
      <c r="L271">
        <v>5</v>
      </c>
      <c r="M271" t="s">
        <v>1548</v>
      </c>
      <c r="N271" t="s">
        <v>47</v>
      </c>
      <c r="O271" t="s">
        <v>48</v>
      </c>
      <c r="P271" t="s">
        <v>48</v>
      </c>
      <c r="Y271" t="s">
        <v>1554</v>
      </c>
    </row>
    <row r="272" spans="1:25">
      <c r="A272" t="s">
        <v>1555</v>
      </c>
      <c r="B272" t="s">
        <v>1556</v>
      </c>
      <c r="D272" t="s">
        <v>40</v>
      </c>
      <c r="E272" t="s">
        <v>41</v>
      </c>
      <c r="G272" t="s">
        <v>1557</v>
      </c>
      <c r="H272" t="s">
        <v>1558</v>
      </c>
      <c r="J272" t="s">
        <v>371</v>
      </c>
      <c r="K272" t="s">
        <v>372</v>
      </c>
      <c r="L272">
        <v>5</v>
      </c>
      <c r="M272" t="s">
        <v>1559</v>
      </c>
      <c r="N272" t="s">
        <v>47</v>
      </c>
      <c r="O272" t="s">
        <v>48</v>
      </c>
      <c r="P272" t="s">
        <v>48</v>
      </c>
      <c r="Y272" t="s">
        <v>1560</v>
      </c>
    </row>
    <row r="273" spans="1:25">
      <c r="A273" t="s">
        <v>1561</v>
      </c>
      <c r="B273" t="s">
        <v>1562</v>
      </c>
      <c r="D273" t="s">
        <v>40</v>
      </c>
      <c r="E273" t="s">
        <v>41</v>
      </c>
      <c r="G273" t="s">
        <v>1563</v>
      </c>
      <c r="H273" t="s">
        <v>1564</v>
      </c>
      <c r="J273" t="s">
        <v>78</v>
      </c>
      <c r="K273" t="s">
        <v>79</v>
      </c>
      <c r="L273">
        <v>5</v>
      </c>
      <c r="M273" t="s">
        <v>1565</v>
      </c>
      <c r="N273" t="s">
        <v>47</v>
      </c>
      <c r="O273" t="s">
        <v>48</v>
      </c>
      <c r="P273" t="s">
        <v>48</v>
      </c>
      <c r="Y273" t="s">
        <v>1566</v>
      </c>
    </row>
    <row r="274" spans="1:25">
      <c r="A274" t="s">
        <v>1567</v>
      </c>
      <c r="B274" t="s">
        <v>1568</v>
      </c>
      <c r="D274" t="s">
        <v>40</v>
      </c>
      <c r="E274" t="s">
        <v>41</v>
      </c>
      <c r="G274" t="s">
        <v>1569</v>
      </c>
      <c r="H274" t="s">
        <v>1570</v>
      </c>
      <c r="J274" t="s">
        <v>1571</v>
      </c>
      <c r="K274" t="s">
        <v>1572</v>
      </c>
      <c r="L274">
        <v>6</v>
      </c>
      <c r="M274" t="s">
        <v>1565</v>
      </c>
      <c r="N274" t="s">
        <v>135</v>
      </c>
      <c r="O274" t="s">
        <v>48</v>
      </c>
      <c r="P274" t="s">
        <v>48</v>
      </c>
      <c r="Y274" t="s">
        <v>1573</v>
      </c>
    </row>
    <row r="275" spans="1:25">
      <c r="A275" t="s">
        <v>1574</v>
      </c>
      <c r="B275" t="s">
        <v>1575</v>
      </c>
      <c r="D275" t="s">
        <v>40</v>
      </c>
      <c r="E275" t="s">
        <v>41</v>
      </c>
      <c r="J275" t="s">
        <v>54</v>
      </c>
      <c r="K275" t="s">
        <v>55</v>
      </c>
      <c r="L275">
        <v>5</v>
      </c>
      <c r="M275" t="s">
        <v>1576</v>
      </c>
      <c r="N275" t="s">
        <v>47</v>
      </c>
      <c r="O275" t="s">
        <v>48</v>
      </c>
      <c r="P275" t="s">
        <v>48</v>
      </c>
      <c r="Y275" t="s">
        <v>1577</v>
      </c>
    </row>
    <row r="276" spans="1:25">
      <c r="A276" t="s">
        <v>1578</v>
      </c>
      <c r="B276" t="s">
        <v>1579</v>
      </c>
      <c r="D276" t="s">
        <v>40</v>
      </c>
      <c r="E276" t="s">
        <v>41</v>
      </c>
      <c r="G276" t="s">
        <v>1580</v>
      </c>
      <c r="H276" t="s">
        <v>1123</v>
      </c>
      <c r="J276" t="s">
        <v>90</v>
      </c>
      <c r="K276" t="s">
        <v>91</v>
      </c>
      <c r="L276">
        <v>5</v>
      </c>
      <c r="M276" t="s">
        <v>1576</v>
      </c>
      <c r="N276" t="s">
        <v>47</v>
      </c>
      <c r="O276" t="s">
        <v>48</v>
      </c>
      <c r="P276" t="s">
        <v>48</v>
      </c>
      <c r="Y276" t="s">
        <v>1581</v>
      </c>
    </row>
    <row r="277" spans="1:25">
      <c r="A277" t="s">
        <v>1582</v>
      </c>
      <c r="B277" t="s">
        <v>1583</v>
      </c>
      <c r="D277" t="s">
        <v>40</v>
      </c>
      <c r="E277" t="s">
        <v>41</v>
      </c>
      <c r="G277" t="s">
        <v>1584</v>
      </c>
      <c r="H277" t="s">
        <v>1585</v>
      </c>
      <c r="J277" t="s">
        <v>90</v>
      </c>
      <c r="K277" t="s">
        <v>91</v>
      </c>
      <c r="L277">
        <v>5</v>
      </c>
      <c r="M277" t="s">
        <v>1576</v>
      </c>
      <c r="N277" t="s">
        <v>47</v>
      </c>
      <c r="O277" t="s">
        <v>48</v>
      </c>
      <c r="P277" t="s">
        <v>48</v>
      </c>
      <c r="Y277" t="s">
        <v>1586</v>
      </c>
    </row>
    <row r="278" spans="1:25">
      <c r="A278" t="s">
        <v>1587</v>
      </c>
      <c r="B278" t="s">
        <v>1588</v>
      </c>
      <c r="D278" t="s">
        <v>40</v>
      </c>
      <c r="E278" t="s">
        <v>41</v>
      </c>
      <c r="G278" t="s">
        <v>1589</v>
      </c>
      <c r="H278" t="s">
        <v>1590</v>
      </c>
      <c r="J278" t="s">
        <v>90</v>
      </c>
      <c r="K278" t="s">
        <v>91</v>
      </c>
      <c r="L278">
        <v>5</v>
      </c>
      <c r="M278" t="s">
        <v>1591</v>
      </c>
      <c r="N278" t="s">
        <v>47</v>
      </c>
      <c r="O278" t="s">
        <v>48</v>
      </c>
      <c r="P278" t="s">
        <v>48</v>
      </c>
      <c r="Y278" t="s">
        <v>1592</v>
      </c>
    </row>
    <row r="279" spans="1:25">
      <c r="A279" t="s">
        <v>1593</v>
      </c>
      <c r="B279" t="s">
        <v>1594</v>
      </c>
      <c r="D279" t="s">
        <v>40</v>
      </c>
      <c r="E279" t="s">
        <v>41</v>
      </c>
      <c r="G279" t="s">
        <v>1595</v>
      </c>
      <c r="H279" t="s">
        <v>1596</v>
      </c>
      <c r="J279" t="s">
        <v>90</v>
      </c>
      <c r="K279" t="s">
        <v>91</v>
      </c>
      <c r="L279">
        <v>5</v>
      </c>
      <c r="M279" t="s">
        <v>1591</v>
      </c>
      <c r="N279" t="s">
        <v>47</v>
      </c>
      <c r="O279" t="s">
        <v>48</v>
      </c>
      <c r="P279" t="s">
        <v>48</v>
      </c>
      <c r="Y279" t="s">
        <v>1597</v>
      </c>
    </row>
    <row r="280" spans="1:25">
      <c r="A280" t="s">
        <v>1598</v>
      </c>
      <c r="B280" t="s">
        <v>1599</v>
      </c>
      <c r="D280" t="s">
        <v>40</v>
      </c>
      <c r="E280" t="s">
        <v>41</v>
      </c>
      <c r="G280" t="s">
        <v>1600</v>
      </c>
      <c r="H280" t="s">
        <v>1226</v>
      </c>
      <c r="J280" t="s">
        <v>44</v>
      </c>
      <c r="K280" t="s">
        <v>45</v>
      </c>
      <c r="L280">
        <v>5</v>
      </c>
      <c r="M280" t="s">
        <v>1591</v>
      </c>
      <c r="N280" t="s">
        <v>47</v>
      </c>
      <c r="O280" t="s">
        <v>48</v>
      </c>
      <c r="P280" t="s">
        <v>48</v>
      </c>
      <c r="Y280" t="s">
        <v>1601</v>
      </c>
    </row>
    <row r="281" spans="1:25">
      <c r="A281" t="s">
        <v>1602</v>
      </c>
      <c r="B281" t="s">
        <v>1603</v>
      </c>
      <c r="D281" t="s">
        <v>40</v>
      </c>
      <c r="E281" t="s">
        <v>41</v>
      </c>
      <c r="G281" t="s">
        <v>1604</v>
      </c>
      <c r="H281" t="s">
        <v>1605</v>
      </c>
      <c r="J281" t="s">
        <v>90</v>
      </c>
      <c r="K281" t="s">
        <v>91</v>
      </c>
      <c r="L281">
        <v>5</v>
      </c>
      <c r="M281" t="s">
        <v>1606</v>
      </c>
      <c r="N281" t="s">
        <v>47</v>
      </c>
      <c r="O281" t="s">
        <v>48</v>
      </c>
      <c r="P281" t="s">
        <v>48</v>
      </c>
      <c r="Y281" t="s">
        <v>1607</v>
      </c>
    </row>
    <row r="282" spans="1:25">
      <c r="A282" t="s">
        <v>1608</v>
      </c>
      <c r="B282" t="s">
        <v>1609</v>
      </c>
      <c r="D282" t="s">
        <v>40</v>
      </c>
      <c r="E282" t="s">
        <v>41</v>
      </c>
      <c r="G282" t="s">
        <v>1076</v>
      </c>
      <c r="H282" t="s">
        <v>1610</v>
      </c>
      <c r="J282" t="s">
        <v>44</v>
      </c>
      <c r="K282" t="s">
        <v>45</v>
      </c>
      <c r="L282">
        <v>5</v>
      </c>
      <c r="M282" t="s">
        <v>1606</v>
      </c>
      <c r="N282" t="s">
        <v>47</v>
      </c>
      <c r="O282" t="s">
        <v>48</v>
      </c>
      <c r="P282" t="s">
        <v>48</v>
      </c>
      <c r="Y282" t="s">
        <v>1611</v>
      </c>
    </row>
    <row r="283" spans="1:25">
      <c r="A283" t="s">
        <v>1612</v>
      </c>
      <c r="B283" t="s">
        <v>1613</v>
      </c>
      <c r="D283" t="s">
        <v>40</v>
      </c>
      <c r="E283" t="s">
        <v>41</v>
      </c>
      <c r="G283" t="s">
        <v>1614</v>
      </c>
      <c r="H283" t="s">
        <v>1615</v>
      </c>
      <c r="J283" t="s">
        <v>90</v>
      </c>
      <c r="K283" t="s">
        <v>91</v>
      </c>
      <c r="L283">
        <v>5</v>
      </c>
      <c r="M283" t="s">
        <v>1616</v>
      </c>
      <c r="N283" t="s">
        <v>47</v>
      </c>
      <c r="O283" t="s">
        <v>48</v>
      </c>
      <c r="P283" t="s">
        <v>48</v>
      </c>
      <c r="Y283" t="s">
        <v>1617</v>
      </c>
    </row>
    <row r="284" spans="1:25">
      <c r="A284" t="s">
        <v>1618</v>
      </c>
      <c r="B284" t="s">
        <v>1619</v>
      </c>
      <c r="D284" t="s">
        <v>40</v>
      </c>
      <c r="E284" t="s">
        <v>41</v>
      </c>
      <c r="G284" t="s">
        <v>1620</v>
      </c>
      <c r="H284" t="s">
        <v>1176</v>
      </c>
      <c r="J284" t="s">
        <v>54</v>
      </c>
      <c r="K284" t="s">
        <v>55</v>
      </c>
      <c r="L284">
        <v>5</v>
      </c>
      <c r="M284" t="s">
        <v>1621</v>
      </c>
      <c r="N284" t="s">
        <v>47</v>
      </c>
      <c r="O284" t="s">
        <v>48</v>
      </c>
      <c r="P284" t="s">
        <v>48</v>
      </c>
      <c r="Y284" t="s">
        <v>1622</v>
      </c>
    </row>
    <row r="285" spans="1:25">
      <c r="A285" t="s">
        <v>1623</v>
      </c>
      <c r="B285" t="s">
        <v>1624</v>
      </c>
      <c r="D285" t="s">
        <v>40</v>
      </c>
      <c r="E285" t="s">
        <v>41</v>
      </c>
      <c r="G285" t="s">
        <v>1625</v>
      </c>
      <c r="H285" t="s">
        <v>1626</v>
      </c>
      <c r="J285" t="s">
        <v>133</v>
      </c>
      <c r="K285" t="s">
        <v>134</v>
      </c>
      <c r="L285">
        <v>5</v>
      </c>
      <c r="M285" t="s">
        <v>1627</v>
      </c>
      <c r="N285" t="s">
        <v>290</v>
      </c>
      <c r="O285" t="s">
        <v>48</v>
      </c>
      <c r="P285" t="s">
        <v>48</v>
      </c>
      <c r="Y285" t="s">
        <v>1628</v>
      </c>
    </row>
    <row r="286" spans="1:25">
      <c r="A286" t="s">
        <v>1629</v>
      </c>
      <c r="B286" t="s">
        <v>1630</v>
      </c>
      <c r="D286" t="s">
        <v>40</v>
      </c>
      <c r="E286" t="s">
        <v>41</v>
      </c>
      <c r="G286" t="s">
        <v>1312</v>
      </c>
      <c r="H286" t="s">
        <v>1631</v>
      </c>
      <c r="J286" t="s">
        <v>541</v>
      </c>
      <c r="K286" t="s">
        <v>542</v>
      </c>
      <c r="L286">
        <v>5</v>
      </c>
      <c r="M286" t="s">
        <v>1632</v>
      </c>
      <c r="N286" t="s">
        <v>290</v>
      </c>
      <c r="O286" t="s">
        <v>48</v>
      </c>
      <c r="P286" t="s">
        <v>48</v>
      </c>
      <c r="Y286" t="s">
        <v>1633</v>
      </c>
    </row>
    <row r="287" spans="1:25">
      <c r="A287" t="s">
        <v>1634</v>
      </c>
      <c r="B287" t="s">
        <v>1635</v>
      </c>
      <c r="D287" t="s">
        <v>40</v>
      </c>
      <c r="E287" t="s">
        <v>41</v>
      </c>
      <c r="G287" t="s">
        <v>1636</v>
      </c>
      <c r="H287" t="s">
        <v>1637</v>
      </c>
      <c r="J287" t="s">
        <v>54</v>
      </c>
      <c r="K287" t="s">
        <v>55</v>
      </c>
      <c r="L287">
        <v>5</v>
      </c>
      <c r="M287" t="s">
        <v>1638</v>
      </c>
      <c r="N287" t="s">
        <v>47</v>
      </c>
      <c r="O287" t="s">
        <v>48</v>
      </c>
      <c r="P287" t="s">
        <v>48</v>
      </c>
      <c r="Y287" t="s">
        <v>1639</v>
      </c>
    </row>
    <row r="288" spans="1:25">
      <c r="A288" t="s">
        <v>1640</v>
      </c>
      <c r="B288" t="s">
        <v>1641</v>
      </c>
      <c r="D288" t="s">
        <v>40</v>
      </c>
      <c r="E288" t="s">
        <v>41</v>
      </c>
      <c r="G288" t="s">
        <v>1642</v>
      </c>
      <c r="H288" t="s">
        <v>1643</v>
      </c>
      <c r="J288" t="s">
        <v>54</v>
      </c>
      <c r="K288" t="s">
        <v>55</v>
      </c>
      <c r="L288">
        <v>5</v>
      </c>
      <c r="M288" t="s">
        <v>1638</v>
      </c>
      <c r="N288" t="s">
        <v>47</v>
      </c>
      <c r="O288" t="s">
        <v>48</v>
      </c>
      <c r="P288" t="s">
        <v>48</v>
      </c>
      <c r="Y288" t="s">
        <v>1644</v>
      </c>
    </row>
    <row r="289" spans="1:25">
      <c r="A289" t="s">
        <v>1645</v>
      </c>
      <c r="B289" t="s">
        <v>1646</v>
      </c>
      <c r="D289" t="s">
        <v>40</v>
      </c>
      <c r="E289" t="s">
        <v>41</v>
      </c>
      <c r="G289" t="s">
        <v>1647</v>
      </c>
      <c r="H289" t="s">
        <v>1648</v>
      </c>
      <c r="J289" t="s">
        <v>90</v>
      </c>
      <c r="K289" t="s">
        <v>91</v>
      </c>
      <c r="L289">
        <v>5</v>
      </c>
      <c r="M289" t="s">
        <v>1649</v>
      </c>
      <c r="N289" t="s">
        <v>47</v>
      </c>
      <c r="O289" t="s">
        <v>48</v>
      </c>
      <c r="P289" t="s">
        <v>48</v>
      </c>
      <c r="Y289" t="s">
        <v>1650</v>
      </c>
    </row>
    <row r="290" spans="1:25">
      <c r="A290" t="s">
        <v>1651</v>
      </c>
      <c r="B290" t="s">
        <v>1652</v>
      </c>
      <c r="D290" t="s">
        <v>40</v>
      </c>
      <c r="E290" t="s">
        <v>41</v>
      </c>
      <c r="G290" t="s">
        <v>780</v>
      </c>
      <c r="H290" t="s">
        <v>1653</v>
      </c>
      <c r="J290" t="s">
        <v>44</v>
      </c>
      <c r="K290" t="s">
        <v>45</v>
      </c>
      <c r="L290">
        <v>5</v>
      </c>
      <c r="M290" t="s">
        <v>1654</v>
      </c>
      <c r="N290" t="s">
        <v>47</v>
      </c>
      <c r="O290" t="s">
        <v>48</v>
      </c>
      <c r="P290" t="s">
        <v>48</v>
      </c>
      <c r="Y290" t="s">
        <v>1655</v>
      </c>
    </row>
    <row r="291" spans="1:25">
      <c r="A291" t="s">
        <v>1656</v>
      </c>
      <c r="B291" t="s">
        <v>1657</v>
      </c>
      <c r="D291" t="s">
        <v>40</v>
      </c>
      <c r="E291" t="s">
        <v>41</v>
      </c>
      <c r="G291" t="s">
        <v>1658</v>
      </c>
      <c r="H291" t="s">
        <v>1659</v>
      </c>
      <c r="J291" t="s">
        <v>54</v>
      </c>
      <c r="K291" t="s">
        <v>55</v>
      </c>
      <c r="L291">
        <v>5</v>
      </c>
      <c r="M291" t="s">
        <v>1660</v>
      </c>
      <c r="N291" t="s">
        <v>47</v>
      </c>
      <c r="O291" t="s">
        <v>48</v>
      </c>
      <c r="P291" t="s">
        <v>48</v>
      </c>
      <c r="Y291" t="s">
        <v>1661</v>
      </c>
    </row>
    <row r="292" spans="1:25">
      <c r="A292" t="s">
        <v>1662</v>
      </c>
      <c r="B292" t="s">
        <v>1663</v>
      </c>
      <c r="D292" t="s">
        <v>40</v>
      </c>
      <c r="E292" t="s">
        <v>41</v>
      </c>
      <c r="G292" t="s">
        <v>1664</v>
      </c>
      <c r="H292" t="s">
        <v>1665</v>
      </c>
      <c r="J292" t="s">
        <v>44</v>
      </c>
      <c r="K292" t="s">
        <v>45</v>
      </c>
      <c r="L292">
        <v>5</v>
      </c>
      <c r="M292" t="s">
        <v>1666</v>
      </c>
      <c r="N292" t="s">
        <v>47</v>
      </c>
      <c r="O292" t="s">
        <v>48</v>
      </c>
      <c r="P292" t="s">
        <v>48</v>
      </c>
      <c r="Y292" t="s">
        <v>1667</v>
      </c>
    </row>
    <row r="293" spans="1:25">
      <c r="A293" t="s">
        <v>1668</v>
      </c>
      <c r="B293" t="s">
        <v>1669</v>
      </c>
      <c r="D293" t="s">
        <v>40</v>
      </c>
      <c r="E293" t="s">
        <v>41</v>
      </c>
      <c r="G293" t="s">
        <v>1647</v>
      </c>
      <c r="H293" t="s">
        <v>1670</v>
      </c>
      <c r="J293" t="s">
        <v>133</v>
      </c>
      <c r="K293" t="s">
        <v>134</v>
      </c>
      <c r="L293">
        <v>5</v>
      </c>
      <c r="M293" t="s">
        <v>1666</v>
      </c>
      <c r="N293" t="s">
        <v>290</v>
      </c>
      <c r="O293" t="s">
        <v>48</v>
      </c>
      <c r="P293" t="s">
        <v>48</v>
      </c>
      <c r="Y293" t="s">
        <v>1671</v>
      </c>
    </row>
    <row r="294" spans="1:25">
      <c r="A294" t="s">
        <v>1672</v>
      </c>
      <c r="B294" t="s">
        <v>1673</v>
      </c>
      <c r="D294" t="s">
        <v>40</v>
      </c>
      <c r="E294" t="s">
        <v>41</v>
      </c>
      <c r="G294" t="s">
        <v>1674</v>
      </c>
      <c r="H294" t="s">
        <v>1077</v>
      </c>
      <c r="J294" t="s">
        <v>78</v>
      </c>
      <c r="K294" t="s">
        <v>79</v>
      </c>
      <c r="L294">
        <v>5</v>
      </c>
      <c r="M294" t="s">
        <v>1675</v>
      </c>
      <c r="N294" t="s">
        <v>47</v>
      </c>
      <c r="O294" t="s">
        <v>48</v>
      </c>
      <c r="P294" t="s">
        <v>48</v>
      </c>
      <c r="Y294" t="s">
        <v>1676</v>
      </c>
    </row>
    <row r="295" spans="1:25">
      <c r="A295" t="s">
        <v>1677</v>
      </c>
      <c r="B295" t="s">
        <v>1678</v>
      </c>
      <c r="D295" t="s">
        <v>40</v>
      </c>
      <c r="E295" t="s">
        <v>41</v>
      </c>
      <c r="G295" t="s">
        <v>1679</v>
      </c>
      <c r="H295" t="s">
        <v>1680</v>
      </c>
      <c r="J295" t="s">
        <v>234</v>
      </c>
      <c r="K295" t="s">
        <v>235</v>
      </c>
      <c r="L295">
        <v>5</v>
      </c>
      <c r="M295" t="s">
        <v>1681</v>
      </c>
      <c r="N295" t="s">
        <v>47</v>
      </c>
      <c r="O295" t="s">
        <v>48</v>
      </c>
      <c r="P295" t="s">
        <v>48</v>
      </c>
      <c r="Y295" t="s">
        <v>1682</v>
      </c>
    </row>
    <row r="296" spans="1:25">
      <c r="A296" t="s">
        <v>1683</v>
      </c>
      <c r="B296" t="s">
        <v>1684</v>
      </c>
      <c r="D296" t="s">
        <v>40</v>
      </c>
      <c r="E296" t="s">
        <v>41</v>
      </c>
      <c r="G296" t="s">
        <v>1685</v>
      </c>
      <c r="H296" t="s">
        <v>1686</v>
      </c>
      <c r="J296" t="s">
        <v>90</v>
      </c>
      <c r="K296" t="s">
        <v>91</v>
      </c>
      <c r="L296">
        <v>5</v>
      </c>
      <c r="M296" t="s">
        <v>1687</v>
      </c>
      <c r="N296" t="s">
        <v>47</v>
      </c>
      <c r="O296" t="s">
        <v>48</v>
      </c>
      <c r="P296" t="s">
        <v>48</v>
      </c>
      <c r="Y296" t="s">
        <v>1688</v>
      </c>
    </row>
    <row r="297" spans="1:25">
      <c r="A297" t="s">
        <v>1689</v>
      </c>
      <c r="B297" t="s">
        <v>1690</v>
      </c>
      <c r="D297" t="s">
        <v>40</v>
      </c>
      <c r="E297" t="s">
        <v>41</v>
      </c>
      <c r="G297" t="s">
        <v>1132</v>
      </c>
      <c r="H297" t="s">
        <v>1691</v>
      </c>
      <c r="J297" t="s">
        <v>371</v>
      </c>
      <c r="K297" t="s">
        <v>372</v>
      </c>
      <c r="L297">
        <v>5</v>
      </c>
      <c r="M297" t="s">
        <v>1692</v>
      </c>
      <c r="N297" t="s">
        <v>47</v>
      </c>
      <c r="O297" t="s">
        <v>48</v>
      </c>
      <c r="P297" t="s">
        <v>48</v>
      </c>
      <c r="Y297" t="s">
        <v>1693</v>
      </c>
    </row>
    <row r="298" spans="1:25">
      <c r="A298" t="s">
        <v>1694</v>
      </c>
      <c r="B298" t="s">
        <v>1695</v>
      </c>
      <c r="D298" t="s">
        <v>40</v>
      </c>
      <c r="E298" t="s">
        <v>41</v>
      </c>
      <c r="G298" t="s">
        <v>1696</v>
      </c>
      <c r="H298" t="s">
        <v>1697</v>
      </c>
      <c r="J298" t="s">
        <v>90</v>
      </c>
      <c r="K298" t="s">
        <v>91</v>
      </c>
      <c r="L298">
        <v>5</v>
      </c>
      <c r="M298" t="s">
        <v>1698</v>
      </c>
      <c r="N298" t="s">
        <v>47</v>
      </c>
      <c r="O298" t="s">
        <v>48</v>
      </c>
      <c r="P298" t="s">
        <v>48</v>
      </c>
      <c r="Y298" t="s">
        <v>1699</v>
      </c>
    </row>
    <row r="299" spans="1:25">
      <c r="A299" t="s">
        <v>1700</v>
      </c>
      <c r="B299" t="s">
        <v>1701</v>
      </c>
      <c r="D299" t="s">
        <v>40</v>
      </c>
      <c r="E299" t="s">
        <v>41</v>
      </c>
      <c r="G299" t="s">
        <v>1702</v>
      </c>
      <c r="H299" t="s">
        <v>1703</v>
      </c>
      <c r="J299" t="s">
        <v>44</v>
      </c>
      <c r="K299" t="s">
        <v>45</v>
      </c>
      <c r="L299">
        <v>5</v>
      </c>
      <c r="M299" t="s">
        <v>1704</v>
      </c>
      <c r="N299" t="s">
        <v>47</v>
      </c>
      <c r="O299" t="s">
        <v>48</v>
      </c>
      <c r="P299" t="s">
        <v>48</v>
      </c>
      <c r="Y299" t="s">
        <v>1705</v>
      </c>
    </row>
    <row r="300" spans="1:25">
      <c r="A300" t="s">
        <v>1706</v>
      </c>
      <c r="B300" t="s">
        <v>1707</v>
      </c>
      <c r="D300" t="s">
        <v>40</v>
      </c>
      <c r="E300" t="s">
        <v>41</v>
      </c>
      <c r="G300" t="s">
        <v>1708</v>
      </c>
      <c r="H300" t="s">
        <v>1709</v>
      </c>
      <c r="J300" t="s">
        <v>54</v>
      </c>
      <c r="K300" t="s">
        <v>55</v>
      </c>
      <c r="L300">
        <v>5</v>
      </c>
      <c r="M300" t="s">
        <v>1704</v>
      </c>
      <c r="N300" t="s">
        <v>47</v>
      </c>
      <c r="O300" t="s">
        <v>48</v>
      </c>
      <c r="P300" t="s">
        <v>48</v>
      </c>
      <c r="Y300" t="s">
        <v>1710</v>
      </c>
    </row>
    <row r="301" spans="1:25">
      <c r="A301" t="s">
        <v>1711</v>
      </c>
      <c r="B301" t="s">
        <v>1712</v>
      </c>
      <c r="D301" t="s">
        <v>40</v>
      </c>
      <c r="E301" t="s">
        <v>41</v>
      </c>
      <c r="G301" t="s">
        <v>1713</v>
      </c>
      <c r="H301" t="s">
        <v>1714</v>
      </c>
      <c r="J301" t="s">
        <v>133</v>
      </c>
      <c r="K301" t="s">
        <v>134</v>
      </c>
      <c r="L301">
        <v>5</v>
      </c>
      <c r="M301" t="s">
        <v>1715</v>
      </c>
      <c r="N301" t="s">
        <v>290</v>
      </c>
      <c r="O301" t="s">
        <v>48</v>
      </c>
      <c r="P301" t="s">
        <v>48</v>
      </c>
      <c r="Y301" t="s">
        <v>1716</v>
      </c>
    </row>
    <row r="302" spans="1:25">
      <c r="A302" t="s">
        <v>1717</v>
      </c>
      <c r="B302" t="s">
        <v>1718</v>
      </c>
      <c r="D302" t="s">
        <v>40</v>
      </c>
      <c r="E302" t="s">
        <v>41</v>
      </c>
      <c r="G302" t="s">
        <v>468</v>
      </c>
      <c r="H302" t="s">
        <v>1719</v>
      </c>
      <c r="J302" t="s">
        <v>44</v>
      </c>
      <c r="K302" t="s">
        <v>45</v>
      </c>
      <c r="L302">
        <v>5</v>
      </c>
      <c r="M302" t="s">
        <v>1720</v>
      </c>
      <c r="N302" t="s">
        <v>47</v>
      </c>
      <c r="O302" t="s">
        <v>48</v>
      </c>
      <c r="P302" t="s">
        <v>48</v>
      </c>
      <c r="Y302" t="s">
        <v>1721</v>
      </c>
    </row>
    <row r="303" spans="1:25">
      <c r="A303" t="s">
        <v>1722</v>
      </c>
      <c r="B303" t="s">
        <v>1723</v>
      </c>
      <c r="D303" t="s">
        <v>40</v>
      </c>
      <c r="E303" t="s">
        <v>41</v>
      </c>
      <c r="G303" t="s">
        <v>1724</v>
      </c>
      <c r="H303" t="s">
        <v>1725</v>
      </c>
      <c r="J303" t="s">
        <v>44</v>
      </c>
      <c r="K303" t="s">
        <v>45</v>
      </c>
      <c r="L303">
        <v>5</v>
      </c>
      <c r="M303" t="s">
        <v>1720</v>
      </c>
      <c r="N303" t="s">
        <v>47</v>
      </c>
      <c r="O303" t="s">
        <v>48</v>
      </c>
      <c r="P303" t="s">
        <v>48</v>
      </c>
      <c r="Y303" t="s">
        <v>1726</v>
      </c>
    </row>
    <row r="304" spans="1:25">
      <c r="A304" t="s">
        <v>1727</v>
      </c>
      <c r="B304" t="s">
        <v>1728</v>
      </c>
      <c r="D304" t="s">
        <v>40</v>
      </c>
      <c r="E304" t="s">
        <v>41</v>
      </c>
      <c r="G304" t="s">
        <v>1729</v>
      </c>
      <c r="H304" t="s">
        <v>1730</v>
      </c>
      <c r="J304" t="s">
        <v>371</v>
      </c>
      <c r="K304" t="s">
        <v>372</v>
      </c>
      <c r="L304">
        <v>5</v>
      </c>
      <c r="M304" t="s">
        <v>1731</v>
      </c>
      <c r="N304" t="s">
        <v>47</v>
      </c>
      <c r="O304" t="s">
        <v>48</v>
      </c>
      <c r="P304" t="s">
        <v>48</v>
      </c>
      <c r="Y304" t="s">
        <v>1732</v>
      </c>
    </row>
    <row r="305" spans="1:25">
      <c r="A305" t="s">
        <v>1733</v>
      </c>
      <c r="B305" t="s">
        <v>1734</v>
      </c>
      <c r="D305" t="s">
        <v>40</v>
      </c>
      <c r="E305" t="s">
        <v>41</v>
      </c>
      <c r="G305" t="s">
        <v>1735</v>
      </c>
      <c r="H305" t="s">
        <v>1736</v>
      </c>
      <c r="J305" t="s">
        <v>78</v>
      </c>
      <c r="K305" t="s">
        <v>79</v>
      </c>
      <c r="L305">
        <v>5</v>
      </c>
      <c r="M305" t="s">
        <v>1737</v>
      </c>
      <c r="N305" t="s">
        <v>47</v>
      </c>
      <c r="O305" t="s">
        <v>48</v>
      </c>
      <c r="P305" t="s">
        <v>48</v>
      </c>
      <c r="Y305" t="s">
        <v>1738</v>
      </c>
    </row>
    <row r="306" spans="1:25">
      <c r="A306" t="s">
        <v>1739</v>
      </c>
      <c r="B306" t="s">
        <v>1740</v>
      </c>
      <c r="D306" t="s">
        <v>40</v>
      </c>
      <c r="E306" t="s">
        <v>41</v>
      </c>
      <c r="G306" t="s">
        <v>1741</v>
      </c>
      <c r="H306" t="s">
        <v>1742</v>
      </c>
      <c r="J306" t="s">
        <v>541</v>
      </c>
      <c r="K306" t="s">
        <v>542</v>
      </c>
      <c r="L306">
        <v>5</v>
      </c>
      <c r="M306" t="s">
        <v>1743</v>
      </c>
      <c r="N306" t="s">
        <v>290</v>
      </c>
      <c r="O306" t="s">
        <v>48</v>
      </c>
      <c r="P306" t="s">
        <v>48</v>
      </c>
      <c r="Y306" t="s">
        <v>1744</v>
      </c>
    </row>
    <row r="307" spans="1:25">
      <c r="A307" t="s">
        <v>1745</v>
      </c>
      <c r="B307" t="s">
        <v>1746</v>
      </c>
      <c r="D307" t="s">
        <v>40</v>
      </c>
      <c r="E307" t="s">
        <v>41</v>
      </c>
      <c r="G307" t="s">
        <v>1747</v>
      </c>
      <c r="H307" t="s">
        <v>1748</v>
      </c>
      <c r="J307" t="s">
        <v>54</v>
      </c>
      <c r="K307" t="s">
        <v>55</v>
      </c>
      <c r="L307">
        <v>5</v>
      </c>
      <c r="M307" t="s">
        <v>1749</v>
      </c>
      <c r="N307" t="s">
        <v>47</v>
      </c>
      <c r="O307" t="s">
        <v>48</v>
      </c>
      <c r="P307" t="s">
        <v>48</v>
      </c>
      <c r="Y307" t="s">
        <v>1750</v>
      </c>
    </row>
    <row r="308" spans="1:25">
      <c r="A308" t="s">
        <v>1751</v>
      </c>
      <c r="B308" t="s">
        <v>1752</v>
      </c>
      <c r="D308" t="s">
        <v>40</v>
      </c>
      <c r="E308" t="s">
        <v>41</v>
      </c>
      <c r="G308" t="s">
        <v>1265</v>
      </c>
      <c r="H308" t="s">
        <v>1753</v>
      </c>
      <c r="J308" t="s">
        <v>90</v>
      </c>
      <c r="K308" t="s">
        <v>91</v>
      </c>
      <c r="L308">
        <v>5</v>
      </c>
      <c r="M308" t="s">
        <v>1754</v>
      </c>
      <c r="N308" t="s">
        <v>47</v>
      </c>
      <c r="O308" t="s">
        <v>48</v>
      </c>
      <c r="P308" t="s">
        <v>48</v>
      </c>
      <c r="Y308" t="s">
        <v>1755</v>
      </c>
    </row>
    <row r="309" spans="1:25">
      <c r="A309" t="s">
        <v>1756</v>
      </c>
      <c r="B309" t="s">
        <v>1757</v>
      </c>
      <c r="D309" t="s">
        <v>40</v>
      </c>
      <c r="E309" t="s">
        <v>41</v>
      </c>
      <c r="G309" t="s">
        <v>1758</v>
      </c>
      <c r="H309" t="s">
        <v>1759</v>
      </c>
      <c r="J309" t="s">
        <v>353</v>
      </c>
      <c r="K309" t="s">
        <v>354</v>
      </c>
      <c r="L309">
        <v>5</v>
      </c>
      <c r="M309" t="s">
        <v>1760</v>
      </c>
      <c r="N309" t="s">
        <v>290</v>
      </c>
      <c r="O309" t="s">
        <v>48</v>
      </c>
      <c r="P309" t="s">
        <v>48</v>
      </c>
      <c r="Y309" t="s">
        <v>1761</v>
      </c>
    </row>
    <row r="310" spans="1:25">
      <c r="A310" t="s">
        <v>1762</v>
      </c>
      <c r="B310" t="s">
        <v>1763</v>
      </c>
      <c r="D310" t="s">
        <v>40</v>
      </c>
      <c r="E310" t="s">
        <v>41</v>
      </c>
      <c r="G310" t="s">
        <v>1764</v>
      </c>
      <c r="H310" t="s">
        <v>106</v>
      </c>
      <c r="J310" t="s">
        <v>541</v>
      </c>
      <c r="K310" t="s">
        <v>542</v>
      </c>
      <c r="L310">
        <v>5</v>
      </c>
      <c r="M310" t="s">
        <v>1760</v>
      </c>
      <c r="N310" t="s">
        <v>290</v>
      </c>
      <c r="O310" t="s">
        <v>48</v>
      </c>
      <c r="P310" t="s">
        <v>48</v>
      </c>
      <c r="Y310" t="s">
        <v>1765</v>
      </c>
    </row>
    <row r="311" spans="1:25">
      <c r="A311" t="s">
        <v>1766</v>
      </c>
      <c r="B311" t="s">
        <v>1767</v>
      </c>
      <c r="D311" t="s">
        <v>40</v>
      </c>
      <c r="E311" t="s">
        <v>41</v>
      </c>
      <c r="G311" t="s">
        <v>1768</v>
      </c>
      <c r="H311" t="s">
        <v>1769</v>
      </c>
      <c r="J311" t="s">
        <v>90</v>
      </c>
      <c r="K311" t="s">
        <v>91</v>
      </c>
      <c r="L311">
        <v>5</v>
      </c>
      <c r="M311" t="s">
        <v>1770</v>
      </c>
      <c r="N311" t="s">
        <v>47</v>
      </c>
      <c r="O311" t="s">
        <v>48</v>
      </c>
      <c r="P311" t="s">
        <v>48</v>
      </c>
      <c r="Y311" t="s">
        <v>1771</v>
      </c>
    </row>
    <row r="312" spans="1:25">
      <c r="A312" t="s">
        <v>1772</v>
      </c>
      <c r="B312" t="s">
        <v>1773</v>
      </c>
      <c r="D312" t="s">
        <v>40</v>
      </c>
      <c r="E312" t="s">
        <v>41</v>
      </c>
      <c r="G312" t="s">
        <v>1774</v>
      </c>
      <c r="H312" t="s">
        <v>1775</v>
      </c>
      <c r="J312" t="s">
        <v>54</v>
      </c>
      <c r="K312" t="s">
        <v>55</v>
      </c>
      <c r="L312">
        <v>5</v>
      </c>
      <c r="M312" t="s">
        <v>1776</v>
      </c>
      <c r="N312" t="s">
        <v>47</v>
      </c>
      <c r="O312" t="s">
        <v>48</v>
      </c>
      <c r="P312" t="s">
        <v>48</v>
      </c>
      <c r="Y312" t="s">
        <v>1777</v>
      </c>
    </row>
    <row r="313" spans="1:25">
      <c r="A313" t="s">
        <v>1778</v>
      </c>
      <c r="B313" t="s">
        <v>1779</v>
      </c>
      <c r="D313" t="s">
        <v>40</v>
      </c>
      <c r="E313" t="s">
        <v>41</v>
      </c>
      <c r="G313" t="s">
        <v>1780</v>
      </c>
      <c r="H313" t="s">
        <v>1781</v>
      </c>
      <c r="J313" t="s">
        <v>44</v>
      </c>
      <c r="K313" t="s">
        <v>45</v>
      </c>
      <c r="L313">
        <v>5</v>
      </c>
      <c r="M313" t="s">
        <v>1782</v>
      </c>
      <c r="N313" t="s">
        <v>47</v>
      </c>
      <c r="O313" t="s">
        <v>48</v>
      </c>
      <c r="P313" t="s">
        <v>48</v>
      </c>
      <c r="Y313" t="s">
        <v>1783</v>
      </c>
    </row>
    <row r="314" spans="1:25">
      <c r="A314" t="s">
        <v>1784</v>
      </c>
      <c r="B314" t="s">
        <v>1785</v>
      </c>
      <c r="D314" t="s">
        <v>40</v>
      </c>
      <c r="E314" t="s">
        <v>41</v>
      </c>
      <c r="G314" t="s">
        <v>1786</v>
      </c>
      <c r="H314" t="s">
        <v>447</v>
      </c>
      <c r="J314" t="s">
        <v>287</v>
      </c>
      <c r="K314" t="s">
        <v>288</v>
      </c>
      <c r="L314">
        <v>5</v>
      </c>
      <c r="M314" t="s">
        <v>1782</v>
      </c>
      <c r="N314" t="s">
        <v>290</v>
      </c>
      <c r="O314" t="s">
        <v>48</v>
      </c>
      <c r="P314" t="s">
        <v>48</v>
      </c>
      <c r="Y314" t="s">
        <v>1787</v>
      </c>
    </row>
    <row r="315" spans="1:25">
      <c r="A315" t="s">
        <v>1788</v>
      </c>
      <c r="B315" t="s">
        <v>1789</v>
      </c>
      <c r="D315" t="s">
        <v>40</v>
      </c>
      <c r="E315" t="s">
        <v>41</v>
      </c>
      <c r="G315" t="s">
        <v>1790</v>
      </c>
      <c r="H315" t="s">
        <v>1791</v>
      </c>
      <c r="J315" t="s">
        <v>78</v>
      </c>
      <c r="K315" t="s">
        <v>79</v>
      </c>
      <c r="L315">
        <v>5</v>
      </c>
      <c r="M315" t="s">
        <v>1782</v>
      </c>
      <c r="N315" t="s">
        <v>47</v>
      </c>
      <c r="O315" t="s">
        <v>48</v>
      </c>
      <c r="P315" t="s">
        <v>48</v>
      </c>
      <c r="Y315" t="s">
        <v>1792</v>
      </c>
    </row>
    <row r="316" spans="1:25">
      <c r="A316" t="s">
        <v>1793</v>
      </c>
      <c r="B316" t="s">
        <v>1794</v>
      </c>
      <c r="D316" t="s">
        <v>40</v>
      </c>
      <c r="E316" t="s">
        <v>41</v>
      </c>
      <c r="G316" t="s">
        <v>1795</v>
      </c>
      <c r="H316" t="s">
        <v>1796</v>
      </c>
      <c r="J316" t="s">
        <v>54</v>
      </c>
      <c r="K316" t="s">
        <v>55</v>
      </c>
      <c r="L316">
        <v>5</v>
      </c>
      <c r="M316" t="s">
        <v>1797</v>
      </c>
      <c r="N316" t="s">
        <v>47</v>
      </c>
      <c r="O316" t="s">
        <v>48</v>
      </c>
      <c r="P316" t="s">
        <v>48</v>
      </c>
      <c r="Y316" t="s">
        <v>1798</v>
      </c>
    </row>
    <row r="317" spans="1:25">
      <c r="A317" t="s">
        <v>1799</v>
      </c>
      <c r="B317" t="s">
        <v>1800</v>
      </c>
      <c r="D317" t="s">
        <v>40</v>
      </c>
      <c r="E317" t="s">
        <v>41</v>
      </c>
      <c r="G317" t="s">
        <v>1801</v>
      </c>
      <c r="H317" t="s">
        <v>1802</v>
      </c>
      <c r="J317" t="s">
        <v>54</v>
      </c>
      <c r="K317" t="s">
        <v>55</v>
      </c>
      <c r="L317">
        <v>5</v>
      </c>
      <c r="M317" t="s">
        <v>1797</v>
      </c>
      <c r="N317" t="s">
        <v>47</v>
      </c>
      <c r="O317" t="s">
        <v>48</v>
      </c>
      <c r="P317" t="s">
        <v>48</v>
      </c>
      <c r="Y317" t="s">
        <v>1803</v>
      </c>
    </row>
    <row r="318" spans="1:25">
      <c r="A318" t="s">
        <v>1804</v>
      </c>
      <c r="B318" t="s">
        <v>1805</v>
      </c>
      <c r="D318" t="s">
        <v>40</v>
      </c>
      <c r="E318" t="s">
        <v>41</v>
      </c>
      <c r="G318" t="s">
        <v>1806</v>
      </c>
      <c r="H318" t="s">
        <v>1807</v>
      </c>
      <c r="J318" t="s">
        <v>133</v>
      </c>
      <c r="K318" t="s">
        <v>134</v>
      </c>
      <c r="L318">
        <v>5</v>
      </c>
      <c r="M318" t="s">
        <v>1808</v>
      </c>
      <c r="N318" t="s">
        <v>290</v>
      </c>
      <c r="O318" t="s">
        <v>48</v>
      </c>
      <c r="P318" t="s">
        <v>48</v>
      </c>
      <c r="Y318" t="s">
        <v>1809</v>
      </c>
    </row>
    <row r="319" spans="1:25">
      <c r="A319" t="s">
        <v>1810</v>
      </c>
      <c r="B319" t="s">
        <v>1811</v>
      </c>
      <c r="D319" t="s">
        <v>40</v>
      </c>
      <c r="E319" t="s">
        <v>41</v>
      </c>
      <c r="G319" t="s">
        <v>1812</v>
      </c>
      <c r="H319" t="s">
        <v>1112</v>
      </c>
      <c r="J319" t="s">
        <v>44</v>
      </c>
      <c r="K319" t="s">
        <v>45</v>
      </c>
      <c r="L319">
        <v>5</v>
      </c>
      <c r="M319" t="s">
        <v>1813</v>
      </c>
      <c r="N319" t="s">
        <v>47</v>
      </c>
      <c r="O319" t="s">
        <v>48</v>
      </c>
      <c r="P319" t="s">
        <v>48</v>
      </c>
      <c r="Y319" t="s">
        <v>1814</v>
      </c>
    </row>
    <row r="320" spans="1:25">
      <c r="A320" t="s">
        <v>1815</v>
      </c>
      <c r="B320" t="s">
        <v>1816</v>
      </c>
      <c r="D320" t="s">
        <v>40</v>
      </c>
      <c r="E320" t="s">
        <v>41</v>
      </c>
      <c r="G320" t="s">
        <v>1817</v>
      </c>
      <c r="H320" t="s">
        <v>787</v>
      </c>
      <c r="J320" t="s">
        <v>90</v>
      </c>
      <c r="K320" t="s">
        <v>91</v>
      </c>
      <c r="L320">
        <v>5</v>
      </c>
      <c r="M320" t="s">
        <v>1813</v>
      </c>
      <c r="N320" t="s">
        <v>47</v>
      </c>
      <c r="O320" t="s">
        <v>48</v>
      </c>
      <c r="P320" t="s">
        <v>48</v>
      </c>
      <c r="Y320" t="s">
        <v>1818</v>
      </c>
    </row>
    <row r="321" spans="1:25">
      <c r="A321" t="s">
        <v>1819</v>
      </c>
      <c r="B321" t="s">
        <v>1820</v>
      </c>
      <c r="D321" t="s">
        <v>40</v>
      </c>
      <c r="E321" t="s">
        <v>41</v>
      </c>
      <c r="G321" t="s">
        <v>1821</v>
      </c>
      <c r="H321" t="s">
        <v>1822</v>
      </c>
      <c r="J321" t="s">
        <v>90</v>
      </c>
      <c r="K321" t="s">
        <v>91</v>
      </c>
      <c r="L321">
        <v>5</v>
      </c>
      <c r="M321" t="s">
        <v>1813</v>
      </c>
      <c r="N321" t="s">
        <v>47</v>
      </c>
      <c r="O321" t="s">
        <v>48</v>
      </c>
      <c r="P321" t="s">
        <v>48</v>
      </c>
      <c r="Y321" t="s">
        <v>1823</v>
      </c>
    </row>
    <row r="322" spans="1:25">
      <c r="A322" t="s">
        <v>1824</v>
      </c>
      <c r="B322" t="s">
        <v>1825</v>
      </c>
      <c r="D322" t="s">
        <v>40</v>
      </c>
      <c r="E322" t="s">
        <v>41</v>
      </c>
      <c r="G322" t="s">
        <v>1826</v>
      </c>
      <c r="H322" t="s">
        <v>939</v>
      </c>
      <c r="J322" t="s">
        <v>1827</v>
      </c>
      <c r="K322" t="s">
        <v>1828</v>
      </c>
      <c r="L322">
        <v>5</v>
      </c>
      <c r="M322" t="s">
        <v>1813</v>
      </c>
      <c r="N322" t="s">
        <v>47</v>
      </c>
      <c r="O322" t="s">
        <v>48</v>
      </c>
      <c r="P322" t="s">
        <v>48</v>
      </c>
      <c r="Y322" t="s">
        <v>1829</v>
      </c>
    </row>
    <row r="323" spans="1:25">
      <c r="A323" t="s">
        <v>1830</v>
      </c>
      <c r="B323" t="s">
        <v>1831</v>
      </c>
      <c r="D323" t="s">
        <v>1832</v>
      </c>
      <c r="E323" t="s">
        <v>41</v>
      </c>
      <c r="H323" t="s">
        <v>1833</v>
      </c>
      <c r="J323" t="s">
        <v>234</v>
      </c>
      <c r="K323" t="s">
        <v>235</v>
      </c>
      <c r="L323">
        <v>5</v>
      </c>
      <c r="M323" t="s">
        <v>1834</v>
      </c>
      <c r="N323" t="s">
        <v>47</v>
      </c>
      <c r="O323" t="s">
        <v>1835</v>
      </c>
      <c r="P323" t="s">
        <v>1835</v>
      </c>
      <c r="Y323" t="s">
        <v>1833</v>
      </c>
    </row>
    <row r="324" spans="1:25">
      <c r="A324" t="s">
        <v>1836</v>
      </c>
      <c r="B324" t="s">
        <v>1837</v>
      </c>
      <c r="D324" t="s">
        <v>40</v>
      </c>
      <c r="E324" t="s">
        <v>41</v>
      </c>
      <c r="G324" t="s">
        <v>1838</v>
      </c>
      <c r="H324" t="s">
        <v>89</v>
      </c>
      <c r="J324" t="s">
        <v>90</v>
      </c>
      <c r="K324" t="s">
        <v>91</v>
      </c>
      <c r="L324">
        <v>5</v>
      </c>
      <c r="M324" t="s">
        <v>1839</v>
      </c>
      <c r="N324" t="s">
        <v>47</v>
      </c>
      <c r="O324" t="s">
        <v>48</v>
      </c>
      <c r="P324" t="s">
        <v>48</v>
      </c>
      <c r="Y324" t="s">
        <v>1840</v>
      </c>
    </row>
    <row r="325" spans="1:25">
      <c r="A325" t="s">
        <v>1841</v>
      </c>
      <c r="B325" t="s">
        <v>1842</v>
      </c>
      <c r="D325" t="s">
        <v>40</v>
      </c>
      <c r="E325" t="s">
        <v>41</v>
      </c>
      <c r="G325" t="s">
        <v>1843</v>
      </c>
      <c r="H325" t="s">
        <v>1844</v>
      </c>
      <c r="J325" t="s">
        <v>90</v>
      </c>
      <c r="K325" t="s">
        <v>91</v>
      </c>
      <c r="L325">
        <v>5</v>
      </c>
      <c r="M325" t="s">
        <v>1839</v>
      </c>
      <c r="N325" t="s">
        <v>47</v>
      </c>
      <c r="O325" t="s">
        <v>48</v>
      </c>
      <c r="P325" t="s">
        <v>48</v>
      </c>
      <c r="Y325" t="s">
        <v>1845</v>
      </c>
    </row>
    <row r="326" spans="1:25">
      <c r="A326" t="s">
        <v>1846</v>
      </c>
      <c r="B326" t="s">
        <v>1847</v>
      </c>
      <c r="D326" t="s">
        <v>40</v>
      </c>
      <c r="E326" t="s">
        <v>41</v>
      </c>
      <c r="G326" t="s">
        <v>1848</v>
      </c>
      <c r="H326" t="s">
        <v>1336</v>
      </c>
      <c r="J326" t="s">
        <v>78</v>
      </c>
      <c r="K326" t="s">
        <v>79</v>
      </c>
      <c r="L326">
        <v>5</v>
      </c>
      <c r="M326" t="s">
        <v>1839</v>
      </c>
      <c r="N326" t="s">
        <v>47</v>
      </c>
      <c r="O326" t="s">
        <v>48</v>
      </c>
      <c r="P326" t="s">
        <v>48</v>
      </c>
      <c r="Y326" t="s">
        <v>1849</v>
      </c>
    </row>
    <row r="327" spans="1:25">
      <c r="A327" t="s">
        <v>1850</v>
      </c>
      <c r="B327" t="s">
        <v>1851</v>
      </c>
      <c r="D327" t="s">
        <v>40</v>
      </c>
      <c r="E327" t="s">
        <v>41</v>
      </c>
      <c r="G327" t="s">
        <v>1852</v>
      </c>
      <c r="H327" t="s">
        <v>1853</v>
      </c>
      <c r="J327" t="s">
        <v>90</v>
      </c>
      <c r="K327" t="s">
        <v>91</v>
      </c>
      <c r="L327">
        <v>5</v>
      </c>
      <c r="M327" t="s">
        <v>1839</v>
      </c>
      <c r="N327" t="s">
        <v>47</v>
      </c>
      <c r="O327" t="s">
        <v>48</v>
      </c>
      <c r="P327" t="s">
        <v>48</v>
      </c>
      <c r="Y327" t="s">
        <v>1854</v>
      </c>
    </row>
    <row r="328" spans="1:25">
      <c r="A328" t="s">
        <v>1855</v>
      </c>
      <c r="B328" t="s">
        <v>1856</v>
      </c>
      <c r="D328" t="s">
        <v>40</v>
      </c>
      <c r="E328" t="s">
        <v>41</v>
      </c>
      <c r="G328" t="s">
        <v>1857</v>
      </c>
      <c r="H328" t="s">
        <v>1858</v>
      </c>
      <c r="J328" t="s">
        <v>497</v>
      </c>
      <c r="K328" t="s">
        <v>498</v>
      </c>
      <c r="L328">
        <v>5</v>
      </c>
      <c r="M328" t="s">
        <v>1859</v>
      </c>
      <c r="N328" t="s">
        <v>685</v>
      </c>
      <c r="O328" t="s">
        <v>48</v>
      </c>
      <c r="P328" t="s">
        <v>48</v>
      </c>
      <c r="Y328" t="s">
        <v>1860</v>
      </c>
    </row>
    <row r="329" spans="1:25">
      <c r="A329" t="s">
        <v>1861</v>
      </c>
      <c r="B329" t="s">
        <v>1862</v>
      </c>
      <c r="D329" t="s">
        <v>40</v>
      </c>
      <c r="E329" t="s">
        <v>41</v>
      </c>
      <c r="G329" t="s">
        <v>1863</v>
      </c>
      <c r="H329" t="s">
        <v>106</v>
      </c>
      <c r="J329" t="s">
        <v>234</v>
      </c>
      <c r="K329" t="s">
        <v>235</v>
      </c>
      <c r="L329">
        <v>5</v>
      </c>
      <c r="M329" t="s">
        <v>1864</v>
      </c>
      <c r="N329" t="s">
        <v>47</v>
      </c>
      <c r="O329" t="s">
        <v>48</v>
      </c>
      <c r="P329" t="s">
        <v>48</v>
      </c>
      <c r="Y329" t="s">
        <v>1865</v>
      </c>
    </row>
    <row r="330" spans="1:25">
      <c r="A330" t="s">
        <v>1866</v>
      </c>
      <c r="B330" t="s">
        <v>1867</v>
      </c>
      <c r="D330" t="s">
        <v>40</v>
      </c>
      <c r="E330" t="s">
        <v>41</v>
      </c>
      <c r="G330" t="s">
        <v>1868</v>
      </c>
      <c r="H330" t="s">
        <v>1869</v>
      </c>
      <c r="J330" t="s">
        <v>90</v>
      </c>
      <c r="K330" t="s">
        <v>91</v>
      </c>
      <c r="L330">
        <v>5</v>
      </c>
      <c r="M330" t="s">
        <v>1870</v>
      </c>
      <c r="N330" t="s">
        <v>47</v>
      </c>
      <c r="O330" t="s">
        <v>48</v>
      </c>
      <c r="P330" t="s">
        <v>48</v>
      </c>
      <c r="Y330" t="s">
        <v>1871</v>
      </c>
    </row>
    <row r="331" spans="1:25">
      <c r="A331" t="s">
        <v>1872</v>
      </c>
      <c r="B331" t="s">
        <v>1873</v>
      </c>
      <c r="D331" t="s">
        <v>40</v>
      </c>
      <c r="E331" t="s">
        <v>41</v>
      </c>
      <c r="G331" t="s">
        <v>1874</v>
      </c>
      <c r="H331" t="s">
        <v>1875</v>
      </c>
      <c r="J331" t="s">
        <v>90</v>
      </c>
      <c r="K331" t="s">
        <v>91</v>
      </c>
      <c r="L331">
        <v>5</v>
      </c>
      <c r="M331" t="s">
        <v>1870</v>
      </c>
      <c r="N331" t="s">
        <v>47</v>
      </c>
      <c r="O331" t="s">
        <v>48</v>
      </c>
      <c r="P331" t="s">
        <v>48</v>
      </c>
      <c r="Y331" t="s">
        <v>1876</v>
      </c>
    </row>
    <row r="332" spans="1:25">
      <c r="A332" t="s">
        <v>1877</v>
      </c>
      <c r="B332" t="s">
        <v>1878</v>
      </c>
      <c r="D332" t="s">
        <v>40</v>
      </c>
      <c r="E332" t="s">
        <v>41</v>
      </c>
      <c r="G332" t="s">
        <v>1879</v>
      </c>
      <c r="H332" t="s">
        <v>1880</v>
      </c>
      <c r="J332" t="s">
        <v>44</v>
      </c>
      <c r="K332" t="s">
        <v>45</v>
      </c>
      <c r="L332">
        <v>5</v>
      </c>
      <c r="M332" t="s">
        <v>1881</v>
      </c>
      <c r="N332" t="s">
        <v>47</v>
      </c>
      <c r="O332" t="s">
        <v>48</v>
      </c>
      <c r="P332" t="s">
        <v>48</v>
      </c>
      <c r="Y332" t="s">
        <v>1882</v>
      </c>
    </row>
    <row r="333" spans="1:25">
      <c r="A333" t="s">
        <v>1883</v>
      </c>
      <c r="B333" t="s">
        <v>1884</v>
      </c>
      <c r="D333" t="s">
        <v>40</v>
      </c>
      <c r="E333" t="s">
        <v>41</v>
      </c>
      <c r="G333" t="s">
        <v>1885</v>
      </c>
      <c r="H333" t="s">
        <v>1886</v>
      </c>
      <c r="J333" t="s">
        <v>44</v>
      </c>
      <c r="K333" t="s">
        <v>45</v>
      </c>
      <c r="L333">
        <v>5</v>
      </c>
      <c r="M333" t="s">
        <v>1881</v>
      </c>
      <c r="N333" t="s">
        <v>47</v>
      </c>
      <c r="O333" t="s">
        <v>48</v>
      </c>
      <c r="P333" t="s">
        <v>48</v>
      </c>
      <c r="Y333" t="s">
        <v>1887</v>
      </c>
    </row>
    <row r="334" spans="1:25">
      <c r="A334" t="s">
        <v>1888</v>
      </c>
      <c r="B334" t="s">
        <v>1889</v>
      </c>
      <c r="D334" t="s">
        <v>40</v>
      </c>
      <c r="E334" t="s">
        <v>41</v>
      </c>
      <c r="G334" t="s">
        <v>1696</v>
      </c>
      <c r="H334" t="s">
        <v>1890</v>
      </c>
      <c r="J334" t="s">
        <v>234</v>
      </c>
      <c r="K334" t="s">
        <v>235</v>
      </c>
      <c r="L334">
        <v>5</v>
      </c>
      <c r="M334" t="s">
        <v>1891</v>
      </c>
      <c r="N334" t="s">
        <v>47</v>
      </c>
      <c r="O334" t="s">
        <v>48</v>
      </c>
      <c r="P334" t="s">
        <v>48</v>
      </c>
      <c r="Y334" t="s">
        <v>1892</v>
      </c>
    </row>
    <row r="335" spans="1:25">
      <c r="A335" t="s">
        <v>1893</v>
      </c>
      <c r="B335" t="s">
        <v>1894</v>
      </c>
      <c r="D335" t="s">
        <v>40</v>
      </c>
      <c r="E335" t="s">
        <v>41</v>
      </c>
      <c r="G335" t="s">
        <v>1329</v>
      </c>
      <c r="H335" t="s">
        <v>1895</v>
      </c>
      <c r="J335" t="s">
        <v>78</v>
      </c>
      <c r="K335" t="s">
        <v>79</v>
      </c>
      <c r="L335">
        <v>5</v>
      </c>
      <c r="M335" t="s">
        <v>1896</v>
      </c>
      <c r="N335" t="s">
        <v>47</v>
      </c>
      <c r="O335" t="s">
        <v>48</v>
      </c>
      <c r="P335" t="s">
        <v>48</v>
      </c>
      <c r="Y335" t="s">
        <v>1897</v>
      </c>
    </row>
    <row r="336" spans="1:25">
      <c r="A336" t="s">
        <v>1898</v>
      </c>
      <c r="B336" t="s">
        <v>1899</v>
      </c>
      <c r="D336" t="s">
        <v>40</v>
      </c>
      <c r="E336" t="s">
        <v>41</v>
      </c>
      <c r="G336" t="s">
        <v>1900</v>
      </c>
      <c r="H336" t="s">
        <v>1901</v>
      </c>
      <c r="J336" t="s">
        <v>54</v>
      </c>
      <c r="K336" t="s">
        <v>55</v>
      </c>
      <c r="L336">
        <v>5</v>
      </c>
      <c r="M336" t="s">
        <v>1902</v>
      </c>
      <c r="N336" t="s">
        <v>47</v>
      </c>
      <c r="O336" t="s">
        <v>48</v>
      </c>
      <c r="P336" t="s">
        <v>48</v>
      </c>
      <c r="Y336" t="s">
        <v>1903</v>
      </c>
    </row>
    <row r="337" spans="1:25">
      <c r="A337" t="s">
        <v>1904</v>
      </c>
      <c r="B337" t="s">
        <v>1905</v>
      </c>
      <c r="D337" t="s">
        <v>40</v>
      </c>
      <c r="E337" t="s">
        <v>41</v>
      </c>
      <c r="J337" t="s">
        <v>90</v>
      </c>
      <c r="K337" t="s">
        <v>91</v>
      </c>
      <c r="L337">
        <v>5</v>
      </c>
      <c r="M337" t="s">
        <v>1902</v>
      </c>
      <c r="N337" t="s">
        <v>47</v>
      </c>
      <c r="O337" t="s">
        <v>48</v>
      </c>
      <c r="P337" t="s">
        <v>48</v>
      </c>
      <c r="Y337" t="s">
        <v>1906</v>
      </c>
    </row>
    <row r="338" spans="1:25">
      <c r="A338" t="s">
        <v>1907</v>
      </c>
      <c r="B338" t="s">
        <v>1908</v>
      </c>
      <c r="D338" t="s">
        <v>40</v>
      </c>
      <c r="E338" t="s">
        <v>41</v>
      </c>
      <c r="G338" t="s">
        <v>1909</v>
      </c>
      <c r="H338" t="s">
        <v>1910</v>
      </c>
      <c r="J338" t="s">
        <v>234</v>
      </c>
      <c r="K338" t="s">
        <v>235</v>
      </c>
      <c r="L338">
        <v>5</v>
      </c>
      <c r="M338" t="s">
        <v>1911</v>
      </c>
      <c r="N338" t="s">
        <v>47</v>
      </c>
      <c r="O338" t="s">
        <v>48</v>
      </c>
      <c r="P338" t="s">
        <v>48</v>
      </c>
      <c r="Y338" t="s">
        <v>1912</v>
      </c>
    </row>
    <row r="339" spans="1:25">
      <c r="A339" t="s">
        <v>1913</v>
      </c>
      <c r="B339" t="s">
        <v>1914</v>
      </c>
      <c r="D339" t="s">
        <v>40</v>
      </c>
      <c r="E339" t="s">
        <v>41</v>
      </c>
      <c r="G339" t="s">
        <v>1915</v>
      </c>
      <c r="H339" t="s">
        <v>1916</v>
      </c>
      <c r="J339" t="s">
        <v>234</v>
      </c>
      <c r="K339" t="s">
        <v>235</v>
      </c>
      <c r="L339">
        <v>5</v>
      </c>
      <c r="M339" t="s">
        <v>1917</v>
      </c>
      <c r="N339" t="s">
        <v>47</v>
      </c>
      <c r="O339" t="s">
        <v>48</v>
      </c>
      <c r="P339" t="s">
        <v>48</v>
      </c>
      <c r="Y339" t="s">
        <v>1918</v>
      </c>
    </row>
    <row r="340" spans="1:25">
      <c r="A340" t="s">
        <v>1919</v>
      </c>
      <c r="B340" t="s">
        <v>1920</v>
      </c>
      <c r="D340" t="s">
        <v>40</v>
      </c>
      <c r="E340" t="s">
        <v>41</v>
      </c>
      <c r="G340" t="s">
        <v>1921</v>
      </c>
      <c r="H340" t="s">
        <v>1922</v>
      </c>
      <c r="J340" t="s">
        <v>234</v>
      </c>
      <c r="K340" t="s">
        <v>235</v>
      </c>
      <c r="L340">
        <v>5</v>
      </c>
      <c r="M340" t="s">
        <v>1923</v>
      </c>
      <c r="N340" t="s">
        <v>47</v>
      </c>
      <c r="O340" t="s">
        <v>48</v>
      </c>
      <c r="P340" t="s">
        <v>48</v>
      </c>
      <c r="Y340" t="s">
        <v>1924</v>
      </c>
    </row>
    <row r="341" spans="1:25">
      <c r="A341" t="s">
        <v>1925</v>
      </c>
      <c r="B341" t="s">
        <v>1926</v>
      </c>
      <c r="D341" t="s">
        <v>40</v>
      </c>
      <c r="E341" t="s">
        <v>41</v>
      </c>
      <c r="G341" t="s">
        <v>1927</v>
      </c>
      <c r="H341" t="s">
        <v>1928</v>
      </c>
      <c r="J341" t="s">
        <v>78</v>
      </c>
      <c r="K341" t="s">
        <v>79</v>
      </c>
      <c r="L341">
        <v>5</v>
      </c>
      <c r="M341" t="s">
        <v>1929</v>
      </c>
      <c r="N341" t="s">
        <v>47</v>
      </c>
      <c r="O341" t="s">
        <v>48</v>
      </c>
      <c r="P341" t="s">
        <v>48</v>
      </c>
      <c r="Y341" t="s">
        <v>1930</v>
      </c>
    </row>
    <row r="342" spans="1:25">
      <c r="A342" t="s">
        <v>1931</v>
      </c>
      <c r="B342" t="s">
        <v>1932</v>
      </c>
      <c r="D342" t="s">
        <v>40</v>
      </c>
      <c r="E342" t="s">
        <v>41</v>
      </c>
      <c r="J342" t="s">
        <v>54</v>
      </c>
      <c r="K342" t="s">
        <v>55</v>
      </c>
      <c r="L342">
        <v>5</v>
      </c>
      <c r="M342" t="s">
        <v>1933</v>
      </c>
      <c r="N342" t="s">
        <v>47</v>
      </c>
      <c r="O342" t="s">
        <v>48</v>
      </c>
      <c r="P342" t="s">
        <v>48</v>
      </c>
      <c r="Y342" t="s">
        <v>1934</v>
      </c>
    </row>
    <row r="343" spans="1:25">
      <c r="A343" t="s">
        <v>1935</v>
      </c>
      <c r="B343" t="s">
        <v>1936</v>
      </c>
      <c r="D343" t="s">
        <v>40</v>
      </c>
      <c r="E343" t="s">
        <v>41</v>
      </c>
      <c r="G343" t="s">
        <v>1937</v>
      </c>
      <c r="H343" t="s">
        <v>1938</v>
      </c>
      <c r="J343" t="s">
        <v>44</v>
      </c>
      <c r="K343" t="s">
        <v>45</v>
      </c>
      <c r="L343">
        <v>5</v>
      </c>
      <c r="M343" t="s">
        <v>1939</v>
      </c>
      <c r="N343" t="s">
        <v>47</v>
      </c>
      <c r="O343" t="s">
        <v>48</v>
      </c>
      <c r="P343" t="s">
        <v>48</v>
      </c>
      <c r="Y343" t="s">
        <v>1940</v>
      </c>
    </row>
    <row r="344" spans="1:25">
      <c r="A344" t="s">
        <v>1941</v>
      </c>
      <c r="B344" t="s">
        <v>1942</v>
      </c>
      <c r="D344" t="s">
        <v>40</v>
      </c>
      <c r="E344" t="s">
        <v>41</v>
      </c>
      <c r="G344" t="s">
        <v>1943</v>
      </c>
      <c r="H344" t="s">
        <v>1944</v>
      </c>
      <c r="J344" t="s">
        <v>54</v>
      </c>
      <c r="K344" t="s">
        <v>55</v>
      </c>
      <c r="L344">
        <v>5</v>
      </c>
      <c r="M344" t="s">
        <v>1945</v>
      </c>
      <c r="N344" t="s">
        <v>47</v>
      </c>
      <c r="O344" t="s">
        <v>48</v>
      </c>
      <c r="P344" t="s">
        <v>48</v>
      </c>
      <c r="Y344" t="s">
        <v>1946</v>
      </c>
    </row>
    <row r="345" spans="1:25">
      <c r="A345" t="s">
        <v>1947</v>
      </c>
      <c r="B345" t="s">
        <v>1948</v>
      </c>
      <c r="D345" t="s">
        <v>40</v>
      </c>
      <c r="E345" t="s">
        <v>41</v>
      </c>
      <c r="G345" t="s">
        <v>1949</v>
      </c>
      <c r="H345" t="s">
        <v>1596</v>
      </c>
      <c r="J345" t="s">
        <v>44</v>
      </c>
      <c r="K345" t="s">
        <v>45</v>
      </c>
      <c r="L345">
        <v>5</v>
      </c>
      <c r="M345" t="s">
        <v>1945</v>
      </c>
      <c r="N345" t="s">
        <v>47</v>
      </c>
      <c r="O345" t="s">
        <v>48</v>
      </c>
      <c r="P345" t="s">
        <v>48</v>
      </c>
      <c r="Y345" t="s">
        <v>1950</v>
      </c>
    </row>
    <row r="346" spans="1:25">
      <c r="A346" t="s">
        <v>1951</v>
      </c>
      <c r="B346" t="s">
        <v>1952</v>
      </c>
      <c r="D346" t="s">
        <v>40</v>
      </c>
      <c r="E346" t="s">
        <v>41</v>
      </c>
      <c r="H346" t="s">
        <v>1953</v>
      </c>
      <c r="J346" t="s">
        <v>44</v>
      </c>
      <c r="K346" t="s">
        <v>45</v>
      </c>
      <c r="L346">
        <v>5</v>
      </c>
      <c r="M346" t="s">
        <v>1945</v>
      </c>
      <c r="N346" t="s">
        <v>47</v>
      </c>
      <c r="O346" t="s">
        <v>48</v>
      </c>
      <c r="P346" t="s">
        <v>48</v>
      </c>
      <c r="Y346" t="s">
        <v>1953</v>
      </c>
    </row>
    <row r="347" spans="1:25">
      <c r="A347" t="s">
        <v>1954</v>
      </c>
      <c r="B347" t="s">
        <v>1955</v>
      </c>
      <c r="D347" t="s">
        <v>40</v>
      </c>
      <c r="E347" t="s">
        <v>41</v>
      </c>
      <c r="G347" t="s">
        <v>1956</v>
      </c>
      <c r="H347" t="s">
        <v>1957</v>
      </c>
      <c r="J347" t="s">
        <v>90</v>
      </c>
      <c r="K347" t="s">
        <v>91</v>
      </c>
      <c r="L347">
        <v>5</v>
      </c>
      <c r="M347" t="s">
        <v>1945</v>
      </c>
      <c r="N347" t="s">
        <v>47</v>
      </c>
      <c r="O347" t="s">
        <v>48</v>
      </c>
      <c r="P347" t="s">
        <v>48</v>
      </c>
      <c r="Y347" t="s">
        <v>1958</v>
      </c>
    </row>
    <row r="348" spans="1:25">
      <c r="A348" t="s">
        <v>1959</v>
      </c>
      <c r="B348" t="s">
        <v>1960</v>
      </c>
      <c r="D348" t="s">
        <v>40</v>
      </c>
      <c r="E348" t="s">
        <v>41</v>
      </c>
      <c r="G348" t="s">
        <v>1961</v>
      </c>
      <c r="H348" t="s">
        <v>1962</v>
      </c>
      <c r="J348" t="s">
        <v>371</v>
      </c>
      <c r="K348" t="s">
        <v>372</v>
      </c>
      <c r="L348">
        <v>5</v>
      </c>
      <c r="M348" t="s">
        <v>1963</v>
      </c>
      <c r="N348" t="s">
        <v>47</v>
      </c>
      <c r="O348" t="s">
        <v>48</v>
      </c>
      <c r="P348" t="s">
        <v>48</v>
      </c>
      <c r="Y348" t="s">
        <v>1964</v>
      </c>
    </row>
    <row r="349" spans="1:25">
      <c r="A349" t="s">
        <v>1965</v>
      </c>
      <c r="B349" t="s">
        <v>1966</v>
      </c>
      <c r="D349" t="s">
        <v>40</v>
      </c>
      <c r="E349" t="s">
        <v>41</v>
      </c>
      <c r="G349" t="s">
        <v>1967</v>
      </c>
      <c r="H349" t="s">
        <v>1968</v>
      </c>
      <c r="J349" t="s">
        <v>44</v>
      </c>
      <c r="K349" t="s">
        <v>45</v>
      </c>
      <c r="L349">
        <v>5</v>
      </c>
      <c r="M349" t="s">
        <v>1969</v>
      </c>
      <c r="N349" t="s">
        <v>47</v>
      </c>
      <c r="O349" t="s">
        <v>48</v>
      </c>
      <c r="P349" t="s">
        <v>48</v>
      </c>
      <c r="Y349" t="s">
        <v>1970</v>
      </c>
    </row>
    <row r="350" spans="1:25">
      <c r="A350" t="s">
        <v>1971</v>
      </c>
      <c r="B350" t="s">
        <v>1972</v>
      </c>
      <c r="D350" t="s">
        <v>40</v>
      </c>
      <c r="E350" t="s">
        <v>41</v>
      </c>
      <c r="G350" t="s">
        <v>1973</v>
      </c>
      <c r="H350" t="s">
        <v>1974</v>
      </c>
      <c r="J350" t="s">
        <v>90</v>
      </c>
      <c r="K350" t="s">
        <v>91</v>
      </c>
      <c r="L350">
        <v>5</v>
      </c>
      <c r="M350" t="s">
        <v>1975</v>
      </c>
      <c r="N350" t="s">
        <v>47</v>
      </c>
      <c r="O350" t="s">
        <v>48</v>
      </c>
      <c r="P350" t="s">
        <v>48</v>
      </c>
      <c r="Y350" t="s">
        <v>1976</v>
      </c>
    </row>
    <row r="351" spans="1:25">
      <c r="A351" t="s">
        <v>1977</v>
      </c>
      <c r="B351" t="s">
        <v>1978</v>
      </c>
      <c r="D351" t="s">
        <v>40</v>
      </c>
      <c r="E351" t="s">
        <v>41</v>
      </c>
      <c r="G351" t="s">
        <v>1979</v>
      </c>
      <c r="H351" t="s">
        <v>1980</v>
      </c>
      <c r="J351" t="s">
        <v>90</v>
      </c>
      <c r="K351" t="s">
        <v>91</v>
      </c>
      <c r="L351">
        <v>5</v>
      </c>
      <c r="M351" t="s">
        <v>1981</v>
      </c>
      <c r="N351" t="s">
        <v>47</v>
      </c>
      <c r="O351" t="s">
        <v>48</v>
      </c>
      <c r="P351" t="s">
        <v>48</v>
      </c>
      <c r="Y351" t="s">
        <v>1982</v>
      </c>
    </row>
    <row r="352" spans="1:25">
      <c r="A352" t="s">
        <v>1983</v>
      </c>
      <c r="B352" t="s">
        <v>1984</v>
      </c>
      <c r="D352" t="s">
        <v>40</v>
      </c>
      <c r="E352" t="s">
        <v>41</v>
      </c>
      <c r="H352" t="s">
        <v>1985</v>
      </c>
      <c r="J352" t="s">
        <v>90</v>
      </c>
      <c r="K352" t="s">
        <v>91</v>
      </c>
      <c r="L352">
        <v>5</v>
      </c>
      <c r="M352" t="s">
        <v>1981</v>
      </c>
      <c r="N352" t="s">
        <v>47</v>
      </c>
      <c r="O352" t="s">
        <v>48</v>
      </c>
      <c r="P352" t="s">
        <v>48</v>
      </c>
      <c r="Y352" t="s">
        <v>1985</v>
      </c>
    </row>
    <row r="353" spans="1:25">
      <c r="A353" t="s">
        <v>1986</v>
      </c>
      <c r="B353" t="s">
        <v>1987</v>
      </c>
      <c r="D353" t="s">
        <v>40</v>
      </c>
      <c r="E353" t="s">
        <v>41</v>
      </c>
      <c r="G353" t="s">
        <v>174</v>
      </c>
      <c r="H353" t="s">
        <v>1988</v>
      </c>
      <c r="J353" t="s">
        <v>1827</v>
      </c>
      <c r="K353" t="s">
        <v>1828</v>
      </c>
      <c r="L353">
        <v>5</v>
      </c>
      <c r="M353" t="s">
        <v>1989</v>
      </c>
      <c r="N353" t="s">
        <v>47</v>
      </c>
      <c r="O353" t="s">
        <v>48</v>
      </c>
      <c r="P353" t="s">
        <v>48</v>
      </c>
      <c r="Y353" t="s">
        <v>1990</v>
      </c>
    </row>
    <row r="354" spans="1:25">
      <c r="A354" t="s">
        <v>1991</v>
      </c>
      <c r="B354" t="s">
        <v>1992</v>
      </c>
      <c r="D354" t="s">
        <v>40</v>
      </c>
      <c r="E354" t="s">
        <v>41</v>
      </c>
      <c r="G354" t="s">
        <v>1993</v>
      </c>
      <c r="H354" t="s">
        <v>1994</v>
      </c>
      <c r="J354" t="s">
        <v>133</v>
      </c>
      <c r="K354" t="s">
        <v>134</v>
      </c>
      <c r="L354">
        <v>5</v>
      </c>
      <c r="M354" t="s">
        <v>1989</v>
      </c>
      <c r="N354" t="s">
        <v>135</v>
      </c>
      <c r="O354" t="s">
        <v>48</v>
      </c>
      <c r="P354" t="s">
        <v>48</v>
      </c>
      <c r="Y354" t="s">
        <v>1995</v>
      </c>
    </row>
    <row r="355" spans="1:25">
      <c r="A355" t="s">
        <v>1996</v>
      </c>
      <c r="B355" t="s">
        <v>1997</v>
      </c>
      <c r="D355" t="s">
        <v>40</v>
      </c>
      <c r="E355" t="s">
        <v>41</v>
      </c>
      <c r="G355" t="s">
        <v>1998</v>
      </c>
      <c r="H355" t="s">
        <v>1999</v>
      </c>
      <c r="J355" t="s">
        <v>90</v>
      </c>
      <c r="K355" t="s">
        <v>91</v>
      </c>
      <c r="L355">
        <v>5</v>
      </c>
      <c r="M355" t="s">
        <v>1989</v>
      </c>
      <c r="N355" t="s">
        <v>47</v>
      </c>
      <c r="O355" t="s">
        <v>48</v>
      </c>
      <c r="P355" t="s">
        <v>48</v>
      </c>
      <c r="Y355" t="s">
        <v>2000</v>
      </c>
    </row>
    <row r="356" spans="1:25">
      <c r="A356" t="s">
        <v>2001</v>
      </c>
      <c r="B356" t="s">
        <v>2002</v>
      </c>
      <c r="D356" t="s">
        <v>40</v>
      </c>
      <c r="E356" t="s">
        <v>41</v>
      </c>
      <c r="G356" t="s">
        <v>2003</v>
      </c>
      <c r="H356" t="s">
        <v>2004</v>
      </c>
      <c r="J356" t="s">
        <v>78</v>
      </c>
      <c r="K356" t="s">
        <v>79</v>
      </c>
      <c r="L356">
        <v>5</v>
      </c>
      <c r="M356" t="s">
        <v>1989</v>
      </c>
      <c r="N356" t="s">
        <v>47</v>
      </c>
      <c r="O356" t="s">
        <v>48</v>
      </c>
      <c r="P356" t="s">
        <v>48</v>
      </c>
      <c r="Y356" t="s">
        <v>2005</v>
      </c>
    </row>
    <row r="357" spans="1:25">
      <c r="A357" t="s">
        <v>2006</v>
      </c>
      <c r="B357" t="s">
        <v>2007</v>
      </c>
      <c r="D357" t="s">
        <v>40</v>
      </c>
      <c r="E357" t="s">
        <v>41</v>
      </c>
      <c r="G357" t="s">
        <v>2008</v>
      </c>
      <c r="H357" t="s">
        <v>2009</v>
      </c>
      <c r="J357" t="s">
        <v>371</v>
      </c>
      <c r="K357" t="s">
        <v>372</v>
      </c>
      <c r="L357">
        <v>5</v>
      </c>
      <c r="M357" t="s">
        <v>2010</v>
      </c>
      <c r="N357" t="s">
        <v>47</v>
      </c>
      <c r="O357" t="s">
        <v>48</v>
      </c>
      <c r="P357" t="s">
        <v>48</v>
      </c>
      <c r="Y357" t="s">
        <v>2011</v>
      </c>
    </row>
    <row r="358" spans="1:25">
      <c r="A358" t="s">
        <v>2012</v>
      </c>
      <c r="B358" t="s">
        <v>2013</v>
      </c>
      <c r="D358" t="s">
        <v>40</v>
      </c>
      <c r="E358" t="s">
        <v>41</v>
      </c>
      <c r="G358" t="s">
        <v>2014</v>
      </c>
      <c r="H358" t="s">
        <v>2015</v>
      </c>
      <c r="J358" t="s">
        <v>90</v>
      </c>
      <c r="K358" t="s">
        <v>91</v>
      </c>
      <c r="L358">
        <v>5</v>
      </c>
      <c r="M358" t="s">
        <v>2016</v>
      </c>
      <c r="N358" t="s">
        <v>47</v>
      </c>
      <c r="O358" t="s">
        <v>48</v>
      </c>
      <c r="P358" t="s">
        <v>48</v>
      </c>
      <c r="Y358" t="s">
        <v>2017</v>
      </c>
    </row>
    <row r="359" spans="1:25">
      <c r="A359" t="s">
        <v>2018</v>
      </c>
      <c r="B359" t="s">
        <v>2019</v>
      </c>
      <c r="D359" t="s">
        <v>40</v>
      </c>
      <c r="E359" t="s">
        <v>41</v>
      </c>
      <c r="G359" t="s">
        <v>2020</v>
      </c>
      <c r="H359" t="s">
        <v>2021</v>
      </c>
      <c r="J359" t="s">
        <v>44</v>
      </c>
      <c r="K359" t="s">
        <v>45</v>
      </c>
      <c r="L359">
        <v>5</v>
      </c>
      <c r="M359" t="s">
        <v>2022</v>
      </c>
      <c r="N359" t="s">
        <v>47</v>
      </c>
      <c r="O359" t="s">
        <v>48</v>
      </c>
      <c r="P359" t="s">
        <v>48</v>
      </c>
      <c r="Y359" t="s">
        <v>2023</v>
      </c>
    </row>
    <row r="360" spans="1:25">
      <c r="A360" t="s">
        <v>2024</v>
      </c>
      <c r="B360" t="s">
        <v>2025</v>
      </c>
      <c r="D360" t="s">
        <v>40</v>
      </c>
      <c r="E360" t="s">
        <v>41</v>
      </c>
      <c r="G360" t="s">
        <v>2026</v>
      </c>
      <c r="H360" t="s">
        <v>2027</v>
      </c>
      <c r="J360" t="s">
        <v>90</v>
      </c>
      <c r="K360" t="s">
        <v>91</v>
      </c>
      <c r="L360">
        <v>5</v>
      </c>
      <c r="M360" t="s">
        <v>2028</v>
      </c>
      <c r="N360" t="s">
        <v>47</v>
      </c>
      <c r="O360" t="s">
        <v>48</v>
      </c>
      <c r="P360" t="s">
        <v>48</v>
      </c>
      <c r="Y360" t="s">
        <v>2029</v>
      </c>
    </row>
    <row r="361" spans="1:25">
      <c r="A361" t="s">
        <v>2030</v>
      </c>
      <c r="B361" t="s">
        <v>2031</v>
      </c>
      <c r="D361" t="s">
        <v>40</v>
      </c>
      <c r="E361" t="s">
        <v>41</v>
      </c>
      <c r="G361" t="s">
        <v>2032</v>
      </c>
      <c r="H361" t="s">
        <v>2033</v>
      </c>
      <c r="J361" t="s">
        <v>90</v>
      </c>
      <c r="K361" t="s">
        <v>91</v>
      </c>
      <c r="L361">
        <v>5</v>
      </c>
      <c r="M361" t="s">
        <v>2034</v>
      </c>
      <c r="N361" t="s">
        <v>47</v>
      </c>
      <c r="O361" t="s">
        <v>48</v>
      </c>
      <c r="P361" t="s">
        <v>48</v>
      </c>
      <c r="Y361" t="s">
        <v>2035</v>
      </c>
    </row>
    <row r="362" spans="1:25">
      <c r="A362" t="s">
        <v>2036</v>
      </c>
      <c r="B362" t="s">
        <v>2037</v>
      </c>
      <c r="D362" t="s">
        <v>40</v>
      </c>
      <c r="E362" t="s">
        <v>41</v>
      </c>
      <c r="G362" t="s">
        <v>2038</v>
      </c>
      <c r="H362" t="s">
        <v>2039</v>
      </c>
      <c r="J362" t="s">
        <v>371</v>
      </c>
      <c r="K362" t="s">
        <v>372</v>
      </c>
      <c r="L362">
        <v>5</v>
      </c>
      <c r="M362" t="s">
        <v>2034</v>
      </c>
      <c r="N362" t="s">
        <v>47</v>
      </c>
      <c r="O362" t="s">
        <v>48</v>
      </c>
      <c r="P362" t="s">
        <v>48</v>
      </c>
      <c r="Y362" t="s">
        <v>2040</v>
      </c>
    </row>
    <row r="363" spans="1:25">
      <c r="A363" t="s">
        <v>2041</v>
      </c>
      <c r="B363" t="s">
        <v>2042</v>
      </c>
      <c r="D363" t="s">
        <v>40</v>
      </c>
      <c r="E363" t="s">
        <v>41</v>
      </c>
      <c r="G363" t="s">
        <v>2043</v>
      </c>
      <c r="H363" t="s">
        <v>2044</v>
      </c>
      <c r="J363" t="s">
        <v>44</v>
      </c>
      <c r="K363" t="s">
        <v>45</v>
      </c>
      <c r="L363">
        <v>5</v>
      </c>
      <c r="M363" t="s">
        <v>2034</v>
      </c>
      <c r="N363" t="s">
        <v>47</v>
      </c>
      <c r="O363" t="s">
        <v>48</v>
      </c>
      <c r="P363" t="s">
        <v>48</v>
      </c>
      <c r="Y363" t="s">
        <v>2045</v>
      </c>
    </row>
    <row r="364" spans="1:25">
      <c r="A364" t="s">
        <v>2046</v>
      </c>
      <c r="B364" t="s">
        <v>2047</v>
      </c>
      <c r="D364" t="s">
        <v>40</v>
      </c>
      <c r="E364" t="s">
        <v>41</v>
      </c>
      <c r="J364" t="s">
        <v>54</v>
      </c>
      <c r="K364" t="s">
        <v>55</v>
      </c>
      <c r="L364">
        <v>5</v>
      </c>
      <c r="M364" t="s">
        <v>2034</v>
      </c>
      <c r="N364" t="s">
        <v>47</v>
      </c>
      <c r="O364" t="s">
        <v>48</v>
      </c>
      <c r="P364" t="s">
        <v>48</v>
      </c>
      <c r="Y364" t="s">
        <v>2048</v>
      </c>
    </row>
    <row r="365" spans="1:25">
      <c r="A365" t="s">
        <v>2049</v>
      </c>
      <c r="B365" t="s">
        <v>2050</v>
      </c>
      <c r="D365" t="s">
        <v>40</v>
      </c>
      <c r="E365" t="s">
        <v>41</v>
      </c>
      <c r="G365" t="s">
        <v>2051</v>
      </c>
      <c r="H365" t="s">
        <v>2052</v>
      </c>
      <c r="J365" t="s">
        <v>1571</v>
      </c>
      <c r="K365" t="s">
        <v>1572</v>
      </c>
      <c r="L365">
        <v>6</v>
      </c>
      <c r="M365" t="s">
        <v>2053</v>
      </c>
      <c r="N365" t="s">
        <v>685</v>
      </c>
      <c r="O365" t="s">
        <v>48</v>
      </c>
      <c r="P365" t="s">
        <v>48</v>
      </c>
      <c r="Y365" t="s">
        <v>2054</v>
      </c>
    </row>
    <row r="366" spans="1:25">
      <c r="A366" t="s">
        <v>2055</v>
      </c>
      <c r="B366" t="s">
        <v>2056</v>
      </c>
      <c r="D366" t="s">
        <v>40</v>
      </c>
      <c r="E366" t="s">
        <v>41</v>
      </c>
      <c r="G366" t="s">
        <v>2057</v>
      </c>
      <c r="H366" t="s">
        <v>2058</v>
      </c>
      <c r="J366" t="s">
        <v>234</v>
      </c>
      <c r="K366" t="s">
        <v>235</v>
      </c>
      <c r="L366">
        <v>5</v>
      </c>
      <c r="M366" t="s">
        <v>2059</v>
      </c>
      <c r="N366" t="s">
        <v>47</v>
      </c>
      <c r="O366" t="s">
        <v>48</v>
      </c>
      <c r="P366" t="s">
        <v>48</v>
      </c>
      <c r="Y366" t="s">
        <v>2060</v>
      </c>
    </row>
    <row r="367" spans="1:25">
      <c r="A367" t="s">
        <v>2061</v>
      </c>
      <c r="B367" t="s">
        <v>2062</v>
      </c>
      <c r="D367" t="s">
        <v>40</v>
      </c>
      <c r="E367" t="s">
        <v>41</v>
      </c>
      <c r="G367" t="s">
        <v>2063</v>
      </c>
      <c r="H367" t="s">
        <v>2064</v>
      </c>
      <c r="J367" t="s">
        <v>78</v>
      </c>
      <c r="K367" t="s">
        <v>79</v>
      </c>
      <c r="L367">
        <v>5</v>
      </c>
      <c r="M367" t="s">
        <v>2065</v>
      </c>
      <c r="N367" t="s">
        <v>47</v>
      </c>
      <c r="O367" t="s">
        <v>48</v>
      </c>
      <c r="P367" t="s">
        <v>48</v>
      </c>
      <c r="Y367" t="s">
        <v>2066</v>
      </c>
    </row>
    <row r="368" spans="1:25">
      <c r="A368" t="s">
        <v>2067</v>
      </c>
      <c r="B368" t="s">
        <v>2068</v>
      </c>
      <c r="D368" t="s">
        <v>40</v>
      </c>
      <c r="E368" t="s">
        <v>41</v>
      </c>
      <c r="G368" t="s">
        <v>2069</v>
      </c>
      <c r="H368" t="s">
        <v>2070</v>
      </c>
      <c r="J368" t="s">
        <v>371</v>
      </c>
      <c r="K368" t="s">
        <v>372</v>
      </c>
      <c r="L368">
        <v>5</v>
      </c>
      <c r="M368" t="s">
        <v>2071</v>
      </c>
      <c r="N368" t="s">
        <v>47</v>
      </c>
      <c r="O368" t="s">
        <v>48</v>
      </c>
      <c r="P368" t="s">
        <v>48</v>
      </c>
      <c r="Y368" t="s">
        <v>2072</v>
      </c>
    </row>
    <row r="369" spans="1:25">
      <c r="A369" t="s">
        <v>2073</v>
      </c>
      <c r="B369" t="s">
        <v>2074</v>
      </c>
      <c r="D369" t="s">
        <v>40</v>
      </c>
      <c r="E369" t="s">
        <v>41</v>
      </c>
      <c r="G369" t="s">
        <v>2075</v>
      </c>
      <c r="H369" t="s">
        <v>2076</v>
      </c>
      <c r="J369" t="s">
        <v>133</v>
      </c>
      <c r="K369" t="s">
        <v>134</v>
      </c>
      <c r="L369">
        <v>5</v>
      </c>
      <c r="M369" t="s">
        <v>2071</v>
      </c>
      <c r="N369" t="s">
        <v>135</v>
      </c>
      <c r="O369" t="s">
        <v>48</v>
      </c>
      <c r="P369" t="s">
        <v>48</v>
      </c>
      <c r="Y369" t="s">
        <v>2077</v>
      </c>
    </row>
    <row r="370" spans="1:25">
      <c r="A370" t="s">
        <v>2078</v>
      </c>
      <c r="B370" t="s">
        <v>2079</v>
      </c>
      <c r="D370" t="s">
        <v>40</v>
      </c>
      <c r="E370" t="s">
        <v>41</v>
      </c>
      <c r="G370" t="s">
        <v>2080</v>
      </c>
      <c r="H370" t="s">
        <v>2081</v>
      </c>
      <c r="J370" t="s">
        <v>90</v>
      </c>
      <c r="K370" t="s">
        <v>91</v>
      </c>
      <c r="L370">
        <v>5</v>
      </c>
      <c r="M370" t="s">
        <v>2082</v>
      </c>
      <c r="N370" t="s">
        <v>47</v>
      </c>
      <c r="O370" t="s">
        <v>48</v>
      </c>
      <c r="P370" t="s">
        <v>48</v>
      </c>
      <c r="Y370" t="s">
        <v>2083</v>
      </c>
    </row>
    <row r="371" spans="1:25">
      <c r="A371" t="s">
        <v>2084</v>
      </c>
      <c r="B371" t="s">
        <v>2085</v>
      </c>
      <c r="D371" t="s">
        <v>40</v>
      </c>
      <c r="E371" t="s">
        <v>41</v>
      </c>
      <c r="G371" t="s">
        <v>2086</v>
      </c>
      <c r="H371" t="s">
        <v>1199</v>
      </c>
      <c r="J371" t="s">
        <v>765</v>
      </c>
      <c r="K371" t="s">
        <v>766</v>
      </c>
      <c r="L371">
        <v>5</v>
      </c>
      <c r="M371" t="s">
        <v>2082</v>
      </c>
      <c r="N371" t="s">
        <v>290</v>
      </c>
      <c r="O371" t="s">
        <v>48</v>
      </c>
      <c r="P371" t="s">
        <v>48</v>
      </c>
      <c r="Y371" t="s">
        <v>2087</v>
      </c>
    </row>
    <row r="372" spans="1:25">
      <c r="A372" t="s">
        <v>2088</v>
      </c>
      <c r="B372" t="s">
        <v>2089</v>
      </c>
      <c r="D372" t="s">
        <v>40</v>
      </c>
      <c r="E372" t="s">
        <v>41</v>
      </c>
      <c r="G372" t="s">
        <v>2090</v>
      </c>
      <c r="H372" t="s">
        <v>2091</v>
      </c>
      <c r="J372" t="s">
        <v>90</v>
      </c>
      <c r="K372" t="s">
        <v>91</v>
      </c>
      <c r="L372">
        <v>5</v>
      </c>
      <c r="M372" t="s">
        <v>2092</v>
      </c>
      <c r="N372" t="s">
        <v>47</v>
      </c>
      <c r="O372" t="s">
        <v>48</v>
      </c>
      <c r="P372" t="s">
        <v>48</v>
      </c>
      <c r="Y372" t="s">
        <v>2093</v>
      </c>
    </row>
    <row r="373" spans="1:25">
      <c r="A373" t="s">
        <v>2094</v>
      </c>
      <c r="B373" t="s">
        <v>2095</v>
      </c>
      <c r="D373" t="s">
        <v>40</v>
      </c>
      <c r="E373" t="s">
        <v>41</v>
      </c>
      <c r="G373" t="s">
        <v>2096</v>
      </c>
      <c r="H373" t="s">
        <v>1999</v>
      </c>
      <c r="J373" t="s">
        <v>90</v>
      </c>
      <c r="K373" t="s">
        <v>91</v>
      </c>
      <c r="L373">
        <v>5</v>
      </c>
      <c r="M373" t="s">
        <v>2097</v>
      </c>
      <c r="N373" t="s">
        <v>47</v>
      </c>
      <c r="O373" t="s">
        <v>48</v>
      </c>
      <c r="P373" t="s">
        <v>48</v>
      </c>
      <c r="Y373" t="s">
        <v>2098</v>
      </c>
    </row>
    <row r="374" spans="1:25">
      <c r="A374" t="s">
        <v>2099</v>
      </c>
      <c r="B374" t="s">
        <v>2100</v>
      </c>
      <c r="D374" t="s">
        <v>40</v>
      </c>
      <c r="E374" t="s">
        <v>41</v>
      </c>
      <c r="G374" t="s">
        <v>2101</v>
      </c>
      <c r="H374" t="s">
        <v>2102</v>
      </c>
      <c r="J374" t="s">
        <v>78</v>
      </c>
      <c r="K374" t="s">
        <v>79</v>
      </c>
      <c r="L374">
        <v>5</v>
      </c>
      <c r="M374" t="s">
        <v>2103</v>
      </c>
      <c r="N374" t="s">
        <v>47</v>
      </c>
      <c r="O374" t="s">
        <v>48</v>
      </c>
      <c r="P374" t="s">
        <v>48</v>
      </c>
      <c r="Y374" t="s">
        <v>2104</v>
      </c>
    </row>
    <row r="375" spans="1:25">
      <c r="A375" t="s">
        <v>2105</v>
      </c>
      <c r="B375" t="s">
        <v>2106</v>
      </c>
      <c r="D375" t="s">
        <v>40</v>
      </c>
      <c r="E375" t="s">
        <v>41</v>
      </c>
      <c r="G375" t="s">
        <v>2107</v>
      </c>
      <c r="H375" t="s">
        <v>2108</v>
      </c>
      <c r="J375" t="s">
        <v>133</v>
      </c>
      <c r="K375" t="s">
        <v>134</v>
      </c>
      <c r="L375">
        <v>5</v>
      </c>
      <c r="M375" t="s">
        <v>2109</v>
      </c>
      <c r="N375" t="s">
        <v>290</v>
      </c>
      <c r="O375" t="s">
        <v>48</v>
      </c>
      <c r="P375" t="s">
        <v>48</v>
      </c>
      <c r="Y375" t="s">
        <v>2110</v>
      </c>
    </row>
    <row r="376" spans="1:25">
      <c r="A376" t="s">
        <v>2111</v>
      </c>
      <c r="B376" t="s">
        <v>2112</v>
      </c>
      <c r="D376" t="s">
        <v>40</v>
      </c>
      <c r="E376" t="s">
        <v>41</v>
      </c>
      <c r="G376" t="s">
        <v>2113</v>
      </c>
      <c r="H376" t="s">
        <v>2114</v>
      </c>
      <c r="J376" t="s">
        <v>90</v>
      </c>
      <c r="K376" t="s">
        <v>91</v>
      </c>
      <c r="L376">
        <v>5</v>
      </c>
      <c r="M376" t="s">
        <v>2115</v>
      </c>
      <c r="N376" t="s">
        <v>47</v>
      </c>
      <c r="O376" t="s">
        <v>48</v>
      </c>
      <c r="P376" t="s">
        <v>48</v>
      </c>
      <c r="Y376" t="s">
        <v>2116</v>
      </c>
    </row>
    <row r="377" spans="1:25">
      <c r="A377" t="s">
        <v>2117</v>
      </c>
      <c r="B377" t="s">
        <v>2118</v>
      </c>
      <c r="D377" t="s">
        <v>40</v>
      </c>
      <c r="E377" t="s">
        <v>41</v>
      </c>
      <c r="G377" t="s">
        <v>2119</v>
      </c>
      <c r="H377" t="s">
        <v>2120</v>
      </c>
      <c r="J377" t="s">
        <v>90</v>
      </c>
      <c r="K377" t="s">
        <v>91</v>
      </c>
      <c r="L377">
        <v>5</v>
      </c>
      <c r="M377" t="s">
        <v>2121</v>
      </c>
      <c r="N377" t="s">
        <v>47</v>
      </c>
      <c r="O377" t="s">
        <v>48</v>
      </c>
      <c r="P377" t="s">
        <v>48</v>
      </c>
      <c r="Y377" t="s">
        <v>2122</v>
      </c>
    </row>
    <row r="378" spans="1:25">
      <c r="A378" t="s">
        <v>2123</v>
      </c>
      <c r="B378" t="s">
        <v>2124</v>
      </c>
      <c r="D378" t="s">
        <v>40</v>
      </c>
      <c r="E378" t="s">
        <v>41</v>
      </c>
      <c r="J378" t="s">
        <v>371</v>
      </c>
      <c r="K378" t="s">
        <v>372</v>
      </c>
      <c r="L378">
        <v>5</v>
      </c>
      <c r="M378" t="s">
        <v>2125</v>
      </c>
      <c r="N378" t="s">
        <v>47</v>
      </c>
      <c r="O378" t="s">
        <v>48</v>
      </c>
      <c r="P378" t="s">
        <v>48</v>
      </c>
      <c r="Y378" t="s">
        <v>2126</v>
      </c>
    </row>
    <row r="379" spans="1:25">
      <c r="A379" t="s">
        <v>2127</v>
      </c>
      <c r="B379" t="s">
        <v>2128</v>
      </c>
      <c r="D379" t="s">
        <v>40</v>
      </c>
      <c r="E379" t="s">
        <v>41</v>
      </c>
      <c r="G379" t="s">
        <v>2129</v>
      </c>
      <c r="H379" t="s">
        <v>2130</v>
      </c>
      <c r="J379" t="s">
        <v>133</v>
      </c>
      <c r="K379" t="s">
        <v>134</v>
      </c>
      <c r="L379">
        <v>5</v>
      </c>
      <c r="M379" t="s">
        <v>2125</v>
      </c>
      <c r="N379" t="s">
        <v>135</v>
      </c>
      <c r="O379" t="s">
        <v>48</v>
      </c>
      <c r="P379" t="s">
        <v>48</v>
      </c>
      <c r="Y379" t="s">
        <v>2131</v>
      </c>
    </row>
    <row r="380" spans="1:25">
      <c r="A380" t="s">
        <v>2132</v>
      </c>
      <c r="B380" t="s">
        <v>2133</v>
      </c>
      <c r="D380" t="s">
        <v>40</v>
      </c>
      <c r="E380" t="s">
        <v>41</v>
      </c>
      <c r="G380" t="s">
        <v>2134</v>
      </c>
      <c r="H380" t="s">
        <v>2135</v>
      </c>
      <c r="J380" t="s">
        <v>90</v>
      </c>
      <c r="K380" t="s">
        <v>91</v>
      </c>
      <c r="L380">
        <v>5</v>
      </c>
      <c r="M380" t="s">
        <v>2136</v>
      </c>
      <c r="N380" t="s">
        <v>47</v>
      </c>
      <c r="O380" t="s">
        <v>48</v>
      </c>
      <c r="P380" t="s">
        <v>48</v>
      </c>
      <c r="Y380" t="s">
        <v>2137</v>
      </c>
    </row>
    <row r="381" spans="1:25">
      <c r="A381" t="s">
        <v>2138</v>
      </c>
      <c r="B381" t="s">
        <v>2139</v>
      </c>
      <c r="D381" t="s">
        <v>40</v>
      </c>
      <c r="E381" t="s">
        <v>41</v>
      </c>
      <c r="G381" t="s">
        <v>2140</v>
      </c>
      <c r="H381" t="s">
        <v>2141</v>
      </c>
      <c r="J381" t="s">
        <v>371</v>
      </c>
      <c r="K381" t="s">
        <v>372</v>
      </c>
      <c r="L381">
        <v>5</v>
      </c>
      <c r="M381" t="s">
        <v>2136</v>
      </c>
      <c r="N381" t="s">
        <v>47</v>
      </c>
      <c r="O381" t="s">
        <v>48</v>
      </c>
      <c r="P381" t="s">
        <v>48</v>
      </c>
      <c r="Y381" t="s">
        <v>2142</v>
      </c>
    </row>
    <row r="382" spans="1:25">
      <c r="A382" t="s">
        <v>2143</v>
      </c>
      <c r="B382" t="s">
        <v>2144</v>
      </c>
      <c r="D382" t="s">
        <v>40</v>
      </c>
      <c r="E382" t="s">
        <v>41</v>
      </c>
      <c r="G382" t="s">
        <v>2145</v>
      </c>
      <c r="H382" t="s">
        <v>2146</v>
      </c>
      <c r="J382" t="s">
        <v>54</v>
      </c>
      <c r="K382" t="s">
        <v>55</v>
      </c>
      <c r="L382">
        <v>5</v>
      </c>
      <c r="M382" t="s">
        <v>2147</v>
      </c>
      <c r="N382" t="s">
        <v>47</v>
      </c>
      <c r="O382" t="s">
        <v>48</v>
      </c>
      <c r="P382" t="s">
        <v>48</v>
      </c>
      <c r="Y382" t="s">
        <v>2148</v>
      </c>
    </row>
    <row r="383" spans="1:25">
      <c r="A383" t="s">
        <v>2149</v>
      </c>
      <c r="B383" t="s">
        <v>2150</v>
      </c>
      <c r="D383" t="s">
        <v>40</v>
      </c>
      <c r="E383" t="s">
        <v>41</v>
      </c>
      <c r="G383" t="s">
        <v>2151</v>
      </c>
      <c r="H383" t="s">
        <v>2152</v>
      </c>
      <c r="J383" t="s">
        <v>44</v>
      </c>
      <c r="K383" t="s">
        <v>45</v>
      </c>
      <c r="L383">
        <v>5</v>
      </c>
      <c r="M383" t="s">
        <v>2147</v>
      </c>
      <c r="N383" t="s">
        <v>47</v>
      </c>
      <c r="O383" t="s">
        <v>48</v>
      </c>
      <c r="P383" t="s">
        <v>48</v>
      </c>
      <c r="Y383" t="s">
        <v>2153</v>
      </c>
    </row>
    <row r="384" spans="1:25">
      <c r="A384" t="s">
        <v>2154</v>
      </c>
      <c r="B384" t="s">
        <v>2155</v>
      </c>
      <c r="D384" t="s">
        <v>40</v>
      </c>
      <c r="E384" t="s">
        <v>41</v>
      </c>
      <c r="G384" t="s">
        <v>2156</v>
      </c>
      <c r="H384" t="s">
        <v>2157</v>
      </c>
      <c r="J384" t="s">
        <v>44</v>
      </c>
      <c r="K384" t="s">
        <v>45</v>
      </c>
      <c r="L384">
        <v>5</v>
      </c>
      <c r="M384" t="s">
        <v>2147</v>
      </c>
      <c r="N384" t="s">
        <v>47</v>
      </c>
      <c r="O384" t="s">
        <v>48</v>
      </c>
      <c r="P384" t="s">
        <v>48</v>
      </c>
      <c r="Y384" t="s">
        <v>2158</v>
      </c>
    </row>
    <row r="385" spans="1:25">
      <c r="A385" t="s">
        <v>2159</v>
      </c>
      <c r="B385" t="s">
        <v>2160</v>
      </c>
      <c r="D385" t="s">
        <v>40</v>
      </c>
      <c r="E385" t="s">
        <v>41</v>
      </c>
      <c r="G385" t="s">
        <v>2161</v>
      </c>
      <c r="H385" t="s">
        <v>2162</v>
      </c>
      <c r="J385" t="s">
        <v>44</v>
      </c>
      <c r="K385" t="s">
        <v>45</v>
      </c>
      <c r="L385">
        <v>5</v>
      </c>
      <c r="M385" t="s">
        <v>2163</v>
      </c>
      <c r="N385" t="s">
        <v>47</v>
      </c>
      <c r="O385" t="s">
        <v>48</v>
      </c>
      <c r="P385" t="s">
        <v>48</v>
      </c>
      <c r="Y385" t="s">
        <v>2164</v>
      </c>
    </row>
    <row r="386" spans="1:25">
      <c r="A386" t="s">
        <v>2165</v>
      </c>
      <c r="B386" t="s">
        <v>2166</v>
      </c>
      <c r="D386" t="s">
        <v>40</v>
      </c>
      <c r="E386" t="s">
        <v>41</v>
      </c>
      <c r="G386" t="s">
        <v>2167</v>
      </c>
      <c r="H386" t="s">
        <v>2168</v>
      </c>
      <c r="J386" t="s">
        <v>44</v>
      </c>
      <c r="K386" t="s">
        <v>45</v>
      </c>
      <c r="L386">
        <v>5</v>
      </c>
      <c r="M386" t="s">
        <v>2163</v>
      </c>
      <c r="N386" t="s">
        <v>47</v>
      </c>
      <c r="O386" t="s">
        <v>48</v>
      </c>
      <c r="P386" t="s">
        <v>48</v>
      </c>
      <c r="Y386" t="s">
        <v>2169</v>
      </c>
    </row>
    <row r="387" spans="1:25">
      <c r="A387" t="s">
        <v>2170</v>
      </c>
      <c r="B387" t="s">
        <v>2171</v>
      </c>
      <c r="D387" t="s">
        <v>40</v>
      </c>
      <c r="E387" t="s">
        <v>41</v>
      </c>
      <c r="G387" t="s">
        <v>2172</v>
      </c>
      <c r="H387" t="s">
        <v>2173</v>
      </c>
      <c r="J387" t="s">
        <v>90</v>
      </c>
      <c r="K387" t="s">
        <v>91</v>
      </c>
      <c r="L387">
        <v>5</v>
      </c>
      <c r="M387" t="s">
        <v>2163</v>
      </c>
      <c r="N387" t="s">
        <v>47</v>
      </c>
      <c r="O387" t="s">
        <v>48</v>
      </c>
      <c r="P387" t="s">
        <v>48</v>
      </c>
      <c r="Y387" t="s">
        <v>2174</v>
      </c>
    </row>
    <row r="388" spans="1:25">
      <c r="A388" t="s">
        <v>2175</v>
      </c>
      <c r="B388" t="s">
        <v>2176</v>
      </c>
      <c r="D388" t="s">
        <v>40</v>
      </c>
      <c r="E388" t="s">
        <v>41</v>
      </c>
      <c r="G388" t="s">
        <v>2177</v>
      </c>
      <c r="H388" t="s">
        <v>475</v>
      </c>
      <c r="J388" t="s">
        <v>90</v>
      </c>
      <c r="K388" t="s">
        <v>91</v>
      </c>
      <c r="L388">
        <v>5</v>
      </c>
      <c r="M388" t="s">
        <v>2178</v>
      </c>
      <c r="N388" t="s">
        <v>47</v>
      </c>
      <c r="O388" t="s">
        <v>48</v>
      </c>
      <c r="P388" t="s">
        <v>48</v>
      </c>
      <c r="Y388" t="s">
        <v>2179</v>
      </c>
    </row>
    <row r="389" spans="1:25">
      <c r="A389" t="s">
        <v>2180</v>
      </c>
      <c r="B389" t="s">
        <v>2181</v>
      </c>
      <c r="D389" t="s">
        <v>40</v>
      </c>
      <c r="E389" t="s">
        <v>41</v>
      </c>
      <c r="G389" t="s">
        <v>2182</v>
      </c>
      <c r="H389" t="s">
        <v>2183</v>
      </c>
      <c r="J389" t="s">
        <v>78</v>
      </c>
      <c r="K389" t="s">
        <v>79</v>
      </c>
      <c r="L389">
        <v>5</v>
      </c>
      <c r="M389" t="s">
        <v>2184</v>
      </c>
      <c r="N389" t="s">
        <v>47</v>
      </c>
      <c r="O389" t="s">
        <v>48</v>
      </c>
      <c r="P389" t="s">
        <v>48</v>
      </c>
      <c r="Y389" t="s">
        <v>2185</v>
      </c>
    </row>
    <row r="390" spans="1:25">
      <c r="A390" t="s">
        <v>2186</v>
      </c>
      <c r="B390" t="s">
        <v>2187</v>
      </c>
      <c r="D390" t="s">
        <v>40</v>
      </c>
      <c r="E390" t="s">
        <v>41</v>
      </c>
      <c r="G390" t="s">
        <v>1768</v>
      </c>
      <c r="H390" t="s">
        <v>2188</v>
      </c>
      <c r="J390" t="s">
        <v>44</v>
      </c>
      <c r="K390" t="s">
        <v>45</v>
      </c>
      <c r="L390">
        <v>5</v>
      </c>
      <c r="M390" t="s">
        <v>2189</v>
      </c>
      <c r="N390" t="s">
        <v>47</v>
      </c>
      <c r="O390" t="s">
        <v>48</v>
      </c>
      <c r="P390" t="s">
        <v>48</v>
      </c>
      <c r="Y390" t="s">
        <v>2190</v>
      </c>
    </row>
    <row r="391" spans="1:25">
      <c r="A391" t="s">
        <v>2191</v>
      </c>
      <c r="B391" t="s">
        <v>2192</v>
      </c>
      <c r="D391" t="s">
        <v>40</v>
      </c>
      <c r="E391" t="s">
        <v>41</v>
      </c>
      <c r="G391" t="s">
        <v>2193</v>
      </c>
      <c r="H391" t="s">
        <v>2194</v>
      </c>
      <c r="J391" t="s">
        <v>44</v>
      </c>
      <c r="K391" t="s">
        <v>45</v>
      </c>
      <c r="L391">
        <v>5</v>
      </c>
      <c r="M391" t="s">
        <v>2189</v>
      </c>
      <c r="N391" t="s">
        <v>47</v>
      </c>
      <c r="O391" t="s">
        <v>48</v>
      </c>
      <c r="P391" t="s">
        <v>48</v>
      </c>
      <c r="Y391" t="s">
        <v>2195</v>
      </c>
    </row>
    <row r="392" spans="1:25">
      <c r="A392" t="s">
        <v>2196</v>
      </c>
      <c r="B392" t="s">
        <v>2197</v>
      </c>
      <c r="D392" t="s">
        <v>40</v>
      </c>
      <c r="E392" t="s">
        <v>41</v>
      </c>
      <c r="G392" t="s">
        <v>2198</v>
      </c>
      <c r="H392" t="s">
        <v>1637</v>
      </c>
      <c r="J392" t="s">
        <v>54</v>
      </c>
      <c r="K392" t="s">
        <v>55</v>
      </c>
      <c r="L392">
        <v>5</v>
      </c>
      <c r="M392" t="s">
        <v>2189</v>
      </c>
      <c r="N392" t="s">
        <v>47</v>
      </c>
      <c r="O392" t="s">
        <v>48</v>
      </c>
      <c r="P392" t="s">
        <v>48</v>
      </c>
      <c r="Y392" t="s">
        <v>2199</v>
      </c>
    </row>
    <row r="393" spans="1:25">
      <c r="A393" t="s">
        <v>2200</v>
      </c>
      <c r="B393" t="s">
        <v>2201</v>
      </c>
      <c r="D393" t="s">
        <v>40</v>
      </c>
      <c r="E393" t="s">
        <v>41</v>
      </c>
      <c r="G393" t="s">
        <v>2202</v>
      </c>
      <c r="H393" t="s">
        <v>1637</v>
      </c>
      <c r="J393" t="s">
        <v>133</v>
      </c>
      <c r="K393" t="s">
        <v>134</v>
      </c>
      <c r="L393">
        <v>5</v>
      </c>
      <c r="M393" t="s">
        <v>2189</v>
      </c>
      <c r="N393" t="s">
        <v>290</v>
      </c>
      <c r="O393" t="s">
        <v>48</v>
      </c>
      <c r="P393" t="s">
        <v>48</v>
      </c>
      <c r="Y393" t="s">
        <v>2203</v>
      </c>
    </row>
    <row r="394" spans="1:25">
      <c r="A394" t="s">
        <v>2204</v>
      </c>
      <c r="B394" t="s">
        <v>2205</v>
      </c>
      <c r="D394" t="s">
        <v>40</v>
      </c>
      <c r="E394" t="s">
        <v>41</v>
      </c>
      <c r="G394" t="s">
        <v>2206</v>
      </c>
      <c r="H394" t="s">
        <v>2207</v>
      </c>
      <c r="J394" t="s">
        <v>78</v>
      </c>
      <c r="K394" t="s">
        <v>79</v>
      </c>
      <c r="L394">
        <v>5</v>
      </c>
      <c r="M394" t="s">
        <v>2208</v>
      </c>
      <c r="N394" t="s">
        <v>47</v>
      </c>
      <c r="O394" t="s">
        <v>48</v>
      </c>
      <c r="P394" t="s">
        <v>48</v>
      </c>
      <c r="Y394" t="s">
        <v>2209</v>
      </c>
    </row>
    <row r="395" spans="1:25">
      <c r="A395" t="s">
        <v>2210</v>
      </c>
      <c r="B395" t="s">
        <v>2211</v>
      </c>
      <c r="D395" t="s">
        <v>40</v>
      </c>
      <c r="E395" t="s">
        <v>41</v>
      </c>
      <c r="G395" t="s">
        <v>2212</v>
      </c>
      <c r="H395" t="s">
        <v>89</v>
      </c>
      <c r="J395" t="s">
        <v>78</v>
      </c>
      <c r="K395" t="s">
        <v>79</v>
      </c>
      <c r="L395">
        <v>5</v>
      </c>
      <c r="M395" t="s">
        <v>2213</v>
      </c>
      <c r="N395" t="s">
        <v>47</v>
      </c>
      <c r="O395" t="s">
        <v>48</v>
      </c>
      <c r="P395" t="s">
        <v>48</v>
      </c>
      <c r="Y395" t="s">
        <v>2214</v>
      </c>
    </row>
    <row r="396" spans="1:25">
      <c r="A396" t="s">
        <v>2215</v>
      </c>
      <c r="B396" t="s">
        <v>2216</v>
      </c>
      <c r="D396" t="s">
        <v>40</v>
      </c>
      <c r="E396" t="s">
        <v>41</v>
      </c>
      <c r="G396" t="s">
        <v>2217</v>
      </c>
      <c r="H396" t="s">
        <v>2218</v>
      </c>
      <c r="J396" t="s">
        <v>90</v>
      </c>
      <c r="K396" t="s">
        <v>91</v>
      </c>
      <c r="L396">
        <v>5</v>
      </c>
      <c r="M396" t="s">
        <v>2219</v>
      </c>
      <c r="N396" t="s">
        <v>47</v>
      </c>
      <c r="O396" t="s">
        <v>48</v>
      </c>
      <c r="P396" t="s">
        <v>48</v>
      </c>
      <c r="Y396" t="s">
        <v>2220</v>
      </c>
    </row>
    <row r="397" spans="1:25">
      <c r="A397" t="s">
        <v>2221</v>
      </c>
      <c r="B397" t="s">
        <v>2222</v>
      </c>
      <c r="D397" t="s">
        <v>40</v>
      </c>
      <c r="E397" t="s">
        <v>41</v>
      </c>
      <c r="G397" t="s">
        <v>2223</v>
      </c>
      <c r="H397" t="s">
        <v>2224</v>
      </c>
      <c r="J397" t="s">
        <v>44</v>
      </c>
      <c r="K397" t="s">
        <v>45</v>
      </c>
      <c r="L397">
        <v>5</v>
      </c>
      <c r="M397" t="s">
        <v>2225</v>
      </c>
      <c r="N397" t="s">
        <v>47</v>
      </c>
      <c r="O397" t="s">
        <v>48</v>
      </c>
      <c r="P397" t="s">
        <v>48</v>
      </c>
      <c r="Y397" t="s">
        <v>2226</v>
      </c>
    </row>
    <row r="398" spans="1:25">
      <c r="A398" t="s">
        <v>2227</v>
      </c>
      <c r="B398" t="s">
        <v>2228</v>
      </c>
      <c r="D398" t="s">
        <v>40</v>
      </c>
      <c r="E398" t="s">
        <v>41</v>
      </c>
      <c r="G398" t="s">
        <v>775</v>
      </c>
      <c r="H398" t="s">
        <v>2229</v>
      </c>
      <c r="J398" t="s">
        <v>90</v>
      </c>
      <c r="K398" t="s">
        <v>91</v>
      </c>
      <c r="L398">
        <v>5</v>
      </c>
      <c r="M398" t="s">
        <v>2225</v>
      </c>
      <c r="N398" t="s">
        <v>47</v>
      </c>
      <c r="O398" t="s">
        <v>48</v>
      </c>
      <c r="P398" t="s">
        <v>48</v>
      </c>
      <c r="Y398" t="s">
        <v>2230</v>
      </c>
    </row>
    <row r="399" spans="1:25">
      <c r="A399" t="s">
        <v>2231</v>
      </c>
      <c r="B399" t="s">
        <v>2232</v>
      </c>
      <c r="D399" t="s">
        <v>40</v>
      </c>
      <c r="E399" t="s">
        <v>41</v>
      </c>
      <c r="G399" t="s">
        <v>2233</v>
      </c>
      <c r="H399" t="s">
        <v>2234</v>
      </c>
      <c r="J399" t="s">
        <v>133</v>
      </c>
      <c r="K399" t="s">
        <v>134</v>
      </c>
      <c r="L399">
        <v>5</v>
      </c>
      <c r="M399" t="s">
        <v>2235</v>
      </c>
      <c r="N399" t="s">
        <v>290</v>
      </c>
      <c r="O399" t="s">
        <v>48</v>
      </c>
      <c r="P399" t="s">
        <v>48</v>
      </c>
      <c r="Y399" t="s">
        <v>2236</v>
      </c>
    </row>
    <row r="400" spans="1:25">
      <c r="A400" t="s">
        <v>2237</v>
      </c>
      <c r="B400" t="s">
        <v>2238</v>
      </c>
      <c r="D400" t="s">
        <v>40</v>
      </c>
      <c r="E400" t="s">
        <v>41</v>
      </c>
      <c r="G400" t="s">
        <v>2239</v>
      </c>
      <c r="H400" t="s">
        <v>2240</v>
      </c>
      <c r="J400" t="s">
        <v>44</v>
      </c>
      <c r="K400" t="s">
        <v>45</v>
      </c>
      <c r="L400">
        <v>5</v>
      </c>
      <c r="M400" t="s">
        <v>2235</v>
      </c>
      <c r="N400" t="s">
        <v>47</v>
      </c>
      <c r="O400" t="s">
        <v>48</v>
      </c>
      <c r="P400" t="s">
        <v>48</v>
      </c>
      <c r="Y400" t="s">
        <v>2241</v>
      </c>
    </row>
    <row r="401" spans="1:25">
      <c r="A401" t="s">
        <v>2242</v>
      </c>
      <c r="B401" t="s">
        <v>2243</v>
      </c>
      <c r="D401" t="s">
        <v>40</v>
      </c>
      <c r="E401" t="s">
        <v>41</v>
      </c>
      <c r="G401" t="s">
        <v>2244</v>
      </c>
      <c r="H401" t="s">
        <v>2245</v>
      </c>
      <c r="J401" t="s">
        <v>44</v>
      </c>
      <c r="K401" t="s">
        <v>45</v>
      </c>
      <c r="L401">
        <v>5</v>
      </c>
      <c r="M401" t="s">
        <v>2246</v>
      </c>
      <c r="N401" t="s">
        <v>47</v>
      </c>
      <c r="O401" t="s">
        <v>48</v>
      </c>
      <c r="P401" t="s">
        <v>48</v>
      </c>
      <c r="Y401" t="s">
        <v>2247</v>
      </c>
    </row>
    <row r="402" spans="1:25">
      <c r="A402" t="s">
        <v>2248</v>
      </c>
      <c r="B402" t="s">
        <v>2249</v>
      </c>
      <c r="D402" t="s">
        <v>40</v>
      </c>
      <c r="E402" t="s">
        <v>41</v>
      </c>
      <c r="G402" t="s">
        <v>2250</v>
      </c>
      <c r="H402" t="s">
        <v>2251</v>
      </c>
      <c r="J402" t="s">
        <v>44</v>
      </c>
      <c r="K402" t="s">
        <v>45</v>
      </c>
      <c r="L402">
        <v>5</v>
      </c>
      <c r="M402" t="s">
        <v>2252</v>
      </c>
      <c r="N402" t="s">
        <v>47</v>
      </c>
      <c r="O402" t="s">
        <v>48</v>
      </c>
      <c r="P402" t="s">
        <v>48</v>
      </c>
      <c r="Y402" t="s">
        <v>2253</v>
      </c>
    </row>
    <row r="403" spans="1:25">
      <c r="A403" t="s">
        <v>2254</v>
      </c>
      <c r="B403" t="s">
        <v>2255</v>
      </c>
      <c r="D403" t="s">
        <v>40</v>
      </c>
      <c r="E403" t="s">
        <v>41</v>
      </c>
      <c r="G403" t="s">
        <v>2256</v>
      </c>
      <c r="H403" t="s">
        <v>2257</v>
      </c>
      <c r="J403" t="s">
        <v>90</v>
      </c>
      <c r="K403" t="s">
        <v>91</v>
      </c>
      <c r="L403">
        <v>5</v>
      </c>
      <c r="M403" t="s">
        <v>2258</v>
      </c>
      <c r="N403" t="s">
        <v>47</v>
      </c>
      <c r="O403" t="s">
        <v>48</v>
      </c>
      <c r="P403" t="s">
        <v>48</v>
      </c>
      <c r="Y403" t="s">
        <v>2259</v>
      </c>
    </row>
    <row r="404" spans="1:25">
      <c r="A404" t="s">
        <v>2260</v>
      </c>
      <c r="B404" t="s">
        <v>2261</v>
      </c>
      <c r="D404" t="s">
        <v>40</v>
      </c>
      <c r="E404" t="s">
        <v>41</v>
      </c>
      <c r="G404" t="s">
        <v>2262</v>
      </c>
      <c r="H404" t="s">
        <v>2263</v>
      </c>
      <c r="J404" t="s">
        <v>90</v>
      </c>
      <c r="K404" t="s">
        <v>91</v>
      </c>
      <c r="L404">
        <v>5</v>
      </c>
      <c r="M404" t="s">
        <v>2264</v>
      </c>
      <c r="N404" t="s">
        <v>47</v>
      </c>
      <c r="O404" t="s">
        <v>48</v>
      </c>
      <c r="P404" t="s">
        <v>48</v>
      </c>
      <c r="Y404" t="s">
        <v>2265</v>
      </c>
    </row>
    <row r="405" spans="1:25">
      <c r="A405" t="s">
        <v>2266</v>
      </c>
      <c r="B405" t="s">
        <v>2267</v>
      </c>
      <c r="D405" t="s">
        <v>40</v>
      </c>
      <c r="E405" t="s">
        <v>41</v>
      </c>
      <c r="G405" t="s">
        <v>2268</v>
      </c>
      <c r="H405" t="s">
        <v>2269</v>
      </c>
      <c r="J405" t="s">
        <v>133</v>
      </c>
      <c r="K405" t="s">
        <v>134</v>
      </c>
      <c r="L405">
        <v>5</v>
      </c>
      <c r="M405" t="s">
        <v>2264</v>
      </c>
      <c r="N405" t="s">
        <v>135</v>
      </c>
      <c r="O405" t="s">
        <v>48</v>
      </c>
      <c r="P405" t="s">
        <v>48</v>
      </c>
      <c r="Y405" t="s">
        <v>2270</v>
      </c>
    </row>
    <row r="406" spans="1:25">
      <c r="A406" t="s">
        <v>2271</v>
      </c>
      <c r="B406" t="s">
        <v>2272</v>
      </c>
      <c r="D406" t="s">
        <v>40</v>
      </c>
      <c r="E406" t="s">
        <v>41</v>
      </c>
      <c r="G406" t="s">
        <v>2273</v>
      </c>
      <c r="H406" t="s">
        <v>2274</v>
      </c>
      <c r="J406" t="s">
        <v>44</v>
      </c>
      <c r="K406" t="s">
        <v>45</v>
      </c>
      <c r="L406">
        <v>5</v>
      </c>
      <c r="M406" t="s">
        <v>2264</v>
      </c>
      <c r="N406" t="s">
        <v>47</v>
      </c>
      <c r="O406" t="s">
        <v>48</v>
      </c>
      <c r="P406" t="s">
        <v>48</v>
      </c>
      <c r="Y406" t="s">
        <v>2275</v>
      </c>
    </row>
    <row r="407" spans="1:25">
      <c r="A407" t="s">
        <v>2276</v>
      </c>
      <c r="B407" t="s">
        <v>2277</v>
      </c>
      <c r="D407" t="s">
        <v>40</v>
      </c>
      <c r="E407" t="s">
        <v>41</v>
      </c>
      <c r="H407" t="s">
        <v>2278</v>
      </c>
      <c r="J407" t="s">
        <v>234</v>
      </c>
      <c r="K407" t="s">
        <v>235</v>
      </c>
      <c r="L407">
        <v>5</v>
      </c>
      <c r="M407" t="s">
        <v>2279</v>
      </c>
      <c r="N407" t="s">
        <v>47</v>
      </c>
      <c r="O407" t="s">
        <v>48</v>
      </c>
      <c r="P407" t="s">
        <v>48</v>
      </c>
      <c r="Y407" t="s">
        <v>2278</v>
      </c>
    </row>
    <row r="408" spans="1:25">
      <c r="A408" t="s">
        <v>2280</v>
      </c>
      <c r="B408" t="s">
        <v>2281</v>
      </c>
      <c r="D408" t="s">
        <v>40</v>
      </c>
      <c r="E408" t="s">
        <v>41</v>
      </c>
      <c r="G408" t="s">
        <v>2282</v>
      </c>
      <c r="H408" t="s">
        <v>639</v>
      </c>
      <c r="J408" t="s">
        <v>44</v>
      </c>
      <c r="K408" t="s">
        <v>45</v>
      </c>
      <c r="L408">
        <v>5</v>
      </c>
      <c r="M408" t="s">
        <v>2283</v>
      </c>
      <c r="N408" t="s">
        <v>47</v>
      </c>
      <c r="O408" t="s">
        <v>48</v>
      </c>
      <c r="P408" t="s">
        <v>48</v>
      </c>
      <c r="Y408" t="s">
        <v>2284</v>
      </c>
    </row>
    <row r="409" spans="1:25">
      <c r="A409" t="s">
        <v>2285</v>
      </c>
      <c r="B409" t="s">
        <v>2286</v>
      </c>
      <c r="D409" t="s">
        <v>40</v>
      </c>
      <c r="E409" t="s">
        <v>41</v>
      </c>
      <c r="G409" t="s">
        <v>2287</v>
      </c>
      <c r="H409" t="s">
        <v>1605</v>
      </c>
      <c r="J409" t="s">
        <v>133</v>
      </c>
      <c r="K409" t="s">
        <v>134</v>
      </c>
      <c r="L409">
        <v>6</v>
      </c>
      <c r="M409" t="s">
        <v>2283</v>
      </c>
      <c r="N409" t="s">
        <v>135</v>
      </c>
      <c r="O409" t="s">
        <v>48</v>
      </c>
      <c r="P409" t="s">
        <v>48</v>
      </c>
      <c r="Y409" t="s">
        <v>2288</v>
      </c>
    </row>
    <row r="410" spans="1:25">
      <c r="A410" t="s">
        <v>2289</v>
      </c>
      <c r="B410" t="s">
        <v>2290</v>
      </c>
      <c r="D410" t="s">
        <v>40</v>
      </c>
      <c r="E410" t="s">
        <v>41</v>
      </c>
      <c r="G410" t="s">
        <v>2291</v>
      </c>
      <c r="H410" t="s">
        <v>2292</v>
      </c>
      <c r="J410" t="s">
        <v>78</v>
      </c>
      <c r="K410" t="s">
        <v>79</v>
      </c>
      <c r="L410">
        <v>5</v>
      </c>
      <c r="M410" t="s">
        <v>2293</v>
      </c>
      <c r="N410" t="s">
        <v>47</v>
      </c>
      <c r="O410" t="s">
        <v>48</v>
      </c>
      <c r="P410" t="s">
        <v>48</v>
      </c>
      <c r="Y410" t="s">
        <v>2294</v>
      </c>
    </row>
    <row r="411" spans="1:25">
      <c r="A411" t="s">
        <v>2295</v>
      </c>
      <c r="B411" t="s">
        <v>2296</v>
      </c>
      <c r="D411" t="s">
        <v>40</v>
      </c>
      <c r="E411" t="s">
        <v>41</v>
      </c>
      <c r="G411" t="s">
        <v>770</v>
      </c>
      <c r="H411" t="s">
        <v>2297</v>
      </c>
      <c r="J411" t="s">
        <v>371</v>
      </c>
      <c r="K411" t="s">
        <v>372</v>
      </c>
      <c r="L411">
        <v>5</v>
      </c>
      <c r="M411" t="s">
        <v>2293</v>
      </c>
      <c r="N411" t="s">
        <v>47</v>
      </c>
      <c r="O411" t="s">
        <v>48</v>
      </c>
      <c r="P411" t="s">
        <v>48</v>
      </c>
      <c r="Y411" t="s">
        <v>2298</v>
      </c>
    </row>
    <row r="412" spans="1:25">
      <c r="A412" t="s">
        <v>2299</v>
      </c>
      <c r="B412" t="s">
        <v>2300</v>
      </c>
      <c r="D412" t="s">
        <v>40</v>
      </c>
      <c r="E412" t="s">
        <v>41</v>
      </c>
      <c r="G412" t="s">
        <v>2301</v>
      </c>
      <c r="H412" t="s">
        <v>2302</v>
      </c>
      <c r="J412" t="s">
        <v>54</v>
      </c>
      <c r="K412" t="s">
        <v>55</v>
      </c>
      <c r="L412">
        <v>5</v>
      </c>
      <c r="M412" t="s">
        <v>2293</v>
      </c>
      <c r="N412" t="s">
        <v>47</v>
      </c>
      <c r="O412" t="s">
        <v>48</v>
      </c>
      <c r="P412" t="s">
        <v>48</v>
      </c>
      <c r="Y412" t="s">
        <v>2303</v>
      </c>
    </row>
    <row r="413" spans="1:25">
      <c r="A413" t="s">
        <v>2304</v>
      </c>
      <c r="B413" t="s">
        <v>2305</v>
      </c>
      <c r="D413" t="s">
        <v>40</v>
      </c>
      <c r="E413" t="s">
        <v>41</v>
      </c>
      <c r="G413" t="s">
        <v>222</v>
      </c>
      <c r="H413" t="s">
        <v>2306</v>
      </c>
      <c r="J413" t="s">
        <v>78</v>
      </c>
      <c r="K413" t="s">
        <v>79</v>
      </c>
      <c r="L413">
        <v>5</v>
      </c>
      <c r="M413" t="s">
        <v>2293</v>
      </c>
      <c r="N413" t="s">
        <v>47</v>
      </c>
      <c r="O413" t="s">
        <v>48</v>
      </c>
      <c r="P413" t="s">
        <v>48</v>
      </c>
      <c r="Y413" t="s">
        <v>2307</v>
      </c>
    </row>
    <row r="414" spans="1:25">
      <c r="A414" t="s">
        <v>2308</v>
      </c>
      <c r="B414" t="s">
        <v>2309</v>
      </c>
      <c r="D414" t="s">
        <v>40</v>
      </c>
      <c r="E414" t="s">
        <v>41</v>
      </c>
      <c r="G414" t="s">
        <v>2310</v>
      </c>
      <c r="H414" t="s">
        <v>2311</v>
      </c>
      <c r="J414" t="s">
        <v>78</v>
      </c>
      <c r="K414" t="s">
        <v>79</v>
      </c>
      <c r="L414">
        <v>5</v>
      </c>
      <c r="M414" t="s">
        <v>2312</v>
      </c>
      <c r="N414" t="s">
        <v>47</v>
      </c>
      <c r="O414" t="s">
        <v>48</v>
      </c>
      <c r="P414" t="s">
        <v>48</v>
      </c>
      <c r="Y414" t="s">
        <v>2313</v>
      </c>
    </row>
    <row r="415" spans="1:25">
      <c r="A415" t="s">
        <v>2314</v>
      </c>
      <c r="B415" t="s">
        <v>2315</v>
      </c>
      <c r="D415" t="s">
        <v>40</v>
      </c>
      <c r="E415" t="s">
        <v>41</v>
      </c>
      <c r="G415" t="s">
        <v>2316</v>
      </c>
      <c r="H415" t="s">
        <v>2317</v>
      </c>
      <c r="J415" t="s">
        <v>133</v>
      </c>
      <c r="K415" t="s">
        <v>134</v>
      </c>
      <c r="L415">
        <v>5</v>
      </c>
      <c r="M415" t="s">
        <v>2318</v>
      </c>
      <c r="N415" t="s">
        <v>685</v>
      </c>
      <c r="O415" t="s">
        <v>48</v>
      </c>
      <c r="P415" t="s">
        <v>48</v>
      </c>
      <c r="Y415" t="s">
        <v>2319</v>
      </c>
    </row>
    <row r="416" spans="1:25">
      <c r="A416" t="s">
        <v>2320</v>
      </c>
      <c r="B416" t="s">
        <v>2321</v>
      </c>
      <c r="D416" t="s">
        <v>40</v>
      </c>
      <c r="E416" t="s">
        <v>41</v>
      </c>
      <c r="G416" t="s">
        <v>2182</v>
      </c>
      <c r="H416" t="s">
        <v>2322</v>
      </c>
      <c r="J416" t="s">
        <v>353</v>
      </c>
      <c r="K416" t="s">
        <v>354</v>
      </c>
      <c r="L416">
        <v>5</v>
      </c>
      <c r="M416" t="s">
        <v>2323</v>
      </c>
      <c r="N416" t="s">
        <v>135</v>
      </c>
      <c r="O416" t="s">
        <v>48</v>
      </c>
      <c r="P416" t="s">
        <v>48</v>
      </c>
      <c r="Y416" t="s">
        <v>2324</v>
      </c>
    </row>
    <row r="417" spans="1:25">
      <c r="A417" t="s">
        <v>2325</v>
      </c>
      <c r="B417" t="s">
        <v>2326</v>
      </c>
      <c r="D417" t="s">
        <v>40</v>
      </c>
      <c r="E417" t="s">
        <v>41</v>
      </c>
      <c r="H417" t="s">
        <v>2327</v>
      </c>
      <c r="J417" t="s">
        <v>2328</v>
      </c>
      <c r="K417" t="s">
        <v>2329</v>
      </c>
      <c r="L417">
        <v>5</v>
      </c>
      <c r="M417" t="s">
        <v>2330</v>
      </c>
      <c r="N417" t="s">
        <v>685</v>
      </c>
      <c r="O417" t="s">
        <v>48</v>
      </c>
      <c r="P417" t="s">
        <v>48</v>
      </c>
      <c r="Y417" t="s">
        <v>2327</v>
      </c>
    </row>
    <row r="418" spans="1:25">
      <c r="A418" t="s">
        <v>2331</v>
      </c>
      <c r="B418" t="s">
        <v>2332</v>
      </c>
      <c r="D418" t="s">
        <v>40</v>
      </c>
      <c r="E418" t="s">
        <v>41</v>
      </c>
      <c r="G418" t="s">
        <v>2333</v>
      </c>
      <c r="H418" t="s">
        <v>2334</v>
      </c>
      <c r="J418" t="s">
        <v>90</v>
      </c>
      <c r="K418" t="s">
        <v>91</v>
      </c>
      <c r="L418">
        <v>5</v>
      </c>
      <c r="M418" t="s">
        <v>2335</v>
      </c>
      <c r="N418" t="s">
        <v>47</v>
      </c>
      <c r="O418" t="s">
        <v>48</v>
      </c>
      <c r="P418" t="s">
        <v>48</v>
      </c>
      <c r="Y418" t="s">
        <v>2336</v>
      </c>
    </row>
    <row r="419" spans="1:25">
      <c r="A419" t="s">
        <v>2337</v>
      </c>
      <c r="B419" t="s">
        <v>2338</v>
      </c>
      <c r="D419" t="s">
        <v>40</v>
      </c>
      <c r="E419" t="s">
        <v>41</v>
      </c>
      <c r="G419" t="s">
        <v>2339</v>
      </c>
      <c r="H419" t="s">
        <v>2340</v>
      </c>
      <c r="J419" t="s">
        <v>44</v>
      </c>
      <c r="K419" t="s">
        <v>45</v>
      </c>
      <c r="L419">
        <v>5</v>
      </c>
      <c r="M419" t="s">
        <v>2341</v>
      </c>
      <c r="N419" t="s">
        <v>47</v>
      </c>
      <c r="O419" t="s">
        <v>48</v>
      </c>
      <c r="P419" t="s">
        <v>48</v>
      </c>
      <c r="Y419" t="s">
        <v>2342</v>
      </c>
    </row>
    <row r="420" spans="1:25">
      <c r="A420" t="s">
        <v>2343</v>
      </c>
      <c r="B420" t="s">
        <v>2344</v>
      </c>
      <c r="D420" t="s">
        <v>40</v>
      </c>
      <c r="E420" t="s">
        <v>41</v>
      </c>
      <c r="G420" t="s">
        <v>2345</v>
      </c>
      <c r="H420" t="s">
        <v>2346</v>
      </c>
      <c r="J420" t="s">
        <v>44</v>
      </c>
      <c r="K420" t="s">
        <v>45</v>
      </c>
      <c r="L420">
        <v>5</v>
      </c>
      <c r="M420" t="s">
        <v>2347</v>
      </c>
      <c r="N420" t="s">
        <v>47</v>
      </c>
      <c r="O420" t="s">
        <v>48</v>
      </c>
      <c r="P420" t="s">
        <v>48</v>
      </c>
      <c r="Y420" t="s">
        <v>2348</v>
      </c>
    </row>
    <row r="421" spans="1:25">
      <c r="A421" t="s">
        <v>2349</v>
      </c>
      <c r="B421" t="s">
        <v>2350</v>
      </c>
      <c r="D421" t="s">
        <v>40</v>
      </c>
      <c r="E421" t="s">
        <v>41</v>
      </c>
      <c r="G421" t="s">
        <v>2351</v>
      </c>
      <c r="H421" t="s">
        <v>2352</v>
      </c>
      <c r="J421" t="s">
        <v>90</v>
      </c>
      <c r="K421" t="s">
        <v>91</v>
      </c>
      <c r="L421">
        <v>5</v>
      </c>
      <c r="M421" t="s">
        <v>2347</v>
      </c>
      <c r="N421" t="s">
        <v>47</v>
      </c>
      <c r="O421" t="s">
        <v>48</v>
      </c>
      <c r="P421" t="s">
        <v>48</v>
      </c>
      <c r="Y421" t="s">
        <v>2353</v>
      </c>
    </row>
    <row r="422" spans="1:25">
      <c r="A422" t="s">
        <v>2354</v>
      </c>
      <c r="B422" t="s">
        <v>2355</v>
      </c>
      <c r="D422" t="s">
        <v>40</v>
      </c>
      <c r="E422" t="s">
        <v>41</v>
      </c>
      <c r="G422" t="s">
        <v>2356</v>
      </c>
      <c r="H422" t="s">
        <v>2357</v>
      </c>
      <c r="J422" t="s">
        <v>44</v>
      </c>
      <c r="K422" t="s">
        <v>45</v>
      </c>
      <c r="L422">
        <v>5</v>
      </c>
      <c r="M422" t="s">
        <v>2358</v>
      </c>
      <c r="N422" t="s">
        <v>47</v>
      </c>
      <c r="O422" t="s">
        <v>48</v>
      </c>
      <c r="P422" t="s">
        <v>48</v>
      </c>
      <c r="Y422" t="s">
        <v>2359</v>
      </c>
    </row>
    <row r="423" spans="1:25">
      <c r="A423" t="s">
        <v>2360</v>
      </c>
      <c r="B423" t="s">
        <v>2361</v>
      </c>
      <c r="D423" t="s">
        <v>40</v>
      </c>
      <c r="E423" t="s">
        <v>41</v>
      </c>
      <c r="G423" t="s">
        <v>2362</v>
      </c>
      <c r="H423" t="s">
        <v>2363</v>
      </c>
      <c r="J423" t="s">
        <v>90</v>
      </c>
      <c r="K423" t="s">
        <v>91</v>
      </c>
      <c r="L423">
        <v>5</v>
      </c>
      <c r="M423" t="s">
        <v>2364</v>
      </c>
      <c r="N423" t="s">
        <v>47</v>
      </c>
      <c r="O423" t="s">
        <v>48</v>
      </c>
      <c r="P423" t="s">
        <v>48</v>
      </c>
      <c r="Y423" t="s">
        <v>2365</v>
      </c>
    </row>
    <row r="424" spans="1:25">
      <c r="A424" t="s">
        <v>2366</v>
      </c>
      <c r="B424" t="s">
        <v>2367</v>
      </c>
      <c r="D424" t="s">
        <v>40</v>
      </c>
      <c r="E424" t="s">
        <v>41</v>
      </c>
      <c r="G424" t="s">
        <v>2368</v>
      </c>
      <c r="H424" t="s">
        <v>2369</v>
      </c>
      <c r="J424" t="s">
        <v>54</v>
      </c>
      <c r="K424" t="s">
        <v>55</v>
      </c>
      <c r="L424">
        <v>5</v>
      </c>
      <c r="M424" t="s">
        <v>2370</v>
      </c>
      <c r="N424" t="s">
        <v>47</v>
      </c>
      <c r="O424" t="s">
        <v>48</v>
      </c>
      <c r="P424" t="s">
        <v>48</v>
      </c>
      <c r="Y424" t="s">
        <v>2371</v>
      </c>
    </row>
    <row r="425" spans="1:25">
      <c r="A425" t="s">
        <v>2372</v>
      </c>
      <c r="B425" t="s">
        <v>2373</v>
      </c>
      <c r="D425" t="s">
        <v>40</v>
      </c>
      <c r="E425" t="s">
        <v>41</v>
      </c>
      <c r="G425" t="s">
        <v>2374</v>
      </c>
      <c r="H425" t="s">
        <v>2375</v>
      </c>
      <c r="J425" t="s">
        <v>371</v>
      </c>
      <c r="K425" t="s">
        <v>372</v>
      </c>
      <c r="L425">
        <v>5</v>
      </c>
      <c r="M425" t="s">
        <v>2376</v>
      </c>
      <c r="N425" t="s">
        <v>47</v>
      </c>
      <c r="O425" t="s">
        <v>48</v>
      </c>
      <c r="P425" t="s">
        <v>48</v>
      </c>
      <c r="Y425" t="s">
        <v>2377</v>
      </c>
    </row>
    <row r="426" spans="1:25">
      <c r="A426" t="s">
        <v>2378</v>
      </c>
      <c r="B426" t="s">
        <v>2379</v>
      </c>
      <c r="D426" t="s">
        <v>40</v>
      </c>
      <c r="E426" t="s">
        <v>41</v>
      </c>
      <c r="G426" t="s">
        <v>2380</v>
      </c>
      <c r="H426" t="s">
        <v>2381</v>
      </c>
      <c r="J426" t="s">
        <v>90</v>
      </c>
      <c r="K426" t="s">
        <v>91</v>
      </c>
      <c r="L426">
        <v>5</v>
      </c>
      <c r="M426" t="s">
        <v>2382</v>
      </c>
      <c r="N426" t="s">
        <v>47</v>
      </c>
      <c r="O426" t="s">
        <v>48</v>
      </c>
      <c r="P426" t="s">
        <v>48</v>
      </c>
      <c r="Y426" t="s">
        <v>2383</v>
      </c>
    </row>
    <row r="427" spans="1:25">
      <c r="A427" t="s">
        <v>2384</v>
      </c>
      <c r="B427" t="s">
        <v>2385</v>
      </c>
      <c r="D427" t="s">
        <v>40</v>
      </c>
      <c r="E427" t="s">
        <v>41</v>
      </c>
      <c r="G427" t="s">
        <v>2386</v>
      </c>
      <c r="H427" t="s">
        <v>2387</v>
      </c>
      <c r="J427" t="s">
        <v>44</v>
      </c>
      <c r="K427" t="s">
        <v>45</v>
      </c>
      <c r="L427">
        <v>5</v>
      </c>
      <c r="M427" t="s">
        <v>2388</v>
      </c>
      <c r="N427" t="s">
        <v>47</v>
      </c>
      <c r="O427" t="s">
        <v>48</v>
      </c>
      <c r="P427" t="s">
        <v>48</v>
      </c>
      <c r="Y427" t="s">
        <v>2389</v>
      </c>
    </row>
    <row r="428" spans="1:25">
      <c r="A428" t="s">
        <v>2390</v>
      </c>
      <c r="B428" t="s">
        <v>2391</v>
      </c>
      <c r="D428" t="s">
        <v>40</v>
      </c>
      <c r="E428" t="s">
        <v>41</v>
      </c>
      <c r="G428" t="s">
        <v>2392</v>
      </c>
      <c r="H428" t="s">
        <v>2393</v>
      </c>
      <c r="J428" t="s">
        <v>90</v>
      </c>
      <c r="K428" t="s">
        <v>91</v>
      </c>
      <c r="L428">
        <v>5</v>
      </c>
      <c r="M428" t="s">
        <v>2388</v>
      </c>
      <c r="N428" t="s">
        <v>47</v>
      </c>
      <c r="O428" t="s">
        <v>48</v>
      </c>
      <c r="P428" t="s">
        <v>48</v>
      </c>
      <c r="Y428" t="s">
        <v>2394</v>
      </c>
    </row>
    <row r="429" spans="1:25">
      <c r="A429" t="s">
        <v>2395</v>
      </c>
      <c r="B429" t="s">
        <v>2396</v>
      </c>
      <c r="D429" t="s">
        <v>40</v>
      </c>
      <c r="E429" t="s">
        <v>41</v>
      </c>
      <c r="G429" t="s">
        <v>1111</v>
      </c>
      <c r="H429" t="s">
        <v>1653</v>
      </c>
      <c r="J429" t="s">
        <v>90</v>
      </c>
      <c r="K429" t="s">
        <v>91</v>
      </c>
      <c r="L429">
        <v>5</v>
      </c>
      <c r="M429" t="s">
        <v>2388</v>
      </c>
      <c r="N429" t="s">
        <v>47</v>
      </c>
      <c r="O429" t="s">
        <v>48</v>
      </c>
      <c r="P429" t="s">
        <v>48</v>
      </c>
      <c r="Y429" t="s">
        <v>2397</v>
      </c>
    </row>
    <row r="430" spans="1:25">
      <c r="A430" t="s">
        <v>2398</v>
      </c>
      <c r="B430" t="s">
        <v>2399</v>
      </c>
      <c r="D430" t="s">
        <v>40</v>
      </c>
      <c r="E430" t="s">
        <v>41</v>
      </c>
      <c r="G430" t="s">
        <v>810</v>
      </c>
      <c r="H430" t="s">
        <v>1406</v>
      </c>
      <c r="J430" t="s">
        <v>54</v>
      </c>
      <c r="K430" t="s">
        <v>55</v>
      </c>
      <c r="L430">
        <v>5</v>
      </c>
      <c r="M430" t="s">
        <v>2400</v>
      </c>
      <c r="N430" t="s">
        <v>47</v>
      </c>
      <c r="O430" t="s">
        <v>48</v>
      </c>
      <c r="P430" t="s">
        <v>48</v>
      </c>
      <c r="Y430" t="s">
        <v>2401</v>
      </c>
    </row>
    <row r="431" spans="1:25">
      <c r="A431" t="s">
        <v>2402</v>
      </c>
      <c r="B431" t="s">
        <v>2403</v>
      </c>
      <c r="D431" t="s">
        <v>40</v>
      </c>
      <c r="E431" t="s">
        <v>41</v>
      </c>
      <c r="G431" t="s">
        <v>1099</v>
      </c>
      <c r="H431" t="s">
        <v>2404</v>
      </c>
      <c r="J431" t="s">
        <v>54</v>
      </c>
      <c r="K431" t="s">
        <v>55</v>
      </c>
      <c r="L431">
        <v>5</v>
      </c>
      <c r="M431" t="s">
        <v>2405</v>
      </c>
      <c r="N431" t="s">
        <v>47</v>
      </c>
      <c r="O431" t="s">
        <v>48</v>
      </c>
      <c r="P431" t="s">
        <v>48</v>
      </c>
      <c r="Y431" t="s">
        <v>2406</v>
      </c>
    </row>
    <row r="432" spans="1:25">
      <c r="A432" t="s">
        <v>2407</v>
      </c>
      <c r="B432" t="s">
        <v>2408</v>
      </c>
      <c r="D432" t="s">
        <v>40</v>
      </c>
      <c r="E432" t="s">
        <v>41</v>
      </c>
      <c r="G432" t="s">
        <v>2409</v>
      </c>
      <c r="H432" t="s">
        <v>2410</v>
      </c>
      <c r="J432" t="s">
        <v>54</v>
      </c>
      <c r="K432" t="s">
        <v>55</v>
      </c>
      <c r="L432">
        <v>5</v>
      </c>
      <c r="M432" t="s">
        <v>2411</v>
      </c>
      <c r="N432" t="s">
        <v>47</v>
      </c>
      <c r="O432" t="s">
        <v>48</v>
      </c>
      <c r="P432" t="s">
        <v>48</v>
      </c>
      <c r="Y432" t="s">
        <v>2412</v>
      </c>
    </row>
    <row r="433" spans="1:25">
      <c r="A433" t="s">
        <v>2413</v>
      </c>
      <c r="B433" t="s">
        <v>2414</v>
      </c>
      <c r="D433" t="s">
        <v>40</v>
      </c>
      <c r="E433" t="s">
        <v>41</v>
      </c>
      <c r="J433" t="s">
        <v>90</v>
      </c>
      <c r="K433" t="s">
        <v>91</v>
      </c>
      <c r="L433">
        <v>5</v>
      </c>
      <c r="M433" t="s">
        <v>2411</v>
      </c>
      <c r="N433" t="s">
        <v>47</v>
      </c>
      <c r="O433" t="s">
        <v>48</v>
      </c>
      <c r="P433" t="s">
        <v>48</v>
      </c>
      <c r="Y433" t="s">
        <v>2415</v>
      </c>
    </row>
    <row r="434" spans="1:25">
      <c r="A434" t="s">
        <v>2416</v>
      </c>
      <c r="B434" t="s">
        <v>2417</v>
      </c>
      <c r="D434" t="s">
        <v>40</v>
      </c>
      <c r="E434" t="s">
        <v>41</v>
      </c>
      <c r="G434" t="s">
        <v>2418</v>
      </c>
      <c r="H434" t="s">
        <v>1308</v>
      </c>
      <c r="J434" t="s">
        <v>133</v>
      </c>
      <c r="K434" t="s">
        <v>134</v>
      </c>
      <c r="L434">
        <v>5</v>
      </c>
      <c r="M434" t="s">
        <v>2411</v>
      </c>
      <c r="N434" t="s">
        <v>290</v>
      </c>
      <c r="O434" t="s">
        <v>48</v>
      </c>
      <c r="P434" t="s">
        <v>48</v>
      </c>
      <c r="Y434" t="s">
        <v>2419</v>
      </c>
    </row>
    <row r="435" spans="1:25">
      <c r="A435" t="s">
        <v>2420</v>
      </c>
      <c r="B435" t="s">
        <v>2421</v>
      </c>
      <c r="D435" t="s">
        <v>40</v>
      </c>
      <c r="E435" t="s">
        <v>41</v>
      </c>
      <c r="G435" t="s">
        <v>2422</v>
      </c>
      <c r="H435" t="s">
        <v>2423</v>
      </c>
      <c r="J435" t="s">
        <v>44</v>
      </c>
      <c r="K435" t="s">
        <v>45</v>
      </c>
      <c r="L435">
        <v>5</v>
      </c>
      <c r="M435" t="s">
        <v>2424</v>
      </c>
      <c r="N435" t="s">
        <v>47</v>
      </c>
      <c r="O435" t="s">
        <v>48</v>
      </c>
      <c r="P435" t="s">
        <v>48</v>
      </c>
      <c r="Y435" t="s">
        <v>2425</v>
      </c>
    </row>
    <row r="436" spans="1:25">
      <c r="A436" t="s">
        <v>2426</v>
      </c>
      <c r="B436" t="s">
        <v>2427</v>
      </c>
      <c r="D436" t="s">
        <v>40</v>
      </c>
      <c r="E436" t="s">
        <v>41</v>
      </c>
      <c r="G436" t="s">
        <v>2428</v>
      </c>
      <c r="H436" t="s">
        <v>2429</v>
      </c>
      <c r="J436" t="s">
        <v>44</v>
      </c>
      <c r="K436" t="s">
        <v>45</v>
      </c>
      <c r="L436">
        <v>5</v>
      </c>
      <c r="M436" t="s">
        <v>2430</v>
      </c>
      <c r="N436" t="s">
        <v>47</v>
      </c>
      <c r="O436" t="s">
        <v>48</v>
      </c>
      <c r="P436" t="s">
        <v>48</v>
      </c>
      <c r="Y436" t="s">
        <v>2431</v>
      </c>
    </row>
    <row r="437" spans="1:25">
      <c r="A437" t="s">
        <v>2432</v>
      </c>
      <c r="B437" t="s">
        <v>2433</v>
      </c>
      <c r="D437" t="s">
        <v>40</v>
      </c>
      <c r="E437" t="s">
        <v>41</v>
      </c>
      <c r="G437" t="s">
        <v>2434</v>
      </c>
      <c r="H437" t="s">
        <v>548</v>
      </c>
      <c r="J437" t="s">
        <v>44</v>
      </c>
      <c r="K437" t="s">
        <v>45</v>
      </c>
      <c r="L437">
        <v>5</v>
      </c>
      <c r="M437" t="s">
        <v>2430</v>
      </c>
      <c r="N437" t="s">
        <v>47</v>
      </c>
      <c r="O437" t="s">
        <v>48</v>
      </c>
      <c r="P437" t="s">
        <v>48</v>
      </c>
      <c r="Y437" t="s">
        <v>2435</v>
      </c>
    </row>
    <row r="438" spans="1:25">
      <c r="A438" t="s">
        <v>2436</v>
      </c>
      <c r="B438" t="s">
        <v>2437</v>
      </c>
      <c r="D438" t="s">
        <v>40</v>
      </c>
      <c r="E438" t="s">
        <v>41</v>
      </c>
      <c r="G438" t="s">
        <v>2438</v>
      </c>
      <c r="H438" t="s">
        <v>2439</v>
      </c>
      <c r="J438" t="s">
        <v>133</v>
      </c>
      <c r="K438" t="s">
        <v>134</v>
      </c>
      <c r="L438">
        <v>5</v>
      </c>
      <c r="M438" t="s">
        <v>2440</v>
      </c>
      <c r="N438" t="s">
        <v>685</v>
      </c>
      <c r="O438" t="s">
        <v>48</v>
      </c>
      <c r="P438" t="s">
        <v>48</v>
      </c>
      <c r="Y438" t="s">
        <v>2441</v>
      </c>
    </row>
    <row r="439" spans="1:25">
      <c r="A439" t="s">
        <v>2442</v>
      </c>
      <c r="B439" t="s">
        <v>2443</v>
      </c>
      <c r="D439" t="s">
        <v>40</v>
      </c>
      <c r="E439" t="s">
        <v>41</v>
      </c>
      <c r="G439" t="s">
        <v>2444</v>
      </c>
      <c r="H439" t="s">
        <v>2445</v>
      </c>
      <c r="J439" t="s">
        <v>90</v>
      </c>
      <c r="K439" t="s">
        <v>91</v>
      </c>
      <c r="L439">
        <v>5</v>
      </c>
      <c r="M439" t="s">
        <v>2440</v>
      </c>
      <c r="N439" t="s">
        <v>47</v>
      </c>
      <c r="O439" t="s">
        <v>48</v>
      </c>
      <c r="P439" t="s">
        <v>48</v>
      </c>
      <c r="Y439" t="s">
        <v>2446</v>
      </c>
    </row>
    <row r="440" spans="1:25">
      <c r="A440" t="s">
        <v>2447</v>
      </c>
      <c r="B440" t="s">
        <v>2448</v>
      </c>
      <c r="D440" t="s">
        <v>40</v>
      </c>
      <c r="E440" t="s">
        <v>41</v>
      </c>
      <c r="G440" t="s">
        <v>2449</v>
      </c>
      <c r="H440" t="s">
        <v>2450</v>
      </c>
      <c r="J440" t="s">
        <v>371</v>
      </c>
      <c r="K440" t="s">
        <v>372</v>
      </c>
      <c r="L440">
        <v>5</v>
      </c>
      <c r="M440" t="s">
        <v>2451</v>
      </c>
      <c r="N440" t="s">
        <v>47</v>
      </c>
      <c r="O440" t="s">
        <v>48</v>
      </c>
      <c r="P440" t="s">
        <v>48</v>
      </c>
      <c r="Y440" t="s">
        <v>2452</v>
      </c>
    </row>
    <row r="441" spans="1:25">
      <c r="A441" t="s">
        <v>2453</v>
      </c>
      <c r="B441" t="s">
        <v>2454</v>
      </c>
      <c r="D441" t="s">
        <v>40</v>
      </c>
      <c r="E441" t="s">
        <v>41</v>
      </c>
      <c r="G441" t="s">
        <v>2455</v>
      </c>
      <c r="H441" t="s">
        <v>2456</v>
      </c>
      <c r="J441" t="s">
        <v>371</v>
      </c>
      <c r="K441" t="s">
        <v>372</v>
      </c>
      <c r="L441">
        <v>5</v>
      </c>
      <c r="M441" t="s">
        <v>2457</v>
      </c>
      <c r="N441" t="s">
        <v>47</v>
      </c>
      <c r="O441" t="s">
        <v>48</v>
      </c>
      <c r="P441" t="s">
        <v>48</v>
      </c>
      <c r="Y441" t="s">
        <v>2458</v>
      </c>
    </row>
    <row r="442" spans="1:25">
      <c r="A442" t="s">
        <v>2459</v>
      </c>
      <c r="B442" t="s">
        <v>2460</v>
      </c>
      <c r="D442" t="s">
        <v>40</v>
      </c>
      <c r="E442" t="s">
        <v>41</v>
      </c>
      <c r="G442" t="s">
        <v>2461</v>
      </c>
      <c r="H442" t="s">
        <v>2462</v>
      </c>
      <c r="J442" t="s">
        <v>44</v>
      </c>
      <c r="K442" t="s">
        <v>45</v>
      </c>
      <c r="L442">
        <v>5</v>
      </c>
      <c r="M442" t="s">
        <v>2457</v>
      </c>
      <c r="N442" t="s">
        <v>47</v>
      </c>
      <c r="O442" t="s">
        <v>48</v>
      </c>
      <c r="P442" t="s">
        <v>48</v>
      </c>
      <c r="Y442" t="s">
        <v>2463</v>
      </c>
    </row>
    <row r="443" spans="1:25">
      <c r="A443" t="s">
        <v>2464</v>
      </c>
      <c r="B443" t="s">
        <v>2465</v>
      </c>
      <c r="D443" t="s">
        <v>40</v>
      </c>
      <c r="E443" t="s">
        <v>41</v>
      </c>
      <c r="G443" t="s">
        <v>2466</v>
      </c>
      <c r="H443" t="s">
        <v>2467</v>
      </c>
      <c r="J443" t="s">
        <v>90</v>
      </c>
      <c r="K443" t="s">
        <v>91</v>
      </c>
      <c r="L443">
        <v>5</v>
      </c>
      <c r="M443" t="s">
        <v>2457</v>
      </c>
      <c r="N443" t="s">
        <v>47</v>
      </c>
      <c r="O443" t="s">
        <v>48</v>
      </c>
      <c r="P443" t="s">
        <v>48</v>
      </c>
      <c r="Y443" t="s">
        <v>2468</v>
      </c>
    </row>
    <row r="444" spans="1:25">
      <c r="A444" t="s">
        <v>2469</v>
      </c>
      <c r="B444" t="s">
        <v>2470</v>
      </c>
      <c r="D444" t="s">
        <v>40</v>
      </c>
      <c r="E444" t="s">
        <v>41</v>
      </c>
      <c r="G444" t="s">
        <v>174</v>
      </c>
      <c r="H444" t="s">
        <v>2471</v>
      </c>
      <c r="J444" t="s">
        <v>371</v>
      </c>
      <c r="K444" t="s">
        <v>372</v>
      </c>
      <c r="L444">
        <v>5</v>
      </c>
      <c r="M444" t="s">
        <v>2472</v>
      </c>
      <c r="N444" t="s">
        <v>47</v>
      </c>
      <c r="O444" t="s">
        <v>48</v>
      </c>
      <c r="P444" t="s">
        <v>48</v>
      </c>
      <c r="Y444" t="s">
        <v>2473</v>
      </c>
    </row>
    <row r="445" spans="1:25">
      <c r="A445" t="s">
        <v>2474</v>
      </c>
      <c r="B445" t="s">
        <v>2475</v>
      </c>
      <c r="D445" t="s">
        <v>40</v>
      </c>
      <c r="E445" t="s">
        <v>41</v>
      </c>
      <c r="G445" t="s">
        <v>2476</v>
      </c>
      <c r="H445" t="s">
        <v>2477</v>
      </c>
      <c r="J445" t="s">
        <v>54</v>
      </c>
      <c r="K445" t="s">
        <v>55</v>
      </c>
      <c r="L445">
        <v>5</v>
      </c>
      <c r="M445" t="s">
        <v>2478</v>
      </c>
      <c r="N445" t="s">
        <v>47</v>
      </c>
      <c r="O445" t="s">
        <v>48</v>
      </c>
      <c r="P445" t="s">
        <v>48</v>
      </c>
      <c r="Y445" t="s">
        <v>2479</v>
      </c>
    </row>
    <row r="446" spans="1:25">
      <c r="A446" t="s">
        <v>2480</v>
      </c>
      <c r="B446" t="s">
        <v>2481</v>
      </c>
      <c r="D446" t="s">
        <v>40</v>
      </c>
      <c r="E446" t="s">
        <v>41</v>
      </c>
      <c r="G446" t="s">
        <v>2482</v>
      </c>
      <c r="H446" t="s">
        <v>2483</v>
      </c>
      <c r="J446" t="s">
        <v>44</v>
      </c>
      <c r="K446" t="s">
        <v>45</v>
      </c>
      <c r="L446">
        <v>5</v>
      </c>
      <c r="M446" t="s">
        <v>2484</v>
      </c>
      <c r="N446" t="s">
        <v>47</v>
      </c>
      <c r="O446" t="s">
        <v>48</v>
      </c>
      <c r="P446" t="s">
        <v>48</v>
      </c>
      <c r="Y446" t="s">
        <v>2485</v>
      </c>
    </row>
    <row r="447" spans="1:25">
      <c r="A447" t="s">
        <v>2486</v>
      </c>
      <c r="B447" t="s">
        <v>2487</v>
      </c>
      <c r="D447" t="s">
        <v>40</v>
      </c>
      <c r="E447" t="s">
        <v>41</v>
      </c>
      <c r="G447" t="s">
        <v>2488</v>
      </c>
      <c r="H447" t="s">
        <v>2489</v>
      </c>
      <c r="J447" t="s">
        <v>44</v>
      </c>
      <c r="K447" t="s">
        <v>45</v>
      </c>
      <c r="L447">
        <v>5</v>
      </c>
      <c r="M447" t="s">
        <v>2484</v>
      </c>
      <c r="N447" t="s">
        <v>47</v>
      </c>
      <c r="O447" t="s">
        <v>48</v>
      </c>
      <c r="P447" t="s">
        <v>48</v>
      </c>
      <c r="Y447" t="s">
        <v>2490</v>
      </c>
    </row>
    <row r="448" spans="1:25">
      <c r="A448" t="s">
        <v>2491</v>
      </c>
      <c r="B448" t="s">
        <v>2492</v>
      </c>
      <c r="D448" t="s">
        <v>40</v>
      </c>
      <c r="E448" t="s">
        <v>41</v>
      </c>
      <c r="G448" t="s">
        <v>2493</v>
      </c>
      <c r="H448" t="s">
        <v>2494</v>
      </c>
      <c r="J448" t="s">
        <v>353</v>
      </c>
      <c r="K448" t="s">
        <v>354</v>
      </c>
      <c r="L448">
        <v>5</v>
      </c>
      <c r="M448" t="s">
        <v>2495</v>
      </c>
      <c r="N448" t="s">
        <v>135</v>
      </c>
      <c r="O448" t="s">
        <v>48</v>
      </c>
      <c r="P448" t="s">
        <v>48</v>
      </c>
      <c r="Y448" t="s">
        <v>2496</v>
      </c>
    </row>
    <row r="449" spans="1:25">
      <c r="A449" t="s">
        <v>2497</v>
      </c>
      <c r="B449" t="s">
        <v>2498</v>
      </c>
      <c r="D449" t="s">
        <v>40</v>
      </c>
      <c r="E449" t="s">
        <v>41</v>
      </c>
      <c r="G449" t="s">
        <v>2193</v>
      </c>
      <c r="H449" t="s">
        <v>2499</v>
      </c>
      <c r="J449" t="s">
        <v>44</v>
      </c>
      <c r="K449" t="s">
        <v>45</v>
      </c>
      <c r="L449">
        <v>5</v>
      </c>
      <c r="M449" t="s">
        <v>2500</v>
      </c>
      <c r="N449" t="s">
        <v>47</v>
      </c>
      <c r="O449" t="s">
        <v>48</v>
      </c>
      <c r="P449" t="s">
        <v>48</v>
      </c>
      <c r="Y449" t="s">
        <v>2501</v>
      </c>
    </row>
    <row r="450" spans="1:25">
      <c r="A450" t="s">
        <v>2502</v>
      </c>
      <c r="B450" t="s">
        <v>2503</v>
      </c>
      <c r="D450" t="s">
        <v>40</v>
      </c>
      <c r="E450" t="s">
        <v>41</v>
      </c>
      <c r="G450" t="s">
        <v>2504</v>
      </c>
      <c r="H450" t="s">
        <v>2505</v>
      </c>
      <c r="J450" t="s">
        <v>90</v>
      </c>
      <c r="K450" t="s">
        <v>91</v>
      </c>
      <c r="L450">
        <v>5</v>
      </c>
      <c r="M450" t="s">
        <v>2506</v>
      </c>
      <c r="N450" t="s">
        <v>47</v>
      </c>
      <c r="O450" t="s">
        <v>48</v>
      </c>
      <c r="P450" t="s">
        <v>48</v>
      </c>
      <c r="Y450" t="s">
        <v>2507</v>
      </c>
    </row>
    <row r="451" spans="1:25">
      <c r="A451" t="s">
        <v>2508</v>
      </c>
      <c r="B451" t="s">
        <v>2509</v>
      </c>
      <c r="D451" t="s">
        <v>40</v>
      </c>
      <c r="E451" t="s">
        <v>41</v>
      </c>
      <c r="G451" t="s">
        <v>2510</v>
      </c>
      <c r="H451" t="s">
        <v>2511</v>
      </c>
      <c r="J451" t="s">
        <v>44</v>
      </c>
      <c r="K451" t="s">
        <v>45</v>
      </c>
      <c r="L451">
        <v>5</v>
      </c>
      <c r="M451" t="s">
        <v>2512</v>
      </c>
      <c r="N451" t="s">
        <v>47</v>
      </c>
      <c r="O451" t="s">
        <v>48</v>
      </c>
      <c r="P451" t="s">
        <v>48</v>
      </c>
      <c r="Y451" t="s">
        <v>2513</v>
      </c>
    </row>
    <row r="452" spans="1:25">
      <c r="A452" t="s">
        <v>2514</v>
      </c>
      <c r="B452" t="s">
        <v>2515</v>
      </c>
      <c r="D452" t="s">
        <v>40</v>
      </c>
      <c r="E452" t="s">
        <v>41</v>
      </c>
      <c r="G452" t="s">
        <v>2516</v>
      </c>
      <c r="H452" t="s">
        <v>2517</v>
      </c>
      <c r="J452" t="s">
        <v>90</v>
      </c>
      <c r="K452" t="s">
        <v>91</v>
      </c>
      <c r="L452">
        <v>5</v>
      </c>
      <c r="M452" t="s">
        <v>2518</v>
      </c>
      <c r="N452" t="s">
        <v>47</v>
      </c>
      <c r="O452" t="s">
        <v>48</v>
      </c>
      <c r="P452" t="s">
        <v>48</v>
      </c>
      <c r="Y452" t="s">
        <v>2519</v>
      </c>
    </row>
    <row r="453" spans="1:25">
      <c r="A453" t="s">
        <v>2520</v>
      </c>
      <c r="B453" t="s">
        <v>2521</v>
      </c>
      <c r="D453" t="s">
        <v>40</v>
      </c>
      <c r="E453" t="s">
        <v>41</v>
      </c>
      <c r="G453" t="s">
        <v>2522</v>
      </c>
      <c r="H453" t="s">
        <v>2523</v>
      </c>
      <c r="J453" t="s">
        <v>353</v>
      </c>
      <c r="K453" t="s">
        <v>354</v>
      </c>
      <c r="L453">
        <v>5</v>
      </c>
      <c r="M453" t="s">
        <v>2524</v>
      </c>
      <c r="N453" t="s">
        <v>135</v>
      </c>
      <c r="O453" t="s">
        <v>48</v>
      </c>
      <c r="P453" t="s">
        <v>48</v>
      </c>
      <c r="Y453" t="s">
        <v>2525</v>
      </c>
    </row>
    <row r="454" spans="1:25">
      <c r="A454" t="s">
        <v>2526</v>
      </c>
      <c r="B454" t="s">
        <v>2527</v>
      </c>
      <c r="D454" t="s">
        <v>40</v>
      </c>
      <c r="E454" t="s">
        <v>41</v>
      </c>
      <c r="G454" t="s">
        <v>2528</v>
      </c>
      <c r="H454" t="s">
        <v>2529</v>
      </c>
      <c r="J454" t="s">
        <v>44</v>
      </c>
      <c r="K454" t="s">
        <v>45</v>
      </c>
      <c r="L454">
        <v>5</v>
      </c>
      <c r="M454" t="s">
        <v>2530</v>
      </c>
      <c r="N454" t="s">
        <v>47</v>
      </c>
      <c r="O454" t="s">
        <v>48</v>
      </c>
      <c r="P454" t="s">
        <v>48</v>
      </c>
      <c r="Y454" t="s">
        <v>2531</v>
      </c>
    </row>
    <row r="455" spans="1:25">
      <c r="A455" t="s">
        <v>2532</v>
      </c>
      <c r="B455" t="s">
        <v>2533</v>
      </c>
      <c r="D455" t="s">
        <v>40</v>
      </c>
      <c r="E455" t="s">
        <v>41</v>
      </c>
      <c r="G455" t="s">
        <v>2534</v>
      </c>
      <c r="H455" t="s">
        <v>2535</v>
      </c>
      <c r="J455" t="s">
        <v>44</v>
      </c>
      <c r="K455" t="s">
        <v>45</v>
      </c>
      <c r="L455">
        <v>5</v>
      </c>
      <c r="M455" t="s">
        <v>2536</v>
      </c>
      <c r="N455" t="s">
        <v>47</v>
      </c>
      <c r="O455" t="s">
        <v>48</v>
      </c>
      <c r="P455" t="s">
        <v>48</v>
      </c>
      <c r="Y455" t="s">
        <v>2537</v>
      </c>
    </row>
    <row r="456" spans="1:25">
      <c r="A456" t="s">
        <v>2538</v>
      </c>
      <c r="B456" t="s">
        <v>2539</v>
      </c>
      <c r="D456" t="s">
        <v>40</v>
      </c>
      <c r="E456" t="s">
        <v>41</v>
      </c>
      <c r="G456" t="s">
        <v>2540</v>
      </c>
      <c r="H456" t="s">
        <v>2541</v>
      </c>
      <c r="J456" t="s">
        <v>90</v>
      </c>
      <c r="K456" t="s">
        <v>91</v>
      </c>
      <c r="L456">
        <v>5</v>
      </c>
      <c r="M456" t="s">
        <v>2542</v>
      </c>
      <c r="N456" t="s">
        <v>47</v>
      </c>
      <c r="O456" t="s">
        <v>48</v>
      </c>
      <c r="P456" t="s">
        <v>48</v>
      </c>
      <c r="Y456" t="s">
        <v>2543</v>
      </c>
    </row>
    <row r="457" spans="1:25">
      <c r="A457" t="s">
        <v>2544</v>
      </c>
      <c r="B457" t="s">
        <v>2545</v>
      </c>
      <c r="D457" t="s">
        <v>40</v>
      </c>
      <c r="E457" t="s">
        <v>41</v>
      </c>
      <c r="G457" t="s">
        <v>2546</v>
      </c>
      <c r="H457" t="s">
        <v>2547</v>
      </c>
      <c r="J457" t="s">
        <v>44</v>
      </c>
      <c r="K457" t="s">
        <v>45</v>
      </c>
      <c r="L457">
        <v>5</v>
      </c>
      <c r="M457" t="s">
        <v>2542</v>
      </c>
      <c r="N457" t="s">
        <v>47</v>
      </c>
      <c r="O457" t="s">
        <v>48</v>
      </c>
      <c r="P457" t="s">
        <v>48</v>
      </c>
      <c r="Y457" t="s">
        <v>2548</v>
      </c>
    </row>
    <row r="458" spans="1:25">
      <c r="A458" t="s">
        <v>2549</v>
      </c>
      <c r="B458" t="s">
        <v>2550</v>
      </c>
      <c r="D458" t="s">
        <v>40</v>
      </c>
      <c r="E458" t="s">
        <v>41</v>
      </c>
      <c r="G458" t="s">
        <v>2551</v>
      </c>
      <c r="H458" t="s">
        <v>2552</v>
      </c>
      <c r="J458" t="s">
        <v>90</v>
      </c>
      <c r="K458" t="s">
        <v>91</v>
      </c>
      <c r="L458">
        <v>5</v>
      </c>
      <c r="M458" t="s">
        <v>2553</v>
      </c>
      <c r="N458" t="s">
        <v>47</v>
      </c>
      <c r="O458" t="s">
        <v>48</v>
      </c>
      <c r="P458" t="s">
        <v>48</v>
      </c>
      <c r="Y458" t="s">
        <v>2554</v>
      </c>
    </row>
    <row r="459" spans="1:25">
      <c r="A459" t="s">
        <v>2555</v>
      </c>
      <c r="B459" t="s">
        <v>2556</v>
      </c>
      <c r="D459" t="s">
        <v>40</v>
      </c>
      <c r="E459" t="s">
        <v>41</v>
      </c>
      <c r="G459" t="s">
        <v>2557</v>
      </c>
      <c r="H459" t="s">
        <v>2558</v>
      </c>
      <c r="J459" t="s">
        <v>497</v>
      </c>
      <c r="K459" t="s">
        <v>498</v>
      </c>
      <c r="L459">
        <v>5</v>
      </c>
      <c r="M459" t="s">
        <v>2559</v>
      </c>
      <c r="N459" t="s">
        <v>685</v>
      </c>
      <c r="O459" t="s">
        <v>48</v>
      </c>
      <c r="P459" t="s">
        <v>48</v>
      </c>
      <c r="Y459" t="s">
        <v>2560</v>
      </c>
    </row>
    <row r="460" spans="1:25">
      <c r="A460" t="s">
        <v>2561</v>
      </c>
      <c r="B460" t="s">
        <v>2562</v>
      </c>
      <c r="D460" t="s">
        <v>40</v>
      </c>
      <c r="E460" t="s">
        <v>41</v>
      </c>
      <c r="G460" t="s">
        <v>2563</v>
      </c>
      <c r="H460" t="s">
        <v>1590</v>
      </c>
      <c r="J460" t="s">
        <v>44</v>
      </c>
      <c r="K460" t="s">
        <v>45</v>
      </c>
      <c r="L460">
        <v>5</v>
      </c>
      <c r="M460" t="s">
        <v>2564</v>
      </c>
      <c r="N460" t="s">
        <v>47</v>
      </c>
      <c r="O460" t="s">
        <v>48</v>
      </c>
      <c r="P460" t="s">
        <v>48</v>
      </c>
      <c r="Y460" t="s">
        <v>2565</v>
      </c>
    </row>
    <row r="461" spans="1:25">
      <c r="A461" t="s">
        <v>2566</v>
      </c>
      <c r="B461" t="s">
        <v>2567</v>
      </c>
      <c r="D461" t="s">
        <v>40</v>
      </c>
      <c r="E461" t="s">
        <v>41</v>
      </c>
      <c r="G461" t="s">
        <v>615</v>
      </c>
      <c r="H461" t="s">
        <v>2568</v>
      </c>
      <c r="J461" t="s">
        <v>44</v>
      </c>
      <c r="K461" t="s">
        <v>45</v>
      </c>
      <c r="L461">
        <v>5</v>
      </c>
      <c r="M461" t="s">
        <v>2569</v>
      </c>
      <c r="N461" t="s">
        <v>47</v>
      </c>
      <c r="O461" t="s">
        <v>48</v>
      </c>
      <c r="P461" t="s">
        <v>48</v>
      </c>
      <c r="Y461" t="s">
        <v>2570</v>
      </c>
    </row>
    <row r="462" spans="1:25">
      <c r="A462" t="s">
        <v>2571</v>
      </c>
      <c r="B462" t="s">
        <v>2572</v>
      </c>
      <c r="D462" t="s">
        <v>40</v>
      </c>
      <c r="E462" t="s">
        <v>41</v>
      </c>
      <c r="G462" t="s">
        <v>1165</v>
      </c>
      <c r="H462" t="s">
        <v>2573</v>
      </c>
      <c r="J462" t="s">
        <v>90</v>
      </c>
      <c r="K462" t="s">
        <v>91</v>
      </c>
      <c r="L462">
        <v>5</v>
      </c>
      <c r="M462" t="s">
        <v>2574</v>
      </c>
      <c r="N462" t="s">
        <v>47</v>
      </c>
      <c r="O462" t="s">
        <v>48</v>
      </c>
      <c r="P462" t="s">
        <v>48</v>
      </c>
      <c r="Y462" t="s">
        <v>2575</v>
      </c>
    </row>
    <row r="463" spans="1:25">
      <c r="A463" t="s">
        <v>2576</v>
      </c>
      <c r="B463" t="s">
        <v>2577</v>
      </c>
      <c r="D463" t="s">
        <v>40</v>
      </c>
      <c r="E463" t="s">
        <v>41</v>
      </c>
      <c r="G463" t="s">
        <v>2578</v>
      </c>
      <c r="H463" t="s">
        <v>2579</v>
      </c>
      <c r="J463" t="s">
        <v>54</v>
      </c>
      <c r="K463" t="s">
        <v>55</v>
      </c>
      <c r="L463">
        <v>5</v>
      </c>
      <c r="M463" t="s">
        <v>2574</v>
      </c>
      <c r="N463" t="s">
        <v>47</v>
      </c>
      <c r="O463" t="s">
        <v>48</v>
      </c>
      <c r="P463" t="s">
        <v>48</v>
      </c>
      <c r="Y463" t="s">
        <v>2580</v>
      </c>
    </row>
    <row r="464" spans="1:25">
      <c r="A464" t="s">
        <v>2581</v>
      </c>
      <c r="B464" t="s">
        <v>2582</v>
      </c>
      <c r="D464" t="s">
        <v>40</v>
      </c>
      <c r="E464" t="s">
        <v>41</v>
      </c>
      <c r="G464" t="s">
        <v>1786</v>
      </c>
      <c r="H464" t="s">
        <v>2583</v>
      </c>
      <c r="J464" t="s">
        <v>44</v>
      </c>
      <c r="K464" t="s">
        <v>45</v>
      </c>
      <c r="L464">
        <v>5</v>
      </c>
      <c r="M464" t="s">
        <v>2574</v>
      </c>
      <c r="N464" t="s">
        <v>47</v>
      </c>
      <c r="O464" t="s">
        <v>48</v>
      </c>
      <c r="P464" t="s">
        <v>48</v>
      </c>
      <c r="Y464" t="s">
        <v>2584</v>
      </c>
    </row>
    <row r="465" spans="1:25">
      <c r="A465" t="s">
        <v>2585</v>
      </c>
      <c r="B465" t="s">
        <v>2586</v>
      </c>
      <c r="D465" t="s">
        <v>40</v>
      </c>
      <c r="E465" t="s">
        <v>41</v>
      </c>
      <c r="G465" t="s">
        <v>2587</v>
      </c>
      <c r="H465" t="s">
        <v>2588</v>
      </c>
      <c r="J465" t="s">
        <v>78</v>
      </c>
      <c r="K465" t="s">
        <v>79</v>
      </c>
      <c r="L465">
        <v>5</v>
      </c>
      <c r="M465" t="s">
        <v>2574</v>
      </c>
      <c r="N465" t="s">
        <v>47</v>
      </c>
      <c r="O465" t="s">
        <v>48</v>
      </c>
      <c r="P465" t="s">
        <v>48</v>
      </c>
      <c r="Y465" t="s">
        <v>2589</v>
      </c>
    </row>
    <row r="466" spans="1:25">
      <c r="A466" t="s">
        <v>2590</v>
      </c>
      <c r="B466" t="s">
        <v>2591</v>
      </c>
      <c r="D466" t="s">
        <v>40</v>
      </c>
      <c r="E466" t="s">
        <v>41</v>
      </c>
      <c r="G466" t="s">
        <v>2592</v>
      </c>
      <c r="H466" t="s">
        <v>2593</v>
      </c>
      <c r="J466" t="s">
        <v>54</v>
      </c>
      <c r="K466" t="s">
        <v>55</v>
      </c>
      <c r="L466">
        <v>5</v>
      </c>
      <c r="M466" t="s">
        <v>2594</v>
      </c>
      <c r="N466" t="s">
        <v>47</v>
      </c>
      <c r="O466" t="s">
        <v>48</v>
      </c>
      <c r="P466" t="s">
        <v>48</v>
      </c>
      <c r="Y466" t="s">
        <v>2595</v>
      </c>
    </row>
    <row r="467" spans="1:25">
      <c r="A467" t="s">
        <v>2596</v>
      </c>
      <c r="B467" t="s">
        <v>2597</v>
      </c>
      <c r="D467" t="s">
        <v>40</v>
      </c>
      <c r="E467" t="s">
        <v>41</v>
      </c>
      <c r="G467" t="s">
        <v>2598</v>
      </c>
      <c r="H467" t="s">
        <v>2599</v>
      </c>
      <c r="J467" t="s">
        <v>90</v>
      </c>
      <c r="K467" t="s">
        <v>91</v>
      </c>
      <c r="L467">
        <v>5</v>
      </c>
      <c r="M467" t="s">
        <v>2594</v>
      </c>
      <c r="N467" t="s">
        <v>47</v>
      </c>
      <c r="O467" t="s">
        <v>48</v>
      </c>
      <c r="P467" t="s">
        <v>48</v>
      </c>
      <c r="Y467" t="s">
        <v>2600</v>
      </c>
    </row>
    <row r="468" spans="1:25">
      <c r="A468" t="s">
        <v>2601</v>
      </c>
      <c r="B468" t="s">
        <v>2602</v>
      </c>
      <c r="D468" t="s">
        <v>40</v>
      </c>
      <c r="E468" t="s">
        <v>41</v>
      </c>
      <c r="G468" t="s">
        <v>2603</v>
      </c>
      <c r="H468" t="s">
        <v>2604</v>
      </c>
      <c r="J468" t="s">
        <v>2605</v>
      </c>
      <c r="K468" t="s">
        <v>2606</v>
      </c>
      <c r="L468">
        <v>5</v>
      </c>
      <c r="M468" t="s">
        <v>2607</v>
      </c>
      <c r="N468" t="s">
        <v>685</v>
      </c>
      <c r="O468" t="s">
        <v>48</v>
      </c>
      <c r="P468" t="s">
        <v>48</v>
      </c>
      <c r="Y468" t="s">
        <v>2608</v>
      </c>
    </row>
    <row r="469" spans="1:25">
      <c r="A469" t="s">
        <v>2609</v>
      </c>
      <c r="B469" t="s">
        <v>2610</v>
      </c>
      <c r="D469" t="s">
        <v>40</v>
      </c>
      <c r="E469" t="s">
        <v>41</v>
      </c>
      <c r="G469" t="s">
        <v>2611</v>
      </c>
      <c r="H469" t="s">
        <v>2612</v>
      </c>
      <c r="J469" t="s">
        <v>44</v>
      </c>
      <c r="K469" t="s">
        <v>45</v>
      </c>
      <c r="L469">
        <v>5</v>
      </c>
      <c r="M469" t="s">
        <v>2613</v>
      </c>
      <c r="N469" t="s">
        <v>47</v>
      </c>
      <c r="O469" t="s">
        <v>48</v>
      </c>
      <c r="P469" t="s">
        <v>48</v>
      </c>
      <c r="Y469" t="s">
        <v>2614</v>
      </c>
    </row>
    <row r="470" spans="1:25">
      <c r="A470" t="s">
        <v>2615</v>
      </c>
      <c r="B470" t="s">
        <v>2616</v>
      </c>
      <c r="D470" t="s">
        <v>40</v>
      </c>
      <c r="E470" t="s">
        <v>41</v>
      </c>
      <c r="G470" t="s">
        <v>2617</v>
      </c>
      <c r="H470" t="s">
        <v>2618</v>
      </c>
      <c r="J470" t="s">
        <v>54</v>
      </c>
      <c r="K470" t="s">
        <v>55</v>
      </c>
      <c r="L470">
        <v>5</v>
      </c>
      <c r="M470" t="s">
        <v>2619</v>
      </c>
      <c r="N470" t="s">
        <v>47</v>
      </c>
      <c r="O470" t="s">
        <v>48</v>
      </c>
      <c r="P470" t="s">
        <v>48</v>
      </c>
      <c r="Y470" t="s">
        <v>2620</v>
      </c>
    </row>
    <row r="471" spans="1:25">
      <c r="A471" t="s">
        <v>2621</v>
      </c>
      <c r="B471" t="s">
        <v>2622</v>
      </c>
      <c r="D471" t="s">
        <v>40</v>
      </c>
      <c r="E471" t="s">
        <v>41</v>
      </c>
      <c r="G471" t="s">
        <v>2623</v>
      </c>
      <c r="H471" t="s">
        <v>1596</v>
      </c>
      <c r="J471" t="s">
        <v>78</v>
      </c>
      <c r="K471" t="s">
        <v>79</v>
      </c>
      <c r="L471">
        <v>5</v>
      </c>
      <c r="M471" t="s">
        <v>2624</v>
      </c>
      <c r="N471" t="s">
        <v>47</v>
      </c>
      <c r="O471" t="s">
        <v>48</v>
      </c>
      <c r="P471" t="s">
        <v>48</v>
      </c>
      <c r="Y471" t="s">
        <v>2625</v>
      </c>
    </row>
    <row r="472" spans="1:25">
      <c r="A472" t="s">
        <v>2626</v>
      </c>
      <c r="B472" t="s">
        <v>2627</v>
      </c>
      <c r="D472" t="s">
        <v>40</v>
      </c>
      <c r="E472" t="s">
        <v>41</v>
      </c>
      <c r="G472" t="s">
        <v>2628</v>
      </c>
      <c r="H472" t="s">
        <v>2629</v>
      </c>
      <c r="J472" t="s">
        <v>54</v>
      </c>
      <c r="K472" t="s">
        <v>55</v>
      </c>
      <c r="L472">
        <v>5</v>
      </c>
      <c r="M472" t="s">
        <v>2624</v>
      </c>
      <c r="N472" t="s">
        <v>47</v>
      </c>
      <c r="O472" t="s">
        <v>48</v>
      </c>
      <c r="P472" t="s">
        <v>48</v>
      </c>
      <c r="Y472" t="s">
        <v>2630</v>
      </c>
    </row>
    <row r="473" spans="1:25">
      <c r="A473" t="s">
        <v>2631</v>
      </c>
      <c r="B473" t="s">
        <v>2632</v>
      </c>
      <c r="D473" t="s">
        <v>40</v>
      </c>
      <c r="E473" t="s">
        <v>41</v>
      </c>
      <c r="H473" t="s">
        <v>2633</v>
      </c>
      <c r="J473" t="s">
        <v>44</v>
      </c>
      <c r="K473" t="s">
        <v>45</v>
      </c>
      <c r="L473">
        <v>5</v>
      </c>
      <c r="M473" t="s">
        <v>2634</v>
      </c>
      <c r="N473" t="s">
        <v>47</v>
      </c>
      <c r="O473" t="s">
        <v>48</v>
      </c>
      <c r="P473" t="s">
        <v>48</v>
      </c>
      <c r="Y473" t="s">
        <v>2633</v>
      </c>
    </row>
    <row r="474" spans="1:25">
      <c r="A474" t="s">
        <v>2635</v>
      </c>
      <c r="B474" t="s">
        <v>2636</v>
      </c>
      <c r="D474" t="s">
        <v>40</v>
      </c>
      <c r="E474" t="s">
        <v>41</v>
      </c>
      <c r="G474" t="s">
        <v>2637</v>
      </c>
      <c r="H474" t="s">
        <v>2638</v>
      </c>
      <c r="J474" t="s">
        <v>90</v>
      </c>
      <c r="K474" t="s">
        <v>91</v>
      </c>
      <c r="L474">
        <v>5</v>
      </c>
      <c r="M474" t="s">
        <v>2634</v>
      </c>
      <c r="N474" t="s">
        <v>47</v>
      </c>
      <c r="O474" t="s">
        <v>48</v>
      </c>
      <c r="P474" t="s">
        <v>48</v>
      </c>
      <c r="Y474" t="s">
        <v>2639</v>
      </c>
    </row>
    <row r="475" spans="1:25">
      <c r="A475" t="s">
        <v>2640</v>
      </c>
      <c r="B475" t="s">
        <v>2641</v>
      </c>
      <c r="D475" t="s">
        <v>40</v>
      </c>
      <c r="E475" t="s">
        <v>41</v>
      </c>
      <c r="G475" t="s">
        <v>2642</v>
      </c>
      <c r="H475" t="s">
        <v>2552</v>
      </c>
      <c r="J475" t="s">
        <v>133</v>
      </c>
      <c r="K475" t="s">
        <v>134</v>
      </c>
      <c r="L475">
        <v>5</v>
      </c>
      <c r="M475" t="s">
        <v>2634</v>
      </c>
      <c r="N475" t="s">
        <v>135</v>
      </c>
      <c r="O475" t="s">
        <v>48</v>
      </c>
      <c r="P475" t="s">
        <v>48</v>
      </c>
      <c r="Y475" t="s">
        <v>2643</v>
      </c>
    </row>
    <row r="476" spans="1:25">
      <c r="A476" t="s">
        <v>2644</v>
      </c>
      <c r="B476" t="s">
        <v>2645</v>
      </c>
      <c r="D476" t="s">
        <v>40</v>
      </c>
      <c r="E476" t="s">
        <v>41</v>
      </c>
      <c r="G476" t="s">
        <v>2646</v>
      </c>
      <c r="H476" t="s">
        <v>666</v>
      </c>
      <c r="J476" t="s">
        <v>90</v>
      </c>
      <c r="K476" t="s">
        <v>91</v>
      </c>
      <c r="L476">
        <v>5</v>
      </c>
      <c r="M476" t="s">
        <v>2647</v>
      </c>
      <c r="N476" t="s">
        <v>47</v>
      </c>
      <c r="O476" t="s">
        <v>48</v>
      </c>
      <c r="P476" t="s">
        <v>48</v>
      </c>
      <c r="Y476" t="s">
        <v>2648</v>
      </c>
    </row>
    <row r="477" spans="1:25">
      <c r="A477" t="s">
        <v>2649</v>
      </c>
      <c r="B477" t="s">
        <v>2650</v>
      </c>
      <c r="D477" t="s">
        <v>40</v>
      </c>
      <c r="E477" t="s">
        <v>41</v>
      </c>
      <c r="G477" t="s">
        <v>2651</v>
      </c>
      <c r="H477" t="s">
        <v>481</v>
      </c>
      <c r="J477" t="s">
        <v>353</v>
      </c>
      <c r="K477" t="s">
        <v>354</v>
      </c>
      <c r="L477">
        <v>5</v>
      </c>
      <c r="M477" t="s">
        <v>2652</v>
      </c>
      <c r="N477" t="s">
        <v>685</v>
      </c>
      <c r="O477" t="s">
        <v>48</v>
      </c>
      <c r="P477" t="s">
        <v>48</v>
      </c>
      <c r="Y477" t="s">
        <v>2653</v>
      </c>
    </row>
    <row r="478" spans="1:25">
      <c r="A478" t="s">
        <v>2654</v>
      </c>
      <c r="B478" t="s">
        <v>2655</v>
      </c>
      <c r="D478" t="s">
        <v>40</v>
      </c>
      <c r="E478" t="s">
        <v>41</v>
      </c>
      <c r="G478" t="s">
        <v>2656</v>
      </c>
      <c r="H478" t="s">
        <v>1123</v>
      </c>
      <c r="J478" t="s">
        <v>90</v>
      </c>
      <c r="K478" t="s">
        <v>91</v>
      </c>
      <c r="L478">
        <v>5</v>
      </c>
      <c r="M478" t="s">
        <v>2657</v>
      </c>
      <c r="N478" t="s">
        <v>47</v>
      </c>
      <c r="O478" t="s">
        <v>48</v>
      </c>
      <c r="P478" t="s">
        <v>48</v>
      </c>
      <c r="Y478" t="s">
        <v>2658</v>
      </c>
    </row>
    <row r="479" spans="1:25">
      <c r="A479" t="s">
        <v>2659</v>
      </c>
      <c r="B479" t="s">
        <v>2660</v>
      </c>
      <c r="D479" t="s">
        <v>40</v>
      </c>
      <c r="E479" t="s">
        <v>41</v>
      </c>
      <c r="G479" t="s">
        <v>2661</v>
      </c>
      <c r="H479" t="s">
        <v>2662</v>
      </c>
      <c r="J479" t="s">
        <v>371</v>
      </c>
      <c r="K479" t="s">
        <v>372</v>
      </c>
      <c r="L479">
        <v>5</v>
      </c>
      <c r="M479" t="s">
        <v>2663</v>
      </c>
      <c r="N479" t="s">
        <v>47</v>
      </c>
      <c r="O479" t="s">
        <v>48</v>
      </c>
      <c r="P479" t="s">
        <v>48</v>
      </c>
      <c r="Y479" t="s">
        <v>2664</v>
      </c>
    </row>
    <row r="480" spans="1:25">
      <c r="A480" t="s">
        <v>2665</v>
      </c>
      <c r="B480" t="s">
        <v>2666</v>
      </c>
      <c r="D480" t="s">
        <v>40</v>
      </c>
      <c r="E480" t="s">
        <v>41</v>
      </c>
      <c r="G480" t="s">
        <v>2667</v>
      </c>
      <c r="H480" t="s">
        <v>1680</v>
      </c>
      <c r="J480" t="s">
        <v>90</v>
      </c>
      <c r="K480" t="s">
        <v>91</v>
      </c>
      <c r="L480">
        <v>5</v>
      </c>
      <c r="M480" t="s">
        <v>2668</v>
      </c>
      <c r="N480" t="s">
        <v>47</v>
      </c>
      <c r="O480" t="s">
        <v>48</v>
      </c>
      <c r="P480" t="s">
        <v>48</v>
      </c>
      <c r="Y480" t="s">
        <v>2669</v>
      </c>
    </row>
    <row r="481" spans="1:25">
      <c r="A481" t="s">
        <v>2670</v>
      </c>
      <c r="B481" t="s">
        <v>2671</v>
      </c>
      <c r="D481" t="s">
        <v>40</v>
      </c>
      <c r="E481" t="s">
        <v>41</v>
      </c>
      <c r="G481" t="s">
        <v>994</v>
      </c>
      <c r="H481" t="s">
        <v>2672</v>
      </c>
      <c r="J481" t="s">
        <v>44</v>
      </c>
      <c r="K481" t="s">
        <v>45</v>
      </c>
      <c r="L481">
        <v>5</v>
      </c>
      <c r="M481" t="s">
        <v>2668</v>
      </c>
      <c r="N481" t="s">
        <v>47</v>
      </c>
      <c r="O481" t="s">
        <v>48</v>
      </c>
      <c r="P481" t="s">
        <v>48</v>
      </c>
      <c r="Y481" t="s">
        <v>2673</v>
      </c>
    </row>
    <row r="482" spans="1:25">
      <c r="A482" t="s">
        <v>2674</v>
      </c>
      <c r="B482" t="s">
        <v>2675</v>
      </c>
      <c r="D482" t="s">
        <v>40</v>
      </c>
      <c r="E482" t="s">
        <v>41</v>
      </c>
      <c r="G482" t="s">
        <v>2676</v>
      </c>
      <c r="H482" t="s">
        <v>2677</v>
      </c>
      <c r="J482" t="s">
        <v>44</v>
      </c>
      <c r="K482" t="s">
        <v>45</v>
      </c>
      <c r="L482">
        <v>5</v>
      </c>
      <c r="M482" t="s">
        <v>2668</v>
      </c>
      <c r="N482" t="s">
        <v>47</v>
      </c>
      <c r="O482" t="s">
        <v>48</v>
      </c>
      <c r="P482" t="s">
        <v>48</v>
      </c>
      <c r="Y482" t="s">
        <v>2678</v>
      </c>
    </row>
    <row r="483" spans="1:25">
      <c r="A483" t="s">
        <v>2679</v>
      </c>
      <c r="B483" t="s">
        <v>2680</v>
      </c>
      <c r="D483" t="s">
        <v>40</v>
      </c>
      <c r="E483" t="s">
        <v>41</v>
      </c>
      <c r="G483" t="s">
        <v>2681</v>
      </c>
      <c r="H483" t="s">
        <v>2682</v>
      </c>
      <c r="J483" t="s">
        <v>90</v>
      </c>
      <c r="K483" t="s">
        <v>91</v>
      </c>
      <c r="L483">
        <v>5</v>
      </c>
      <c r="M483" t="s">
        <v>2683</v>
      </c>
      <c r="N483" t="s">
        <v>47</v>
      </c>
      <c r="O483" t="s">
        <v>48</v>
      </c>
      <c r="P483" t="s">
        <v>48</v>
      </c>
      <c r="Y483" t="s">
        <v>2684</v>
      </c>
    </row>
    <row r="484" spans="1:25">
      <c r="A484" t="s">
        <v>2685</v>
      </c>
      <c r="B484" t="s">
        <v>2686</v>
      </c>
      <c r="D484" t="s">
        <v>40</v>
      </c>
      <c r="E484" t="s">
        <v>41</v>
      </c>
      <c r="G484" t="s">
        <v>2687</v>
      </c>
      <c r="H484" t="s">
        <v>2688</v>
      </c>
      <c r="J484" t="s">
        <v>371</v>
      </c>
      <c r="K484" t="s">
        <v>372</v>
      </c>
      <c r="L484">
        <v>5</v>
      </c>
      <c r="M484" t="s">
        <v>2689</v>
      </c>
      <c r="N484" t="s">
        <v>47</v>
      </c>
      <c r="O484" t="s">
        <v>48</v>
      </c>
      <c r="P484" t="s">
        <v>48</v>
      </c>
      <c r="Y484" t="s">
        <v>2690</v>
      </c>
    </row>
    <row r="485" spans="1:25">
      <c r="A485" t="s">
        <v>2691</v>
      </c>
      <c r="B485" t="s">
        <v>2692</v>
      </c>
      <c r="D485" t="s">
        <v>40</v>
      </c>
      <c r="E485" t="s">
        <v>41</v>
      </c>
      <c r="G485" t="s">
        <v>2693</v>
      </c>
      <c r="H485" t="s">
        <v>2694</v>
      </c>
      <c r="J485" t="s">
        <v>78</v>
      </c>
      <c r="K485" t="s">
        <v>79</v>
      </c>
      <c r="L485">
        <v>5</v>
      </c>
      <c r="M485" t="s">
        <v>2689</v>
      </c>
      <c r="N485" t="s">
        <v>47</v>
      </c>
      <c r="O485" t="s">
        <v>48</v>
      </c>
      <c r="P485" t="s">
        <v>48</v>
      </c>
      <c r="Y485" t="s">
        <v>2695</v>
      </c>
    </row>
    <row r="486" spans="1:25">
      <c r="A486" t="s">
        <v>2696</v>
      </c>
      <c r="B486" t="s">
        <v>2697</v>
      </c>
      <c r="D486" t="s">
        <v>40</v>
      </c>
      <c r="E486" t="s">
        <v>41</v>
      </c>
      <c r="G486" t="s">
        <v>1495</v>
      </c>
      <c r="H486" t="s">
        <v>2698</v>
      </c>
      <c r="J486" t="s">
        <v>133</v>
      </c>
      <c r="K486" t="s">
        <v>134</v>
      </c>
      <c r="L486">
        <v>5</v>
      </c>
      <c r="M486" t="s">
        <v>2689</v>
      </c>
      <c r="N486" t="s">
        <v>135</v>
      </c>
      <c r="O486" t="s">
        <v>48</v>
      </c>
      <c r="P486" t="s">
        <v>48</v>
      </c>
      <c r="Y486" t="s">
        <v>2699</v>
      </c>
    </row>
    <row r="487" spans="1:25">
      <c r="A487" t="s">
        <v>2700</v>
      </c>
      <c r="B487" t="s">
        <v>2701</v>
      </c>
      <c r="D487" t="s">
        <v>40</v>
      </c>
      <c r="E487" t="s">
        <v>41</v>
      </c>
      <c r="G487" t="s">
        <v>1176</v>
      </c>
      <c r="H487" t="s">
        <v>2702</v>
      </c>
      <c r="J487" t="s">
        <v>371</v>
      </c>
      <c r="K487" t="s">
        <v>372</v>
      </c>
      <c r="L487">
        <v>5</v>
      </c>
      <c r="M487" t="s">
        <v>2703</v>
      </c>
      <c r="N487" t="s">
        <v>47</v>
      </c>
      <c r="O487" t="s">
        <v>48</v>
      </c>
      <c r="P487" t="s">
        <v>48</v>
      </c>
      <c r="Y487" t="s">
        <v>2704</v>
      </c>
    </row>
    <row r="488" spans="1:25">
      <c r="A488" t="s">
        <v>2705</v>
      </c>
      <c r="B488" t="s">
        <v>2706</v>
      </c>
      <c r="D488" t="s">
        <v>40</v>
      </c>
      <c r="E488" t="s">
        <v>41</v>
      </c>
      <c r="H488" t="s">
        <v>2707</v>
      </c>
      <c r="J488" t="s">
        <v>133</v>
      </c>
      <c r="K488" t="s">
        <v>134</v>
      </c>
      <c r="L488">
        <v>5</v>
      </c>
      <c r="M488" t="s">
        <v>2708</v>
      </c>
      <c r="N488" t="s">
        <v>685</v>
      </c>
      <c r="O488" t="s">
        <v>48</v>
      </c>
      <c r="P488" t="s">
        <v>48</v>
      </c>
      <c r="Y488" t="s">
        <v>2707</v>
      </c>
    </row>
    <row r="489" spans="1:25">
      <c r="A489" t="s">
        <v>2709</v>
      </c>
      <c r="B489" t="s">
        <v>2710</v>
      </c>
      <c r="D489" t="s">
        <v>40</v>
      </c>
      <c r="E489" t="s">
        <v>41</v>
      </c>
      <c r="G489" t="s">
        <v>2711</v>
      </c>
      <c r="H489" t="s">
        <v>2712</v>
      </c>
      <c r="J489" t="s">
        <v>133</v>
      </c>
      <c r="K489" t="s">
        <v>134</v>
      </c>
      <c r="L489">
        <v>5</v>
      </c>
      <c r="M489" t="s">
        <v>2713</v>
      </c>
      <c r="N489" t="s">
        <v>135</v>
      </c>
      <c r="O489" t="s">
        <v>48</v>
      </c>
      <c r="P489" t="s">
        <v>48</v>
      </c>
      <c r="Y489" t="s">
        <v>2714</v>
      </c>
    </row>
    <row r="490" spans="1:25">
      <c r="A490" t="s">
        <v>2715</v>
      </c>
      <c r="B490" t="s">
        <v>2716</v>
      </c>
      <c r="D490" t="s">
        <v>40</v>
      </c>
      <c r="E490" t="s">
        <v>41</v>
      </c>
      <c r="G490" t="s">
        <v>2717</v>
      </c>
      <c r="H490" t="s">
        <v>2718</v>
      </c>
      <c r="J490" t="s">
        <v>44</v>
      </c>
      <c r="K490" t="s">
        <v>45</v>
      </c>
      <c r="L490">
        <v>5</v>
      </c>
      <c r="M490" t="s">
        <v>2719</v>
      </c>
      <c r="N490" t="s">
        <v>47</v>
      </c>
      <c r="O490" t="s">
        <v>48</v>
      </c>
      <c r="P490" t="s">
        <v>48</v>
      </c>
      <c r="Y490" t="s">
        <v>2720</v>
      </c>
    </row>
    <row r="491" spans="1:25">
      <c r="A491" t="s">
        <v>2721</v>
      </c>
      <c r="B491" t="s">
        <v>2722</v>
      </c>
      <c r="D491" t="s">
        <v>1832</v>
      </c>
      <c r="E491" t="s">
        <v>41</v>
      </c>
      <c r="J491" t="s">
        <v>287</v>
      </c>
      <c r="K491" t="s">
        <v>288</v>
      </c>
      <c r="L491">
        <v>7</v>
      </c>
      <c r="M491" t="s">
        <v>2723</v>
      </c>
      <c r="N491" t="s">
        <v>685</v>
      </c>
      <c r="O491" t="s">
        <v>1835</v>
      </c>
      <c r="P491" t="s">
        <v>1835</v>
      </c>
      <c r="Y491" t="s">
        <v>2724</v>
      </c>
    </row>
    <row r="492" spans="1:25">
      <c r="A492" t="s">
        <v>2725</v>
      </c>
      <c r="B492" t="s">
        <v>2726</v>
      </c>
      <c r="D492" t="s">
        <v>40</v>
      </c>
      <c r="E492" t="s">
        <v>41</v>
      </c>
      <c r="G492" t="s">
        <v>2727</v>
      </c>
      <c r="H492" t="s">
        <v>2728</v>
      </c>
      <c r="J492" t="s">
        <v>90</v>
      </c>
      <c r="K492" t="s">
        <v>91</v>
      </c>
      <c r="L492">
        <v>5</v>
      </c>
      <c r="M492" t="s">
        <v>2729</v>
      </c>
      <c r="N492" t="s">
        <v>47</v>
      </c>
      <c r="O492" t="s">
        <v>48</v>
      </c>
      <c r="P492" t="s">
        <v>48</v>
      </c>
      <c r="Y492" t="s">
        <v>2730</v>
      </c>
    </row>
    <row r="493" spans="1:25">
      <c r="A493" t="s">
        <v>2731</v>
      </c>
      <c r="B493" t="s">
        <v>2732</v>
      </c>
      <c r="D493" t="s">
        <v>40</v>
      </c>
      <c r="E493" t="s">
        <v>41</v>
      </c>
      <c r="G493" t="s">
        <v>2733</v>
      </c>
      <c r="H493" t="s">
        <v>2734</v>
      </c>
      <c r="J493" t="s">
        <v>78</v>
      </c>
      <c r="K493" t="s">
        <v>79</v>
      </c>
      <c r="L493">
        <v>5</v>
      </c>
      <c r="M493" t="s">
        <v>2735</v>
      </c>
      <c r="N493" t="s">
        <v>47</v>
      </c>
      <c r="O493" t="s">
        <v>48</v>
      </c>
      <c r="P493" t="s">
        <v>48</v>
      </c>
      <c r="Y493" t="s">
        <v>2736</v>
      </c>
    </row>
    <row r="494" spans="1:25">
      <c r="A494" t="s">
        <v>2737</v>
      </c>
      <c r="B494" t="s">
        <v>2738</v>
      </c>
      <c r="D494" t="s">
        <v>40</v>
      </c>
      <c r="E494" t="s">
        <v>41</v>
      </c>
      <c r="G494" t="s">
        <v>2739</v>
      </c>
      <c r="H494" t="s">
        <v>2740</v>
      </c>
      <c r="J494" t="s">
        <v>90</v>
      </c>
      <c r="K494" t="s">
        <v>91</v>
      </c>
      <c r="L494">
        <v>5</v>
      </c>
      <c r="M494" t="s">
        <v>2735</v>
      </c>
      <c r="N494" t="s">
        <v>47</v>
      </c>
      <c r="O494" t="s">
        <v>48</v>
      </c>
      <c r="P494" t="s">
        <v>48</v>
      </c>
      <c r="Y494" t="s">
        <v>2741</v>
      </c>
    </row>
    <row r="495" spans="1:25">
      <c r="A495" t="s">
        <v>2742</v>
      </c>
      <c r="B495" t="s">
        <v>2743</v>
      </c>
      <c r="D495" t="s">
        <v>40</v>
      </c>
      <c r="E495" t="s">
        <v>41</v>
      </c>
      <c r="G495" t="s">
        <v>2744</v>
      </c>
      <c r="H495" t="s">
        <v>2745</v>
      </c>
      <c r="J495" t="s">
        <v>54</v>
      </c>
      <c r="K495" t="s">
        <v>55</v>
      </c>
      <c r="L495">
        <v>5</v>
      </c>
      <c r="M495" t="s">
        <v>2735</v>
      </c>
      <c r="N495" t="s">
        <v>47</v>
      </c>
      <c r="O495" t="s">
        <v>48</v>
      </c>
      <c r="P495" t="s">
        <v>48</v>
      </c>
      <c r="Y495" t="s">
        <v>2746</v>
      </c>
    </row>
    <row r="496" spans="1:25">
      <c r="A496" t="s">
        <v>2747</v>
      </c>
      <c r="B496" t="s">
        <v>2748</v>
      </c>
      <c r="D496" t="s">
        <v>40</v>
      </c>
      <c r="E496" t="s">
        <v>41</v>
      </c>
      <c r="G496" t="s">
        <v>2749</v>
      </c>
      <c r="H496" t="s">
        <v>2750</v>
      </c>
      <c r="J496" t="s">
        <v>44</v>
      </c>
      <c r="K496" t="s">
        <v>45</v>
      </c>
      <c r="L496">
        <v>5</v>
      </c>
      <c r="M496" t="s">
        <v>2735</v>
      </c>
      <c r="N496" t="s">
        <v>47</v>
      </c>
      <c r="O496" t="s">
        <v>48</v>
      </c>
      <c r="P496" t="s">
        <v>48</v>
      </c>
      <c r="Y496" t="s">
        <v>2751</v>
      </c>
    </row>
    <row r="497" spans="1:25">
      <c r="A497" t="s">
        <v>2752</v>
      </c>
      <c r="B497" t="s">
        <v>2753</v>
      </c>
      <c r="D497" t="s">
        <v>40</v>
      </c>
      <c r="E497" t="s">
        <v>41</v>
      </c>
      <c r="G497" t="s">
        <v>2754</v>
      </c>
      <c r="H497" t="s">
        <v>2755</v>
      </c>
      <c r="J497" t="s">
        <v>234</v>
      </c>
      <c r="K497" t="s">
        <v>235</v>
      </c>
      <c r="L497">
        <v>5</v>
      </c>
      <c r="M497" t="s">
        <v>2756</v>
      </c>
      <c r="N497" t="s">
        <v>47</v>
      </c>
      <c r="O497" t="s">
        <v>48</v>
      </c>
      <c r="P497" t="s">
        <v>48</v>
      </c>
      <c r="Y497" t="s">
        <v>2757</v>
      </c>
    </row>
    <row r="498" spans="1:25">
      <c r="A498" t="s">
        <v>2758</v>
      </c>
      <c r="B498" t="s">
        <v>2759</v>
      </c>
      <c r="D498" t="s">
        <v>40</v>
      </c>
      <c r="E498" t="s">
        <v>41</v>
      </c>
      <c r="G498" t="s">
        <v>2760</v>
      </c>
      <c r="H498" t="s">
        <v>1691</v>
      </c>
      <c r="J498" t="s">
        <v>44</v>
      </c>
      <c r="K498" t="s">
        <v>45</v>
      </c>
      <c r="L498">
        <v>5</v>
      </c>
      <c r="M498" t="s">
        <v>2761</v>
      </c>
      <c r="N498" t="s">
        <v>47</v>
      </c>
      <c r="O498" t="s">
        <v>48</v>
      </c>
      <c r="P498" t="s">
        <v>48</v>
      </c>
      <c r="Y498" t="s">
        <v>2762</v>
      </c>
    </row>
    <row r="499" spans="1:25">
      <c r="A499" t="s">
        <v>2763</v>
      </c>
      <c r="B499" t="s">
        <v>2764</v>
      </c>
      <c r="D499" t="s">
        <v>40</v>
      </c>
      <c r="E499" t="s">
        <v>41</v>
      </c>
      <c r="G499" t="s">
        <v>2765</v>
      </c>
      <c r="H499" t="s">
        <v>967</v>
      </c>
      <c r="J499" t="s">
        <v>371</v>
      </c>
      <c r="K499" t="s">
        <v>372</v>
      </c>
      <c r="L499">
        <v>5</v>
      </c>
      <c r="M499" t="s">
        <v>2766</v>
      </c>
      <c r="N499" t="s">
        <v>47</v>
      </c>
      <c r="O499" t="s">
        <v>48</v>
      </c>
      <c r="P499" t="s">
        <v>48</v>
      </c>
      <c r="Y499" t="s">
        <v>2767</v>
      </c>
    </row>
    <row r="500" spans="1:25">
      <c r="A500" t="s">
        <v>2768</v>
      </c>
      <c r="B500" t="s">
        <v>2769</v>
      </c>
      <c r="D500" t="s">
        <v>40</v>
      </c>
      <c r="E500" t="s">
        <v>41</v>
      </c>
      <c r="G500" t="s">
        <v>2156</v>
      </c>
      <c r="H500" t="s">
        <v>2770</v>
      </c>
      <c r="J500" t="s">
        <v>2328</v>
      </c>
      <c r="K500" t="s">
        <v>2329</v>
      </c>
      <c r="L500">
        <v>5</v>
      </c>
      <c r="M500" t="s">
        <v>2766</v>
      </c>
      <c r="N500" t="s">
        <v>685</v>
      </c>
      <c r="O500" t="s">
        <v>48</v>
      </c>
      <c r="P500" t="s">
        <v>48</v>
      </c>
      <c r="Y500" t="s">
        <v>2771</v>
      </c>
    </row>
    <row r="501" spans="1:25">
      <c r="A501" t="s">
        <v>2772</v>
      </c>
      <c r="B501" t="s">
        <v>2773</v>
      </c>
      <c r="D501" t="s">
        <v>40</v>
      </c>
      <c r="E501" t="s">
        <v>41</v>
      </c>
      <c r="G501" t="s">
        <v>2774</v>
      </c>
      <c r="H501" t="s">
        <v>2775</v>
      </c>
      <c r="J501" t="s">
        <v>44</v>
      </c>
      <c r="K501" t="s">
        <v>45</v>
      </c>
      <c r="L501">
        <v>5</v>
      </c>
      <c r="M501" t="s">
        <v>2776</v>
      </c>
      <c r="N501" t="s">
        <v>47</v>
      </c>
      <c r="O501" t="s">
        <v>48</v>
      </c>
      <c r="P501" t="s">
        <v>48</v>
      </c>
      <c r="Y501" t="s">
        <v>2777</v>
      </c>
    </row>
    <row r="502" spans="1:25">
      <c r="A502" t="s">
        <v>2778</v>
      </c>
      <c r="B502" t="s">
        <v>2779</v>
      </c>
      <c r="D502" t="s">
        <v>40</v>
      </c>
      <c r="E502" t="s">
        <v>41</v>
      </c>
      <c r="G502" t="s">
        <v>2780</v>
      </c>
      <c r="H502" t="s">
        <v>1585</v>
      </c>
      <c r="J502" t="s">
        <v>90</v>
      </c>
      <c r="K502" t="s">
        <v>91</v>
      </c>
      <c r="L502">
        <v>5</v>
      </c>
      <c r="M502" t="s">
        <v>2781</v>
      </c>
      <c r="N502" t="s">
        <v>47</v>
      </c>
      <c r="O502" t="s">
        <v>48</v>
      </c>
      <c r="P502" t="s">
        <v>48</v>
      </c>
      <c r="Y502" t="s">
        <v>2782</v>
      </c>
    </row>
    <row r="503" spans="1:25">
      <c r="A503" t="s">
        <v>2783</v>
      </c>
      <c r="B503" t="s">
        <v>2784</v>
      </c>
      <c r="D503" t="s">
        <v>40</v>
      </c>
      <c r="E503" t="s">
        <v>41</v>
      </c>
      <c r="G503" t="s">
        <v>2785</v>
      </c>
      <c r="H503" t="s">
        <v>2786</v>
      </c>
      <c r="J503" t="s">
        <v>90</v>
      </c>
      <c r="K503" t="s">
        <v>91</v>
      </c>
      <c r="L503">
        <v>5</v>
      </c>
      <c r="M503" t="s">
        <v>2787</v>
      </c>
      <c r="N503" t="s">
        <v>47</v>
      </c>
      <c r="O503" t="s">
        <v>48</v>
      </c>
      <c r="P503" t="s">
        <v>48</v>
      </c>
      <c r="Y503" t="s">
        <v>2788</v>
      </c>
    </row>
    <row r="504" spans="1:25">
      <c r="A504" t="s">
        <v>2789</v>
      </c>
      <c r="B504" t="s">
        <v>2790</v>
      </c>
      <c r="D504" t="s">
        <v>40</v>
      </c>
      <c r="E504" t="s">
        <v>41</v>
      </c>
      <c r="G504" t="s">
        <v>2791</v>
      </c>
      <c r="H504" t="s">
        <v>2792</v>
      </c>
      <c r="J504" t="s">
        <v>90</v>
      </c>
      <c r="K504" t="s">
        <v>91</v>
      </c>
      <c r="L504">
        <v>5</v>
      </c>
      <c r="M504" t="s">
        <v>2793</v>
      </c>
      <c r="N504" t="s">
        <v>47</v>
      </c>
      <c r="O504" t="s">
        <v>48</v>
      </c>
      <c r="P504" t="s">
        <v>48</v>
      </c>
      <c r="Y504" t="s">
        <v>2794</v>
      </c>
    </row>
    <row r="505" spans="1:25">
      <c r="A505" t="s">
        <v>2795</v>
      </c>
      <c r="B505" t="s">
        <v>2796</v>
      </c>
      <c r="D505" t="s">
        <v>40</v>
      </c>
      <c r="E505" t="s">
        <v>41</v>
      </c>
      <c r="G505" t="s">
        <v>2797</v>
      </c>
      <c r="H505" t="s">
        <v>2798</v>
      </c>
      <c r="J505" t="s">
        <v>44</v>
      </c>
      <c r="K505" t="s">
        <v>45</v>
      </c>
      <c r="L505">
        <v>5</v>
      </c>
      <c r="M505" t="s">
        <v>2793</v>
      </c>
      <c r="N505" t="s">
        <v>47</v>
      </c>
      <c r="O505" t="s">
        <v>48</v>
      </c>
      <c r="P505" t="s">
        <v>48</v>
      </c>
      <c r="Y505" t="s">
        <v>2799</v>
      </c>
    </row>
    <row r="506" spans="1:25">
      <c r="A506" t="s">
        <v>2800</v>
      </c>
      <c r="B506" t="s">
        <v>2801</v>
      </c>
      <c r="D506" t="s">
        <v>40</v>
      </c>
      <c r="E506" t="s">
        <v>41</v>
      </c>
      <c r="G506" t="s">
        <v>810</v>
      </c>
      <c r="H506" t="s">
        <v>2802</v>
      </c>
      <c r="J506" t="s">
        <v>2328</v>
      </c>
      <c r="K506" t="s">
        <v>2329</v>
      </c>
      <c r="L506">
        <v>5</v>
      </c>
      <c r="M506" t="s">
        <v>2803</v>
      </c>
      <c r="N506" t="s">
        <v>685</v>
      </c>
      <c r="O506" t="s">
        <v>48</v>
      </c>
      <c r="P506" t="s">
        <v>48</v>
      </c>
      <c r="Y506" t="s">
        <v>2804</v>
      </c>
    </row>
    <row r="507" spans="1:25">
      <c r="A507" t="s">
        <v>2805</v>
      </c>
      <c r="B507" t="s">
        <v>2806</v>
      </c>
      <c r="D507" t="s">
        <v>40</v>
      </c>
      <c r="E507" t="s">
        <v>41</v>
      </c>
      <c r="G507" t="s">
        <v>2807</v>
      </c>
      <c r="H507" t="s">
        <v>2051</v>
      </c>
      <c r="J507" t="s">
        <v>90</v>
      </c>
      <c r="K507" t="s">
        <v>91</v>
      </c>
      <c r="L507">
        <v>5</v>
      </c>
      <c r="M507" t="s">
        <v>2803</v>
      </c>
      <c r="N507" t="s">
        <v>47</v>
      </c>
      <c r="O507" t="s">
        <v>48</v>
      </c>
      <c r="P507" t="s">
        <v>48</v>
      </c>
      <c r="Y507" t="s">
        <v>2808</v>
      </c>
    </row>
    <row r="508" spans="1:25">
      <c r="A508" t="s">
        <v>2809</v>
      </c>
      <c r="B508" t="s">
        <v>2810</v>
      </c>
      <c r="D508" t="s">
        <v>40</v>
      </c>
      <c r="E508" t="s">
        <v>41</v>
      </c>
      <c r="G508" t="s">
        <v>2811</v>
      </c>
      <c r="H508" t="s">
        <v>2812</v>
      </c>
      <c r="J508" t="s">
        <v>54</v>
      </c>
      <c r="K508" t="s">
        <v>55</v>
      </c>
      <c r="L508">
        <v>5</v>
      </c>
      <c r="M508" t="s">
        <v>2803</v>
      </c>
      <c r="N508" t="s">
        <v>47</v>
      </c>
      <c r="O508" t="s">
        <v>48</v>
      </c>
      <c r="P508" t="s">
        <v>48</v>
      </c>
      <c r="Y508" t="s">
        <v>2813</v>
      </c>
    </row>
    <row r="509" spans="1:25">
      <c r="A509" t="s">
        <v>2814</v>
      </c>
      <c r="B509" t="s">
        <v>2815</v>
      </c>
      <c r="D509" t="s">
        <v>40</v>
      </c>
      <c r="E509" t="s">
        <v>41</v>
      </c>
      <c r="G509" t="s">
        <v>88</v>
      </c>
      <c r="H509" t="s">
        <v>301</v>
      </c>
      <c r="J509" t="s">
        <v>54</v>
      </c>
      <c r="K509" t="s">
        <v>55</v>
      </c>
      <c r="L509">
        <v>5</v>
      </c>
      <c r="M509" t="s">
        <v>2803</v>
      </c>
      <c r="N509" t="s">
        <v>47</v>
      </c>
      <c r="O509" t="s">
        <v>48</v>
      </c>
      <c r="P509" t="s">
        <v>48</v>
      </c>
      <c r="Y509" t="s">
        <v>2816</v>
      </c>
    </row>
    <row r="510" spans="1:25">
      <c r="A510" t="s">
        <v>2817</v>
      </c>
      <c r="B510" t="s">
        <v>2818</v>
      </c>
      <c r="D510" t="s">
        <v>40</v>
      </c>
      <c r="E510" t="s">
        <v>41</v>
      </c>
      <c r="G510" t="s">
        <v>2819</v>
      </c>
      <c r="H510" t="s">
        <v>1691</v>
      </c>
      <c r="J510" t="s">
        <v>2328</v>
      </c>
      <c r="K510" t="s">
        <v>2329</v>
      </c>
      <c r="L510">
        <v>12</v>
      </c>
      <c r="M510" t="s">
        <v>2820</v>
      </c>
      <c r="N510" t="s">
        <v>685</v>
      </c>
      <c r="O510" t="s">
        <v>48</v>
      </c>
      <c r="P510" t="s">
        <v>48</v>
      </c>
      <c r="Y510" t="s">
        <v>2821</v>
      </c>
    </row>
    <row r="511" spans="1:25">
      <c r="A511" t="s">
        <v>2822</v>
      </c>
      <c r="B511" t="s">
        <v>2823</v>
      </c>
      <c r="D511" t="s">
        <v>40</v>
      </c>
      <c r="E511" t="s">
        <v>41</v>
      </c>
      <c r="G511" t="s">
        <v>2824</v>
      </c>
      <c r="H511" t="s">
        <v>2825</v>
      </c>
      <c r="J511" t="s">
        <v>2328</v>
      </c>
      <c r="K511" t="s">
        <v>2329</v>
      </c>
      <c r="L511">
        <v>6</v>
      </c>
      <c r="M511" t="s">
        <v>2826</v>
      </c>
      <c r="N511" t="s">
        <v>685</v>
      </c>
      <c r="O511" t="s">
        <v>48</v>
      </c>
      <c r="P511" t="s">
        <v>48</v>
      </c>
      <c r="Y511" t="s">
        <v>2827</v>
      </c>
    </row>
    <row r="512" spans="1:25">
      <c r="A512" t="s">
        <v>2828</v>
      </c>
      <c r="B512" t="s">
        <v>2829</v>
      </c>
      <c r="D512" t="s">
        <v>40</v>
      </c>
      <c r="E512" t="s">
        <v>41</v>
      </c>
      <c r="G512" t="s">
        <v>2830</v>
      </c>
      <c r="H512" t="s">
        <v>2831</v>
      </c>
      <c r="J512" t="s">
        <v>78</v>
      </c>
      <c r="K512" t="s">
        <v>79</v>
      </c>
      <c r="L512">
        <v>5</v>
      </c>
      <c r="M512" t="s">
        <v>2832</v>
      </c>
      <c r="N512" t="s">
        <v>47</v>
      </c>
      <c r="O512" t="s">
        <v>48</v>
      </c>
      <c r="P512" t="s">
        <v>48</v>
      </c>
      <c r="Y512" t="s">
        <v>2833</v>
      </c>
    </row>
    <row r="513" spans="1:25">
      <c r="A513" t="s">
        <v>2834</v>
      </c>
      <c r="B513" t="s">
        <v>2835</v>
      </c>
      <c r="D513" t="s">
        <v>40</v>
      </c>
      <c r="E513" t="s">
        <v>41</v>
      </c>
      <c r="G513" t="s">
        <v>2836</v>
      </c>
      <c r="H513" t="s">
        <v>2837</v>
      </c>
      <c r="J513" t="s">
        <v>90</v>
      </c>
      <c r="K513" t="s">
        <v>91</v>
      </c>
      <c r="L513">
        <v>5</v>
      </c>
      <c r="M513" t="s">
        <v>2832</v>
      </c>
      <c r="N513" t="s">
        <v>47</v>
      </c>
      <c r="O513" t="s">
        <v>48</v>
      </c>
      <c r="P513" t="s">
        <v>48</v>
      </c>
      <c r="Y513" t="s">
        <v>2838</v>
      </c>
    </row>
    <row r="514" spans="1:25">
      <c r="A514" t="s">
        <v>2839</v>
      </c>
      <c r="B514" t="s">
        <v>2840</v>
      </c>
      <c r="D514" t="s">
        <v>40</v>
      </c>
      <c r="E514" t="s">
        <v>41</v>
      </c>
      <c r="G514" t="s">
        <v>644</v>
      </c>
      <c r="H514" t="s">
        <v>2841</v>
      </c>
      <c r="J514" t="s">
        <v>234</v>
      </c>
      <c r="K514" t="s">
        <v>235</v>
      </c>
      <c r="L514">
        <v>5</v>
      </c>
      <c r="M514" t="s">
        <v>2842</v>
      </c>
      <c r="N514" t="s">
        <v>47</v>
      </c>
      <c r="O514" t="s">
        <v>48</v>
      </c>
      <c r="P514" t="s">
        <v>48</v>
      </c>
      <c r="Y514" t="s">
        <v>2843</v>
      </c>
    </row>
    <row r="515" spans="1:25">
      <c r="A515" t="s">
        <v>2844</v>
      </c>
      <c r="B515" t="s">
        <v>2845</v>
      </c>
      <c r="D515" t="s">
        <v>40</v>
      </c>
      <c r="E515" t="s">
        <v>41</v>
      </c>
      <c r="G515" t="s">
        <v>2846</v>
      </c>
      <c r="H515" t="s">
        <v>2847</v>
      </c>
      <c r="J515" t="s">
        <v>44</v>
      </c>
      <c r="K515" t="s">
        <v>45</v>
      </c>
      <c r="L515">
        <v>5</v>
      </c>
      <c r="M515" t="s">
        <v>2848</v>
      </c>
      <c r="N515" t="s">
        <v>47</v>
      </c>
      <c r="O515" t="s">
        <v>48</v>
      </c>
      <c r="P515" t="s">
        <v>48</v>
      </c>
      <c r="Y515" t="s">
        <v>2849</v>
      </c>
    </row>
    <row r="516" spans="1:25">
      <c r="A516" t="s">
        <v>2850</v>
      </c>
      <c r="B516" t="s">
        <v>2851</v>
      </c>
      <c r="D516" t="s">
        <v>40</v>
      </c>
      <c r="E516" t="s">
        <v>41</v>
      </c>
      <c r="G516" t="s">
        <v>810</v>
      </c>
      <c r="H516" t="s">
        <v>2852</v>
      </c>
      <c r="J516" t="s">
        <v>54</v>
      </c>
      <c r="K516" t="s">
        <v>55</v>
      </c>
      <c r="L516">
        <v>5</v>
      </c>
      <c r="M516" t="s">
        <v>2848</v>
      </c>
      <c r="N516" t="s">
        <v>47</v>
      </c>
      <c r="O516" t="s">
        <v>48</v>
      </c>
      <c r="P516" t="s">
        <v>48</v>
      </c>
      <c r="Y516" t="s">
        <v>2853</v>
      </c>
    </row>
    <row r="517" spans="1:25">
      <c r="A517" t="s">
        <v>2854</v>
      </c>
      <c r="B517" t="s">
        <v>2855</v>
      </c>
      <c r="D517" t="s">
        <v>40</v>
      </c>
      <c r="E517" t="s">
        <v>41</v>
      </c>
      <c r="G517" t="s">
        <v>2856</v>
      </c>
      <c r="H517" t="s">
        <v>2857</v>
      </c>
      <c r="J517" t="s">
        <v>54</v>
      </c>
      <c r="K517" t="s">
        <v>55</v>
      </c>
      <c r="L517">
        <v>5</v>
      </c>
      <c r="M517" t="s">
        <v>2848</v>
      </c>
      <c r="N517" t="s">
        <v>47</v>
      </c>
      <c r="O517" t="s">
        <v>48</v>
      </c>
      <c r="P517" t="s">
        <v>48</v>
      </c>
      <c r="Y517" t="s">
        <v>2858</v>
      </c>
    </row>
    <row r="518" spans="1:25">
      <c r="A518" t="s">
        <v>2859</v>
      </c>
      <c r="B518" t="s">
        <v>2860</v>
      </c>
      <c r="D518" t="s">
        <v>40</v>
      </c>
      <c r="E518" t="s">
        <v>41</v>
      </c>
      <c r="G518" t="s">
        <v>2861</v>
      </c>
      <c r="H518" t="s">
        <v>2862</v>
      </c>
      <c r="J518" t="s">
        <v>234</v>
      </c>
      <c r="K518" t="s">
        <v>235</v>
      </c>
      <c r="L518">
        <v>5</v>
      </c>
      <c r="M518" t="s">
        <v>2863</v>
      </c>
      <c r="N518" t="s">
        <v>47</v>
      </c>
      <c r="O518" t="s">
        <v>48</v>
      </c>
      <c r="P518" t="s">
        <v>48</v>
      </c>
      <c r="Y518" t="s">
        <v>2864</v>
      </c>
    </row>
    <row r="519" spans="1:25">
      <c r="A519" t="s">
        <v>2865</v>
      </c>
      <c r="B519" t="s">
        <v>2866</v>
      </c>
      <c r="D519" t="s">
        <v>40</v>
      </c>
      <c r="E519" t="s">
        <v>41</v>
      </c>
      <c r="J519" t="s">
        <v>78</v>
      </c>
      <c r="K519" t="s">
        <v>79</v>
      </c>
      <c r="L519">
        <v>5</v>
      </c>
      <c r="M519" t="s">
        <v>2867</v>
      </c>
      <c r="N519" t="s">
        <v>47</v>
      </c>
      <c r="O519" t="s">
        <v>48</v>
      </c>
      <c r="P519" t="s">
        <v>48</v>
      </c>
      <c r="Y519" t="s">
        <v>2868</v>
      </c>
    </row>
    <row r="520" spans="1:25">
      <c r="A520" t="s">
        <v>2869</v>
      </c>
      <c r="B520" t="s">
        <v>2870</v>
      </c>
      <c r="D520" t="s">
        <v>40</v>
      </c>
      <c r="E520" t="s">
        <v>41</v>
      </c>
      <c r="G520" t="s">
        <v>2871</v>
      </c>
      <c r="H520" t="s">
        <v>2872</v>
      </c>
      <c r="J520" t="s">
        <v>765</v>
      </c>
      <c r="K520" t="s">
        <v>766</v>
      </c>
      <c r="L520">
        <v>5</v>
      </c>
      <c r="M520" t="s">
        <v>2873</v>
      </c>
      <c r="N520" t="s">
        <v>290</v>
      </c>
      <c r="O520" t="s">
        <v>48</v>
      </c>
      <c r="P520" t="s">
        <v>48</v>
      </c>
      <c r="Y520" t="s">
        <v>2874</v>
      </c>
    </row>
    <row r="521" spans="1:25">
      <c r="A521" t="s">
        <v>2875</v>
      </c>
      <c r="B521" t="s">
        <v>2876</v>
      </c>
      <c r="D521" t="s">
        <v>40</v>
      </c>
      <c r="E521" t="s">
        <v>41</v>
      </c>
      <c r="G521" t="s">
        <v>2877</v>
      </c>
      <c r="H521" t="s">
        <v>2878</v>
      </c>
      <c r="J521" t="s">
        <v>54</v>
      </c>
      <c r="K521" t="s">
        <v>55</v>
      </c>
      <c r="L521">
        <v>5</v>
      </c>
      <c r="M521" t="s">
        <v>2879</v>
      </c>
      <c r="N521" t="s">
        <v>47</v>
      </c>
      <c r="O521" t="s">
        <v>48</v>
      </c>
      <c r="P521" t="s">
        <v>48</v>
      </c>
      <c r="Y521" t="s">
        <v>2880</v>
      </c>
    </row>
    <row r="522" spans="1:25">
      <c r="A522" t="s">
        <v>2881</v>
      </c>
      <c r="B522" t="s">
        <v>2882</v>
      </c>
      <c r="D522" t="s">
        <v>40</v>
      </c>
      <c r="E522" t="s">
        <v>41</v>
      </c>
      <c r="G522" t="s">
        <v>2883</v>
      </c>
      <c r="H522" t="s">
        <v>2884</v>
      </c>
      <c r="J522" t="s">
        <v>90</v>
      </c>
      <c r="K522" t="s">
        <v>91</v>
      </c>
      <c r="L522">
        <v>5</v>
      </c>
      <c r="M522" t="s">
        <v>2879</v>
      </c>
      <c r="N522" t="s">
        <v>47</v>
      </c>
      <c r="O522" t="s">
        <v>48</v>
      </c>
      <c r="P522" t="s">
        <v>48</v>
      </c>
      <c r="Y522" t="s">
        <v>2885</v>
      </c>
    </row>
    <row r="523" spans="1:25">
      <c r="A523" t="s">
        <v>2886</v>
      </c>
      <c r="B523" t="s">
        <v>2887</v>
      </c>
      <c r="D523" t="s">
        <v>40</v>
      </c>
      <c r="E523" t="s">
        <v>41</v>
      </c>
      <c r="G523" t="s">
        <v>2888</v>
      </c>
      <c r="H523" t="s">
        <v>2889</v>
      </c>
      <c r="J523" t="s">
        <v>54</v>
      </c>
      <c r="K523" t="s">
        <v>55</v>
      </c>
      <c r="L523">
        <v>5</v>
      </c>
      <c r="M523" t="s">
        <v>2879</v>
      </c>
      <c r="N523" t="s">
        <v>47</v>
      </c>
      <c r="O523" t="s">
        <v>48</v>
      </c>
      <c r="P523" t="s">
        <v>48</v>
      </c>
      <c r="Y523" t="s">
        <v>2890</v>
      </c>
    </row>
    <row r="524" spans="1:25">
      <c r="A524" t="s">
        <v>2891</v>
      </c>
      <c r="B524" t="s">
        <v>2892</v>
      </c>
      <c r="D524" t="s">
        <v>40</v>
      </c>
      <c r="E524" t="s">
        <v>41</v>
      </c>
      <c r="J524" t="s">
        <v>78</v>
      </c>
      <c r="K524" t="s">
        <v>79</v>
      </c>
      <c r="L524">
        <v>5</v>
      </c>
      <c r="M524" t="s">
        <v>2879</v>
      </c>
      <c r="N524" t="s">
        <v>47</v>
      </c>
      <c r="O524" t="s">
        <v>48</v>
      </c>
      <c r="P524" t="s">
        <v>48</v>
      </c>
      <c r="Y524" t="s">
        <v>2893</v>
      </c>
    </row>
    <row r="525" spans="1:25">
      <c r="A525" t="s">
        <v>2894</v>
      </c>
      <c r="B525" t="s">
        <v>2895</v>
      </c>
      <c r="D525" t="s">
        <v>40</v>
      </c>
      <c r="E525" t="s">
        <v>41</v>
      </c>
      <c r="G525" t="s">
        <v>2896</v>
      </c>
      <c r="H525" t="s">
        <v>627</v>
      </c>
      <c r="J525" t="s">
        <v>234</v>
      </c>
      <c r="K525" t="s">
        <v>235</v>
      </c>
      <c r="L525">
        <v>5</v>
      </c>
      <c r="M525" t="s">
        <v>2897</v>
      </c>
      <c r="N525" t="s">
        <v>47</v>
      </c>
      <c r="O525" t="s">
        <v>48</v>
      </c>
      <c r="P525" t="s">
        <v>48</v>
      </c>
      <c r="Y525" t="s">
        <v>2898</v>
      </c>
    </row>
    <row r="526" spans="1:25">
      <c r="A526" t="s">
        <v>2899</v>
      </c>
      <c r="B526" t="s">
        <v>2900</v>
      </c>
      <c r="D526" t="s">
        <v>40</v>
      </c>
      <c r="E526" t="s">
        <v>41</v>
      </c>
      <c r="G526" t="s">
        <v>2901</v>
      </c>
      <c r="H526" t="s">
        <v>2902</v>
      </c>
      <c r="J526" t="s">
        <v>90</v>
      </c>
      <c r="K526" t="s">
        <v>91</v>
      </c>
      <c r="L526">
        <v>5</v>
      </c>
      <c r="M526" t="s">
        <v>2903</v>
      </c>
      <c r="N526" t="s">
        <v>47</v>
      </c>
      <c r="O526" t="s">
        <v>48</v>
      </c>
      <c r="P526" t="s">
        <v>48</v>
      </c>
      <c r="Y526" t="s">
        <v>2904</v>
      </c>
    </row>
    <row r="527" spans="1:25">
      <c r="A527" t="s">
        <v>2905</v>
      </c>
      <c r="B527" t="s">
        <v>2906</v>
      </c>
      <c r="D527" t="s">
        <v>40</v>
      </c>
      <c r="E527" t="s">
        <v>41</v>
      </c>
      <c r="G527" t="s">
        <v>2422</v>
      </c>
      <c r="H527" t="s">
        <v>2907</v>
      </c>
      <c r="J527" t="s">
        <v>927</v>
      </c>
      <c r="K527" t="s">
        <v>928</v>
      </c>
      <c r="L527">
        <v>5</v>
      </c>
      <c r="M527" t="s">
        <v>2903</v>
      </c>
      <c r="N527" t="s">
        <v>135</v>
      </c>
      <c r="O527" t="s">
        <v>48</v>
      </c>
      <c r="P527" t="s">
        <v>48</v>
      </c>
      <c r="Y527" t="s">
        <v>2908</v>
      </c>
    </row>
    <row r="528" spans="1:25">
      <c r="A528" t="s">
        <v>2909</v>
      </c>
      <c r="B528" t="s">
        <v>2910</v>
      </c>
      <c r="D528" t="s">
        <v>40</v>
      </c>
      <c r="E528" t="s">
        <v>41</v>
      </c>
      <c r="G528" t="s">
        <v>2911</v>
      </c>
      <c r="H528" t="s">
        <v>2912</v>
      </c>
      <c r="J528" t="s">
        <v>44</v>
      </c>
      <c r="K528" t="s">
        <v>45</v>
      </c>
      <c r="L528">
        <v>5</v>
      </c>
      <c r="M528" t="s">
        <v>2913</v>
      </c>
      <c r="N528" t="s">
        <v>47</v>
      </c>
      <c r="O528" t="s">
        <v>48</v>
      </c>
      <c r="P528" t="s">
        <v>48</v>
      </c>
      <c r="Y528" t="s">
        <v>2914</v>
      </c>
    </row>
    <row r="529" spans="1:25">
      <c r="A529" t="s">
        <v>2915</v>
      </c>
      <c r="B529" t="s">
        <v>2916</v>
      </c>
      <c r="D529" t="s">
        <v>40</v>
      </c>
      <c r="E529" t="s">
        <v>41</v>
      </c>
      <c r="G529" t="s">
        <v>2917</v>
      </c>
      <c r="H529" t="s">
        <v>2918</v>
      </c>
      <c r="J529" t="s">
        <v>133</v>
      </c>
      <c r="K529" t="s">
        <v>134</v>
      </c>
      <c r="L529">
        <v>6</v>
      </c>
      <c r="M529" t="s">
        <v>2919</v>
      </c>
      <c r="N529" t="s">
        <v>290</v>
      </c>
      <c r="O529" t="s">
        <v>48</v>
      </c>
      <c r="P529" t="s">
        <v>48</v>
      </c>
      <c r="Y529" t="s">
        <v>2920</v>
      </c>
    </row>
    <row r="530" spans="1:25">
      <c r="A530" t="s">
        <v>2921</v>
      </c>
      <c r="B530" t="s">
        <v>2922</v>
      </c>
      <c r="D530" t="s">
        <v>40</v>
      </c>
      <c r="E530" t="s">
        <v>41</v>
      </c>
      <c r="G530" t="s">
        <v>2923</v>
      </c>
      <c r="H530" t="s">
        <v>2924</v>
      </c>
      <c r="J530" t="s">
        <v>90</v>
      </c>
      <c r="K530" t="s">
        <v>91</v>
      </c>
      <c r="L530">
        <v>5</v>
      </c>
      <c r="M530" t="s">
        <v>2925</v>
      </c>
      <c r="N530" t="s">
        <v>47</v>
      </c>
      <c r="O530" t="s">
        <v>48</v>
      </c>
      <c r="P530" t="s">
        <v>48</v>
      </c>
      <c r="Y530" t="s">
        <v>2926</v>
      </c>
    </row>
    <row r="531" spans="1:25">
      <c r="A531" t="s">
        <v>2927</v>
      </c>
      <c r="B531" t="s">
        <v>2928</v>
      </c>
      <c r="D531" t="s">
        <v>40</v>
      </c>
      <c r="E531" t="s">
        <v>41</v>
      </c>
      <c r="G531" t="s">
        <v>174</v>
      </c>
      <c r="H531" t="s">
        <v>2929</v>
      </c>
      <c r="J531" t="s">
        <v>371</v>
      </c>
      <c r="K531" t="s">
        <v>372</v>
      </c>
      <c r="L531">
        <v>5</v>
      </c>
      <c r="M531" t="s">
        <v>2925</v>
      </c>
      <c r="N531" t="s">
        <v>47</v>
      </c>
      <c r="O531" t="s">
        <v>48</v>
      </c>
      <c r="P531" t="s">
        <v>48</v>
      </c>
      <c r="Y531" t="s">
        <v>2930</v>
      </c>
    </row>
    <row r="532" spans="1:25">
      <c r="A532" t="s">
        <v>2931</v>
      </c>
      <c r="B532" t="s">
        <v>2932</v>
      </c>
      <c r="D532" t="s">
        <v>40</v>
      </c>
      <c r="E532" t="s">
        <v>41</v>
      </c>
      <c r="G532" t="s">
        <v>168</v>
      </c>
      <c r="H532" t="s">
        <v>2933</v>
      </c>
      <c r="J532" t="s">
        <v>44</v>
      </c>
      <c r="K532" t="s">
        <v>45</v>
      </c>
      <c r="L532">
        <v>5</v>
      </c>
      <c r="M532" t="s">
        <v>2925</v>
      </c>
      <c r="N532" t="s">
        <v>47</v>
      </c>
      <c r="O532" t="s">
        <v>48</v>
      </c>
      <c r="P532" t="s">
        <v>48</v>
      </c>
      <c r="Y532" t="s">
        <v>2934</v>
      </c>
    </row>
    <row r="533" spans="1:25">
      <c r="A533" t="s">
        <v>2935</v>
      </c>
      <c r="B533" t="s">
        <v>2936</v>
      </c>
      <c r="D533" t="s">
        <v>40</v>
      </c>
      <c r="E533" t="s">
        <v>41</v>
      </c>
      <c r="G533" t="s">
        <v>2937</v>
      </c>
      <c r="H533" t="s">
        <v>2938</v>
      </c>
      <c r="J533" t="s">
        <v>54</v>
      </c>
      <c r="K533" t="s">
        <v>55</v>
      </c>
      <c r="L533">
        <v>5</v>
      </c>
      <c r="M533" t="s">
        <v>2939</v>
      </c>
      <c r="N533" t="s">
        <v>47</v>
      </c>
      <c r="O533" t="s">
        <v>48</v>
      </c>
      <c r="P533" t="s">
        <v>48</v>
      </c>
      <c r="Y533" t="s">
        <v>2940</v>
      </c>
    </row>
    <row r="534" spans="1:25">
      <c r="A534" t="s">
        <v>2941</v>
      </c>
      <c r="B534" t="s">
        <v>2942</v>
      </c>
      <c r="D534" t="s">
        <v>40</v>
      </c>
      <c r="E534" t="s">
        <v>41</v>
      </c>
      <c r="G534" t="s">
        <v>2943</v>
      </c>
      <c r="H534" t="s">
        <v>2423</v>
      </c>
      <c r="J534" t="s">
        <v>90</v>
      </c>
      <c r="K534" t="s">
        <v>91</v>
      </c>
      <c r="L534">
        <v>5</v>
      </c>
      <c r="M534" t="s">
        <v>2939</v>
      </c>
      <c r="N534" t="s">
        <v>47</v>
      </c>
      <c r="O534" t="s">
        <v>48</v>
      </c>
      <c r="P534" t="s">
        <v>48</v>
      </c>
      <c r="Y534" t="s">
        <v>2944</v>
      </c>
    </row>
    <row r="535" spans="1:25">
      <c r="A535" t="s">
        <v>2945</v>
      </c>
      <c r="B535" t="s">
        <v>2946</v>
      </c>
      <c r="D535" t="s">
        <v>40</v>
      </c>
      <c r="E535" t="s">
        <v>41</v>
      </c>
      <c r="G535" t="s">
        <v>2947</v>
      </c>
      <c r="H535" t="s">
        <v>1807</v>
      </c>
      <c r="J535" t="s">
        <v>2948</v>
      </c>
      <c r="K535" t="s">
        <v>2949</v>
      </c>
      <c r="L535">
        <v>7</v>
      </c>
      <c r="M535" t="s">
        <v>2950</v>
      </c>
      <c r="N535" t="s">
        <v>685</v>
      </c>
      <c r="O535" t="s">
        <v>48</v>
      </c>
      <c r="P535" t="s">
        <v>48</v>
      </c>
      <c r="Y535" t="s">
        <v>2951</v>
      </c>
    </row>
    <row r="536" spans="1:25">
      <c r="A536" t="s">
        <v>2952</v>
      </c>
      <c r="B536" t="s">
        <v>2953</v>
      </c>
      <c r="D536" t="s">
        <v>40</v>
      </c>
      <c r="E536" t="s">
        <v>41</v>
      </c>
      <c r="G536" t="s">
        <v>2954</v>
      </c>
      <c r="H536" t="s">
        <v>2955</v>
      </c>
      <c r="J536" t="s">
        <v>44</v>
      </c>
      <c r="K536" t="s">
        <v>45</v>
      </c>
      <c r="L536">
        <v>5</v>
      </c>
      <c r="M536" t="s">
        <v>2956</v>
      </c>
      <c r="N536" t="s">
        <v>47</v>
      </c>
      <c r="O536" t="s">
        <v>48</v>
      </c>
      <c r="P536" t="s">
        <v>48</v>
      </c>
      <c r="Y536" t="s">
        <v>2957</v>
      </c>
    </row>
    <row r="537" spans="1:25">
      <c r="A537" t="s">
        <v>2958</v>
      </c>
      <c r="B537" t="s">
        <v>2959</v>
      </c>
      <c r="D537" t="s">
        <v>40</v>
      </c>
      <c r="E537" t="s">
        <v>41</v>
      </c>
      <c r="G537" t="s">
        <v>2960</v>
      </c>
      <c r="H537" t="s">
        <v>2961</v>
      </c>
      <c r="J537" t="s">
        <v>497</v>
      </c>
      <c r="K537" t="s">
        <v>498</v>
      </c>
      <c r="L537">
        <v>6</v>
      </c>
      <c r="M537" t="s">
        <v>2962</v>
      </c>
      <c r="N537" t="s">
        <v>135</v>
      </c>
      <c r="O537" t="s">
        <v>48</v>
      </c>
      <c r="P537" t="s">
        <v>48</v>
      </c>
      <c r="Y537" t="s">
        <v>2963</v>
      </c>
    </row>
    <row r="538" spans="1:25">
      <c r="A538" t="s">
        <v>2964</v>
      </c>
      <c r="B538" t="s">
        <v>2965</v>
      </c>
      <c r="D538" t="s">
        <v>40</v>
      </c>
      <c r="E538" t="s">
        <v>41</v>
      </c>
      <c r="G538" t="s">
        <v>2014</v>
      </c>
      <c r="H538" t="s">
        <v>2966</v>
      </c>
      <c r="J538" t="s">
        <v>78</v>
      </c>
      <c r="K538" t="s">
        <v>79</v>
      </c>
      <c r="L538">
        <v>5</v>
      </c>
      <c r="M538" t="s">
        <v>2967</v>
      </c>
      <c r="N538" t="s">
        <v>47</v>
      </c>
      <c r="O538" t="s">
        <v>48</v>
      </c>
      <c r="P538" t="s">
        <v>48</v>
      </c>
      <c r="Y538" t="s">
        <v>2968</v>
      </c>
    </row>
    <row r="539" spans="1:25">
      <c r="A539" t="s">
        <v>2969</v>
      </c>
      <c r="B539" t="s">
        <v>2970</v>
      </c>
      <c r="D539" t="s">
        <v>40</v>
      </c>
      <c r="E539" t="s">
        <v>41</v>
      </c>
      <c r="G539" t="s">
        <v>2971</v>
      </c>
      <c r="H539" t="s">
        <v>2972</v>
      </c>
      <c r="J539" t="s">
        <v>54</v>
      </c>
      <c r="K539" t="s">
        <v>55</v>
      </c>
      <c r="L539">
        <v>5</v>
      </c>
      <c r="M539" t="s">
        <v>2973</v>
      </c>
      <c r="N539" t="s">
        <v>47</v>
      </c>
      <c r="O539" t="s">
        <v>48</v>
      </c>
      <c r="P539" t="s">
        <v>48</v>
      </c>
      <c r="Y539" t="s">
        <v>2974</v>
      </c>
    </row>
    <row r="540" spans="1:25">
      <c r="A540" t="s">
        <v>2975</v>
      </c>
      <c r="B540" t="s">
        <v>2976</v>
      </c>
      <c r="D540" t="s">
        <v>40</v>
      </c>
      <c r="E540" t="s">
        <v>41</v>
      </c>
      <c r="G540" t="s">
        <v>792</v>
      </c>
      <c r="H540" t="s">
        <v>1077</v>
      </c>
      <c r="J540" t="s">
        <v>44</v>
      </c>
      <c r="K540" t="s">
        <v>45</v>
      </c>
      <c r="L540">
        <v>5</v>
      </c>
      <c r="M540" t="s">
        <v>2977</v>
      </c>
      <c r="N540" t="s">
        <v>47</v>
      </c>
      <c r="O540" t="s">
        <v>48</v>
      </c>
      <c r="P540" t="s">
        <v>48</v>
      </c>
      <c r="Y540" t="s">
        <v>2978</v>
      </c>
    </row>
    <row r="541" spans="1:25">
      <c r="A541" t="s">
        <v>2979</v>
      </c>
      <c r="B541" t="s">
        <v>2980</v>
      </c>
      <c r="D541" t="s">
        <v>40</v>
      </c>
      <c r="E541" t="s">
        <v>41</v>
      </c>
      <c r="G541" t="s">
        <v>2981</v>
      </c>
      <c r="H541" t="s">
        <v>2982</v>
      </c>
      <c r="J541" t="s">
        <v>44</v>
      </c>
      <c r="K541" t="s">
        <v>45</v>
      </c>
      <c r="L541">
        <v>5</v>
      </c>
      <c r="M541" t="s">
        <v>2977</v>
      </c>
      <c r="N541" t="s">
        <v>47</v>
      </c>
      <c r="O541" t="s">
        <v>48</v>
      </c>
      <c r="P541" t="s">
        <v>48</v>
      </c>
      <c r="Y541" t="s">
        <v>2983</v>
      </c>
    </row>
    <row r="542" spans="1:25">
      <c r="A542" t="s">
        <v>2984</v>
      </c>
      <c r="B542" t="s">
        <v>2985</v>
      </c>
      <c r="D542" t="s">
        <v>40</v>
      </c>
      <c r="E542" t="s">
        <v>41</v>
      </c>
      <c r="G542" t="s">
        <v>2986</v>
      </c>
      <c r="H542" t="s">
        <v>2987</v>
      </c>
      <c r="J542" t="s">
        <v>78</v>
      </c>
      <c r="K542" t="s">
        <v>79</v>
      </c>
      <c r="L542">
        <v>5</v>
      </c>
      <c r="M542" t="s">
        <v>2977</v>
      </c>
      <c r="N542" t="s">
        <v>47</v>
      </c>
      <c r="O542" t="s">
        <v>48</v>
      </c>
      <c r="P542" t="s">
        <v>48</v>
      </c>
      <c r="Y542" t="s">
        <v>2988</v>
      </c>
    </row>
    <row r="543" spans="1:25">
      <c r="A543" t="s">
        <v>2989</v>
      </c>
      <c r="B543" t="s">
        <v>2990</v>
      </c>
      <c r="D543" t="s">
        <v>40</v>
      </c>
      <c r="E543" t="s">
        <v>41</v>
      </c>
      <c r="G543" t="s">
        <v>2991</v>
      </c>
      <c r="H543" t="s">
        <v>1336</v>
      </c>
      <c r="J543" t="s">
        <v>90</v>
      </c>
      <c r="K543" t="s">
        <v>91</v>
      </c>
      <c r="L543">
        <v>5</v>
      </c>
      <c r="M543" t="s">
        <v>2992</v>
      </c>
      <c r="N543" t="s">
        <v>47</v>
      </c>
      <c r="O543" t="s">
        <v>48</v>
      </c>
      <c r="P543" t="s">
        <v>48</v>
      </c>
      <c r="Y543" t="s">
        <v>2993</v>
      </c>
    </row>
    <row r="544" spans="1:25">
      <c r="A544" t="s">
        <v>2994</v>
      </c>
      <c r="B544" t="s">
        <v>2995</v>
      </c>
      <c r="D544" t="s">
        <v>40</v>
      </c>
      <c r="E544" t="s">
        <v>41</v>
      </c>
      <c r="G544" t="s">
        <v>2996</v>
      </c>
      <c r="H544" t="s">
        <v>77</v>
      </c>
      <c r="J544" t="s">
        <v>54</v>
      </c>
      <c r="K544" t="s">
        <v>55</v>
      </c>
      <c r="L544">
        <v>5</v>
      </c>
      <c r="M544" t="s">
        <v>2997</v>
      </c>
      <c r="N544" t="s">
        <v>47</v>
      </c>
      <c r="O544" t="s">
        <v>48</v>
      </c>
      <c r="P544" t="s">
        <v>48</v>
      </c>
      <c r="Y544" t="s">
        <v>2998</v>
      </c>
    </row>
    <row r="545" spans="1:25">
      <c r="A545" t="s">
        <v>2999</v>
      </c>
      <c r="B545" t="s">
        <v>3000</v>
      </c>
      <c r="D545" t="s">
        <v>40</v>
      </c>
      <c r="E545" t="s">
        <v>41</v>
      </c>
      <c r="G545" t="s">
        <v>3001</v>
      </c>
      <c r="H545" t="s">
        <v>3002</v>
      </c>
      <c r="J545" t="s">
        <v>44</v>
      </c>
      <c r="K545" t="s">
        <v>45</v>
      </c>
      <c r="L545">
        <v>5</v>
      </c>
      <c r="M545" t="s">
        <v>3003</v>
      </c>
      <c r="N545" t="s">
        <v>47</v>
      </c>
      <c r="O545" t="s">
        <v>48</v>
      </c>
      <c r="P545" t="s">
        <v>48</v>
      </c>
      <c r="Y545" t="s">
        <v>3004</v>
      </c>
    </row>
    <row r="546" spans="1:25">
      <c r="A546" t="s">
        <v>3005</v>
      </c>
      <c r="B546" t="s">
        <v>3006</v>
      </c>
      <c r="D546" t="s">
        <v>40</v>
      </c>
      <c r="E546" t="s">
        <v>41</v>
      </c>
      <c r="G546" t="s">
        <v>3007</v>
      </c>
      <c r="H546" t="s">
        <v>3008</v>
      </c>
      <c r="J546" t="s">
        <v>54</v>
      </c>
      <c r="K546" t="s">
        <v>55</v>
      </c>
      <c r="L546">
        <v>5</v>
      </c>
      <c r="M546" t="s">
        <v>3003</v>
      </c>
      <c r="N546" t="s">
        <v>47</v>
      </c>
      <c r="O546" t="s">
        <v>48</v>
      </c>
      <c r="P546" t="s">
        <v>48</v>
      </c>
      <c r="Y546" t="s">
        <v>3009</v>
      </c>
    </row>
    <row r="547" spans="1:25">
      <c r="A547" t="s">
        <v>3010</v>
      </c>
      <c r="B547" t="s">
        <v>3011</v>
      </c>
      <c r="D547" t="s">
        <v>40</v>
      </c>
      <c r="E547" t="s">
        <v>41</v>
      </c>
      <c r="G547" t="s">
        <v>3012</v>
      </c>
      <c r="H547" t="s">
        <v>3013</v>
      </c>
      <c r="J547" t="s">
        <v>353</v>
      </c>
      <c r="K547" t="s">
        <v>354</v>
      </c>
      <c r="L547">
        <v>5</v>
      </c>
      <c r="M547" t="s">
        <v>3014</v>
      </c>
      <c r="N547" t="s">
        <v>135</v>
      </c>
      <c r="O547" t="s">
        <v>48</v>
      </c>
      <c r="P547" t="s">
        <v>48</v>
      </c>
      <c r="Y547" t="s">
        <v>3015</v>
      </c>
    </row>
    <row r="548" spans="1:25">
      <c r="A548" t="s">
        <v>3016</v>
      </c>
      <c r="B548" t="s">
        <v>3017</v>
      </c>
      <c r="D548" t="s">
        <v>40</v>
      </c>
      <c r="E548" t="s">
        <v>41</v>
      </c>
      <c r="G548" t="s">
        <v>2287</v>
      </c>
      <c r="H548" t="s">
        <v>3018</v>
      </c>
      <c r="J548" t="s">
        <v>54</v>
      </c>
      <c r="K548" t="s">
        <v>55</v>
      </c>
      <c r="L548">
        <v>5</v>
      </c>
      <c r="M548" t="s">
        <v>3019</v>
      </c>
      <c r="N548" t="s">
        <v>47</v>
      </c>
      <c r="O548" t="s">
        <v>48</v>
      </c>
      <c r="P548" t="s">
        <v>48</v>
      </c>
      <c r="Y548" t="s">
        <v>3020</v>
      </c>
    </row>
    <row r="549" spans="1:25">
      <c r="A549" t="s">
        <v>3021</v>
      </c>
      <c r="B549" t="s">
        <v>3022</v>
      </c>
      <c r="D549" t="s">
        <v>40</v>
      </c>
      <c r="E549" t="s">
        <v>41</v>
      </c>
      <c r="G549" t="s">
        <v>3023</v>
      </c>
      <c r="H549" t="s">
        <v>3024</v>
      </c>
      <c r="J549" t="s">
        <v>54</v>
      </c>
      <c r="K549" t="s">
        <v>55</v>
      </c>
      <c r="L549">
        <v>5</v>
      </c>
      <c r="M549" t="s">
        <v>3025</v>
      </c>
      <c r="N549" t="s">
        <v>47</v>
      </c>
      <c r="O549" t="s">
        <v>48</v>
      </c>
      <c r="P549" t="s">
        <v>48</v>
      </c>
      <c r="Y549" t="s">
        <v>3026</v>
      </c>
    </row>
    <row r="550" spans="1:25">
      <c r="A550" t="s">
        <v>3027</v>
      </c>
      <c r="B550" t="s">
        <v>3028</v>
      </c>
      <c r="D550" t="s">
        <v>40</v>
      </c>
      <c r="E550" t="s">
        <v>41</v>
      </c>
      <c r="G550" t="s">
        <v>3029</v>
      </c>
      <c r="H550" t="s">
        <v>3030</v>
      </c>
      <c r="J550" t="s">
        <v>371</v>
      </c>
      <c r="K550" t="s">
        <v>372</v>
      </c>
      <c r="L550">
        <v>5</v>
      </c>
      <c r="M550" t="s">
        <v>3031</v>
      </c>
      <c r="N550" t="s">
        <v>47</v>
      </c>
      <c r="O550" t="s">
        <v>48</v>
      </c>
      <c r="P550" t="s">
        <v>48</v>
      </c>
      <c r="Y550" t="s">
        <v>3032</v>
      </c>
    </row>
    <row r="551" spans="1:25">
      <c r="A551" t="s">
        <v>3033</v>
      </c>
      <c r="B551" t="s">
        <v>3034</v>
      </c>
      <c r="D551" t="s">
        <v>40</v>
      </c>
      <c r="E551" t="s">
        <v>41</v>
      </c>
      <c r="G551" t="s">
        <v>3035</v>
      </c>
      <c r="H551" t="s">
        <v>3036</v>
      </c>
      <c r="J551" t="s">
        <v>133</v>
      </c>
      <c r="K551" t="s">
        <v>134</v>
      </c>
      <c r="L551">
        <v>5</v>
      </c>
      <c r="M551" t="s">
        <v>3037</v>
      </c>
      <c r="N551" t="s">
        <v>135</v>
      </c>
      <c r="O551" t="s">
        <v>48</v>
      </c>
      <c r="P551" t="s">
        <v>48</v>
      </c>
      <c r="Y551" t="s">
        <v>3038</v>
      </c>
    </row>
    <row r="552" spans="1:25">
      <c r="A552" t="s">
        <v>3039</v>
      </c>
      <c r="B552" t="s">
        <v>3040</v>
      </c>
      <c r="D552" t="s">
        <v>40</v>
      </c>
      <c r="E552" t="s">
        <v>41</v>
      </c>
      <c r="G552" t="s">
        <v>503</v>
      </c>
      <c r="H552" t="s">
        <v>1653</v>
      </c>
      <c r="J552" t="s">
        <v>371</v>
      </c>
      <c r="K552" t="s">
        <v>372</v>
      </c>
      <c r="L552">
        <v>5</v>
      </c>
      <c r="M552" t="s">
        <v>3041</v>
      </c>
      <c r="N552" t="s">
        <v>47</v>
      </c>
      <c r="O552" t="s">
        <v>48</v>
      </c>
      <c r="P552" t="s">
        <v>48</v>
      </c>
      <c r="Y552" t="s">
        <v>3042</v>
      </c>
    </row>
    <row r="553" spans="1:25">
      <c r="A553" t="s">
        <v>3043</v>
      </c>
      <c r="B553" t="s">
        <v>3044</v>
      </c>
      <c r="D553" t="s">
        <v>40</v>
      </c>
      <c r="E553" t="s">
        <v>41</v>
      </c>
      <c r="G553" t="s">
        <v>1335</v>
      </c>
      <c r="H553" t="s">
        <v>3045</v>
      </c>
      <c r="J553" t="s">
        <v>1827</v>
      </c>
      <c r="K553" t="s">
        <v>1828</v>
      </c>
      <c r="L553">
        <v>5</v>
      </c>
      <c r="M553" t="s">
        <v>3046</v>
      </c>
      <c r="N553" t="s">
        <v>47</v>
      </c>
      <c r="O553" t="s">
        <v>48</v>
      </c>
      <c r="P553" t="s">
        <v>48</v>
      </c>
      <c r="Y553" t="s">
        <v>3047</v>
      </c>
    </row>
    <row r="554" spans="1:25">
      <c r="A554" t="s">
        <v>3048</v>
      </c>
      <c r="B554" t="s">
        <v>3049</v>
      </c>
      <c r="D554" t="s">
        <v>40</v>
      </c>
      <c r="E554" t="s">
        <v>41</v>
      </c>
      <c r="G554" t="s">
        <v>3050</v>
      </c>
      <c r="H554" t="s">
        <v>3051</v>
      </c>
      <c r="J554" t="s">
        <v>90</v>
      </c>
      <c r="K554" t="s">
        <v>91</v>
      </c>
      <c r="L554">
        <v>5</v>
      </c>
      <c r="M554" t="s">
        <v>3052</v>
      </c>
      <c r="N554" t="s">
        <v>47</v>
      </c>
      <c r="O554" t="s">
        <v>48</v>
      </c>
      <c r="P554" t="s">
        <v>48</v>
      </c>
      <c r="Y554" t="s">
        <v>3053</v>
      </c>
    </row>
    <row r="555" spans="1:25">
      <c r="A555" t="s">
        <v>3054</v>
      </c>
      <c r="B555" t="s">
        <v>3055</v>
      </c>
      <c r="D555" t="s">
        <v>40</v>
      </c>
      <c r="E555" t="s">
        <v>41</v>
      </c>
      <c r="G555" t="s">
        <v>168</v>
      </c>
      <c r="H555" t="s">
        <v>1000</v>
      </c>
      <c r="J555" t="s">
        <v>44</v>
      </c>
      <c r="K555" t="s">
        <v>45</v>
      </c>
      <c r="L555">
        <v>5</v>
      </c>
      <c r="M555" t="s">
        <v>3056</v>
      </c>
      <c r="N555" t="s">
        <v>47</v>
      </c>
      <c r="O555" t="s">
        <v>48</v>
      </c>
      <c r="P555" t="s">
        <v>48</v>
      </c>
      <c r="Y555" t="s">
        <v>3057</v>
      </c>
    </row>
    <row r="556" spans="1:25">
      <c r="A556" t="s">
        <v>3058</v>
      </c>
      <c r="B556" t="s">
        <v>3059</v>
      </c>
      <c r="D556" t="s">
        <v>40</v>
      </c>
      <c r="E556" t="s">
        <v>41</v>
      </c>
      <c r="G556" t="s">
        <v>3060</v>
      </c>
      <c r="H556" t="s">
        <v>2130</v>
      </c>
      <c r="J556" t="s">
        <v>90</v>
      </c>
      <c r="K556" t="s">
        <v>91</v>
      </c>
      <c r="L556">
        <v>5</v>
      </c>
      <c r="M556" t="s">
        <v>3061</v>
      </c>
      <c r="N556" t="s">
        <v>47</v>
      </c>
      <c r="O556" t="s">
        <v>48</v>
      </c>
      <c r="P556" t="s">
        <v>48</v>
      </c>
      <c r="Y556" t="s">
        <v>3062</v>
      </c>
    </row>
    <row r="557" spans="1:25">
      <c r="A557" t="s">
        <v>3063</v>
      </c>
      <c r="B557" t="s">
        <v>3064</v>
      </c>
      <c r="D557" t="s">
        <v>40</v>
      </c>
      <c r="E557" t="s">
        <v>41</v>
      </c>
      <c r="G557" t="s">
        <v>1076</v>
      </c>
      <c r="H557" t="s">
        <v>3065</v>
      </c>
      <c r="J557" t="s">
        <v>54</v>
      </c>
      <c r="K557" t="s">
        <v>55</v>
      </c>
      <c r="L557">
        <v>5</v>
      </c>
      <c r="M557" t="s">
        <v>3066</v>
      </c>
      <c r="N557" t="s">
        <v>47</v>
      </c>
      <c r="O557" t="s">
        <v>48</v>
      </c>
      <c r="P557" t="s">
        <v>48</v>
      </c>
      <c r="Y557" t="s">
        <v>3067</v>
      </c>
    </row>
    <row r="558" spans="1:25">
      <c r="A558" t="s">
        <v>3068</v>
      </c>
      <c r="B558" t="s">
        <v>3069</v>
      </c>
      <c r="D558" t="s">
        <v>40</v>
      </c>
      <c r="E558" t="s">
        <v>41</v>
      </c>
      <c r="G558" t="s">
        <v>3070</v>
      </c>
      <c r="H558" t="s">
        <v>3071</v>
      </c>
      <c r="J558" t="s">
        <v>90</v>
      </c>
      <c r="K558" t="s">
        <v>91</v>
      </c>
      <c r="L558">
        <v>5</v>
      </c>
      <c r="M558" t="s">
        <v>3072</v>
      </c>
      <c r="N558" t="s">
        <v>47</v>
      </c>
      <c r="O558" t="s">
        <v>48</v>
      </c>
      <c r="P558" t="s">
        <v>48</v>
      </c>
      <c r="Y558" t="s">
        <v>3073</v>
      </c>
    </row>
    <row r="559" spans="1:25">
      <c r="A559" t="s">
        <v>3074</v>
      </c>
      <c r="B559" t="s">
        <v>3075</v>
      </c>
      <c r="D559" t="s">
        <v>40</v>
      </c>
      <c r="E559" t="s">
        <v>41</v>
      </c>
      <c r="G559" t="s">
        <v>3076</v>
      </c>
      <c r="H559" t="s">
        <v>3077</v>
      </c>
      <c r="J559" t="s">
        <v>54</v>
      </c>
      <c r="K559" t="s">
        <v>55</v>
      </c>
      <c r="L559">
        <v>5</v>
      </c>
      <c r="M559" t="s">
        <v>3078</v>
      </c>
      <c r="N559" t="s">
        <v>47</v>
      </c>
      <c r="O559" t="s">
        <v>48</v>
      </c>
      <c r="P559" t="s">
        <v>48</v>
      </c>
      <c r="Y559" t="s">
        <v>3079</v>
      </c>
    </row>
    <row r="560" spans="1:25">
      <c r="A560" t="s">
        <v>3080</v>
      </c>
      <c r="B560" t="s">
        <v>3081</v>
      </c>
      <c r="D560" t="s">
        <v>40</v>
      </c>
      <c r="E560" t="s">
        <v>41</v>
      </c>
      <c r="G560" t="s">
        <v>3082</v>
      </c>
      <c r="H560" t="s">
        <v>241</v>
      </c>
      <c r="J560" t="s">
        <v>90</v>
      </c>
      <c r="K560" t="s">
        <v>91</v>
      </c>
      <c r="L560">
        <v>5</v>
      </c>
      <c r="M560" t="s">
        <v>3083</v>
      </c>
      <c r="N560" t="s">
        <v>47</v>
      </c>
      <c r="O560" t="s">
        <v>48</v>
      </c>
      <c r="P560" t="s">
        <v>48</v>
      </c>
      <c r="Y560" t="s">
        <v>3084</v>
      </c>
    </row>
    <row r="561" spans="1:25">
      <c r="A561" t="s">
        <v>3085</v>
      </c>
      <c r="B561" t="s">
        <v>3086</v>
      </c>
      <c r="D561" t="s">
        <v>40</v>
      </c>
      <c r="E561" t="s">
        <v>41</v>
      </c>
      <c r="G561" t="s">
        <v>1857</v>
      </c>
      <c r="H561" t="s">
        <v>3087</v>
      </c>
      <c r="J561" t="s">
        <v>54</v>
      </c>
      <c r="K561" t="s">
        <v>55</v>
      </c>
      <c r="L561">
        <v>5</v>
      </c>
      <c r="M561" t="s">
        <v>3088</v>
      </c>
      <c r="N561" t="s">
        <v>47</v>
      </c>
      <c r="O561" t="s">
        <v>48</v>
      </c>
      <c r="P561" t="s">
        <v>48</v>
      </c>
      <c r="Y561" t="s">
        <v>3089</v>
      </c>
    </row>
    <row r="562" spans="1:25">
      <c r="A562" t="s">
        <v>3090</v>
      </c>
      <c r="B562" t="s">
        <v>3091</v>
      </c>
      <c r="D562" t="s">
        <v>40</v>
      </c>
      <c r="E562" t="s">
        <v>41</v>
      </c>
      <c r="J562" t="s">
        <v>90</v>
      </c>
      <c r="K562" t="s">
        <v>91</v>
      </c>
      <c r="L562">
        <v>5</v>
      </c>
      <c r="M562" t="s">
        <v>3088</v>
      </c>
      <c r="N562" t="s">
        <v>47</v>
      </c>
      <c r="O562" t="s">
        <v>48</v>
      </c>
      <c r="P562" t="s">
        <v>48</v>
      </c>
      <c r="Y562" t="s">
        <v>3092</v>
      </c>
    </row>
    <row r="563" spans="1:25">
      <c r="A563" t="s">
        <v>3093</v>
      </c>
      <c r="B563" t="s">
        <v>3094</v>
      </c>
      <c r="D563" t="s">
        <v>40</v>
      </c>
      <c r="E563" t="s">
        <v>41</v>
      </c>
      <c r="G563" t="s">
        <v>3095</v>
      </c>
      <c r="H563" t="s">
        <v>1133</v>
      </c>
      <c r="J563" t="s">
        <v>44</v>
      </c>
      <c r="K563" t="s">
        <v>45</v>
      </c>
      <c r="L563">
        <v>5</v>
      </c>
      <c r="M563" t="s">
        <v>3088</v>
      </c>
      <c r="N563" t="s">
        <v>47</v>
      </c>
      <c r="O563" t="s">
        <v>48</v>
      </c>
      <c r="P563" t="s">
        <v>48</v>
      </c>
      <c r="Y563" t="s">
        <v>3096</v>
      </c>
    </row>
    <row r="564" spans="1:25">
      <c r="A564" t="s">
        <v>3097</v>
      </c>
      <c r="B564" t="s">
        <v>3098</v>
      </c>
      <c r="D564" t="s">
        <v>40</v>
      </c>
      <c r="E564" t="s">
        <v>41</v>
      </c>
      <c r="G564" t="s">
        <v>3099</v>
      </c>
      <c r="H564" t="s">
        <v>3100</v>
      </c>
      <c r="J564" t="s">
        <v>44</v>
      </c>
      <c r="K564" t="s">
        <v>45</v>
      </c>
      <c r="L564">
        <v>5</v>
      </c>
      <c r="M564" t="s">
        <v>3088</v>
      </c>
      <c r="N564" t="s">
        <v>47</v>
      </c>
      <c r="O564" t="s">
        <v>48</v>
      </c>
      <c r="P564" t="s">
        <v>48</v>
      </c>
      <c r="Y564" t="s">
        <v>3101</v>
      </c>
    </row>
    <row r="565" spans="1:25">
      <c r="A565" t="s">
        <v>3102</v>
      </c>
      <c r="B565" t="s">
        <v>3103</v>
      </c>
      <c r="D565" t="s">
        <v>40</v>
      </c>
      <c r="E565" t="s">
        <v>41</v>
      </c>
      <c r="G565" t="s">
        <v>1457</v>
      </c>
      <c r="H565" t="s">
        <v>3104</v>
      </c>
      <c r="J565" t="s">
        <v>234</v>
      </c>
      <c r="K565" t="s">
        <v>235</v>
      </c>
      <c r="L565">
        <v>5</v>
      </c>
      <c r="M565" t="s">
        <v>3105</v>
      </c>
      <c r="N565" t="s">
        <v>47</v>
      </c>
      <c r="O565" t="s">
        <v>48</v>
      </c>
      <c r="P565" t="s">
        <v>48</v>
      </c>
      <c r="Y565" t="s">
        <v>3106</v>
      </c>
    </row>
    <row r="566" spans="1:25">
      <c r="A566" t="s">
        <v>3107</v>
      </c>
      <c r="B566" t="s">
        <v>3108</v>
      </c>
      <c r="D566" t="s">
        <v>40</v>
      </c>
      <c r="E566" t="s">
        <v>41</v>
      </c>
      <c r="G566" t="s">
        <v>2422</v>
      </c>
      <c r="H566" t="s">
        <v>3109</v>
      </c>
      <c r="J566" t="s">
        <v>44</v>
      </c>
      <c r="K566" t="s">
        <v>45</v>
      </c>
      <c r="L566">
        <v>5</v>
      </c>
      <c r="M566" t="s">
        <v>3110</v>
      </c>
      <c r="N566" t="s">
        <v>47</v>
      </c>
      <c r="O566" t="s">
        <v>48</v>
      </c>
      <c r="P566" t="s">
        <v>48</v>
      </c>
      <c r="Y566" t="s">
        <v>3111</v>
      </c>
    </row>
    <row r="567" spans="1:25">
      <c r="A567" t="s">
        <v>3112</v>
      </c>
      <c r="B567" t="s">
        <v>3113</v>
      </c>
      <c r="D567" t="s">
        <v>40</v>
      </c>
      <c r="E567" t="s">
        <v>41</v>
      </c>
      <c r="G567" t="s">
        <v>1702</v>
      </c>
      <c r="H567" t="s">
        <v>3114</v>
      </c>
      <c r="J567" t="s">
        <v>54</v>
      </c>
      <c r="K567" t="s">
        <v>55</v>
      </c>
      <c r="L567">
        <v>5</v>
      </c>
      <c r="M567" t="s">
        <v>3115</v>
      </c>
      <c r="N567" t="s">
        <v>47</v>
      </c>
      <c r="O567" t="s">
        <v>48</v>
      </c>
      <c r="P567" t="s">
        <v>48</v>
      </c>
      <c r="Y567" t="s">
        <v>3116</v>
      </c>
    </row>
    <row r="568" spans="1:25">
      <c r="A568" t="s">
        <v>3117</v>
      </c>
      <c r="B568" t="s">
        <v>3118</v>
      </c>
      <c r="D568" t="s">
        <v>40</v>
      </c>
      <c r="E568" t="s">
        <v>41</v>
      </c>
      <c r="G568" t="s">
        <v>1636</v>
      </c>
      <c r="H568" t="s">
        <v>1319</v>
      </c>
      <c r="J568" t="s">
        <v>90</v>
      </c>
      <c r="K568" t="s">
        <v>91</v>
      </c>
      <c r="L568">
        <v>5</v>
      </c>
      <c r="M568" t="s">
        <v>3119</v>
      </c>
      <c r="N568" t="s">
        <v>47</v>
      </c>
      <c r="O568" t="s">
        <v>48</v>
      </c>
      <c r="P568" t="s">
        <v>48</v>
      </c>
      <c r="Y568" t="s">
        <v>3120</v>
      </c>
    </row>
    <row r="569" spans="1:25">
      <c r="A569" t="s">
        <v>3121</v>
      </c>
      <c r="B569" t="s">
        <v>3122</v>
      </c>
      <c r="D569" t="s">
        <v>40</v>
      </c>
      <c r="E569" t="s">
        <v>41</v>
      </c>
      <c r="G569" t="s">
        <v>3123</v>
      </c>
      <c r="H569" t="s">
        <v>3124</v>
      </c>
      <c r="J569" t="s">
        <v>927</v>
      </c>
      <c r="K569" t="s">
        <v>928</v>
      </c>
      <c r="L569">
        <v>5</v>
      </c>
      <c r="M569" t="s">
        <v>3119</v>
      </c>
      <c r="N569" t="s">
        <v>135</v>
      </c>
      <c r="O569" t="s">
        <v>48</v>
      </c>
      <c r="P569" t="s">
        <v>48</v>
      </c>
      <c r="Y569" t="s">
        <v>3125</v>
      </c>
    </row>
    <row r="570" spans="1:25">
      <c r="A570" t="s">
        <v>3126</v>
      </c>
      <c r="B570" t="s">
        <v>3127</v>
      </c>
      <c r="D570" t="s">
        <v>40</v>
      </c>
      <c r="E570" t="s">
        <v>41</v>
      </c>
      <c r="G570" t="s">
        <v>3128</v>
      </c>
      <c r="H570" t="s">
        <v>2130</v>
      </c>
      <c r="J570" t="s">
        <v>44</v>
      </c>
      <c r="K570" t="s">
        <v>45</v>
      </c>
      <c r="L570">
        <v>5</v>
      </c>
      <c r="M570" t="s">
        <v>3119</v>
      </c>
      <c r="N570" t="s">
        <v>47</v>
      </c>
      <c r="O570" t="s">
        <v>48</v>
      </c>
      <c r="P570" t="s">
        <v>48</v>
      </c>
      <c r="Y570" t="s">
        <v>3129</v>
      </c>
    </row>
    <row r="571" spans="1:25">
      <c r="A571" t="s">
        <v>3130</v>
      </c>
      <c r="B571" t="s">
        <v>3131</v>
      </c>
      <c r="D571" t="s">
        <v>40</v>
      </c>
      <c r="E571" t="s">
        <v>41</v>
      </c>
      <c r="G571" t="s">
        <v>3132</v>
      </c>
      <c r="H571" t="s">
        <v>3133</v>
      </c>
      <c r="J571" t="s">
        <v>54</v>
      </c>
      <c r="K571" t="s">
        <v>55</v>
      </c>
      <c r="L571">
        <v>5</v>
      </c>
      <c r="M571" t="s">
        <v>3119</v>
      </c>
      <c r="N571" t="s">
        <v>47</v>
      </c>
      <c r="O571" t="s">
        <v>48</v>
      </c>
      <c r="P571" t="s">
        <v>48</v>
      </c>
      <c r="Y571" t="s">
        <v>3134</v>
      </c>
    </row>
    <row r="572" spans="1:25">
      <c r="A572" t="s">
        <v>3135</v>
      </c>
      <c r="B572" t="s">
        <v>3136</v>
      </c>
      <c r="D572" t="s">
        <v>40</v>
      </c>
      <c r="E572" t="s">
        <v>41</v>
      </c>
      <c r="G572" t="s">
        <v>3137</v>
      </c>
      <c r="H572" t="s">
        <v>3138</v>
      </c>
      <c r="J572" t="s">
        <v>2328</v>
      </c>
      <c r="K572" t="s">
        <v>2329</v>
      </c>
      <c r="L572">
        <v>5</v>
      </c>
      <c r="M572" t="s">
        <v>3139</v>
      </c>
      <c r="N572" t="s">
        <v>290</v>
      </c>
      <c r="O572" t="s">
        <v>48</v>
      </c>
      <c r="P572" t="s">
        <v>48</v>
      </c>
      <c r="Y572" t="s">
        <v>3140</v>
      </c>
    </row>
    <row r="573" spans="1:25">
      <c r="A573" t="s">
        <v>3141</v>
      </c>
      <c r="B573" t="s">
        <v>3142</v>
      </c>
      <c r="D573" t="s">
        <v>40</v>
      </c>
      <c r="E573" t="s">
        <v>41</v>
      </c>
      <c r="G573" t="s">
        <v>3143</v>
      </c>
      <c r="H573" t="s">
        <v>3144</v>
      </c>
      <c r="J573" t="s">
        <v>78</v>
      </c>
      <c r="K573" t="s">
        <v>79</v>
      </c>
      <c r="L573">
        <v>5</v>
      </c>
      <c r="M573" t="s">
        <v>3145</v>
      </c>
      <c r="N573" t="s">
        <v>47</v>
      </c>
      <c r="O573" t="s">
        <v>48</v>
      </c>
      <c r="P573" t="s">
        <v>48</v>
      </c>
      <c r="Y573" t="s">
        <v>3146</v>
      </c>
    </row>
    <row r="574" spans="1:25">
      <c r="A574" t="s">
        <v>3147</v>
      </c>
      <c r="B574" t="s">
        <v>3148</v>
      </c>
      <c r="D574" t="s">
        <v>40</v>
      </c>
      <c r="E574" t="s">
        <v>41</v>
      </c>
      <c r="G574" t="s">
        <v>3149</v>
      </c>
      <c r="H574" t="s">
        <v>1547</v>
      </c>
      <c r="J574" t="s">
        <v>78</v>
      </c>
      <c r="K574" t="s">
        <v>79</v>
      </c>
      <c r="L574">
        <v>5</v>
      </c>
      <c r="M574" t="s">
        <v>3150</v>
      </c>
      <c r="N574" t="s">
        <v>47</v>
      </c>
      <c r="O574" t="s">
        <v>48</v>
      </c>
      <c r="P574" t="s">
        <v>48</v>
      </c>
      <c r="Y574" t="s">
        <v>3151</v>
      </c>
    </row>
    <row r="575" spans="1:25">
      <c r="A575" t="s">
        <v>3152</v>
      </c>
      <c r="B575" t="s">
        <v>3153</v>
      </c>
      <c r="D575" t="s">
        <v>40</v>
      </c>
      <c r="E575" t="s">
        <v>41</v>
      </c>
      <c r="G575" t="s">
        <v>2991</v>
      </c>
      <c r="H575" t="s">
        <v>3154</v>
      </c>
      <c r="J575" t="s">
        <v>90</v>
      </c>
      <c r="K575" t="s">
        <v>91</v>
      </c>
      <c r="L575">
        <v>5</v>
      </c>
      <c r="M575" t="s">
        <v>3155</v>
      </c>
      <c r="N575" t="s">
        <v>47</v>
      </c>
      <c r="O575" t="s">
        <v>48</v>
      </c>
      <c r="P575" t="s">
        <v>48</v>
      </c>
      <c r="Y575" t="s">
        <v>3156</v>
      </c>
    </row>
    <row r="576" spans="1:25">
      <c r="A576" t="s">
        <v>3157</v>
      </c>
      <c r="B576" t="s">
        <v>3158</v>
      </c>
      <c r="D576" t="s">
        <v>40</v>
      </c>
      <c r="E576" t="s">
        <v>41</v>
      </c>
      <c r="G576" t="s">
        <v>3159</v>
      </c>
      <c r="H576" t="s">
        <v>3160</v>
      </c>
      <c r="J576" t="s">
        <v>44</v>
      </c>
      <c r="K576" t="s">
        <v>45</v>
      </c>
      <c r="L576">
        <v>5</v>
      </c>
      <c r="M576" t="s">
        <v>3155</v>
      </c>
      <c r="N576" t="s">
        <v>47</v>
      </c>
      <c r="O576" t="s">
        <v>48</v>
      </c>
      <c r="P576" t="s">
        <v>48</v>
      </c>
      <c r="Y576" t="s">
        <v>3161</v>
      </c>
    </row>
    <row r="577" spans="1:25">
      <c r="A577" t="s">
        <v>3162</v>
      </c>
      <c r="B577" t="s">
        <v>3163</v>
      </c>
      <c r="D577" t="s">
        <v>40</v>
      </c>
      <c r="E577" t="s">
        <v>41</v>
      </c>
      <c r="G577" t="s">
        <v>3164</v>
      </c>
      <c r="H577" t="s">
        <v>3165</v>
      </c>
      <c r="J577" t="s">
        <v>371</v>
      </c>
      <c r="K577" t="s">
        <v>372</v>
      </c>
      <c r="L577">
        <v>5</v>
      </c>
      <c r="M577" t="s">
        <v>3166</v>
      </c>
      <c r="N577" t="s">
        <v>47</v>
      </c>
      <c r="O577" t="s">
        <v>48</v>
      </c>
      <c r="P577" t="s">
        <v>48</v>
      </c>
      <c r="Y577" t="s">
        <v>3167</v>
      </c>
    </row>
    <row r="578" spans="1:25">
      <c r="A578" t="s">
        <v>3168</v>
      </c>
      <c r="B578" t="s">
        <v>3169</v>
      </c>
      <c r="D578" t="s">
        <v>40</v>
      </c>
      <c r="E578" t="s">
        <v>41</v>
      </c>
      <c r="G578" t="s">
        <v>810</v>
      </c>
      <c r="H578" t="s">
        <v>214</v>
      </c>
      <c r="J578" t="s">
        <v>44</v>
      </c>
      <c r="K578" t="s">
        <v>45</v>
      </c>
      <c r="L578">
        <v>5</v>
      </c>
      <c r="M578" t="s">
        <v>3170</v>
      </c>
      <c r="N578" t="s">
        <v>47</v>
      </c>
      <c r="O578" t="s">
        <v>48</v>
      </c>
      <c r="P578" t="s">
        <v>48</v>
      </c>
      <c r="Y578" t="s">
        <v>3171</v>
      </c>
    </row>
    <row r="579" spans="1:25">
      <c r="A579" t="s">
        <v>3172</v>
      </c>
      <c r="B579" t="s">
        <v>3173</v>
      </c>
      <c r="D579" t="s">
        <v>40</v>
      </c>
      <c r="E579" t="s">
        <v>41</v>
      </c>
      <c r="H579" t="s">
        <v>3174</v>
      </c>
      <c r="J579" t="s">
        <v>54</v>
      </c>
      <c r="K579" t="s">
        <v>55</v>
      </c>
      <c r="L579">
        <v>5</v>
      </c>
      <c r="M579" t="s">
        <v>3175</v>
      </c>
      <c r="N579" t="s">
        <v>47</v>
      </c>
      <c r="O579" t="s">
        <v>48</v>
      </c>
      <c r="P579" t="s">
        <v>48</v>
      </c>
      <c r="Y579" t="s">
        <v>3174</v>
      </c>
    </row>
    <row r="580" spans="1:25">
      <c r="A580" t="s">
        <v>3176</v>
      </c>
      <c r="B580" t="s">
        <v>3177</v>
      </c>
      <c r="D580" t="s">
        <v>40</v>
      </c>
      <c r="E580" t="s">
        <v>41</v>
      </c>
      <c r="G580" t="s">
        <v>3178</v>
      </c>
      <c r="H580" t="s">
        <v>3179</v>
      </c>
      <c r="J580" t="s">
        <v>44</v>
      </c>
      <c r="K580" t="s">
        <v>45</v>
      </c>
      <c r="L580">
        <v>5</v>
      </c>
      <c r="M580" t="s">
        <v>3180</v>
      </c>
      <c r="N580" t="s">
        <v>47</v>
      </c>
      <c r="O580" t="s">
        <v>48</v>
      </c>
      <c r="P580" t="s">
        <v>48</v>
      </c>
      <c r="Y580" t="s">
        <v>3181</v>
      </c>
    </row>
    <row r="581" spans="1:25">
      <c r="A581" t="s">
        <v>3182</v>
      </c>
      <c r="B581" t="s">
        <v>3183</v>
      </c>
      <c r="D581" t="s">
        <v>40</v>
      </c>
      <c r="E581" t="s">
        <v>41</v>
      </c>
      <c r="G581" t="s">
        <v>1076</v>
      </c>
      <c r="H581" t="s">
        <v>3184</v>
      </c>
      <c r="J581" t="s">
        <v>90</v>
      </c>
      <c r="K581" t="s">
        <v>91</v>
      </c>
      <c r="L581">
        <v>5</v>
      </c>
      <c r="M581" t="s">
        <v>3185</v>
      </c>
      <c r="N581" t="s">
        <v>47</v>
      </c>
      <c r="O581" t="s">
        <v>48</v>
      </c>
      <c r="P581" t="s">
        <v>48</v>
      </c>
      <c r="Y581" t="s">
        <v>3186</v>
      </c>
    </row>
    <row r="582" spans="1:25">
      <c r="A582" t="s">
        <v>3187</v>
      </c>
      <c r="B582" t="s">
        <v>3188</v>
      </c>
      <c r="D582" t="s">
        <v>40</v>
      </c>
      <c r="E582" t="s">
        <v>41</v>
      </c>
      <c r="G582" t="s">
        <v>3189</v>
      </c>
      <c r="H582" t="s">
        <v>3190</v>
      </c>
      <c r="J582" t="s">
        <v>90</v>
      </c>
      <c r="K582" t="s">
        <v>91</v>
      </c>
      <c r="L582">
        <v>5</v>
      </c>
      <c r="M582" t="s">
        <v>3191</v>
      </c>
      <c r="N582" t="s">
        <v>47</v>
      </c>
      <c r="O582" t="s">
        <v>48</v>
      </c>
      <c r="P582" t="s">
        <v>48</v>
      </c>
      <c r="Y582" t="s">
        <v>3192</v>
      </c>
    </row>
    <row r="583" spans="1:25">
      <c r="A583" t="s">
        <v>3193</v>
      </c>
      <c r="B583" t="s">
        <v>3194</v>
      </c>
      <c r="D583" t="s">
        <v>40</v>
      </c>
      <c r="E583" t="s">
        <v>41</v>
      </c>
      <c r="G583" t="s">
        <v>1388</v>
      </c>
      <c r="H583" t="s">
        <v>3195</v>
      </c>
      <c r="J583" t="s">
        <v>44</v>
      </c>
      <c r="K583" t="s">
        <v>45</v>
      </c>
      <c r="L583">
        <v>5</v>
      </c>
      <c r="M583" t="s">
        <v>3196</v>
      </c>
      <c r="N583" t="s">
        <v>47</v>
      </c>
      <c r="O583" t="s">
        <v>48</v>
      </c>
      <c r="P583" t="s">
        <v>48</v>
      </c>
      <c r="Y583" t="s">
        <v>3197</v>
      </c>
    </row>
    <row r="584" spans="1:25">
      <c r="A584" t="s">
        <v>3198</v>
      </c>
      <c r="B584" t="s">
        <v>3199</v>
      </c>
      <c r="D584" t="s">
        <v>40</v>
      </c>
      <c r="E584" t="s">
        <v>41</v>
      </c>
      <c r="G584" t="s">
        <v>3200</v>
      </c>
      <c r="H584" t="s">
        <v>3201</v>
      </c>
      <c r="J584" t="s">
        <v>54</v>
      </c>
      <c r="K584" t="s">
        <v>55</v>
      </c>
      <c r="L584">
        <v>5</v>
      </c>
      <c r="M584" t="s">
        <v>3196</v>
      </c>
      <c r="N584" t="s">
        <v>47</v>
      </c>
      <c r="O584" t="s">
        <v>48</v>
      </c>
      <c r="P584" t="s">
        <v>48</v>
      </c>
      <c r="Y584" t="s">
        <v>3202</v>
      </c>
    </row>
    <row r="585" spans="1:25">
      <c r="A585" t="s">
        <v>3203</v>
      </c>
      <c r="B585" t="s">
        <v>3204</v>
      </c>
      <c r="D585" t="s">
        <v>40</v>
      </c>
      <c r="E585" t="s">
        <v>41</v>
      </c>
      <c r="G585" t="s">
        <v>1261</v>
      </c>
      <c r="H585" t="s">
        <v>3205</v>
      </c>
      <c r="J585" t="s">
        <v>353</v>
      </c>
      <c r="K585" t="s">
        <v>354</v>
      </c>
      <c r="L585">
        <v>5</v>
      </c>
      <c r="M585" t="s">
        <v>3206</v>
      </c>
      <c r="N585" t="s">
        <v>135</v>
      </c>
      <c r="O585" t="s">
        <v>48</v>
      </c>
      <c r="P585" t="s">
        <v>48</v>
      </c>
      <c r="Y585" t="s">
        <v>3207</v>
      </c>
    </row>
    <row r="586" spans="1:25">
      <c r="A586" t="s">
        <v>3208</v>
      </c>
      <c r="B586" t="s">
        <v>3209</v>
      </c>
      <c r="D586" t="s">
        <v>40</v>
      </c>
      <c r="E586" t="s">
        <v>41</v>
      </c>
      <c r="G586" t="s">
        <v>3210</v>
      </c>
      <c r="H586" t="s">
        <v>3211</v>
      </c>
      <c r="J586" t="s">
        <v>78</v>
      </c>
      <c r="K586" t="s">
        <v>79</v>
      </c>
      <c r="L586">
        <v>5</v>
      </c>
      <c r="M586" t="s">
        <v>3206</v>
      </c>
      <c r="N586" t="s">
        <v>47</v>
      </c>
      <c r="O586" t="s">
        <v>48</v>
      </c>
      <c r="P586" t="s">
        <v>48</v>
      </c>
      <c r="Y586" t="s">
        <v>3212</v>
      </c>
    </row>
    <row r="587" spans="1:25">
      <c r="A587" t="s">
        <v>3213</v>
      </c>
      <c r="B587" t="s">
        <v>3214</v>
      </c>
      <c r="D587" t="s">
        <v>40</v>
      </c>
      <c r="E587" t="s">
        <v>41</v>
      </c>
      <c r="G587" t="s">
        <v>3215</v>
      </c>
      <c r="H587" t="s">
        <v>3216</v>
      </c>
      <c r="J587" t="s">
        <v>90</v>
      </c>
      <c r="K587" t="s">
        <v>91</v>
      </c>
      <c r="L587">
        <v>5</v>
      </c>
      <c r="M587" t="s">
        <v>3206</v>
      </c>
      <c r="N587" t="s">
        <v>47</v>
      </c>
      <c r="O587" t="s">
        <v>48</v>
      </c>
      <c r="P587" t="s">
        <v>48</v>
      </c>
      <c r="Y587" t="s">
        <v>3217</v>
      </c>
    </row>
    <row r="588" spans="1:25">
      <c r="A588" t="s">
        <v>3218</v>
      </c>
      <c r="B588" t="s">
        <v>3219</v>
      </c>
      <c r="D588" t="s">
        <v>40</v>
      </c>
      <c r="E588" t="s">
        <v>41</v>
      </c>
      <c r="G588" t="s">
        <v>2592</v>
      </c>
      <c r="H588" t="s">
        <v>3220</v>
      </c>
      <c r="J588" t="s">
        <v>54</v>
      </c>
      <c r="K588" t="s">
        <v>55</v>
      </c>
      <c r="L588">
        <v>5</v>
      </c>
      <c r="M588" t="s">
        <v>3221</v>
      </c>
      <c r="N588" t="s">
        <v>47</v>
      </c>
      <c r="O588" t="s">
        <v>48</v>
      </c>
      <c r="P588" t="s">
        <v>48</v>
      </c>
      <c r="Y588" t="s">
        <v>3222</v>
      </c>
    </row>
    <row r="589" spans="1:25">
      <c r="A589" t="s">
        <v>3223</v>
      </c>
      <c r="B589" t="s">
        <v>3224</v>
      </c>
      <c r="D589" t="s">
        <v>40</v>
      </c>
      <c r="E589" t="s">
        <v>41</v>
      </c>
      <c r="G589" t="s">
        <v>3225</v>
      </c>
      <c r="H589" t="s">
        <v>3226</v>
      </c>
      <c r="J589" t="s">
        <v>90</v>
      </c>
      <c r="K589" t="s">
        <v>91</v>
      </c>
      <c r="L589">
        <v>5</v>
      </c>
      <c r="M589" t="s">
        <v>3227</v>
      </c>
      <c r="N589" t="s">
        <v>47</v>
      </c>
      <c r="O589" t="s">
        <v>48</v>
      </c>
      <c r="P589" t="s">
        <v>48</v>
      </c>
      <c r="Y589" t="s">
        <v>3228</v>
      </c>
    </row>
    <row r="590" spans="1:25">
      <c r="A590" t="s">
        <v>3229</v>
      </c>
      <c r="B590" t="s">
        <v>3230</v>
      </c>
      <c r="D590" t="s">
        <v>40</v>
      </c>
      <c r="E590" t="s">
        <v>41</v>
      </c>
      <c r="G590" t="s">
        <v>3231</v>
      </c>
      <c r="H590" t="s">
        <v>3232</v>
      </c>
      <c r="J590" t="s">
        <v>44</v>
      </c>
      <c r="K590" t="s">
        <v>45</v>
      </c>
      <c r="L590">
        <v>5</v>
      </c>
      <c r="M590" t="s">
        <v>3233</v>
      </c>
      <c r="N590" t="s">
        <v>47</v>
      </c>
      <c r="O590" t="s">
        <v>48</v>
      </c>
      <c r="P590" t="s">
        <v>48</v>
      </c>
      <c r="Y590" t="s">
        <v>3234</v>
      </c>
    </row>
    <row r="591" spans="1:25">
      <c r="A591" t="s">
        <v>3235</v>
      </c>
      <c r="B591" t="s">
        <v>3236</v>
      </c>
      <c r="D591" t="s">
        <v>40</v>
      </c>
      <c r="E591" t="s">
        <v>41</v>
      </c>
      <c r="G591" t="s">
        <v>3237</v>
      </c>
      <c r="H591" t="s">
        <v>1535</v>
      </c>
      <c r="J591" t="s">
        <v>44</v>
      </c>
      <c r="K591" t="s">
        <v>45</v>
      </c>
      <c r="L591">
        <v>5</v>
      </c>
      <c r="M591" t="s">
        <v>3238</v>
      </c>
      <c r="N591" t="s">
        <v>47</v>
      </c>
      <c r="O591" t="s">
        <v>48</v>
      </c>
      <c r="P591" t="s">
        <v>48</v>
      </c>
      <c r="Y591" t="s">
        <v>3239</v>
      </c>
    </row>
    <row r="592" spans="1:25">
      <c r="A592" t="s">
        <v>3240</v>
      </c>
      <c r="B592" t="s">
        <v>3241</v>
      </c>
      <c r="D592" t="s">
        <v>40</v>
      </c>
      <c r="E592" t="s">
        <v>41</v>
      </c>
      <c r="G592" t="s">
        <v>3242</v>
      </c>
      <c r="H592" t="s">
        <v>3243</v>
      </c>
      <c r="J592" t="s">
        <v>44</v>
      </c>
      <c r="K592" t="s">
        <v>45</v>
      </c>
      <c r="L592">
        <v>5</v>
      </c>
      <c r="M592" t="s">
        <v>3244</v>
      </c>
      <c r="N592" t="s">
        <v>47</v>
      </c>
      <c r="O592" t="s">
        <v>48</v>
      </c>
      <c r="P592" t="s">
        <v>48</v>
      </c>
      <c r="Y592" t="s">
        <v>3245</v>
      </c>
    </row>
    <row r="593" spans="1:25">
      <c r="A593" t="s">
        <v>3246</v>
      </c>
      <c r="B593" t="s">
        <v>3247</v>
      </c>
      <c r="D593" t="s">
        <v>40</v>
      </c>
      <c r="E593" t="s">
        <v>41</v>
      </c>
      <c r="G593" t="s">
        <v>428</v>
      </c>
      <c r="H593" t="s">
        <v>3248</v>
      </c>
      <c r="J593" t="s">
        <v>133</v>
      </c>
      <c r="K593" t="s">
        <v>134</v>
      </c>
      <c r="L593">
        <v>5</v>
      </c>
      <c r="M593" t="s">
        <v>3249</v>
      </c>
      <c r="N593" t="s">
        <v>135</v>
      </c>
      <c r="O593" t="s">
        <v>48</v>
      </c>
      <c r="P593" t="s">
        <v>48</v>
      </c>
      <c r="Y593" t="s">
        <v>3250</v>
      </c>
    </row>
    <row r="594" spans="1:25">
      <c r="A594" t="s">
        <v>3251</v>
      </c>
      <c r="B594" t="s">
        <v>3252</v>
      </c>
      <c r="D594" t="s">
        <v>40</v>
      </c>
      <c r="E594" t="s">
        <v>41</v>
      </c>
      <c r="G594" t="s">
        <v>3253</v>
      </c>
      <c r="H594" t="s">
        <v>3254</v>
      </c>
      <c r="J594" t="s">
        <v>234</v>
      </c>
      <c r="K594" t="s">
        <v>235</v>
      </c>
      <c r="L594">
        <v>5</v>
      </c>
      <c r="M594" t="s">
        <v>3255</v>
      </c>
      <c r="N594" t="s">
        <v>47</v>
      </c>
      <c r="O594" t="s">
        <v>48</v>
      </c>
      <c r="P594" t="s">
        <v>48</v>
      </c>
      <c r="Y594" t="s">
        <v>3256</v>
      </c>
    </row>
    <row r="595" spans="1:25">
      <c r="A595" t="s">
        <v>3257</v>
      </c>
      <c r="B595" t="s">
        <v>3258</v>
      </c>
      <c r="D595" t="s">
        <v>40</v>
      </c>
      <c r="E595" t="s">
        <v>41</v>
      </c>
      <c r="G595" t="s">
        <v>1702</v>
      </c>
      <c r="H595" t="s">
        <v>3259</v>
      </c>
      <c r="J595" t="s">
        <v>133</v>
      </c>
      <c r="K595" t="s">
        <v>134</v>
      </c>
      <c r="L595">
        <v>5</v>
      </c>
      <c r="M595" t="s">
        <v>3260</v>
      </c>
      <c r="N595" t="s">
        <v>290</v>
      </c>
      <c r="O595" t="s">
        <v>48</v>
      </c>
      <c r="P595" t="s">
        <v>48</v>
      </c>
      <c r="Y595" t="s">
        <v>3261</v>
      </c>
    </row>
    <row r="596" spans="1:25">
      <c r="A596" t="s">
        <v>3262</v>
      </c>
      <c r="B596" t="s">
        <v>3263</v>
      </c>
      <c r="D596" t="s">
        <v>40</v>
      </c>
      <c r="E596" t="s">
        <v>41</v>
      </c>
      <c r="G596" t="s">
        <v>3264</v>
      </c>
      <c r="H596" t="s">
        <v>3265</v>
      </c>
      <c r="J596" t="s">
        <v>90</v>
      </c>
      <c r="K596" t="s">
        <v>91</v>
      </c>
      <c r="L596">
        <v>5</v>
      </c>
      <c r="M596" t="s">
        <v>3266</v>
      </c>
      <c r="N596" t="s">
        <v>47</v>
      </c>
      <c r="O596" t="s">
        <v>48</v>
      </c>
      <c r="P596" t="s">
        <v>48</v>
      </c>
      <c r="Y596" t="s">
        <v>3267</v>
      </c>
    </row>
    <row r="597" spans="1:25">
      <c r="A597" t="s">
        <v>3268</v>
      </c>
      <c r="B597" t="s">
        <v>3269</v>
      </c>
      <c r="D597" t="s">
        <v>40</v>
      </c>
      <c r="E597" t="s">
        <v>41</v>
      </c>
      <c r="H597" t="s">
        <v>3270</v>
      </c>
      <c r="J597" t="s">
        <v>133</v>
      </c>
      <c r="K597" t="s">
        <v>134</v>
      </c>
      <c r="L597">
        <v>5</v>
      </c>
      <c r="M597" t="s">
        <v>3271</v>
      </c>
      <c r="N597" t="s">
        <v>135</v>
      </c>
      <c r="O597" t="s">
        <v>48</v>
      </c>
      <c r="P597" t="s">
        <v>48</v>
      </c>
      <c r="Y597" t="s">
        <v>3270</v>
      </c>
    </row>
    <row r="598" spans="1:25">
      <c r="A598" t="s">
        <v>3272</v>
      </c>
      <c r="B598" t="s">
        <v>3273</v>
      </c>
      <c r="D598" t="s">
        <v>40</v>
      </c>
      <c r="E598" t="s">
        <v>41</v>
      </c>
      <c r="G598" t="s">
        <v>1702</v>
      </c>
      <c r="H598" t="s">
        <v>3274</v>
      </c>
      <c r="J598" t="s">
        <v>44</v>
      </c>
      <c r="K598" t="s">
        <v>45</v>
      </c>
      <c r="L598">
        <v>5</v>
      </c>
      <c r="M598" t="s">
        <v>3275</v>
      </c>
      <c r="N598" t="s">
        <v>47</v>
      </c>
      <c r="O598" t="s">
        <v>48</v>
      </c>
      <c r="P598" t="s">
        <v>48</v>
      </c>
      <c r="Y598" t="s">
        <v>3276</v>
      </c>
    </row>
    <row r="599" spans="1:25">
      <c r="A599" t="s">
        <v>3277</v>
      </c>
      <c r="B599" t="s">
        <v>3278</v>
      </c>
      <c r="D599" t="s">
        <v>40</v>
      </c>
      <c r="E599" t="s">
        <v>41</v>
      </c>
      <c r="G599" t="s">
        <v>3279</v>
      </c>
      <c r="H599" t="s">
        <v>3280</v>
      </c>
      <c r="J599" t="s">
        <v>54</v>
      </c>
      <c r="K599" t="s">
        <v>55</v>
      </c>
      <c r="L599">
        <v>5</v>
      </c>
      <c r="M599" t="s">
        <v>3281</v>
      </c>
      <c r="N599" t="s">
        <v>47</v>
      </c>
      <c r="O599" t="s">
        <v>48</v>
      </c>
      <c r="P599" t="s">
        <v>48</v>
      </c>
      <c r="Y599" t="s">
        <v>3282</v>
      </c>
    </row>
    <row r="600" spans="1:25">
      <c r="A600" t="s">
        <v>3283</v>
      </c>
      <c r="B600" t="s">
        <v>3284</v>
      </c>
      <c r="D600" t="s">
        <v>40</v>
      </c>
      <c r="E600" t="s">
        <v>41</v>
      </c>
      <c r="G600" t="s">
        <v>3285</v>
      </c>
      <c r="H600" t="s">
        <v>3286</v>
      </c>
      <c r="J600" t="s">
        <v>90</v>
      </c>
      <c r="K600" t="s">
        <v>91</v>
      </c>
      <c r="L600">
        <v>5</v>
      </c>
      <c r="M600" t="s">
        <v>3287</v>
      </c>
      <c r="N600" t="s">
        <v>47</v>
      </c>
      <c r="O600" t="s">
        <v>48</v>
      </c>
      <c r="P600" t="s">
        <v>48</v>
      </c>
      <c r="Y600" t="s">
        <v>3288</v>
      </c>
    </row>
    <row r="601" spans="1:25">
      <c r="A601" t="s">
        <v>3289</v>
      </c>
      <c r="B601" t="s">
        <v>3290</v>
      </c>
      <c r="D601" t="s">
        <v>40</v>
      </c>
      <c r="E601" t="s">
        <v>41</v>
      </c>
      <c r="G601" t="s">
        <v>3159</v>
      </c>
      <c r="H601" t="s">
        <v>3291</v>
      </c>
      <c r="J601" t="s">
        <v>90</v>
      </c>
      <c r="K601" t="s">
        <v>91</v>
      </c>
      <c r="L601">
        <v>5</v>
      </c>
      <c r="M601" t="s">
        <v>3287</v>
      </c>
      <c r="N601" t="s">
        <v>47</v>
      </c>
      <c r="O601" t="s">
        <v>48</v>
      </c>
      <c r="P601" t="s">
        <v>48</v>
      </c>
      <c r="Y601" t="s">
        <v>3292</v>
      </c>
    </row>
    <row r="602" spans="1:25">
      <c r="A602" t="s">
        <v>3293</v>
      </c>
      <c r="B602" t="s">
        <v>3294</v>
      </c>
      <c r="D602" t="s">
        <v>40</v>
      </c>
      <c r="E602" t="s">
        <v>41</v>
      </c>
      <c r="G602" t="s">
        <v>770</v>
      </c>
      <c r="H602" t="s">
        <v>771</v>
      </c>
      <c r="J602" t="s">
        <v>90</v>
      </c>
      <c r="K602" t="s">
        <v>91</v>
      </c>
      <c r="L602">
        <v>5</v>
      </c>
      <c r="M602" t="s">
        <v>3287</v>
      </c>
      <c r="N602" t="s">
        <v>47</v>
      </c>
      <c r="O602" t="s">
        <v>48</v>
      </c>
      <c r="P602" t="s">
        <v>48</v>
      </c>
      <c r="Y602" t="s">
        <v>3295</v>
      </c>
    </row>
    <row r="603" spans="1:25">
      <c r="A603" t="s">
        <v>3296</v>
      </c>
      <c r="B603" t="s">
        <v>3297</v>
      </c>
      <c r="D603" t="s">
        <v>40</v>
      </c>
      <c r="E603" t="s">
        <v>41</v>
      </c>
      <c r="J603" t="s">
        <v>90</v>
      </c>
      <c r="K603" t="s">
        <v>91</v>
      </c>
      <c r="L603">
        <v>5</v>
      </c>
      <c r="M603" t="s">
        <v>3298</v>
      </c>
      <c r="N603" t="s">
        <v>47</v>
      </c>
      <c r="O603" t="s">
        <v>48</v>
      </c>
      <c r="P603" t="s">
        <v>48</v>
      </c>
      <c r="Y603" t="s">
        <v>3299</v>
      </c>
    </row>
    <row r="604" spans="1:25">
      <c r="A604" t="s">
        <v>3300</v>
      </c>
      <c r="B604" t="s">
        <v>3301</v>
      </c>
      <c r="D604" t="s">
        <v>40</v>
      </c>
      <c r="E604" t="s">
        <v>41</v>
      </c>
      <c r="G604" t="s">
        <v>3302</v>
      </c>
      <c r="H604" t="s">
        <v>3303</v>
      </c>
      <c r="J604" t="s">
        <v>353</v>
      </c>
      <c r="K604" t="s">
        <v>354</v>
      </c>
      <c r="L604">
        <v>5</v>
      </c>
      <c r="M604" t="s">
        <v>3304</v>
      </c>
      <c r="N604" t="s">
        <v>135</v>
      </c>
      <c r="O604" t="s">
        <v>48</v>
      </c>
      <c r="P604" t="s">
        <v>48</v>
      </c>
      <c r="Y604" t="s">
        <v>3305</v>
      </c>
    </row>
    <row r="605" spans="1:25">
      <c r="A605" t="s">
        <v>3306</v>
      </c>
      <c r="B605" t="s">
        <v>3307</v>
      </c>
      <c r="D605" t="s">
        <v>40</v>
      </c>
      <c r="E605" t="s">
        <v>41</v>
      </c>
      <c r="G605" t="s">
        <v>3308</v>
      </c>
      <c r="H605" t="s">
        <v>3309</v>
      </c>
      <c r="J605" t="s">
        <v>234</v>
      </c>
      <c r="K605" t="s">
        <v>235</v>
      </c>
      <c r="L605">
        <v>5</v>
      </c>
      <c r="M605" t="s">
        <v>3310</v>
      </c>
      <c r="N605" t="s">
        <v>47</v>
      </c>
      <c r="O605" t="s">
        <v>48</v>
      </c>
      <c r="P605" t="s">
        <v>48</v>
      </c>
      <c r="Y605" t="s">
        <v>3311</v>
      </c>
    </row>
    <row r="606" spans="1:25">
      <c r="A606" t="s">
        <v>3312</v>
      </c>
      <c r="B606" t="s">
        <v>3313</v>
      </c>
      <c r="D606" t="s">
        <v>40</v>
      </c>
      <c r="E606" t="s">
        <v>41</v>
      </c>
      <c r="G606" t="s">
        <v>3314</v>
      </c>
      <c r="H606" t="s">
        <v>3315</v>
      </c>
      <c r="J606" t="s">
        <v>44</v>
      </c>
      <c r="K606" t="s">
        <v>45</v>
      </c>
      <c r="L606">
        <v>5</v>
      </c>
      <c r="M606" t="s">
        <v>3316</v>
      </c>
      <c r="N606" t="s">
        <v>47</v>
      </c>
      <c r="O606" t="s">
        <v>48</v>
      </c>
      <c r="P606" t="s">
        <v>48</v>
      </c>
      <c r="Y606" t="s">
        <v>3317</v>
      </c>
    </row>
    <row r="607" spans="1:25">
      <c r="A607" t="s">
        <v>3318</v>
      </c>
      <c r="B607" t="s">
        <v>3319</v>
      </c>
      <c r="D607" t="s">
        <v>40</v>
      </c>
      <c r="E607" t="s">
        <v>41</v>
      </c>
      <c r="G607" t="s">
        <v>3320</v>
      </c>
      <c r="H607" t="s">
        <v>3321</v>
      </c>
      <c r="J607" t="s">
        <v>133</v>
      </c>
      <c r="K607" t="s">
        <v>134</v>
      </c>
      <c r="L607">
        <v>5</v>
      </c>
      <c r="M607" t="s">
        <v>3322</v>
      </c>
      <c r="N607" t="s">
        <v>135</v>
      </c>
      <c r="O607" t="s">
        <v>48</v>
      </c>
      <c r="P607" t="s">
        <v>48</v>
      </c>
      <c r="Y607" t="s">
        <v>3323</v>
      </c>
    </row>
    <row r="608" spans="1:25">
      <c r="A608" t="s">
        <v>3324</v>
      </c>
      <c r="B608" t="s">
        <v>3325</v>
      </c>
      <c r="D608" t="s">
        <v>40</v>
      </c>
      <c r="E608" t="s">
        <v>41</v>
      </c>
      <c r="G608" t="s">
        <v>3326</v>
      </c>
      <c r="H608" t="s">
        <v>3327</v>
      </c>
      <c r="J608" t="s">
        <v>44</v>
      </c>
      <c r="K608" t="s">
        <v>45</v>
      </c>
      <c r="L608">
        <v>5</v>
      </c>
      <c r="M608" t="s">
        <v>3322</v>
      </c>
      <c r="N608" t="s">
        <v>47</v>
      </c>
      <c r="O608" t="s">
        <v>48</v>
      </c>
      <c r="P608" t="s">
        <v>48</v>
      </c>
      <c r="Y608" t="s">
        <v>3328</v>
      </c>
    </row>
    <row r="609" spans="1:25">
      <c r="A609" t="s">
        <v>3329</v>
      </c>
      <c r="B609" t="s">
        <v>3330</v>
      </c>
      <c r="D609" t="s">
        <v>40</v>
      </c>
      <c r="E609" t="s">
        <v>41</v>
      </c>
      <c r="G609" t="s">
        <v>3331</v>
      </c>
      <c r="H609" t="s">
        <v>3332</v>
      </c>
      <c r="J609" t="s">
        <v>90</v>
      </c>
      <c r="K609" t="s">
        <v>91</v>
      </c>
      <c r="L609">
        <v>5</v>
      </c>
      <c r="M609" t="s">
        <v>3333</v>
      </c>
      <c r="N609" t="s">
        <v>47</v>
      </c>
      <c r="O609" t="s">
        <v>48</v>
      </c>
      <c r="P609" t="s">
        <v>48</v>
      </c>
      <c r="Y609" t="s">
        <v>3334</v>
      </c>
    </row>
    <row r="610" spans="1:25">
      <c r="A610" t="s">
        <v>3335</v>
      </c>
      <c r="B610" t="s">
        <v>3336</v>
      </c>
      <c r="D610" t="s">
        <v>40</v>
      </c>
      <c r="E610" t="s">
        <v>41</v>
      </c>
      <c r="G610" t="s">
        <v>3337</v>
      </c>
      <c r="H610" t="s">
        <v>3338</v>
      </c>
      <c r="J610" t="s">
        <v>90</v>
      </c>
      <c r="K610" t="s">
        <v>91</v>
      </c>
      <c r="L610">
        <v>5</v>
      </c>
      <c r="M610" t="s">
        <v>3339</v>
      </c>
      <c r="N610" t="s">
        <v>47</v>
      </c>
      <c r="O610" t="s">
        <v>48</v>
      </c>
      <c r="P610" t="s">
        <v>48</v>
      </c>
      <c r="Y610" t="s">
        <v>3340</v>
      </c>
    </row>
    <row r="611" spans="1:25">
      <c r="A611" t="s">
        <v>3341</v>
      </c>
      <c r="B611" t="s">
        <v>3342</v>
      </c>
      <c r="D611" t="s">
        <v>40</v>
      </c>
      <c r="E611" t="s">
        <v>41</v>
      </c>
      <c r="G611" t="s">
        <v>3343</v>
      </c>
      <c r="H611" t="s">
        <v>3344</v>
      </c>
      <c r="J611" t="s">
        <v>2328</v>
      </c>
      <c r="K611" t="s">
        <v>2329</v>
      </c>
      <c r="L611">
        <v>5</v>
      </c>
      <c r="M611" t="s">
        <v>3345</v>
      </c>
      <c r="N611" t="s">
        <v>290</v>
      </c>
      <c r="O611" t="s">
        <v>48</v>
      </c>
      <c r="P611" t="s">
        <v>48</v>
      </c>
      <c r="Y611" t="s">
        <v>3346</v>
      </c>
    </row>
    <row r="612" spans="1:25">
      <c r="A612" t="s">
        <v>3347</v>
      </c>
      <c r="B612" t="s">
        <v>3348</v>
      </c>
      <c r="D612" t="s">
        <v>40</v>
      </c>
      <c r="E612" t="s">
        <v>41</v>
      </c>
      <c r="G612" t="s">
        <v>3349</v>
      </c>
      <c r="H612" t="s">
        <v>1605</v>
      </c>
      <c r="J612" t="s">
        <v>90</v>
      </c>
      <c r="K612" t="s">
        <v>91</v>
      </c>
      <c r="L612">
        <v>5</v>
      </c>
      <c r="M612" t="s">
        <v>3345</v>
      </c>
      <c r="N612" t="s">
        <v>47</v>
      </c>
      <c r="O612" t="s">
        <v>48</v>
      </c>
      <c r="P612" t="s">
        <v>48</v>
      </c>
      <c r="Y612" t="s">
        <v>3350</v>
      </c>
    </row>
    <row r="613" spans="1:25">
      <c r="A613" t="s">
        <v>3351</v>
      </c>
      <c r="B613" t="s">
        <v>3352</v>
      </c>
      <c r="D613" t="s">
        <v>40</v>
      </c>
      <c r="E613" t="s">
        <v>41</v>
      </c>
      <c r="G613" t="s">
        <v>3353</v>
      </c>
      <c r="H613" t="s">
        <v>3354</v>
      </c>
      <c r="J613" t="s">
        <v>90</v>
      </c>
      <c r="K613" t="s">
        <v>91</v>
      </c>
      <c r="L613">
        <v>5</v>
      </c>
      <c r="M613" t="s">
        <v>3355</v>
      </c>
      <c r="N613" t="s">
        <v>47</v>
      </c>
      <c r="O613" t="s">
        <v>48</v>
      </c>
      <c r="P613" t="s">
        <v>48</v>
      </c>
      <c r="Y613" t="s">
        <v>3356</v>
      </c>
    </row>
    <row r="614" spans="1:25">
      <c r="A614" t="s">
        <v>3357</v>
      </c>
      <c r="B614" t="s">
        <v>3358</v>
      </c>
      <c r="D614" t="s">
        <v>40</v>
      </c>
      <c r="E614" t="s">
        <v>41</v>
      </c>
      <c r="G614" t="s">
        <v>3359</v>
      </c>
      <c r="H614" t="s">
        <v>3360</v>
      </c>
      <c r="J614" t="s">
        <v>54</v>
      </c>
      <c r="K614" t="s">
        <v>55</v>
      </c>
      <c r="L614">
        <v>5</v>
      </c>
      <c r="M614" t="s">
        <v>3361</v>
      </c>
      <c r="N614" t="s">
        <v>47</v>
      </c>
      <c r="O614" t="s">
        <v>48</v>
      </c>
      <c r="P614" t="s">
        <v>48</v>
      </c>
      <c r="Y614" t="s">
        <v>3362</v>
      </c>
    </row>
    <row r="615" spans="1:25">
      <c r="A615" t="s">
        <v>3363</v>
      </c>
      <c r="B615" t="s">
        <v>3364</v>
      </c>
      <c r="D615" t="s">
        <v>40</v>
      </c>
      <c r="E615" t="s">
        <v>41</v>
      </c>
      <c r="G615" t="s">
        <v>2780</v>
      </c>
      <c r="H615" t="s">
        <v>3365</v>
      </c>
      <c r="J615" t="s">
        <v>78</v>
      </c>
      <c r="K615" t="s">
        <v>79</v>
      </c>
      <c r="L615">
        <v>5</v>
      </c>
      <c r="M615" t="s">
        <v>3366</v>
      </c>
      <c r="N615" t="s">
        <v>47</v>
      </c>
      <c r="O615" t="s">
        <v>48</v>
      </c>
      <c r="P615" t="s">
        <v>48</v>
      </c>
      <c r="Y615" t="s">
        <v>3367</v>
      </c>
    </row>
    <row r="616" spans="1:25">
      <c r="A616" t="s">
        <v>3368</v>
      </c>
      <c r="B616" t="s">
        <v>3369</v>
      </c>
      <c r="D616" t="s">
        <v>40</v>
      </c>
      <c r="E616" t="s">
        <v>41</v>
      </c>
      <c r="G616" t="s">
        <v>3370</v>
      </c>
      <c r="H616" t="s">
        <v>3371</v>
      </c>
      <c r="J616" t="s">
        <v>133</v>
      </c>
      <c r="K616" t="s">
        <v>134</v>
      </c>
      <c r="L616">
        <v>5</v>
      </c>
      <c r="M616" t="s">
        <v>3366</v>
      </c>
      <c r="N616" t="s">
        <v>135</v>
      </c>
      <c r="O616" t="s">
        <v>48</v>
      </c>
      <c r="P616" t="s">
        <v>48</v>
      </c>
      <c r="Y616" t="s">
        <v>3372</v>
      </c>
    </row>
    <row r="617" spans="1:25">
      <c r="A617" t="s">
        <v>3373</v>
      </c>
      <c r="B617" t="s">
        <v>3374</v>
      </c>
      <c r="D617" t="s">
        <v>40</v>
      </c>
      <c r="E617" t="s">
        <v>41</v>
      </c>
      <c r="G617" t="s">
        <v>3375</v>
      </c>
      <c r="H617" t="s">
        <v>3376</v>
      </c>
      <c r="J617" t="s">
        <v>90</v>
      </c>
      <c r="K617" t="s">
        <v>91</v>
      </c>
      <c r="L617">
        <v>5</v>
      </c>
      <c r="M617" t="s">
        <v>3377</v>
      </c>
      <c r="N617" t="s">
        <v>47</v>
      </c>
      <c r="O617" t="s">
        <v>48</v>
      </c>
      <c r="P617" t="s">
        <v>48</v>
      </c>
      <c r="Y617" t="s">
        <v>3378</v>
      </c>
    </row>
    <row r="618" spans="1:25">
      <c r="A618" t="s">
        <v>3379</v>
      </c>
      <c r="B618" t="s">
        <v>3380</v>
      </c>
      <c r="D618" t="s">
        <v>40</v>
      </c>
      <c r="E618" t="s">
        <v>41</v>
      </c>
      <c r="G618" t="s">
        <v>3381</v>
      </c>
      <c r="H618" t="s">
        <v>3382</v>
      </c>
      <c r="J618" t="s">
        <v>133</v>
      </c>
      <c r="K618" t="s">
        <v>134</v>
      </c>
      <c r="L618">
        <v>5</v>
      </c>
      <c r="M618" t="s">
        <v>3377</v>
      </c>
      <c r="N618" t="s">
        <v>290</v>
      </c>
      <c r="O618" t="s">
        <v>48</v>
      </c>
      <c r="P618" t="s">
        <v>48</v>
      </c>
      <c r="Y618" t="s">
        <v>3383</v>
      </c>
    </row>
    <row r="619" spans="1:25">
      <c r="A619" t="s">
        <v>3384</v>
      </c>
      <c r="B619" t="s">
        <v>3385</v>
      </c>
      <c r="D619" t="s">
        <v>40</v>
      </c>
      <c r="E619" t="s">
        <v>41</v>
      </c>
      <c r="G619" t="s">
        <v>3386</v>
      </c>
      <c r="H619" t="s">
        <v>3387</v>
      </c>
      <c r="J619" t="s">
        <v>133</v>
      </c>
      <c r="K619" t="s">
        <v>134</v>
      </c>
      <c r="L619">
        <v>7</v>
      </c>
      <c r="M619" t="s">
        <v>3388</v>
      </c>
      <c r="N619" t="s">
        <v>135</v>
      </c>
      <c r="O619" t="s">
        <v>48</v>
      </c>
      <c r="P619" t="s">
        <v>48</v>
      </c>
      <c r="Y619" t="s">
        <v>3389</v>
      </c>
    </row>
    <row r="620" spans="1:25">
      <c r="A620" t="s">
        <v>3390</v>
      </c>
      <c r="B620" t="s">
        <v>3391</v>
      </c>
      <c r="D620" t="s">
        <v>40</v>
      </c>
      <c r="E620" t="s">
        <v>41</v>
      </c>
      <c r="G620" t="s">
        <v>1885</v>
      </c>
      <c r="H620" t="s">
        <v>3392</v>
      </c>
      <c r="J620" t="s">
        <v>44</v>
      </c>
      <c r="K620" t="s">
        <v>45</v>
      </c>
      <c r="L620">
        <v>5</v>
      </c>
      <c r="M620" t="s">
        <v>3393</v>
      </c>
      <c r="N620" t="s">
        <v>47</v>
      </c>
      <c r="O620" t="s">
        <v>48</v>
      </c>
      <c r="P620" t="s">
        <v>48</v>
      </c>
      <c r="Y620" t="s">
        <v>3394</v>
      </c>
    </row>
    <row r="621" spans="1:25">
      <c r="A621" t="s">
        <v>3395</v>
      </c>
      <c r="B621" t="s">
        <v>3396</v>
      </c>
      <c r="D621" t="s">
        <v>40</v>
      </c>
      <c r="E621" t="s">
        <v>41</v>
      </c>
      <c r="G621" t="s">
        <v>3397</v>
      </c>
      <c r="H621" t="s">
        <v>3398</v>
      </c>
      <c r="J621" t="s">
        <v>78</v>
      </c>
      <c r="K621" t="s">
        <v>79</v>
      </c>
      <c r="L621">
        <v>5</v>
      </c>
      <c r="M621" t="s">
        <v>3399</v>
      </c>
      <c r="N621" t="s">
        <v>47</v>
      </c>
      <c r="O621" t="s">
        <v>48</v>
      </c>
      <c r="P621" t="s">
        <v>48</v>
      </c>
      <c r="Y621" t="s">
        <v>3400</v>
      </c>
    </row>
    <row r="622" spans="1:25">
      <c r="A622" t="s">
        <v>3401</v>
      </c>
      <c r="B622" t="s">
        <v>3402</v>
      </c>
      <c r="D622" t="s">
        <v>40</v>
      </c>
      <c r="E622" t="s">
        <v>41</v>
      </c>
      <c r="G622" t="s">
        <v>3403</v>
      </c>
      <c r="H622" t="s">
        <v>1615</v>
      </c>
      <c r="J622" t="s">
        <v>54</v>
      </c>
      <c r="K622" t="s">
        <v>55</v>
      </c>
      <c r="L622">
        <v>5</v>
      </c>
      <c r="M622" t="s">
        <v>3399</v>
      </c>
      <c r="N622" t="s">
        <v>47</v>
      </c>
      <c r="O622" t="s">
        <v>48</v>
      </c>
      <c r="P622" t="s">
        <v>48</v>
      </c>
      <c r="Y622" t="s">
        <v>3404</v>
      </c>
    </row>
    <row r="623" spans="1:25">
      <c r="A623" t="s">
        <v>3405</v>
      </c>
      <c r="B623" t="s">
        <v>3406</v>
      </c>
      <c r="D623" t="s">
        <v>40</v>
      </c>
      <c r="E623" t="s">
        <v>41</v>
      </c>
      <c r="G623" t="s">
        <v>3407</v>
      </c>
      <c r="H623" t="s">
        <v>3408</v>
      </c>
      <c r="J623" t="s">
        <v>54</v>
      </c>
      <c r="K623" t="s">
        <v>55</v>
      </c>
      <c r="L623">
        <v>5</v>
      </c>
      <c r="M623" t="s">
        <v>3409</v>
      </c>
      <c r="N623" t="s">
        <v>47</v>
      </c>
      <c r="O623" t="s">
        <v>48</v>
      </c>
      <c r="P623" t="s">
        <v>48</v>
      </c>
      <c r="Y623" t="s">
        <v>3410</v>
      </c>
    </row>
    <row r="624" spans="1:25">
      <c r="A624" t="s">
        <v>3411</v>
      </c>
      <c r="B624" t="s">
        <v>3412</v>
      </c>
      <c r="D624" t="s">
        <v>40</v>
      </c>
      <c r="E624" t="s">
        <v>41</v>
      </c>
      <c r="G624" t="s">
        <v>3413</v>
      </c>
      <c r="H624" t="s">
        <v>3414</v>
      </c>
      <c r="J624" t="s">
        <v>90</v>
      </c>
      <c r="K624" t="s">
        <v>91</v>
      </c>
      <c r="L624">
        <v>5</v>
      </c>
      <c r="M624" t="s">
        <v>3409</v>
      </c>
      <c r="N624" t="s">
        <v>47</v>
      </c>
      <c r="O624" t="s">
        <v>48</v>
      </c>
      <c r="P624" t="s">
        <v>48</v>
      </c>
      <c r="Y624" t="s">
        <v>3415</v>
      </c>
    </row>
    <row r="625" spans="1:25">
      <c r="A625" t="s">
        <v>3416</v>
      </c>
      <c r="B625" t="s">
        <v>3417</v>
      </c>
      <c r="D625" t="s">
        <v>40</v>
      </c>
      <c r="E625" t="s">
        <v>41</v>
      </c>
      <c r="G625" t="s">
        <v>3418</v>
      </c>
      <c r="H625" t="s">
        <v>3419</v>
      </c>
      <c r="J625" t="s">
        <v>90</v>
      </c>
      <c r="K625" t="s">
        <v>91</v>
      </c>
      <c r="L625">
        <v>5</v>
      </c>
      <c r="M625" t="s">
        <v>3420</v>
      </c>
      <c r="N625" t="s">
        <v>47</v>
      </c>
      <c r="O625" t="s">
        <v>48</v>
      </c>
      <c r="P625" t="s">
        <v>48</v>
      </c>
      <c r="Y625" t="s">
        <v>3421</v>
      </c>
    </row>
    <row r="626" spans="1:25">
      <c r="A626" t="s">
        <v>3422</v>
      </c>
      <c r="B626" t="s">
        <v>3423</v>
      </c>
      <c r="D626" t="s">
        <v>40</v>
      </c>
      <c r="E626" t="s">
        <v>41</v>
      </c>
      <c r="G626" t="s">
        <v>3424</v>
      </c>
      <c r="H626" t="s">
        <v>3425</v>
      </c>
      <c r="J626" t="s">
        <v>90</v>
      </c>
      <c r="K626" t="s">
        <v>91</v>
      </c>
      <c r="L626">
        <v>5</v>
      </c>
      <c r="M626" t="s">
        <v>3420</v>
      </c>
      <c r="N626" t="s">
        <v>47</v>
      </c>
      <c r="O626" t="s">
        <v>48</v>
      </c>
      <c r="P626" t="s">
        <v>48</v>
      </c>
      <c r="Y626" t="s">
        <v>3426</v>
      </c>
    </row>
    <row r="627" spans="1:25">
      <c r="A627" t="s">
        <v>3427</v>
      </c>
      <c r="B627" t="s">
        <v>3428</v>
      </c>
      <c r="D627" t="s">
        <v>40</v>
      </c>
      <c r="E627" t="s">
        <v>41</v>
      </c>
      <c r="G627" t="s">
        <v>3159</v>
      </c>
      <c r="H627" t="s">
        <v>3429</v>
      </c>
      <c r="J627" t="s">
        <v>44</v>
      </c>
      <c r="K627" t="s">
        <v>45</v>
      </c>
      <c r="L627">
        <v>5</v>
      </c>
      <c r="M627" t="s">
        <v>3430</v>
      </c>
      <c r="N627" t="s">
        <v>47</v>
      </c>
      <c r="O627" t="s">
        <v>48</v>
      </c>
      <c r="P627" t="s">
        <v>48</v>
      </c>
      <c r="Y627" t="s">
        <v>3431</v>
      </c>
    </row>
    <row r="628" spans="1:25">
      <c r="A628" t="s">
        <v>3432</v>
      </c>
      <c r="B628" t="s">
        <v>3433</v>
      </c>
      <c r="D628" t="s">
        <v>40</v>
      </c>
      <c r="E628" t="s">
        <v>41</v>
      </c>
      <c r="G628" t="s">
        <v>3434</v>
      </c>
      <c r="H628" t="s">
        <v>3435</v>
      </c>
      <c r="J628" t="s">
        <v>90</v>
      </c>
      <c r="K628" t="s">
        <v>91</v>
      </c>
      <c r="L628">
        <v>5</v>
      </c>
      <c r="M628" t="s">
        <v>3430</v>
      </c>
      <c r="N628" t="s">
        <v>47</v>
      </c>
      <c r="O628" t="s">
        <v>48</v>
      </c>
      <c r="P628" t="s">
        <v>48</v>
      </c>
      <c r="Y628" t="s">
        <v>3436</v>
      </c>
    </row>
    <row r="629" spans="1:25">
      <c r="A629" t="s">
        <v>3437</v>
      </c>
      <c r="B629" t="s">
        <v>3438</v>
      </c>
      <c r="D629" t="s">
        <v>40</v>
      </c>
      <c r="E629" t="s">
        <v>41</v>
      </c>
      <c r="G629" t="s">
        <v>3439</v>
      </c>
      <c r="H629" t="s">
        <v>3440</v>
      </c>
      <c r="J629" t="s">
        <v>78</v>
      </c>
      <c r="K629" t="s">
        <v>79</v>
      </c>
      <c r="L629">
        <v>5</v>
      </c>
      <c r="M629" t="s">
        <v>3441</v>
      </c>
      <c r="N629" t="s">
        <v>47</v>
      </c>
      <c r="O629" t="s">
        <v>48</v>
      </c>
      <c r="P629" t="s">
        <v>48</v>
      </c>
      <c r="Y629" t="s">
        <v>3442</v>
      </c>
    </row>
    <row r="630" spans="1:25">
      <c r="A630" t="s">
        <v>3443</v>
      </c>
      <c r="B630" t="s">
        <v>3444</v>
      </c>
      <c r="D630" t="s">
        <v>40</v>
      </c>
      <c r="E630" t="s">
        <v>41</v>
      </c>
      <c r="G630" t="s">
        <v>3445</v>
      </c>
      <c r="H630" t="s">
        <v>3392</v>
      </c>
      <c r="J630" t="s">
        <v>90</v>
      </c>
      <c r="K630" t="s">
        <v>91</v>
      </c>
      <c r="L630">
        <v>5</v>
      </c>
      <c r="M630" t="s">
        <v>3441</v>
      </c>
      <c r="N630" t="s">
        <v>47</v>
      </c>
      <c r="O630" t="s">
        <v>48</v>
      </c>
      <c r="P630" t="s">
        <v>48</v>
      </c>
      <c r="Y630" t="s">
        <v>3446</v>
      </c>
    </row>
    <row r="631" spans="1:25">
      <c r="A631" t="s">
        <v>3447</v>
      </c>
      <c r="B631" t="s">
        <v>3448</v>
      </c>
      <c r="D631" t="s">
        <v>40</v>
      </c>
      <c r="E631" t="s">
        <v>41</v>
      </c>
      <c r="G631" t="s">
        <v>3449</v>
      </c>
      <c r="H631" t="s">
        <v>3450</v>
      </c>
      <c r="J631" t="s">
        <v>234</v>
      </c>
      <c r="K631" t="s">
        <v>235</v>
      </c>
      <c r="L631">
        <v>5</v>
      </c>
      <c r="M631" t="s">
        <v>3451</v>
      </c>
      <c r="N631" t="s">
        <v>47</v>
      </c>
      <c r="O631" t="s">
        <v>48</v>
      </c>
      <c r="P631" t="s">
        <v>48</v>
      </c>
      <c r="Y631" t="s">
        <v>3452</v>
      </c>
    </row>
    <row r="632" spans="1:25">
      <c r="A632" t="s">
        <v>3453</v>
      </c>
      <c r="B632" t="s">
        <v>3454</v>
      </c>
      <c r="D632" t="s">
        <v>40</v>
      </c>
      <c r="E632" t="s">
        <v>41</v>
      </c>
      <c r="G632" t="s">
        <v>3455</v>
      </c>
      <c r="H632" t="s">
        <v>3456</v>
      </c>
      <c r="J632" t="s">
        <v>90</v>
      </c>
      <c r="K632" t="s">
        <v>91</v>
      </c>
      <c r="L632">
        <v>5</v>
      </c>
      <c r="M632" t="s">
        <v>3457</v>
      </c>
      <c r="N632" t="s">
        <v>47</v>
      </c>
      <c r="O632" t="s">
        <v>48</v>
      </c>
      <c r="P632" t="s">
        <v>48</v>
      </c>
      <c r="Y632" t="s">
        <v>3458</v>
      </c>
    </row>
    <row r="633" spans="1:25">
      <c r="A633" t="s">
        <v>3459</v>
      </c>
      <c r="B633" t="s">
        <v>3460</v>
      </c>
      <c r="D633" t="s">
        <v>40</v>
      </c>
      <c r="E633" t="s">
        <v>41</v>
      </c>
      <c r="J633" t="s">
        <v>133</v>
      </c>
      <c r="K633" t="s">
        <v>134</v>
      </c>
      <c r="L633">
        <v>5</v>
      </c>
      <c r="M633" t="s">
        <v>3461</v>
      </c>
      <c r="N633" t="s">
        <v>290</v>
      </c>
      <c r="O633" t="s">
        <v>48</v>
      </c>
      <c r="P633" t="s">
        <v>48</v>
      </c>
      <c r="Y633" t="s">
        <v>3462</v>
      </c>
    </row>
    <row r="634" spans="1:25">
      <c r="A634" t="s">
        <v>3463</v>
      </c>
      <c r="B634" t="s">
        <v>3464</v>
      </c>
      <c r="D634" t="s">
        <v>40</v>
      </c>
      <c r="E634" t="s">
        <v>41</v>
      </c>
      <c r="G634" t="s">
        <v>716</v>
      </c>
      <c r="H634" t="s">
        <v>1199</v>
      </c>
      <c r="J634" t="s">
        <v>371</v>
      </c>
      <c r="K634" t="s">
        <v>372</v>
      </c>
      <c r="L634">
        <v>5</v>
      </c>
      <c r="M634" t="s">
        <v>3465</v>
      </c>
      <c r="N634" t="s">
        <v>47</v>
      </c>
      <c r="O634" t="s">
        <v>48</v>
      </c>
      <c r="P634" t="s">
        <v>48</v>
      </c>
      <c r="Y634" t="s">
        <v>3466</v>
      </c>
    </row>
    <row r="635" spans="1:25">
      <c r="A635" t="s">
        <v>3467</v>
      </c>
      <c r="B635" t="s">
        <v>3468</v>
      </c>
      <c r="D635" t="s">
        <v>40</v>
      </c>
      <c r="E635" t="s">
        <v>41</v>
      </c>
      <c r="G635" t="s">
        <v>3469</v>
      </c>
      <c r="H635" t="s">
        <v>3470</v>
      </c>
      <c r="J635" t="s">
        <v>90</v>
      </c>
      <c r="K635" t="s">
        <v>91</v>
      </c>
      <c r="L635">
        <v>5</v>
      </c>
      <c r="M635" t="s">
        <v>3471</v>
      </c>
      <c r="N635" t="s">
        <v>47</v>
      </c>
      <c r="O635" t="s">
        <v>48</v>
      </c>
      <c r="P635" t="s">
        <v>48</v>
      </c>
      <c r="Y635" t="s">
        <v>3472</v>
      </c>
    </row>
    <row r="636" spans="1:25">
      <c r="A636" t="s">
        <v>3473</v>
      </c>
      <c r="B636" t="s">
        <v>3474</v>
      </c>
      <c r="D636" t="s">
        <v>40</v>
      </c>
      <c r="E636" t="s">
        <v>41</v>
      </c>
      <c r="G636" t="s">
        <v>2871</v>
      </c>
      <c r="H636" t="s">
        <v>3475</v>
      </c>
      <c r="J636" t="s">
        <v>90</v>
      </c>
      <c r="K636" t="s">
        <v>91</v>
      </c>
      <c r="L636">
        <v>5</v>
      </c>
      <c r="M636" t="s">
        <v>3476</v>
      </c>
      <c r="N636" t="s">
        <v>47</v>
      </c>
      <c r="O636" t="s">
        <v>48</v>
      </c>
      <c r="P636" t="s">
        <v>48</v>
      </c>
      <c r="Y636" t="s">
        <v>3477</v>
      </c>
    </row>
    <row r="637" spans="1:25">
      <c r="A637" t="s">
        <v>3478</v>
      </c>
      <c r="B637" t="s">
        <v>3479</v>
      </c>
      <c r="D637" t="s">
        <v>40</v>
      </c>
      <c r="E637" t="s">
        <v>41</v>
      </c>
      <c r="G637" t="s">
        <v>3480</v>
      </c>
      <c r="H637" t="s">
        <v>3440</v>
      </c>
      <c r="J637" t="s">
        <v>44</v>
      </c>
      <c r="K637" t="s">
        <v>45</v>
      </c>
      <c r="L637">
        <v>5</v>
      </c>
      <c r="M637" t="s">
        <v>3481</v>
      </c>
      <c r="N637" t="s">
        <v>47</v>
      </c>
      <c r="O637" t="s">
        <v>48</v>
      </c>
      <c r="P637" t="s">
        <v>48</v>
      </c>
      <c r="Y637" t="s">
        <v>3482</v>
      </c>
    </row>
    <row r="638" spans="1:25">
      <c r="A638" t="s">
        <v>3483</v>
      </c>
      <c r="B638" t="s">
        <v>3484</v>
      </c>
      <c r="D638" t="s">
        <v>40</v>
      </c>
      <c r="E638" t="s">
        <v>41</v>
      </c>
      <c r="G638" t="s">
        <v>3485</v>
      </c>
      <c r="H638" t="s">
        <v>3486</v>
      </c>
      <c r="J638" t="s">
        <v>54</v>
      </c>
      <c r="K638" t="s">
        <v>55</v>
      </c>
      <c r="L638">
        <v>5</v>
      </c>
      <c r="M638" t="s">
        <v>3487</v>
      </c>
      <c r="N638" t="s">
        <v>47</v>
      </c>
      <c r="O638" t="s">
        <v>48</v>
      </c>
      <c r="P638" t="s">
        <v>48</v>
      </c>
      <c r="Y638" t="s">
        <v>3488</v>
      </c>
    </row>
    <row r="639" spans="1:25">
      <c r="A639" t="s">
        <v>3489</v>
      </c>
      <c r="B639" t="s">
        <v>3490</v>
      </c>
      <c r="D639" t="s">
        <v>40</v>
      </c>
      <c r="E639" t="s">
        <v>41</v>
      </c>
      <c r="G639" t="s">
        <v>3491</v>
      </c>
      <c r="H639" t="s">
        <v>3492</v>
      </c>
      <c r="J639" t="s">
        <v>44</v>
      </c>
      <c r="K639" t="s">
        <v>45</v>
      </c>
      <c r="L639">
        <v>5</v>
      </c>
      <c r="M639" t="s">
        <v>3487</v>
      </c>
      <c r="N639" t="s">
        <v>47</v>
      </c>
      <c r="O639" t="s">
        <v>48</v>
      </c>
      <c r="P639" t="s">
        <v>48</v>
      </c>
      <c r="Y639" t="s">
        <v>3493</v>
      </c>
    </row>
    <row r="640" spans="1:25">
      <c r="A640" t="s">
        <v>3494</v>
      </c>
      <c r="B640" t="s">
        <v>3495</v>
      </c>
      <c r="D640" t="s">
        <v>40</v>
      </c>
      <c r="E640" t="s">
        <v>41</v>
      </c>
      <c r="G640" t="s">
        <v>3496</v>
      </c>
      <c r="H640" t="s">
        <v>3497</v>
      </c>
      <c r="J640" t="s">
        <v>927</v>
      </c>
      <c r="K640" t="s">
        <v>928</v>
      </c>
      <c r="L640">
        <v>5</v>
      </c>
      <c r="M640" t="s">
        <v>3487</v>
      </c>
      <c r="N640" t="s">
        <v>685</v>
      </c>
      <c r="O640" t="s">
        <v>48</v>
      </c>
      <c r="P640" t="s">
        <v>48</v>
      </c>
      <c r="Y640" t="s">
        <v>3498</v>
      </c>
    </row>
    <row r="641" spans="1:25">
      <c r="A641" t="s">
        <v>3499</v>
      </c>
      <c r="B641" t="s">
        <v>3500</v>
      </c>
      <c r="D641" t="s">
        <v>40</v>
      </c>
      <c r="E641" t="s">
        <v>41</v>
      </c>
      <c r="G641" t="s">
        <v>3501</v>
      </c>
      <c r="H641" t="s">
        <v>3502</v>
      </c>
      <c r="J641" t="s">
        <v>133</v>
      </c>
      <c r="K641" t="s">
        <v>134</v>
      </c>
      <c r="L641">
        <v>5</v>
      </c>
      <c r="M641" t="s">
        <v>3503</v>
      </c>
      <c r="N641" t="s">
        <v>290</v>
      </c>
      <c r="O641" t="s">
        <v>48</v>
      </c>
      <c r="P641" t="s">
        <v>48</v>
      </c>
      <c r="Y641" t="s">
        <v>3504</v>
      </c>
    </row>
    <row r="642" spans="1:25">
      <c r="A642" t="s">
        <v>3505</v>
      </c>
      <c r="B642" t="s">
        <v>3506</v>
      </c>
      <c r="D642" t="s">
        <v>40</v>
      </c>
      <c r="E642" t="s">
        <v>41</v>
      </c>
      <c r="G642" t="s">
        <v>3507</v>
      </c>
      <c r="H642" t="s">
        <v>758</v>
      </c>
      <c r="J642" t="s">
        <v>90</v>
      </c>
      <c r="K642" t="s">
        <v>91</v>
      </c>
      <c r="L642">
        <v>5</v>
      </c>
      <c r="M642" t="s">
        <v>3508</v>
      </c>
      <c r="N642" t="s">
        <v>47</v>
      </c>
      <c r="O642" t="s">
        <v>48</v>
      </c>
      <c r="P642" t="s">
        <v>48</v>
      </c>
      <c r="Y642" t="s">
        <v>3509</v>
      </c>
    </row>
    <row r="643" spans="1:25">
      <c r="A643" t="s">
        <v>3510</v>
      </c>
      <c r="B643" t="s">
        <v>3511</v>
      </c>
      <c r="D643" t="s">
        <v>40</v>
      </c>
      <c r="E643" t="s">
        <v>41</v>
      </c>
      <c r="G643" t="s">
        <v>3512</v>
      </c>
      <c r="H643" t="s">
        <v>3513</v>
      </c>
      <c r="J643" t="s">
        <v>54</v>
      </c>
      <c r="K643" t="s">
        <v>55</v>
      </c>
      <c r="L643">
        <v>5</v>
      </c>
      <c r="M643" t="s">
        <v>3514</v>
      </c>
      <c r="N643" t="s">
        <v>47</v>
      </c>
      <c r="O643" t="s">
        <v>48</v>
      </c>
      <c r="P643" t="s">
        <v>48</v>
      </c>
      <c r="Y643" t="s">
        <v>3515</v>
      </c>
    </row>
    <row r="644" spans="1:25">
      <c r="A644" t="s">
        <v>3516</v>
      </c>
      <c r="B644" t="s">
        <v>3517</v>
      </c>
      <c r="D644" t="s">
        <v>40</v>
      </c>
      <c r="E644" t="s">
        <v>41</v>
      </c>
      <c r="G644" t="s">
        <v>3518</v>
      </c>
      <c r="H644" t="s">
        <v>3519</v>
      </c>
      <c r="J644" t="s">
        <v>90</v>
      </c>
      <c r="K644" t="s">
        <v>91</v>
      </c>
      <c r="L644">
        <v>5</v>
      </c>
      <c r="M644" t="s">
        <v>3520</v>
      </c>
      <c r="N644" t="s">
        <v>47</v>
      </c>
      <c r="O644" t="s">
        <v>48</v>
      </c>
      <c r="P644" t="s">
        <v>48</v>
      </c>
      <c r="Y644" t="s">
        <v>3521</v>
      </c>
    </row>
    <row r="645" spans="1:25">
      <c r="A645" t="s">
        <v>3522</v>
      </c>
      <c r="B645" t="s">
        <v>3523</v>
      </c>
      <c r="D645" t="s">
        <v>40</v>
      </c>
      <c r="E645" t="s">
        <v>41</v>
      </c>
      <c r="G645" t="s">
        <v>1462</v>
      </c>
      <c r="H645" t="s">
        <v>3524</v>
      </c>
      <c r="J645" t="s">
        <v>90</v>
      </c>
      <c r="K645" t="s">
        <v>91</v>
      </c>
      <c r="L645">
        <v>5</v>
      </c>
      <c r="M645" t="s">
        <v>3525</v>
      </c>
      <c r="N645" t="s">
        <v>47</v>
      </c>
      <c r="O645" t="s">
        <v>48</v>
      </c>
      <c r="P645" t="s">
        <v>48</v>
      </c>
      <c r="Y645" t="s">
        <v>3526</v>
      </c>
    </row>
    <row r="646" spans="1:25">
      <c r="A646" t="s">
        <v>3527</v>
      </c>
      <c r="B646" t="s">
        <v>3528</v>
      </c>
      <c r="D646" t="s">
        <v>40</v>
      </c>
      <c r="E646" t="s">
        <v>41</v>
      </c>
      <c r="G646" t="s">
        <v>3529</v>
      </c>
      <c r="H646" t="s">
        <v>2058</v>
      </c>
      <c r="J646" t="s">
        <v>44</v>
      </c>
      <c r="K646" t="s">
        <v>45</v>
      </c>
      <c r="L646">
        <v>5</v>
      </c>
      <c r="M646" t="s">
        <v>3530</v>
      </c>
      <c r="N646" t="s">
        <v>47</v>
      </c>
      <c r="O646" t="s">
        <v>48</v>
      </c>
      <c r="P646" t="s">
        <v>48</v>
      </c>
      <c r="Y646" t="s">
        <v>3531</v>
      </c>
    </row>
    <row r="647" spans="1:25">
      <c r="A647" t="s">
        <v>3532</v>
      </c>
      <c r="B647" t="s">
        <v>3533</v>
      </c>
      <c r="D647" t="s">
        <v>40</v>
      </c>
      <c r="E647" t="s">
        <v>41</v>
      </c>
      <c r="G647" t="s">
        <v>3534</v>
      </c>
      <c r="H647" t="s">
        <v>3535</v>
      </c>
      <c r="J647" t="s">
        <v>44</v>
      </c>
      <c r="K647" t="s">
        <v>45</v>
      </c>
      <c r="L647">
        <v>5</v>
      </c>
      <c r="M647" t="s">
        <v>3536</v>
      </c>
      <c r="N647" t="s">
        <v>47</v>
      </c>
      <c r="O647" t="s">
        <v>48</v>
      </c>
      <c r="P647" t="s">
        <v>48</v>
      </c>
      <c r="Y647" t="s">
        <v>3537</v>
      </c>
    </row>
    <row r="648" spans="1:25">
      <c r="A648" t="s">
        <v>3538</v>
      </c>
      <c r="B648" t="s">
        <v>3539</v>
      </c>
      <c r="D648" t="s">
        <v>40</v>
      </c>
      <c r="E648" t="s">
        <v>41</v>
      </c>
      <c r="G648" t="s">
        <v>3540</v>
      </c>
      <c r="H648" t="s">
        <v>360</v>
      </c>
      <c r="J648" t="s">
        <v>90</v>
      </c>
      <c r="K648" t="s">
        <v>91</v>
      </c>
      <c r="L648">
        <v>5</v>
      </c>
      <c r="M648" t="s">
        <v>3541</v>
      </c>
      <c r="N648" t="s">
        <v>47</v>
      </c>
      <c r="O648" t="s">
        <v>48</v>
      </c>
      <c r="P648" t="s">
        <v>48</v>
      </c>
      <c r="Y648" t="s">
        <v>3542</v>
      </c>
    </row>
    <row r="649" spans="1:25">
      <c r="A649" t="s">
        <v>3543</v>
      </c>
      <c r="B649" t="s">
        <v>3544</v>
      </c>
      <c r="D649" t="s">
        <v>40</v>
      </c>
      <c r="E649" t="s">
        <v>41</v>
      </c>
      <c r="G649" t="s">
        <v>3545</v>
      </c>
      <c r="H649" t="s">
        <v>2750</v>
      </c>
      <c r="J649" t="s">
        <v>44</v>
      </c>
      <c r="K649" t="s">
        <v>45</v>
      </c>
      <c r="L649">
        <v>5</v>
      </c>
      <c r="M649" t="s">
        <v>3541</v>
      </c>
      <c r="N649" t="s">
        <v>47</v>
      </c>
      <c r="O649" t="s">
        <v>48</v>
      </c>
      <c r="P649" t="s">
        <v>48</v>
      </c>
      <c r="Y649" t="s">
        <v>3546</v>
      </c>
    </row>
    <row r="650" spans="1:25">
      <c r="A650" t="s">
        <v>3547</v>
      </c>
      <c r="B650" t="s">
        <v>3548</v>
      </c>
      <c r="D650" t="s">
        <v>40</v>
      </c>
      <c r="E650" t="s">
        <v>41</v>
      </c>
      <c r="G650" t="s">
        <v>3549</v>
      </c>
      <c r="H650" t="s">
        <v>3550</v>
      </c>
      <c r="J650" t="s">
        <v>90</v>
      </c>
      <c r="K650" t="s">
        <v>91</v>
      </c>
      <c r="L650">
        <v>5</v>
      </c>
      <c r="M650" t="s">
        <v>3551</v>
      </c>
      <c r="N650" t="s">
        <v>47</v>
      </c>
      <c r="O650" t="s">
        <v>48</v>
      </c>
      <c r="P650" t="s">
        <v>48</v>
      </c>
      <c r="Y650" t="s">
        <v>3552</v>
      </c>
    </row>
    <row r="651" spans="1:25">
      <c r="A651" t="s">
        <v>3553</v>
      </c>
      <c r="B651" t="s">
        <v>3554</v>
      </c>
      <c r="D651" t="s">
        <v>40</v>
      </c>
      <c r="E651" t="s">
        <v>41</v>
      </c>
      <c r="G651" t="s">
        <v>3555</v>
      </c>
      <c r="H651" t="s">
        <v>3556</v>
      </c>
      <c r="J651" t="s">
        <v>90</v>
      </c>
      <c r="K651" t="s">
        <v>91</v>
      </c>
      <c r="L651">
        <v>5</v>
      </c>
      <c r="M651" t="s">
        <v>3557</v>
      </c>
      <c r="N651" t="s">
        <v>47</v>
      </c>
      <c r="O651" t="s">
        <v>48</v>
      </c>
      <c r="P651" t="s">
        <v>48</v>
      </c>
      <c r="Y651" t="s">
        <v>3558</v>
      </c>
    </row>
    <row r="652" spans="1:25">
      <c r="A652" t="s">
        <v>3559</v>
      </c>
      <c r="B652" t="s">
        <v>3560</v>
      </c>
      <c r="D652" t="s">
        <v>40</v>
      </c>
      <c r="E652" t="s">
        <v>41</v>
      </c>
      <c r="G652" t="s">
        <v>3561</v>
      </c>
      <c r="H652" t="s">
        <v>3562</v>
      </c>
      <c r="J652" t="s">
        <v>90</v>
      </c>
      <c r="K652" t="s">
        <v>91</v>
      </c>
      <c r="L652">
        <v>5</v>
      </c>
      <c r="M652" t="s">
        <v>3563</v>
      </c>
      <c r="N652" t="s">
        <v>47</v>
      </c>
      <c r="O652" t="s">
        <v>48</v>
      </c>
      <c r="P652" t="s">
        <v>48</v>
      </c>
      <c r="Y652" t="s">
        <v>3564</v>
      </c>
    </row>
    <row r="653" spans="1:25">
      <c r="A653" t="s">
        <v>3565</v>
      </c>
      <c r="B653" t="s">
        <v>3566</v>
      </c>
      <c r="D653" t="s">
        <v>40</v>
      </c>
      <c r="E653" t="s">
        <v>41</v>
      </c>
      <c r="G653" t="s">
        <v>3567</v>
      </c>
      <c r="H653" t="s">
        <v>3568</v>
      </c>
      <c r="J653" t="s">
        <v>44</v>
      </c>
      <c r="K653" t="s">
        <v>45</v>
      </c>
      <c r="L653">
        <v>5</v>
      </c>
      <c r="M653" t="s">
        <v>3569</v>
      </c>
      <c r="N653" t="s">
        <v>47</v>
      </c>
      <c r="O653" t="s">
        <v>48</v>
      </c>
      <c r="P653" t="s">
        <v>48</v>
      </c>
      <c r="Y653" t="s">
        <v>3570</v>
      </c>
    </row>
    <row r="654" spans="1:25">
      <c r="A654" t="s">
        <v>3571</v>
      </c>
      <c r="B654" t="s">
        <v>3572</v>
      </c>
      <c r="D654" t="s">
        <v>40</v>
      </c>
      <c r="E654" t="s">
        <v>41</v>
      </c>
      <c r="G654" t="s">
        <v>3573</v>
      </c>
      <c r="H654" t="s">
        <v>3574</v>
      </c>
      <c r="J654" t="s">
        <v>133</v>
      </c>
      <c r="K654" t="s">
        <v>134</v>
      </c>
      <c r="L654">
        <v>5</v>
      </c>
      <c r="M654" t="s">
        <v>3569</v>
      </c>
      <c r="N654" t="s">
        <v>685</v>
      </c>
      <c r="O654" t="s">
        <v>48</v>
      </c>
      <c r="P654" t="s">
        <v>48</v>
      </c>
      <c r="Y654" t="s">
        <v>3575</v>
      </c>
    </row>
    <row r="655" spans="1:25">
      <c r="A655" t="s">
        <v>3576</v>
      </c>
      <c r="B655" t="s">
        <v>3577</v>
      </c>
      <c r="D655" t="s">
        <v>40</v>
      </c>
      <c r="E655" t="s">
        <v>41</v>
      </c>
      <c r="G655" t="s">
        <v>3578</v>
      </c>
      <c r="H655" t="s">
        <v>3579</v>
      </c>
      <c r="J655" t="s">
        <v>497</v>
      </c>
      <c r="K655" t="s">
        <v>498</v>
      </c>
      <c r="L655">
        <v>5</v>
      </c>
      <c r="M655" t="s">
        <v>3580</v>
      </c>
      <c r="N655" t="s">
        <v>135</v>
      </c>
      <c r="O655" t="s">
        <v>48</v>
      </c>
      <c r="P655" t="s">
        <v>48</v>
      </c>
      <c r="Y655" t="s">
        <v>3581</v>
      </c>
    </row>
    <row r="656" spans="1:25">
      <c r="A656" t="s">
        <v>3582</v>
      </c>
      <c r="B656" t="s">
        <v>3583</v>
      </c>
      <c r="D656" t="s">
        <v>40</v>
      </c>
      <c r="E656" t="s">
        <v>41</v>
      </c>
      <c r="G656" t="s">
        <v>3584</v>
      </c>
      <c r="H656" t="s">
        <v>3585</v>
      </c>
      <c r="J656" t="s">
        <v>44</v>
      </c>
      <c r="K656" t="s">
        <v>45</v>
      </c>
      <c r="L656">
        <v>5</v>
      </c>
      <c r="M656" t="s">
        <v>3586</v>
      </c>
      <c r="N656" t="s">
        <v>47</v>
      </c>
      <c r="O656" t="s">
        <v>48</v>
      </c>
      <c r="P656" t="s">
        <v>48</v>
      </c>
      <c r="Y656" t="s">
        <v>3587</v>
      </c>
    </row>
    <row r="657" spans="1:25">
      <c r="A657" t="s">
        <v>3588</v>
      </c>
      <c r="B657" t="s">
        <v>3589</v>
      </c>
      <c r="D657" t="s">
        <v>40</v>
      </c>
      <c r="E657" t="s">
        <v>41</v>
      </c>
      <c r="G657" t="s">
        <v>3590</v>
      </c>
      <c r="H657" t="s">
        <v>2523</v>
      </c>
      <c r="J657" t="s">
        <v>54</v>
      </c>
      <c r="K657" t="s">
        <v>55</v>
      </c>
      <c r="L657">
        <v>5</v>
      </c>
      <c r="M657" t="s">
        <v>3591</v>
      </c>
      <c r="N657" t="s">
        <v>47</v>
      </c>
      <c r="O657" t="s">
        <v>48</v>
      </c>
      <c r="P657" t="s">
        <v>48</v>
      </c>
      <c r="Y657" t="s">
        <v>3592</v>
      </c>
    </row>
    <row r="658" spans="1:25">
      <c r="A658" t="s">
        <v>3593</v>
      </c>
      <c r="B658" t="s">
        <v>3594</v>
      </c>
      <c r="D658" t="s">
        <v>40</v>
      </c>
      <c r="E658" t="s">
        <v>41</v>
      </c>
      <c r="G658" t="s">
        <v>3595</v>
      </c>
      <c r="H658" t="s">
        <v>3596</v>
      </c>
      <c r="J658" t="s">
        <v>90</v>
      </c>
      <c r="K658" t="s">
        <v>91</v>
      </c>
      <c r="L658">
        <v>5</v>
      </c>
      <c r="M658" t="s">
        <v>3591</v>
      </c>
      <c r="N658" t="s">
        <v>47</v>
      </c>
      <c r="O658" t="s">
        <v>48</v>
      </c>
      <c r="P658" t="s">
        <v>48</v>
      </c>
      <c r="Y658" t="s">
        <v>3597</v>
      </c>
    </row>
    <row r="659" spans="1:25">
      <c r="A659" t="s">
        <v>3598</v>
      </c>
      <c r="B659" t="s">
        <v>3599</v>
      </c>
      <c r="D659" t="s">
        <v>40</v>
      </c>
      <c r="E659" t="s">
        <v>41</v>
      </c>
      <c r="G659" t="s">
        <v>3600</v>
      </c>
      <c r="H659" t="s">
        <v>1637</v>
      </c>
      <c r="J659" t="s">
        <v>44</v>
      </c>
      <c r="K659" t="s">
        <v>45</v>
      </c>
      <c r="L659">
        <v>5</v>
      </c>
      <c r="M659" t="s">
        <v>3591</v>
      </c>
      <c r="N659" t="s">
        <v>47</v>
      </c>
      <c r="O659" t="s">
        <v>48</v>
      </c>
      <c r="P659" t="s">
        <v>48</v>
      </c>
      <c r="Y659" t="s">
        <v>3601</v>
      </c>
    </row>
    <row r="660" spans="1:25">
      <c r="A660" t="s">
        <v>3602</v>
      </c>
      <c r="B660" t="s">
        <v>3603</v>
      </c>
      <c r="D660" t="s">
        <v>40</v>
      </c>
      <c r="E660" t="s">
        <v>41</v>
      </c>
      <c r="G660" t="s">
        <v>3604</v>
      </c>
      <c r="H660" t="s">
        <v>3605</v>
      </c>
      <c r="J660" t="s">
        <v>78</v>
      </c>
      <c r="K660" t="s">
        <v>79</v>
      </c>
      <c r="L660">
        <v>5</v>
      </c>
      <c r="M660" t="s">
        <v>3606</v>
      </c>
      <c r="N660" t="s">
        <v>47</v>
      </c>
      <c r="O660" t="s">
        <v>48</v>
      </c>
      <c r="P660" t="s">
        <v>48</v>
      </c>
      <c r="Y660" t="s">
        <v>3607</v>
      </c>
    </row>
    <row r="661" spans="1:25">
      <c r="A661" t="s">
        <v>3608</v>
      </c>
      <c r="B661" t="s">
        <v>3609</v>
      </c>
      <c r="D661" t="s">
        <v>40</v>
      </c>
      <c r="E661" t="s">
        <v>41</v>
      </c>
      <c r="G661" t="s">
        <v>3610</v>
      </c>
      <c r="H661" t="s">
        <v>3611</v>
      </c>
      <c r="J661" t="s">
        <v>497</v>
      </c>
      <c r="K661" t="s">
        <v>498</v>
      </c>
      <c r="L661">
        <v>5</v>
      </c>
      <c r="M661" t="s">
        <v>3606</v>
      </c>
      <c r="N661" t="s">
        <v>290</v>
      </c>
      <c r="O661" t="s">
        <v>48</v>
      </c>
      <c r="P661" t="s">
        <v>48</v>
      </c>
      <c r="Y661" t="s">
        <v>3612</v>
      </c>
    </row>
    <row r="662" spans="1:25">
      <c r="A662" t="s">
        <v>3613</v>
      </c>
      <c r="B662" t="s">
        <v>3614</v>
      </c>
      <c r="D662" t="s">
        <v>40</v>
      </c>
      <c r="E662" t="s">
        <v>41</v>
      </c>
      <c r="G662" t="s">
        <v>3615</v>
      </c>
      <c r="H662" t="s">
        <v>3616</v>
      </c>
      <c r="J662" t="s">
        <v>90</v>
      </c>
      <c r="K662" t="s">
        <v>91</v>
      </c>
      <c r="L662">
        <v>5</v>
      </c>
      <c r="M662" t="s">
        <v>3617</v>
      </c>
      <c r="N662" t="s">
        <v>47</v>
      </c>
      <c r="O662" t="s">
        <v>48</v>
      </c>
      <c r="P662" t="s">
        <v>48</v>
      </c>
      <c r="Y662" t="s">
        <v>3618</v>
      </c>
    </row>
    <row r="663" spans="1:25">
      <c r="A663" t="s">
        <v>3619</v>
      </c>
      <c r="B663" t="s">
        <v>3620</v>
      </c>
      <c r="D663" t="s">
        <v>40</v>
      </c>
      <c r="E663" t="s">
        <v>41</v>
      </c>
      <c r="G663" t="s">
        <v>3621</v>
      </c>
      <c r="H663" t="s">
        <v>758</v>
      </c>
      <c r="J663" t="s">
        <v>54</v>
      </c>
      <c r="K663" t="s">
        <v>55</v>
      </c>
      <c r="L663">
        <v>5</v>
      </c>
      <c r="M663" t="s">
        <v>3622</v>
      </c>
      <c r="N663" t="s">
        <v>47</v>
      </c>
      <c r="O663" t="s">
        <v>48</v>
      </c>
      <c r="P663" t="s">
        <v>48</v>
      </c>
      <c r="Y663" t="s">
        <v>3623</v>
      </c>
    </row>
    <row r="664" spans="1:25">
      <c r="A664" t="s">
        <v>3624</v>
      </c>
      <c r="B664" t="s">
        <v>3625</v>
      </c>
      <c r="D664" t="s">
        <v>40</v>
      </c>
      <c r="E664" t="s">
        <v>41</v>
      </c>
      <c r="G664" t="s">
        <v>3626</v>
      </c>
      <c r="H664" t="s">
        <v>3627</v>
      </c>
      <c r="J664" t="s">
        <v>90</v>
      </c>
      <c r="K664" t="s">
        <v>91</v>
      </c>
      <c r="L664">
        <v>5</v>
      </c>
      <c r="M664" t="s">
        <v>3622</v>
      </c>
      <c r="N664" t="s">
        <v>47</v>
      </c>
      <c r="O664" t="s">
        <v>48</v>
      </c>
      <c r="P664" t="s">
        <v>48</v>
      </c>
      <c r="Y664" t="s">
        <v>3628</v>
      </c>
    </row>
    <row r="665" spans="1:25">
      <c r="A665" t="s">
        <v>3629</v>
      </c>
      <c r="B665" t="s">
        <v>3630</v>
      </c>
      <c r="D665" t="s">
        <v>40</v>
      </c>
      <c r="E665" t="s">
        <v>41</v>
      </c>
      <c r="G665" t="s">
        <v>3631</v>
      </c>
      <c r="H665" t="s">
        <v>3632</v>
      </c>
      <c r="J665" t="s">
        <v>90</v>
      </c>
      <c r="K665" t="s">
        <v>91</v>
      </c>
      <c r="L665">
        <v>5</v>
      </c>
      <c r="M665" t="s">
        <v>3633</v>
      </c>
      <c r="N665" t="s">
        <v>47</v>
      </c>
      <c r="O665" t="s">
        <v>48</v>
      </c>
      <c r="P665" t="s">
        <v>48</v>
      </c>
      <c r="Y665" t="s">
        <v>3634</v>
      </c>
    </row>
    <row r="666" spans="1:25">
      <c r="A666" t="s">
        <v>3635</v>
      </c>
      <c r="B666" t="s">
        <v>3636</v>
      </c>
      <c r="D666" t="s">
        <v>40</v>
      </c>
      <c r="E666" t="s">
        <v>41</v>
      </c>
      <c r="G666" t="s">
        <v>3637</v>
      </c>
      <c r="H666" t="s">
        <v>3638</v>
      </c>
      <c r="J666" t="s">
        <v>44</v>
      </c>
      <c r="K666" t="s">
        <v>45</v>
      </c>
      <c r="L666">
        <v>5</v>
      </c>
      <c r="M666" t="s">
        <v>3639</v>
      </c>
      <c r="N666" t="s">
        <v>47</v>
      </c>
      <c r="O666" t="s">
        <v>48</v>
      </c>
      <c r="P666" t="s">
        <v>48</v>
      </c>
      <c r="Y666" t="s">
        <v>3640</v>
      </c>
    </row>
    <row r="667" spans="1:25">
      <c r="A667" t="s">
        <v>3641</v>
      </c>
      <c r="B667" t="s">
        <v>3642</v>
      </c>
      <c r="D667" t="s">
        <v>40</v>
      </c>
      <c r="E667" t="s">
        <v>41</v>
      </c>
      <c r="G667" t="s">
        <v>3643</v>
      </c>
      <c r="H667" t="s">
        <v>3644</v>
      </c>
      <c r="J667" t="s">
        <v>133</v>
      </c>
      <c r="K667" t="s">
        <v>134</v>
      </c>
      <c r="L667">
        <v>5</v>
      </c>
      <c r="M667" t="s">
        <v>3645</v>
      </c>
      <c r="N667" t="s">
        <v>135</v>
      </c>
      <c r="O667" t="s">
        <v>48</v>
      </c>
      <c r="P667" t="s">
        <v>48</v>
      </c>
      <c r="Y667" t="s">
        <v>3646</v>
      </c>
    </row>
    <row r="668" spans="1:25">
      <c r="A668" t="s">
        <v>3647</v>
      </c>
      <c r="B668" t="s">
        <v>3648</v>
      </c>
      <c r="D668" t="s">
        <v>40</v>
      </c>
      <c r="E668" t="s">
        <v>41</v>
      </c>
      <c r="G668" t="s">
        <v>3649</v>
      </c>
      <c r="H668" t="s">
        <v>3650</v>
      </c>
      <c r="J668" t="s">
        <v>90</v>
      </c>
      <c r="K668" t="s">
        <v>91</v>
      </c>
      <c r="L668">
        <v>5</v>
      </c>
      <c r="M668" t="s">
        <v>3651</v>
      </c>
      <c r="N668" t="s">
        <v>47</v>
      </c>
      <c r="O668" t="s">
        <v>48</v>
      </c>
      <c r="P668" t="s">
        <v>48</v>
      </c>
      <c r="Y668" t="s">
        <v>3652</v>
      </c>
    </row>
    <row r="669" spans="1:25">
      <c r="A669" t="s">
        <v>3653</v>
      </c>
      <c r="B669" t="s">
        <v>3654</v>
      </c>
      <c r="D669" t="s">
        <v>40</v>
      </c>
      <c r="E669" t="s">
        <v>41</v>
      </c>
      <c r="G669" t="s">
        <v>3655</v>
      </c>
      <c r="H669" t="s">
        <v>3656</v>
      </c>
      <c r="J669" t="s">
        <v>90</v>
      </c>
      <c r="K669" t="s">
        <v>91</v>
      </c>
      <c r="L669">
        <v>5</v>
      </c>
      <c r="M669" t="s">
        <v>3657</v>
      </c>
      <c r="N669" t="s">
        <v>47</v>
      </c>
      <c r="O669" t="s">
        <v>48</v>
      </c>
      <c r="P669" t="s">
        <v>48</v>
      </c>
      <c r="Y669" t="s">
        <v>3658</v>
      </c>
    </row>
    <row r="670" spans="1:25">
      <c r="A670" t="s">
        <v>3659</v>
      </c>
      <c r="B670" t="s">
        <v>3660</v>
      </c>
      <c r="D670" t="s">
        <v>40</v>
      </c>
      <c r="E670" t="s">
        <v>41</v>
      </c>
      <c r="G670" t="s">
        <v>3661</v>
      </c>
      <c r="H670" t="s">
        <v>306</v>
      </c>
      <c r="J670" t="s">
        <v>44</v>
      </c>
      <c r="K670" t="s">
        <v>45</v>
      </c>
      <c r="L670">
        <v>5</v>
      </c>
      <c r="M670" t="s">
        <v>3657</v>
      </c>
      <c r="N670" t="s">
        <v>47</v>
      </c>
      <c r="O670" t="s">
        <v>48</v>
      </c>
      <c r="P670" t="s">
        <v>48</v>
      </c>
      <c r="Y670" t="s">
        <v>3662</v>
      </c>
    </row>
    <row r="671" spans="1:25">
      <c r="A671" t="s">
        <v>3663</v>
      </c>
      <c r="B671" t="s">
        <v>3664</v>
      </c>
      <c r="D671" t="s">
        <v>40</v>
      </c>
      <c r="E671" t="s">
        <v>41</v>
      </c>
      <c r="G671" t="s">
        <v>3665</v>
      </c>
      <c r="H671" t="s">
        <v>3666</v>
      </c>
      <c r="J671" t="s">
        <v>90</v>
      </c>
      <c r="K671" t="s">
        <v>91</v>
      </c>
      <c r="L671">
        <v>5</v>
      </c>
      <c r="M671" t="s">
        <v>3657</v>
      </c>
      <c r="N671" t="s">
        <v>47</v>
      </c>
      <c r="O671" t="s">
        <v>48</v>
      </c>
      <c r="P671" t="s">
        <v>48</v>
      </c>
      <c r="Y671" t="s">
        <v>3667</v>
      </c>
    </row>
    <row r="672" spans="1:25">
      <c r="A672" t="s">
        <v>3668</v>
      </c>
      <c r="B672" t="s">
        <v>3669</v>
      </c>
      <c r="D672" t="s">
        <v>40</v>
      </c>
      <c r="E672" t="s">
        <v>41</v>
      </c>
      <c r="G672" t="s">
        <v>3670</v>
      </c>
      <c r="H672" t="s">
        <v>89</v>
      </c>
      <c r="J672" t="s">
        <v>90</v>
      </c>
      <c r="K672" t="s">
        <v>91</v>
      </c>
      <c r="L672">
        <v>5</v>
      </c>
      <c r="M672" t="s">
        <v>3671</v>
      </c>
      <c r="N672" t="s">
        <v>47</v>
      </c>
      <c r="O672" t="s">
        <v>48</v>
      </c>
      <c r="P672" t="s">
        <v>48</v>
      </c>
      <c r="Y672" t="s">
        <v>3672</v>
      </c>
    </row>
    <row r="673" spans="1:25">
      <c r="A673" t="s">
        <v>3673</v>
      </c>
      <c r="B673" t="s">
        <v>3674</v>
      </c>
      <c r="D673" t="s">
        <v>40</v>
      </c>
      <c r="E673" t="s">
        <v>41</v>
      </c>
      <c r="G673" t="s">
        <v>1318</v>
      </c>
      <c r="H673" t="s">
        <v>3675</v>
      </c>
      <c r="J673" t="s">
        <v>44</v>
      </c>
      <c r="K673" t="s">
        <v>45</v>
      </c>
      <c r="L673">
        <v>5</v>
      </c>
      <c r="M673" t="s">
        <v>3671</v>
      </c>
      <c r="N673" t="s">
        <v>47</v>
      </c>
      <c r="O673" t="s">
        <v>48</v>
      </c>
      <c r="P673" t="s">
        <v>48</v>
      </c>
      <c r="Y673" t="s">
        <v>3676</v>
      </c>
    </row>
    <row r="674" spans="1:25">
      <c r="A674" t="s">
        <v>3677</v>
      </c>
      <c r="B674" t="s">
        <v>3678</v>
      </c>
      <c r="D674" t="s">
        <v>40</v>
      </c>
      <c r="E674" t="s">
        <v>41</v>
      </c>
      <c r="G674" t="s">
        <v>3679</v>
      </c>
      <c r="H674" t="s">
        <v>3680</v>
      </c>
      <c r="J674" t="s">
        <v>2328</v>
      </c>
      <c r="K674" t="s">
        <v>2329</v>
      </c>
      <c r="L674">
        <v>5</v>
      </c>
      <c r="M674" t="s">
        <v>3681</v>
      </c>
      <c r="N674" t="s">
        <v>685</v>
      </c>
      <c r="O674" t="s">
        <v>48</v>
      </c>
      <c r="P674" t="s">
        <v>48</v>
      </c>
      <c r="Y674" t="s">
        <v>3682</v>
      </c>
    </row>
    <row r="675" spans="1:25">
      <c r="A675" t="s">
        <v>3683</v>
      </c>
      <c r="B675" t="s">
        <v>3684</v>
      </c>
      <c r="D675" t="s">
        <v>40</v>
      </c>
      <c r="E675" t="s">
        <v>41</v>
      </c>
      <c r="G675" t="s">
        <v>3685</v>
      </c>
      <c r="H675" t="s">
        <v>3686</v>
      </c>
      <c r="J675" t="s">
        <v>133</v>
      </c>
      <c r="K675" t="s">
        <v>134</v>
      </c>
      <c r="L675">
        <v>5</v>
      </c>
      <c r="M675" t="s">
        <v>3681</v>
      </c>
      <c r="N675" t="s">
        <v>290</v>
      </c>
      <c r="O675" t="s">
        <v>48</v>
      </c>
      <c r="P675" t="s">
        <v>48</v>
      </c>
      <c r="Y675" t="s">
        <v>3687</v>
      </c>
    </row>
    <row r="676" spans="1:25">
      <c r="A676" t="s">
        <v>3688</v>
      </c>
      <c r="B676" t="s">
        <v>3689</v>
      </c>
      <c r="D676" t="s">
        <v>40</v>
      </c>
      <c r="E676" t="s">
        <v>41</v>
      </c>
      <c r="G676" t="s">
        <v>3690</v>
      </c>
      <c r="H676" t="s">
        <v>3691</v>
      </c>
      <c r="J676" t="s">
        <v>90</v>
      </c>
      <c r="K676" t="s">
        <v>91</v>
      </c>
      <c r="L676">
        <v>5</v>
      </c>
      <c r="M676" t="s">
        <v>3692</v>
      </c>
      <c r="N676" t="s">
        <v>47</v>
      </c>
      <c r="O676" t="s">
        <v>48</v>
      </c>
      <c r="P676" t="s">
        <v>48</v>
      </c>
      <c r="Y676" t="s">
        <v>3693</v>
      </c>
    </row>
    <row r="677" spans="1:25">
      <c r="A677" t="s">
        <v>3694</v>
      </c>
      <c r="B677" t="s">
        <v>3695</v>
      </c>
      <c r="D677" t="s">
        <v>1832</v>
      </c>
      <c r="E677" t="s">
        <v>41</v>
      </c>
      <c r="H677" t="s">
        <v>3696</v>
      </c>
      <c r="J677" t="s">
        <v>353</v>
      </c>
      <c r="K677" t="s">
        <v>354</v>
      </c>
      <c r="L677">
        <v>6</v>
      </c>
      <c r="M677" t="s">
        <v>3697</v>
      </c>
      <c r="N677" t="s">
        <v>685</v>
      </c>
      <c r="O677" t="s">
        <v>1835</v>
      </c>
      <c r="P677" t="s">
        <v>1835</v>
      </c>
      <c r="Y677" t="s">
        <v>3696</v>
      </c>
    </row>
    <row r="678" spans="1:25">
      <c r="A678" t="s">
        <v>3698</v>
      </c>
      <c r="B678" t="s">
        <v>3699</v>
      </c>
      <c r="D678" t="s">
        <v>40</v>
      </c>
      <c r="E678" t="s">
        <v>41</v>
      </c>
      <c r="G678" t="s">
        <v>3700</v>
      </c>
      <c r="H678" t="s">
        <v>3701</v>
      </c>
      <c r="J678" t="s">
        <v>353</v>
      </c>
      <c r="K678" t="s">
        <v>354</v>
      </c>
      <c r="L678">
        <v>5</v>
      </c>
      <c r="M678" t="s">
        <v>3702</v>
      </c>
      <c r="N678" t="s">
        <v>135</v>
      </c>
      <c r="O678" t="s">
        <v>48</v>
      </c>
      <c r="P678" t="s">
        <v>48</v>
      </c>
      <c r="Y678" t="s">
        <v>3703</v>
      </c>
    </row>
    <row r="679" spans="1:25">
      <c r="A679" t="s">
        <v>3704</v>
      </c>
      <c r="B679" t="s">
        <v>3705</v>
      </c>
      <c r="D679" t="s">
        <v>40</v>
      </c>
      <c r="E679" t="s">
        <v>41</v>
      </c>
      <c r="G679" t="s">
        <v>3706</v>
      </c>
      <c r="H679" t="s">
        <v>3707</v>
      </c>
      <c r="J679" t="s">
        <v>90</v>
      </c>
      <c r="K679" t="s">
        <v>91</v>
      </c>
      <c r="L679">
        <v>5</v>
      </c>
      <c r="M679" t="s">
        <v>3702</v>
      </c>
      <c r="N679" t="s">
        <v>47</v>
      </c>
      <c r="O679" t="s">
        <v>48</v>
      </c>
      <c r="P679" t="s">
        <v>48</v>
      </c>
      <c r="Y679" t="s">
        <v>3708</v>
      </c>
    </row>
    <row r="680" spans="1:25">
      <c r="A680" t="s">
        <v>3709</v>
      </c>
      <c r="B680" t="s">
        <v>3710</v>
      </c>
      <c r="D680" t="s">
        <v>40</v>
      </c>
      <c r="E680" t="s">
        <v>41</v>
      </c>
      <c r="G680" t="s">
        <v>3711</v>
      </c>
      <c r="H680" t="s">
        <v>3132</v>
      </c>
      <c r="J680" t="s">
        <v>90</v>
      </c>
      <c r="K680" t="s">
        <v>91</v>
      </c>
      <c r="L680">
        <v>5</v>
      </c>
      <c r="M680" t="s">
        <v>3702</v>
      </c>
      <c r="N680" t="s">
        <v>47</v>
      </c>
      <c r="O680" t="s">
        <v>48</v>
      </c>
      <c r="P680" t="s">
        <v>48</v>
      </c>
      <c r="Y680" t="s">
        <v>3712</v>
      </c>
    </row>
    <row r="681" spans="1:25">
      <c r="A681" t="s">
        <v>3713</v>
      </c>
      <c r="B681" t="s">
        <v>3714</v>
      </c>
      <c r="D681" t="s">
        <v>40</v>
      </c>
      <c r="E681" t="s">
        <v>41</v>
      </c>
      <c r="G681" t="s">
        <v>3715</v>
      </c>
      <c r="H681" t="s">
        <v>3716</v>
      </c>
      <c r="J681" t="s">
        <v>78</v>
      </c>
      <c r="K681" t="s">
        <v>79</v>
      </c>
      <c r="L681">
        <v>5</v>
      </c>
      <c r="M681" t="s">
        <v>3702</v>
      </c>
      <c r="N681" t="s">
        <v>47</v>
      </c>
      <c r="O681" t="s">
        <v>48</v>
      </c>
      <c r="P681" t="s">
        <v>48</v>
      </c>
      <c r="Y681" t="s">
        <v>3717</v>
      </c>
    </row>
    <row r="682" spans="1:25">
      <c r="A682" t="s">
        <v>3718</v>
      </c>
      <c r="B682" t="s">
        <v>3719</v>
      </c>
      <c r="D682" t="s">
        <v>40</v>
      </c>
      <c r="E682" t="s">
        <v>41</v>
      </c>
      <c r="G682" t="s">
        <v>3720</v>
      </c>
      <c r="H682" t="s">
        <v>3721</v>
      </c>
      <c r="J682" t="s">
        <v>44</v>
      </c>
      <c r="K682" t="s">
        <v>45</v>
      </c>
      <c r="L682">
        <v>5</v>
      </c>
      <c r="M682" t="s">
        <v>3722</v>
      </c>
      <c r="N682" t="s">
        <v>47</v>
      </c>
      <c r="O682" t="s">
        <v>48</v>
      </c>
      <c r="P682" t="s">
        <v>48</v>
      </c>
      <c r="Y682" t="s">
        <v>3723</v>
      </c>
    </row>
    <row r="683" spans="1:25">
      <c r="A683" t="s">
        <v>3724</v>
      </c>
      <c r="B683" t="s">
        <v>3725</v>
      </c>
      <c r="D683" t="s">
        <v>40</v>
      </c>
      <c r="E683" t="s">
        <v>41</v>
      </c>
      <c r="J683" t="s">
        <v>133</v>
      </c>
      <c r="K683" t="s">
        <v>134</v>
      </c>
      <c r="L683">
        <v>5</v>
      </c>
      <c r="M683" t="s">
        <v>3726</v>
      </c>
      <c r="N683" t="s">
        <v>685</v>
      </c>
      <c r="O683" t="s">
        <v>48</v>
      </c>
      <c r="P683" t="s">
        <v>48</v>
      </c>
      <c r="Y683" t="s">
        <v>3727</v>
      </c>
    </row>
    <row r="684" spans="1:25">
      <c r="A684" t="s">
        <v>3728</v>
      </c>
      <c r="B684" t="s">
        <v>3729</v>
      </c>
      <c r="D684" t="s">
        <v>40</v>
      </c>
      <c r="E684" t="s">
        <v>41</v>
      </c>
      <c r="G684" t="s">
        <v>3730</v>
      </c>
      <c r="H684" t="s">
        <v>3731</v>
      </c>
      <c r="J684" t="s">
        <v>44</v>
      </c>
      <c r="K684" t="s">
        <v>45</v>
      </c>
      <c r="L684">
        <v>5</v>
      </c>
      <c r="M684" t="s">
        <v>3732</v>
      </c>
      <c r="N684" t="s">
        <v>47</v>
      </c>
      <c r="O684" t="s">
        <v>48</v>
      </c>
      <c r="P684" t="s">
        <v>48</v>
      </c>
      <c r="Y684" t="s">
        <v>3733</v>
      </c>
    </row>
    <row r="685" spans="1:25">
      <c r="A685" t="s">
        <v>3734</v>
      </c>
      <c r="B685" t="s">
        <v>3735</v>
      </c>
      <c r="D685" t="s">
        <v>40</v>
      </c>
      <c r="E685" t="s">
        <v>41</v>
      </c>
      <c r="G685" t="s">
        <v>3736</v>
      </c>
      <c r="H685" t="s">
        <v>424</v>
      </c>
      <c r="J685" t="s">
        <v>44</v>
      </c>
      <c r="K685" t="s">
        <v>45</v>
      </c>
      <c r="L685">
        <v>5</v>
      </c>
      <c r="M685" t="s">
        <v>3737</v>
      </c>
      <c r="N685" t="s">
        <v>47</v>
      </c>
      <c r="O685" t="s">
        <v>48</v>
      </c>
      <c r="P685" t="s">
        <v>48</v>
      </c>
      <c r="Y685" t="s">
        <v>3738</v>
      </c>
    </row>
    <row r="686" spans="1:25">
      <c r="A686" t="s">
        <v>3739</v>
      </c>
      <c r="B686" t="s">
        <v>3740</v>
      </c>
      <c r="D686" t="s">
        <v>40</v>
      </c>
      <c r="E686" t="s">
        <v>41</v>
      </c>
      <c r="G686" t="s">
        <v>3741</v>
      </c>
      <c r="H686" t="s">
        <v>3742</v>
      </c>
      <c r="J686" t="s">
        <v>78</v>
      </c>
      <c r="K686" t="s">
        <v>79</v>
      </c>
      <c r="L686">
        <v>5</v>
      </c>
      <c r="M686" t="s">
        <v>3737</v>
      </c>
      <c r="N686" t="s">
        <v>47</v>
      </c>
      <c r="O686" t="s">
        <v>48</v>
      </c>
      <c r="P686" t="s">
        <v>48</v>
      </c>
      <c r="Y686" t="s">
        <v>3743</v>
      </c>
    </row>
    <row r="687" spans="1:25">
      <c r="A687" t="s">
        <v>3744</v>
      </c>
      <c r="B687" t="s">
        <v>3745</v>
      </c>
      <c r="D687" t="s">
        <v>40</v>
      </c>
      <c r="E687" t="s">
        <v>41</v>
      </c>
      <c r="G687" t="s">
        <v>2020</v>
      </c>
      <c r="H687" t="s">
        <v>1691</v>
      </c>
      <c r="J687" t="s">
        <v>90</v>
      </c>
      <c r="K687" t="s">
        <v>91</v>
      </c>
      <c r="L687">
        <v>5</v>
      </c>
      <c r="M687" t="s">
        <v>3737</v>
      </c>
      <c r="N687" t="s">
        <v>47</v>
      </c>
      <c r="O687" t="s">
        <v>48</v>
      </c>
      <c r="P687" t="s">
        <v>48</v>
      </c>
      <c r="Y687" t="s">
        <v>3746</v>
      </c>
    </row>
    <row r="688" spans="1:25">
      <c r="A688" t="s">
        <v>3747</v>
      </c>
      <c r="B688" t="s">
        <v>3748</v>
      </c>
      <c r="D688" t="s">
        <v>40</v>
      </c>
      <c r="E688" t="s">
        <v>41</v>
      </c>
      <c r="G688" t="s">
        <v>3749</v>
      </c>
      <c r="H688" t="s">
        <v>3750</v>
      </c>
      <c r="J688" t="s">
        <v>90</v>
      </c>
      <c r="K688" t="s">
        <v>91</v>
      </c>
      <c r="L688">
        <v>5</v>
      </c>
      <c r="M688" t="s">
        <v>3751</v>
      </c>
      <c r="N688" t="s">
        <v>47</v>
      </c>
      <c r="O688" t="s">
        <v>48</v>
      </c>
      <c r="P688" t="s">
        <v>48</v>
      </c>
      <c r="Y688" t="s">
        <v>3752</v>
      </c>
    </row>
    <row r="689" spans="1:25">
      <c r="A689" t="s">
        <v>3753</v>
      </c>
      <c r="B689" t="s">
        <v>3754</v>
      </c>
      <c r="D689" t="s">
        <v>40</v>
      </c>
      <c r="E689" t="s">
        <v>41</v>
      </c>
      <c r="G689" t="s">
        <v>3755</v>
      </c>
      <c r="H689" t="s">
        <v>3756</v>
      </c>
      <c r="J689" t="s">
        <v>44</v>
      </c>
      <c r="K689" t="s">
        <v>45</v>
      </c>
      <c r="L689">
        <v>5</v>
      </c>
      <c r="M689" t="s">
        <v>3751</v>
      </c>
      <c r="N689" t="s">
        <v>47</v>
      </c>
      <c r="O689" t="s">
        <v>48</v>
      </c>
      <c r="P689" t="s">
        <v>48</v>
      </c>
      <c r="Y689" t="s">
        <v>3757</v>
      </c>
    </row>
    <row r="690" spans="1:25">
      <c r="A690" t="s">
        <v>3758</v>
      </c>
      <c r="B690" t="s">
        <v>3759</v>
      </c>
      <c r="D690" t="s">
        <v>40</v>
      </c>
      <c r="E690" t="s">
        <v>41</v>
      </c>
      <c r="G690" t="s">
        <v>3760</v>
      </c>
      <c r="H690" t="s">
        <v>3761</v>
      </c>
      <c r="J690" t="s">
        <v>133</v>
      </c>
      <c r="K690" t="s">
        <v>134</v>
      </c>
      <c r="L690">
        <v>5</v>
      </c>
      <c r="M690" t="s">
        <v>3762</v>
      </c>
      <c r="N690" t="s">
        <v>135</v>
      </c>
      <c r="O690" t="s">
        <v>48</v>
      </c>
      <c r="P690" t="s">
        <v>48</v>
      </c>
      <c r="Y690" t="s">
        <v>3763</v>
      </c>
    </row>
    <row r="691" spans="1:25">
      <c r="A691" t="s">
        <v>3764</v>
      </c>
      <c r="B691" t="s">
        <v>3765</v>
      </c>
      <c r="D691" t="s">
        <v>40</v>
      </c>
      <c r="E691" t="s">
        <v>41</v>
      </c>
      <c r="G691" t="s">
        <v>3766</v>
      </c>
      <c r="H691" t="s">
        <v>3767</v>
      </c>
      <c r="J691" t="s">
        <v>765</v>
      </c>
      <c r="K691" t="s">
        <v>766</v>
      </c>
      <c r="L691">
        <v>5</v>
      </c>
      <c r="M691" t="s">
        <v>3768</v>
      </c>
      <c r="N691" t="s">
        <v>290</v>
      </c>
      <c r="O691" t="s">
        <v>48</v>
      </c>
      <c r="P691" t="s">
        <v>48</v>
      </c>
      <c r="Y691" t="s">
        <v>3769</v>
      </c>
    </row>
    <row r="692" spans="1:25">
      <c r="A692" t="s">
        <v>3770</v>
      </c>
      <c r="B692" t="s">
        <v>3771</v>
      </c>
      <c r="D692" t="s">
        <v>40</v>
      </c>
      <c r="E692" t="s">
        <v>41</v>
      </c>
      <c r="G692" t="s">
        <v>3772</v>
      </c>
      <c r="H692" t="s">
        <v>3773</v>
      </c>
      <c r="J692" t="s">
        <v>44</v>
      </c>
      <c r="K692" t="s">
        <v>45</v>
      </c>
      <c r="L692">
        <v>5</v>
      </c>
      <c r="M692" t="s">
        <v>3768</v>
      </c>
      <c r="N692" t="s">
        <v>47</v>
      </c>
      <c r="O692" t="s">
        <v>48</v>
      </c>
      <c r="P692" t="s">
        <v>48</v>
      </c>
      <c r="Y692" t="s">
        <v>3774</v>
      </c>
    </row>
    <row r="693" spans="1:25">
      <c r="A693" t="s">
        <v>3775</v>
      </c>
      <c r="B693" t="s">
        <v>3776</v>
      </c>
      <c r="D693" t="s">
        <v>40</v>
      </c>
      <c r="E693" t="s">
        <v>41</v>
      </c>
      <c r="G693" t="s">
        <v>3777</v>
      </c>
      <c r="H693" t="s">
        <v>1341</v>
      </c>
      <c r="J693" t="s">
        <v>78</v>
      </c>
      <c r="K693" t="s">
        <v>79</v>
      </c>
      <c r="L693">
        <v>5</v>
      </c>
      <c r="M693" t="s">
        <v>3768</v>
      </c>
      <c r="N693" t="s">
        <v>47</v>
      </c>
      <c r="O693" t="s">
        <v>48</v>
      </c>
      <c r="P693" t="s">
        <v>48</v>
      </c>
      <c r="Y693" t="s">
        <v>3778</v>
      </c>
    </row>
    <row r="694" spans="1:25">
      <c r="A694" t="s">
        <v>3779</v>
      </c>
      <c r="B694" t="s">
        <v>3780</v>
      </c>
      <c r="D694" t="s">
        <v>40</v>
      </c>
      <c r="E694" t="s">
        <v>41</v>
      </c>
      <c r="G694" t="s">
        <v>503</v>
      </c>
      <c r="H694" t="s">
        <v>3781</v>
      </c>
      <c r="J694" t="s">
        <v>90</v>
      </c>
      <c r="K694" t="s">
        <v>91</v>
      </c>
      <c r="L694">
        <v>5</v>
      </c>
      <c r="M694" t="s">
        <v>3782</v>
      </c>
      <c r="N694" t="s">
        <v>47</v>
      </c>
      <c r="O694" t="s">
        <v>48</v>
      </c>
      <c r="P694" t="s">
        <v>48</v>
      </c>
      <c r="Y694" t="s">
        <v>3783</v>
      </c>
    </row>
    <row r="695" spans="1:25">
      <c r="A695" t="s">
        <v>3784</v>
      </c>
      <c r="B695" t="s">
        <v>3785</v>
      </c>
      <c r="D695" t="s">
        <v>40</v>
      </c>
      <c r="E695" t="s">
        <v>41</v>
      </c>
      <c r="G695" t="s">
        <v>3755</v>
      </c>
      <c r="H695" t="s">
        <v>3786</v>
      </c>
      <c r="J695" t="s">
        <v>90</v>
      </c>
      <c r="K695" t="s">
        <v>91</v>
      </c>
      <c r="L695">
        <v>5</v>
      </c>
      <c r="M695" t="s">
        <v>3787</v>
      </c>
      <c r="N695" t="s">
        <v>47</v>
      </c>
      <c r="O695" t="s">
        <v>48</v>
      </c>
      <c r="P695" t="s">
        <v>48</v>
      </c>
      <c r="Y695" t="s">
        <v>3788</v>
      </c>
    </row>
    <row r="696" spans="1:25">
      <c r="A696" t="s">
        <v>3789</v>
      </c>
      <c r="B696" t="s">
        <v>3790</v>
      </c>
      <c r="D696" t="s">
        <v>40</v>
      </c>
      <c r="E696" t="s">
        <v>41</v>
      </c>
      <c r="G696" t="s">
        <v>3791</v>
      </c>
      <c r="H696" t="s">
        <v>3792</v>
      </c>
      <c r="J696" t="s">
        <v>133</v>
      </c>
      <c r="K696" t="s">
        <v>134</v>
      </c>
      <c r="L696">
        <v>5</v>
      </c>
      <c r="M696" t="s">
        <v>3787</v>
      </c>
      <c r="N696" t="s">
        <v>290</v>
      </c>
      <c r="O696" t="s">
        <v>48</v>
      </c>
      <c r="P696" t="s">
        <v>48</v>
      </c>
      <c r="Y696" t="s">
        <v>3793</v>
      </c>
    </row>
    <row r="697" spans="1:25">
      <c r="A697" t="s">
        <v>3794</v>
      </c>
      <c r="B697" t="s">
        <v>3795</v>
      </c>
      <c r="D697" t="s">
        <v>40</v>
      </c>
      <c r="E697" t="s">
        <v>41</v>
      </c>
      <c r="G697" t="s">
        <v>3796</v>
      </c>
      <c r="H697" t="s">
        <v>3797</v>
      </c>
      <c r="J697" t="s">
        <v>90</v>
      </c>
      <c r="K697" t="s">
        <v>91</v>
      </c>
      <c r="L697">
        <v>5</v>
      </c>
      <c r="M697" t="s">
        <v>3787</v>
      </c>
      <c r="N697" t="s">
        <v>47</v>
      </c>
      <c r="O697" t="s">
        <v>48</v>
      </c>
      <c r="P697" t="s">
        <v>48</v>
      </c>
      <c r="Y697" t="s">
        <v>3798</v>
      </c>
    </row>
    <row r="698" spans="1:25">
      <c r="A698" t="s">
        <v>3799</v>
      </c>
      <c r="B698" t="s">
        <v>3800</v>
      </c>
      <c r="D698" t="s">
        <v>40</v>
      </c>
      <c r="E698" t="s">
        <v>41</v>
      </c>
      <c r="G698" t="s">
        <v>3801</v>
      </c>
      <c r="H698" t="s">
        <v>3802</v>
      </c>
      <c r="J698" t="s">
        <v>54</v>
      </c>
      <c r="K698" t="s">
        <v>55</v>
      </c>
      <c r="L698">
        <v>5</v>
      </c>
      <c r="M698" t="s">
        <v>3787</v>
      </c>
      <c r="N698" t="s">
        <v>47</v>
      </c>
      <c r="O698" t="s">
        <v>48</v>
      </c>
      <c r="P698" t="s">
        <v>48</v>
      </c>
      <c r="Y698" t="s">
        <v>3803</v>
      </c>
    </row>
    <row r="699" spans="1:25">
      <c r="A699" t="s">
        <v>3804</v>
      </c>
      <c r="B699" t="s">
        <v>3805</v>
      </c>
      <c r="D699" t="s">
        <v>40</v>
      </c>
      <c r="E699" t="s">
        <v>41</v>
      </c>
      <c r="G699" t="s">
        <v>3806</v>
      </c>
      <c r="H699" t="s">
        <v>3807</v>
      </c>
      <c r="J699" t="s">
        <v>44</v>
      </c>
      <c r="K699" t="s">
        <v>45</v>
      </c>
      <c r="L699">
        <v>5</v>
      </c>
      <c r="M699" t="s">
        <v>3808</v>
      </c>
      <c r="N699" t="s">
        <v>47</v>
      </c>
      <c r="O699" t="s">
        <v>48</v>
      </c>
      <c r="P699" t="s">
        <v>48</v>
      </c>
      <c r="Y699" t="s">
        <v>3809</v>
      </c>
    </row>
    <row r="700" spans="1:25">
      <c r="A700" t="s">
        <v>3810</v>
      </c>
      <c r="B700" t="s">
        <v>3811</v>
      </c>
      <c r="D700" t="s">
        <v>40</v>
      </c>
      <c r="E700" t="s">
        <v>41</v>
      </c>
      <c r="G700" t="s">
        <v>3812</v>
      </c>
      <c r="H700" t="s">
        <v>3813</v>
      </c>
      <c r="J700" t="s">
        <v>44</v>
      </c>
      <c r="K700" t="s">
        <v>45</v>
      </c>
      <c r="L700">
        <v>5</v>
      </c>
      <c r="M700" t="s">
        <v>3814</v>
      </c>
      <c r="N700" t="s">
        <v>47</v>
      </c>
      <c r="O700" t="s">
        <v>48</v>
      </c>
      <c r="P700" t="s">
        <v>48</v>
      </c>
      <c r="Y700" t="s">
        <v>3815</v>
      </c>
    </row>
    <row r="701" spans="1:25">
      <c r="A701" t="s">
        <v>3816</v>
      </c>
      <c r="B701" t="s">
        <v>3817</v>
      </c>
      <c r="D701" t="s">
        <v>40</v>
      </c>
      <c r="E701" t="s">
        <v>41</v>
      </c>
      <c r="G701" t="s">
        <v>3818</v>
      </c>
      <c r="H701" t="s">
        <v>3819</v>
      </c>
      <c r="J701" t="s">
        <v>44</v>
      </c>
      <c r="K701" t="s">
        <v>45</v>
      </c>
      <c r="L701">
        <v>5</v>
      </c>
      <c r="M701" t="s">
        <v>3814</v>
      </c>
      <c r="N701" t="s">
        <v>47</v>
      </c>
      <c r="O701" t="s">
        <v>48</v>
      </c>
      <c r="P701" t="s">
        <v>48</v>
      </c>
      <c r="Y701" t="s">
        <v>3820</v>
      </c>
    </row>
    <row r="702" spans="1:25">
      <c r="A702" t="s">
        <v>3821</v>
      </c>
      <c r="B702" t="s">
        <v>3822</v>
      </c>
      <c r="D702" t="s">
        <v>40</v>
      </c>
      <c r="E702" t="s">
        <v>41</v>
      </c>
      <c r="G702" t="s">
        <v>3823</v>
      </c>
      <c r="H702" t="s">
        <v>3824</v>
      </c>
      <c r="J702" t="s">
        <v>44</v>
      </c>
      <c r="K702" t="s">
        <v>45</v>
      </c>
      <c r="L702">
        <v>5</v>
      </c>
      <c r="M702" t="s">
        <v>3814</v>
      </c>
      <c r="N702" t="s">
        <v>47</v>
      </c>
      <c r="O702" t="s">
        <v>48</v>
      </c>
      <c r="P702" t="s">
        <v>48</v>
      </c>
      <c r="Y702" t="s">
        <v>3825</v>
      </c>
    </row>
    <row r="703" spans="1:25">
      <c r="A703" t="s">
        <v>3826</v>
      </c>
      <c r="B703" t="s">
        <v>3827</v>
      </c>
      <c r="D703" t="s">
        <v>40</v>
      </c>
      <c r="E703" t="s">
        <v>41</v>
      </c>
      <c r="G703" t="s">
        <v>3828</v>
      </c>
      <c r="H703" t="s">
        <v>1193</v>
      </c>
      <c r="J703" t="s">
        <v>3829</v>
      </c>
      <c r="K703" t="s">
        <v>3830</v>
      </c>
      <c r="L703">
        <v>5</v>
      </c>
      <c r="M703" t="s">
        <v>3814</v>
      </c>
      <c r="N703" t="s">
        <v>685</v>
      </c>
      <c r="O703" t="s">
        <v>48</v>
      </c>
      <c r="P703" t="s">
        <v>48</v>
      </c>
      <c r="Y703" t="s">
        <v>3831</v>
      </c>
    </row>
    <row r="704" spans="1:25">
      <c r="A704" t="s">
        <v>3832</v>
      </c>
      <c r="B704" t="s">
        <v>3833</v>
      </c>
      <c r="D704" t="s">
        <v>40</v>
      </c>
      <c r="E704" t="s">
        <v>41</v>
      </c>
      <c r="G704" t="s">
        <v>3834</v>
      </c>
      <c r="H704" t="s">
        <v>3835</v>
      </c>
      <c r="J704" t="s">
        <v>90</v>
      </c>
      <c r="K704" t="s">
        <v>91</v>
      </c>
      <c r="L704">
        <v>5</v>
      </c>
      <c r="M704" t="s">
        <v>3836</v>
      </c>
      <c r="N704" t="s">
        <v>47</v>
      </c>
      <c r="O704" t="s">
        <v>48</v>
      </c>
      <c r="P704" t="s">
        <v>48</v>
      </c>
      <c r="Y704" t="s">
        <v>3837</v>
      </c>
    </row>
    <row r="705" spans="1:25">
      <c r="A705" t="s">
        <v>3838</v>
      </c>
      <c r="B705" t="s">
        <v>3839</v>
      </c>
      <c r="D705" t="s">
        <v>40</v>
      </c>
      <c r="E705" t="s">
        <v>41</v>
      </c>
      <c r="G705" t="s">
        <v>3840</v>
      </c>
      <c r="H705" t="s">
        <v>3841</v>
      </c>
      <c r="J705" t="s">
        <v>133</v>
      </c>
      <c r="K705" t="s">
        <v>134</v>
      </c>
      <c r="L705">
        <v>5</v>
      </c>
      <c r="M705" t="s">
        <v>3836</v>
      </c>
      <c r="N705" t="s">
        <v>135</v>
      </c>
      <c r="O705" t="s">
        <v>48</v>
      </c>
      <c r="P705" t="s">
        <v>48</v>
      </c>
      <c r="Y705" t="s">
        <v>3842</v>
      </c>
    </row>
    <row r="706" spans="1:25">
      <c r="A706" t="s">
        <v>3843</v>
      </c>
      <c r="B706" t="s">
        <v>3844</v>
      </c>
      <c r="D706" t="s">
        <v>40</v>
      </c>
      <c r="E706" t="s">
        <v>41</v>
      </c>
      <c r="G706" t="s">
        <v>3845</v>
      </c>
      <c r="H706" t="s">
        <v>3846</v>
      </c>
      <c r="J706" t="s">
        <v>90</v>
      </c>
      <c r="K706" t="s">
        <v>91</v>
      </c>
      <c r="L706">
        <v>5</v>
      </c>
      <c r="M706" t="s">
        <v>3847</v>
      </c>
      <c r="N706" t="s">
        <v>47</v>
      </c>
      <c r="O706" t="s">
        <v>48</v>
      </c>
      <c r="P706" t="s">
        <v>48</v>
      </c>
      <c r="Y706" t="s">
        <v>3848</v>
      </c>
    </row>
    <row r="707" spans="1:25">
      <c r="A707" t="s">
        <v>3849</v>
      </c>
      <c r="B707" t="s">
        <v>3850</v>
      </c>
      <c r="D707" t="s">
        <v>40</v>
      </c>
      <c r="E707" t="s">
        <v>41</v>
      </c>
      <c r="J707" t="s">
        <v>90</v>
      </c>
      <c r="K707" t="s">
        <v>91</v>
      </c>
      <c r="L707">
        <v>5</v>
      </c>
      <c r="M707" t="s">
        <v>3851</v>
      </c>
      <c r="N707" t="s">
        <v>47</v>
      </c>
      <c r="O707" t="s">
        <v>48</v>
      </c>
      <c r="P707" t="s">
        <v>48</v>
      </c>
      <c r="Y707" t="s">
        <v>3852</v>
      </c>
    </row>
    <row r="708" spans="1:25">
      <c r="A708" t="s">
        <v>3853</v>
      </c>
      <c r="B708" t="s">
        <v>3854</v>
      </c>
      <c r="D708" t="s">
        <v>40</v>
      </c>
      <c r="E708" t="s">
        <v>41</v>
      </c>
      <c r="G708" t="s">
        <v>3855</v>
      </c>
      <c r="H708" t="s">
        <v>2462</v>
      </c>
      <c r="J708" t="s">
        <v>371</v>
      </c>
      <c r="K708" t="s">
        <v>372</v>
      </c>
      <c r="L708">
        <v>5</v>
      </c>
      <c r="M708" t="s">
        <v>3856</v>
      </c>
      <c r="N708" t="s">
        <v>47</v>
      </c>
      <c r="O708" t="s">
        <v>48</v>
      </c>
      <c r="P708" t="s">
        <v>48</v>
      </c>
      <c r="Y708" t="s">
        <v>3857</v>
      </c>
    </row>
    <row r="709" spans="1:25">
      <c r="A709" t="s">
        <v>3858</v>
      </c>
      <c r="B709" t="s">
        <v>3859</v>
      </c>
      <c r="D709" t="s">
        <v>40</v>
      </c>
      <c r="E709" t="s">
        <v>41</v>
      </c>
      <c r="G709" t="s">
        <v>3860</v>
      </c>
      <c r="H709" t="s">
        <v>2489</v>
      </c>
      <c r="J709" t="s">
        <v>353</v>
      </c>
      <c r="K709" t="s">
        <v>354</v>
      </c>
      <c r="L709">
        <v>5</v>
      </c>
      <c r="M709" t="s">
        <v>3856</v>
      </c>
      <c r="N709" t="s">
        <v>135</v>
      </c>
      <c r="O709" t="s">
        <v>48</v>
      </c>
      <c r="P709" t="s">
        <v>48</v>
      </c>
      <c r="Y709" t="s">
        <v>3861</v>
      </c>
    </row>
    <row r="710" spans="1:25">
      <c r="A710" t="s">
        <v>3862</v>
      </c>
      <c r="B710" t="s">
        <v>3863</v>
      </c>
      <c r="D710" t="s">
        <v>40</v>
      </c>
      <c r="E710" t="s">
        <v>41</v>
      </c>
      <c r="G710" t="s">
        <v>503</v>
      </c>
      <c r="H710" t="s">
        <v>3864</v>
      </c>
      <c r="J710" t="s">
        <v>54</v>
      </c>
      <c r="K710" t="s">
        <v>55</v>
      </c>
      <c r="L710">
        <v>5</v>
      </c>
      <c r="M710" t="s">
        <v>3856</v>
      </c>
      <c r="N710" t="s">
        <v>47</v>
      </c>
      <c r="O710" t="s">
        <v>48</v>
      </c>
      <c r="P710" t="s">
        <v>48</v>
      </c>
      <c r="Y710" t="s">
        <v>3865</v>
      </c>
    </row>
    <row r="711" spans="1:25">
      <c r="A711" t="s">
        <v>3866</v>
      </c>
      <c r="B711" t="s">
        <v>3867</v>
      </c>
      <c r="D711" t="s">
        <v>40</v>
      </c>
      <c r="E711" t="s">
        <v>41</v>
      </c>
      <c r="G711" t="s">
        <v>3868</v>
      </c>
      <c r="H711" t="s">
        <v>3392</v>
      </c>
      <c r="J711" t="s">
        <v>353</v>
      </c>
      <c r="K711" t="s">
        <v>354</v>
      </c>
      <c r="L711">
        <v>5</v>
      </c>
      <c r="M711" t="s">
        <v>3856</v>
      </c>
      <c r="N711" t="s">
        <v>135</v>
      </c>
      <c r="O711" t="s">
        <v>48</v>
      </c>
      <c r="P711" t="s">
        <v>48</v>
      </c>
      <c r="Y711" t="s">
        <v>3869</v>
      </c>
    </row>
    <row r="712" spans="1:25">
      <c r="A712" t="s">
        <v>3870</v>
      </c>
      <c r="B712" t="s">
        <v>3871</v>
      </c>
      <c r="D712" t="s">
        <v>40</v>
      </c>
      <c r="E712" t="s">
        <v>41</v>
      </c>
      <c r="G712" t="s">
        <v>3872</v>
      </c>
      <c r="H712" t="s">
        <v>3873</v>
      </c>
      <c r="J712" t="s">
        <v>54</v>
      </c>
      <c r="K712" t="s">
        <v>55</v>
      </c>
      <c r="L712">
        <v>5</v>
      </c>
      <c r="M712" t="s">
        <v>3874</v>
      </c>
      <c r="N712" t="s">
        <v>47</v>
      </c>
      <c r="O712" t="s">
        <v>48</v>
      </c>
      <c r="P712" t="s">
        <v>48</v>
      </c>
      <c r="Y712" t="s">
        <v>3875</v>
      </c>
    </row>
    <row r="713" spans="1:25">
      <c r="A713" t="s">
        <v>3876</v>
      </c>
      <c r="B713" t="s">
        <v>3877</v>
      </c>
      <c r="D713" t="s">
        <v>40</v>
      </c>
      <c r="E713" t="s">
        <v>41</v>
      </c>
      <c r="G713" t="s">
        <v>3878</v>
      </c>
      <c r="H713" t="s">
        <v>3879</v>
      </c>
      <c r="J713" t="s">
        <v>90</v>
      </c>
      <c r="K713" t="s">
        <v>91</v>
      </c>
      <c r="L713">
        <v>5</v>
      </c>
      <c r="M713" t="s">
        <v>3874</v>
      </c>
      <c r="N713" t="s">
        <v>47</v>
      </c>
      <c r="O713" t="s">
        <v>48</v>
      </c>
      <c r="P713" t="s">
        <v>48</v>
      </c>
      <c r="Y713" t="s">
        <v>3880</v>
      </c>
    </row>
    <row r="714" spans="1:25">
      <c r="A714" t="s">
        <v>3881</v>
      </c>
      <c r="B714" t="s">
        <v>3882</v>
      </c>
      <c r="D714" t="s">
        <v>40</v>
      </c>
      <c r="E714" t="s">
        <v>41</v>
      </c>
      <c r="G714" t="s">
        <v>3883</v>
      </c>
      <c r="H714" t="s">
        <v>944</v>
      </c>
      <c r="J714" t="s">
        <v>353</v>
      </c>
      <c r="K714" t="s">
        <v>354</v>
      </c>
      <c r="L714">
        <v>5</v>
      </c>
      <c r="M714" t="s">
        <v>3884</v>
      </c>
      <c r="N714" t="s">
        <v>290</v>
      </c>
      <c r="O714" t="s">
        <v>48</v>
      </c>
      <c r="P714" t="s">
        <v>48</v>
      </c>
      <c r="Y714" t="s">
        <v>3885</v>
      </c>
    </row>
    <row r="715" spans="1:25">
      <c r="A715" t="s">
        <v>3886</v>
      </c>
      <c r="B715" t="s">
        <v>3887</v>
      </c>
      <c r="D715" t="s">
        <v>40</v>
      </c>
      <c r="E715" t="s">
        <v>41</v>
      </c>
      <c r="G715" t="s">
        <v>3888</v>
      </c>
      <c r="H715" t="s">
        <v>3889</v>
      </c>
      <c r="J715" t="s">
        <v>90</v>
      </c>
      <c r="K715" t="s">
        <v>91</v>
      </c>
      <c r="L715">
        <v>5</v>
      </c>
      <c r="M715" t="s">
        <v>3890</v>
      </c>
      <c r="N715" t="s">
        <v>47</v>
      </c>
      <c r="O715" t="s">
        <v>48</v>
      </c>
      <c r="P715" t="s">
        <v>48</v>
      </c>
      <c r="Y715" t="s">
        <v>3891</v>
      </c>
    </row>
    <row r="716" spans="1:25">
      <c r="A716" t="s">
        <v>3892</v>
      </c>
      <c r="B716" t="s">
        <v>3893</v>
      </c>
      <c r="D716" t="s">
        <v>40</v>
      </c>
      <c r="E716" t="s">
        <v>41</v>
      </c>
      <c r="G716" t="s">
        <v>3894</v>
      </c>
      <c r="H716" t="s">
        <v>3895</v>
      </c>
      <c r="J716" t="s">
        <v>54</v>
      </c>
      <c r="K716" t="s">
        <v>55</v>
      </c>
      <c r="L716">
        <v>5</v>
      </c>
      <c r="M716" t="s">
        <v>3890</v>
      </c>
      <c r="N716" t="s">
        <v>47</v>
      </c>
      <c r="O716" t="s">
        <v>48</v>
      </c>
      <c r="P716" t="s">
        <v>48</v>
      </c>
      <c r="Y716" t="s">
        <v>3896</v>
      </c>
    </row>
    <row r="717" spans="1:25">
      <c r="A717" t="s">
        <v>3897</v>
      </c>
      <c r="B717" t="s">
        <v>3898</v>
      </c>
      <c r="D717" t="s">
        <v>40</v>
      </c>
      <c r="E717" t="s">
        <v>41</v>
      </c>
      <c r="G717" t="s">
        <v>3899</v>
      </c>
      <c r="H717" t="s">
        <v>3900</v>
      </c>
      <c r="J717" t="s">
        <v>371</v>
      </c>
      <c r="K717" t="s">
        <v>372</v>
      </c>
      <c r="L717">
        <v>5</v>
      </c>
      <c r="M717" t="s">
        <v>3901</v>
      </c>
      <c r="N717" t="s">
        <v>47</v>
      </c>
      <c r="O717" t="s">
        <v>48</v>
      </c>
      <c r="P717" t="s">
        <v>48</v>
      </c>
      <c r="Y717" t="s">
        <v>3902</v>
      </c>
    </row>
    <row r="718" spans="1:25">
      <c r="A718" t="s">
        <v>3903</v>
      </c>
      <c r="B718" t="s">
        <v>3904</v>
      </c>
      <c r="D718" t="s">
        <v>40</v>
      </c>
      <c r="E718" t="s">
        <v>41</v>
      </c>
      <c r="G718" t="s">
        <v>1394</v>
      </c>
      <c r="H718" t="s">
        <v>3905</v>
      </c>
      <c r="J718" t="s">
        <v>133</v>
      </c>
      <c r="K718" t="s">
        <v>134</v>
      </c>
      <c r="L718">
        <v>5</v>
      </c>
      <c r="M718" t="s">
        <v>3906</v>
      </c>
      <c r="N718" t="s">
        <v>135</v>
      </c>
      <c r="O718" t="s">
        <v>48</v>
      </c>
      <c r="P718" t="s">
        <v>48</v>
      </c>
      <c r="Y718" t="s">
        <v>3907</v>
      </c>
    </row>
    <row r="719" spans="1:25">
      <c r="A719" t="s">
        <v>3908</v>
      </c>
      <c r="B719" t="s">
        <v>3909</v>
      </c>
      <c r="D719" t="s">
        <v>40</v>
      </c>
      <c r="E719" t="s">
        <v>41</v>
      </c>
      <c r="G719" t="s">
        <v>3910</v>
      </c>
      <c r="H719" t="s">
        <v>3911</v>
      </c>
      <c r="J719" t="s">
        <v>90</v>
      </c>
      <c r="K719" t="s">
        <v>91</v>
      </c>
      <c r="L719">
        <v>5</v>
      </c>
      <c r="M719" t="s">
        <v>3906</v>
      </c>
      <c r="N719" t="s">
        <v>47</v>
      </c>
      <c r="O719" t="s">
        <v>48</v>
      </c>
      <c r="P719" t="s">
        <v>48</v>
      </c>
      <c r="Y719" t="s">
        <v>3912</v>
      </c>
    </row>
    <row r="720" spans="1:25">
      <c r="A720" t="s">
        <v>3913</v>
      </c>
      <c r="B720" t="s">
        <v>3914</v>
      </c>
      <c r="D720" t="s">
        <v>40</v>
      </c>
      <c r="E720" t="s">
        <v>41</v>
      </c>
      <c r="G720" t="s">
        <v>3915</v>
      </c>
      <c r="H720" t="s">
        <v>3916</v>
      </c>
      <c r="J720" t="s">
        <v>44</v>
      </c>
      <c r="K720" t="s">
        <v>45</v>
      </c>
      <c r="L720">
        <v>5</v>
      </c>
      <c r="M720" t="s">
        <v>3917</v>
      </c>
      <c r="N720" t="s">
        <v>47</v>
      </c>
      <c r="O720" t="s">
        <v>48</v>
      </c>
      <c r="P720" t="s">
        <v>48</v>
      </c>
      <c r="Y720" t="s">
        <v>3918</v>
      </c>
    </row>
    <row r="721" spans="1:25">
      <c r="A721" t="s">
        <v>3919</v>
      </c>
      <c r="B721" t="s">
        <v>3920</v>
      </c>
      <c r="D721" t="s">
        <v>40</v>
      </c>
      <c r="E721" t="s">
        <v>41</v>
      </c>
      <c r="G721" t="s">
        <v>3921</v>
      </c>
      <c r="H721" t="s">
        <v>3922</v>
      </c>
      <c r="J721" t="s">
        <v>44</v>
      </c>
      <c r="K721" t="s">
        <v>45</v>
      </c>
      <c r="L721">
        <v>5</v>
      </c>
      <c r="M721" t="s">
        <v>3917</v>
      </c>
      <c r="N721" t="s">
        <v>47</v>
      </c>
      <c r="O721" t="s">
        <v>48</v>
      </c>
      <c r="P721" t="s">
        <v>48</v>
      </c>
      <c r="Y721" t="s">
        <v>3923</v>
      </c>
    </row>
    <row r="722" spans="1:25">
      <c r="A722" t="s">
        <v>3924</v>
      </c>
      <c r="B722" t="s">
        <v>3925</v>
      </c>
      <c r="D722" t="s">
        <v>40</v>
      </c>
      <c r="E722" t="s">
        <v>41</v>
      </c>
      <c r="G722" t="s">
        <v>3926</v>
      </c>
      <c r="H722" t="s">
        <v>1901</v>
      </c>
      <c r="J722" t="s">
        <v>2328</v>
      </c>
      <c r="K722" t="s">
        <v>2329</v>
      </c>
      <c r="L722">
        <v>5</v>
      </c>
      <c r="M722" t="s">
        <v>3927</v>
      </c>
      <c r="N722" t="s">
        <v>685</v>
      </c>
      <c r="O722" t="s">
        <v>48</v>
      </c>
      <c r="P722" t="s">
        <v>48</v>
      </c>
      <c r="Y722" t="s">
        <v>3928</v>
      </c>
    </row>
    <row r="723" spans="1:25">
      <c r="A723" t="s">
        <v>3929</v>
      </c>
      <c r="B723" t="s">
        <v>3930</v>
      </c>
      <c r="D723" t="s">
        <v>40</v>
      </c>
      <c r="E723" t="s">
        <v>41</v>
      </c>
      <c r="H723" t="s">
        <v>3931</v>
      </c>
      <c r="J723" t="s">
        <v>765</v>
      </c>
      <c r="K723" t="s">
        <v>766</v>
      </c>
      <c r="L723">
        <v>5</v>
      </c>
      <c r="M723" t="s">
        <v>3927</v>
      </c>
      <c r="N723" t="s">
        <v>290</v>
      </c>
      <c r="O723" t="s">
        <v>48</v>
      </c>
      <c r="P723" t="s">
        <v>48</v>
      </c>
      <c r="Y723" t="s">
        <v>3931</v>
      </c>
    </row>
    <row r="724" spans="1:25">
      <c r="A724" t="s">
        <v>3932</v>
      </c>
      <c r="B724" t="s">
        <v>3933</v>
      </c>
      <c r="D724" t="s">
        <v>40</v>
      </c>
      <c r="E724" t="s">
        <v>41</v>
      </c>
      <c r="G724" t="s">
        <v>3934</v>
      </c>
      <c r="H724" t="s">
        <v>3935</v>
      </c>
      <c r="J724" t="s">
        <v>44</v>
      </c>
      <c r="K724" t="s">
        <v>45</v>
      </c>
      <c r="L724">
        <v>5</v>
      </c>
      <c r="M724" t="s">
        <v>3936</v>
      </c>
      <c r="N724" t="s">
        <v>47</v>
      </c>
      <c r="O724" t="s">
        <v>48</v>
      </c>
      <c r="P724" t="s">
        <v>48</v>
      </c>
      <c r="Y724" t="s">
        <v>3937</v>
      </c>
    </row>
    <row r="725" spans="1:25">
      <c r="A725" t="s">
        <v>3938</v>
      </c>
      <c r="B725" t="s">
        <v>3939</v>
      </c>
      <c r="D725" t="s">
        <v>40</v>
      </c>
      <c r="E725" t="s">
        <v>41</v>
      </c>
      <c r="G725" t="s">
        <v>3940</v>
      </c>
      <c r="H725" t="s">
        <v>3941</v>
      </c>
      <c r="J725" t="s">
        <v>90</v>
      </c>
      <c r="K725" t="s">
        <v>91</v>
      </c>
      <c r="L725">
        <v>5</v>
      </c>
      <c r="M725" t="s">
        <v>3936</v>
      </c>
      <c r="N725" t="s">
        <v>47</v>
      </c>
      <c r="O725" t="s">
        <v>48</v>
      </c>
      <c r="P725" t="s">
        <v>48</v>
      </c>
      <c r="Y725" t="s">
        <v>3942</v>
      </c>
    </row>
    <row r="726" spans="1:25">
      <c r="A726" t="s">
        <v>3943</v>
      </c>
      <c r="B726" t="s">
        <v>3944</v>
      </c>
      <c r="D726" t="s">
        <v>40</v>
      </c>
      <c r="E726" t="s">
        <v>41</v>
      </c>
      <c r="G726" t="s">
        <v>3945</v>
      </c>
      <c r="H726" t="s">
        <v>3946</v>
      </c>
      <c r="J726" t="s">
        <v>44</v>
      </c>
      <c r="K726" t="s">
        <v>45</v>
      </c>
      <c r="L726">
        <v>5</v>
      </c>
      <c r="M726" t="s">
        <v>3936</v>
      </c>
      <c r="N726" t="s">
        <v>47</v>
      </c>
      <c r="O726" t="s">
        <v>48</v>
      </c>
      <c r="P726" t="s">
        <v>48</v>
      </c>
      <c r="Y726" t="s">
        <v>3947</v>
      </c>
    </row>
    <row r="727" spans="1:25">
      <c r="A727" t="s">
        <v>3948</v>
      </c>
      <c r="B727" t="s">
        <v>3949</v>
      </c>
      <c r="D727" t="s">
        <v>40</v>
      </c>
      <c r="E727" t="s">
        <v>41</v>
      </c>
      <c r="G727" t="s">
        <v>3950</v>
      </c>
      <c r="H727" t="s">
        <v>3951</v>
      </c>
      <c r="J727" t="s">
        <v>90</v>
      </c>
      <c r="K727" t="s">
        <v>91</v>
      </c>
      <c r="L727">
        <v>5</v>
      </c>
      <c r="M727" t="s">
        <v>3952</v>
      </c>
      <c r="N727" t="s">
        <v>47</v>
      </c>
      <c r="O727" t="s">
        <v>48</v>
      </c>
      <c r="P727" t="s">
        <v>48</v>
      </c>
      <c r="Y727" t="s">
        <v>3953</v>
      </c>
    </row>
    <row r="728" spans="1:25">
      <c r="A728" t="s">
        <v>3954</v>
      </c>
      <c r="B728" t="s">
        <v>3955</v>
      </c>
      <c r="D728" t="s">
        <v>40</v>
      </c>
      <c r="E728" t="s">
        <v>41</v>
      </c>
      <c r="G728" t="s">
        <v>3956</v>
      </c>
      <c r="H728" t="s">
        <v>3957</v>
      </c>
      <c r="J728" t="s">
        <v>44</v>
      </c>
      <c r="K728" t="s">
        <v>45</v>
      </c>
      <c r="L728">
        <v>5</v>
      </c>
      <c r="M728" t="s">
        <v>3958</v>
      </c>
      <c r="N728" t="s">
        <v>47</v>
      </c>
      <c r="O728" t="s">
        <v>48</v>
      </c>
      <c r="P728" t="s">
        <v>48</v>
      </c>
      <c r="Y728" t="s">
        <v>3959</v>
      </c>
    </row>
    <row r="729" spans="1:25">
      <c r="A729" t="s">
        <v>3960</v>
      </c>
      <c r="B729" t="s">
        <v>3961</v>
      </c>
      <c r="D729" t="s">
        <v>40</v>
      </c>
      <c r="E729" t="s">
        <v>41</v>
      </c>
      <c r="G729" t="s">
        <v>3962</v>
      </c>
      <c r="H729" t="s">
        <v>3963</v>
      </c>
      <c r="J729" t="s">
        <v>44</v>
      </c>
      <c r="K729" t="s">
        <v>45</v>
      </c>
      <c r="L729">
        <v>5</v>
      </c>
      <c r="M729" t="s">
        <v>3958</v>
      </c>
      <c r="N729" t="s">
        <v>47</v>
      </c>
      <c r="O729" t="s">
        <v>48</v>
      </c>
      <c r="P729" t="s">
        <v>48</v>
      </c>
      <c r="Y729" t="s">
        <v>3964</v>
      </c>
    </row>
    <row r="730" spans="1:25">
      <c r="A730" t="s">
        <v>3965</v>
      </c>
      <c r="B730" t="s">
        <v>3966</v>
      </c>
      <c r="D730" t="s">
        <v>40</v>
      </c>
      <c r="E730" t="s">
        <v>41</v>
      </c>
      <c r="G730" t="s">
        <v>382</v>
      </c>
      <c r="H730" t="s">
        <v>3967</v>
      </c>
      <c r="J730" t="s">
        <v>44</v>
      </c>
      <c r="K730" t="s">
        <v>45</v>
      </c>
      <c r="L730">
        <v>5</v>
      </c>
      <c r="M730" t="s">
        <v>3958</v>
      </c>
      <c r="N730" t="s">
        <v>47</v>
      </c>
      <c r="O730" t="s">
        <v>48</v>
      </c>
      <c r="P730" t="s">
        <v>48</v>
      </c>
      <c r="Y730" t="s">
        <v>3968</v>
      </c>
    </row>
    <row r="731" spans="1:25">
      <c r="A731" t="s">
        <v>3969</v>
      </c>
      <c r="B731" t="s">
        <v>3970</v>
      </c>
      <c r="D731" t="s">
        <v>40</v>
      </c>
      <c r="E731" t="s">
        <v>41</v>
      </c>
      <c r="G731" t="s">
        <v>2592</v>
      </c>
      <c r="H731" t="s">
        <v>3971</v>
      </c>
      <c r="J731" t="s">
        <v>44</v>
      </c>
      <c r="K731" t="s">
        <v>45</v>
      </c>
      <c r="L731">
        <v>5</v>
      </c>
      <c r="M731" t="s">
        <v>3958</v>
      </c>
      <c r="N731" t="s">
        <v>47</v>
      </c>
      <c r="O731" t="s">
        <v>48</v>
      </c>
      <c r="P731" t="s">
        <v>48</v>
      </c>
      <c r="Y731" t="s">
        <v>3972</v>
      </c>
    </row>
    <row r="732" spans="1:25">
      <c r="A732" t="s">
        <v>3973</v>
      </c>
      <c r="B732" t="s">
        <v>3974</v>
      </c>
      <c r="D732" t="s">
        <v>40</v>
      </c>
      <c r="E732" t="s">
        <v>41</v>
      </c>
      <c r="G732" t="s">
        <v>3975</v>
      </c>
      <c r="H732" t="s">
        <v>2462</v>
      </c>
      <c r="J732" t="s">
        <v>90</v>
      </c>
      <c r="K732" t="s">
        <v>91</v>
      </c>
      <c r="L732">
        <v>5</v>
      </c>
      <c r="M732" t="s">
        <v>3976</v>
      </c>
      <c r="N732" t="s">
        <v>47</v>
      </c>
      <c r="O732" t="s">
        <v>48</v>
      </c>
      <c r="P732" t="s">
        <v>48</v>
      </c>
      <c r="Y732" t="s">
        <v>3977</v>
      </c>
    </row>
    <row r="733" spans="1:25">
      <c r="A733" t="s">
        <v>3978</v>
      </c>
      <c r="B733" t="s">
        <v>3979</v>
      </c>
      <c r="D733" t="s">
        <v>40</v>
      </c>
      <c r="E733" t="s">
        <v>41</v>
      </c>
      <c r="G733" t="s">
        <v>716</v>
      </c>
      <c r="H733" t="s">
        <v>3980</v>
      </c>
      <c r="J733" t="s">
        <v>44</v>
      </c>
      <c r="K733" t="s">
        <v>45</v>
      </c>
      <c r="L733">
        <v>5</v>
      </c>
      <c r="M733" t="s">
        <v>3981</v>
      </c>
      <c r="N733" t="s">
        <v>47</v>
      </c>
      <c r="O733" t="s">
        <v>48</v>
      </c>
      <c r="P733" t="s">
        <v>48</v>
      </c>
      <c r="Y733" t="s">
        <v>3982</v>
      </c>
    </row>
    <row r="734" spans="1:25">
      <c r="A734" t="s">
        <v>3983</v>
      </c>
      <c r="B734" t="s">
        <v>3984</v>
      </c>
      <c r="D734" t="s">
        <v>40</v>
      </c>
      <c r="E734" t="s">
        <v>41</v>
      </c>
      <c r="G734" t="s">
        <v>3985</v>
      </c>
      <c r="H734" t="s">
        <v>3986</v>
      </c>
      <c r="J734" t="s">
        <v>44</v>
      </c>
      <c r="K734" t="s">
        <v>45</v>
      </c>
      <c r="L734">
        <v>5</v>
      </c>
      <c r="M734" t="s">
        <v>3987</v>
      </c>
      <c r="N734" t="s">
        <v>47</v>
      </c>
      <c r="O734" t="s">
        <v>48</v>
      </c>
      <c r="P734" t="s">
        <v>48</v>
      </c>
      <c r="Y734" t="s">
        <v>3988</v>
      </c>
    </row>
    <row r="735" spans="1:25">
      <c r="A735" t="s">
        <v>3989</v>
      </c>
      <c r="B735" t="s">
        <v>3990</v>
      </c>
      <c r="D735" t="s">
        <v>40</v>
      </c>
      <c r="E735" t="s">
        <v>41</v>
      </c>
      <c r="G735" t="s">
        <v>3991</v>
      </c>
      <c r="H735" t="s">
        <v>2523</v>
      </c>
      <c r="J735" t="s">
        <v>44</v>
      </c>
      <c r="K735" t="s">
        <v>45</v>
      </c>
      <c r="L735">
        <v>5</v>
      </c>
      <c r="M735" t="s">
        <v>3992</v>
      </c>
      <c r="N735" t="s">
        <v>47</v>
      </c>
      <c r="O735" t="s">
        <v>48</v>
      </c>
      <c r="P735" t="s">
        <v>48</v>
      </c>
      <c r="Y735" t="s">
        <v>3993</v>
      </c>
    </row>
    <row r="736" spans="1:25">
      <c r="A736" t="s">
        <v>3994</v>
      </c>
      <c r="B736" t="s">
        <v>3995</v>
      </c>
      <c r="D736" t="s">
        <v>40</v>
      </c>
      <c r="E736" t="s">
        <v>41</v>
      </c>
      <c r="G736" t="s">
        <v>3996</v>
      </c>
      <c r="H736" t="s">
        <v>3997</v>
      </c>
      <c r="J736" t="s">
        <v>54</v>
      </c>
      <c r="K736" t="s">
        <v>55</v>
      </c>
      <c r="L736">
        <v>5</v>
      </c>
      <c r="M736" t="s">
        <v>3998</v>
      </c>
      <c r="N736" t="s">
        <v>47</v>
      </c>
      <c r="O736" t="s">
        <v>48</v>
      </c>
      <c r="P736" t="s">
        <v>48</v>
      </c>
      <c r="Y736" t="s">
        <v>3999</v>
      </c>
    </row>
    <row r="737" spans="1:25">
      <c r="A737" t="s">
        <v>4000</v>
      </c>
      <c r="B737" t="s">
        <v>4001</v>
      </c>
      <c r="D737" t="s">
        <v>40</v>
      </c>
      <c r="E737" t="s">
        <v>41</v>
      </c>
      <c r="G737" t="s">
        <v>4002</v>
      </c>
      <c r="H737" t="s">
        <v>4003</v>
      </c>
      <c r="J737" t="s">
        <v>44</v>
      </c>
      <c r="K737" t="s">
        <v>45</v>
      </c>
      <c r="L737">
        <v>5</v>
      </c>
      <c r="M737" t="s">
        <v>4004</v>
      </c>
      <c r="N737" t="s">
        <v>47</v>
      </c>
      <c r="O737" t="s">
        <v>48</v>
      </c>
      <c r="P737" t="s">
        <v>48</v>
      </c>
      <c r="Y737" t="s">
        <v>4005</v>
      </c>
    </row>
    <row r="738" spans="1:25">
      <c r="A738" t="s">
        <v>4006</v>
      </c>
      <c r="B738" t="s">
        <v>4007</v>
      </c>
      <c r="D738" t="s">
        <v>40</v>
      </c>
      <c r="E738" t="s">
        <v>41</v>
      </c>
      <c r="G738" t="s">
        <v>734</v>
      </c>
      <c r="H738" t="s">
        <v>4008</v>
      </c>
      <c r="J738" t="s">
        <v>90</v>
      </c>
      <c r="K738" t="s">
        <v>91</v>
      </c>
      <c r="L738">
        <v>5</v>
      </c>
      <c r="M738" t="s">
        <v>4009</v>
      </c>
      <c r="N738" t="s">
        <v>47</v>
      </c>
      <c r="O738" t="s">
        <v>48</v>
      </c>
      <c r="P738" t="s">
        <v>48</v>
      </c>
      <c r="Y738" t="s">
        <v>4010</v>
      </c>
    </row>
    <row r="739" spans="1:25">
      <c r="A739" t="s">
        <v>4011</v>
      </c>
      <c r="B739" t="s">
        <v>4012</v>
      </c>
      <c r="D739" t="s">
        <v>40</v>
      </c>
      <c r="E739" t="s">
        <v>41</v>
      </c>
      <c r="G739" t="s">
        <v>863</v>
      </c>
      <c r="H739" t="s">
        <v>4013</v>
      </c>
      <c r="J739" t="s">
        <v>44</v>
      </c>
      <c r="K739" t="s">
        <v>45</v>
      </c>
      <c r="L739">
        <v>5</v>
      </c>
      <c r="M739" t="s">
        <v>4014</v>
      </c>
      <c r="N739" t="s">
        <v>47</v>
      </c>
      <c r="O739" t="s">
        <v>48</v>
      </c>
      <c r="P739" t="s">
        <v>48</v>
      </c>
      <c r="Y739" t="s">
        <v>4015</v>
      </c>
    </row>
    <row r="740" spans="1:25">
      <c r="A740" t="s">
        <v>4016</v>
      </c>
      <c r="B740" t="s">
        <v>4017</v>
      </c>
      <c r="D740" t="s">
        <v>40</v>
      </c>
      <c r="E740" t="s">
        <v>41</v>
      </c>
      <c r="G740" t="s">
        <v>4018</v>
      </c>
      <c r="H740" t="s">
        <v>4019</v>
      </c>
      <c r="J740" t="s">
        <v>44</v>
      </c>
      <c r="K740" t="s">
        <v>45</v>
      </c>
      <c r="L740">
        <v>5</v>
      </c>
      <c r="M740" t="s">
        <v>4014</v>
      </c>
      <c r="N740" t="s">
        <v>47</v>
      </c>
      <c r="O740" t="s">
        <v>48</v>
      </c>
      <c r="P740" t="s">
        <v>48</v>
      </c>
      <c r="Y740" t="s">
        <v>4020</v>
      </c>
    </row>
    <row r="741" spans="1:25">
      <c r="A741" t="s">
        <v>4021</v>
      </c>
      <c r="B741" t="s">
        <v>4022</v>
      </c>
      <c r="D741" t="s">
        <v>40</v>
      </c>
      <c r="E741" t="s">
        <v>41</v>
      </c>
      <c r="G741" t="s">
        <v>4023</v>
      </c>
      <c r="H741" t="s">
        <v>4024</v>
      </c>
      <c r="J741" t="s">
        <v>78</v>
      </c>
      <c r="K741" t="s">
        <v>79</v>
      </c>
      <c r="L741">
        <v>5</v>
      </c>
      <c r="M741" t="s">
        <v>4014</v>
      </c>
      <c r="N741" t="s">
        <v>47</v>
      </c>
      <c r="O741" t="s">
        <v>48</v>
      </c>
      <c r="P741" t="s">
        <v>48</v>
      </c>
      <c r="Y741" t="s">
        <v>4025</v>
      </c>
    </row>
    <row r="742" spans="1:25">
      <c r="A742" t="s">
        <v>4026</v>
      </c>
      <c r="B742" t="s">
        <v>4027</v>
      </c>
      <c r="D742" t="s">
        <v>40</v>
      </c>
      <c r="E742" t="s">
        <v>41</v>
      </c>
      <c r="G742" t="s">
        <v>4028</v>
      </c>
      <c r="H742" t="s">
        <v>4029</v>
      </c>
      <c r="J742" t="s">
        <v>90</v>
      </c>
      <c r="K742" t="s">
        <v>91</v>
      </c>
      <c r="L742">
        <v>5</v>
      </c>
      <c r="M742" t="s">
        <v>4030</v>
      </c>
      <c r="N742" t="s">
        <v>47</v>
      </c>
      <c r="O742" t="s">
        <v>48</v>
      </c>
      <c r="P742" t="s">
        <v>48</v>
      </c>
      <c r="Y742" t="s">
        <v>4031</v>
      </c>
    </row>
    <row r="743" spans="1:25">
      <c r="A743" t="s">
        <v>4032</v>
      </c>
      <c r="B743" t="s">
        <v>4033</v>
      </c>
      <c r="D743" t="s">
        <v>40</v>
      </c>
      <c r="E743" t="s">
        <v>41</v>
      </c>
      <c r="G743" t="s">
        <v>4034</v>
      </c>
      <c r="H743" t="s">
        <v>4035</v>
      </c>
      <c r="J743" t="s">
        <v>90</v>
      </c>
      <c r="K743" t="s">
        <v>91</v>
      </c>
      <c r="L743">
        <v>5</v>
      </c>
      <c r="M743" t="s">
        <v>4036</v>
      </c>
      <c r="N743" t="s">
        <v>47</v>
      </c>
      <c r="O743" t="s">
        <v>48</v>
      </c>
      <c r="P743" t="s">
        <v>48</v>
      </c>
      <c r="Y743" t="s">
        <v>4037</v>
      </c>
    </row>
    <row r="744" spans="1:25">
      <c r="A744" t="s">
        <v>4038</v>
      </c>
      <c r="B744" t="s">
        <v>4039</v>
      </c>
      <c r="D744" t="s">
        <v>40</v>
      </c>
      <c r="E744" t="s">
        <v>41</v>
      </c>
      <c r="G744" t="s">
        <v>2971</v>
      </c>
      <c r="H744" t="s">
        <v>4040</v>
      </c>
      <c r="J744" t="s">
        <v>90</v>
      </c>
      <c r="K744" t="s">
        <v>91</v>
      </c>
      <c r="L744">
        <v>5</v>
      </c>
      <c r="M744" t="s">
        <v>4041</v>
      </c>
      <c r="N744" t="s">
        <v>47</v>
      </c>
      <c r="O744" t="s">
        <v>48</v>
      </c>
      <c r="P744" t="s">
        <v>48</v>
      </c>
      <c r="Y744" t="s">
        <v>4042</v>
      </c>
    </row>
    <row r="745" spans="1:25">
      <c r="A745" t="s">
        <v>4043</v>
      </c>
      <c r="B745" t="s">
        <v>4044</v>
      </c>
      <c r="D745" t="s">
        <v>40</v>
      </c>
      <c r="E745" t="s">
        <v>41</v>
      </c>
      <c r="G745" t="s">
        <v>4045</v>
      </c>
      <c r="H745" t="s">
        <v>4046</v>
      </c>
      <c r="J745" t="s">
        <v>54</v>
      </c>
      <c r="K745" t="s">
        <v>55</v>
      </c>
      <c r="L745">
        <v>5</v>
      </c>
      <c r="M745" t="s">
        <v>4047</v>
      </c>
      <c r="N745" t="s">
        <v>47</v>
      </c>
      <c r="O745" t="s">
        <v>48</v>
      </c>
      <c r="P745" t="s">
        <v>48</v>
      </c>
      <c r="Y745" t="s">
        <v>4048</v>
      </c>
    </row>
    <row r="746" spans="1:25">
      <c r="A746" t="s">
        <v>4049</v>
      </c>
      <c r="B746" t="s">
        <v>4050</v>
      </c>
      <c r="D746" t="s">
        <v>40</v>
      </c>
      <c r="E746" t="s">
        <v>41</v>
      </c>
      <c r="G746" t="s">
        <v>4051</v>
      </c>
      <c r="H746" t="s">
        <v>4052</v>
      </c>
      <c r="J746" t="s">
        <v>44</v>
      </c>
      <c r="K746" t="s">
        <v>45</v>
      </c>
      <c r="L746">
        <v>5</v>
      </c>
      <c r="M746" t="s">
        <v>4047</v>
      </c>
      <c r="N746" t="s">
        <v>47</v>
      </c>
      <c r="O746" t="s">
        <v>48</v>
      </c>
      <c r="P746" t="s">
        <v>48</v>
      </c>
      <c r="Y746" t="s">
        <v>4053</v>
      </c>
    </row>
    <row r="747" spans="1:25">
      <c r="A747" t="s">
        <v>4054</v>
      </c>
      <c r="B747" t="s">
        <v>4055</v>
      </c>
      <c r="D747" t="s">
        <v>40</v>
      </c>
      <c r="E747" t="s">
        <v>41</v>
      </c>
      <c r="G747" t="s">
        <v>4056</v>
      </c>
      <c r="H747" t="s">
        <v>4057</v>
      </c>
      <c r="J747" t="s">
        <v>44</v>
      </c>
      <c r="K747" t="s">
        <v>45</v>
      </c>
      <c r="L747">
        <v>5</v>
      </c>
      <c r="M747" t="s">
        <v>4047</v>
      </c>
      <c r="N747" t="s">
        <v>47</v>
      </c>
      <c r="O747" t="s">
        <v>48</v>
      </c>
      <c r="P747" t="s">
        <v>48</v>
      </c>
      <c r="Y747" t="s">
        <v>4058</v>
      </c>
    </row>
    <row r="748" spans="1:25">
      <c r="A748" t="s">
        <v>4059</v>
      </c>
      <c r="B748" t="s">
        <v>4060</v>
      </c>
      <c r="D748" t="s">
        <v>40</v>
      </c>
      <c r="E748" t="s">
        <v>41</v>
      </c>
      <c r="G748" t="s">
        <v>4061</v>
      </c>
      <c r="H748" t="s">
        <v>4062</v>
      </c>
      <c r="J748" t="s">
        <v>133</v>
      </c>
      <c r="K748" t="s">
        <v>134</v>
      </c>
      <c r="L748">
        <v>5</v>
      </c>
      <c r="M748" t="s">
        <v>4063</v>
      </c>
      <c r="N748" t="s">
        <v>135</v>
      </c>
      <c r="O748" t="s">
        <v>48</v>
      </c>
      <c r="P748" t="s">
        <v>48</v>
      </c>
      <c r="Y748" t="s">
        <v>4064</v>
      </c>
    </row>
    <row r="749" spans="1:25">
      <c r="A749" t="s">
        <v>4065</v>
      </c>
      <c r="B749" t="s">
        <v>4066</v>
      </c>
      <c r="D749" t="s">
        <v>40</v>
      </c>
      <c r="E749" t="s">
        <v>41</v>
      </c>
      <c r="G749" t="s">
        <v>4067</v>
      </c>
      <c r="H749" t="s">
        <v>4068</v>
      </c>
      <c r="J749" t="s">
        <v>133</v>
      </c>
      <c r="K749" t="s">
        <v>134</v>
      </c>
      <c r="L749">
        <v>5</v>
      </c>
      <c r="M749" t="s">
        <v>4063</v>
      </c>
      <c r="N749" t="s">
        <v>685</v>
      </c>
      <c r="O749" t="s">
        <v>48</v>
      </c>
      <c r="P749" t="s">
        <v>48</v>
      </c>
      <c r="Y749" t="s">
        <v>4069</v>
      </c>
    </row>
    <row r="750" spans="1:25">
      <c r="A750" t="s">
        <v>4070</v>
      </c>
      <c r="B750" t="s">
        <v>4071</v>
      </c>
      <c r="D750" t="s">
        <v>40</v>
      </c>
      <c r="E750" t="s">
        <v>41</v>
      </c>
      <c r="G750" t="s">
        <v>4072</v>
      </c>
      <c r="H750" t="s">
        <v>4073</v>
      </c>
      <c r="J750" t="s">
        <v>90</v>
      </c>
      <c r="K750" t="s">
        <v>91</v>
      </c>
      <c r="L750">
        <v>5</v>
      </c>
      <c r="M750" t="s">
        <v>4063</v>
      </c>
      <c r="N750" t="s">
        <v>47</v>
      </c>
      <c r="O750" t="s">
        <v>48</v>
      </c>
      <c r="P750" t="s">
        <v>48</v>
      </c>
      <c r="Y750" t="s">
        <v>4074</v>
      </c>
    </row>
    <row r="751" spans="1:25">
      <c r="A751" t="s">
        <v>4075</v>
      </c>
      <c r="B751" t="s">
        <v>4076</v>
      </c>
      <c r="D751" t="s">
        <v>40</v>
      </c>
      <c r="E751" t="s">
        <v>41</v>
      </c>
      <c r="G751" t="s">
        <v>4077</v>
      </c>
      <c r="H751" t="s">
        <v>3408</v>
      </c>
      <c r="J751" t="s">
        <v>90</v>
      </c>
      <c r="K751" t="s">
        <v>91</v>
      </c>
      <c r="L751">
        <v>5</v>
      </c>
      <c r="M751" t="s">
        <v>4063</v>
      </c>
      <c r="N751" t="s">
        <v>47</v>
      </c>
      <c r="O751" t="s">
        <v>48</v>
      </c>
      <c r="P751" t="s">
        <v>48</v>
      </c>
      <c r="Y751" t="s">
        <v>4078</v>
      </c>
    </row>
    <row r="752" spans="1:25">
      <c r="A752" t="s">
        <v>4079</v>
      </c>
      <c r="B752" t="s">
        <v>4080</v>
      </c>
      <c r="D752" t="s">
        <v>40</v>
      </c>
      <c r="E752" t="s">
        <v>41</v>
      </c>
      <c r="G752" t="s">
        <v>88</v>
      </c>
      <c r="H752" t="s">
        <v>4081</v>
      </c>
      <c r="J752" t="s">
        <v>44</v>
      </c>
      <c r="K752" t="s">
        <v>45</v>
      </c>
      <c r="L752">
        <v>5</v>
      </c>
      <c r="M752" t="s">
        <v>4082</v>
      </c>
      <c r="N752" t="s">
        <v>47</v>
      </c>
      <c r="O752" t="s">
        <v>48</v>
      </c>
      <c r="P752" t="s">
        <v>48</v>
      </c>
      <c r="Y752" t="s">
        <v>4083</v>
      </c>
    </row>
    <row r="753" spans="1:25">
      <c r="A753" t="s">
        <v>4084</v>
      </c>
      <c r="B753" t="s">
        <v>4085</v>
      </c>
      <c r="D753" t="s">
        <v>40</v>
      </c>
      <c r="E753" t="s">
        <v>41</v>
      </c>
      <c r="G753" t="s">
        <v>4086</v>
      </c>
      <c r="H753" t="s">
        <v>4087</v>
      </c>
      <c r="J753" t="s">
        <v>78</v>
      </c>
      <c r="K753" t="s">
        <v>79</v>
      </c>
      <c r="L753">
        <v>5</v>
      </c>
      <c r="M753" t="s">
        <v>4088</v>
      </c>
      <c r="N753" t="s">
        <v>47</v>
      </c>
      <c r="O753" t="s">
        <v>48</v>
      </c>
      <c r="P753" t="s">
        <v>48</v>
      </c>
      <c r="Y753" t="s">
        <v>4089</v>
      </c>
    </row>
    <row r="754" spans="1:25">
      <c r="A754" t="s">
        <v>4090</v>
      </c>
      <c r="B754" t="s">
        <v>4091</v>
      </c>
      <c r="D754" t="s">
        <v>40</v>
      </c>
      <c r="E754" t="s">
        <v>41</v>
      </c>
      <c r="G754" t="s">
        <v>4092</v>
      </c>
      <c r="H754" t="s">
        <v>4093</v>
      </c>
      <c r="J754" t="s">
        <v>44</v>
      </c>
      <c r="K754" t="s">
        <v>45</v>
      </c>
      <c r="L754">
        <v>5</v>
      </c>
      <c r="M754" t="s">
        <v>4094</v>
      </c>
      <c r="N754" t="s">
        <v>47</v>
      </c>
      <c r="O754" t="s">
        <v>48</v>
      </c>
      <c r="P754" t="s">
        <v>48</v>
      </c>
      <c r="Y754" t="s">
        <v>4095</v>
      </c>
    </row>
    <row r="755" spans="1:25">
      <c r="A755" t="s">
        <v>4096</v>
      </c>
      <c r="B755" t="s">
        <v>4097</v>
      </c>
      <c r="D755" t="s">
        <v>40</v>
      </c>
      <c r="E755" t="s">
        <v>41</v>
      </c>
      <c r="G755" t="s">
        <v>4098</v>
      </c>
      <c r="H755" t="s">
        <v>4099</v>
      </c>
      <c r="J755" t="s">
        <v>287</v>
      </c>
      <c r="K755" t="s">
        <v>288</v>
      </c>
      <c r="L755">
        <v>6</v>
      </c>
      <c r="M755" t="s">
        <v>4100</v>
      </c>
      <c r="N755" t="s">
        <v>290</v>
      </c>
      <c r="O755" t="s">
        <v>48</v>
      </c>
      <c r="P755" t="s">
        <v>48</v>
      </c>
      <c r="Y755" t="s">
        <v>4101</v>
      </c>
    </row>
    <row r="756" spans="1:25">
      <c r="A756" t="s">
        <v>4102</v>
      </c>
      <c r="B756" t="s">
        <v>4103</v>
      </c>
      <c r="D756" t="s">
        <v>40</v>
      </c>
      <c r="E756" t="s">
        <v>41</v>
      </c>
      <c r="G756" t="s">
        <v>2043</v>
      </c>
      <c r="H756" t="s">
        <v>4104</v>
      </c>
      <c r="J756" t="s">
        <v>44</v>
      </c>
      <c r="K756" t="s">
        <v>45</v>
      </c>
      <c r="L756">
        <v>5</v>
      </c>
      <c r="M756" t="s">
        <v>4105</v>
      </c>
      <c r="N756" t="s">
        <v>47</v>
      </c>
      <c r="O756" t="s">
        <v>48</v>
      </c>
      <c r="P756" t="s">
        <v>48</v>
      </c>
      <c r="Y756" t="s">
        <v>4106</v>
      </c>
    </row>
    <row r="757" spans="1:25">
      <c r="A757" t="s">
        <v>4107</v>
      </c>
      <c r="B757" t="s">
        <v>4108</v>
      </c>
      <c r="D757" t="s">
        <v>40</v>
      </c>
      <c r="E757" t="s">
        <v>41</v>
      </c>
      <c r="G757" t="s">
        <v>382</v>
      </c>
      <c r="H757" t="s">
        <v>4109</v>
      </c>
      <c r="J757" t="s">
        <v>90</v>
      </c>
      <c r="K757" t="s">
        <v>91</v>
      </c>
      <c r="L757">
        <v>5</v>
      </c>
      <c r="M757" t="s">
        <v>4110</v>
      </c>
      <c r="N757" t="s">
        <v>47</v>
      </c>
      <c r="O757" t="s">
        <v>48</v>
      </c>
      <c r="P757" t="s">
        <v>48</v>
      </c>
      <c r="Y757" t="s">
        <v>4111</v>
      </c>
    </row>
    <row r="758" spans="1:25">
      <c r="A758" t="s">
        <v>4112</v>
      </c>
      <c r="B758" t="s">
        <v>4113</v>
      </c>
      <c r="D758" t="s">
        <v>40</v>
      </c>
      <c r="E758" t="s">
        <v>41</v>
      </c>
      <c r="G758" t="s">
        <v>4114</v>
      </c>
      <c r="H758" t="s">
        <v>4115</v>
      </c>
      <c r="J758" t="s">
        <v>78</v>
      </c>
      <c r="K758" t="s">
        <v>79</v>
      </c>
      <c r="L758">
        <v>5</v>
      </c>
      <c r="M758" t="s">
        <v>4116</v>
      </c>
      <c r="N758" t="s">
        <v>47</v>
      </c>
      <c r="O758" t="s">
        <v>48</v>
      </c>
      <c r="P758" t="s">
        <v>48</v>
      </c>
      <c r="Y758" t="s">
        <v>4117</v>
      </c>
    </row>
    <row r="759" spans="1:25">
      <c r="A759" t="s">
        <v>4118</v>
      </c>
      <c r="B759" t="s">
        <v>4119</v>
      </c>
      <c r="D759" t="s">
        <v>40</v>
      </c>
      <c r="E759" t="s">
        <v>41</v>
      </c>
      <c r="G759" t="s">
        <v>4120</v>
      </c>
      <c r="H759" t="s">
        <v>4121</v>
      </c>
      <c r="J759" t="s">
        <v>78</v>
      </c>
      <c r="K759" t="s">
        <v>79</v>
      </c>
      <c r="L759">
        <v>5</v>
      </c>
      <c r="M759" t="s">
        <v>4116</v>
      </c>
      <c r="N759" t="s">
        <v>47</v>
      </c>
      <c r="O759" t="s">
        <v>48</v>
      </c>
      <c r="P759" t="s">
        <v>48</v>
      </c>
      <c r="Y759" t="s">
        <v>4122</v>
      </c>
    </row>
    <row r="760" spans="1:25">
      <c r="A760" t="s">
        <v>4123</v>
      </c>
      <c r="B760" t="s">
        <v>4124</v>
      </c>
      <c r="D760" t="s">
        <v>40</v>
      </c>
      <c r="E760" t="s">
        <v>41</v>
      </c>
      <c r="G760" t="s">
        <v>4125</v>
      </c>
      <c r="H760" t="s">
        <v>4126</v>
      </c>
      <c r="J760" t="s">
        <v>44</v>
      </c>
      <c r="K760" t="s">
        <v>45</v>
      </c>
      <c r="L760">
        <v>5</v>
      </c>
      <c r="M760" t="s">
        <v>4116</v>
      </c>
      <c r="N760" t="s">
        <v>47</v>
      </c>
      <c r="O760" t="s">
        <v>48</v>
      </c>
      <c r="P760" t="s">
        <v>48</v>
      </c>
      <c r="Y760" t="s">
        <v>4127</v>
      </c>
    </row>
    <row r="761" spans="1:25">
      <c r="A761" t="s">
        <v>4128</v>
      </c>
      <c r="B761" t="s">
        <v>4129</v>
      </c>
      <c r="D761" t="s">
        <v>40</v>
      </c>
      <c r="E761" t="s">
        <v>41</v>
      </c>
      <c r="G761" t="s">
        <v>4130</v>
      </c>
      <c r="H761" t="s">
        <v>1686</v>
      </c>
      <c r="J761" t="s">
        <v>90</v>
      </c>
      <c r="K761" t="s">
        <v>91</v>
      </c>
      <c r="L761">
        <v>5</v>
      </c>
      <c r="M761" t="s">
        <v>4131</v>
      </c>
      <c r="N761" t="s">
        <v>47</v>
      </c>
      <c r="O761" t="s">
        <v>48</v>
      </c>
      <c r="P761" t="s">
        <v>48</v>
      </c>
      <c r="Y761" t="s">
        <v>4132</v>
      </c>
    </row>
    <row r="762" spans="1:25">
      <c r="A762" t="s">
        <v>4133</v>
      </c>
      <c r="B762" t="s">
        <v>4134</v>
      </c>
      <c r="D762" t="s">
        <v>40</v>
      </c>
      <c r="E762" t="s">
        <v>41</v>
      </c>
      <c r="G762" t="s">
        <v>4135</v>
      </c>
      <c r="H762" t="s">
        <v>2135</v>
      </c>
      <c r="J762" t="s">
        <v>133</v>
      </c>
      <c r="K762" t="s">
        <v>134</v>
      </c>
      <c r="L762">
        <v>5</v>
      </c>
      <c r="M762" t="s">
        <v>4136</v>
      </c>
      <c r="N762" t="s">
        <v>135</v>
      </c>
      <c r="O762" t="s">
        <v>48</v>
      </c>
      <c r="P762" t="s">
        <v>48</v>
      </c>
      <c r="Y762" t="s">
        <v>4137</v>
      </c>
    </row>
    <row r="763" spans="1:25">
      <c r="A763" t="s">
        <v>4138</v>
      </c>
      <c r="B763" t="s">
        <v>4139</v>
      </c>
      <c r="D763" t="s">
        <v>40</v>
      </c>
      <c r="E763" t="s">
        <v>41</v>
      </c>
      <c r="G763" t="s">
        <v>4140</v>
      </c>
      <c r="H763" t="s">
        <v>4141</v>
      </c>
      <c r="J763" t="s">
        <v>44</v>
      </c>
      <c r="K763" t="s">
        <v>45</v>
      </c>
      <c r="L763">
        <v>5</v>
      </c>
      <c r="M763" t="s">
        <v>4142</v>
      </c>
      <c r="N763" t="s">
        <v>47</v>
      </c>
      <c r="O763" t="s">
        <v>48</v>
      </c>
      <c r="P763" t="s">
        <v>48</v>
      </c>
      <c r="Y763" t="s">
        <v>4143</v>
      </c>
    </row>
    <row r="764" spans="1:25">
      <c r="A764" t="s">
        <v>4144</v>
      </c>
      <c r="B764" t="s">
        <v>4145</v>
      </c>
      <c r="D764" t="s">
        <v>40</v>
      </c>
      <c r="E764" t="s">
        <v>41</v>
      </c>
      <c r="G764" t="s">
        <v>4146</v>
      </c>
      <c r="H764" t="s">
        <v>513</v>
      </c>
      <c r="J764" t="s">
        <v>133</v>
      </c>
      <c r="K764" t="s">
        <v>134</v>
      </c>
      <c r="L764">
        <v>5</v>
      </c>
      <c r="M764" t="s">
        <v>4147</v>
      </c>
      <c r="N764" t="s">
        <v>685</v>
      </c>
      <c r="O764" t="s">
        <v>48</v>
      </c>
      <c r="P764" t="s">
        <v>48</v>
      </c>
      <c r="Y764" t="s">
        <v>4148</v>
      </c>
    </row>
    <row r="765" spans="1:25">
      <c r="A765" t="s">
        <v>4149</v>
      </c>
      <c r="B765" t="s">
        <v>4150</v>
      </c>
      <c r="D765" t="s">
        <v>40</v>
      </c>
      <c r="E765" t="s">
        <v>41</v>
      </c>
      <c r="G765" t="s">
        <v>4151</v>
      </c>
      <c r="H765" t="s">
        <v>610</v>
      </c>
      <c r="J765" t="s">
        <v>44</v>
      </c>
      <c r="K765" t="s">
        <v>45</v>
      </c>
      <c r="L765">
        <v>5</v>
      </c>
      <c r="M765" t="s">
        <v>4152</v>
      </c>
      <c r="N765" t="s">
        <v>47</v>
      </c>
      <c r="O765" t="s">
        <v>48</v>
      </c>
      <c r="P765" t="s">
        <v>48</v>
      </c>
      <c r="Y765" t="s">
        <v>4153</v>
      </c>
    </row>
    <row r="766" spans="1:25">
      <c r="A766" t="s">
        <v>4154</v>
      </c>
      <c r="B766" t="s">
        <v>4155</v>
      </c>
      <c r="D766" t="s">
        <v>40</v>
      </c>
      <c r="E766" t="s">
        <v>41</v>
      </c>
      <c r="G766" t="s">
        <v>4156</v>
      </c>
      <c r="H766" t="s">
        <v>4157</v>
      </c>
      <c r="J766" t="s">
        <v>44</v>
      </c>
      <c r="K766" t="s">
        <v>45</v>
      </c>
      <c r="L766">
        <v>5</v>
      </c>
      <c r="M766" t="s">
        <v>4158</v>
      </c>
      <c r="N766" t="s">
        <v>47</v>
      </c>
      <c r="O766" t="s">
        <v>48</v>
      </c>
      <c r="P766" t="s">
        <v>48</v>
      </c>
      <c r="Y766" t="s">
        <v>4159</v>
      </c>
    </row>
    <row r="767" spans="1:25">
      <c r="A767" t="s">
        <v>4160</v>
      </c>
      <c r="B767" t="s">
        <v>4161</v>
      </c>
      <c r="D767" t="s">
        <v>40</v>
      </c>
      <c r="E767" t="s">
        <v>41</v>
      </c>
      <c r="G767" t="s">
        <v>4162</v>
      </c>
      <c r="H767" t="s">
        <v>1653</v>
      </c>
      <c r="J767" t="s">
        <v>90</v>
      </c>
      <c r="K767" t="s">
        <v>91</v>
      </c>
      <c r="L767">
        <v>5</v>
      </c>
      <c r="M767" t="s">
        <v>4163</v>
      </c>
      <c r="N767" t="s">
        <v>47</v>
      </c>
      <c r="O767" t="s">
        <v>48</v>
      </c>
      <c r="P767" t="s">
        <v>48</v>
      </c>
      <c r="Y767" t="s">
        <v>4164</v>
      </c>
    </row>
    <row r="768" spans="1:25">
      <c r="A768" t="s">
        <v>4165</v>
      </c>
      <c r="B768" t="s">
        <v>4166</v>
      </c>
      <c r="D768" t="s">
        <v>40</v>
      </c>
      <c r="E768" t="s">
        <v>41</v>
      </c>
      <c r="G768" t="s">
        <v>4167</v>
      </c>
      <c r="H768" t="s">
        <v>4168</v>
      </c>
      <c r="J768" t="s">
        <v>2328</v>
      </c>
      <c r="K768" t="s">
        <v>2329</v>
      </c>
      <c r="L768">
        <v>5</v>
      </c>
      <c r="M768" t="s">
        <v>4169</v>
      </c>
      <c r="N768" t="s">
        <v>685</v>
      </c>
      <c r="O768" t="s">
        <v>48</v>
      </c>
      <c r="P768" t="s">
        <v>48</v>
      </c>
      <c r="Y768" t="s">
        <v>4170</v>
      </c>
    </row>
    <row r="769" spans="1:25">
      <c r="A769" t="s">
        <v>4171</v>
      </c>
      <c r="B769" t="s">
        <v>4172</v>
      </c>
      <c r="D769" t="s">
        <v>40</v>
      </c>
      <c r="E769" t="s">
        <v>41</v>
      </c>
      <c r="G769" t="s">
        <v>3050</v>
      </c>
      <c r="H769" t="s">
        <v>4173</v>
      </c>
      <c r="J769" t="s">
        <v>90</v>
      </c>
      <c r="K769" t="s">
        <v>91</v>
      </c>
      <c r="L769">
        <v>5</v>
      </c>
      <c r="M769" t="s">
        <v>4174</v>
      </c>
      <c r="N769" t="s">
        <v>47</v>
      </c>
      <c r="O769" t="s">
        <v>48</v>
      </c>
      <c r="P769" t="s">
        <v>48</v>
      </c>
      <c r="Y769" t="s">
        <v>4175</v>
      </c>
    </row>
    <row r="770" spans="1:25">
      <c r="A770" t="s">
        <v>4176</v>
      </c>
      <c r="B770" t="s">
        <v>4177</v>
      </c>
      <c r="D770" t="s">
        <v>40</v>
      </c>
      <c r="E770" t="s">
        <v>41</v>
      </c>
      <c r="J770" t="s">
        <v>44</v>
      </c>
      <c r="K770" t="s">
        <v>45</v>
      </c>
      <c r="L770">
        <v>5</v>
      </c>
      <c r="M770" t="s">
        <v>4178</v>
      </c>
      <c r="N770" t="s">
        <v>47</v>
      </c>
      <c r="O770" t="s">
        <v>48</v>
      </c>
      <c r="P770" t="s">
        <v>48</v>
      </c>
      <c r="Y770" t="s">
        <v>4179</v>
      </c>
    </row>
    <row r="771" spans="1:25">
      <c r="A771" t="s">
        <v>4180</v>
      </c>
      <c r="B771" t="s">
        <v>4181</v>
      </c>
      <c r="D771" t="s">
        <v>40</v>
      </c>
      <c r="E771" t="s">
        <v>41</v>
      </c>
      <c r="G771" t="s">
        <v>3828</v>
      </c>
      <c r="H771" t="s">
        <v>168</v>
      </c>
      <c r="J771" t="s">
        <v>54</v>
      </c>
      <c r="K771" t="s">
        <v>55</v>
      </c>
      <c r="L771">
        <v>5</v>
      </c>
      <c r="M771" t="s">
        <v>4182</v>
      </c>
      <c r="N771" t="s">
        <v>47</v>
      </c>
      <c r="O771" t="s">
        <v>48</v>
      </c>
      <c r="P771" t="s">
        <v>48</v>
      </c>
      <c r="Y771" t="s">
        <v>4183</v>
      </c>
    </row>
    <row r="772" spans="1:25">
      <c r="A772" t="s">
        <v>4184</v>
      </c>
      <c r="B772" t="s">
        <v>4185</v>
      </c>
      <c r="D772" t="s">
        <v>40</v>
      </c>
      <c r="E772" t="s">
        <v>41</v>
      </c>
      <c r="G772" t="s">
        <v>4186</v>
      </c>
      <c r="H772" t="s">
        <v>4187</v>
      </c>
      <c r="J772" t="s">
        <v>90</v>
      </c>
      <c r="K772" t="s">
        <v>91</v>
      </c>
      <c r="L772">
        <v>5</v>
      </c>
      <c r="M772" t="s">
        <v>4188</v>
      </c>
      <c r="N772" t="s">
        <v>47</v>
      </c>
      <c r="O772" t="s">
        <v>48</v>
      </c>
      <c r="P772" t="s">
        <v>48</v>
      </c>
      <c r="Y772" t="s">
        <v>4189</v>
      </c>
    </row>
    <row r="773" spans="1:25">
      <c r="A773" t="s">
        <v>4190</v>
      </c>
      <c r="B773" t="s">
        <v>4191</v>
      </c>
      <c r="D773" t="s">
        <v>40</v>
      </c>
      <c r="E773" t="s">
        <v>41</v>
      </c>
      <c r="G773" t="s">
        <v>4192</v>
      </c>
      <c r="H773" t="s">
        <v>4193</v>
      </c>
      <c r="J773" t="s">
        <v>54</v>
      </c>
      <c r="K773" t="s">
        <v>55</v>
      </c>
      <c r="L773">
        <v>5</v>
      </c>
      <c r="M773" t="s">
        <v>4194</v>
      </c>
      <c r="N773" t="s">
        <v>47</v>
      </c>
      <c r="O773" t="s">
        <v>48</v>
      </c>
      <c r="P773" t="s">
        <v>48</v>
      </c>
      <c r="Y773" t="s">
        <v>4195</v>
      </c>
    </row>
    <row r="774" spans="1:25">
      <c r="A774" t="s">
        <v>4196</v>
      </c>
      <c r="B774" t="s">
        <v>4197</v>
      </c>
      <c r="D774" t="s">
        <v>40</v>
      </c>
      <c r="E774" t="s">
        <v>41</v>
      </c>
      <c r="G774" t="s">
        <v>4198</v>
      </c>
      <c r="H774" t="s">
        <v>4199</v>
      </c>
      <c r="J774" t="s">
        <v>90</v>
      </c>
      <c r="K774" t="s">
        <v>91</v>
      </c>
      <c r="L774">
        <v>5</v>
      </c>
      <c r="M774" t="s">
        <v>4194</v>
      </c>
      <c r="N774" t="s">
        <v>47</v>
      </c>
      <c r="O774" t="s">
        <v>48</v>
      </c>
      <c r="P774" t="s">
        <v>48</v>
      </c>
      <c r="Y774" t="s">
        <v>4200</v>
      </c>
    </row>
    <row r="775" spans="1:25">
      <c r="A775" t="s">
        <v>4201</v>
      </c>
      <c r="B775" t="s">
        <v>4202</v>
      </c>
      <c r="D775" t="s">
        <v>40</v>
      </c>
      <c r="E775" t="s">
        <v>41</v>
      </c>
      <c r="G775" t="s">
        <v>4203</v>
      </c>
      <c r="H775" t="s">
        <v>4204</v>
      </c>
      <c r="J775" t="s">
        <v>133</v>
      </c>
      <c r="K775" t="s">
        <v>134</v>
      </c>
      <c r="L775">
        <v>5</v>
      </c>
      <c r="M775" t="s">
        <v>4194</v>
      </c>
      <c r="N775" t="s">
        <v>135</v>
      </c>
      <c r="O775" t="s">
        <v>48</v>
      </c>
      <c r="P775" t="s">
        <v>48</v>
      </c>
      <c r="Y775" t="s">
        <v>4205</v>
      </c>
    </row>
    <row r="776" spans="1:25">
      <c r="A776" t="s">
        <v>4206</v>
      </c>
      <c r="B776" t="s">
        <v>4207</v>
      </c>
      <c r="D776" t="s">
        <v>40</v>
      </c>
      <c r="E776" t="s">
        <v>41</v>
      </c>
      <c r="G776" t="s">
        <v>4208</v>
      </c>
      <c r="H776" t="s">
        <v>4209</v>
      </c>
      <c r="J776" t="s">
        <v>44</v>
      </c>
      <c r="K776" t="s">
        <v>45</v>
      </c>
      <c r="L776">
        <v>5</v>
      </c>
      <c r="M776" t="s">
        <v>4194</v>
      </c>
      <c r="N776" t="s">
        <v>47</v>
      </c>
      <c r="O776" t="s">
        <v>48</v>
      </c>
      <c r="P776" t="s">
        <v>48</v>
      </c>
      <c r="Y776" t="s">
        <v>4210</v>
      </c>
    </row>
    <row r="777" spans="1:25">
      <c r="A777" t="s">
        <v>4211</v>
      </c>
      <c r="B777" t="s">
        <v>4212</v>
      </c>
      <c r="D777" t="s">
        <v>40</v>
      </c>
      <c r="E777" t="s">
        <v>41</v>
      </c>
      <c r="G777" t="s">
        <v>4213</v>
      </c>
      <c r="H777" t="s">
        <v>4214</v>
      </c>
      <c r="J777" t="s">
        <v>54</v>
      </c>
      <c r="K777" t="s">
        <v>55</v>
      </c>
      <c r="L777">
        <v>5</v>
      </c>
      <c r="M777" t="s">
        <v>4215</v>
      </c>
      <c r="N777" t="s">
        <v>47</v>
      </c>
      <c r="O777" t="s">
        <v>48</v>
      </c>
      <c r="P777" t="s">
        <v>48</v>
      </c>
      <c r="Y777" t="s">
        <v>4216</v>
      </c>
    </row>
    <row r="778" spans="1:25">
      <c r="A778" t="s">
        <v>4217</v>
      </c>
      <c r="B778" t="s">
        <v>4218</v>
      </c>
      <c r="D778" t="s">
        <v>40</v>
      </c>
      <c r="E778" t="s">
        <v>41</v>
      </c>
      <c r="G778" t="s">
        <v>4219</v>
      </c>
      <c r="H778" t="s">
        <v>4220</v>
      </c>
      <c r="J778" t="s">
        <v>90</v>
      </c>
      <c r="K778" t="s">
        <v>91</v>
      </c>
      <c r="L778">
        <v>5</v>
      </c>
      <c r="M778" t="s">
        <v>4221</v>
      </c>
      <c r="N778" t="s">
        <v>47</v>
      </c>
      <c r="O778" t="s">
        <v>48</v>
      </c>
      <c r="P778" t="s">
        <v>48</v>
      </c>
      <c r="Y778" t="s">
        <v>4222</v>
      </c>
    </row>
    <row r="779" spans="1:25">
      <c r="A779" t="s">
        <v>4223</v>
      </c>
      <c r="B779" t="s">
        <v>4224</v>
      </c>
      <c r="D779" t="s">
        <v>40</v>
      </c>
      <c r="E779" t="s">
        <v>41</v>
      </c>
      <c r="G779" t="s">
        <v>4225</v>
      </c>
      <c r="H779" t="s">
        <v>1486</v>
      </c>
      <c r="J779" t="s">
        <v>90</v>
      </c>
      <c r="K779" t="s">
        <v>91</v>
      </c>
      <c r="L779">
        <v>5</v>
      </c>
      <c r="M779" t="s">
        <v>4221</v>
      </c>
      <c r="N779" t="s">
        <v>47</v>
      </c>
      <c r="O779" t="s">
        <v>48</v>
      </c>
      <c r="P779" t="s">
        <v>48</v>
      </c>
      <c r="Y779" t="s">
        <v>4226</v>
      </c>
    </row>
    <row r="780" spans="1:25">
      <c r="A780" t="s">
        <v>4227</v>
      </c>
      <c r="B780" t="s">
        <v>4228</v>
      </c>
      <c r="D780" t="s">
        <v>40</v>
      </c>
      <c r="E780" t="s">
        <v>41</v>
      </c>
      <c r="G780" t="s">
        <v>3491</v>
      </c>
      <c r="H780" t="s">
        <v>4229</v>
      </c>
      <c r="J780" t="s">
        <v>90</v>
      </c>
      <c r="K780" t="s">
        <v>91</v>
      </c>
      <c r="L780">
        <v>5</v>
      </c>
      <c r="M780" t="s">
        <v>4230</v>
      </c>
      <c r="N780" t="s">
        <v>47</v>
      </c>
      <c r="O780" t="s">
        <v>48</v>
      </c>
      <c r="P780" t="s">
        <v>48</v>
      </c>
      <c r="Y780" t="s">
        <v>4231</v>
      </c>
    </row>
    <row r="781" spans="1:25">
      <c r="A781" t="s">
        <v>4232</v>
      </c>
      <c r="B781" t="s">
        <v>4233</v>
      </c>
      <c r="D781" t="s">
        <v>40</v>
      </c>
      <c r="E781" t="s">
        <v>41</v>
      </c>
      <c r="G781" t="s">
        <v>4234</v>
      </c>
      <c r="H781" t="s">
        <v>4235</v>
      </c>
      <c r="J781" t="s">
        <v>78</v>
      </c>
      <c r="K781" t="s">
        <v>79</v>
      </c>
      <c r="L781">
        <v>5</v>
      </c>
      <c r="M781" t="s">
        <v>4236</v>
      </c>
      <c r="N781" t="s">
        <v>47</v>
      </c>
      <c r="O781" t="s">
        <v>48</v>
      </c>
      <c r="P781" t="s">
        <v>48</v>
      </c>
      <c r="Y781" t="s">
        <v>4237</v>
      </c>
    </row>
    <row r="782" spans="1:25">
      <c r="A782" t="s">
        <v>4238</v>
      </c>
      <c r="B782" t="s">
        <v>4239</v>
      </c>
      <c r="D782" t="s">
        <v>40</v>
      </c>
      <c r="E782" t="s">
        <v>41</v>
      </c>
      <c r="G782" t="s">
        <v>4240</v>
      </c>
      <c r="H782" t="s">
        <v>4241</v>
      </c>
      <c r="J782" t="s">
        <v>90</v>
      </c>
      <c r="K782" t="s">
        <v>91</v>
      </c>
      <c r="L782">
        <v>5</v>
      </c>
      <c r="M782" t="s">
        <v>4242</v>
      </c>
      <c r="N782" t="s">
        <v>47</v>
      </c>
      <c r="O782" t="s">
        <v>48</v>
      </c>
      <c r="P782" t="s">
        <v>48</v>
      </c>
      <c r="Y782" t="s">
        <v>4243</v>
      </c>
    </row>
    <row r="783" spans="1:25">
      <c r="A783" t="s">
        <v>4244</v>
      </c>
      <c r="B783" t="s">
        <v>4245</v>
      </c>
      <c r="D783" t="s">
        <v>40</v>
      </c>
      <c r="E783" t="s">
        <v>41</v>
      </c>
      <c r="G783" t="s">
        <v>4246</v>
      </c>
      <c r="H783" t="s">
        <v>2523</v>
      </c>
      <c r="J783" t="s">
        <v>90</v>
      </c>
      <c r="K783" t="s">
        <v>91</v>
      </c>
      <c r="L783">
        <v>5</v>
      </c>
      <c r="M783" t="s">
        <v>4247</v>
      </c>
      <c r="N783" t="s">
        <v>47</v>
      </c>
      <c r="O783" t="s">
        <v>48</v>
      </c>
      <c r="P783" t="s">
        <v>48</v>
      </c>
      <c r="Y783" t="s">
        <v>4248</v>
      </c>
    </row>
    <row r="784" spans="1:25">
      <c r="A784" t="s">
        <v>4249</v>
      </c>
      <c r="B784" t="s">
        <v>4250</v>
      </c>
      <c r="D784" t="s">
        <v>40</v>
      </c>
      <c r="E784" t="s">
        <v>41</v>
      </c>
      <c r="G784" t="s">
        <v>4251</v>
      </c>
      <c r="H784" t="s">
        <v>447</v>
      </c>
      <c r="J784" t="s">
        <v>390</v>
      </c>
      <c r="K784" t="s">
        <v>390</v>
      </c>
      <c r="L784">
        <v>5</v>
      </c>
      <c r="M784" t="s">
        <v>4247</v>
      </c>
      <c r="N784" t="s">
        <v>685</v>
      </c>
      <c r="O784" t="s">
        <v>48</v>
      </c>
      <c r="P784" t="s">
        <v>48</v>
      </c>
      <c r="Y784" t="s">
        <v>4252</v>
      </c>
    </row>
    <row r="785" spans="1:25">
      <c r="A785" t="s">
        <v>4253</v>
      </c>
      <c r="B785" t="s">
        <v>4254</v>
      </c>
      <c r="D785" t="s">
        <v>40</v>
      </c>
      <c r="E785" t="s">
        <v>41</v>
      </c>
      <c r="G785" t="s">
        <v>4225</v>
      </c>
      <c r="H785" t="s">
        <v>4255</v>
      </c>
      <c r="J785" t="s">
        <v>44</v>
      </c>
      <c r="K785" t="s">
        <v>45</v>
      </c>
      <c r="L785">
        <v>5</v>
      </c>
      <c r="M785" t="s">
        <v>4247</v>
      </c>
      <c r="N785" t="s">
        <v>47</v>
      </c>
      <c r="O785" t="s">
        <v>48</v>
      </c>
      <c r="P785" t="s">
        <v>48</v>
      </c>
      <c r="Y785" t="s">
        <v>4256</v>
      </c>
    </row>
    <row r="786" spans="1:25">
      <c r="A786" t="s">
        <v>4257</v>
      </c>
      <c r="B786" t="s">
        <v>4258</v>
      </c>
      <c r="D786" t="s">
        <v>40</v>
      </c>
      <c r="E786" t="s">
        <v>41</v>
      </c>
      <c r="G786" t="s">
        <v>4259</v>
      </c>
      <c r="H786" t="s">
        <v>3303</v>
      </c>
      <c r="J786" t="s">
        <v>44</v>
      </c>
      <c r="K786" t="s">
        <v>45</v>
      </c>
      <c r="L786">
        <v>5</v>
      </c>
      <c r="M786" t="s">
        <v>4247</v>
      </c>
      <c r="N786" t="s">
        <v>47</v>
      </c>
      <c r="O786" t="s">
        <v>48</v>
      </c>
      <c r="P786" t="s">
        <v>48</v>
      </c>
      <c r="Y786" t="s">
        <v>4260</v>
      </c>
    </row>
    <row r="787" spans="1:25">
      <c r="A787" t="s">
        <v>4261</v>
      </c>
      <c r="B787" t="s">
        <v>4262</v>
      </c>
      <c r="D787" t="s">
        <v>40</v>
      </c>
      <c r="E787" t="s">
        <v>41</v>
      </c>
      <c r="J787" t="s">
        <v>90</v>
      </c>
      <c r="K787" t="s">
        <v>91</v>
      </c>
      <c r="L787">
        <v>5</v>
      </c>
      <c r="M787" t="s">
        <v>4263</v>
      </c>
      <c r="N787" t="s">
        <v>47</v>
      </c>
      <c r="O787" t="s">
        <v>48</v>
      </c>
      <c r="P787" t="s">
        <v>48</v>
      </c>
      <c r="Y787" t="s">
        <v>4264</v>
      </c>
    </row>
    <row r="788" spans="1:25">
      <c r="A788" t="s">
        <v>4265</v>
      </c>
      <c r="B788" t="s">
        <v>4266</v>
      </c>
      <c r="D788" t="s">
        <v>40</v>
      </c>
      <c r="E788" t="s">
        <v>41</v>
      </c>
      <c r="G788" t="s">
        <v>4267</v>
      </c>
      <c r="H788" t="s">
        <v>4268</v>
      </c>
      <c r="J788" t="s">
        <v>90</v>
      </c>
      <c r="K788" t="s">
        <v>91</v>
      </c>
      <c r="L788">
        <v>5</v>
      </c>
      <c r="M788" t="s">
        <v>4263</v>
      </c>
      <c r="N788" t="s">
        <v>47</v>
      </c>
      <c r="O788" t="s">
        <v>48</v>
      </c>
      <c r="P788" t="s">
        <v>48</v>
      </c>
      <c r="Y788" t="s">
        <v>4269</v>
      </c>
    </row>
    <row r="789" spans="1:25">
      <c r="A789" t="s">
        <v>4270</v>
      </c>
      <c r="B789" t="s">
        <v>4271</v>
      </c>
      <c r="D789" t="s">
        <v>40</v>
      </c>
      <c r="E789" t="s">
        <v>41</v>
      </c>
      <c r="G789" t="s">
        <v>4272</v>
      </c>
      <c r="H789" t="s">
        <v>4273</v>
      </c>
      <c r="J789" t="s">
        <v>44</v>
      </c>
      <c r="K789" t="s">
        <v>45</v>
      </c>
      <c r="L789">
        <v>5</v>
      </c>
      <c r="M789" t="s">
        <v>4274</v>
      </c>
      <c r="N789" t="s">
        <v>47</v>
      </c>
      <c r="O789" t="s">
        <v>48</v>
      </c>
      <c r="P789" t="s">
        <v>48</v>
      </c>
      <c r="Y789" t="s">
        <v>4275</v>
      </c>
    </row>
    <row r="790" spans="1:25">
      <c r="A790" t="s">
        <v>4276</v>
      </c>
      <c r="B790" t="s">
        <v>4277</v>
      </c>
      <c r="D790" t="s">
        <v>40</v>
      </c>
      <c r="E790" t="s">
        <v>41</v>
      </c>
      <c r="G790" t="s">
        <v>4278</v>
      </c>
      <c r="H790" t="s">
        <v>1000</v>
      </c>
      <c r="J790" t="s">
        <v>90</v>
      </c>
      <c r="K790" t="s">
        <v>91</v>
      </c>
      <c r="L790">
        <v>5</v>
      </c>
      <c r="M790" t="s">
        <v>4279</v>
      </c>
      <c r="N790" t="s">
        <v>47</v>
      </c>
      <c r="O790" t="s">
        <v>48</v>
      </c>
      <c r="P790" t="s">
        <v>48</v>
      </c>
      <c r="Y790" t="s">
        <v>4280</v>
      </c>
    </row>
    <row r="791" spans="1:25">
      <c r="A791" t="s">
        <v>4281</v>
      </c>
      <c r="B791" t="s">
        <v>4282</v>
      </c>
      <c r="D791" t="s">
        <v>40</v>
      </c>
      <c r="E791" t="s">
        <v>41</v>
      </c>
      <c r="G791" t="s">
        <v>4283</v>
      </c>
      <c r="H791" t="s">
        <v>4284</v>
      </c>
      <c r="J791" t="s">
        <v>133</v>
      </c>
      <c r="K791" t="s">
        <v>134</v>
      </c>
      <c r="L791">
        <v>5</v>
      </c>
      <c r="M791" t="s">
        <v>4279</v>
      </c>
      <c r="N791" t="s">
        <v>135</v>
      </c>
      <c r="O791" t="s">
        <v>48</v>
      </c>
      <c r="P791" t="s">
        <v>48</v>
      </c>
      <c r="Y791" t="s">
        <v>4285</v>
      </c>
    </row>
    <row r="792" spans="1:25">
      <c r="A792" t="s">
        <v>4286</v>
      </c>
      <c r="B792" t="s">
        <v>4287</v>
      </c>
      <c r="D792" t="s">
        <v>40</v>
      </c>
      <c r="E792" t="s">
        <v>41</v>
      </c>
      <c r="G792" t="s">
        <v>4288</v>
      </c>
      <c r="H792" t="s">
        <v>4289</v>
      </c>
      <c r="J792" t="s">
        <v>44</v>
      </c>
      <c r="K792" t="s">
        <v>45</v>
      </c>
      <c r="L792">
        <v>5</v>
      </c>
      <c r="M792" t="s">
        <v>4279</v>
      </c>
      <c r="N792" t="s">
        <v>47</v>
      </c>
      <c r="O792" t="s">
        <v>48</v>
      </c>
      <c r="P792" t="s">
        <v>48</v>
      </c>
      <c r="Y792" t="s">
        <v>4290</v>
      </c>
    </row>
    <row r="793" spans="1:25">
      <c r="A793" t="s">
        <v>4291</v>
      </c>
      <c r="B793" t="s">
        <v>4292</v>
      </c>
      <c r="D793" t="s">
        <v>40</v>
      </c>
      <c r="E793" t="s">
        <v>41</v>
      </c>
      <c r="G793" t="s">
        <v>4293</v>
      </c>
      <c r="H793" t="s">
        <v>4294</v>
      </c>
      <c r="J793" t="s">
        <v>90</v>
      </c>
      <c r="K793" t="s">
        <v>91</v>
      </c>
      <c r="L793">
        <v>5</v>
      </c>
      <c r="M793" t="s">
        <v>4295</v>
      </c>
      <c r="N793" t="s">
        <v>47</v>
      </c>
      <c r="O793" t="s">
        <v>48</v>
      </c>
      <c r="P793" t="s">
        <v>48</v>
      </c>
      <c r="Y793" t="s">
        <v>4296</v>
      </c>
    </row>
    <row r="794" spans="1:25">
      <c r="A794" t="s">
        <v>4297</v>
      </c>
      <c r="B794" t="s">
        <v>4298</v>
      </c>
      <c r="D794" t="s">
        <v>40</v>
      </c>
      <c r="E794" t="s">
        <v>41</v>
      </c>
      <c r="G794" t="s">
        <v>4299</v>
      </c>
      <c r="H794" t="s">
        <v>4300</v>
      </c>
      <c r="J794" t="s">
        <v>353</v>
      </c>
      <c r="K794" t="s">
        <v>354</v>
      </c>
      <c r="L794">
        <v>5</v>
      </c>
      <c r="M794" t="s">
        <v>4301</v>
      </c>
      <c r="N794" t="s">
        <v>685</v>
      </c>
      <c r="O794" t="s">
        <v>48</v>
      </c>
      <c r="P794" t="s">
        <v>48</v>
      </c>
      <c r="Y794" t="s">
        <v>4302</v>
      </c>
    </row>
    <row r="795" spans="1:25">
      <c r="A795" t="s">
        <v>4303</v>
      </c>
      <c r="B795" t="s">
        <v>4304</v>
      </c>
      <c r="D795" t="s">
        <v>40</v>
      </c>
      <c r="E795" t="s">
        <v>41</v>
      </c>
      <c r="G795" t="s">
        <v>2749</v>
      </c>
      <c r="H795" t="s">
        <v>4305</v>
      </c>
      <c r="J795" t="s">
        <v>54</v>
      </c>
      <c r="K795" t="s">
        <v>55</v>
      </c>
      <c r="L795">
        <v>5</v>
      </c>
      <c r="M795" t="s">
        <v>4306</v>
      </c>
      <c r="N795" t="s">
        <v>47</v>
      </c>
      <c r="O795" t="s">
        <v>48</v>
      </c>
      <c r="P795" t="s">
        <v>48</v>
      </c>
      <c r="Y795" t="s">
        <v>4307</v>
      </c>
    </row>
    <row r="796" spans="1:25">
      <c r="A796" t="s">
        <v>4308</v>
      </c>
      <c r="B796" t="s">
        <v>4309</v>
      </c>
      <c r="D796" t="s">
        <v>40</v>
      </c>
      <c r="E796" t="s">
        <v>41</v>
      </c>
      <c r="G796" t="s">
        <v>4310</v>
      </c>
      <c r="H796" t="s">
        <v>4311</v>
      </c>
      <c r="J796" t="s">
        <v>90</v>
      </c>
      <c r="K796" t="s">
        <v>91</v>
      </c>
      <c r="L796">
        <v>5</v>
      </c>
      <c r="M796" t="s">
        <v>4312</v>
      </c>
      <c r="N796" t="s">
        <v>47</v>
      </c>
      <c r="O796" t="s">
        <v>48</v>
      </c>
      <c r="P796" t="s">
        <v>48</v>
      </c>
      <c r="Y796" t="s">
        <v>4313</v>
      </c>
    </row>
    <row r="797" spans="1:25">
      <c r="A797" t="s">
        <v>4314</v>
      </c>
      <c r="B797" t="s">
        <v>4315</v>
      </c>
      <c r="D797" t="s">
        <v>1832</v>
      </c>
      <c r="E797" t="s">
        <v>41</v>
      </c>
      <c r="J797" t="s">
        <v>353</v>
      </c>
      <c r="K797" t="s">
        <v>354</v>
      </c>
      <c r="L797">
        <v>5</v>
      </c>
      <c r="M797" t="s">
        <v>4312</v>
      </c>
      <c r="N797" t="s">
        <v>685</v>
      </c>
      <c r="O797" t="s">
        <v>1835</v>
      </c>
      <c r="P797" t="s">
        <v>1835</v>
      </c>
      <c r="Y797" t="s">
        <v>4316</v>
      </c>
    </row>
    <row r="798" spans="1:25">
      <c r="A798" t="s">
        <v>4317</v>
      </c>
      <c r="B798" t="s">
        <v>4318</v>
      </c>
      <c r="D798" t="s">
        <v>40</v>
      </c>
      <c r="E798" t="s">
        <v>41</v>
      </c>
      <c r="G798" t="s">
        <v>1365</v>
      </c>
      <c r="H798" t="s">
        <v>4319</v>
      </c>
      <c r="J798" t="s">
        <v>90</v>
      </c>
      <c r="K798" t="s">
        <v>91</v>
      </c>
      <c r="L798">
        <v>5</v>
      </c>
      <c r="M798" t="s">
        <v>4320</v>
      </c>
      <c r="N798" t="s">
        <v>47</v>
      </c>
      <c r="O798" t="s">
        <v>48</v>
      </c>
      <c r="P798" t="s">
        <v>48</v>
      </c>
      <c r="Y798" t="s">
        <v>4321</v>
      </c>
    </row>
    <row r="799" spans="1:25">
      <c r="A799" t="s">
        <v>4322</v>
      </c>
      <c r="B799" t="s">
        <v>4323</v>
      </c>
      <c r="D799" t="s">
        <v>40</v>
      </c>
      <c r="E799" t="s">
        <v>41</v>
      </c>
      <c r="G799" t="s">
        <v>4324</v>
      </c>
      <c r="H799" t="s">
        <v>4325</v>
      </c>
      <c r="J799" t="s">
        <v>353</v>
      </c>
      <c r="K799" t="s">
        <v>354</v>
      </c>
      <c r="L799">
        <v>5</v>
      </c>
      <c r="M799" t="s">
        <v>4326</v>
      </c>
      <c r="N799" t="s">
        <v>135</v>
      </c>
      <c r="O799" t="s">
        <v>48</v>
      </c>
      <c r="P799" t="s">
        <v>48</v>
      </c>
      <c r="Y799" t="s">
        <v>4327</v>
      </c>
    </row>
    <row r="800" spans="1:25">
      <c r="A800" t="s">
        <v>4328</v>
      </c>
      <c r="B800" t="s">
        <v>4329</v>
      </c>
      <c r="D800" t="s">
        <v>40</v>
      </c>
      <c r="E800" t="s">
        <v>41</v>
      </c>
      <c r="G800" t="s">
        <v>4330</v>
      </c>
      <c r="H800" t="s">
        <v>4331</v>
      </c>
      <c r="J800" t="s">
        <v>54</v>
      </c>
      <c r="K800" t="s">
        <v>55</v>
      </c>
      <c r="L800">
        <v>5</v>
      </c>
      <c r="M800" t="s">
        <v>4326</v>
      </c>
      <c r="N800" t="s">
        <v>47</v>
      </c>
      <c r="O800" t="s">
        <v>48</v>
      </c>
      <c r="P800" t="s">
        <v>48</v>
      </c>
      <c r="Y800" t="s">
        <v>4332</v>
      </c>
    </row>
    <row r="801" spans="1:25">
      <c r="A801" t="s">
        <v>4333</v>
      </c>
      <c r="B801" t="s">
        <v>4334</v>
      </c>
      <c r="D801" t="s">
        <v>40</v>
      </c>
      <c r="E801" t="s">
        <v>41</v>
      </c>
      <c r="G801" t="s">
        <v>2877</v>
      </c>
      <c r="H801" t="s">
        <v>346</v>
      </c>
      <c r="J801" t="s">
        <v>90</v>
      </c>
      <c r="K801" t="s">
        <v>91</v>
      </c>
      <c r="L801">
        <v>5</v>
      </c>
      <c r="M801" t="s">
        <v>4326</v>
      </c>
      <c r="N801" t="s">
        <v>47</v>
      </c>
      <c r="O801" t="s">
        <v>48</v>
      </c>
      <c r="P801" t="s">
        <v>48</v>
      </c>
      <c r="Y801" t="s">
        <v>4335</v>
      </c>
    </row>
    <row r="802" spans="1:25">
      <c r="A802" t="s">
        <v>4336</v>
      </c>
      <c r="B802" t="s">
        <v>4337</v>
      </c>
      <c r="D802" t="s">
        <v>40</v>
      </c>
      <c r="E802" t="s">
        <v>41</v>
      </c>
      <c r="G802" t="s">
        <v>4338</v>
      </c>
      <c r="H802" t="s">
        <v>4339</v>
      </c>
      <c r="J802" t="s">
        <v>78</v>
      </c>
      <c r="K802" t="s">
        <v>79</v>
      </c>
      <c r="L802">
        <v>5</v>
      </c>
      <c r="M802" t="s">
        <v>4326</v>
      </c>
      <c r="N802" t="s">
        <v>47</v>
      </c>
      <c r="O802" t="s">
        <v>48</v>
      </c>
      <c r="P802" t="s">
        <v>48</v>
      </c>
      <c r="Y802" t="s">
        <v>4340</v>
      </c>
    </row>
    <row r="803" spans="1:25">
      <c r="A803" t="s">
        <v>4341</v>
      </c>
      <c r="B803" t="s">
        <v>4342</v>
      </c>
      <c r="D803" t="s">
        <v>40</v>
      </c>
      <c r="E803" t="s">
        <v>41</v>
      </c>
      <c r="G803" t="s">
        <v>4343</v>
      </c>
      <c r="H803" t="s">
        <v>4344</v>
      </c>
      <c r="J803" t="s">
        <v>90</v>
      </c>
      <c r="K803" t="s">
        <v>91</v>
      </c>
      <c r="L803">
        <v>5</v>
      </c>
      <c r="M803" t="s">
        <v>4345</v>
      </c>
      <c r="N803" t="s">
        <v>47</v>
      </c>
      <c r="O803" t="s">
        <v>48</v>
      </c>
      <c r="P803" t="s">
        <v>48</v>
      </c>
      <c r="Y803" t="s">
        <v>4346</v>
      </c>
    </row>
    <row r="804" spans="1:25">
      <c r="A804" t="s">
        <v>4347</v>
      </c>
      <c r="B804" t="s">
        <v>4348</v>
      </c>
      <c r="D804" t="s">
        <v>40</v>
      </c>
      <c r="E804" t="s">
        <v>41</v>
      </c>
      <c r="G804" t="s">
        <v>4186</v>
      </c>
      <c r="H804" t="s">
        <v>4349</v>
      </c>
      <c r="J804" t="s">
        <v>90</v>
      </c>
      <c r="K804" t="s">
        <v>91</v>
      </c>
      <c r="L804">
        <v>5</v>
      </c>
      <c r="M804" t="s">
        <v>4350</v>
      </c>
      <c r="N804" t="s">
        <v>47</v>
      </c>
      <c r="O804" t="s">
        <v>48</v>
      </c>
      <c r="P804" t="s">
        <v>48</v>
      </c>
      <c r="Y804" t="s">
        <v>4351</v>
      </c>
    </row>
    <row r="805" spans="1:25">
      <c r="A805" t="s">
        <v>4352</v>
      </c>
      <c r="B805" t="s">
        <v>4353</v>
      </c>
      <c r="D805" t="s">
        <v>40</v>
      </c>
      <c r="E805" t="s">
        <v>41</v>
      </c>
      <c r="G805" t="s">
        <v>4354</v>
      </c>
      <c r="H805" t="s">
        <v>2194</v>
      </c>
      <c r="J805" t="s">
        <v>44</v>
      </c>
      <c r="K805" t="s">
        <v>45</v>
      </c>
      <c r="L805">
        <v>5</v>
      </c>
      <c r="M805" t="s">
        <v>4355</v>
      </c>
      <c r="N805" t="s">
        <v>47</v>
      </c>
      <c r="O805" t="s">
        <v>48</v>
      </c>
      <c r="P805" t="s">
        <v>48</v>
      </c>
      <c r="Y805" t="s">
        <v>4356</v>
      </c>
    </row>
    <row r="806" spans="1:25">
      <c r="A806" t="s">
        <v>4357</v>
      </c>
      <c r="B806" t="s">
        <v>4358</v>
      </c>
      <c r="D806" t="s">
        <v>40</v>
      </c>
      <c r="E806" t="s">
        <v>41</v>
      </c>
      <c r="G806" t="s">
        <v>4359</v>
      </c>
      <c r="H806" t="s">
        <v>4360</v>
      </c>
      <c r="J806" t="s">
        <v>44</v>
      </c>
      <c r="K806" t="s">
        <v>45</v>
      </c>
      <c r="L806">
        <v>5</v>
      </c>
      <c r="M806" t="s">
        <v>4361</v>
      </c>
      <c r="N806" t="s">
        <v>47</v>
      </c>
      <c r="O806" t="s">
        <v>48</v>
      </c>
      <c r="P806" t="s">
        <v>48</v>
      </c>
      <c r="Y806" t="s">
        <v>4362</v>
      </c>
    </row>
    <row r="807" spans="1:25">
      <c r="A807" t="s">
        <v>4363</v>
      </c>
      <c r="B807" t="s">
        <v>4364</v>
      </c>
      <c r="D807" t="s">
        <v>40</v>
      </c>
      <c r="E807" t="s">
        <v>41</v>
      </c>
      <c r="G807" t="s">
        <v>4365</v>
      </c>
      <c r="H807" t="s">
        <v>4366</v>
      </c>
      <c r="J807" t="s">
        <v>54</v>
      </c>
      <c r="K807" t="s">
        <v>55</v>
      </c>
      <c r="L807">
        <v>5</v>
      </c>
      <c r="M807" t="s">
        <v>4367</v>
      </c>
      <c r="N807" t="s">
        <v>47</v>
      </c>
      <c r="O807" t="s">
        <v>48</v>
      </c>
      <c r="P807" t="s">
        <v>48</v>
      </c>
      <c r="Y807" t="s">
        <v>4368</v>
      </c>
    </row>
    <row r="808" spans="1:25">
      <c r="A808" t="s">
        <v>4369</v>
      </c>
      <c r="B808" t="s">
        <v>4370</v>
      </c>
      <c r="D808" t="s">
        <v>40</v>
      </c>
      <c r="E808" t="s">
        <v>41</v>
      </c>
      <c r="G808" t="s">
        <v>973</v>
      </c>
      <c r="H808" t="s">
        <v>4371</v>
      </c>
      <c r="J808" t="s">
        <v>44</v>
      </c>
      <c r="K808" t="s">
        <v>45</v>
      </c>
      <c r="L808">
        <v>5</v>
      </c>
      <c r="M808" t="s">
        <v>4367</v>
      </c>
      <c r="N808" t="s">
        <v>47</v>
      </c>
      <c r="O808" t="s">
        <v>48</v>
      </c>
      <c r="P808" t="s">
        <v>48</v>
      </c>
      <c r="Y808" t="s">
        <v>4372</v>
      </c>
    </row>
    <row r="809" spans="1:25">
      <c r="A809" t="s">
        <v>4373</v>
      </c>
      <c r="B809" t="s">
        <v>4374</v>
      </c>
      <c r="D809" t="s">
        <v>40</v>
      </c>
      <c r="E809" t="s">
        <v>41</v>
      </c>
      <c r="G809" t="s">
        <v>4375</v>
      </c>
      <c r="H809" t="s">
        <v>4376</v>
      </c>
      <c r="J809" t="s">
        <v>371</v>
      </c>
      <c r="K809" t="s">
        <v>372</v>
      </c>
      <c r="L809">
        <v>5</v>
      </c>
      <c r="M809" t="s">
        <v>4367</v>
      </c>
      <c r="N809" t="s">
        <v>47</v>
      </c>
      <c r="O809" t="s">
        <v>48</v>
      </c>
      <c r="P809" t="s">
        <v>48</v>
      </c>
      <c r="Y809" t="s">
        <v>4377</v>
      </c>
    </row>
    <row r="810" spans="1:25">
      <c r="A810" t="s">
        <v>4378</v>
      </c>
      <c r="B810" t="s">
        <v>4379</v>
      </c>
      <c r="D810" t="s">
        <v>40</v>
      </c>
      <c r="E810" t="s">
        <v>41</v>
      </c>
      <c r="G810" t="s">
        <v>4380</v>
      </c>
      <c r="H810" t="s">
        <v>4381</v>
      </c>
      <c r="J810" t="s">
        <v>44</v>
      </c>
      <c r="K810" t="s">
        <v>45</v>
      </c>
      <c r="L810">
        <v>5</v>
      </c>
      <c r="M810" t="s">
        <v>4382</v>
      </c>
      <c r="N810" t="s">
        <v>47</v>
      </c>
      <c r="O810" t="s">
        <v>48</v>
      </c>
      <c r="P810" t="s">
        <v>48</v>
      </c>
      <c r="Y810" t="s">
        <v>4383</v>
      </c>
    </row>
    <row r="811" spans="1:25">
      <c r="A811" t="s">
        <v>4384</v>
      </c>
      <c r="B811" t="s">
        <v>4385</v>
      </c>
      <c r="D811" t="s">
        <v>40</v>
      </c>
      <c r="E811" t="s">
        <v>41</v>
      </c>
      <c r="G811" t="s">
        <v>4386</v>
      </c>
      <c r="H811" t="s">
        <v>4387</v>
      </c>
      <c r="J811" t="s">
        <v>78</v>
      </c>
      <c r="K811" t="s">
        <v>79</v>
      </c>
      <c r="L811">
        <v>5</v>
      </c>
      <c r="M811" t="s">
        <v>4388</v>
      </c>
      <c r="N811" t="s">
        <v>47</v>
      </c>
      <c r="O811" t="s">
        <v>48</v>
      </c>
      <c r="P811" t="s">
        <v>48</v>
      </c>
      <c r="Y811" t="s">
        <v>4389</v>
      </c>
    </row>
    <row r="812" spans="1:25">
      <c r="A812" t="s">
        <v>4390</v>
      </c>
      <c r="B812" t="s">
        <v>4391</v>
      </c>
      <c r="D812" t="s">
        <v>40</v>
      </c>
      <c r="E812" t="s">
        <v>41</v>
      </c>
      <c r="G812" t="s">
        <v>3439</v>
      </c>
      <c r="H812" t="s">
        <v>2523</v>
      </c>
      <c r="J812" t="s">
        <v>44</v>
      </c>
      <c r="K812" t="s">
        <v>45</v>
      </c>
      <c r="L812">
        <v>5</v>
      </c>
      <c r="M812" t="s">
        <v>4392</v>
      </c>
      <c r="N812" t="s">
        <v>47</v>
      </c>
      <c r="O812" t="s">
        <v>48</v>
      </c>
      <c r="P812" t="s">
        <v>48</v>
      </c>
      <c r="Y812" t="s">
        <v>4393</v>
      </c>
    </row>
    <row r="813" spans="1:25">
      <c r="A813" t="s">
        <v>4394</v>
      </c>
      <c r="B813" t="s">
        <v>4395</v>
      </c>
      <c r="D813" t="s">
        <v>40</v>
      </c>
      <c r="E813" t="s">
        <v>41</v>
      </c>
      <c r="G813" t="s">
        <v>4396</v>
      </c>
      <c r="H813" t="s">
        <v>4397</v>
      </c>
      <c r="J813" t="s">
        <v>78</v>
      </c>
      <c r="K813" t="s">
        <v>79</v>
      </c>
      <c r="L813">
        <v>5</v>
      </c>
      <c r="M813" t="s">
        <v>4398</v>
      </c>
      <c r="N813" t="s">
        <v>47</v>
      </c>
      <c r="O813" t="s">
        <v>48</v>
      </c>
      <c r="P813" t="s">
        <v>48</v>
      </c>
      <c r="Y813" t="s">
        <v>4399</v>
      </c>
    </row>
    <row r="814" spans="1:25">
      <c r="A814" t="s">
        <v>4400</v>
      </c>
      <c r="B814" t="s">
        <v>4401</v>
      </c>
      <c r="D814" t="s">
        <v>40</v>
      </c>
      <c r="E814" t="s">
        <v>41</v>
      </c>
      <c r="G814" t="s">
        <v>4402</v>
      </c>
      <c r="H814" t="s">
        <v>3963</v>
      </c>
      <c r="J814" t="s">
        <v>90</v>
      </c>
      <c r="K814" t="s">
        <v>91</v>
      </c>
      <c r="L814">
        <v>5</v>
      </c>
      <c r="M814" t="s">
        <v>4398</v>
      </c>
      <c r="N814" t="s">
        <v>47</v>
      </c>
      <c r="O814" t="s">
        <v>48</v>
      </c>
      <c r="P814" t="s">
        <v>48</v>
      </c>
      <c r="Y814" t="s">
        <v>4403</v>
      </c>
    </row>
    <row r="815" spans="1:25">
      <c r="A815" t="s">
        <v>4404</v>
      </c>
      <c r="B815" t="s">
        <v>4405</v>
      </c>
      <c r="D815" t="s">
        <v>40</v>
      </c>
      <c r="E815" t="s">
        <v>41</v>
      </c>
      <c r="G815" t="s">
        <v>4406</v>
      </c>
      <c r="H815" t="s">
        <v>2346</v>
      </c>
      <c r="J815" t="s">
        <v>287</v>
      </c>
      <c r="K815" t="s">
        <v>288</v>
      </c>
      <c r="L815">
        <v>5</v>
      </c>
      <c r="M815" t="s">
        <v>4398</v>
      </c>
      <c r="N815" t="s">
        <v>685</v>
      </c>
      <c r="O815" t="s">
        <v>48</v>
      </c>
      <c r="P815" t="s">
        <v>48</v>
      </c>
      <c r="Y815" t="s">
        <v>4407</v>
      </c>
    </row>
    <row r="816" spans="1:25">
      <c r="A816" t="s">
        <v>4408</v>
      </c>
      <c r="B816" t="s">
        <v>4409</v>
      </c>
      <c r="D816" t="s">
        <v>40</v>
      </c>
      <c r="E816" t="s">
        <v>41</v>
      </c>
      <c r="G816" t="s">
        <v>4410</v>
      </c>
      <c r="H816" t="s">
        <v>2130</v>
      </c>
      <c r="J816" t="s">
        <v>78</v>
      </c>
      <c r="K816" t="s">
        <v>79</v>
      </c>
      <c r="L816">
        <v>5</v>
      </c>
      <c r="M816" t="s">
        <v>4411</v>
      </c>
      <c r="N816" t="s">
        <v>47</v>
      </c>
      <c r="O816" t="s">
        <v>48</v>
      </c>
      <c r="P816" t="s">
        <v>48</v>
      </c>
      <c r="Y816" t="s">
        <v>4412</v>
      </c>
    </row>
    <row r="817" spans="1:25">
      <c r="A817" t="s">
        <v>4413</v>
      </c>
      <c r="B817" t="s">
        <v>4414</v>
      </c>
      <c r="D817" t="s">
        <v>40</v>
      </c>
      <c r="E817" t="s">
        <v>41</v>
      </c>
      <c r="G817" t="s">
        <v>4415</v>
      </c>
      <c r="H817" t="s">
        <v>4416</v>
      </c>
      <c r="J817" t="s">
        <v>133</v>
      </c>
      <c r="K817" t="s">
        <v>134</v>
      </c>
      <c r="L817">
        <v>5</v>
      </c>
      <c r="M817" t="s">
        <v>4417</v>
      </c>
      <c r="N817" t="s">
        <v>685</v>
      </c>
      <c r="O817" t="s">
        <v>48</v>
      </c>
      <c r="P817" t="s">
        <v>48</v>
      </c>
      <c r="Y817" t="s">
        <v>4418</v>
      </c>
    </row>
    <row r="818" spans="1:25">
      <c r="A818" t="s">
        <v>4419</v>
      </c>
      <c r="B818" t="s">
        <v>4420</v>
      </c>
      <c r="D818" t="s">
        <v>40</v>
      </c>
      <c r="E818" t="s">
        <v>41</v>
      </c>
      <c r="J818" t="s">
        <v>44</v>
      </c>
      <c r="K818" t="s">
        <v>45</v>
      </c>
      <c r="L818">
        <v>5</v>
      </c>
      <c r="M818" t="s">
        <v>4417</v>
      </c>
      <c r="N818" t="s">
        <v>47</v>
      </c>
      <c r="O818" t="s">
        <v>48</v>
      </c>
      <c r="P818" t="s">
        <v>48</v>
      </c>
      <c r="Y818" t="s">
        <v>4421</v>
      </c>
    </row>
    <row r="819" spans="1:25">
      <c r="A819" t="s">
        <v>4422</v>
      </c>
      <c r="B819" t="s">
        <v>4423</v>
      </c>
      <c r="D819" t="s">
        <v>40</v>
      </c>
      <c r="E819" t="s">
        <v>41</v>
      </c>
      <c r="G819" t="s">
        <v>1513</v>
      </c>
      <c r="H819" t="s">
        <v>4424</v>
      </c>
      <c r="J819" t="s">
        <v>353</v>
      </c>
      <c r="K819" t="s">
        <v>354</v>
      </c>
      <c r="L819">
        <v>6</v>
      </c>
      <c r="M819" t="s">
        <v>4425</v>
      </c>
      <c r="N819" t="s">
        <v>685</v>
      </c>
      <c r="O819" t="s">
        <v>48</v>
      </c>
      <c r="P819" t="s">
        <v>48</v>
      </c>
      <c r="Y819" t="s">
        <v>4426</v>
      </c>
    </row>
    <row r="820" spans="1:25">
      <c r="A820" t="s">
        <v>4427</v>
      </c>
      <c r="B820" t="s">
        <v>4428</v>
      </c>
      <c r="D820" t="s">
        <v>40</v>
      </c>
      <c r="E820" t="s">
        <v>41</v>
      </c>
      <c r="J820" t="s">
        <v>44</v>
      </c>
      <c r="K820" t="s">
        <v>45</v>
      </c>
      <c r="L820">
        <v>5</v>
      </c>
      <c r="M820" t="s">
        <v>4425</v>
      </c>
      <c r="N820" t="s">
        <v>47</v>
      </c>
      <c r="O820" t="s">
        <v>48</v>
      </c>
      <c r="P820" t="s">
        <v>48</v>
      </c>
      <c r="Y820" t="s">
        <v>4429</v>
      </c>
    </row>
    <row r="821" spans="1:25">
      <c r="A821" t="s">
        <v>4430</v>
      </c>
      <c r="B821" t="s">
        <v>4431</v>
      </c>
      <c r="D821" t="s">
        <v>40</v>
      </c>
      <c r="E821" t="s">
        <v>41</v>
      </c>
      <c r="G821" t="s">
        <v>2482</v>
      </c>
      <c r="H821" t="s">
        <v>4432</v>
      </c>
      <c r="J821" t="s">
        <v>54</v>
      </c>
      <c r="K821" t="s">
        <v>55</v>
      </c>
      <c r="L821">
        <v>5</v>
      </c>
      <c r="M821" t="s">
        <v>4433</v>
      </c>
      <c r="N821" t="s">
        <v>47</v>
      </c>
      <c r="O821" t="s">
        <v>48</v>
      </c>
      <c r="P821" t="s">
        <v>48</v>
      </c>
      <c r="Y821" t="s">
        <v>4434</v>
      </c>
    </row>
    <row r="822" spans="1:25">
      <c r="A822" t="s">
        <v>4435</v>
      </c>
      <c r="B822" t="s">
        <v>4436</v>
      </c>
      <c r="D822" t="s">
        <v>40</v>
      </c>
      <c r="E822" t="s">
        <v>41</v>
      </c>
      <c r="G822" t="s">
        <v>4437</v>
      </c>
      <c r="H822" t="s">
        <v>1596</v>
      </c>
      <c r="J822" t="s">
        <v>90</v>
      </c>
      <c r="K822" t="s">
        <v>91</v>
      </c>
      <c r="L822">
        <v>5</v>
      </c>
      <c r="M822" t="s">
        <v>4438</v>
      </c>
      <c r="N822" t="s">
        <v>47</v>
      </c>
      <c r="O822" t="s">
        <v>48</v>
      </c>
      <c r="P822" t="s">
        <v>48</v>
      </c>
      <c r="Y822" t="s">
        <v>4439</v>
      </c>
    </row>
    <row r="823" spans="1:25">
      <c r="A823" t="s">
        <v>4440</v>
      </c>
      <c r="B823" t="s">
        <v>4441</v>
      </c>
      <c r="D823" t="s">
        <v>40</v>
      </c>
      <c r="E823" t="s">
        <v>41</v>
      </c>
      <c r="G823" t="s">
        <v>4442</v>
      </c>
      <c r="H823" t="s">
        <v>4443</v>
      </c>
      <c r="J823" t="s">
        <v>54</v>
      </c>
      <c r="K823" t="s">
        <v>55</v>
      </c>
      <c r="L823">
        <v>5</v>
      </c>
      <c r="M823" t="s">
        <v>4444</v>
      </c>
      <c r="N823" t="s">
        <v>47</v>
      </c>
      <c r="O823" t="s">
        <v>48</v>
      </c>
      <c r="P823" t="s">
        <v>48</v>
      </c>
      <c r="Y823" t="s">
        <v>4445</v>
      </c>
    </row>
    <row r="824" spans="1:25">
      <c r="A824" t="s">
        <v>4446</v>
      </c>
      <c r="B824" t="s">
        <v>4447</v>
      </c>
      <c r="D824" t="s">
        <v>40</v>
      </c>
      <c r="E824" t="s">
        <v>41</v>
      </c>
      <c r="J824" t="s">
        <v>133</v>
      </c>
      <c r="K824" t="s">
        <v>134</v>
      </c>
      <c r="L824">
        <v>5</v>
      </c>
      <c r="M824" t="s">
        <v>4448</v>
      </c>
      <c r="N824" t="s">
        <v>135</v>
      </c>
      <c r="O824" t="s">
        <v>48</v>
      </c>
      <c r="P824" t="s">
        <v>48</v>
      </c>
      <c r="Y824" t="s">
        <v>4449</v>
      </c>
    </row>
    <row r="825" spans="1:25">
      <c r="A825" t="s">
        <v>4450</v>
      </c>
      <c r="B825" t="s">
        <v>4451</v>
      </c>
      <c r="D825" t="s">
        <v>40</v>
      </c>
      <c r="E825" t="s">
        <v>41</v>
      </c>
      <c r="G825" t="s">
        <v>1696</v>
      </c>
      <c r="H825" t="s">
        <v>4452</v>
      </c>
      <c r="J825" t="s">
        <v>371</v>
      </c>
      <c r="K825" t="s">
        <v>372</v>
      </c>
      <c r="L825">
        <v>5</v>
      </c>
      <c r="M825" t="s">
        <v>4453</v>
      </c>
      <c r="N825" t="s">
        <v>47</v>
      </c>
      <c r="O825" t="s">
        <v>48</v>
      </c>
      <c r="P825" t="s">
        <v>48</v>
      </c>
      <c r="Y825" t="s">
        <v>4454</v>
      </c>
    </row>
    <row r="826" spans="1:25">
      <c r="A826" t="s">
        <v>4455</v>
      </c>
      <c r="B826" t="s">
        <v>4456</v>
      </c>
      <c r="D826" t="s">
        <v>40</v>
      </c>
      <c r="E826" t="s">
        <v>41</v>
      </c>
      <c r="G826" t="s">
        <v>4457</v>
      </c>
      <c r="H826" t="s">
        <v>3440</v>
      </c>
      <c r="J826" t="s">
        <v>90</v>
      </c>
      <c r="K826" t="s">
        <v>91</v>
      </c>
      <c r="L826">
        <v>5</v>
      </c>
      <c r="M826" t="s">
        <v>4458</v>
      </c>
      <c r="N826" t="s">
        <v>47</v>
      </c>
      <c r="O826" t="s">
        <v>48</v>
      </c>
      <c r="P826" t="s">
        <v>48</v>
      </c>
      <c r="Y826" t="s">
        <v>4459</v>
      </c>
    </row>
    <row r="827" spans="1:25">
      <c r="A827" t="s">
        <v>4460</v>
      </c>
      <c r="B827" t="s">
        <v>4461</v>
      </c>
      <c r="D827" t="s">
        <v>40</v>
      </c>
      <c r="E827" t="s">
        <v>41</v>
      </c>
      <c r="G827" t="s">
        <v>3921</v>
      </c>
      <c r="H827" t="s">
        <v>4462</v>
      </c>
      <c r="J827" t="s">
        <v>44</v>
      </c>
      <c r="K827" t="s">
        <v>45</v>
      </c>
      <c r="L827">
        <v>5</v>
      </c>
      <c r="M827" t="s">
        <v>4458</v>
      </c>
      <c r="N827" t="s">
        <v>47</v>
      </c>
      <c r="O827" t="s">
        <v>48</v>
      </c>
      <c r="P827" t="s">
        <v>48</v>
      </c>
      <c r="Y827" t="s">
        <v>4463</v>
      </c>
    </row>
    <row r="828" spans="1:25">
      <c r="A828" t="s">
        <v>4464</v>
      </c>
      <c r="B828" t="s">
        <v>4465</v>
      </c>
      <c r="D828" t="s">
        <v>40</v>
      </c>
      <c r="E828" t="s">
        <v>41</v>
      </c>
      <c r="G828" t="s">
        <v>4466</v>
      </c>
      <c r="H828" t="s">
        <v>832</v>
      </c>
      <c r="J828" t="s">
        <v>44</v>
      </c>
      <c r="K828" t="s">
        <v>45</v>
      </c>
      <c r="L828">
        <v>5</v>
      </c>
      <c r="M828" t="s">
        <v>4467</v>
      </c>
      <c r="N828" t="s">
        <v>47</v>
      </c>
      <c r="O828" t="s">
        <v>48</v>
      </c>
      <c r="P828" t="s">
        <v>48</v>
      </c>
      <c r="Y828" t="s">
        <v>4468</v>
      </c>
    </row>
    <row r="829" spans="1:25">
      <c r="A829" t="s">
        <v>4469</v>
      </c>
      <c r="B829" t="s">
        <v>4470</v>
      </c>
      <c r="D829" t="s">
        <v>40</v>
      </c>
      <c r="E829" t="s">
        <v>41</v>
      </c>
      <c r="G829" t="s">
        <v>4471</v>
      </c>
      <c r="H829" t="s">
        <v>4387</v>
      </c>
      <c r="J829" t="s">
        <v>90</v>
      </c>
      <c r="K829" t="s">
        <v>91</v>
      </c>
      <c r="L829">
        <v>5</v>
      </c>
      <c r="M829" t="s">
        <v>4472</v>
      </c>
      <c r="N829" t="s">
        <v>47</v>
      </c>
      <c r="O829" t="s">
        <v>48</v>
      </c>
      <c r="P829" t="s">
        <v>48</v>
      </c>
      <c r="Y829" t="s">
        <v>4473</v>
      </c>
    </row>
    <row r="830" spans="1:25">
      <c r="A830" t="s">
        <v>4474</v>
      </c>
      <c r="B830" t="s">
        <v>4475</v>
      </c>
      <c r="D830" t="s">
        <v>40</v>
      </c>
      <c r="E830" t="s">
        <v>41</v>
      </c>
      <c r="J830" t="s">
        <v>44</v>
      </c>
      <c r="K830" t="s">
        <v>45</v>
      </c>
      <c r="L830">
        <v>5</v>
      </c>
      <c r="M830" t="s">
        <v>4476</v>
      </c>
      <c r="N830" t="s">
        <v>47</v>
      </c>
      <c r="O830" t="s">
        <v>48</v>
      </c>
      <c r="P830" t="s">
        <v>48</v>
      </c>
      <c r="Y830" t="s">
        <v>4477</v>
      </c>
    </row>
    <row r="831" spans="1:25">
      <c r="A831" t="s">
        <v>4478</v>
      </c>
      <c r="B831" t="s">
        <v>4479</v>
      </c>
      <c r="D831" t="s">
        <v>40</v>
      </c>
      <c r="E831" t="s">
        <v>41</v>
      </c>
      <c r="G831" t="s">
        <v>2161</v>
      </c>
      <c r="H831" t="s">
        <v>605</v>
      </c>
      <c r="J831" t="s">
        <v>44</v>
      </c>
      <c r="K831" t="s">
        <v>45</v>
      </c>
      <c r="L831">
        <v>5</v>
      </c>
      <c r="M831" t="s">
        <v>4480</v>
      </c>
      <c r="N831" t="s">
        <v>47</v>
      </c>
      <c r="O831" t="s">
        <v>48</v>
      </c>
      <c r="P831" t="s">
        <v>48</v>
      </c>
      <c r="Y831" t="s">
        <v>4481</v>
      </c>
    </row>
    <row r="832" spans="1:25">
      <c r="A832" t="s">
        <v>4482</v>
      </c>
      <c r="B832" t="s">
        <v>4483</v>
      </c>
      <c r="D832" t="s">
        <v>40</v>
      </c>
      <c r="E832" t="s">
        <v>41</v>
      </c>
      <c r="G832" t="s">
        <v>2861</v>
      </c>
      <c r="H832" t="s">
        <v>4484</v>
      </c>
      <c r="J832" t="s">
        <v>133</v>
      </c>
      <c r="K832" t="s">
        <v>134</v>
      </c>
      <c r="L832">
        <v>6</v>
      </c>
      <c r="M832" t="s">
        <v>4485</v>
      </c>
      <c r="N832" t="s">
        <v>685</v>
      </c>
      <c r="O832" t="s">
        <v>48</v>
      </c>
      <c r="P832" t="s">
        <v>48</v>
      </c>
      <c r="Y832" t="s">
        <v>4486</v>
      </c>
    </row>
    <row r="833" spans="1:25">
      <c r="A833" t="s">
        <v>4487</v>
      </c>
      <c r="B833" t="s">
        <v>4488</v>
      </c>
      <c r="D833" t="s">
        <v>40</v>
      </c>
      <c r="E833" t="s">
        <v>41</v>
      </c>
      <c r="G833" t="s">
        <v>4489</v>
      </c>
      <c r="H833" t="s">
        <v>4490</v>
      </c>
      <c r="J833" t="s">
        <v>54</v>
      </c>
      <c r="K833" t="s">
        <v>55</v>
      </c>
      <c r="L833">
        <v>5</v>
      </c>
      <c r="M833" t="s">
        <v>4491</v>
      </c>
      <c r="N833" t="s">
        <v>47</v>
      </c>
      <c r="O833" t="s">
        <v>48</v>
      </c>
      <c r="P833" t="s">
        <v>48</v>
      </c>
      <c r="Y833" t="s">
        <v>4492</v>
      </c>
    </row>
    <row r="834" spans="1:25">
      <c r="A834" t="s">
        <v>4493</v>
      </c>
      <c r="B834" t="s">
        <v>4494</v>
      </c>
      <c r="D834" t="s">
        <v>40</v>
      </c>
      <c r="E834" t="s">
        <v>41</v>
      </c>
      <c r="G834" t="s">
        <v>4495</v>
      </c>
      <c r="H834" t="s">
        <v>1133</v>
      </c>
      <c r="J834" t="s">
        <v>54</v>
      </c>
      <c r="K834" t="s">
        <v>55</v>
      </c>
      <c r="L834">
        <v>5</v>
      </c>
      <c r="M834" t="s">
        <v>4491</v>
      </c>
      <c r="N834" t="s">
        <v>47</v>
      </c>
      <c r="O834" t="s">
        <v>48</v>
      </c>
      <c r="P834" t="s">
        <v>48</v>
      </c>
      <c r="Y834" t="s">
        <v>4496</v>
      </c>
    </row>
    <row r="835" spans="1:25">
      <c r="A835" t="s">
        <v>4497</v>
      </c>
      <c r="B835" t="s">
        <v>4498</v>
      </c>
      <c r="D835" t="s">
        <v>40</v>
      </c>
      <c r="E835" t="s">
        <v>41</v>
      </c>
      <c r="G835" t="s">
        <v>4499</v>
      </c>
      <c r="H835" t="s">
        <v>89</v>
      </c>
      <c r="J835" t="s">
        <v>44</v>
      </c>
      <c r="K835" t="s">
        <v>45</v>
      </c>
      <c r="L835">
        <v>5</v>
      </c>
      <c r="M835" t="s">
        <v>4491</v>
      </c>
      <c r="N835" t="s">
        <v>47</v>
      </c>
      <c r="O835" t="s">
        <v>48</v>
      </c>
      <c r="P835" t="s">
        <v>48</v>
      </c>
      <c r="Y835" t="s">
        <v>4500</v>
      </c>
    </row>
    <row r="836" spans="1:25">
      <c r="A836" t="s">
        <v>4501</v>
      </c>
      <c r="B836" t="s">
        <v>4502</v>
      </c>
      <c r="D836" t="s">
        <v>40</v>
      </c>
      <c r="E836" t="s">
        <v>41</v>
      </c>
      <c r="G836" t="s">
        <v>4503</v>
      </c>
      <c r="H836" t="s">
        <v>985</v>
      </c>
      <c r="J836" t="s">
        <v>54</v>
      </c>
      <c r="K836" t="s">
        <v>55</v>
      </c>
      <c r="L836">
        <v>5</v>
      </c>
      <c r="M836" t="s">
        <v>4504</v>
      </c>
      <c r="N836" t="s">
        <v>47</v>
      </c>
      <c r="O836" t="s">
        <v>48</v>
      </c>
      <c r="P836" t="s">
        <v>48</v>
      </c>
      <c r="Y836" t="s">
        <v>4505</v>
      </c>
    </row>
    <row r="837" spans="1:25">
      <c r="A837" t="s">
        <v>4506</v>
      </c>
      <c r="B837" t="s">
        <v>4507</v>
      </c>
      <c r="D837" t="s">
        <v>40</v>
      </c>
      <c r="E837" t="s">
        <v>41</v>
      </c>
      <c r="G837" t="s">
        <v>1243</v>
      </c>
      <c r="H837" t="s">
        <v>3492</v>
      </c>
      <c r="J837" t="s">
        <v>90</v>
      </c>
      <c r="K837" t="s">
        <v>91</v>
      </c>
      <c r="L837">
        <v>5</v>
      </c>
      <c r="M837" t="s">
        <v>4508</v>
      </c>
      <c r="N837" t="s">
        <v>47</v>
      </c>
      <c r="O837" t="s">
        <v>48</v>
      </c>
      <c r="P837" t="s">
        <v>48</v>
      </c>
      <c r="Y837" t="s">
        <v>4509</v>
      </c>
    </row>
    <row r="838" spans="1:25">
      <c r="A838" t="s">
        <v>4510</v>
      </c>
      <c r="B838" t="s">
        <v>4511</v>
      </c>
      <c r="D838" t="s">
        <v>40</v>
      </c>
      <c r="E838" t="s">
        <v>41</v>
      </c>
      <c r="G838" t="s">
        <v>4512</v>
      </c>
      <c r="H838" t="s">
        <v>4513</v>
      </c>
      <c r="J838" t="s">
        <v>44</v>
      </c>
      <c r="K838" t="s">
        <v>45</v>
      </c>
      <c r="L838">
        <v>5</v>
      </c>
      <c r="M838" t="s">
        <v>4508</v>
      </c>
      <c r="N838" t="s">
        <v>47</v>
      </c>
      <c r="O838" t="s">
        <v>48</v>
      </c>
      <c r="P838" t="s">
        <v>48</v>
      </c>
      <c r="Y838" t="s">
        <v>4514</v>
      </c>
    </row>
    <row r="839" spans="1:25">
      <c r="A839" t="s">
        <v>4515</v>
      </c>
      <c r="B839" t="s">
        <v>4516</v>
      </c>
      <c r="D839" t="s">
        <v>40</v>
      </c>
      <c r="E839" t="s">
        <v>41</v>
      </c>
      <c r="G839" t="s">
        <v>4517</v>
      </c>
      <c r="H839" t="s">
        <v>4518</v>
      </c>
      <c r="J839" t="s">
        <v>78</v>
      </c>
      <c r="K839" t="s">
        <v>79</v>
      </c>
      <c r="L839">
        <v>5</v>
      </c>
      <c r="M839" t="s">
        <v>4508</v>
      </c>
      <c r="N839" t="s">
        <v>47</v>
      </c>
      <c r="O839" t="s">
        <v>48</v>
      </c>
      <c r="P839" t="s">
        <v>48</v>
      </c>
      <c r="Y839" t="s">
        <v>4519</v>
      </c>
    </row>
    <row r="840" spans="1:25">
      <c r="A840" t="s">
        <v>4520</v>
      </c>
      <c r="B840" t="s">
        <v>4521</v>
      </c>
      <c r="D840" t="s">
        <v>40</v>
      </c>
      <c r="E840" t="s">
        <v>41</v>
      </c>
      <c r="G840" t="s">
        <v>4522</v>
      </c>
      <c r="H840" t="s">
        <v>4523</v>
      </c>
      <c r="J840" t="s">
        <v>90</v>
      </c>
      <c r="K840" t="s">
        <v>91</v>
      </c>
      <c r="L840">
        <v>5</v>
      </c>
      <c r="M840" t="s">
        <v>4508</v>
      </c>
      <c r="N840" t="s">
        <v>47</v>
      </c>
      <c r="O840" t="s">
        <v>48</v>
      </c>
      <c r="P840" t="s">
        <v>48</v>
      </c>
      <c r="Y840" t="s">
        <v>4524</v>
      </c>
    </row>
    <row r="841" spans="1:25">
      <c r="A841" t="s">
        <v>4525</v>
      </c>
      <c r="B841" t="s">
        <v>4526</v>
      </c>
      <c r="D841" t="s">
        <v>40</v>
      </c>
      <c r="E841" t="s">
        <v>41</v>
      </c>
      <c r="G841" t="s">
        <v>4527</v>
      </c>
      <c r="H841" t="s">
        <v>4528</v>
      </c>
      <c r="J841" t="s">
        <v>371</v>
      </c>
      <c r="K841" t="s">
        <v>372</v>
      </c>
      <c r="L841">
        <v>5</v>
      </c>
      <c r="M841" t="s">
        <v>4529</v>
      </c>
      <c r="N841" t="s">
        <v>47</v>
      </c>
      <c r="O841" t="s">
        <v>48</v>
      </c>
      <c r="P841" t="s">
        <v>48</v>
      </c>
      <c r="Y841" t="s">
        <v>4530</v>
      </c>
    </row>
    <row r="842" spans="1:25">
      <c r="A842" t="s">
        <v>4531</v>
      </c>
      <c r="B842" t="s">
        <v>4532</v>
      </c>
      <c r="D842" t="s">
        <v>40</v>
      </c>
      <c r="E842" t="s">
        <v>41</v>
      </c>
      <c r="G842" t="s">
        <v>4533</v>
      </c>
      <c r="H842" t="s">
        <v>4534</v>
      </c>
      <c r="J842" t="s">
        <v>44</v>
      </c>
      <c r="K842" t="s">
        <v>45</v>
      </c>
      <c r="L842">
        <v>5</v>
      </c>
      <c r="M842" t="s">
        <v>4535</v>
      </c>
      <c r="N842" t="s">
        <v>47</v>
      </c>
      <c r="O842" t="s">
        <v>48</v>
      </c>
      <c r="P842" t="s">
        <v>48</v>
      </c>
      <c r="Y842" t="s">
        <v>4536</v>
      </c>
    </row>
    <row r="843" spans="1:25">
      <c r="A843" t="s">
        <v>4537</v>
      </c>
      <c r="B843" t="s">
        <v>4538</v>
      </c>
      <c r="D843" t="s">
        <v>40</v>
      </c>
      <c r="E843" t="s">
        <v>41</v>
      </c>
      <c r="G843" t="s">
        <v>4539</v>
      </c>
      <c r="H843" t="s">
        <v>4540</v>
      </c>
      <c r="J843" t="s">
        <v>133</v>
      </c>
      <c r="K843" t="s">
        <v>134</v>
      </c>
      <c r="L843">
        <v>5</v>
      </c>
      <c r="M843" t="s">
        <v>4541</v>
      </c>
      <c r="N843" t="s">
        <v>135</v>
      </c>
      <c r="O843" t="s">
        <v>48</v>
      </c>
      <c r="P843" t="s">
        <v>48</v>
      </c>
      <c r="Y843" t="s">
        <v>4542</v>
      </c>
    </row>
    <row r="844" spans="1:25">
      <c r="A844" t="s">
        <v>4543</v>
      </c>
      <c r="B844" t="s">
        <v>4544</v>
      </c>
      <c r="D844" t="s">
        <v>40</v>
      </c>
      <c r="E844" t="s">
        <v>41</v>
      </c>
      <c r="J844" t="s">
        <v>44</v>
      </c>
      <c r="K844" t="s">
        <v>45</v>
      </c>
      <c r="L844">
        <v>5</v>
      </c>
      <c r="M844" t="s">
        <v>4545</v>
      </c>
      <c r="N844" t="s">
        <v>47</v>
      </c>
      <c r="O844" t="s">
        <v>48</v>
      </c>
      <c r="P844" t="s">
        <v>48</v>
      </c>
      <c r="Y844" t="s">
        <v>4546</v>
      </c>
    </row>
    <row r="845" spans="1:25">
      <c r="A845" t="s">
        <v>4547</v>
      </c>
      <c r="B845" t="s">
        <v>4548</v>
      </c>
      <c r="D845" t="s">
        <v>40</v>
      </c>
      <c r="E845" t="s">
        <v>41</v>
      </c>
      <c r="G845" t="s">
        <v>4549</v>
      </c>
      <c r="H845" t="s">
        <v>4550</v>
      </c>
      <c r="J845" t="s">
        <v>44</v>
      </c>
      <c r="K845" t="s">
        <v>45</v>
      </c>
      <c r="L845">
        <v>5</v>
      </c>
      <c r="M845" t="s">
        <v>4551</v>
      </c>
      <c r="N845" t="s">
        <v>47</v>
      </c>
      <c r="O845" t="s">
        <v>48</v>
      </c>
      <c r="P845" t="s">
        <v>48</v>
      </c>
      <c r="Y845" t="s">
        <v>4552</v>
      </c>
    </row>
    <row r="846" spans="1:25">
      <c r="A846" t="s">
        <v>4553</v>
      </c>
      <c r="B846" t="s">
        <v>4554</v>
      </c>
      <c r="D846" t="s">
        <v>40</v>
      </c>
      <c r="E846" t="s">
        <v>41</v>
      </c>
      <c r="G846" t="s">
        <v>2733</v>
      </c>
      <c r="H846" t="s">
        <v>4555</v>
      </c>
      <c r="J846" t="s">
        <v>90</v>
      </c>
      <c r="K846" t="s">
        <v>91</v>
      </c>
      <c r="L846">
        <v>5</v>
      </c>
      <c r="M846" t="s">
        <v>4556</v>
      </c>
      <c r="N846" t="s">
        <v>47</v>
      </c>
      <c r="O846" t="s">
        <v>48</v>
      </c>
      <c r="P846" t="s">
        <v>48</v>
      </c>
      <c r="Y846" t="s">
        <v>4557</v>
      </c>
    </row>
    <row r="847" spans="1:25">
      <c r="A847" t="s">
        <v>4558</v>
      </c>
      <c r="B847" t="s">
        <v>4559</v>
      </c>
      <c r="D847" t="s">
        <v>40</v>
      </c>
      <c r="E847" t="s">
        <v>41</v>
      </c>
      <c r="G847" t="s">
        <v>798</v>
      </c>
      <c r="H847" t="s">
        <v>4560</v>
      </c>
      <c r="J847" t="s">
        <v>90</v>
      </c>
      <c r="K847" t="s">
        <v>91</v>
      </c>
      <c r="L847">
        <v>5</v>
      </c>
      <c r="M847" t="s">
        <v>4561</v>
      </c>
      <c r="N847" t="s">
        <v>47</v>
      </c>
      <c r="O847" t="s">
        <v>48</v>
      </c>
      <c r="P847" t="s">
        <v>48</v>
      </c>
      <c r="Y847" t="s">
        <v>4562</v>
      </c>
    </row>
    <row r="848" spans="1:25">
      <c r="A848" t="s">
        <v>4563</v>
      </c>
      <c r="B848" t="s">
        <v>4564</v>
      </c>
      <c r="D848" t="s">
        <v>40</v>
      </c>
      <c r="E848" t="s">
        <v>41</v>
      </c>
      <c r="G848" t="s">
        <v>4565</v>
      </c>
      <c r="H848" t="s">
        <v>1418</v>
      </c>
      <c r="J848" t="s">
        <v>90</v>
      </c>
      <c r="K848" t="s">
        <v>91</v>
      </c>
      <c r="L848">
        <v>5</v>
      </c>
      <c r="M848" t="s">
        <v>4561</v>
      </c>
      <c r="N848" t="s">
        <v>47</v>
      </c>
      <c r="O848" t="s">
        <v>48</v>
      </c>
      <c r="P848" t="s">
        <v>48</v>
      </c>
      <c r="Y848" t="s">
        <v>4566</v>
      </c>
    </row>
    <row r="849" spans="1:25">
      <c r="A849" t="s">
        <v>4567</v>
      </c>
      <c r="B849" t="s">
        <v>4568</v>
      </c>
      <c r="D849" t="s">
        <v>40</v>
      </c>
      <c r="E849" t="s">
        <v>41</v>
      </c>
      <c r="G849" t="s">
        <v>4569</v>
      </c>
      <c r="H849" t="s">
        <v>1255</v>
      </c>
      <c r="J849" t="s">
        <v>44</v>
      </c>
      <c r="K849" t="s">
        <v>45</v>
      </c>
      <c r="L849">
        <v>5</v>
      </c>
      <c r="M849" t="s">
        <v>4561</v>
      </c>
      <c r="N849" t="s">
        <v>47</v>
      </c>
      <c r="O849" t="s">
        <v>48</v>
      </c>
      <c r="P849" t="s">
        <v>48</v>
      </c>
      <c r="Y849" t="s">
        <v>4570</v>
      </c>
    </row>
    <row r="850" spans="1:25">
      <c r="A850" t="s">
        <v>4571</v>
      </c>
      <c r="B850" t="s">
        <v>4572</v>
      </c>
      <c r="D850" t="s">
        <v>40</v>
      </c>
      <c r="E850" t="s">
        <v>41</v>
      </c>
      <c r="G850" t="s">
        <v>4573</v>
      </c>
      <c r="H850" t="s">
        <v>4574</v>
      </c>
      <c r="J850" t="s">
        <v>44</v>
      </c>
      <c r="K850" t="s">
        <v>45</v>
      </c>
      <c r="L850">
        <v>5</v>
      </c>
      <c r="M850" t="s">
        <v>4575</v>
      </c>
      <c r="N850" t="s">
        <v>47</v>
      </c>
      <c r="O850" t="s">
        <v>48</v>
      </c>
      <c r="P850" t="s">
        <v>48</v>
      </c>
      <c r="Y850" t="s">
        <v>4576</v>
      </c>
    </row>
    <row r="851" spans="1:25">
      <c r="A851" t="s">
        <v>4577</v>
      </c>
      <c r="B851" t="s">
        <v>4578</v>
      </c>
      <c r="D851" t="s">
        <v>40</v>
      </c>
      <c r="E851" t="s">
        <v>41</v>
      </c>
      <c r="G851" t="s">
        <v>4579</v>
      </c>
      <c r="H851" t="s">
        <v>1265</v>
      </c>
      <c r="J851" t="s">
        <v>90</v>
      </c>
      <c r="K851" t="s">
        <v>91</v>
      </c>
      <c r="L851">
        <v>5</v>
      </c>
      <c r="M851" t="s">
        <v>4580</v>
      </c>
      <c r="N851" t="s">
        <v>47</v>
      </c>
      <c r="O851" t="s">
        <v>48</v>
      </c>
      <c r="P851" t="s">
        <v>48</v>
      </c>
      <c r="Y851" t="s">
        <v>4581</v>
      </c>
    </row>
    <row r="852" spans="1:25">
      <c r="A852" t="s">
        <v>4582</v>
      </c>
      <c r="B852" t="s">
        <v>4583</v>
      </c>
      <c r="D852" t="s">
        <v>40</v>
      </c>
      <c r="E852" t="s">
        <v>41</v>
      </c>
      <c r="G852" t="s">
        <v>4584</v>
      </c>
      <c r="H852" t="s">
        <v>4585</v>
      </c>
      <c r="J852" t="s">
        <v>90</v>
      </c>
      <c r="K852" t="s">
        <v>91</v>
      </c>
      <c r="L852">
        <v>5</v>
      </c>
      <c r="M852" t="s">
        <v>4580</v>
      </c>
      <c r="N852" t="s">
        <v>47</v>
      </c>
      <c r="O852" t="s">
        <v>48</v>
      </c>
      <c r="P852" t="s">
        <v>48</v>
      </c>
      <c r="Y852" t="s">
        <v>4586</v>
      </c>
    </row>
    <row r="853" spans="1:25">
      <c r="A853" t="s">
        <v>4587</v>
      </c>
      <c r="B853" t="s">
        <v>4588</v>
      </c>
      <c r="D853" t="s">
        <v>40</v>
      </c>
      <c r="E853" t="s">
        <v>41</v>
      </c>
      <c r="G853" t="s">
        <v>4589</v>
      </c>
      <c r="H853" t="s">
        <v>3846</v>
      </c>
      <c r="J853" t="s">
        <v>44</v>
      </c>
      <c r="K853" t="s">
        <v>45</v>
      </c>
      <c r="L853">
        <v>5</v>
      </c>
      <c r="M853" t="s">
        <v>4590</v>
      </c>
      <c r="N853" t="s">
        <v>47</v>
      </c>
      <c r="O853" t="s">
        <v>48</v>
      </c>
      <c r="P853" t="s">
        <v>48</v>
      </c>
      <c r="Y853" t="s">
        <v>4591</v>
      </c>
    </row>
    <row r="854" spans="1:25">
      <c r="A854" t="s">
        <v>4592</v>
      </c>
      <c r="B854" t="s">
        <v>4593</v>
      </c>
      <c r="D854" t="s">
        <v>40</v>
      </c>
      <c r="E854" t="s">
        <v>41</v>
      </c>
      <c r="G854" t="s">
        <v>4594</v>
      </c>
      <c r="H854" t="s">
        <v>3303</v>
      </c>
      <c r="J854" t="s">
        <v>90</v>
      </c>
      <c r="K854" t="s">
        <v>91</v>
      </c>
      <c r="L854">
        <v>5</v>
      </c>
      <c r="M854" t="s">
        <v>4590</v>
      </c>
      <c r="N854" t="s">
        <v>47</v>
      </c>
      <c r="O854" t="s">
        <v>48</v>
      </c>
      <c r="P854" t="s">
        <v>48</v>
      </c>
      <c r="Y854" t="s">
        <v>4595</v>
      </c>
    </row>
    <row r="855" spans="1:25">
      <c r="A855" t="s">
        <v>4596</v>
      </c>
      <c r="B855" t="s">
        <v>4597</v>
      </c>
      <c r="D855" t="s">
        <v>40</v>
      </c>
      <c r="E855" t="s">
        <v>41</v>
      </c>
      <c r="G855" t="s">
        <v>4598</v>
      </c>
      <c r="H855" t="s">
        <v>4599</v>
      </c>
      <c r="J855" t="s">
        <v>2948</v>
      </c>
      <c r="K855" t="s">
        <v>2949</v>
      </c>
      <c r="L855">
        <v>5</v>
      </c>
      <c r="M855" t="s">
        <v>4600</v>
      </c>
      <c r="N855" t="s">
        <v>290</v>
      </c>
      <c r="O855" t="s">
        <v>48</v>
      </c>
      <c r="P855" t="s">
        <v>48</v>
      </c>
      <c r="Y855" t="s">
        <v>4601</v>
      </c>
    </row>
    <row r="856" spans="1:25">
      <c r="A856" t="s">
        <v>4602</v>
      </c>
      <c r="B856" t="s">
        <v>4603</v>
      </c>
      <c r="D856" t="s">
        <v>40</v>
      </c>
      <c r="E856" t="s">
        <v>41</v>
      </c>
      <c r="G856" t="s">
        <v>4604</v>
      </c>
      <c r="H856" t="s">
        <v>4605</v>
      </c>
      <c r="J856" t="s">
        <v>54</v>
      </c>
      <c r="K856" t="s">
        <v>55</v>
      </c>
      <c r="L856">
        <v>5</v>
      </c>
      <c r="M856" t="s">
        <v>4606</v>
      </c>
      <c r="N856" t="s">
        <v>47</v>
      </c>
      <c r="O856" t="s">
        <v>48</v>
      </c>
      <c r="P856" t="s">
        <v>48</v>
      </c>
      <c r="Y856" t="s">
        <v>4607</v>
      </c>
    </row>
    <row r="857" spans="1:25">
      <c r="A857" t="s">
        <v>4608</v>
      </c>
      <c r="B857" t="s">
        <v>4609</v>
      </c>
      <c r="D857" t="s">
        <v>40</v>
      </c>
      <c r="E857" t="s">
        <v>41</v>
      </c>
      <c r="G857" t="s">
        <v>4610</v>
      </c>
      <c r="H857" t="s">
        <v>4300</v>
      </c>
      <c r="J857" t="s">
        <v>90</v>
      </c>
      <c r="K857" t="s">
        <v>91</v>
      </c>
      <c r="L857">
        <v>5</v>
      </c>
      <c r="M857" t="s">
        <v>4611</v>
      </c>
      <c r="N857" t="s">
        <v>47</v>
      </c>
      <c r="O857" t="s">
        <v>48</v>
      </c>
      <c r="P857" t="s">
        <v>48</v>
      </c>
      <c r="Y857" t="s">
        <v>4612</v>
      </c>
    </row>
    <row r="858" spans="1:25">
      <c r="A858" t="s">
        <v>4613</v>
      </c>
      <c r="B858" t="s">
        <v>4614</v>
      </c>
      <c r="D858" t="s">
        <v>40</v>
      </c>
      <c r="E858" t="s">
        <v>41</v>
      </c>
      <c r="G858" t="s">
        <v>1111</v>
      </c>
      <c r="H858" t="s">
        <v>89</v>
      </c>
      <c r="J858" t="s">
        <v>90</v>
      </c>
      <c r="K858" t="s">
        <v>91</v>
      </c>
      <c r="L858">
        <v>5</v>
      </c>
      <c r="M858" t="s">
        <v>4615</v>
      </c>
      <c r="N858" t="s">
        <v>47</v>
      </c>
      <c r="O858" t="s">
        <v>48</v>
      </c>
      <c r="P858" t="s">
        <v>48</v>
      </c>
      <c r="Y858" t="s">
        <v>4616</v>
      </c>
    </row>
    <row r="859" spans="1:25">
      <c r="A859" t="s">
        <v>4617</v>
      </c>
      <c r="B859" t="s">
        <v>4618</v>
      </c>
      <c r="D859" t="s">
        <v>40</v>
      </c>
      <c r="E859" t="s">
        <v>41</v>
      </c>
      <c r="G859" t="s">
        <v>4619</v>
      </c>
      <c r="H859" t="s">
        <v>4620</v>
      </c>
      <c r="J859" t="s">
        <v>54</v>
      </c>
      <c r="K859" t="s">
        <v>55</v>
      </c>
      <c r="L859">
        <v>5</v>
      </c>
      <c r="M859" t="s">
        <v>4621</v>
      </c>
      <c r="N859" t="s">
        <v>47</v>
      </c>
      <c r="O859" t="s">
        <v>48</v>
      </c>
      <c r="P859" t="s">
        <v>48</v>
      </c>
      <c r="Y859" t="s">
        <v>4622</v>
      </c>
    </row>
    <row r="860" spans="1:25">
      <c r="A860" t="s">
        <v>4623</v>
      </c>
      <c r="B860" t="s">
        <v>4624</v>
      </c>
      <c r="D860" t="s">
        <v>40</v>
      </c>
      <c r="E860" t="s">
        <v>41</v>
      </c>
      <c r="G860" t="s">
        <v>4625</v>
      </c>
      <c r="H860" t="s">
        <v>3184</v>
      </c>
      <c r="J860" t="s">
        <v>44</v>
      </c>
      <c r="K860" t="s">
        <v>45</v>
      </c>
      <c r="L860">
        <v>5</v>
      </c>
      <c r="M860" t="s">
        <v>4621</v>
      </c>
      <c r="N860" t="s">
        <v>47</v>
      </c>
      <c r="O860" t="s">
        <v>48</v>
      </c>
      <c r="P860" t="s">
        <v>48</v>
      </c>
      <c r="Y860" t="s">
        <v>4626</v>
      </c>
    </row>
    <row r="861" spans="1:25">
      <c r="A861" t="s">
        <v>4627</v>
      </c>
      <c r="B861" t="s">
        <v>4628</v>
      </c>
      <c r="D861" t="s">
        <v>40</v>
      </c>
      <c r="E861" t="s">
        <v>41</v>
      </c>
      <c r="G861" t="s">
        <v>4629</v>
      </c>
      <c r="H861" t="s">
        <v>4630</v>
      </c>
      <c r="J861" t="s">
        <v>44</v>
      </c>
      <c r="K861" t="s">
        <v>45</v>
      </c>
      <c r="L861">
        <v>5</v>
      </c>
      <c r="M861" t="s">
        <v>4631</v>
      </c>
      <c r="N861" t="s">
        <v>47</v>
      </c>
      <c r="O861" t="s">
        <v>48</v>
      </c>
      <c r="P861" t="s">
        <v>48</v>
      </c>
      <c r="Y861" t="s">
        <v>4632</v>
      </c>
    </row>
    <row r="862" spans="1:25">
      <c r="A862" t="s">
        <v>4633</v>
      </c>
      <c r="B862" t="s">
        <v>4634</v>
      </c>
      <c r="D862" t="s">
        <v>40</v>
      </c>
      <c r="E862" t="s">
        <v>41</v>
      </c>
      <c r="G862" t="s">
        <v>4635</v>
      </c>
      <c r="H862" t="s">
        <v>4636</v>
      </c>
      <c r="J862" t="s">
        <v>44</v>
      </c>
      <c r="K862" t="s">
        <v>45</v>
      </c>
      <c r="L862">
        <v>5</v>
      </c>
      <c r="M862" t="s">
        <v>4637</v>
      </c>
      <c r="N862" t="s">
        <v>47</v>
      </c>
      <c r="O862" t="s">
        <v>48</v>
      </c>
      <c r="P862" t="s">
        <v>48</v>
      </c>
      <c r="Y862" t="s">
        <v>4638</v>
      </c>
    </row>
    <row r="863" spans="1:25">
      <c r="A863" t="s">
        <v>4639</v>
      </c>
      <c r="B863" t="s">
        <v>4640</v>
      </c>
      <c r="D863" t="s">
        <v>40</v>
      </c>
      <c r="E863" t="s">
        <v>41</v>
      </c>
      <c r="G863" t="s">
        <v>716</v>
      </c>
      <c r="H863" t="s">
        <v>175</v>
      </c>
      <c r="J863" t="s">
        <v>44</v>
      </c>
      <c r="K863" t="s">
        <v>45</v>
      </c>
      <c r="L863">
        <v>5</v>
      </c>
      <c r="M863" t="s">
        <v>4641</v>
      </c>
      <c r="N863" t="s">
        <v>47</v>
      </c>
      <c r="O863" t="s">
        <v>48</v>
      </c>
      <c r="P863" t="s">
        <v>48</v>
      </c>
      <c r="Y863" t="s">
        <v>4642</v>
      </c>
    </row>
    <row r="864" spans="1:25">
      <c r="A864" t="s">
        <v>4643</v>
      </c>
      <c r="B864" t="s">
        <v>4644</v>
      </c>
      <c r="D864" t="s">
        <v>40</v>
      </c>
      <c r="E864" t="s">
        <v>41</v>
      </c>
      <c r="G864" t="s">
        <v>4645</v>
      </c>
      <c r="H864" t="s">
        <v>4646</v>
      </c>
      <c r="J864" t="s">
        <v>90</v>
      </c>
      <c r="K864" t="s">
        <v>91</v>
      </c>
      <c r="L864">
        <v>5</v>
      </c>
      <c r="M864" t="s">
        <v>4647</v>
      </c>
      <c r="N864" t="s">
        <v>47</v>
      </c>
      <c r="O864" t="s">
        <v>48</v>
      </c>
      <c r="P864" t="s">
        <v>48</v>
      </c>
      <c r="Y864" t="s">
        <v>4648</v>
      </c>
    </row>
    <row r="865" spans="1:25">
      <c r="A865" t="s">
        <v>4649</v>
      </c>
      <c r="B865" t="s">
        <v>4650</v>
      </c>
      <c r="D865" t="s">
        <v>40</v>
      </c>
      <c r="E865" t="s">
        <v>41</v>
      </c>
      <c r="J865" t="s">
        <v>90</v>
      </c>
      <c r="K865" t="s">
        <v>91</v>
      </c>
      <c r="L865">
        <v>5</v>
      </c>
      <c r="M865" t="s">
        <v>4647</v>
      </c>
      <c r="N865" t="s">
        <v>47</v>
      </c>
      <c r="O865" t="s">
        <v>48</v>
      </c>
      <c r="P865" t="s">
        <v>48</v>
      </c>
      <c r="Y865" t="s">
        <v>4651</v>
      </c>
    </row>
    <row r="866" spans="1:25">
      <c r="A866" t="s">
        <v>4652</v>
      </c>
      <c r="B866" t="s">
        <v>4653</v>
      </c>
      <c r="D866" t="s">
        <v>40</v>
      </c>
      <c r="E866" t="s">
        <v>41</v>
      </c>
      <c r="G866" t="s">
        <v>4654</v>
      </c>
      <c r="H866" t="s">
        <v>1547</v>
      </c>
      <c r="J866" t="s">
        <v>54</v>
      </c>
      <c r="K866" t="s">
        <v>55</v>
      </c>
      <c r="L866">
        <v>5</v>
      </c>
      <c r="M866" t="s">
        <v>4647</v>
      </c>
      <c r="N866" t="s">
        <v>47</v>
      </c>
      <c r="O866" t="s">
        <v>48</v>
      </c>
      <c r="P866" t="s">
        <v>48</v>
      </c>
      <c r="Y866" t="s">
        <v>4655</v>
      </c>
    </row>
    <row r="867" spans="1:25">
      <c r="A867" t="s">
        <v>4656</v>
      </c>
      <c r="B867" t="s">
        <v>4657</v>
      </c>
      <c r="D867" t="s">
        <v>40</v>
      </c>
      <c r="E867" t="s">
        <v>41</v>
      </c>
      <c r="G867" t="s">
        <v>1203</v>
      </c>
      <c r="H867" t="s">
        <v>4658</v>
      </c>
      <c r="J867" t="s">
        <v>90</v>
      </c>
      <c r="K867" t="s">
        <v>91</v>
      </c>
      <c r="L867">
        <v>5</v>
      </c>
      <c r="M867" t="s">
        <v>4647</v>
      </c>
      <c r="N867" t="s">
        <v>47</v>
      </c>
      <c r="O867" t="s">
        <v>48</v>
      </c>
      <c r="P867" t="s">
        <v>48</v>
      </c>
      <c r="Y867" t="s">
        <v>4659</v>
      </c>
    </row>
    <row r="868" spans="1:25">
      <c r="A868" t="s">
        <v>4660</v>
      </c>
      <c r="B868" t="s">
        <v>4661</v>
      </c>
      <c r="D868" t="s">
        <v>40</v>
      </c>
      <c r="E868" t="s">
        <v>41</v>
      </c>
      <c r="G868" t="s">
        <v>4662</v>
      </c>
      <c r="H868" t="s">
        <v>1418</v>
      </c>
      <c r="J868" t="s">
        <v>90</v>
      </c>
      <c r="K868" t="s">
        <v>91</v>
      </c>
      <c r="L868">
        <v>5</v>
      </c>
      <c r="M868" t="s">
        <v>4663</v>
      </c>
      <c r="N868" t="s">
        <v>47</v>
      </c>
      <c r="O868" t="s">
        <v>48</v>
      </c>
      <c r="P868" t="s">
        <v>48</v>
      </c>
      <c r="Y868" t="s">
        <v>4664</v>
      </c>
    </row>
    <row r="869" spans="1:25">
      <c r="A869" t="s">
        <v>4665</v>
      </c>
      <c r="B869" t="s">
        <v>4666</v>
      </c>
      <c r="D869" t="s">
        <v>40</v>
      </c>
      <c r="E869" t="s">
        <v>41</v>
      </c>
      <c r="G869" t="s">
        <v>4667</v>
      </c>
      <c r="H869" t="s">
        <v>2130</v>
      </c>
      <c r="J869" t="s">
        <v>90</v>
      </c>
      <c r="K869" t="s">
        <v>91</v>
      </c>
      <c r="L869">
        <v>5</v>
      </c>
      <c r="M869" t="s">
        <v>4668</v>
      </c>
      <c r="N869" t="s">
        <v>47</v>
      </c>
      <c r="O869" t="s">
        <v>48</v>
      </c>
      <c r="P869" t="s">
        <v>48</v>
      </c>
      <c r="Y869" t="s">
        <v>4669</v>
      </c>
    </row>
    <row r="870" spans="1:25">
      <c r="A870" t="s">
        <v>4670</v>
      </c>
      <c r="B870" t="s">
        <v>4671</v>
      </c>
      <c r="D870" t="s">
        <v>40</v>
      </c>
      <c r="E870" t="s">
        <v>41</v>
      </c>
      <c r="G870" t="s">
        <v>4672</v>
      </c>
      <c r="H870" t="s">
        <v>4673</v>
      </c>
      <c r="J870" t="s">
        <v>2328</v>
      </c>
      <c r="K870" t="s">
        <v>2329</v>
      </c>
      <c r="L870">
        <v>5</v>
      </c>
      <c r="M870" t="s">
        <v>4674</v>
      </c>
      <c r="N870" t="s">
        <v>685</v>
      </c>
      <c r="O870" t="s">
        <v>48</v>
      </c>
      <c r="P870" t="s">
        <v>48</v>
      </c>
      <c r="Y870" t="s">
        <v>4675</v>
      </c>
    </row>
    <row r="871" spans="1:25">
      <c r="A871" t="s">
        <v>4676</v>
      </c>
      <c r="B871" t="s">
        <v>4677</v>
      </c>
      <c r="D871" t="s">
        <v>40</v>
      </c>
      <c r="E871" t="s">
        <v>41</v>
      </c>
      <c r="G871" t="s">
        <v>4678</v>
      </c>
      <c r="H871" t="s">
        <v>4679</v>
      </c>
      <c r="J871" t="s">
        <v>54</v>
      </c>
      <c r="K871" t="s">
        <v>55</v>
      </c>
      <c r="L871">
        <v>5</v>
      </c>
      <c r="M871" t="s">
        <v>4674</v>
      </c>
      <c r="N871" t="s">
        <v>47</v>
      </c>
      <c r="O871" t="s">
        <v>48</v>
      </c>
      <c r="P871" t="s">
        <v>48</v>
      </c>
      <c r="Y871" t="s">
        <v>4680</v>
      </c>
    </row>
    <row r="872" spans="1:25">
      <c r="A872" t="s">
        <v>4681</v>
      </c>
      <c r="B872" t="s">
        <v>4682</v>
      </c>
      <c r="D872" t="s">
        <v>40</v>
      </c>
      <c r="E872" t="s">
        <v>41</v>
      </c>
      <c r="G872" t="s">
        <v>4604</v>
      </c>
      <c r="H872" t="s">
        <v>3716</v>
      </c>
      <c r="J872" t="s">
        <v>90</v>
      </c>
      <c r="K872" t="s">
        <v>91</v>
      </c>
      <c r="L872">
        <v>5</v>
      </c>
      <c r="M872" t="s">
        <v>4683</v>
      </c>
      <c r="N872" t="s">
        <v>47</v>
      </c>
      <c r="O872" t="s">
        <v>48</v>
      </c>
      <c r="P872" t="s">
        <v>48</v>
      </c>
      <c r="Y872" t="s">
        <v>4684</v>
      </c>
    </row>
    <row r="873" spans="1:25">
      <c r="A873" t="s">
        <v>4685</v>
      </c>
      <c r="B873" t="s">
        <v>4686</v>
      </c>
      <c r="D873" t="s">
        <v>40</v>
      </c>
      <c r="E873" t="s">
        <v>41</v>
      </c>
      <c r="G873" t="s">
        <v>4687</v>
      </c>
      <c r="H873" t="s">
        <v>4688</v>
      </c>
      <c r="J873" t="s">
        <v>765</v>
      </c>
      <c r="K873" t="s">
        <v>766</v>
      </c>
      <c r="L873">
        <v>5</v>
      </c>
      <c r="M873" t="s">
        <v>4689</v>
      </c>
      <c r="N873" t="s">
        <v>290</v>
      </c>
      <c r="O873" t="s">
        <v>48</v>
      </c>
      <c r="P873" t="s">
        <v>48</v>
      </c>
      <c r="Y873" t="s">
        <v>4690</v>
      </c>
    </row>
    <row r="874" spans="1:25">
      <c r="A874" t="s">
        <v>4691</v>
      </c>
      <c r="B874" t="s">
        <v>4692</v>
      </c>
      <c r="D874" t="s">
        <v>40</v>
      </c>
      <c r="E874" t="s">
        <v>41</v>
      </c>
      <c r="G874" t="s">
        <v>4693</v>
      </c>
      <c r="H874" t="s">
        <v>2467</v>
      </c>
      <c r="J874" t="s">
        <v>90</v>
      </c>
      <c r="K874" t="s">
        <v>91</v>
      </c>
      <c r="L874">
        <v>5</v>
      </c>
      <c r="M874" t="s">
        <v>4694</v>
      </c>
      <c r="N874" t="s">
        <v>47</v>
      </c>
      <c r="O874" t="s">
        <v>48</v>
      </c>
      <c r="P874" t="s">
        <v>48</v>
      </c>
      <c r="Y874" t="s">
        <v>4695</v>
      </c>
    </row>
    <row r="875" spans="1:25">
      <c r="A875" t="s">
        <v>4696</v>
      </c>
      <c r="B875" t="s">
        <v>4697</v>
      </c>
      <c r="D875" t="s">
        <v>40</v>
      </c>
      <c r="E875" t="s">
        <v>41</v>
      </c>
      <c r="G875" t="s">
        <v>4698</v>
      </c>
      <c r="H875" t="s">
        <v>4699</v>
      </c>
      <c r="J875" t="s">
        <v>44</v>
      </c>
      <c r="K875" t="s">
        <v>45</v>
      </c>
      <c r="L875">
        <v>5</v>
      </c>
      <c r="M875" t="s">
        <v>4700</v>
      </c>
      <c r="N875" t="s">
        <v>47</v>
      </c>
      <c r="O875" t="s">
        <v>48</v>
      </c>
      <c r="P875" t="s">
        <v>48</v>
      </c>
      <c r="Y875" t="s">
        <v>4701</v>
      </c>
    </row>
    <row r="876" spans="1:25">
      <c r="A876" t="s">
        <v>4702</v>
      </c>
      <c r="B876" t="s">
        <v>4703</v>
      </c>
      <c r="D876" t="s">
        <v>40</v>
      </c>
      <c r="E876" t="s">
        <v>41</v>
      </c>
      <c r="G876" t="s">
        <v>810</v>
      </c>
      <c r="H876" t="s">
        <v>4704</v>
      </c>
      <c r="J876" t="s">
        <v>90</v>
      </c>
      <c r="K876" t="s">
        <v>91</v>
      </c>
      <c r="L876">
        <v>5</v>
      </c>
      <c r="M876" t="s">
        <v>4700</v>
      </c>
      <c r="N876" t="s">
        <v>47</v>
      </c>
      <c r="O876" t="s">
        <v>48</v>
      </c>
      <c r="P876" t="s">
        <v>48</v>
      </c>
      <c r="Y876" t="s">
        <v>4705</v>
      </c>
    </row>
    <row r="877" spans="1:25">
      <c r="A877" t="s">
        <v>4706</v>
      </c>
      <c r="B877" t="s">
        <v>4707</v>
      </c>
      <c r="D877" t="s">
        <v>40</v>
      </c>
      <c r="E877" t="s">
        <v>41</v>
      </c>
      <c r="G877" t="s">
        <v>4708</v>
      </c>
      <c r="H877" t="s">
        <v>2467</v>
      </c>
      <c r="J877" t="s">
        <v>133</v>
      </c>
      <c r="K877" t="s">
        <v>134</v>
      </c>
      <c r="L877">
        <v>5</v>
      </c>
      <c r="M877" t="s">
        <v>4709</v>
      </c>
      <c r="N877" t="s">
        <v>685</v>
      </c>
      <c r="O877" t="s">
        <v>48</v>
      </c>
      <c r="P877" t="s">
        <v>48</v>
      </c>
      <c r="Y877" t="s">
        <v>4710</v>
      </c>
    </row>
    <row r="878" spans="1:25">
      <c r="A878" t="s">
        <v>4711</v>
      </c>
      <c r="B878" t="s">
        <v>4712</v>
      </c>
      <c r="D878" t="s">
        <v>40</v>
      </c>
      <c r="E878" t="s">
        <v>41</v>
      </c>
      <c r="G878" t="s">
        <v>4713</v>
      </c>
      <c r="H878" t="s">
        <v>2311</v>
      </c>
      <c r="J878" t="s">
        <v>78</v>
      </c>
      <c r="K878" t="s">
        <v>79</v>
      </c>
      <c r="L878">
        <v>5</v>
      </c>
      <c r="M878" t="s">
        <v>4714</v>
      </c>
      <c r="N878" t="s">
        <v>47</v>
      </c>
      <c r="O878" t="s">
        <v>48</v>
      </c>
      <c r="P878" t="s">
        <v>48</v>
      </c>
      <c r="Y878" t="s">
        <v>4715</v>
      </c>
    </row>
    <row r="879" spans="1:25">
      <c r="A879" t="s">
        <v>4716</v>
      </c>
      <c r="B879" t="s">
        <v>4717</v>
      </c>
      <c r="D879" t="s">
        <v>40</v>
      </c>
      <c r="E879" t="s">
        <v>41</v>
      </c>
      <c r="G879" t="s">
        <v>4718</v>
      </c>
      <c r="H879" t="s">
        <v>4719</v>
      </c>
      <c r="J879" t="s">
        <v>90</v>
      </c>
      <c r="K879" t="s">
        <v>91</v>
      </c>
      <c r="L879">
        <v>5</v>
      </c>
      <c r="M879" t="s">
        <v>4714</v>
      </c>
      <c r="N879" t="s">
        <v>47</v>
      </c>
      <c r="O879" t="s">
        <v>48</v>
      </c>
      <c r="P879" t="s">
        <v>48</v>
      </c>
      <c r="Y879" t="s">
        <v>4720</v>
      </c>
    </row>
    <row r="880" spans="1:25">
      <c r="A880" t="s">
        <v>4721</v>
      </c>
      <c r="B880" t="s">
        <v>4722</v>
      </c>
      <c r="D880" t="s">
        <v>40</v>
      </c>
      <c r="E880" t="s">
        <v>41</v>
      </c>
      <c r="G880" t="s">
        <v>4723</v>
      </c>
      <c r="H880" t="s">
        <v>4724</v>
      </c>
      <c r="J880" t="s">
        <v>90</v>
      </c>
      <c r="K880" t="s">
        <v>91</v>
      </c>
      <c r="L880">
        <v>5</v>
      </c>
      <c r="M880" t="s">
        <v>4725</v>
      </c>
      <c r="N880" t="s">
        <v>47</v>
      </c>
      <c r="O880" t="s">
        <v>48</v>
      </c>
      <c r="P880" t="s">
        <v>48</v>
      </c>
      <c r="Y880" t="s">
        <v>4726</v>
      </c>
    </row>
    <row r="881" spans="1:25">
      <c r="A881" t="s">
        <v>4727</v>
      </c>
      <c r="B881" t="s">
        <v>4728</v>
      </c>
      <c r="D881" t="s">
        <v>40</v>
      </c>
      <c r="E881" t="s">
        <v>41</v>
      </c>
      <c r="G881" t="s">
        <v>4729</v>
      </c>
      <c r="H881" t="s">
        <v>2489</v>
      </c>
      <c r="J881" t="s">
        <v>44</v>
      </c>
      <c r="K881" t="s">
        <v>45</v>
      </c>
      <c r="L881">
        <v>5</v>
      </c>
      <c r="M881" t="s">
        <v>4730</v>
      </c>
      <c r="N881" t="s">
        <v>47</v>
      </c>
      <c r="O881" t="s">
        <v>48</v>
      </c>
      <c r="P881" t="s">
        <v>48</v>
      </c>
      <c r="Y881" t="s">
        <v>4731</v>
      </c>
    </row>
    <row r="882" spans="1:25">
      <c r="A882" t="s">
        <v>4732</v>
      </c>
      <c r="B882" t="s">
        <v>4733</v>
      </c>
      <c r="D882" t="s">
        <v>40</v>
      </c>
      <c r="E882" t="s">
        <v>41</v>
      </c>
      <c r="G882" t="s">
        <v>4734</v>
      </c>
      <c r="H882" t="s">
        <v>4735</v>
      </c>
      <c r="J882" t="s">
        <v>44</v>
      </c>
      <c r="K882" t="s">
        <v>45</v>
      </c>
      <c r="L882">
        <v>5</v>
      </c>
      <c r="M882" t="s">
        <v>4736</v>
      </c>
      <c r="N882" t="s">
        <v>47</v>
      </c>
      <c r="O882" t="s">
        <v>48</v>
      </c>
      <c r="P882" t="s">
        <v>48</v>
      </c>
      <c r="Y882" t="s">
        <v>4737</v>
      </c>
    </row>
    <row r="883" spans="1:25">
      <c r="A883" t="s">
        <v>4738</v>
      </c>
      <c r="B883" t="s">
        <v>4739</v>
      </c>
      <c r="D883" t="s">
        <v>40</v>
      </c>
      <c r="E883" t="s">
        <v>41</v>
      </c>
      <c r="G883" t="s">
        <v>4740</v>
      </c>
      <c r="H883" t="s">
        <v>4741</v>
      </c>
      <c r="J883" t="s">
        <v>90</v>
      </c>
      <c r="K883" t="s">
        <v>91</v>
      </c>
      <c r="L883">
        <v>5</v>
      </c>
      <c r="M883" t="s">
        <v>4742</v>
      </c>
      <c r="N883" t="s">
        <v>47</v>
      </c>
      <c r="O883" t="s">
        <v>48</v>
      </c>
      <c r="P883" t="s">
        <v>48</v>
      </c>
      <c r="Y883" t="s">
        <v>4743</v>
      </c>
    </row>
    <row r="884" spans="1:25">
      <c r="A884" t="s">
        <v>4744</v>
      </c>
      <c r="B884" t="s">
        <v>4745</v>
      </c>
      <c r="D884" t="s">
        <v>40</v>
      </c>
      <c r="E884" t="s">
        <v>41</v>
      </c>
      <c r="G884" t="s">
        <v>4746</v>
      </c>
      <c r="H884" t="s">
        <v>4747</v>
      </c>
      <c r="J884" t="s">
        <v>90</v>
      </c>
      <c r="K884" t="s">
        <v>91</v>
      </c>
      <c r="L884">
        <v>5</v>
      </c>
      <c r="M884" t="s">
        <v>4748</v>
      </c>
      <c r="N884" t="s">
        <v>47</v>
      </c>
      <c r="O884" t="s">
        <v>48</v>
      </c>
      <c r="P884" t="s">
        <v>48</v>
      </c>
      <c r="Y884" t="s">
        <v>4749</v>
      </c>
    </row>
    <row r="885" spans="1:25">
      <c r="A885" t="s">
        <v>4750</v>
      </c>
      <c r="B885" t="s">
        <v>4751</v>
      </c>
      <c r="D885" t="s">
        <v>40</v>
      </c>
      <c r="E885" t="s">
        <v>41</v>
      </c>
      <c r="G885" t="s">
        <v>4752</v>
      </c>
      <c r="H885" t="s">
        <v>4753</v>
      </c>
      <c r="J885" t="s">
        <v>54</v>
      </c>
      <c r="K885" t="s">
        <v>55</v>
      </c>
      <c r="L885">
        <v>5</v>
      </c>
      <c r="M885" t="s">
        <v>4754</v>
      </c>
      <c r="N885" t="s">
        <v>47</v>
      </c>
      <c r="O885" t="s">
        <v>48</v>
      </c>
      <c r="P885" t="s">
        <v>48</v>
      </c>
      <c r="Y885" t="s">
        <v>4755</v>
      </c>
    </row>
    <row r="886" spans="1:25">
      <c r="A886" t="s">
        <v>4756</v>
      </c>
      <c r="B886" t="s">
        <v>4757</v>
      </c>
      <c r="D886" t="s">
        <v>40</v>
      </c>
      <c r="E886" t="s">
        <v>41</v>
      </c>
      <c r="G886" t="s">
        <v>4758</v>
      </c>
      <c r="H886" t="s">
        <v>4759</v>
      </c>
      <c r="J886" t="s">
        <v>90</v>
      </c>
      <c r="K886" t="s">
        <v>91</v>
      </c>
      <c r="L886">
        <v>5</v>
      </c>
      <c r="M886" t="s">
        <v>4760</v>
      </c>
      <c r="N886" t="s">
        <v>47</v>
      </c>
      <c r="O886" t="s">
        <v>48</v>
      </c>
      <c r="P886" t="s">
        <v>48</v>
      </c>
      <c r="Y886" t="s">
        <v>4761</v>
      </c>
    </row>
    <row r="887" spans="1:25">
      <c r="A887" t="s">
        <v>4762</v>
      </c>
      <c r="B887" t="s">
        <v>4763</v>
      </c>
      <c r="D887" t="s">
        <v>40</v>
      </c>
      <c r="E887" t="s">
        <v>41</v>
      </c>
      <c r="G887" t="s">
        <v>3555</v>
      </c>
      <c r="H887" t="s">
        <v>4764</v>
      </c>
      <c r="J887" t="s">
        <v>44</v>
      </c>
      <c r="K887" t="s">
        <v>45</v>
      </c>
      <c r="L887">
        <v>5</v>
      </c>
      <c r="M887" t="s">
        <v>4760</v>
      </c>
      <c r="N887" t="s">
        <v>47</v>
      </c>
      <c r="O887" t="s">
        <v>48</v>
      </c>
      <c r="P887" t="s">
        <v>48</v>
      </c>
      <c r="Y887" t="s">
        <v>4765</v>
      </c>
    </row>
    <row r="888" spans="1:25">
      <c r="A888" t="s">
        <v>4766</v>
      </c>
      <c r="B888" t="s">
        <v>4767</v>
      </c>
      <c r="D888" t="s">
        <v>40</v>
      </c>
      <c r="E888" t="s">
        <v>41</v>
      </c>
      <c r="G888" t="s">
        <v>4768</v>
      </c>
      <c r="H888" t="s">
        <v>4769</v>
      </c>
      <c r="J888" t="s">
        <v>90</v>
      </c>
      <c r="K888" t="s">
        <v>91</v>
      </c>
      <c r="L888">
        <v>5</v>
      </c>
      <c r="M888" t="s">
        <v>4760</v>
      </c>
      <c r="N888" t="s">
        <v>47</v>
      </c>
      <c r="O888" t="s">
        <v>48</v>
      </c>
      <c r="P888" t="s">
        <v>48</v>
      </c>
      <c r="Y888" t="s">
        <v>4770</v>
      </c>
    </row>
    <row r="889" spans="1:25">
      <c r="A889" t="s">
        <v>4771</v>
      </c>
      <c r="B889" t="s">
        <v>4772</v>
      </c>
      <c r="D889" t="s">
        <v>40</v>
      </c>
      <c r="E889" t="s">
        <v>41</v>
      </c>
      <c r="G889" t="s">
        <v>4773</v>
      </c>
      <c r="H889" t="s">
        <v>4774</v>
      </c>
      <c r="J889" t="s">
        <v>90</v>
      </c>
      <c r="K889" t="s">
        <v>91</v>
      </c>
      <c r="L889">
        <v>5</v>
      </c>
      <c r="M889" t="s">
        <v>4775</v>
      </c>
      <c r="N889" t="s">
        <v>47</v>
      </c>
      <c r="O889" t="s">
        <v>48</v>
      </c>
      <c r="P889" t="s">
        <v>48</v>
      </c>
      <c r="Y889" t="s">
        <v>4776</v>
      </c>
    </row>
    <row r="890" spans="1:25">
      <c r="A890" t="s">
        <v>4777</v>
      </c>
      <c r="B890" t="s">
        <v>4778</v>
      </c>
      <c r="D890" t="s">
        <v>40</v>
      </c>
      <c r="E890" t="s">
        <v>41</v>
      </c>
      <c r="G890" t="s">
        <v>4779</v>
      </c>
      <c r="H890" t="s">
        <v>4780</v>
      </c>
      <c r="J890" t="s">
        <v>90</v>
      </c>
      <c r="K890" t="s">
        <v>91</v>
      </c>
      <c r="L890">
        <v>5</v>
      </c>
      <c r="M890" t="s">
        <v>4781</v>
      </c>
      <c r="N890" t="s">
        <v>47</v>
      </c>
      <c r="O890" t="s">
        <v>48</v>
      </c>
      <c r="P890" t="s">
        <v>48</v>
      </c>
      <c r="Y890" t="s">
        <v>4782</v>
      </c>
    </row>
    <row r="891" spans="1:25">
      <c r="A891" t="s">
        <v>4783</v>
      </c>
      <c r="B891" t="s">
        <v>4784</v>
      </c>
      <c r="D891" t="s">
        <v>40</v>
      </c>
      <c r="E891" t="s">
        <v>41</v>
      </c>
      <c r="G891" t="s">
        <v>4785</v>
      </c>
      <c r="H891" t="s">
        <v>4786</v>
      </c>
      <c r="J891" t="s">
        <v>44</v>
      </c>
      <c r="K891" t="s">
        <v>45</v>
      </c>
      <c r="L891">
        <v>5</v>
      </c>
      <c r="M891" t="s">
        <v>4787</v>
      </c>
      <c r="N891" t="s">
        <v>47</v>
      </c>
      <c r="O891" t="s">
        <v>48</v>
      </c>
      <c r="P891" t="s">
        <v>48</v>
      </c>
      <c r="Y891" t="s">
        <v>4788</v>
      </c>
    </row>
    <row r="892" spans="1:25">
      <c r="A892" t="s">
        <v>4789</v>
      </c>
      <c r="B892" t="s">
        <v>4790</v>
      </c>
      <c r="D892" t="s">
        <v>40</v>
      </c>
      <c r="E892" t="s">
        <v>41</v>
      </c>
      <c r="G892" t="s">
        <v>4791</v>
      </c>
      <c r="H892" t="s">
        <v>4792</v>
      </c>
      <c r="J892" t="s">
        <v>90</v>
      </c>
      <c r="K892" t="s">
        <v>91</v>
      </c>
      <c r="L892">
        <v>5</v>
      </c>
      <c r="M892" t="s">
        <v>4793</v>
      </c>
      <c r="N892" t="s">
        <v>47</v>
      </c>
      <c r="O892" t="s">
        <v>48</v>
      </c>
      <c r="P892" t="s">
        <v>48</v>
      </c>
      <c r="Y892" t="s">
        <v>4794</v>
      </c>
    </row>
    <row r="893" spans="1:25">
      <c r="A893" t="s">
        <v>4795</v>
      </c>
      <c r="B893" t="s">
        <v>4796</v>
      </c>
      <c r="D893" t="s">
        <v>40</v>
      </c>
      <c r="E893" t="s">
        <v>41</v>
      </c>
      <c r="G893" t="s">
        <v>4797</v>
      </c>
      <c r="H893" t="s">
        <v>4798</v>
      </c>
      <c r="J893" t="s">
        <v>44</v>
      </c>
      <c r="K893" t="s">
        <v>45</v>
      </c>
      <c r="L893">
        <v>5</v>
      </c>
      <c r="M893" t="s">
        <v>4793</v>
      </c>
      <c r="N893" t="s">
        <v>47</v>
      </c>
      <c r="O893" t="s">
        <v>48</v>
      </c>
      <c r="P893" t="s">
        <v>48</v>
      </c>
      <c r="Y893" t="s">
        <v>4799</v>
      </c>
    </row>
    <row r="894" spans="1:25">
      <c r="A894" t="s">
        <v>4800</v>
      </c>
      <c r="B894" t="s">
        <v>4801</v>
      </c>
      <c r="D894" t="s">
        <v>40</v>
      </c>
      <c r="E894" t="s">
        <v>41</v>
      </c>
      <c r="G894" t="s">
        <v>4802</v>
      </c>
      <c r="H894" t="s">
        <v>1308</v>
      </c>
      <c r="J894" t="s">
        <v>234</v>
      </c>
      <c r="K894" t="s">
        <v>235</v>
      </c>
      <c r="L894">
        <v>5</v>
      </c>
      <c r="M894" t="s">
        <v>4803</v>
      </c>
      <c r="N894" t="s">
        <v>47</v>
      </c>
      <c r="O894" t="s">
        <v>48</v>
      </c>
      <c r="P894" t="s">
        <v>48</v>
      </c>
      <c r="Y894" t="s">
        <v>4804</v>
      </c>
    </row>
    <row r="895" spans="1:25">
      <c r="A895" t="s">
        <v>4805</v>
      </c>
      <c r="B895" t="s">
        <v>4806</v>
      </c>
      <c r="D895" t="s">
        <v>40</v>
      </c>
      <c r="E895" t="s">
        <v>41</v>
      </c>
      <c r="G895" t="s">
        <v>4807</v>
      </c>
      <c r="H895" t="s">
        <v>4808</v>
      </c>
      <c r="J895" t="s">
        <v>90</v>
      </c>
      <c r="K895" t="s">
        <v>91</v>
      </c>
      <c r="L895">
        <v>5</v>
      </c>
      <c r="M895" t="s">
        <v>4809</v>
      </c>
      <c r="N895" t="s">
        <v>47</v>
      </c>
      <c r="O895" t="s">
        <v>48</v>
      </c>
      <c r="P895" t="s">
        <v>48</v>
      </c>
      <c r="Y895" t="s">
        <v>4810</v>
      </c>
    </row>
    <row r="896" spans="1:25">
      <c r="A896" t="s">
        <v>4811</v>
      </c>
      <c r="B896" t="s">
        <v>4812</v>
      </c>
      <c r="D896" t="s">
        <v>40</v>
      </c>
      <c r="E896" t="s">
        <v>41</v>
      </c>
      <c r="G896" t="s">
        <v>4813</v>
      </c>
      <c r="H896" t="s">
        <v>1204</v>
      </c>
      <c r="J896" t="s">
        <v>54</v>
      </c>
      <c r="K896" t="s">
        <v>55</v>
      </c>
      <c r="L896">
        <v>5</v>
      </c>
      <c r="M896" t="s">
        <v>4809</v>
      </c>
      <c r="N896" t="s">
        <v>47</v>
      </c>
      <c r="O896" t="s">
        <v>48</v>
      </c>
      <c r="P896" t="s">
        <v>48</v>
      </c>
      <c r="Y896" t="s">
        <v>4814</v>
      </c>
    </row>
    <row r="897" spans="1:25">
      <c r="A897" t="s">
        <v>4815</v>
      </c>
      <c r="B897" t="s">
        <v>4816</v>
      </c>
      <c r="D897" t="s">
        <v>40</v>
      </c>
      <c r="E897" t="s">
        <v>41</v>
      </c>
      <c r="G897" t="s">
        <v>4817</v>
      </c>
      <c r="H897" t="s">
        <v>4818</v>
      </c>
      <c r="J897" t="s">
        <v>234</v>
      </c>
      <c r="K897" t="s">
        <v>235</v>
      </c>
      <c r="L897">
        <v>5</v>
      </c>
      <c r="M897" t="s">
        <v>4819</v>
      </c>
      <c r="N897" t="s">
        <v>47</v>
      </c>
      <c r="O897" t="s">
        <v>48</v>
      </c>
      <c r="P897" t="s">
        <v>48</v>
      </c>
      <c r="Y897" t="s">
        <v>4820</v>
      </c>
    </row>
    <row r="898" spans="1:25">
      <c r="A898" t="s">
        <v>4821</v>
      </c>
      <c r="B898" t="s">
        <v>4822</v>
      </c>
      <c r="D898" t="s">
        <v>40</v>
      </c>
      <c r="E898" t="s">
        <v>41</v>
      </c>
      <c r="G898" t="s">
        <v>4823</v>
      </c>
      <c r="H898" t="s">
        <v>4824</v>
      </c>
      <c r="J898" t="s">
        <v>90</v>
      </c>
      <c r="K898" t="s">
        <v>91</v>
      </c>
      <c r="L898">
        <v>5</v>
      </c>
      <c r="M898" t="s">
        <v>4825</v>
      </c>
      <c r="N898" t="s">
        <v>47</v>
      </c>
      <c r="O898" t="s">
        <v>48</v>
      </c>
      <c r="P898" t="s">
        <v>48</v>
      </c>
      <c r="Y898" t="s">
        <v>4826</v>
      </c>
    </row>
    <row r="899" spans="1:25">
      <c r="A899" t="s">
        <v>4827</v>
      </c>
      <c r="B899" t="s">
        <v>4828</v>
      </c>
      <c r="D899" t="s">
        <v>40</v>
      </c>
      <c r="E899" t="s">
        <v>41</v>
      </c>
      <c r="G899" t="s">
        <v>4829</v>
      </c>
      <c r="H899" t="s">
        <v>4830</v>
      </c>
      <c r="J899" t="s">
        <v>353</v>
      </c>
      <c r="K899" t="s">
        <v>354</v>
      </c>
      <c r="L899">
        <v>5</v>
      </c>
      <c r="M899" t="s">
        <v>4831</v>
      </c>
      <c r="N899" t="s">
        <v>290</v>
      </c>
      <c r="O899" t="s">
        <v>48</v>
      </c>
      <c r="P899" t="s">
        <v>48</v>
      </c>
      <c r="Y899" t="s">
        <v>4832</v>
      </c>
    </row>
    <row r="900" spans="1:25">
      <c r="A900" t="s">
        <v>4833</v>
      </c>
      <c r="B900" t="s">
        <v>4834</v>
      </c>
      <c r="D900" t="s">
        <v>40</v>
      </c>
      <c r="E900" t="s">
        <v>41</v>
      </c>
      <c r="G900" t="s">
        <v>671</v>
      </c>
      <c r="H900" t="s">
        <v>4835</v>
      </c>
      <c r="J900" t="s">
        <v>90</v>
      </c>
      <c r="K900" t="s">
        <v>91</v>
      </c>
      <c r="L900">
        <v>5</v>
      </c>
      <c r="M900" t="s">
        <v>4831</v>
      </c>
      <c r="N900" t="s">
        <v>47</v>
      </c>
      <c r="O900" t="s">
        <v>48</v>
      </c>
      <c r="P900" t="s">
        <v>48</v>
      </c>
      <c r="Y900" t="s">
        <v>4836</v>
      </c>
    </row>
    <row r="901" spans="1:25">
      <c r="A901" t="s">
        <v>4837</v>
      </c>
      <c r="B901" t="s">
        <v>4838</v>
      </c>
      <c r="D901" t="s">
        <v>40</v>
      </c>
      <c r="E901" t="s">
        <v>41</v>
      </c>
      <c r="G901" t="s">
        <v>4839</v>
      </c>
      <c r="H901" t="s">
        <v>4840</v>
      </c>
      <c r="J901" t="s">
        <v>90</v>
      </c>
      <c r="K901" t="s">
        <v>91</v>
      </c>
      <c r="L901">
        <v>5</v>
      </c>
      <c r="M901" t="s">
        <v>4831</v>
      </c>
      <c r="N901" t="s">
        <v>47</v>
      </c>
      <c r="O901" t="s">
        <v>48</v>
      </c>
      <c r="P901" t="s">
        <v>48</v>
      </c>
      <c r="Y901" t="s">
        <v>4841</v>
      </c>
    </row>
    <row r="902" spans="1:25">
      <c r="A902" t="s">
        <v>4842</v>
      </c>
      <c r="B902" t="s">
        <v>4843</v>
      </c>
      <c r="D902" t="s">
        <v>40</v>
      </c>
      <c r="E902" t="s">
        <v>41</v>
      </c>
      <c r="G902" t="s">
        <v>4844</v>
      </c>
      <c r="H902" t="s">
        <v>4845</v>
      </c>
      <c r="J902" t="s">
        <v>90</v>
      </c>
      <c r="K902" t="s">
        <v>91</v>
      </c>
      <c r="L902">
        <v>5</v>
      </c>
      <c r="M902" t="s">
        <v>4831</v>
      </c>
      <c r="N902" t="s">
        <v>47</v>
      </c>
      <c r="O902" t="s">
        <v>48</v>
      </c>
      <c r="P902" t="s">
        <v>48</v>
      </c>
      <c r="Y902" t="s">
        <v>4846</v>
      </c>
    </row>
    <row r="903" spans="1:25">
      <c r="A903" t="s">
        <v>4847</v>
      </c>
      <c r="B903" t="s">
        <v>4848</v>
      </c>
      <c r="D903" t="s">
        <v>40</v>
      </c>
      <c r="E903" t="s">
        <v>41</v>
      </c>
      <c r="G903" t="s">
        <v>4849</v>
      </c>
      <c r="H903" t="s">
        <v>4850</v>
      </c>
      <c r="J903" t="s">
        <v>44</v>
      </c>
      <c r="K903" t="s">
        <v>45</v>
      </c>
      <c r="L903">
        <v>5</v>
      </c>
      <c r="M903" t="s">
        <v>4851</v>
      </c>
      <c r="N903" t="s">
        <v>47</v>
      </c>
      <c r="O903" t="s">
        <v>48</v>
      </c>
      <c r="P903" t="s">
        <v>48</v>
      </c>
      <c r="Y903" t="s">
        <v>4852</v>
      </c>
    </row>
    <row r="904" spans="1:25">
      <c r="A904" t="s">
        <v>4853</v>
      </c>
      <c r="B904" t="s">
        <v>4854</v>
      </c>
      <c r="D904" t="s">
        <v>40</v>
      </c>
      <c r="E904" t="s">
        <v>41</v>
      </c>
      <c r="G904" t="s">
        <v>294</v>
      </c>
      <c r="H904" t="s">
        <v>4008</v>
      </c>
      <c r="J904" t="s">
        <v>54</v>
      </c>
      <c r="K904" t="s">
        <v>55</v>
      </c>
      <c r="L904">
        <v>5</v>
      </c>
      <c r="M904" t="s">
        <v>4851</v>
      </c>
      <c r="N904" t="s">
        <v>47</v>
      </c>
      <c r="O904" t="s">
        <v>48</v>
      </c>
      <c r="P904" t="s">
        <v>48</v>
      </c>
      <c r="Y904" t="s">
        <v>4855</v>
      </c>
    </row>
    <row r="905" spans="1:25">
      <c r="A905" t="s">
        <v>4856</v>
      </c>
      <c r="B905" t="s">
        <v>4857</v>
      </c>
      <c r="D905" t="s">
        <v>40</v>
      </c>
      <c r="E905" t="s">
        <v>41</v>
      </c>
      <c r="G905" t="s">
        <v>4858</v>
      </c>
      <c r="H905" t="s">
        <v>4859</v>
      </c>
      <c r="J905" t="s">
        <v>44</v>
      </c>
      <c r="K905" t="s">
        <v>45</v>
      </c>
      <c r="L905">
        <v>5</v>
      </c>
      <c r="M905" t="s">
        <v>4860</v>
      </c>
      <c r="N905" t="s">
        <v>47</v>
      </c>
      <c r="O905" t="s">
        <v>48</v>
      </c>
      <c r="P905" t="s">
        <v>48</v>
      </c>
      <c r="Y905" t="s">
        <v>4861</v>
      </c>
    </row>
    <row r="906" spans="1:25">
      <c r="A906" t="s">
        <v>4862</v>
      </c>
      <c r="B906" t="s">
        <v>4863</v>
      </c>
      <c r="D906" t="s">
        <v>40</v>
      </c>
      <c r="E906" t="s">
        <v>41</v>
      </c>
      <c r="J906" t="s">
        <v>44</v>
      </c>
      <c r="K906" t="s">
        <v>45</v>
      </c>
      <c r="L906">
        <v>5</v>
      </c>
      <c r="M906" t="s">
        <v>4860</v>
      </c>
      <c r="N906" t="s">
        <v>47</v>
      </c>
      <c r="O906" t="s">
        <v>48</v>
      </c>
      <c r="P906" t="s">
        <v>48</v>
      </c>
      <c r="Y906" t="s">
        <v>4864</v>
      </c>
    </row>
    <row r="907" spans="1:25">
      <c r="A907" t="s">
        <v>4865</v>
      </c>
      <c r="B907" t="s">
        <v>4866</v>
      </c>
      <c r="D907" t="s">
        <v>40</v>
      </c>
      <c r="E907" t="s">
        <v>41</v>
      </c>
      <c r="G907" t="s">
        <v>4225</v>
      </c>
      <c r="H907" t="s">
        <v>4867</v>
      </c>
      <c r="J907" t="s">
        <v>44</v>
      </c>
      <c r="K907" t="s">
        <v>45</v>
      </c>
      <c r="L907">
        <v>5</v>
      </c>
      <c r="M907" t="s">
        <v>4860</v>
      </c>
      <c r="N907" t="s">
        <v>47</v>
      </c>
      <c r="O907" t="s">
        <v>48</v>
      </c>
      <c r="P907" t="s">
        <v>48</v>
      </c>
      <c r="Y907" t="s">
        <v>4868</v>
      </c>
    </row>
    <row r="908" spans="1:25">
      <c r="A908" t="s">
        <v>4869</v>
      </c>
      <c r="B908" t="s">
        <v>4870</v>
      </c>
      <c r="D908" t="s">
        <v>40</v>
      </c>
      <c r="E908" t="s">
        <v>41</v>
      </c>
      <c r="G908" t="s">
        <v>4871</v>
      </c>
      <c r="H908" t="s">
        <v>1686</v>
      </c>
      <c r="J908" t="s">
        <v>44</v>
      </c>
      <c r="K908" t="s">
        <v>45</v>
      </c>
      <c r="L908">
        <v>5</v>
      </c>
      <c r="M908" t="s">
        <v>4872</v>
      </c>
      <c r="N908" t="s">
        <v>47</v>
      </c>
      <c r="O908" t="s">
        <v>48</v>
      </c>
      <c r="P908" t="s">
        <v>48</v>
      </c>
      <c r="Y908" t="s">
        <v>4873</v>
      </c>
    </row>
    <row r="909" spans="1:25">
      <c r="A909" t="s">
        <v>4874</v>
      </c>
      <c r="B909" t="s">
        <v>4875</v>
      </c>
      <c r="D909" t="s">
        <v>40</v>
      </c>
      <c r="E909" t="s">
        <v>41</v>
      </c>
      <c r="G909" t="s">
        <v>4876</v>
      </c>
      <c r="H909" t="s">
        <v>4877</v>
      </c>
      <c r="J909" t="s">
        <v>133</v>
      </c>
      <c r="K909" t="s">
        <v>134</v>
      </c>
      <c r="L909">
        <v>5</v>
      </c>
      <c r="M909" t="s">
        <v>4878</v>
      </c>
      <c r="N909" t="s">
        <v>290</v>
      </c>
      <c r="O909" t="s">
        <v>48</v>
      </c>
      <c r="P909" t="s">
        <v>48</v>
      </c>
      <c r="Y909" t="s">
        <v>4879</v>
      </c>
    </row>
    <row r="910" spans="1:25">
      <c r="A910" t="s">
        <v>4880</v>
      </c>
      <c r="B910" t="s">
        <v>4881</v>
      </c>
      <c r="D910" t="s">
        <v>40</v>
      </c>
      <c r="E910" t="s">
        <v>41</v>
      </c>
      <c r="G910" t="s">
        <v>232</v>
      </c>
      <c r="H910" t="s">
        <v>4882</v>
      </c>
      <c r="J910" t="s">
        <v>133</v>
      </c>
      <c r="K910" t="s">
        <v>134</v>
      </c>
      <c r="L910">
        <v>5</v>
      </c>
      <c r="M910" t="s">
        <v>4883</v>
      </c>
      <c r="N910" t="s">
        <v>685</v>
      </c>
      <c r="O910" t="s">
        <v>48</v>
      </c>
      <c r="P910" t="s">
        <v>48</v>
      </c>
      <c r="Y910" t="s">
        <v>4884</v>
      </c>
    </row>
    <row r="911" spans="1:25">
      <c r="A911" t="s">
        <v>4885</v>
      </c>
      <c r="B911" t="s">
        <v>4886</v>
      </c>
      <c r="D911" t="s">
        <v>40</v>
      </c>
      <c r="E911" t="s">
        <v>41</v>
      </c>
      <c r="G911" t="s">
        <v>4887</v>
      </c>
      <c r="H911" t="s">
        <v>4888</v>
      </c>
      <c r="J911" t="s">
        <v>90</v>
      </c>
      <c r="K911" t="s">
        <v>91</v>
      </c>
      <c r="L911">
        <v>5</v>
      </c>
      <c r="M911" t="s">
        <v>4889</v>
      </c>
      <c r="N911" t="s">
        <v>47</v>
      </c>
      <c r="O911" t="s">
        <v>48</v>
      </c>
      <c r="P911" t="s">
        <v>48</v>
      </c>
      <c r="Y911" t="s">
        <v>4890</v>
      </c>
    </row>
    <row r="912" spans="1:25">
      <c r="A912" t="s">
        <v>4891</v>
      </c>
      <c r="B912" t="s">
        <v>4892</v>
      </c>
      <c r="D912" t="s">
        <v>40</v>
      </c>
      <c r="E912" t="s">
        <v>41</v>
      </c>
      <c r="G912" t="s">
        <v>4893</v>
      </c>
      <c r="H912" t="s">
        <v>3440</v>
      </c>
      <c r="J912" t="s">
        <v>44</v>
      </c>
      <c r="K912" t="s">
        <v>45</v>
      </c>
      <c r="L912">
        <v>5</v>
      </c>
      <c r="M912" t="s">
        <v>4894</v>
      </c>
      <c r="N912" t="s">
        <v>47</v>
      </c>
      <c r="O912" t="s">
        <v>48</v>
      </c>
      <c r="P912" t="s">
        <v>48</v>
      </c>
      <c r="Y912" t="s">
        <v>4895</v>
      </c>
    </row>
    <row r="913" spans="1:25">
      <c r="A913" t="s">
        <v>4896</v>
      </c>
      <c r="B913" t="s">
        <v>4897</v>
      </c>
      <c r="D913" t="s">
        <v>40</v>
      </c>
      <c r="E913" t="s">
        <v>41</v>
      </c>
      <c r="G913" t="s">
        <v>4898</v>
      </c>
      <c r="H913" t="s">
        <v>43</v>
      </c>
      <c r="J913" t="s">
        <v>90</v>
      </c>
      <c r="K913" t="s">
        <v>91</v>
      </c>
      <c r="L913">
        <v>5</v>
      </c>
      <c r="M913" t="s">
        <v>4899</v>
      </c>
      <c r="N913" t="s">
        <v>47</v>
      </c>
      <c r="O913" t="s">
        <v>48</v>
      </c>
      <c r="P913" t="s">
        <v>48</v>
      </c>
      <c r="Y913" t="s">
        <v>4900</v>
      </c>
    </row>
    <row r="914" spans="1:25">
      <c r="A914" t="s">
        <v>4901</v>
      </c>
      <c r="B914" t="s">
        <v>4902</v>
      </c>
      <c r="D914" t="s">
        <v>40</v>
      </c>
      <c r="E914" t="s">
        <v>41</v>
      </c>
      <c r="G914" t="s">
        <v>4903</v>
      </c>
      <c r="H914" t="s">
        <v>4904</v>
      </c>
      <c r="J914" t="s">
        <v>90</v>
      </c>
      <c r="K914" t="s">
        <v>91</v>
      </c>
      <c r="L914">
        <v>5</v>
      </c>
      <c r="M914" t="s">
        <v>4905</v>
      </c>
      <c r="N914" t="s">
        <v>47</v>
      </c>
      <c r="O914" t="s">
        <v>48</v>
      </c>
      <c r="P914" t="s">
        <v>48</v>
      </c>
      <c r="Y914" t="s">
        <v>4906</v>
      </c>
    </row>
    <row r="915" spans="1:25">
      <c r="A915" t="s">
        <v>4907</v>
      </c>
      <c r="B915" t="s">
        <v>4908</v>
      </c>
      <c r="D915" t="s">
        <v>40</v>
      </c>
      <c r="E915" t="s">
        <v>41</v>
      </c>
      <c r="G915" t="s">
        <v>3755</v>
      </c>
      <c r="H915" t="s">
        <v>4909</v>
      </c>
      <c r="J915" t="s">
        <v>371</v>
      </c>
      <c r="K915" t="s">
        <v>372</v>
      </c>
      <c r="L915">
        <v>5</v>
      </c>
      <c r="M915" t="s">
        <v>4905</v>
      </c>
      <c r="N915" t="s">
        <v>47</v>
      </c>
      <c r="O915" t="s">
        <v>48</v>
      </c>
      <c r="P915" t="s">
        <v>48</v>
      </c>
      <c r="Y915" t="s">
        <v>4910</v>
      </c>
    </row>
    <row r="916" spans="1:25">
      <c r="A916" t="s">
        <v>4911</v>
      </c>
      <c r="B916" t="s">
        <v>4912</v>
      </c>
      <c r="D916" t="s">
        <v>40</v>
      </c>
      <c r="E916" t="s">
        <v>41</v>
      </c>
      <c r="G916" t="s">
        <v>4913</v>
      </c>
      <c r="H916" t="s">
        <v>4914</v>
      </c>
      <c r="J916" t="s">
        <v>44</v>
      </c>
      <c r="K916" t="s">
        <v>45</v>
      </c>
      <c r="L916">
        <v>5</v>
      </c>
      <c r="M916" t="s">
        <v>4915</v>
      </c>
      <c r="N916" t="s">
        <v>47</v>
      </c>
      <c r="O916" t="s">
        <v>48</v>
      </c>
      <c r="P916" t="s">
        <v>48</v>
      </c>
      <c r="Y916" t="s">
        <v>4916</v>
      </c>
    </row>
    <row r="917" spans="1:25">
      <c r="A917" t="s">
        <v>4917</v>
      </c>
      <c r="B917" t="s">
        <v>4918</v>
      </c>
      <c r="D917" t="s">
        <v>40</v>
      </c>
      <c r="E917" t="s">
        <v>41</v>
      </c>
      <c r="G917" t="s">
        <v>1220</v>
      </c>
      <c r="H917" t="s">
        <v>4919</v>
      </c>
      <c r="J917" t="s">
        <v>90</v>
      </c>
      <c r="K917" t="s">
        <v>91</v>
      </c>
      <c r="L917">
        <v>5</v>
      </c>
      <c r="M917" t="s">
        <v>4920</v>
      </c>
      <c r="N917" t="s">
        <v>47</v>
      </c>
      <c r="O917" t="s">
        <v>48</v>
      </c>
      <c r="P917" t="s">
        <v>48</v>
      </c>
      <c r="Y917" t="s">
        <v>4921</v>
      </c>
    </row>
    <row r="918" spans="1:25">
      <c r="A918" t="s">
        <v>4922</v>
      </c>
      <c r="B918" t="s">
        <v>4923</v>
      </c>
      <c r="D918" t="s">
        <v>40</v>
      </c>
      <c r="E918" t="s">
        <v>41</v>
      </c>
      <c r="G918" t="s">
        <v>4924</v>
      </c>
      <c r="H918" t="s">
        <v>4925</v>
      </c>
      <c r="J918" t="s">
        <v>90</v>
      </c>
      <c r="K918" t="s">
        <v>91</v>
      </c>
      <c r="L918">
        <v>5</v>
      </c>
      <c r="M918" t="s">
        <v>4926</v>
      </c>
      <c r="N918" t="s">
        <v>47</v>
      </c>
      <c r="O918" t="s">
        <v>48</v>
      </c>
      <c r="P918" t="s">
        <v>48</v>
      </c>
      <c r="Y918" t="s">
        <v>4927</v>
      </c>
    </row>
    <row r="919" spans="1:25">
      <c r="A919" t="s">
        <v>4928</v>
      </c>
      <c r="B919" t="s">
        <v>4929</v>
      </c>
      <c r="D919" t="s">
        <v>40</v>
      </c>
      <c r="E919" t="s">
        <v>41</v>
      </c>
      <c r="G919" t="s">
        <v>4930</v>
      </c>
      <c r="H919" t="s">
        <v>3846</v>
      </c>
      <c r="J919" t="s">
        <v>2328</v>
      </c>
      <c r="K919" t="s">
        <v>2329</v>
      </c>
      <c r="L919">
        <v>5</v>
      </c>
      <c r="M919" t="s">
        <v>4926</v>
      </c>
      <c r="N919" t="s">
        <v>685</v>
      </c>
      <c r="O919" t="s">
        <v>48</v>
      </c>
      <c r="P919" t="s">
        <v>48</v>
      </c>
      <c r="Y919" t="s">
        <v>4931</v>
      </c>
    </row>
    <row r="920" spans="1:25">
      <c r="A920" t="s">
        <v>4932</v>
      </c>
      <c r="B920" t="s">
        <v>4933</v>
      </c>
      <c r="D920" t="s">
        <v>40</v>
      </c>
      <c r="E920" t="s">
        <v>41</v>
      </c>
      <c r="G920" t="s">
        <v>4934</v>
      </c>
      <c r="H920" t="s">
        <v>4935</v>
      </c>
      <c r="J920" t="s">
        <v>44</v>
      </c>
      <c r="K920" t="s">
        <v>45</v>
      </c>
      <c r="L920">
        <v>5</v>
      </c>
      <c r="M920" t="s">
        <v>4936</v>
      </c>
      <c r="N920" t="s">
        <v>47</v>
      </c>
      <c r="O920" t="s">
        <v>48</v>
      </c>
      <c r="P920" t="s">
        <v>48</v>
      </c>
      <c r="Y920" t="s">
        <v>4937</v>
      </c>
    </row>
    <row r="921" spans="1:25">
      <c r="A921" t="s">
        <v>4938</v>
      </c>
      <c r="B921" t="s">
        <v>4939</v>
      </c>
      <c r="D921" t="s">
        <v>40</v>
      </c>
      <c r="E921" t="s">
        <v>41</v>
      </c>
      <c r="G921" t="s">
        <v>2749</v>
      </c>
      <c r="H921" t="s">
        <v>4940</v>
      </c>
      <c r="J921" t="s">
        <v>44</v>
      </c>
      <c r="K921" t="s">
        <v>45</v>
      </c>
      <c r="L921">
        <v>5</v>
      </c>
      <c r="M921" t="s">
        <v>4936</v>
      </c>
      <c r="N921" t="s">
        <v>47</v>
      </c>
      <c r="O921" t="s">
        <v>48</v>
      </c>
      <c r="P921" t="s">
        <v>48</v>
      </c>
      <c r="Y921" t="s">
        <v>4941</v>
      </c>
    </row>
    <row r="922" spans="1:25">
      <c r="A922" t="s">
        <v>4942</v>
      </c>
      <c r="B922" t="s">
        <v>4943</v>
      </c>
      <c r="D922" t="s">
        <v>40</v>
      </c>
      <c r="E922" t="s">
        <v>41</v>
      </c>
      <c r="G922" t="s">
        <v>4944</v>
      </c>
      <c r="H922" t="s">
        <v>4945</v>
      </c>
      <c r="J922" t="s">
        <v>54</v>
      </c>
      <c r="K922" t="s">
        <v>55</v>
      </c>
      <c r="L922">
        <v>5</v>
      </c>
      <c r="M922" t="s">
        <v>4936</v>
      </c>
      <c r="N922" t="s">
        <v>47</v>
      </c>
      <c r="O922" t="s">
        <v>48</v>
      </c>
      <c r="P922" t="s">
        <v>48</v>
      </c>
      <c r="Y922" t="s">
        <v>4946</v>
      </c>
    </row>
    <row r="923" spans="1:25">
      <c r="A923" t="s">
        <v>4947</v>
      </c>
      <c r="B923" t="s">
        <v>4948</v>
      </c>
      <c r="D923" t="s">
        <v>40</v>
      </c>
      <c r="E923" t="s">
        <v>41</v>
      </c>
      <c r="G923" t="s">
        <v>4829</v>
      </c>
      <c r="H923" t="s">
        <v>4829</v>
      </c>
      <c r="J923" t="s">
        <v>90</v>
      </c>
      <c r="K923" t="s">
        <v>91</v>
      </c>
      <c r="L923">
        <v>5</v>
      </c>
      <c r="M923" t="s">
        <v>4936</v>
      </c>
      <c r="N923" t="s">
        <v>47</v>
      </c>
      <c r="O923" t="s">
        <v>48</v>
      </c>
      <c r="P923" t="s">
        <v>48</v>
      </c>
      <c r="Y923" t="s">
        <v>4949</v>
      </c>
    </row>
    <row r="924" spans="1:25">
      <c r="A924" t="s">
        <v>4950</v>
      </c>
      <c r="B924" t="s">
        <v>4951</v>
      </c>
      <c r="D924" t="s">
        <v>40</v>
      </c>
      <c r="E924" t="s">
        <v>41</v>
      </c>
      <c r="G924" t="s">
        <v>4952</v>
      </c>
      <c r="H924" t="s">
        <v>3303</v>
      </c>
      <c r="J924" t="s">
        <v>497</v>
      </c>
      <c r="K924" t="s">
        <v>498</v>
      </c>
      <c r="L924">
        <v>5</v>
      </c>
      <c r="M924" t="s">
        <v>4953</v>
      </c>
      <c r="N924" t="s">
        <v>135</v>
      </c>
      <c r="O924" t="s">
        <v>48</v>
      </c>
      <c r="P924" t="s">
        <v>48</v>
      </c>
      <c r="Y924" t="s">
        <v>4954</v>
      </c>
    </row>
    <row r="925" spans="1:25">
      <c r="A925" t="s">
        <v>4955</v>
      </c>
      <c r="B925" t="s">
        <v>4956</v>
      </c>
      <c r="D925" t="s">
        <v>40</v>
      </c>
      <c r="E925" t="s">
        <v>41</v>
      </c>
      <c r="G925" t="s">
        <v>1490</v>
      </c>
      <c r="H925" t="s">
        <v>1123</v>
      </c>
      <c r="J925" t="s">
        <v>90</v>
      </c>
      <c r="K925" t="s">
        <v>91</v>
      </c>
      <c r="L925">
        <v>5</v>
      </c>
      <c r="M925" t="s">
        <v>4957</v>
      </c>
      <c r="N925" t="s">
        <v>47</v>
      </c>
      <c r="O925" t="s">
        <v>48</v>
      </c>
      <c r="P925" t="s">
        <v>48</v>
      </c>
      <c r="Y925" t="s">
        <v>4958</v>
      </c>
    </row>
    <row r="926" spans="1:25">
      <c r="A926" t="s">
        <v>4959</v>
      </c>
      <c r="B926" t="s">
        <v>4960</v>
      </c>
      <c r="D926" t="s">
        <v>40</v>
      </c>
      <c r="E926" t="s">
        <v>41</v>
      </c>
      <c r="G926" t="s">
        <v>2733</v>
      </c>
      <c r="H926" t="s">
        <v>3303</v>
      </c>
      <c r="J926" t="s">
        <v>54</v>
      </c>
      <c r="K926" t="s">
        <v>55</v>
      </c>
      <c r="L926">
        <v>5</v>
      </c>
      <c r="M926" t="s">
        <v>4961</v>
      </c>
      <c r="N926" t="s">
        <v>47</v>
      </c>
      <c r="O926" t="s">
        <v>48</v>
      </c>
      <c r="P926" t="s">
        <v>48</v>
      </c>
      <c r="Y926" t="s">
        <v>4962</v>
      </c>
    </row>
    <row r="927" spans="1:25">
      <c r="A927" t="s">
        <v>4963</v>
      </c>
      <c r="B927" t="s">
        <v>4964</v>
      </c>
      <c r="D927" t="s">
        <v>40</v>
      </c>
      <c r="E927" t="s">
        <v>41</v>
      </c>
      <c r="G927" t="s">
        <v>4965</v>
      </c>
      <c r="H927" t="s">
        <v>4966</v>
      </c>
      <c r="J927" t="s">
        <v>90</v>
      </c>
      <c r="K927" t="s">
        <v>91</v>
      </c>
      <c r="L927">
        <v>5</v>
      </c>
      <c r="M927" t="s">
        <v>4967</v>
      </c>
      <c r="N927" t="s">
        <v>47</v>
      </c>
      <c r="O927" t="s">
        <v>48</v>
      </c>
      <c r="P927" t="s">
        <v>48</v>
      </c>
      <c r="Y927" t="s">
        <v>4968</v>
      </c>
    </row>
    <row r="928" spans="1:25">
      <c r="A928" t="s">
        <v>4969</v>
      </c>
      <c r="B928" t="s">
        <v>4970</v>
      </c>
      <c r="D928" t="s">
        <v>40</v>
      </c>
      <c r="E928" t="s">
        <v>41</v>
      </c>
      <c r="G928" t="s">
        <v>534</v>
      </c>
      <c r="H928" t="s">
        <v>4971</v>
      </c>
      <c r="J928" t="s">
        <v>90</v>
      </c>
      <c r="K928" t="s">
        <v>91</v>
      </c>
      <c r="L928">
        <v>5</v>
      </c>
      <c r="M928" t="s">
        <v>4972</v>
      </c>
      <c r="N928" t="s">
        <v>47</v>
      </c>
      <c r="O928" t="s">
        <v>48</v>
      </c>
      <c r="P928" t="s">
        <v>48</v>
      </c>
      <c r="Y928" t="s">
        <v>4973</v>
      </c>
    </row>
    <row r="929" spans="1:25">
      <c r="A929" t="s">
        <v>4974</v>
      </c>
      <c r="B929" t="s">
        <v>4975</v>
      </c>
      <c r="D929" t="s">
        <v>40</v>
      </c>
      <c r="E929" t="s">
        <v>41</v>
      </c>
      <c r="G929" t="s">
        <v>4976</v>
      </c>
      <c r="H929" t="s">
        <v>4977</v>
      </c>
      <c r="J929" t="s">
        <v>90</v>
      </c>
      <c r="K929" t="s">
        <v>91</v>
      </c>
      <c r="L929">
        <v>5</v>
      </c>
      <c r="M929" t="s">
        <v>4978</v>
      </c>
      <c r="N929" t="s">
        <v>47</v>
      </c>
      <c r="O929" t="s">
        <v>48</v>
      </c>
      <c r="P929" t="s">
        <v>48</v>
      </c>
      <c r="Y929" t="s">
        <v>4979</v>
      </c>
    </row>
    <row r="930" spans="1:25">
      <c r="A930" t="s">
        <v>4980</v>
      </c>
      <c r="B930" t="s">
        <v>4981</v>
      </c>
      <c r="D930" t="s">
        <v>40</v>
      </c>
      <c r="E930" t="s">
        <v>41</v>
      </c>
      <c r="G930" t="s">
        <v>2991</v>
      </c>
      <c r="H930" t="s">
        <v>2523</v>
      </c>
      <c r="J930" t="s">
        <v>90</v>
      </c>
      <c r="K930" t="s">
        <v>91</v>
      </c>
      <c r="L930">
        <v>5</v>
      </c>
      <c r="M930" t="s">
        <v>4982</v>
      </c>
      <c r="N930" t="s">
        <v>47</v>
      </c>
      <c r="O930" t="s">
        <v>48</v>
      </c>
      <c r="P930" t="s">
        <v>48</v>
      </c>
      <c r="Y930" t="s">
        <v>4983</v>
      </c>
    </row>
    <row r="931" spans="1:25">
      <c r="A931" t="s">
        <v>4984</v>
      </c>
      <c r="B931" t="s">
        <v>4985</v>
      </c>
      <c r="D931" t="s">
        <v>40</v>
      </c>
      <c r="E931" t="s">
        <v>41</v>
      </c>
      <c r="G931" t="s">
        <v>1702</v>
      </c>
      <c r="H931" t="s">
        <v>4986</v>
      </c>
      <c r="J931" t="s">
        <v>44</v>
      </c>
      <c r="K931" t="s">
        <v>45</v>
      </c>
      <c r="L931">
        <v>5</v>
      </c>
      <c r="M931" t="s">
        <v>4987</v>
      </c>
      <c r="N931" t="s">
        <v>47</v>
      </c>
      <c r="O931" t="s">
        <v>48</v>
      </c>
      <c r="P931" t="s">
        <v>48</v>
      </c>
      <c r="Y931" t="s">
        <v>4988</v>
      </c>
    </row>
    <row r="932" spans="1:25">
      <c r="A932" t="s">
        <v>4989</v>
      </c>
      <c r="B932" t="s">
        <v>4990</v>
      </c>
      <c r="D932" t="s">
        <v>40</v>
      </c>
      <c r="E932" t="s">
        <v>41</v>
      </c>
      <c r="G932" t="s">
        <v>4991</v>
      </c>
      <c r="H932" t="s">
        <v>4992</v>
      </c>
      <c r="J932" t="s">
        <v>44</v>
      </c>
      <c r="K932" t="s">
        <v>45</v>
      </c>
      <c r="L932">
        <v>5</v>
      </c>
      <c r="M932" t="s">
        <v>4993</v>
      </c>
      <c r="N932" t="s">
        <v>47</v>
      </c>
      <c r="O932" t="s">
        <v>48</v>
      </c>
      <c r="P932" t="s">
        <v>48</v>
      </c>
      <c r="Y932" t="s">
        <v>4994</v>
      </c>
    </row>
    <row r="933" spans="1:25">
      <c r="A933" t="s">
        <v>4995</v>
      </c>
      <c r="B933" t="s">
        <v>4996</v>
      </c>
      <c r="D933" t="s">
        <v>40</v>
      </c>
      <c r="E933" t="s">
        <v>41</v>
      </c>
      <c r="G933" t="s">
        <v>83</v>
      </c>
      <c r="H933" t="s">
        <v>4997</v>
      </c>
      <c r="J933" t="s">
        <v>353</v>
      </c>
      <c r="K933" t="s">
        <v>354</v>
      </c>
      <c r="L933">
        <v>5</v>
      </c>
      <c r="M933" t="s">
        <v>4993</v>
      </c>
      <c r="N933" t="s">
        <v>135</v>
      </c>
      <c r="O933" t="s">
        <v>48</v>
      </c>
      <c r="P933" t="s">
        <v>48</v>
      </c>
      <c r="Y933" t="s">
        <v>4998</v>
      </c>
    </row>
    <row r="934" spans="1:25">
      <c r="A934" t="s">
        <v>4999</v>
      </c>
      <c r="B934" t="s">
        <v>5000</v>
      </c>
      <c r="D934" t="s">
        <v>40</v>
      </c>
      <c r="E934" t="s">
        <v>41</v>
      </c>
      <c r="G934" t="s">
        <v>5001</v>
      </c>
      <c r="H934" t="s">
        <v>5002</v>
      </c>
      <c r="J934" t="s">
        <v>353</v>
      </c>
      <c r="K934" t="s">
        <v>354</v>
      </c>
      <c r="L934">
        <v>5</v>
      </c>
      <c r="M934" t="s">
        <v>5003</v>
      </c>
      <c r="N934" t="s">
        <v>135</v>
      </c>
      <c r="O934" t="s">
        <v>48</v>
      </c>
      <c r="P934" t="s">
        <v>48</v>
      </c>
      <c r="Y934" t="s">
        <v>5004</v>
      </c>
    </row>
    <row r="935" spans="1:25">
      <c r="A935" t="s">
        <v>5005</v>
      </c>
      <c r="B935" t="s">
        <v>5006</v>
      </c>
      <c r="D935" t="s">
        <v>40</v>
      </c>
      <c r="E935" t="s">
        <v>41</v>
      </c>
      <c r="G935" t="s">
        <v>5007</v>
      </c>
      <c r="H935" t="s">
        <v>5008</v>
      </c>
      <c r="J935" t="s">
        <v>90</v>
      </c>
      <c r="K935" t="s">
        <v>91</v>
      </c>
      <c r="L935">
        <v>5</v>
      </c>
      <c r="M935" t="s">
        <v>5003</v>
      </c>
      <c r="N935" t="s">
        <v>47</v>
      </c>
      <c r="O935" t="s">
        <v>48</v>
      </c>
      <c r="P935" t="s">
        <v>48</v>
      </c>
      <c r="Y935" t="s">
        <v>5009</v>
      </c>
    </row>
    <row r="936" spans="1:25">
      <c r="A936" t="s">
        <v>5010</v>
      </c>
      <c r="B936" t="s">
        <v>5011</v>
      </c>
      <c r="D936" t="s">
        <v>40</v>
      </c>
      <c r="E936" t="s">
        <v>41</v>
      </c>
      <c r="G936" t="s">
        <v>5012</v>
      </c>
      <c r="H936" t="s">
        <v>5013</v>
      </c>
      <c r="J936" t="s">
        <v>78</v>
      </c>
      <c r="K936" t="s">
        <v>79</v>
      </c>
      <c r="L936">
        <v>5</v>
      </c>
      <c r="M936" t="s">
        <v>5014</v>
      </c>
      <c r="N936" t="s">
        <v>47</v>
      </c>
      <c r="O936" t="s">
        <v>48</v>
      </c>
      <c r="P936" t="s">
        <v>48</v>
      </c>
      <c r="Y936" t="s">
        <v>5015</v>
      </c>
    </row>
    <row r="937" spans="1:25">
      <c r="A937" t="s">
        <v>5016</v>
      </c>
      <c r="B937" t="s">
        <v>5017</v>
      </c>
      <c r="D937" t="s">
        <v>40</v>
      </c>
      <c r="E937" t="s">
        <v>41</v>
      </c>
      <c r="G937" t="s">
        <v>174</v>
      </c>
      <c r="H937" t="s">
        <v>5018</v>
      </c>
      <c r="J937" t="s">
        <v>44</v>
      </c>
      <c r="K937" t="s">
        <v>45</v>
      </c>
      <c r="L937">
        <v>5</v>
      </c>
      <c r="M937" t="s">
        <v>5019</v>
      </c>
      <c r="N937" t="s">
        <v>47</v>
      </c>
      <c r="O937" t="s">
        <v>48</v>
      </c>
      <c r="P937" t="s">
        <v>48</v>
      </c>
      <c r="Y937" t="s">
        <v>5020</v>
      </c>
    </row>
    <row r="938" spans="1:25">
      <c r="A938" t="s">
        <v>5021</v>
      </c>
      <c r="B938" t="s">
        <v>5022</v>
      </c>
      <c r="D938" t="s">
        <v>40</v>
      </c>
      <c r="E938" t="s">
        <v>41</v>
      </c>
      <c r="G938" t="s">
        <v>5023</v>
      </c>
      <c r="H938" t="s">
        <v>5024</v>
      </c>
      <c r="J938" t="s">
        <v>54</v>
      </c>
      <c r="K938" t="s">
        <v>55</v>
      </c>
      <c r="L938">
        <v>5</v>
      </c>
      <c r="M938" t="s">
        <v>5019</v>
      </c>
      <c r="N938" t="s">
        <v>47</v>
      </c>
      <c r="O938" t="s">
        <v>48</v>
      </c>
      <c r="P938" t="s">
        <v>48</v>
      </c>
      <c r="Y938" t="s">
        <v>5025</v>
      </c>
    </row>
    <row r="939" spans="1:25">
      <c r="A939" t="s">
        <v>5026</v>
      </c>
      <c r="B939" t="s">
        <v>5027</v>
      </c>
      <c r="D939" t="s">
        <v>1832</v>
      </c>
      <c r="E939" t="s">
        <v>41</v>
      </c>
      <c r="J939" t="s">
        <v>2328</v>
      </c>
      <c r="K939" t="s">
        <v>2329</v>
      </c>
      <c r="L939">
        <v>6</v>
      </c>
      <c r="M939" t="s">
        <v>5028</v>
      </c>
      <c r="N939" t="s">
        <v>685</v>
      </c>
      <c r="O939" t="s">
        <v>1835</v>
      </c>
      <c r="P939" t="s">
        <v>1835</v>
      </c>
      <c r="Y939" t="s">
        <v>5029</v>
      </c>
    </row>
    <row r="940" spans="1:25">
      <c r="A940" t="s">
        <v>5030</v>
      </c>
      <c r="B940" t="s">
        <v>5031</v>
      </c>
      <c r="D940" t="s">
        <v>40</v>
      </c>
      <c r="E940" t="s">
        <v>41</v>
      </c>
      <c r="G940" t="s">
        <v>3926</v>
      </c>
      <c r="H940" t="s">
        <v>5032</v>
      </c>
      <c r="J940" t="s">
        <v>90</v>
      </c>
      <c r="K940" t="s">
        <v>91</v>
      </c>
      <c r="L940">
        <v>5</v>
      </c>
      <c r="M940" t="s">
        <v>5033</v>
      </c>
      <c r="N940" t="s">
        <v>47</v>
      </c>
      <c r="O940" t="s">
        <v>48</v>
      </c>
      <c r="P940" t="s">
        <v>48</v>
      </c>
      <c r="Y940" t="s">
        <v>5034</v>
      </c>
    </row>
    <row r="941" spans="1:25">
      <c r="A941" t="s">
        <v>5035</v>
      </c>
      <c r="B941" t="s">
        <v>5036</v>
      </c>
      <c r="D941" t="s">
        <v>40</v>
      </c>
      <c r="E941" t="s">
        <v>41</v>
      </c>
      <c r="G941" t="s">
        <v>5037</v>
      </c>
      <c r="H941" t="s">
        <v>1418</v>
      </c>
      <c r="J941" t="s">
        <v>44</v>
      </c>
      <c r="K941" t="s">
        <v>45</v>
      </c>
      <c r="L941">
        <v>5</v>
      </c>
      <c r="M941" t="s">
        <v>5038</v>
      </c>
      <c r="N941" t="s">
        <v>47</v>
      </c>
      <c r="O941" t="s">
        <v>48</v>
      </c>
      <c r="P941" t="s">
        <v>48</v>
      </c>
      <c r="Y941" t="s">
        <v>5039</v>
      </c>
    </row>
    <row r="942" spans="1:25">
      <c r="A942" t="s">
        <v>5040</v>
      </c>
      <c r="B942" t="s">
        <v>5041</v>
      </c>
      <c r="D942" t="s">
        <v>40</v>
      </c>
      <c r="E942" t="s">
        <v>41</v>
      </c>
      <c r="G942" t="s">
        <v>5042</v>
      </c>
      <c r="H942" t="s">
        <v>5043</v>
      </c>
      <c r="J942" t="s">
        <v>44</v>
      </c>
      <c r="K942" t="s">
        <v>45</v>
      </c>
      <c r="L942">
        <v>5</v>
      </c>
      <c r="M942" t="s">
        <v>5044</v>
      </c>
      <c r="N942" t="s">
        <v>47</v>
      </c>
      <c r="O942" t="s">
        <v>48</v>
      </c>
      <c r="P942" t="s">
        <v>48</v>
      </c>
      <c r="Y942" t="s">
        <v>5045</v>
      </c>
    </row>
    <row r="943" spans="1:25">
      <c r="A943" t="s">
        <v>5046</v>
      </c>
      <c r="B943" t="s">
        <v>5047</v>
      </c>
      <c r="D943" t="s">
        <v>40</v>
      </c>
      <c r="E943" t="s">
        <v>41</v>
      </c>
      <c r="G943" t="s">
        <v>5048</v>
      </c>
      <c r="H943" t="s">
        <v>5049</v>
      </c>
      <c r="J943" t="s">
        <v>90</v>
      </c>
      <c r="K943" t="s">
        <v>91</v>
      </c>
      <c r="L943">
        <v>5</v>
      </c>
      <c r="M943" t="s">
        <v>5050</v>
      </c>
      <c r="N943" t="s">
        <v>47</v>
      </c>
      <c r="O943" t="s">
        <v>48</v>
      </c>
      <c r="P943" t="s">
        <v>48</v>
      </c>
      <c r="Y943" t="s">
        <v>5051</v>
      </c>
    </row>
    <row r="944" spans="1:25">
      <c r="A944" t="s">
        <v>5052</v>
      </c>
      <c r="B944" t="s">
        <v>5053</v>
      </c>
      <c r="D944" t="s">
        <v>40</v>
      </c>
      <c r="E944" t="s">
        <v>41</v>
      </c>
      <c r="G944" t="s">
        <v>5054</v>
      </c>
      <c r="H944" t="s">
        <v>5055</v>
      </c>
      <c r="J944" t="s">
        <v>90</v>
      </c>
      <c r="K944" t="s">
        <v>91</v>
      </c>
      <c r="L944">
        <v>5</v>
      </c>
      <c r="M944" t="s">
        <v>5056</v>
      </c>
      <c r="N944" t="s">
        <v>47</v>
      </c>
      <c r="O944" t="s">
        <v>48</v>
      </c>
      <c r="P944" t="s">
        <v>48</v>
      </c>
      <c r="Y944" t="s">
        <v>5057</v>
      </c>
    </row>
    <row r="945" spans="1:25">
      <c r="A945" t="s">
        <v>5058</v>
      </c>
      <c r="B945" t="s">
        <v>5059</v>
      </c>
      <c r="D945" t="s">
        <v>40</v>
      </c>
      <c r="E945" t="s">
        <v>41</v>
      </c>
      <c r="J945" t="s">
        <v>90</v>
      </c>
      <c r="K945" t="s">
        <v>91</v>
      </c>
      <c r="L945">
        <v>5</v>
      </c>
      <c r="M945" t="s">
        <v>5060</v>
      </c>
      <c r="N945" t="s">
        <v>47</v>
      </c>
      <c r="O945" t="s">
        <v>48</v>
      </c>
      <c r="P945" t="s">
        <v>48</v>
      </c>
      <c r="Y945" t="s">
        <v>5061</v>
      </c>
    </row>
    <row r="946" spans="1:25">
      <c r="A946" t="s">
        <v>5062</v>
      </c>
      <c r="B946" t="s">
        <v>5063</v>
      </c>
      <c r="D946" t="s">
        <v>40</v>
      </c>
      <c r="E946" t="s">
        <v>41</v>
      </c>
      <c r="G946" t="s">
        <v>5064</v>
      </c>
      <c r="H946" t="s">
        <v>1042</v>
      </c>
      <c r="J946" t="s">
        <v>90</v>
      </c>
      <c r="K946" t="s">
        <v>91</v>
      </c>
      <c r="L946">
        <v>5</v>
      </c>
      <c r="M946" t="s">
        <v>5065</v>
      </c>
      <c r="N946" t="s">
        <v>47</v>
      </c>
      <c r="O946" t="s">
        <v>48</v>
      </c>
      <c r="P946" t="s">
        <v>48</v>
      </c>
      <c r="Y946" t="s">
        <v>5066</v>
      </c>
    </row>
    <row r="947" spans="1:25">
      <c r="A947" t="s">
        <v>5067</v>
      </c>
      <c r="B947" t="s">
        <v>5068</v>
      </c>
      <c r="D947" t="s">
        <v>40</v>
      </c>
      <c r="E947" t="s">
        <v>41</v>
      </c>
      <c r="G947" t="s">
        <v>4354</v>
      </c>
      <c r="H947" t="s">
        <v>5069</v>
      </c>
      <c r="J947" t="s">
        <v>44</v>
      </c>
      <c r="K947" t="s">
        <v>45</v>
      </c>
      <c r="L947">
        <v>5</v>
      </c>
      <c r="M947" t="s">
        <v>5070</v>
      </c>
      <c r="N947" t="s">
        <v>47</v>
      </c>
      <c r="O947" t="s">
        <v>48</v>
      </c>
      <c r="P947" t="s">
        <v>48</v>
      </c>
      <c r="Y947" t="s">
        <v>5071</v>
      </c>
    </row>
    <row r="948" spans="1:25">
      <c r="A948" t="s">
        <v>5072</v>
      </c>
      <c r="B948" t="s">
        <v>5073</v>
      </c>
      <c r="D948" t="s">
        <v>40</v>
      </c>
      <c r="E948" t="s">
        <v>41</v>
      </c>
      <c r="G948" t="s">
        <v>5074</v>
      </c>
      <c r="H948" t="s">
        <v>5075</v>
      </c>
      <c r="J948" t="s">
        <v>90</v>
      </c>
      <c r="K948" t="s">
        <v>91</v>
      </c>
      <c r="L948">
        <v>5</v>
      </c>
      <c r="M948" t="s">
        <v>5070</v>
      </c>
      <c r="N948" t="s">
        <v>47</v>
      </c>
      <c r="O948" t="s">
        <v>48</v>
      </c>
      <c r="P948" t="s">
        <v>48</v>
      </c>
      <c r="Y948" t="s">
        <v>5076</v>
      </c>
    </row>
    <row r="949" spans="1:25">
      <c r="A949" t="s">
        <v>5077</v>
      </c>
      <c r="B949" t="s">
        <v>5078</v>
      </c>
      <c r="D949" t="s">
        <v>40</v>
      </c>
      <c r="E949" t="s">
        <v>41</v>
      </c>
      <c r="G949" t="s">
        <v>5079</v>
      </c>
      <c r="H949" t="s">
        <v>5080</v>
      </c>
      <c r="J949" t="s">
        <v>90</v>
      </c>
      <c r="K949" t="s">
        <v>91</v>
      </c>
      <c r="L949">
        <v>5</v>
      </c>
      <c r="M949" t="s">
        <v>5070</v>
      </c>
      <c r="N949" t="s">
        <v>47</v>
      </c>
      <c r="O949" t="s">
        <v>48</v>
      </c>
      <c r="P949" t="s">
        <v>48</v>
      </c>
      <c r="Y949" t="s">
        <v>5081</v>
      </c>
    </row>
    <row r="950" spans="1:25">
      <c r="A950" t="s">
        <v>5082</v>
      </c>
      <c r="B950" t="s">
        <v>5083</v>
      </c>
      <c r="D950" t="s">
        <v>40</v>
      </c>
      <c r="E950" t="s">
        <v>41</v>
      </c>
      <c r="G950" t="s">
        <v>5084</v>
      </c>
      <c r="H950" t="s">
        <v>5085</v>
      </c>
      <c r="J950" t="s">
        <v>353</v>
      </c>
      <c r="K950" t="s">
        <v>354</v>
      </c>
      <c r="L950">
        <v>5</v>
      </c>
      <c r="M950" t="s">
        <v>5070</v>
      </c>
      <c r="N950" t="s">
        <v>135</v>
      </c>
      <c r="O950" t="s">
        <v>48</v>
      </c>
      <c r="P950" t="s">
        <v>48</v>
      </c>
      <c r="Y950" t="s">
        <v>5086</v>
      </c>
    </row>
    <row r="951" spans="1:25">
      <c r="A951" t="s">
        <v>5087</v>
      </c>
      <c r="B951" t="s">
        <v>5088</v>
      </c>
      <c r="D951" t="s">
        <v>40</v>
      </c>
      <c r="E951" t="s">
        <v>41</v>
      </c>
      <c r="G951" t="s">
        <v>810</v>
      </c>
      <c r="H951" t="s">
        <v>5089</v>
      </c>
      <c r="J951" t="s">
        <v>78</v>
      </c>
      <c r="K951" t="s">
        <v>79</v>
      </c>
      <c r="L951">
        <v>5</v>
      </c>
      <c r="M951" t="s">
        <v>5090</v>
      </c>
      <c r="N951" t="s">
        <v>47</v>
      </c>
      <c r="O951" t="s">
        <v>48</v>
      </c>
      <c r="P951" t="s">
        <v>48</v>
      </c>
      <c r="Y951" t="s">
        <v>5091</v>
      </c>
    </row>
    <row r="952" spans="1:25">
      <c r="A952" t="s">
        <v>5092</v>
      </c>
      <c r="B952" t="s">
        <v>5093</v>
      </c>
      <c r="D952" t="s">
        <v>40</v>
      </c>
      <c r="E952" t="s">
        <v>41</v>
      </c>
      <c r="G952" t="s">
        <v>5094</v>
      </c>
      <c r="H952" t="s">
        <v>2311</v>
      </c>
      <c r="J952" t="s">
        <v>78</v>
      </c>
      <c r="K952" t="s">
        <v>79</v>
      </c>
      <c r="L952">
        <v>5</v>
      </c>
      <c r="M952" t="s">
        <v>5095</v>
      </c>
      <c r="N952" t="s">
        <v>47</v>
      </c>
      <c r="O952" t="s">
        <v>48</v>
      </c>
      <c r="P952" t="s">
        <v>48</v>
      </c>
      <c r="Y952" t="s">
        <v>5096</v>
      </c>
    </row>
    <row r="953" spans="1:25">
      <c r="A953" t="s">
        <v>5097</v>
      </c>
      <c r="B953" t="s">
        <v>5098</v>
      </c>
      <c r="D953" t="s">
        <v>40</v>
      </c>
      <c r="E953" t="s">
        <v>41</v>
      </c>
      <c r="G953" t="s">
        <v>5099</v>
      </c>
      <c r="H953" t="s">
        <v>5100</v>
      </c>
      <c r="J953" t="s">
        <v>44</v>
      </c>
      <c r="K953" t="s">
        <v>45</v>
      </c>
      <c r="L953">
        <v>5</v>
      </c>
      <c r="M953" t="s">
        <v>5101</v>
      </c>
      <c r="N953" t="s">
        <v>47</v>
      </c>
      <c r="O953" t="s">
        <v>48</v>
      </c>
      <c r="P953" t="s">
        <v>48</v>
      </c>
      <c r="Y953" t="s">
        <v>5102</v>
      </c>
    </row>
    <row r="954" spans="1:25">
      <c r="A954" t="s">
        <v>5103</v>
      </c>
      <c r="B954" t="s">
        <v>5104</v>
      </c>
      <c r="D954" t="s">
        <v>40</v>
      </c>
      <c r="E954" t="s">
        <v>41</v>
      </c>
      <c r="J954" t="s">
        <v>90</v>
      </c>
      <c r="K954" t="s">
        <v>91</v>
      </c>
      <c r="L954">
        <v>5</v>
      </c>
      <c r="M954" t="s">
        <v>5105</v>
      </c>
      <c r="N954" t="s">
        <v>47</v>
      </c>
      <c r="O954" t="s">
        <v>48</v>
      </c>
      <c r="P954" t="s">
        <v>48</v>
      </c>
      <c r="Y954" t="s">
        <v>5106</v>
      </c>
    </row>
    <row r="955" spans="1:25">
      <c r="A955" t="s">
        <v>5107</v>
      </c>
      <c r="B955" t="s">
        <v>5108</v>
      </c>
      <c r="D955" t="s">
        <v>40</v>
      </c>
      <c r="E955" t="s">
        <v>41</v>
      </c>
      <c r="G955" t="s">
        <v>5109</v>
      </c>
      <c r="H955" t="s">
        <v>5110</v>
      </c>
      <c r="J955" t="s">
        <v>44</v>
      </c>
      <c r="K955" t="s">
        <v>45</v>
      </c>
      <c r="L955">
        <v>5</v>
      </c>
      <c r="M955" t="s">
        <v>5105</v>
      </c>
      <c r="N955" t="s">
        <v>47</v>
      </c>
      <c r="O955" t="s">
        <v>48</v>
      </c>
      <c r="P955" t="s">
        <v>48</v>
      </c>
      <c r="Y955" t="s">
        <v>5111</v>
      </c>
    </row>
    <row r="956" spans="1:25">
      <c r="A956" t="s">
        <v>5112</v>
      </c>
      <c r="B956" t="s">
        <v>5113</v>
      </c>
      <c r="D956" t="s">
        <v>40</v>
      </c>
      <c r="E956" t="s">
        <v>41</v>
      </c>
      <c r="G956" t="s">
        <v>5114</v>
      </c>
      <c r="H956" t="s">
        <v>5115</v>
      </c>
      <c r="J956" t="s">
        <v>1827</v>
      </c>
      <c r="K956" t="s">
        <v>1828</v>
      </c>
      <c r="L956">
        <v>5</v>
      </c>
      <c r="M956" t="s">
        <v>5105</v>
      </c>
      <c r="N956" t="s">
        <v>47</v>
      </c>
      <c r="O956" t="s">
        <v>48</v>
      </c>
      <c r="P956" t="s">
        <v>48</v>
      </c>
      <c r="Y956" t="s">
        <v>5116</v>
      </c>
    </row>
    <row r="957" spans="1:25">
      <c r="A957" t="s">
        <v>5117</v>
      </c>
      <c r="B957" t="s">
        <v>5118</v>
      </c>
      <c r="D957" t="s">
        <v>40</v>
      </c>
      <c r="E957" t="s">
        <v>41</v>
      </c>
      <c r="H957" t="s">
        <v>5119</v>
      </c>
      <c r="J957" t="s">
        <v>133</v>
      </c>
      <c r="K957" t="s">
        <v>134</v>
      </c>
      <c r="L957">
        <v>5</v>
      </c>
      <c r="M957" t="s">
        <v>5105</v>
      </c>
      <c r="N957" t="s">
        <v>135</v>
      </c>
      <c r="O957" t="s">
        <v>48</v>
      </c>
      <c r="P957" t="s">
        <v>48</v>
      </c>
      <c r="Y957" t="s">
        <v>5119</v>
      </c>
    </row>
    <row r="958" spans="1:25">
      <c r="A958" t="s">
        <v>5120</v>
      </c>
      <c r="B958" t="s">
        <v>5121</v>
      </c>
      <c r="D958" t="s">
        <v>40</v>
      </c>
      <c r="E958" t="s">
        <v>41</v>
      </c>
      <c r="G958" t="s">
        <v>5122</v>
      </c>
      <c r="H958" t="s">
        <v>4057</v>
      </c>
      <c r="J958" t="s">
        <v>78</v>
      </c>
      <c r="K958" t="s">
        <v>79</v>
      </c>
      <c r="L958">
        <v>5</v>
      </c>
      <c r="M958" t="s">
        <v>5123</v>
      </c>
      <c r="N958" t="s">
        <v>47</v>
      </c>
      <c r="O958" t="s">
        <v>48</v>
      </c>
      <c r="P958" t="s">
        <v>48</v>
      </c>
      <c r="Y958" t="s">
        <v>5124</v>
      </c>
    </row>
    <row r="959" spans="1:25">
      <c r="A959" t="s">
        <v>5125</v>
      </c>
      <c r="B959" t="s">
        <v>5126</v>
      </c>
      <c r="D959" t="s">
        <v>40</v>
      </c>
      <c r="E959" t="s">
        <v>41</v>
      </c>
      <c r="G959" t="s">
        <v>5127</v>
      </c>
      <c r="H959" t="s">
        <v>5128</v>
      </c>
      <c r="J959" t="s">
        <v>78</v>
      </c>
      <c r="K959" t="s">
        <v>79</v>
      </c>
      <c r="L959">
        <v>5</v>
      </c>
      <c r="M959" t="s">
        <v>5129</v>
      </c>
      <c r="N959" t="s">
        <v>47</v>
      </c>
      <c r="O959" t="s">
        <v>48</v>
      </c>
      <c r="P959" t="s">
        <v>48</v>
      </c>
      <c r="Y959" t="s">
        <v>5130</v>
      </c>
    </row>
    <row r="960" spans="1:25">
      <c r="A960" t="s">
        <v>5131</v>
      </c>
      <c r="B960" t="s">
        <v>5132</v>
      </c>
      <c r="D960" t="s">
        <v>40</v>
      </c>
      <c r="E960" t="s">
        <v>41</v>
      </c>
      <c r="G960" t="s">
        <v>5133</v>
      </c>
      <c r="H960" t="s">
        <v>5134</v>
      </c>
      <c r="J960" t="s">
        <v>90</v>
      </c>
      <c r="K960" t="s">
        <v>91</v>
      </c>
      <c r="L960">
        <v>5</v>
      </c>
      <c r="M960" t="s">
        <v>5135</v>
      </c>
      <c r="N960" t="s">
        <v>47</v>
      </c>
      <c r="O960" t="s">
        <v>48</v>
      </c>
      <c r="P960" t="s">
        <v>48</v>
      </c>
      <c r="Y960" t="s">
        <v>5136</v>
      </c>
    </row>
    <row r="961" spans="1:25">
      <c r="A961" t="s">
        <v>5137</v>
      </c>
      <c r="B961" t="s">
        <v>5138</v>
      </c>
      <c r="D961" t="s">
        <v>40</v>
      </c>
      <c r="E961" t="s">
        <v>41</v>
      </c>
      <c r="G961" t="s">
        <v>3996</v>
      </c>
      <c r="H961" t="s">
        <v>5043</v>
      </c>
      <c r="J961" t="s">
        <v>44</v>
      </c>
      <c r="K961" t="s">
        <v>45</v>
      </c>
      <c r="L961">
        <v>5</v>
      </c>
      <c r="M961" t="s">
        <v>5135</v>
      </c>
      <c r="N961" t="s">
        <v>47</v>
      </c>
      <c r="O961" t="s">
        <v>48</v>
      </c>
      <c r="P961" t="s">
        <v>48</v>
      </c>
      <c r="Y961" t="s">
        <v>5139</v>
      </c>
    </row>
    <row r="962" spans="1:25">
      <c r="A962" t="s">
        <v>5140</v>
      </c>
      <c r="B962" t="s">
        <v>5141</v>
      </c>
      <c r="D962" t="s">
        <v>40</v>
      </c>
      <c r="E962" t="s">
        <v>41</v>
      </c>
      <c r="G962" t="s">
        <v>2129</v>
      </c>
      <c r="H962" t="s">
        <v>5142</v>
      </c>
      <c r="J962" t="s">
        <v>90</v>
      </c>
      <c r="K962" t="s">
        <v>91</v>
      </c>
      <c r="L962">
        <v>5</v>
      </c>
      <c r="M962" t="s">
        <v>5143</v>
      </c>
      <c r="N962" t="s">
        <v>47</v>
      </c>
      <c r="O962" t="s">
        <v>48</v>
      </c>
      <c r="P962" t="s">
        <v>48</v>
      </c>
      <c r="Y962" t="s">
        <v>5144</v>
      </c>
    </row>
    <row r="963" spans="1:25">
      <c r="A963" t="s">
        <v>5145</v>
      </c>
      <c r="B963" t="s">
        <v>5146</v>
      </c>
      <c r="D963" t="s">
        <v>40</v>
      </c>
      <c r="E963" t="s">
        <v>41</v>
      </c>
      <c r="G963" t="s">
        <v>2461</v>
      </c>
      <c r="H963" t="s">
        <v>5147</v>
      </c>
      <c r="J963" t="s">
        <v>54</v>
      </c>
      <c r="K963" t="s">
        <v>55</v>
      </c>
      <c r="L963">
        <v>5</v>
      </c>
      <c r="M963" t="s">
        <v>5148</v>
      </c>
      <c r="N963" t="s">
        <v>47</v>
      </c>
      <c r="O963" t="s">
        <v>48</v>
      </c>
      <c r="P963" t="s">
        <v>48</v>
      </c>
      <c r="Y963" t="s">
        <v>5149</v>
      </c>
    </row>
    <row r="964" spans="1:25">
      <c r="A964" t="s">
        <v>5150</v>
      </c>
      <c r="B964" t="s">
        <v>5151</v>
      </c>
      <c r="D964" t="s">
        <v>40</v>
      </c>
      <c r="E964" t="s">
        <v>41</v>
      </c>
      <c r="G964" t="s">
        <v>5152</v>
      </c>
      <c r="H964" t="s">
        <v>5049</v>
      </c>
      <c r="J964" t="s">
        <v>90</v>
      </c>
      <c r="K964" t="s">
        <v>91</v>
      </c>
      <c r="L964">
        <v>5</v>
      </c>
      <c r="M964" t="s">
        <v>5153</v>
      </c>
      <c r="N964" t="s">
        <v>47</v>
      </c>
      <c r="O964" t="s">
        <v>48</v>
      </c>
      <c r="P964" t="s">
        <v>48</v>
      </c>
      <c r="Y964" t="s">
        <v>5154</v>
      </c>
    </row>
    <row r="965" spans="1:25">
      <c r="A965" t="s">
        <v>5155</v>
      </c>
      <c r="B965" t="s">
        <v>5156</v>
      </c>
      <c r="D965" t="s">
        <v>40</v>
      </c>
      <c r="E965" t="s">
        <v>41</v>
      </c>
      <c r="G965" t="s">
        <v>1088</v>
      </c>
      <c r="H965" t="s">
        <v>2878</v>
      </c>
      <c r="J965" t="s">
        <v>90</v>
      </c>
      <c r="K965" t="s">
        <v>91</v>
      </c>
      <c r="L965">
        <v>5</v>
      </c>
      <c r="M965" t="s">
        <v>5157</v>
      </c>
      <c r="N965" t="s">
        <v>47</v>
      </c>
      <c r="O965" t="s">
        <v>48</v>
      </c>
      <c r="P965" t="s">
        <v>48</v>
      </c>
      <c r="Y965" t="s">
        <v>5158</v>
      </c>
    </row>
    <row r="966" spans="1:25">
      <c r="A966" t="s">
        <v>5159</v>
      </c>
      <c r="B966" t="s">
        <v>5160</v>
      </c>
      <c r="D966" t="s">
        <v>40</v>
      </c>
      <c r="E966" t="s">
        <v>41</v>
      </c>
      <c r="G966" t="s">
        <v>5161</v>
      </c>
      <c r="H966" t="s">
        <v>2021</v>
      </c>
      <c r="J966" t="s">
        <v>2328</v>
      </c>
      <c r="K966" t="s">
        <v>2329</v>
      </c>
      <c r="L966">
        <v>5</v>
      </c>
      <c r="M966" t="s">
        <v>5157</v>
      </c>
      <c r="N966" t="s">
        <v>685</v>
      </c>
      <c r="O966" t="s">
        <v>48</v>
      </c>
      <c r="P966" t="s">
        <v>48</v>
      </c>
      <c r="Y966" t="s">
        <v>5162</v>
      </c>
    </row>
    <row r="967" spans="1:25">
      <c r="A967" t="s">
        <v>5163</v>
      </c>
      <c r="B967" t="s">
        <v>5164</v>
      </c>
      <c r="D967" t="s">
        <v>40</v>
      </c>
      <c r="E967" t="s">
        <v>41</v>
      </c>
      <c r="G967" t="s">
        <v>5165</v>
      </c>
      <c r="H967" t="s">
        <v>728</v>
      </c>
      <c r="J967" t="s">
        <v>54</v>
      </c>
      <c r="K967" t="s">
        <v>55</v>
      </c>
      <c r="L967">
        <v>5</v>
      </c>
      <c r="M967" t="s">
        <v>5157</v>
      </c>
      <c r="N967" t="s">
        <v>47</v>
      </c>
      <c r="O967" t="s">
        <v>48</v>
      </c>
      <c r="P967" t="s">
        <v>48</v>
      </c>
      <c r="Y967" t="s">
        <v>5166</v>
      </c>
    </row>
    <row r="968" spans="1:25">
      <c r="A968" t="s">
        <v>5167</v>
      </c>
      <c r="B968" t="s">
        <v>5168</v>
      </c>
      <c r="D968" t="s">
        <v>40</v>
      </c>
      <c r="E968" t="s">
        <v>41</v>
      </c>
      <c r="G968" t="s">
        <v>5169</v>
      </c>
      <c r="H968" t="s">
        <v>5170</v>
      </c>
      <c r="J968" t="s">
        <v>90</v>
      </c>
      <c r="K968" t="s">
        <v>91</v>
      </c>
      <c r="L968">
        <v>5</v>
      </c>
      <c r="M968" t="s">
        <v>5157</v>
      </c>
      <c r="N968" t="s">
        <v>47</v>
      </c>
      <c r="O968" t="s">
        <v>48</v>
      </c>
      <c r="P968" t="s">
        <v>48</v>
      </c>
      <c r="Y968" t="s">
        <v>5171</v>
      </c>
    </row>
    <row r="969" spans="1:25">
      <c r="A969" t="s">
        <v>5172</v>
      </c>
      <c r="B969" t="s">
        <v>5173</v>
      </c>
      <c r="D969" t="s">
        <v>40</v>
      </c>
      <c r="E969" t="s">
        <v>41</v>
      </c>
      <c r="G969" t="s">
        <v>4354</v>
      </c>
      <c r="H969" t="s">
        <v>3440</v>
      </c>
      <c r="J969" t="s">
        <v>44</v>
      </c>
      <c r="K969" t="s">
        <v>45</v>
      </c>
      <c r="L969">
        <v>5</v>
      </c>
      <c r="M969" t="s">
        <v>5174</v>
      </c>
      <c r="N969" t="s">
        <v>47</v>
      </c>
      <c r="O969" t="s">
        <v>48</v>
      </c>
      <c r="P969" t="s">
        <v>48</v>
      </c>
      <c r="Y969" t="s">
        <v>5175</v>
      </c>
    </row>
    <row r="970" spans="1:25">
      <c r="A970" t="s">
        <v>5176</v>
      </c>
      <c r="B970" t="s">
        <v>5177</v>
      </c>
      <c r="D970" t="s">
        <v>40</v>
      </c>
      <c r="E970" t="s">
        <v>41</v>
      </c>
      <c r="G970" t="s">
        <v>5178</v>
      </c>
      <c r="H970" t="s">
        <v>5179</v>
      </c>
      <c r="J970" t="s">
        <v>90</v>
      </c>
      <c r="K970" t="s">
        <v>91</v>
      </c>
      <c r="L970">
        <v>5</v>
      </c>
      <c r="M970" t="s">
        <v>5180</v>
      </c>
      <c r="N970" t="s">
        <v>47</v>
      </c>
      <c r="O970" t="s">
        <v>48</v>
      </c>
      <c r="P970" t="s">
        <v>48</v>
      </c>
      <c r="Y970" t="s">
        <v>5181</v>
      </c>
    </row>
    <row r="971" spans="1:25">
      <c r="A971" t="s">
        <v>5182</v>
      </c>
      <c r="B971" t="s">
        <v>5183</v>
      </c>
      <c r="D971" t="s">
        <v>40</v>
      </c>
      <c r="E971" t="s">
        <v>41</v>
      </c>
      <c r="G971" t="s">
        <v>5184</v>
      </c>
      <c r="H971" t="s">
        <v>4753</v>
      </c>
      <c r="J971" t="s">
        <v>90</v>
      </c>
      <c r="K971" t="s">
        <v>91</v>
      </c>
      <c r="L971">
        <v>5</v>
      </c>
      <c r="M971" t="s">
        <v>5180</v>
      </c>
      <c r="N971" t="s">
        <v>47</v>
      </c>
      <c r="O971" t="s">
        <v>48</v>
      </c>
      <c r="P971" t="s">
        <v>48</v>
      </c>
      <c r="Y971" t="s">
        <v>5185</v>
      </c>
    </row>
    <row r="972" spans="1:25">
      <c r="A972" t="s">
        <v>5186</v>
      </c>
      <c r="B972" t="s">
        <v>5187</v>
      </c>
      <c r="D972" t="s">
        <v>40</v>
      </c>
      <c r="E972" t="s">
        <v>41</v>
      </c>
      <c r="G972" t="s">
        <v>5188</v>
      </c>
      <c r="H972" t="s">
        <v>5189</v>
      </c>
      <c r="J972" t="s">
        <v>44</v>
      </c>
      <c r="K972" t="s">
        <v>45</v>
      </c>
      <c r="L972">
        <v>5</v>
      </c>
      <c r="M972" t="s">
        <v>5180</v>
      </c>
      <c r="N972" t="s">
        <v>47</v>
      </c>
      <c r="O972" t="s">
        <v>48</v>
      </c>
      <c r="P972" t="s">
        <v>48</v>
      </c>
      <c r="Y972" t="s">
        <v>5190</v>
      </c>
    </row>
    <row r="973" spans="1:25">
      <c r="A973" t="s">
        <v>5191</v>
      </c>
      <c r="B973" t="s">
        <v>5192</v>
      </c>
      <c r="D973" t="s">
        <v>40</v>
      </c>
      <c r="E973" t="s">
        <v>41</v>
      </c>
      <c r="G973" t="s">
        <v>5193</v>
      </c>
      <c r="H973" t="s">
        <v>5194</v>
      </c>
      <c r="J973" t="s">
        <v>133</v>
      </c>
      <c r="K973" t="s">
        <v>134</v>
      </c>
      <c r="L973">
        <v>5</v>
      </c>
      <c r="M973" t="s">
        <v>5195</v>
      </c>
      <c r="N973" t="s">
        <v>135</v>
      </c>
      <c r="O973" t="s">
        <v>48</v>
      </c>
      <c r="P973" t="s">
        <v>48</v>
      </c>
      <c r="Y973" t="s">
        <v>5196</v>
      </c>
    </row>
    <row r="974" spans="1:25">
      <c r="A974" t="s">
        <v>5197</v>
      </c>
      <c r="B974" t="s">
        <v>5198</v>
      </c>
      <c r="D974" t="s">
        <v>40</v>
      </c>
      <c r="E974" t="s">
        <v>41</v>
      </c>
      <c r="G974" t="s">
        <v>5199</v>
      </c>
      <c r="H974" t="s">
        <v>5200</v>
      </c>
      <c r="J974" t="s">
        <v>78</v>
      </c>
      <c r="K974" t="s">
        <v>79</v>
      </c>
      <c r="L974">
        <v>5</v>
      </c>
      <c r="M974" t="s">
        <v>5195</v>
      </c>
      <c r="N974" t="s">
        <v>47</v>
      </c>
      <c r="O974" t="s">
        <v>48</v>
      </c>
      <c r="P974" t="s">
        <v>48</v>
      </c>
      <c r="Y974" t="s">
        <v>5201</v>
      </c>
    </row>
    <row r="975" spans="1:25">
      <c r="A975" t="s">
        <v>5202</v>
      </c>
      <c r="B975" t="s">
        <v>5203</v>
      </c>
      <c r="D975" t="s">
        <v>40</v>
      </c>
      <c r="E975" t="s">
        <v>41</v>
      </c>
      <c r="G975" t="s">
        <v>5204</v>
      </c>
      <c r="H975" t="s">
        <v>5205</v>
      </c>
      <c r="J975" t="s">
        <v>90</v>
      </c>
      <c r="K975" t="s">
        <v>91</v>
      </c>
      <c r="L975">
        <v>5</v>
      </c>
      <c r="M975" t="s">
        <v>5195</v>
      </c>
      <c r="N975" t="s">
        <v>47</v>
      </c>
      <c r="O975" t="s">
        <v>48</v>
      </c>
      <c r="P975" t="s">
        <v>48</v>
      </c>
      <c r="Y975" t="s">
        <v>5206</v>
      </c>
    </row>
    <row r="976" spans="1:25">
      <c r="A976" t="s">
        <v>5207</v>
      </c>
      <c r="B976" t="s">
        <v>5208</v>
      </c>
      <c r="D976" t="s">
        <v>40</v>
      </c>
      <c r="E976" t="s">
        <v>41</v>
      </c>
      <c r="G976" t="s">
        <v>5209</v>
      </c>
      <c r="H976" t="s">
        <v>1637</v>
      </c>
      <c r="J976" t="s">
        <v>54</v>
      </c>
      <c r="K976" t="s">
        <v>55</v>
      </c>
      <c r="L976">
        <v>5</v>
      </c>
      <c r="M976" t="s">
        <v>5210</v>
      </c>
      <c r="N976" t="s">
        <v>47</v>
      </c>
      <c r="O976" t="s">
        <v>48</v>
      </c>
      <c r="P976" t="s">
        <v>48</v>
      </c>
      <c r="Y976" t="s">
        <v>5211</v>
      </c>
    </row>
    <row r="977" spans="1:25">
      <c r="A977" t="s">
        <v>5212</v>
      </c>
      <c r="B977" t="s">
        <v>5213</v>
      </c>
      <c r="D977" t="s">
        <v>40</v>
      </c>
      <c r="E977" t="s">
        <v>41</v>
      </c>
      <c r="G977" t="s">
        <v>5214</v>
      </c>
      <c r="H977" t="s">
        <v>5215</v>
      </c>
      <c r="J977" t="s">
        <v>90</v>
      </c>
      <c r="K977" t="s">
        <v>91</v>
      </c>
      <c r="L977">
        <v>5</v>
      </c>
      <c r="M977" t="s">
        <v>5216</v>
      </c>
      <c r="N977" t="s">
        <v>47</v>
      </c>
      <c r="O977" t="s">
        <v>48</v>
      </c>
      <c r="P977" t="s">
        <v>48</v>
      </c>
      <c r="Y977" t="s">
        <v>5217</v>
      </c>
    </row>
    <row r="978" spans="1:25">
      <c r="A978" t="s">
        <v>5218</v>
      </c>
      <c r="B978" t="s">
        <v>5219</v>
      </c>
      <c r="D978" t="s">
        <v>40</v>
      </c>
      <c r="E978" t="s">
        <v>41</v>
      </c>
      <c r="G978" t="s">
        <v>5220</v>
      </c>
      <c r="H978" t="s">
        <v>5221</v>
      </c>
      <c r="J978" t="s">
        <v>133</v>
      </c>
      <c r="K978" t="s">
        <v>134</v>
      </c>
      <c r="L978">
        <v>5</v>
      </c>
      <c r="M978" t="s">
        <v>5222</v>
      </c>
      <c r="N978" t="s">
        <v>135</v>
      </c>
      <c r="O978" t="s">
        <v>48</v>
      </c>
      <c r="P978" t="s">
        <v>48</v>
      </c>
      <c r="Y978" t="s">
        <v>5223</v>
      </c>
    </row>
    <row r="979" spans="1:25">
      <c r="A979" t="s">
        <v>5224</v>
      </c>
      <c r="B979" t="s">
        <v>5225</v>
      </c>
      <c r="D979" t="s">
        <v>40</v>
      </c>
      <c r="E979" t="s">
        <v>41</v>
      </c>
      <c r="J979" t="s">
        <v>44</v>
      </c>
      <c r="K979" t="s">
        <v>45</v>
      </c>
      <c r="L979">
        <v>5</v>
      </c>
      <c r="M979" t="s">
        <v>5226</v>
      </c>
      <c r="N979" t="s">
        <v>47</v>
      </c>
      <c r="O979" t="s">
        <v>48</v>
      </c>
      <c r="P979" t="s">
        <v>48</v>
      </c>
      <c r="Y979" t="s">
        <v>5227</v>
      </c>
    </row>
    <row r="980" spans="1:25">
      <c r="A980" t="s">
        <v>5228</v>
      </c>
      <c r="B980" t="s">
        <v>5229</v>
      </c>
      <c r="D980" t="s">
        <v>40</v>
      </c>
      <c r="E980" t="s">
        <v>41</v>
      </c>
      <c r="G980" t="s">
        <v>5230</v>
      </c>
      <c r="H980" t="s">
        <v>2792</v>
      </c>
      <c r="J980" t="s">
        <v>90</v>
      </c>
      <c r="K980" t="s">
        <v>91</v>
      </c>
      <c r="L980">
        <v>5</v>
      </c>
      <c r="M980" t="s">
        <v>5226</v>
      </c>
      <c r="N980" t="s">
        <v>47</v>
      </c>
      <c r="O980" t="s">
        <v>48</v>
      </c>
      <c r="P980" t="s">
        <v>48</v>
      </c>
      <c r="Y980" t="s">
        <v>5231</v>
      </c>
    </row>
    <row r="981" spans="1:25">
      <c r="A981" t="s">
        <v>5232</v>
      </c>
      <c r="B981" t="s">
        <v>5233</v>
      </c>
      <c r="D981" t="s">
        <v>40</v>
      </c>
      <c r="E981" t="s">
        <v>41</v>
      </c>
      <c r="G981" t="s">
        <v>5234</v>
      </c>
      <c r="H981" t="s">
        <v>5235</v>
      </c>
      <c r="J981" t="s">
        <v>90</v>
      </c>
      <c r="K981" t="s">
        <v>91</v>
      </c>
      <c r="L981">
        <v>5</v>
      </c>
      <c r="M981" t="s">
        <v>5236</v>
      </c>
      <c r="N981" t="s">
        <v>47</v>
      </c>
      <c r="O981" t="s">
        <v>48</v>
      </c>
      <c r="P981" t="s">
        <v>48</v>
      </c>
      <c r="Y981" t="s">
        <v>5237</v>
      </c>
    </row>
    <row r="982" spans="1:25">
      <c r="A982" t="s">
        <v>5238</v>
      </c>
      <c r="B982" t="s">
        <v>5239</v>
      </c>
      <c r="D982" t="s">
        <v>40</v>
      </c>
      <c r="E982" t="s">
        <v>41</v>
      </c>
      <c r="G982" t="s">
        <v>3159</v>
      </c>
      <c r="H982" t="s">
        <v>5240</v>
      </c>
      <c r="J982" t="s">
        <v>497</v>
      </c>
      <c r="K982" t="s">
        <v>498</v>
      </c>
      <c r="L982">
        <v>5</v>
      </c>
      <c r="M982" t="s">
        <v>5236</v>
      </c>
      <c r="N982" t="s">
        <v>685</v>
      </c>
      <c r="O982" t="s">
        <v>48</v>
      </c>
      <c r="P982" t="s">
        <v>48</v>
      </c>
      <c r="Y982" t="s">
        <v>5241</v>
      </c>
    </row>
    <row r="983" spans="1:25">
      <c r="A983" t="s">
        <v>5242</v>
      </c>
      <c r="B983" t="s">
        <v>5243</v>
      </c>
      <c r="D983" t="s">
        <v>40</v>
      </c>
      <c r="E983" t="s">
        <v>41</v>
      </c>
      <c r="J983" t="s">
        <v>78</v>
      </c>
      <c r="K983" t="s">
        <v>79</v>
      </c>
      <c r="L983">
        <v>5</v>
      </c>
      <c r="M983" t="s">
        <v>5236</v>
      </c>
      <c r="N983" t="s">
        <v>47</v>
      </c>
      <c r="O983" t="s">
        <v>48</v>
      </c>
      <c r="P983" t="s">
        <v>48</v>
      </c>
      <c r="Y983" t="s">
        <v>5244</v>
      </c>
    </row>
    <row r="984" spans="1:25">
      <c r="A984" t="s">
        <v>5245</v>
      </c>
      <c r="B984" t="s">
        <v>5246</v>
      </c>
      <c r="D984" t="s">
        <v>40</v>
      </c>
      <c r="E984" t="s">
        <v>41</v>
      </c>
      <c r="G984" t="s">
        <v>5247</v>
      </c>
      <c r="H984" t="s">
        <v>5248</v>
      </c>
      <c r="J984" t="s">
        <v>90</v>
      </c>
      <c r="K984" t="s">
        <v>91</v>
      </c>
      <c r="L984">
        <v>5</v>
      </c>
      <c r="M984" t="s">
        <v>5236</v>
      </c>
      <c r="N984" t="s">
        <v>47</v>
      </c>
      <c r="O984" t="s">
        <v>48</v>
      </c>
      <c r="P984" t="s">
        <v>48</v>
      </c>
      <c r="Y984" t="s">
        <v>5249</v>
      </c>
    </row>
    <row r="985" spans="1:25">
      <c r="A985" t="s">
        <v>5250</v>
      </c>
      <c r="B985" t="s">
        <v>5251</v>
      </c>
      <c r="D985" t="s">
        <v>40</v>
      </c>
      <c r="E985" t="s">
        <v>41</v>
      </c>
      <c r="G985" t="s">
        <v>294</v>
      </c>
      <c r="H985" t="s">
        <v>5252</v>
      </c>
      <c r="J985" t="s">
        <v>44</v>
      </c>
      <c r="K985" t="s">
        <v>45</v>
      </c>
      <c r="L985">
        <v>5</v>
      </c>
      <c r="M985" t="s">
        <v>5253</v>
      </c>
      <c r="N985" t="s">
        <v>47</v>
      </c>
      <c r="O985" t="s">
        <v>48</v>
      </c>
      <c r="P985" t="s">
        <v>48</v>
      </c>
      <c r="Y985" t="s">
        <v>5254</v>
      </c>
    </row>
    <row r="986" spans="1:25">
      <c r="A986" t="s">
        <v>5255</v>
      </c>
      <c r="B986" t="s">
        <v>5256</v>
      </c>
      <c r="D986" t="s">
        <v>40</v>
      </c>
      <c r="E986" t="s">
        <v>41</v>
      </c>
      <c r="G986" t="s">
        <v>5257</v>
      </c>
      <c r="H986" t="s">
        <v>5258</v>
      </c>
      <c r="J986" t="s">
        <v>44</v>
      </c>
      <c r="K986" t="s">
        <v>45</v>
      </c>
      <c r="L986">
        <v>5</v>
      </c>
      <c r="M986" t="s">
        <v>5259</v>
      </c>
      <c r="N986" t="s">
        <v>47</v>
      </c>
      <c r="O986" t="s">
        <v>48</v>
      </c>
      <c r="P986" t="s">
        <v>48</v>
      </c>
      <c r="Y986" t="s">
        <v>5260</v>
      </c>
    </row>
    <row r="987" spans="1:25">
      <c r="A987" t="s">
        <v>5261</v>
      </c>
      <c r="B987" t="s">
        <v>5262</v>
      </c>
      <c r="D987" t="s">
        <v>40</v>
      </c>
      <c r="E987" t="s">
        <v>41</v>
      </c>
      <c r="G987" t="s">
        <v>5263</v>
      </c>
      <c r="H987" t="s">
        <v>5264</v>
      </c>
      <c r="J987" t="s">
        <v>44</v>
      </c>
      <c r="K987" t="s">
        <v>45</v>
      </c>
      <c r="L987">
        <v>5</v>
      </c>
      <c r="M987" t="s">
        <v>5259</v>
      </c>
      <c r="N987" t="s">
        <v>47</v>
      </c>
      <c r="O987" t="s">
        <v>48</v>
      </c>
      <c r="P987" t="s">
        <v>48</v>
      </c>
      <c r="Y987" t="s">
        <v>5265</v>
      </c>
    </row>
    <row r="988" spans="1:25">
      <c r="A988" t="s">
        <v>5266</v>
      </c>
      <c r="B988" t="s">
        <v>5267</v>
      </c>
      <c r="D988" t="s">
        <v>40</v>
      </c>
      <c r="E988" t="s">
        <v>41</v>
      </c>
      <c r="G988" t="s">
        <v>5268</v>
      </c>
      <c r="H988" t="s">
        <v>5269</v>
      </c>
      <c r="J988" t="s">
        <v>90</v>
      </c>
      <c r="K988" t="s">
        <v>91</v>
      </c>
      <c r="L988">
        <v>5</v>
      </c>
      <c r="M988" t="s">
        <v>5259</v>
      </c>
      <c r="N988" t="s">
        <v>47</v>
      </c>
      <c r="O988" t="s">
        <v>48</v>
      </c>
      <c r="P988" t="s">
        <v>48</v>
      </c>
      <c r="Y988" t="s">
        <v>5270</v>
      </c>
    </row>
    <row r="989" spans="1:25">
      <c r="A989" t="s">
        <v>5271</v>
      </c>
      <c r="B989" t="s">
        <v>5272</v>
      </c>
      <c r="D989" t="s">
        <v>40</v>
      </c>
      <c r="E989" t="s">
        <v>41</v>
      </c>
      <c r="G989" t="s">
        <v>5273</v>
      </c>
      <c r="H989" t="s">
        <v>5274</v>
      </c>
      <c r="J989" t="s">
        <v>353</v>
      </c>
      <c r="K989" t="s">
        <v>354</v>
      </c>
      <c r="L989">
        <v>5</v>
      </c>
      <c r="M989" t="s">
        <v>5275</v>
      </c>
      <c r="N989" t="s">
        <v>685</v>
      </c>
      <c r="O989" t="s">
        <v>48</v>
      </c>
      <c r="P989" t="s">
        <v>48</v>
      </c>
      <c r="Y989" t="s">
        <v>5276</v>
      </c>
    </row>
    <row r="990" spans="1:25">
      <c r="A990" t="s">
        <v>5277</v>
      </c>
      <c r="B990" t="s">
        <v>5278</v>
      </c>
      <c r="D990" t="s">
        <v>40</v>
      </c>
      <c r="E990" t="s">
        <v>41</v>
      </c>
      <c r="G990" t="s">
        <v>2836</v>
      </c>
      <c r="H990" t="s">
        <v>447</v>
      </c>
      <c r="J990" t="s">
        <v>90</v>
      </c>
      <c r="K990" t="s">
        <v>91</v>
      </c>
      <c r="L990">
        <v>5</v>
      </c>
      <c r="M990" t="s">
        <v>5279</v>
      </c>
      <c r="N990" t="s">
        <v>47</v>
      </c>
      <c r="O990" t="s">
        <v>48</v>
      </c>
      <c r="P990" t="s">
        <v>48</v>
      </c>
      <c r="Y990" t="s">
        <v>5280</v>
      </c>
    </row>
    <row r="991" spans="1:25">
      <c r="A991" t="s">
        <v>5281</v>
      </c>
      <c r="B991" t="s">
        <v>5282</v>
      </c>
      <c r="D991" t="s">
        <v>40</v>
      </c>
      <c r="E991" t="s">
        <v>41</v>
      </c>
      <c r="G991" t="s">
        <v>5283</v>
      </c>
      <c r="H991" t="s">
        <v>5284</v>
      </c>
      <c r="J991" t="s">
        <v>54</v>
      </c>
      <c r="K991" t="s">
        <v>55</v>
      </c>
      <c r="L991">
        <v>5</v>
      </c>
      <c r="M991" t="s">
        <v>5285</v>
      </c>
      <c r="N991" t="s">
        <v>47</v>
      </c>
      <c r="O991" t="s">
        <v>48</v>
      </c>
      <c r="P991" t="s">
        <v>48</v>
      </c>
      <c r="Y991" t="s">
        <v>5286</v>
      </c>
    </row>
    <row r="992" spans="1:25">
      <c r="A992" t="s">
        <v>5287</v>
      </c>
      <c r="B992" t="s">
        <v>5288</v>
      </c>
      <c r="D992" t="s">
        <v>40</v>
      </c>
      <c r="E992" t="s">
        <v>41</v>
      </c>
      <c r="G992" t="s">
        <v>5289</v>
      </c>
      <c r="H992" t="s">
        <v>5290</v>
      </c>
      <c r="J992" t="s">
        <v>78</v>
      </c>
      <c r="K992" t="s">
        <v>79</v>
      </c>
      <c r="L992">
        <v>5</v>
      </c>
      <c r="M992" t="s">
        <v>5285</v>
      </c>
      <c r="N992" t="s">
        <v>47</v>
      </c>
      <c r="O992" t="s">
        <v>48</v>
      </c>
      <c r="P992" t="s">
        <v>48</v>
      </c>
      <c r="Y992" t="s">
        <v>5291</v>
      </c>
    </row>
    <row r="993" spans="1:25">
      <c r="A993" t="s">
        <v>5292</v>
      </c>
      <c r="B993" t="s">
        <v>5293</v>
      </c>
      <c r="D993" t="s">
        <v>40</v>
      </c>
      <c r="E993" t="s">
        <v>41</v>
      </c>
      <c r="G993" t="s">
        <v>382</v>
      </c>
      <c r="H993" t="s">
        <v>5294</v>
      </c>
      <c r="J993" t="s">
        <v>90</v>
      </c>
      <c r="K993" t="s">
        <v>91</v>
      </c>
      <c r="L993">
        <v>5</v>
      </c>
      <c r="M993" t="s">
        <v>5295</v>
      </c>
      <c r="N993" t="s">
        <v>47</v>
      </c>
      <c r="O993" t="s">
        <v>48</v>
      </c>
      <c r="P993" t="s">
        <v>48</v>
      </c>
      <c r="Y993" t="s">
        <v>5296</v>
      </c>
    </row>
    <row r="994" spans="1:25">
      <c r="A994" t="s">
        <v>5297</v>
      </c>
      <c r="B994" t="s">
        <v>5298</v>
      </c>
      <c r="D994" t="s">
        <v>40</v>
      </c>
      <c r="E994" t="s">
        <v>41</v>
      </c>
      <c r="G994" t="s">
        <v>5299</v>
      </c>
      <c r="H994" t="s">
        <v>463</v>
      </c>
      <c r="J994" t="s">
        <v>44</v>
      </c>
      <c r="K994" t="s">
        <v>45</v>
      </c>
      <c r="L994">
        <v>5</v>
      </c>
      <c r="M994" t="s">
        <v>5295</v>
      </c>
      <c r="N994" t="s">
        <v>47</v>
      </c>
      <c r="O994" t="s">
        <v>48</v>
      </c>
      <c r="P994" t="s">
        <v>48</v>
      </c>
      <c r="Y994" t="s">
        <v>5300</v>
      </c>
    </row>
    <row r="995" spans="1:25">
      <c r="A995" t="s">
        <v>5301</v>
      </c>
      <c r="B995" t="s">
        <v>5302</v>
      </c>
      <c r="D995" t="s">
        <v>40</v>
      </c>
      <c r="E995" t="s">
        <v>41</v>
      </c>
      <c r="G995" t="s">
        <v>3888</v>
      </c>
      <c r="H995" t="s">
        <v>5303</v>
      </c>
      <c r="J995" t="s">
        <v>234</v>
      </c>
      <c r="K995" t="s">
        <v>235</v>
      </c>
      <c r="L995">
        <v>5</v>
      </c>
      <c r="M995" t="s">
        <v>5304</v>
      </c>
      <c r="N995" t="s">
        <v>47</v>
      </c>
      <c r="O995" t="s">
        <v>48</v>
      </c>
      <c r="P995" t="s">
        <v>48</v>
      </c>
      <c r="Y995" t="s">
        <v>5305</v>
      </c>
    </row>
    <row r="996" spans="1:25">
      <c r="A996" t="s">
        <v>5306</v>
      </c>
      <c r="B996" t="s">
        <v>5307</v>
      </c>
      <c r="D996" t="s">
        <v>40</v>
      </c>
      <c r="E996" t="s">
        <v>41</v>
      </c>
      <c r="G996" t="s">
        <v>5308</v>
      </c>
      <c r="H996" t="s">
        <v>5309</v>
      </c>
      <c r="J996" t="s">
        <v>497</v>
      </c>
      <c r="K996" t="s">
        <v>498</v>
      </c>
      <c r="L996">
        <v>5</v>
      </c>
      <c r="M996" t="s">
        <v>5310</v>
      </c>
      <c r="N996" t="s">
        <v>290</v>
      </c>
      <c r="O996" t="s">
        <v>48</v>
      </c>
      <c r="P996" t="s">
        <v>48</v>
      </c>
      <c r="Y996" t="s">
        <v>5311</v>
      </c>
    </row>
    <row r="997" spans="1:25">
      <c r="A997" t="s">
        <v>5312</v>
      </c>
      <c r="B997" t="s">
        <v>5313</v>
      </c>
      <c r="D997" t="s">
        <v>40</v>
      </c>
      <c r="E997" t="s">
        <v>41</v>
      </c>
      <c r="G997" t="s">
        <v>5314</v>
      </c>
      <c r="H997" t="s">
        <v>5315</v>
      </c>
      <c r="J997" t="s">
        <v>54</v>
      </c>
      <c r="K997" t="s">
        <v>55</v>
      </c>
      <c r="L997">
        <v>5</v>
      </c>
      <c r="M997" t="s">
        <v>5310</v>
      </c>
      <c r="N997" t="s">
        <v>47</v>
      </c>
      <c r="O997" t="s">
        <v>48</v>
      </c>
      <c r="P997" t="s">
        <v>48</v>
      </c>
      <c r="Y997" t="s">
        <v>5316</v>
      </c>
    </row>
    <row r="998" spans="1:25">
      <c r="A998" t="s">
        <v>5317</v>
      </c>
      <c r="B998" t="s">
        <v>5318</v>
      </c>
      <c r="D998" t="s">
        <v>40</v>
      </c>
      <c r="E998" t="s">
        <v>41</v>
      </c>
      <c r="G998" t="s">
        <v>5319</v>
      </c>
      <c r="H998" t="s">
        <v>5320</v>
      </c>
      <c r="J998" t="s">
        <v>54</v>
      </c>
      <c r="K998" t="s">
        <v>55</v>
      </c>
      <c r="L998">
        <v>5</v>
      </c>
      <c r="M998" t="s">
        <v>5321</v>
      </c>
      <c r="N998" t="s">
        <v>47</v>
      </c>
      <c r="O998" t="s">
        <v>48</v>
      </c>
      <c r="P998" t="s">
        <v>48</v>
      </c>
      <c r="Y998" t="s">
        <v>5322</v>
      </c>
    </row>
    <row r="999" spans="1:25">
      <c r="A999" t="s">
        <v>5323</v>
      </c>
      <c r="B999" t="s">
        <v>5324</v>
      </c>
      <c r="D999" t="s">
        <v>40</v>
      </c>
      <c r="E999" t="s">
        <v>41</v>
      </c>
      <c r="G999" t="s">
        <v>5325</v>
      </c>
      <c r="H999" t="s">
        <v>5326</v>
      </c>
      <c r="J999" t="s">
        <v>287</v>
      </c>
      <c r="K999" t="s">
        <v>288</v>
      </c>
      <c r="L999">
        <v>6</v>
      </c>
      <c r="M999" t="s">
        <v>5327</v>
      </c>
      <c r="N999" t="s">
        <v>290</v>
      </c>
      <c r="O999" t="s">
        <v>48</v>
      </c>
      <c r="P999" t="s">
        <v>48</v>
      </c>
      <c r="Y999" t="s">
        <v>5328</v>
      </c>
    </row>
    <row r="1000" spans="1:25">
      <c r="A1000" t="s">
        <v>5329</v>
      </c>
      <c r="B1000" t="s">
        <v>5330</v>
      </c>
      <c r="D1000" t="s">
        <v>40</v>
      </c>
      <c r="E1000" t="s">
        <v>41</v>
      </c>
      <c r="G1000" t="s">
        <v>5331</v>
      </c>
      <c r="H1000" t="s">
        <v>939</v>
      </c>
      <c r="J1000" t="s">
        <v>44</v>
      </c>
      <c r="K1000" t="s">
        <v>45</v>
      </c>
      <c r="L1000">
        <v>5</v>
      </c>
      <c r="M1000" t="s">
        <v>5332</v>
      </c>
      <c r="N1000" t="s">
        <v>47</v>
      </c>
      <c r="O1000" t="s">
        <v>48</v>
      </c>
      <c r="P1000" t="s">
        <v>48</v>
      </c>
      <c r="Y1000" t="s">
        <v>5333</v>
      </c>
    </row>
    <row r="1001" spans="1:25">
      <c r="A1001" t="s">
        <v>5334</v>
      </c>
      <c r="B1001" t="s">
        <v>5335</v>
      </c>
      <c r="D1001" t="s">
        <v>40</v>
      </c>
      <c r="E1001" t="s">
        <v>41</v>
      </c>
      <c r="G1001" t="s">
        <v>5336</v>
      </c>
      <c r="H1001" t="s">
        <v>5337</v>
      </c>
      <c r="J1001" t="s">
        <v>54</v>
      </c>
      <c r="K1001" t="s">
        <v>55</v>
      </c>
      <c r="L1001">
        <v>5</v>
      </c>
      <c r="M1001" t="s">
        <v>5338</v>
      </c>
      <c r="N1001" t="s">
        <v>47</v>
      </c>
      <c r="O1001" t="s">
        <v>48</v>
      </c>
      <c r="P1001" t="s">
        <v>48</v>
      </c>
      <c r="Y1001" t="s">
        <v>5339</v>
      </c>
    </row>
    <row r="1002" spans="1:25">
      <c r="A1002" t="s">
        <v>5340</v>
      </c>
      <c r="B1002" t="s">
        <v>5341</v>
      </c>
      <c r="D1002" t="s">
        <v>40</v>
      </c>
      <c r="E1002" t="s">
        <v>41</v>
      </c>
      <c r="G1002" t="s">
        <v>5342</v>
      </c>
      <c r="H1002" t="s">
        <v>5343</v>
      </c>
      <c r="J1002" t="s">
        <v>90</v>
      </c>
      <c r="K1002" t="s">
        <v>91</v>
      </c>
      <c r="L1002">
        <v>5</v>
      </c>
      <c r="M1002" t="s">
        <v>5344</v>
      </c>
      <c r="N1002" t="s">
        <v>47</v>
      </c>
      <c r="O1002" t="s">
        <v>48</v>
      </c>
      <c r="P1002" t="s">
        <v>48</v>
      </c>
      <c r="Y1002" t="s">
        <v>5345</v>
      </c>
    </row>
    <row r="1003" spans="1:25">
      <c r="A1003" t="s">
        <v>5346</v>
      </c>
      <c r="B1003" t="s">
        <v>5347</v>
      </c>
      <c r="D1003" t="s">
        <v>40</v>
      </c>
      <c r="E1003" t="s">
        <v>41</v>
      </c>
      <c r="G1003" t="s">
        <v>5348</v>
      </c>
      <c r="H1003" t="s">
        <v>5349</v>
      </c>
      <c r="J1003" t="s">
        <v>54</v>
      </c>
      <c r="K1003" t="s">
        <v>55</v>
      </c>
      <c r="L1003">
        <v>5</v>
      </c>
      <c r="M1003" t="s">
        <v>5350</v>
      </c>
      <c r="N1003" t="s">
        <v>47</v>
      </c>
      <c r="O1003" t="s">
        <v>48</v>
      </c>
      <c r="P1003" t="s">
        <v>48</v>
      </c>
      <c r="Y1003" t="s">
        <v>5351</v>
      </c>
    </row>
    <row r="1004" spans="1:25">
      <c r="A1004" t="s">
        <v>5352</v>
      </c>
      <c r="B1004" t="s">
        <v>5353</v>
      </c>
      <c r="D1004" t="s">
        <v>40</v>
      </c>
      <c r="E1004" t="s">
        <v>41</v>
      </c>
      <c r="G1004" t="s">
        <v>5354</v>
      </c>
      <c r="H1004" t="s">
        <v>5355</v>
      </c>
      <c r="J1004" t="s">
        <v>54</v>
      </c>
      <c r="K1004" t="s">
        <v>55</v>
      </c>
      <c r="L1004">
        <v>5</v>
      </c>
      <c r="M1004" t="s">
        <v>5356</v>
      </c>
      <c r="N1004" t="s">
        <v>47</v>
      </c>
      <c r="O1004" t="s">
        <v>48</v>
      </c>
      <c r="P1004" t="s">
        <v>48</v>
      </c>
      <c r="Y1004" t="s">
        <v>5357</v>
      </c>
    </row>
    <row r="1005" spans="1:25">
      <c r="A1005" t="s">
        <v>5358</v>
      </c>
      <c r="B1005" t="s">
        <v>5359</v>
      </c>
      <c r="D1005" t="s">
        <v>40</v>
      </c>
      <c r="E1005" t="s">
        <v>41</v>
      </c>
      <c r="G1005" t="s">
        <v>810</v>
      </c>
      <c r="H1005" t="s">
        <v>5360</v>
      </c>
      <c r="J1005" t="s">
        <v>90</v>
      </c>
      <c r="K1005" t="s">
        <v>91</v>
      </c>
      <c r="L1005">
        <v>5</v>
      </c>
      <c r="M1005" t="s">
        <v>5361</v>
      </c>
      <c r="N1005" t="s">
        <v>47</v>
      </c>
      <c r="O1005" t="s">
        <v>48</v>
      </c>
      <c r="P1005" t="s">
        <v>48</v>
      </c>
      <c r="Y1005" t="s">
        <v>5362</v>
      </c>
    </row>
    <row r="1006" spans="1:25">
      <c r="A1006" t="s">
        <v>5363</v>
      </c>
      <c r="B1006" t="s">
        <v>5364</v>
      </c>
      <c r="D1006" t="s">
        <v>40</v>
      </c>
      <c r="E1006" t="s">
        <v>41</v>
      </c>
      <c r="G1006" t="s">
        <v>5365</v>
      </c>
      <c r="H1006" t="s">
        <v>5366</v>
      </c>
      <c r="J1006" t="s">
        <v>44</v>
      </c>
      <c r="K1006" t="s">
        <v>45</v>
      </c>
      <c r="L1006">
        <v>5</v>
      </c>
      <c r="M1006" t="s">
        <v>5361</v>
      </c>
      <c r="N1006" t="s">
        <v>47</v>
      </c>
      <c r="O1006" t="s">
        <v>48</v>
      </c>
      <c r="P1006" t="s">
        <v>48</v>
      </c>
      <c r="Y1006" t="s">
        <v>5367</v>
      </c>
    </row>
    <row r="1007" spans="1:25">
      <c r="A1007" t="s">
        <v>5368</v>
      </c>
      <c r="B1007" t="s">
        <v>5369</v>
      </c>
      <c r="D1007" t="s">
        <v>40</v>
      </c>
      <c r="E1007" t="s">
        <v>41</v>
      </c>
      <c r="G1007" t="s">
        <v>5370</v>
      </c>
      <c r="H1007" t="s">
        <v>5371</v>
      </c>
      <c r="J1007" t="s">
        <v>44</v>
      </c>
      <c r="K1007" t="s">
        <v>45</v>
      </c>
      <c r="L1007">
        <v>5</v>
      </c>
      <c r="M1007" t="s">
        <v>5372</v>
      </c>
      <c r="N1007" t="s">
        <v>47</v>
      </c>
      <c r="O1007" t="s">
        <v>48</v>
      </c>
      <c r="P1007" t="s">
        <v>48</v>
      </c>
      <c r="Y1007" t="s">
        <v>5373</v>
      </c>
    </row>
    <row r="1008" spans="1:25">
      <c r="A1008" t="s">
        <v>5374</v>
      </c>
      <c r="B1008" t="s">
        <v>5375</v>
      </c>
      <c r="D1008" t="s">
        <v>40</v>
      </c>
      <c r="E1008" t="s">
        <v>41</v>
      </c>
      <c r="G1008" t="s">
        <v>5376</v>
      </c>
      <c r="H1008" t="s">
        <v>5377</v>
      </c>
      <c r="J1008" t="s">
        <v>90</v>
      </c>
      <c r="K1008" t="s">
        <v>91</v>
      </c>
      <c r="L1008">
        <v>5</v>
      </c>
      <c r="M1008" t="s">
        <v>5378</v>
      </c>
      <c r="N1008" t="s">
        <v>47</v>
      </c>
      <c r="O1008" t="s">
        <v>48</v>
      </c>
      <c r="P1008" t="s">
        <v>48</v>
      </c>
      <c r="Y1008" t="s">
        <v>5379</v>
      </c>
    </row>
    <row r="1009" spans="1:25">
      <c r="A1009" t="s">
        <v>5380</v>
      </c>
      <c r="B1009" t="s">
        <v>5381</v>
      </c>
      <c r="D1009" t="s">
        <v>40</v>
      </c>
      <c r="E1009" t="s">
        <v>41</v>
      </c>
      <c r="G1009" t="s">
        <v>5382</v>
      </c>
      <c r="H1009" t="s">
        <v>5383</v>
      </c>
      <c r="J1009" t="s">
        <v>90</v>
      </c>
      <c r="K1009" t="s">
        <v>91</v>
      </c>
      <c r="L1009">
        <v>5</v>
      </c>
      <c r="M1009" t="s">
        <v>5378</v>
      </c>
      <c r="N1009" t="s">
        <v>47</v>
      </c>
      <c r="O1009" t="s">
        <v>48</v>
      </c>
      <c r="P1009" t="s">
        <v>48</v>
      </c>
      <c r="Y1009" t="s">
        <v>5384</v>
      </c>
    </row>
    <row r="1010" spans="1:25">
      <c r="A1010" t="s">
        <v>5385</v>
      </c>
      <c r="B1010" t="s">
        <v>5386</v>
      </c>
      <c r="D1010" t="s">
        <v>40</v>
      </c>
      <c r="E1010" t="s">
        <v>41</v>
      </c>
      <c r="G1010" t="s">
        <v>5387</v>
      </c>
      <c r="H1010" t="s">
        <v>5388</v>
      </c>
      <c r="J1010" t="s">
        <v>90</v>
      </c>
      <c r="K1010" t="s">
        <v>91</v>
      </c>
      <c r="L1010">
        <v>5</v>
      </c>
      <c r="M1010" t="s">
        <v>5389</v>
      </c>
      <c r="N1010" t="s">
        <v>47</v>
      </c>
      <c r="O1010" t="s">
        <v>48</v>
      </c>
      <c r="P1010" t="s">
        <v>48</v>
      </c>
      <c r="Y1010" t="s">
        <v>5390</v>
      </c>
    </row>
    <row r="1011" spans="1:25">
      <c r="A1011" t="s">
        <v>5391</v>
      </c>
      <c r="B1011" t="s">
        <v>5392</v>
      </c>
      <c r="D1011" t="s">
        <v>40</v>
      </c>
      <c r="E1011" t="s">
        <v>41</v>
      </c>
      <c r="G1011" t="s">
        <v>5393</v>
      </c>
      <c r="H1011" t="s">
        <v>5394</v>
      </c>
      <c r="J1011" t="s">
        <v>90</v>
      </c>
      <c r="K1011" t="s">
        <v>91</v>
      </c>
      <c r="L1011">
        <v>5</v>
      </c>
      <c r="M1011" t="s">
        <v>5395</v>
      </c>
      <c r="N1011" t="s">
        <v>47</v>
      </c>
      <c r="O1011" t="s">
        <v>48</v>
      </c>
      <c r="P1011" t="s">
        <v>48</v>
      </c>
      <c r="Y1011" t="s">
        <v>5396</v>
      </c>
    </row>
    <row r="1012" spans="1:25">
      <c r="A1012" t="s">
        <v>5397</v>
      </c>
      <c r="B1012" t="s">
        <v>5398</v>
      </c>
      <c r="D1012" t="s">
        <v>40</v>
      </c>
      <c r="E1012" t="s">
        <v>41</v>
      </c>
      <c r="G1012" t="s">
        <v>5399</v>
      </c>
      <c r="H1012" t="s">
        <v>5400</v>
      </c>
      <c r="J1012" t="s">
        <v>90</v>
      </c>
      <c r="K1012" t="s">
        <v>91</v>
      </c>
      <c r="L1012">
        <v>5</v>
      </c>
      <c r="M1012" t="s">
        <v>5401</v>
      </c>
      <c r="N1012" t="s">
        <v>47</v>
      </c>
      <c r="O1012" t="s">
        <v>48</v>
      </c>
      <c r="P1012" t="s">
        <v>48</v>
      </c>
      <c r="Y1012" t="s">
        <v>5402</v>
      </c>
    </row>
    <row r="1013" spans="1:25">
      <c r="A1013" t="s">
        <v>5403</v>
      </c>
      <c r="B1013" t="s">
        <v>5404</v>
      </c>
      <c r="D1013" t="s">
        <v>40</v>
      </c>
      <c r="E1013" t="s">
        <v>41</v>
      </c>
      <c r="G1013" t="s">
        <v>5405</v>
      </c>
      <c r="H1013" t="s">
        <v>4057</v>
      </c>
      <c r="J1013" t="s">
        <v>54</v>
      </c>
      <c r="K1013" t="s">
        <v>55</v>
      </c>
      <c r="L1013">
        <v>5</v>
      </c>
      <c r="M1013" t="s">
        <v>5406</v>
      </c>
      <c r="N1013" t="s">
        <v>47</v>
      </c>
      <c r="O1013" t="s">
        <v>48</v>
      </c>
      <c r="P1013" t="s">
        <v>48</v>
      </c>
      <c r="Y1013" t="s">
        <v>5407</v>
      </c>
    </row>
    <row r="1014" spans="1:25">
      <c r="A1014" t="s">
        <v>5408</v>
      </c>
      <c r="B1014" t="s">
        <v>5409</v>
      </c>
      <c r="D1014" t="s">
        <v>40</v>
      </c>
      <c r="E1014" t="s">
        <v>41</v>
      </c>
      <c r="H1014" t="s">
        <v>5410</v>
      </c>
      <c r="J1014" t="s">
        <v>90</v>
      </c>
      <c r="K1014" t="s">
        <v>91</v>
      </c>
      <c r="L1014">
        <v>5</v>
      </c>
      <c r="M1014" t="s">
        <v>5411</v>
      </c>
      <c r="N1014" t="s">
        <v>47</v>
      </c>
      <c r="O1014" t="s">
        <v>48</v>
      </c>
      <c r="P1014" t="s">
        <v>48</v>
      </c>
      <c r="Y1014" t="s">
        <v>5410</v>
      </c>
    </row>
    <row r="1015" spans="1:25">
      <c r="A1015" t="s">
        <v>5412</v>
      </c>
      <c r="B1015" t="s">
        <v>5413</v>
      </c>
      <c r="D1015" t="s">
        <v>40</v>
      </c>
      <c r="E1015" t="s">
        <v>41</v>
      </c>
      <c r="G1015" t="s">
        <v>5414</v>
      </c>
      <c r="H1015" t="s">
        <v>5415</v>
      </c>
      <c r="J1015" t="s">
        <v>44</v>
      </c>
      <c r="K1015" t="s">
        <v>45</v>
      </c>
      <c r="L1015">
        <v>5</v>
      </c>
      <c r="M1015" t="s">
        <v>5416</v>
      </c>
      <c r="N1015" t="s">
        <v>47</v>
      </c>
      <c r="O1015" t="s">
        <v>48</v>
      </c>
      <c r="P1015" t="s">
        <v>48</v>
      </c>
      <c r="Y1015" t="s">
        <v>5417</v>
      </c>
    </row>
    <row r="1016" spans="1:25">
      <c r="A1016" t="s">
        <v>5418</v>
      </c>
      <c r="B1016" t="s">
        <v>5419</v>
      </c>
      <c r="D1016" t="s">
        <v>40</v>
      </c>
      <c r="E1016" t="s">
        <v>41</v>
      </c>
      <c r="G1016" t="s">
        <v>440</v>
      </c>
      <c r="H1016" t="s">
        <v>4658</v>
      </c>
      <c r="J1016" t="s">
        <v>44</v>
      </c>
      <c r="K1016" t="s">
        <v>45</v>
      </c>
      <c r="L1016">
        <v>5</v>
      </c>
      <c r="M1016" t="s">
        <v>5420</v>
      </c>
      <c r="N1016" t="s">
        <v>47</v>
      </c>
      <c r="O1016" t="s">
        <v>48</v>
      </c>
      <c r="P1016" t="s">
        <v>48</v>
      </c>
      <c r="Y1016" t="s">
        <v>5421</v>
      </c>
    </row>
    <row r="1017" spans="1:25">
      <c r="A1017" t="s">
        <v>5422</v>
      </c>
      <c r="B1017" t="s">
        <v>5423</v>
      </c>
      <c r="D1017" t="s">
        <v>40</v>
      </c>
      <c r="E1017" t="s">
        <v>41</v>
      </c>
      <c r="G1017" t="s">
        <v>770</v>
      </c>
      <c r="H1017" t="s">
        <v>143</v>
      </c>
      <c r="J1017" t="s">
        <v>44</v>
      </c>
      <c r="K1017" t="s">
        <v>45</v>
      </c>
      <c r="L1017">
        <v>5</v>
      </c>
      <c r="M1017" t="s">
        <v>5420</v>
      </c>
      <c r="N1017" t="s">
        <v>47</v>
      </c>
      <c r="O1017" t="s">
        <v>48</v>
      </c>
      <c r="P1017" t="s">
        <v>48</v>
      </c>
      <c r="Y1017" t="s">
        <v>5424</v>
      </c>
    </row>
    <row r="1018" spans="1:25">
      <c r="A1018" t="s">
        <v>5425</v>
      </c>
      <c r="B1018" t="s">
        <v>5426</v>
      </c>
      <c r="D1018" t="s">
        <v>40</v>
      </c>
      <c r="E1018" t="s">
        <v>41</v>
      </c>
      <c r="G1018" t="s">
        <v>3164</v>
      </c>
      <c r="H1018" t="s">
        <v>5427</v>
      </c>
      <c r="J1018" t="s">
        <v>54</v>
      </c>
      <c r="K1018" t="s">
        <v>55</v>
      </c>
      <c r="L1018">
        <v>5</v>
      </c>
      <c r="M1018" t="s">
        <v>5428</v>
      </c>
      <c r="N1018" t="s">
        <v>47</v>
      </c>
      <c r="O1018" t="s">
        <v>48</v>
      </c>
      <c r="P1018" t="s">
        <v>48</v>
      </c>
      <c r="Y1018" t="s">
        <v>5429</v>
      </c>
    </row>
    <row r="1019" spans="1:25">
      <c r="A1019" t="s">
        <v>5430</v>
      </c>
      <c r="B1019" t="s">
        <v>5431</v>
      </c>
      <c r="D1019" t="s">
        <v>40</v>
      </c>
      <c r="E1019" t="s">
        <v>41</v>
      </c>
      <c r="G1019" t="s">
        <v>716</v>
      </c>
      <c r="H1019" t="s">
        <v>5432</v>
      </c>
      <c r="J1019" t="s">
        <v>44</v>
      </c>
      <c r="K1019" t="s">
        <v>45</v>
      </c>
      <c r="L1019">
        <v>5</v>
      </c>
      <c r="M1019" t="s">
        <v>5433</v>
      </c>
      <c r="N1019" t="s">
        <v>47</v>
      </c>
      <c r="O1019" t="s">
        <v>48</v>
      </c>
      <c r="P1019" t="s">
        <v>48</v>
      </c>
      <c r="Y1019" t="s">
        <v>5434</v>
      </c>
    </row>
    <row r="1020" spans="1:25">
      <c r="A1020" t="s">
        <v>5435</v>
      </c>
      <c r="B1020" t="s">
        <v>5436</v>
      </c>
      <c r="D1020" t="s">
        <v>40</v>
      </c>
      <c r="E1020" t="s">
        <v>41</v>
      </c>
      <c r="G1020" t="s">
        <v>5437</v>
      </c>
      <c r="H1020" t="s">
        <v>5438</v>
      </c>
      <c r="J1020" t="s">
        <v>90</v>
      </c>
      <c r="K1020" t="s">
        <v>91</v>
      </c>
      <c r="L1020">
        <v>5</v>
      </c>
      <c r="M1020" t="s">
        <v>5439</v>
      </c>
      <c r="N1020" t="s">
        <v>47</v>
      </c>
      <c r="O1020" t="s">
        <v>48</v>
      </c>
      <c r="P1020" t="s">
        <v>48</v>
      </c>
      <c r="Y1020" t="s">
        <v>5440</v>
      </c>
    </row>
    <row r="1021" spans="1:25">
      <c r="A1021" t="s">
        <v>5441</v>
      </c>
      <c r="B1021" t="s">
        <v>5442</v>
      </c>
      <c r="D1021" t="s">
        <v>40</v>
      </c>
      <c r="E1021" t="s">
        <v>41</v>
      </c>
      <c r="G1021" t="s">
        <v>5443</v>
      </c>
      <c r="H1021" t="s">
        <v>5444</v>
      </c>
      <c r="J1021" t="s">
        <v>44</v>
      </c>
      <c r="K1021" t="s">
        <v>45</v>
      </c>
      <c r="L1021">
        <v>5</v>
      </c>
      <c r="M1021" t="s">
        <v>5445</v>
      </c>
      <c r="N1021" t="s">
        <v>47</v>
      </c>
      <c r="O1021" t="s">
        <v>48</v>
      </c>
      <c r="P1021" t="s">
        <v>48</v>
      </c>
      <c r="Y1021" t="s">
        <v>5446</v>
      </c>
    </row>
    <row r="1022" spans="1:25">
      <c r="A1022" t="s">
        <v>5447</v>
      </c>
      <c r="B1022" t="s">
        <v>5448</v>
      </c>
      <c r="D1022" t="s">
        <v>40</v>
      </c>
      <c r="E1022" t="s">
        <v>41</v>
      </c>
      <c r="G1022" t="s">
        <v>5449</v>
      </c>
      <c r="H1022" t="s">
        <v>5450</v>
      </c>
      <c r="J1022" t="s">
        <v>133</v>
      </c>
      <c r="K1022" t="s">
        <v>134</v>
      </c>
      <c r="L1022">
        <v>5</v>
      </c>
      <c r="M1022" t="s">
        <v>5451</v>
      </c>
      <c r="N1022" t="s">
        <v>135</v>
      </c>
      <c r="O1022" t="s">
        <v>48</v>
      </c>
      <c r="P1022" t="s">
        <v>48</v>
      </c>
      <c r="Y1022" t="s">
        <v>5452</v>
      </c>
    </row>
    <row r="1023" spans="1:25">
      <c r="A1023" t="s">
        <v>5453</v>
      </c>
      <c r="B1023" t="s">
        <v>5454</v>
      </c>
      <c r="D1023" t="s">
        <v>40</v>
      </c>
      <c r="E1023" t="s">
        <v>41</v>
      </c>
      <c r="G1023" t="s">
        <v>770</v>
      </c>
      <c r="H1023" t="s">
        <v>5455</v>
      </c>
      <c r="J1023" t="s">
        <v>44</v>
      </c>
      <c r="K1023" t="s">
        <v>45</v>
      </c>
      <c r="L1023">
        <v>5</v>
      </c>
      <c r="M1023" t="s">
        <v>5451</v>
      </c>
      <c r="N1023" t="s">
        <v>47</v>
      </c>
      <c r="O1023" t="s">
        <v>48</v>
      </c>
      <c r="P1023" t="s">
        <v>48</v>
      </c>
      <c r="Y1023" t="s">
        <v>5456</v>
      </c>
    </row>
    <row r="1024" spans="1:25">
      <c r="A1024" t="s">
        <v>5457</v>
      </c>
      <c r="B1024" t="s">
        <v>5458</v>
      </c>
      <c r="D1024" t="s">
        <v>40</v>
      </c>
      <c r="E1024" t="s">
        <v>41</v>
      </c>
      <c r="G1024" t="s">
        <v>5370</v>
      </c>
      <c r="H1024" t="s">
        <v>5459</v>
      </c>
      <c r="J1024" t="s">
        <v>44</v>
      </c>
      <c r="K1024" t="s">
        <v>45</v>
      </c>
      <c r="L1024">
        <v>5</v>
      </c>
      <c r="M1024" t="s">
        <v>5451</v>
      </c>
      <c r="N1024" t="s">
        <v>47</v>
      </c>
      <c r="O1024" t="s">
        <v>48</v>
      </c>
      <c r="P1024" t="s">
        <v>48</v>
      </c>
      <c r="Y1024" t="s">
        <v>5460</v>
      </c>
    </row>
    <row r="1025" spans="1:25">
      <c r="A1025" t="s">
        <v>5461</v>
      </c>
      <c r="B1025" t="s">
        <v>5462</v>
      </c>
      <c r="D1025" t="s">
        <v>40</v>
      </c>
      <c r="E1025" t="s">
        <v>41</v>
      </c>
      <c r="G1025" t="s">
        <v>5463</v>
      </c>
      <c r="H1025" t="s">
        <v>5464</v>
      </c>
      <c r="J1025" t="s">
        <v>54</v>
      </c>
      <c r="K1025" t="s">
        <v>55</v>
      </c>
      <c r="L1025">
        <v>5</v>
      </c>
      <c r="M1025" t="s">
        <v>5465</v>
      </c>
      <c r="N1025" t="s">
        <v>47</v>
      </c>
      <c r="O1025" t="s">
        <v>48</v>
      </c>
      <c r="P1025" t="s">
        <v>48</v>
      </c>
      <c r="Y1025" t="s">
        <v>5466</v>
      </c>
    </row>
    <row r="1026" spans="1:25">
      <c r="A1026" t="s">
        <v>5467</v>
      </c>
      <c r="B1026" t="s">
        <v>5468</v>
      </c>
      <c r="D1026" t="s">
        <v>40</v>
      </c>
      <c r="E1026" t="s">
        <v>41</v>
      </c>
      <c r="G1026" t="s">
        <v>5469</v>
      </c>
      <c r="H1026" t="s">
        <v>5470</v>
      </c>
      <c r="J1026" t="s">
        <v>2328</v>
      </c>
      <c r="K1026" t="s">
        <v>2329</v>
      </c>
      <c r="L1026">
        <v>6</v>
      </c>
      <c r="M1026" t="s">
        <v>5471</v>
      </c>
      <c r="N1026" t="s">
        <v>685</v>
      </c>
      <c r="O1026" t="s">
        <v>48</v>
      </c>
      <c r="P1026" t="s">
        <v>48</v>
      </c>
      <c r="Y1026" t="s">
        <v>5472</v>
      </c>
    </row>
    <row r="1027" spans="1:25">
      <c r="A1027" t="s">
        <v>5473</v>
      </c>
      <c r="B1027" t="s">
        <v>5474</v>
      </c>
      <c r="D1027" t="s">
        <v>40</v>
      </c>
      <c r="E1027" t="s">
        <v>41</v>
      </c>
      <c r="G1027" t="s">
        <v>5475</v>
      </c>
      <c r="H1027" t="s">
        <v>5476</v>
      </c>
      <c r="J1027" t="s">
        <v>90</v>
      </c>
      <c r="K1027" t="s">
        <v>91</v>
      </c>
      <c r="L1027">
        <v>5</v>
      </c>
      <c r="M1027" t="s">
        <v>5477</v>
      </c>
      <c r="N1027" t="s">
        <v>47</v>
      </c>
      <c r="O1027" t="s">
        <v>48</v>
      </c>
      <c r="P1027" t="s">
        <v>48</v>
      </c>
      <c r="Y1027" t="s">
        <v>5478</v>
      </c>
    </row>
    <row r="1028" spans="1:25">
      <c r="A1028" t="s">
        <v>5479</v>
      </c>
      <c r="B1028" t="s">
        <v>5480</v>
      </c>
      <c r="D1028" t="s">
        <v>40</v>
      </c>
      <c r="E1028" t="s">
        <v>41</v>
      </c>
      <c r="G1028" t="s">
        <v>3320</v>
      </c>
      <c r="H1028" t="s">
        <v>143</v>
      </c>
      <c r="J1028" t="s">
        <v>54</v>
      </c>
      <c r="K1028" t="s">
        <v>55</v>
      </c>
      <c r="L1028">
        <v>5</v>
      </c>
      <c r="M1028" t="s">
        <v>5477</v>
      </c>
      <c r="N1028" t="s">
        <v>47</v>
      </c>
      <c r="O1028" t="s">
        <v>48</v>
      </c>
      <c r="P1028" t="s">
        <v>48</v>
      </c>
      <c r="Y1028" t="s">
        <v>5481</v>
      </c>
    </row>
    <row r="1029" spans="1:25">
      <c r="A1029" t="s">
        <v>5482</v>
      </c>
      <c r="B1029" t="s">
        <v>5483</v>
      </c>
      <c r="D1029" t="s">
        <v>40</v>
      </c>
      <c r="E1029" t="s">
        <v>41</v>
      </c>
      <c r="G1029" t="s">
        <v>5484</v>
      </c>
      <c r="H1029" t="s">
        <v>5485</v>
      </c>
      <c r="J1029" t="s">
        <v>78</v>
      </c>
      <c r="K1029" t="s">
        <v>79</v>
      </c>
      <c r="L1029">
        <v>5</v>
      </c>
      <c r="M1029" t="s">
        <v>5477</v>
      </c>
      <c r="N1029" t="s">
        <v>47</v>
      </c>
      <c r="O1029" t="s">
        <v>48</v>
      </c>
      <c r="P1029" t="s">
        <v>48</v>
      </c>
      <c r="Y1029" t="s">
        <v>5486</v>
      </c>
    </row>
    <row r="1030" spans="1:25">
      <c r="A1030" t="s">
        <v>5487</v>
      </c>
      <c r="B1030" t="s">
        <v>5488</v>
      </c>
      <c r="D1030" t="s">
        <v>40</v>
      </c>
      <c r="E1030" t="s">
        <v>41</v>
      </c>
      <c r="G1030" t="s">
        <v>5489</v>
      </c>
      <c r="H1030" t="s">
        <v>2802</v>
      </c>
      <c r="J1030" t="s">
        <v>541</v>
      </c>
      <c r="K1030" t="s">
        <v>542</v>
      </c>
      <c r="L1030">
        <v>5</v>
      </c>
      <c r="M1030" t="s">
        <v>5490</v>
      </c>
      <c r="N1030" t="s">
        <v>290</v>
      </c>
      <c r="O1030" t="s">
        <v>48</v>
      </c>
      <c r="P1030" t="s">
        <v>48</v>
      </c>
      <c r="Y1030" t="s">
        <v>5491</v>
      </c>
    </row>
    <row r="1031" spans="1:25">
      <c r="A1031" t="s">
        <v>5492</v>
      </c>
      <c r="B1031" t="s">
        <v>5493</v>
      </c>
      <c r="D1031" t="s">
        <v>40</v>
      </c>
      <c r="E1031" t="s">
        <v>41</v>
      </c>
      <c r="G1031" t="s">
        <v>5494</v>
      </c>
      <c r="H1031" t="s">
        <v>5495</v>
      </c>
      <c r="J1031" t="s">
        <v>371</v>
      </c>
      <c r="K1031" t="s">
        <v>372</v>
      </c>
      <c r="L1031">
        <v>5</v>
      </c>
      <c r="M1031" t="s">
        <v>5490</v>
      </c>
      <c r="N1031" t="s">
        <v>47</v>
      </c>
      <c r="O1031" t="s">
        <v>48</v>
      </c>
      <c r="P1031" t="s">
        <v>48</v>
      </c>
      <c r="Y1031" t="s">
        <v>5496</v>
      </c>
    </row>
    <row r="1032" spans="1:25">
      <c r="A1032" t="s">
        <v>5497</v>
      </c>
      <c r="B1032" t="s">
        <v>5498</v>
      </c>
      <c r="D1032" t="s">
        <v>40</v>
      </c>
      <c r="E1032" t="s">
        <v>41</v>
      </c>
      <c r="G1032" t="s">
        <v>174</v>
      </c>
      <c r="H1032" t="s">
        <v>5499</v>
      </c>
      <c r="J1032" t="s">
        <v>90</v>
      </c>
      <c r="K1032" t="s">
        <v>91</v>
      </c>
      <c r="L1032">
        <v>5</v>
      </c>
      <c r="M1032" t="s">
        <v>5500</v>
      </c>
      <c r="N1032" t="s">
        <v>47</v>
      </c>
      <c r="O1032" t="s">
        <v>48</v>
      </c>
      <c r="P1032" t="s">
        <v>48</v>
      </c>
      <c r="Y1032" t="s">
        <v>5501</v>
      </c>
    </row>
    <row r="1033" spans="1:25">
      <c r="A1033" t="s">
        <v>5502</v>
      </c>
      <c r="B1033" t="s">
        <v>5503</v>
      </c>
      <c r="D1033" t="s">
        <v>40</v>
      </c>
      <c r="E1033" t="s">
        <v>41</v>
      </c>
      <c r="G1033" t="s">
        <v>240</v>
      </c>
      <c r="H1033" t="s">
        <v>5504</v>
      </c>
      <c r="J1033" t="s">
        <v>371</v>
      </c>
      <c r="K1033" t="s">
        <v>372</v>
      </c>
      <c r="L1033">
        <v>5</v>
      </c>
      <c r="M1033" t="s">
        <v>5505</v>
      </c>
      <c r="N1033" t="s">
        <v>47</v>
      </c>
      <c r="O1033" t="s">
        <v>48</v>
      </c>
      <c r="P1033" t="s">
        <v>48</v>
      </c>
      <c r="Y1033" t="s">
        <v>5506</v>
      </c>
    </row>
    <row r="1034" spans="1:25">
      <c r="A1034" t="s">
        <v>5507</v>
      </c>
      <c r="B1034" t="s">
        <v>5508</v>
      </c>
      <c r="D1034" t="s">
        <v>40</v>
      </c>
      <c r="E1034" t="s">
        <v>41</v>
      </c>
      <c r="J1034" t="s">
        <v>54</v>
      </c>
      <c r="K1034" t="s">
        <v>55</v>
      </c>
      <c r="L1034">
        <v>5</v>
      </c>
      <c r="M1034" t="s">
        <v>5509</v>
      </c>
      <c r="N1034" t="s">
        <v>47</v>
      </c>
      <c r="O1034" t="s">
        <v>48</v>
      </c>
      <c r="P1034" t="s">
        <v>48</v>
      </c>
      <c r="Y1034" t="s">
        <v>5510</v>
      </c>
    </row>
    <row r="1035" spans="1:25">
      <c r="A1035" t="s">
        <v>5511</v>
      </c>
      <c r="B1035" t="s">
        <v>5512</v>
      </c>
      <c r="D1035" t="s">
        <v>40</v>
      </c>
      <c r="E1035" t="s">
        <v>41</v>
      </c>
      <c r="G1035" t="s">
        <v>5513</v>
      </c>
      <c r="H1035" t="s">
        <v>5514</v>
      </c>
      <c r="J1035" t="s">
        <v>90</v>
      </c>
      <c r="K1035" t="s">
        <v>91</v>
      </c>
      <c r="L1035">
        <v>5</v>
      </c>
      <c r="M1035" t="s">
        <v>5515</v>
      </c>
      <c r="N1035" t="s">
        <v>47</v>
      </c>
      <c r="O1035" t="s">
        <v>48</v>
      </c>
      <c r="P1035" t="s">
        <v>48</v>
      </c>
      <c r="Y1035" t="s">
        <v>5516</v>
      </c>
    </row>
    <row r="1036" spans="1:25">
      <c r="A1036" t="s">
        <v>5517</v>
      </c>
      <c r="B1036" t="s">
        <v>5518</v>
      </c>
      <c r="D1036" t="s">
        <v>40</v>
      </c>
      <c r="E1036" t="s">
        <v>41</v>
      </c>
      <c r="G1036" t="s">
        <v>3755</v>
      </c>
      <c r="H1036" t="s">
        <v>1802</v>
      </c>
      <c r="J1036" t="s">
        <v>44</v>
      </c>
      <c r="K1036" t="s">
        <v>45</v>
      </c>
      <c r="L1036">
        <v>5</v>
      </c>
      <c r="M1036" t="s">
        <v>5519</v>
      </c>
      <c r="N1036" t="s">
        <v>47</v>
      </c>
      <c r="O1036" t="s">
        <v>48</v>
      </c>
      <c r="P1036" t="s">
        <v>48</v>
      </c>
      <c r="Y1036" t="s">
        <v>5520</v>
      </c>
    </row>
    <row r="1037" spans="1:25">
      <c r="A1037" t="s">
        <v>5521</v>
      </c>
      <c r="B1037" t="s">
        <v>5522</v>
      </c>
      <c r="D1037" t="s">
        <v>40</v>
      </c>
      <c r="E1037" t="s">
        <v>41</v>
      </c>
      <c r="G1037" t="s">
        <v>5523</v>
      </c>
      <c r="H1037" t="s">
        <v>5524</v>
      </c>
      <c r="J1037" t="s">
        <v>90</v>
      </c>
      <c r="K1037" t="s">
        <v>91</v>
      </c>
      <c r="L1037">
        <v>5</v>
      </c>
      <c r="M1037" t="s">
        <v>5519</v>
      </c>
      <c r="N1037" t="s">
        <v>47</v>
      </c>
      <c r="O1037" t="s">
        <v>48</v>
      </c>
      <c r="P1037" t="s">
        <v>48</v>
      </c>
      <c r="Y1037" t="s">
        <v>5525</v>
      </c>
    </row>
    <row r="1038" spans="1:25">
      <c r="A1038" t="s">
        <v>5526</v>
      </c>
      <c r="B1038" t="s">
        <v>5527</v>
      </c>
      <c r="D1038" t="s">
        <v>40</v>
      </c>
      <c r="E1038" t="s">
        <v>41</v>
      </c>
      <c r="G1038" t="s">
        <v>5528</v>
      </c>
      <c r="H1038" t="s">
        <v>5529</v>
      </c>
      <c r="J1038" t="s">
        <v>54</v>
      </c>
      <c r="K1038" t="s">
        <v>55</v>
      </c>
      <c r="L1038">
        <v>5</v>
      </c>
      <c r="M1038" t="s">
        <v>5519</v>
      </c>
      <c r="N1038" t="s">
        <v>47</v>
      </c>
      <c r="O1038" t="s">
        <v>48</v>
      </c>
      <c r="P1038" t="s">
        <v>48</v>
      </c>
      <c r="Y1038" t="s">
        <v>5530</v>
      </c>
    </row>
    <row r="1039" spans="1:25">
      <c r="A1039" t="s">
        <v>5531</v>
      </c>
      <c r="B1039" t="s">
        <v>5532</v>
      </c>
      <c r="D1039" t="s">
        <v>40</v>
      </c>
      <c r="E1039" t="s">
        <v>41</v>
      </c>
      <c r="G1039" t="s">
        <v>5533</v>
      </c>
      <c r="H1039" t="s">
        <v>5534</v>
      </c>
      <c r="J1039" t="s">
        <v>44</v>
      </c>
      <c r="K1039" t="s">
        <v>45</v>
      </c>
      <c r="L1039">
        <v>5</v>
      </c>
      <c r="M1039" t="s">
        <v>5535</v>
      </c>
      <c r="N1039" t="s">
        <v>47</v>
      </c>
      <c r="O1039" t="s">
        <v>48</v>
      </c>
      <c r="P1039" t="s">
        <v>48</v>
      </c>
      <c r="Y1039" t="s">
        <v>5536</v>
      </c>
    </row>
    <row r="1040" spans="1:25">
      <c r="A1040" t="s">
        <v>5537</v>
      </c>
      <c r="B1040" t="s">
        <v>5538</v>
      </c>
      <c r="D1040" t="s">
        <v>40</v>
      </c>
      <c r="E1040" t="s">
        <v>41</v>
      </c>
      <c r="G1040" t="s">
        <v>5539</v>
      </c>
      <c r="H1040" t="s">
        <v>5540</v>
      </c>
      <c r="J1040" t="s">
        <v>54</v>
      </c>
      <c r="K1040" t="s">
        <v>55</v>
      </c>
      <c r="L1040">
        <v>5</v>
      </c>
      <c r="M1040" t="s">
        <v>5535</v>
      </c>
      <c r="N1040" t="s">
        <v>47</v>
      </c>
      <c r="O1040" t="s">
        <v>48</v>
      </c>
      <c r="P1040" t="s">
        <v>48</v>
      </c>
      <c r="Y1040" t="s">
        <v>5541</v>
      </c>
    </row>
    <row r="1041" spans="1:25">
      <c r="A1041" t="s">
        <v>5542</v>
      </c>
      <c r="B1041" t="s">
        <v>5543</v>
      </c>
      <c r="D1041" t="s">
        <v>40</v>
      </c>
      <c r="E1041" t="s">
        <v>41</v>
      </c>
      <c r="G1041" t="s">
        <v>792</v>
      </c>
      <c r="H1041" t="s">
        <v>143</v>
      </c>
      <c r="J1041" t="s">
        <v>90</v>
      </c>
      <c r="K1041" t="s">
        <v>91</v>
      </c>
      <c r="L1041">
        <v>5</v>
      </c>
      <c r="M1041" t="s">
        <v>5535</v>
      </c>
      <c r="N1041" t="s">
        <v>47</v>
      </c>
      <c r="O1041" t="s">
        <v>48</v>
      </c>
      <c r="P1041" t="s">
        <v>48</v>
      </c>
      <c r="Y1041" t="s">
        <v>5544</v>
      </c>
    </row>
    <row r="1042" spans="1:25">
      <c r="A1042" t="s">
        <v>5545</v>
      </c>
      <c r="B1042" t="s">
        <v>5546</v>
      </c>
      <c r="D1042" t="s">
        <v>40</v>
      </c>
      <c r="E1042" t="s">
        <v>41</v>
      </c>
      <c r="G1042" t="s">
        <v>5547</v>
      </c>
      <c r="H1042" t="s">
        <v>5548</v>
      </c>
      <c r="J1042" t="s">
        <v>133</v>
      </c>
      <c r="K1042" t="s">
        <v>134</v>
      </c>
      <c r="L1042">
        <v>5</v>
      </c>
      <c r="M1042" t="s">
        <v>5549</v>
      </c>
      <c r="N1042" t="s">
        <v>135</v>
      </c>
      <c r="O1042" t="s">
        <v>48</v>
      </c>
      <c r="P1042" t="s">
        <v>48</v>
      </c>
      <c r="Y1042" t="s">
        <v>5550</v>
      </c>
    </row>
    <row r="1043" spans="1:25">
      <c r="A1043" t="s">
        <v>5551</v>
      </c>
      <c r="B1043" t="s">
        <v>5552</v>
      </c>
      <c r="D1043" t="s">
        <v>40</v>
      </c>
      <c r="E1043" t="s">
        <v>41</v>
      </c>
      <c r="G1043" t="s">
        <v>5553</v>
      </c>
      <c r="H1043" t="s">
        <v>5554</v>
      </c>
      <c r="J1043" t="s">
        <v>78</v>
      </c>
      <c r="K1043" t="s">
        <v>79</v>
      </c>
      <c r="L1043">
        <v>5</v>
      </c>
      <c r="M1043" t="s">
        <v>5549</v>
      </c>
      <c r="N1043" t="s">
        <v>47</v>
      </c>
      <c r="O1043" t="s">
        <v>48</v>
      </c>
      <c r="P1043" t="s">
        <v>48</v>
      </c>
      <c r="Y1043" t="s">
        <v>5555</v>
      </c>
    </row>
    <row r="1044" spans="1:25">
      <c r="A1044" t="s">
        <v>5556</v>
      </c>
      <c r="B1044" t="s">
        <v>5557</v>
      </c>
      <c r="D1044" t="s">
        <v>40</v>
      </c>
      <c r="E1044" t="s">
        <v>41</v>
      </c>
      <c r="G1044" t="s">
        <v>5558</v>
      </c>
      <c r="H1044" t="s">
        <v>5559</v>
      </c>
      <c r="J1044" t="s">
        <v>44</v>
      </c>
      <c r="K1044" t="s">
        <v>45</v>
      </c>
      <c r="L1044">
        <v>5</v>
      </c>
      <c r="M1044" t="s">
        <v>5560</v>
      </c>
      <c r="N1044" t="s">
        <v>47</v>
      </c>
      <c r="O1044" t="s">
        <v>48</v>
      </c>
      <c r="P1044" t="s">
        <v>48</v>
      </c>
      <c r="Y1044" t="s">
        <v>5561</v>
      </c>
    </row>
    <row r="1045" spans="1:25">
      <c r="A1045" t="s">
        <v>5562</v>
      </c>
      <c r="B1045" t="s">
        <v>5563</v>
      </c>
      <c r="D1045" t="s">
        <v>40</v>
      </c>
      <c r="E1045" t="s">
        <v>41</v>
      </c>
      <c r="G1045" t="s">
        <v>5564</v>
      </c>
      <c r="H1045" t="s">
        <v>5565</v>
      </c>
      <c r="J1045" t="s">
        <v>44</v>
      </c>
      <c r="K1045" t="s">
        <v>45</v>
      </c>
      <c r="L1045">
        <v>5</v>
      </c>
      <c r="M1045" t="s">
        <v>5560</v>
      </c>
      <c r="N1045" t="s">
        <v>47</v>
      </c>
      <c r="O1045" t="s">
        <v>48</v>
      </c>
      <c r="P1045" t="s">
        <v>48</v>
      </c>
      <c r="Y1045" t="s">
        <v>5566</v>
      </c>
    </row>
    <row r="1046" spans="1:25">
      <c r="A1046" t="s">
        <v>5567</v>
      </c>
      <c r="B1046" t="s">
        <v>5568</v>
      </c>
      <c r="D1046" t="s">
        <v>40</v>
      </c>
      <c r="E1046" t="s">
        <v>41</v>
      </c>
      <c r="G1046" t="s">
        <v>5569</v>
      </c>
      <c r="H1046" t="s">
        <v>5570</v>
      </c>
      <c r="J1046" t="s">
        <v>133</v>
      </c>
      <c r="K1046" t="s">
        <v>134</v>
      </c>
      <c r="L1046">
        <v>5</v>
      </c>
      <c r="M1046" t="s">
        <v>5571</v>
      </c>
      <c r="N1046" t="s">
        <v>685</v>
      </c>
      <c r="O1046" t="s">
        <v>48</v>
      </c>
      <c r="P1046" t="s">
        <v>48</v>
      </c>
      <c r="Y1046" t="s">
        <v>5572</v>
      </c>
    </row>
    <row r="1047" spans="1:25">
      <c r="A1047" t="s">
        <v>5573</v>
      </c>
      <c r="B1047" t="s">
        <v>5574</v>
      </c>
      <c r="D1047" t="s">
        <v>40</v>
      </c>
      <c r="E1047" t="s">
        <v>41</v>
      </c>
      <c r="G1047" t="s">
        <v>5575</v>
      </c>
      <c r="H1047" t="s">
        <v>5576</v>
      </c>
      <c r="J1047" t="s">
        <v>54</v>
      </c>
      <c r="K1047" t="s">
        <v>55</v>
      </c>
      <c r="L1047">
        <v>5</v>
      </c>
      <c r="M1047" t="s">
        <v>5577</v>
      </c>
      <c r="N1047" t="s">
        <v>47</v>
      </c>
      <c r="O1047" t="s">
        <v>48</v>
      </c>
      <c r="P1047" t="s">
        <v>48</v>
      </c>
      <c r="Y1047" t="s">
        <v>5578</v>
      </c>
    </row>
    <row r="1048" spans="1:25">
      <c r="A1048" t="s">
        <v>5579</v>
      </c>
      <c r="B1048" t="s">
        <v>5580</v>
      </c>
      <c r="D1048" t="s">
        <v>40</v>
      </c>
      <c r="E1048" t="s">
        <v>41</v>
      </c>
      <c r="G1048" t="s">
        <v>5581</v>
      </c>
      <c r="H1048" t="s">
        <v>5582</v>
      </c>
      <c r="J1048" t="s">
        <v>353</v>
      </c>
      <c r="K1048" t="s">
        <v>354</v>
      </c>
      <c r="L1048">
        <v>5</v>
      </c>
      <c r="M1048" t="s">
        <v>5577</v>
      </c>
      <c r="N1048" t="s">
        <v>685</v>
      </c>
      <c r="O1048" t="s">
        <v>48</v>
      </c>
      <c r="P1048" t="s">
        <v>48</v>
      </c>
      <c r="Y1048" t="s">
        <v>5583</v>
      </c>
    </row>
    <row r="1049" spans="1:25">
      <c r="A1049" t="s">
        <v>5584</v>
      </c>
      <c r="B1049" t="s">
        <v>5585</v>
      </c>
      <c r="D1049" t="s">
        <v>40</v>
      </c>
      <c r="E1049" t="s">
        <v>41</v>
      </c>
      <c r="G1049" t="s">
        <v>5586</v>
      </c>
      <c r="H1049" t="s">
        <v>5587</v>
      </c>
      <c r="J1049" t="s">
        <v>90</v>
      </c>
      <c r="K1049" t="s">
        <v>91</v>
      </c>
      <c r="L1049">
        <v>5</v>
      </c>
      <c r="M1049" t="s">
        <v>5588</v>
      </c>
      <c r="N1049" t="s">
        <v>47</v>
      </c>
      <c r="O1049" t="s">
        <v>48</v>
      </c>
      <c r="P1049" t="s">
        <v>48</v>
      </c>
      <c r="Y1049" t="s">
        <v>5589</v>
      </c>
    </row>
    <row r="1050" spans="1:25">
      <c r="A1050" t="s">
        <v>5590</v>
      </c>
      <c r="B1050" t="s">
        <v>5591</v>
      </c>
      <c r="D1050" t="s">
        <v>40</v>
      </c>
      <c r="E1050" t="s">
        <v>41</v>
      </c>
      <c r="G1050" t="s">
        <v>5592</v>
      </c>
      <c r="H1050" t="s">
        <v>5593</v>
      </c>
      <c r="J1050" t="s">
        <v>133</v>
      </c>
      <c r="K1050" t="s">
        <v>134</v>
      </c>
      <c r="L1050">
        <v>5</v>
      </c>
      <c r="M1050" t="s">
        <v>5588</v>
      </c>
      <c r="N1050" t="s">
        <v>685</v>
      </c>
      <c r="O1050" t="s">
        <v>48</v>
      </c>
      <c r="P1050" t="s">
        <v>48</v>
      </c>
      <c r="Y1050" t="s">
        <v>5594</v>
      </c>
    </row>
    <row r="1051" spans="1:25">
      <c r="A1051" t="s">
        <v>5595</v>
      </c>
      <c r="B1051" t="s">
        <v>5596</v>
      </c>
      <c r="D1051" t="s">
        <v>40</v>
      </c>
      <c r="E1051" t="s">
        <v>41</v>
      </c>
      <c r="G1051" t="s">
        <v>5597</v>
      </c>
      <c r="H1051" t="s">
        <v>5598</v>
      </c>
      <c r="J1051" t="s">
        <v>90</v>
      </c>
      <c r="K1051" t="s">
        <v>91</v>
      </c>
      <c r="L1051">
        <v>5</v>
      </c>
      <c r="M1051" t="s">
        <v>5599</v>
      </c>
      <c r="N1051" t="s">
        <v>47</v>
      </c>
      <c r="O1051" t="s">
        <v>48</v>
      </c>
      <c r="P1051" t="s">
        <v>48</v>
      </c>
      <c r="Y1051" t="s">
        <v>5600</v>
      </c>
    </row>
    <row r="1052" spans="1:25">
      <c r="A1052" t="s">
        <v>5601</v>
      </c>
      <c r="B1052" t="s">
        <v>5602</v>
      </c>
      <c r="D1052" t="s">
        <v>40</v>
      </c>
      <c r="E1052" t="s">
        <v>41</v>
      </c>
      <c r="G1052" t="s">
        <v>5603</v>
      </c>
      <c r="H1052" t="s">
        <v>5604</v>
      </c>
      <c r="J1052" t="s">
        <v>133</v>
      </c>
      <c r="K1052" t="s">
        <v>134</v>
      </c>
      <c r="L1052">
        <v>5</v>
      </c>
      <c r="M1052" t="s">
        <v>5599</v>
      </c>
      <c r="N1052" t="s">
        <v>135</v>
      </c>
      <c r="O1052" t="s">
        <v>48</v>
      </c>
      <c r="P1052" t="s">
        <v>48</v>
      </c>
      <c r="Y1052" t="s">
        <v>5605</v>
      </c>
    </row>
    <row r="1053" spans="1:25">
      <c r="A1053" t="s">
        <v>5606</v>
      </c>
      <c r="B1053" t="s">
        <v>5607</v>
      </c>
      <c r="D1053" t="s">
        <v>40</v>
      </c>
      <c r="E1053" t="s">
        <v>41</v>
      </c>
      <c r="G1053" t="s">
        <v>671</v>
      </c>
      <c r="H1053" t="s">
        <v>5608</v>
      </c>
      <c r="J1053" t="s">
        <v>78</v>
      </c>
      <c r="K1053" t="s">
        <v>79</v>
      </c>
      <c r="L1053">
        <v>5</v>
      </c>
      <c r="M1053" t="s">
        <v>5599</v>
      </c>
      <c r="N1053" t="s">
        <v>47</v>
      </c>
      <c r="O1053" t="s">
        <v>48</v>
      </c>
      <c r="P1053" t="s">
        <v>48</v>
      </c>
      <c r="Y1053" t="s">
        <v>5609</v>
      </c>
    </row>
    <row r="1054" spans="1:25">
      <c r="A1054" t="s">
        <v>5610</v>
      </c>
      <c r="B1054" t="s">
        <v>5611</v>
      </c>
      <c r="D1054" t="s">
        <v>40</v>
      </c>
      <c r="E1054" t="s">
        <v>41</v>
      </c>
      <c r="G1054" t="s">
        <v>1580</v>
      </c>
      <c r="H1054" t="s">
        <v>3365</v>
      </c>
      <c r="J1054" t="s">
        <v>78</v>
      </c>
      <c r="K1054" t="s">
        <v>79</v>
      </c>
      <c r="L1054">
        <v>5</v>
      </c>
      <c r="M1054" t="s">
        <v>5612</v>
      </c>
      <c r="N1054" t="s">
        <v>47</v>
      </c>
      <c r="O1054" t="s">
        <v>48</v>
      </c>
      <c r="P1054" t="s">
        <v>48</v>
      </c>
      <c r="Y1054" t="s">
        <v>5613</v>
      </c>
    </row>
    <row r="1055" spans="1:25">
      <c r="A1055" t="s">
        <v>5614</v>
      </c>
      <c r="B1055" t="s">
        <v>5615</v>
      </c>
      <c r="D1055" t="s">
        <v>40</v>
      </c>
      <c r="E1055" t="s">
        <v>41</v>
      </c>
      <c r="G1055" t="s">
        <v>5616</v>
      </c>
      <c r="H1055" t="s">
        <v>5617</v>
      </c>
      <c r="J1055" t="s">
        <v>497</v>
      </c>
      <c r="K1055" t="s">
        <v>498</v>
      </c>
      <c r="L1055">
        <v>5</v>
      </c>
      <c r="M1055" t="s">
        <v>5618</v>
      </c>
      <c r="N1055" t="s">
        <v>290</v>
      </c>
      <c r="O1055" t="s">
        <v>48</v>
      </c>
      <c r="P1055" t="s">
        <v>48</v>
      </c>
      <c r="Y1055" t="s">
        <v>5619</v>
      </c>
    </row>
    <row r="1056" spans="1:25">
      <c r="A1056" t="s">
        <v>5620</v>
      </c>
      <c r="B1056" t="s">
        <v>5621</v>
      </c>
      <c r="D1056" t="s">
        <v>40</v>
      </c>
      <c r="E1056" t="s">
        <v>41</v>
      </c>
      <c r="J1056" t="s">
        <v>44</v>
      </c>
      <c r="K1056" t="s">
        <v>45</v>
      </c>
      <c r="L1056">
        <v>5</v>
      </c>
      <c r="M1056" t="s">
        <v>5622</v>
      </c>
      <c r="N1056" t="s">
        <v>47</v>
      </c>
      <c r="O1056" t="s">
        <v>48</v>
      </c>
      <c r="P1056" t="s">
        <v>48</v>
      </c>
      <c r="Y1056" t="s">
        <v>5623</v>
      </c>
    </row>
    <row r="1057" spans="1:25">
      <c r="A1057" t="s">
        <v>5624</v>
      </c>
      <c r="B1057" t="s">
        <v>5625</v>
      </c>
      <c r="D1057" t="s">
        <v>40</v>
      </c>
      <c r="E1057" t="s">
        <v>41</v>
      </c>
      <c r="G1057" t="s">
        <v>213</v>
      </c>
      <c r="H1057" t="s">
        <v>1610</v>
      </c>
      <c r="J1057" t="s">
        <v>90</v>
      </c>
      <c r="K1057" t="s">
        <v>91</v>
      </c>
      <c r="L1057">
        <v>5</v>
      </c>
      <c r="M1057" t="s">
        <v>5626</v>
      </c>
      <c r="N1057" t="s">
        <v>47</v>
      </c>
      <c r="O1057" t="s">
        <v>48</v>
      </c>
      <c r="P1057" t="s">
        <v>48</v>
      </c>
      <c r="Y1057" t="s">
        <v>5627</v>
      </c>
    </row>
    <row r="1058" spans="1:25">
      <c r="A1058" t="s">
        <v>5628</v>
      </c>
      <c r="B1058" t="s">
        <v>5629</v>
      </c>
      <c r="D1058" t="s">
        <v>40</v>
      </c>
      <c r="E1058" t="s">
        <v>41</v>
      </c>
      <c r="G1058" t="s">
        <v>3567</v>
      </c>
      <c r="H1058" t="s">
        <v>5630</v>
      </c>
      <c r="J1058" t="s">
        <v>54</v>
      </c>
      <c r="K1058" t="s">
        <v>55</v>
      </c>
      <c r="L1058">
        <v>5</v>
      </c>
      <c r="M1058" t="s">
        <v>5631</v>
      </c>
      <c r="N1058" t="s">
        <v>47</v>
      </c>
      <c r="O1058" t="s">
        <v>48</v>
      </c>
      <c r="P1058" t="s">
        <v>48</v>
      </c>
      <c r="Y1058" t="s">
        <v>5632</v>
      </c>
    </row>
    <row r="1059" spans="1:25">
      <c r="A1059" t="s">
        <v>5633</v>
      </c>
      <c r="B1059" t="s">
        <v>5634</v>
      </c>
      <c r="D1059" t="s">
        <v>40</v>
      </c>
      <c r="E1059" t="s">
        <v>41</v>
      </c>
      <c r="G1059" t="s">
        <v>5635</v>
      </c>
      <c r="H1059" t="s">
        <v>5636</v>
      </c>
      <c r="J1059" t="s">
        <v>541</v>
      </c>
      <c r="K1059" t="s">
        <v>542</v>
      </c>
      <c r="L1059">
        <v>5</v>
      </c>
      <c r="M1059" t="s">
        <v>5637</v>
      </c>
      <c r="N1059" t="s">
        <v>685</v>
      </c>
      <c r="O1059" t="s">
        <v>48</v>
      </c>
      <c r="P1059" t="s">
        <v>48</v>
      </c>
      <c r="Y1059" t="s">
        <v>5638</v>
      </c>
    </row>
    <row r="1060" spans="1:25">
      <c r="A1060" t="s">
        <v>5639</v>
      </c>
      <c r="B1060" t="s">
        <v>5640</v>
      </c>
      <c r="D1060" t="s">
        <v>40</v>
      </c>
      <c r="E1060" t="s">
        <v>41</v>
      </c>
      <c r="G1060" t="s">
        <v>4135</v>
      </c>
      <c r="H1060" t="s">
        <v>5641</v>
      </c>
      <c r="J1060" t="s">
        <v>90</v>
      </c>
      <c r="K1060" t="s">
        <v>91</v>
      </c>
      <c r="L1060">
        <v>5</v>
      </c>
      <c r="M1060" t="s">
        <v>5642</v>
      </c>
      <c r="N1060" t="s">
        <v>47</v>
      </c>
      <c r="O1060" t="s">
        <v>48</v>
      </c>
      <c r="P1060" t="s">
        <v>48</v>
      </c>
      <c r="Y1060" t="s">
        <v>5643</v>
      </c>
    </row>
    <row r="1061" spans="1:25">
      <c r="A1061" t="s">
        <v>5644</v>
      </c>
      <c r="B1061" t="s">
        <v>5645</v>
      </c>
      <c r="D1061" t="s">
        <v>40</v>
      </c>
      <c r="E1061" t="s">
        <v>41</v>
      </c>
      <c r="G1061" t="s">
        <v>695</v>
      </c>
      <c r="H1061" t="s">
        <v>5646</v>
      </c>
      <c r="J1061" t="s">
        <v>90</v>
      </c>
      <c r="K1061" t="s">
        <v>91</v>
      </c>
      <c r="L1061">
        <v>5</v>
      </c>
      <c r="M1061" t="s">
        <v>5647</v>
      </c>
      <c r="N1061" t="s">
        <v>47</v>
      </c>
      <c r="O1061" t="s">
        <v>48</v>
      </c>
      <c r="P1061" t="s">
        <v>48</v>
      </c>
      <c r="Y1061" t="s">
        <v>5648</v>
      </c>
    </row>
    <row r="1062" spans="1:25">
      <c r="A1062" t="s">
        <v>5649</v>
      </c>
      <c r="B1062" t="s">
        <v>5650</v>
      </c>
      <c r="D1062" t="s">
        <v>40</v>
      </c>
      <c r="E1062" t="s">
        <v>41</v>
      </c>
      <c r="G1062" t="s">
        <v>5651</v>
      </c>
      <c r="H1062" t="s">
        <v>5652</v>
      </c>
      <c r="J1062" t="s">
        <v>44</v>
      </c>
      <c r="K1062" t="s">
        <v>45</v>
      </c>
      <c r="L1062">
        <v>5</v>
      </c>
      <c r="M1062" t="s">
        <v>5653</v>
      </c>
      <c r="N1062" t="s">
        <v>47</v>
      </c>
      <c r="O1062" t="s">
        <v>48</v>
      </c>
      <c r="P1062" t="s">
        <v>48</v>
      </c>
      <c r="Y1062" t="s">
        <v>5654</v>
      </c>
    </row>
    <row r="1063" spans="1:25">
      <c r="A1063" t="s">
        <v>5655</v>
      </c>
      <c r="B1063" t="s">
        <v>5656</v>
      </c>
      <c r="D1063" t="s">
        <v>40</v>
      </c>
      <c r="E1063" t="s">
        <v>41</v>
      </c>
      <c r="G1063" t="s">
        <v>5657</v>
      </c>
      <c r="H1063" t="s">
        <v>5658</v>
      </c>
      <c r="J1063" t="s">
        <v>133</v>
      </c>
      <c r="K1063" t="s">
        <v>134</v>
      </c>
      <c r="L1063">
        <v>5</v>
      </c>
      <c r="M1063" t="s">
        <v>5653</v>
      </c>
      <c r="N1063" t="s">
        <v>135</v>
      </c>
      <c r="O1063" t="s">
        <v>48</v>
      </c>
      <c r="P1063" t="s">
        <v>48</v>
      </c>
      <c r="Y1063" t="s">
        <v>5659</v>
      </c>
    </row>
    <row r="1064" spans="1:25">
      <c r="A1064" t="s">
        <v>5660</v>
      </c>
      <c r="B1064" t="s">
        <v>5661</v>
      </c>
      <c r="D1064" t="s">
        <v>40</v>
      </c>
      <c r="E1064" t="s">
        <v>41</v>
      </c>
      <c r="G1064" t="s">
        <v>810</v>
      </c>
      <c r="H1064" t="s">
        <v>447</v>
      </c>
      <c r="J1064" t="s">
        <v>353</v>
      </c>
      <c r="K1064" t="s">
        <v>354</v>
      </c>
      <c r="L1064">
        <v>5</v>
      </c>
      <c r="M1064" t="s">
        <v>5662</v>
      </c>
      <c r="N1064" t="s">
        <v>685</v>
      </c>
      <c r="O1064" t="s">
        <v>48</v>
      </c>
      <c r="P1064" t="s">
        <v>48</v>
      </c>
      <c r="Y1064" t="s">
        <v>5663</v>
      </c>
    </row>
    <row r="1065" spans="1:25">
      <c r="A1065" t="s">
        <v>5664</v>
      </c>
      <c r="B1065" t="s">
        <v>5665</v>
      </c>
      <c r="D1065" t="s">
        <v>40</v>
      </c>
      <c r="E1065" t="s">
        <v>41</v>
      </c>
      <c r="G1065" t="s">
        <v>5666</v>
      </c>
      <c r="H1065" t="s">
        <v>5667</v>
      </c>
      <c r="J1065" t="s">
        <v>54</v>
      </c>
      <c r="K1065" t="s">
        <v>55</v>
      </c>
      <c r="L1065">
        <v>5</v>
      </c>
      <c r="M1065" t="s">
        <v>5668</v>
      </c>
      <c r="N1065" t="s">
        <v>47</v>
      </c>
      <c r="O1065" t="s">
        <v>48</v>
      </c>
      <c r="P1065" t="s">
        <v>48</v>
      </c>
      <c r="Y1065" t="s">
        <v>5669</v>
      </c>
    </row>
    <row r="1066" spans="1:25">
      <c r="A1066" t="s">
        <v>5670</v>
      </c>
      <c r="B1066" t="s">
        <v>5671</v>
      </c>
      <c r="D1066" t="s">
        <v>40</v>
      </c>
      <c r="E1066" t="s">
        <v>41</v>
      </c>
      <c r="G1066" t="s">
        <v>5672</v>
      </c>
      <c r="H1066" t="s">
        <v>1719</v>
      </c>
      <c r="J1066" t="s">
        <v>54</v>
      </c>
      <c r="K1066" t="s">
        <v>55</v>
      </c>
      <c r="L1066">
        <v>5</v>
      </c>
      <c r="M1066" t="s">
        <v>5673</v>
      </c>
      <c r="N1066" t="s">
        <v>47</v>
      </c>
      <c r="O1066" t="s">
        <v>48</v>
      </c>
      <c r="P1066" t="s">
        <v>48</v>
      </c>
      <c r="Y1066" t="s">
        <v>5674</v>
      </c>
    </row>
    <row r="1067" spans="1:25">
      <c r="A1067" t="s">
        <v>5675</v>
      </c>
      <c r="B1067" t="s">
        <v>5676</v>
      </c>
      <c r="D1067" t="s">
        <v>40</v>
      </c>
      <c r="E1067" t="s">
        <v>41</v>
      </c>
      <c r="G1067" t="s">
        <v>5677</v>
      </c>
      <c r="H1067" t="s">
        <v>5678</v>
      </c>
      <c r="J1067" t="s">
        <v>90</v>
      </c>
      <c r="K1067" t="s">
        <v>91</v>
      </c>
      <c r="L1067">
        <v>5</v>
      </c>
      <c r="M1067" t="s">
        <v>5679</v>
      </c>
      <c r="N1067" t="s">
        <v>47</v>
      </c>
      <c r="O1067" t="s">
        <v>48</v>
      </c>
      <c r="P1067" t="s">
        <v>48</v>
      </c>
      <c r="Y1067" t="s">
        <v>5680</v>
      </c>
    </row>
    <row r="1068" spans="1:25">
      <c r="A1068" t="s">
        <v>5681</v>
      </c>
      <c r="B1068" t="s">
        <v>5682</v>
      </c>
      <c r="D1068" t="s">
        <v>40</v>
      </c>
      <c r="E1068" t="s">
        <v>41</v>
      </c>
      <c r="G1068" t="s">
        <v>5683</v>
      </c>
      <c r="H1068" t="s">
        <v>5684</v>
      </c>
      <c r="J1068" t="s">
        <v>90</v>
      </c>
      <c r="K1068" t="s">
        <v>91</v>
      </c>
      <c r="L1068">
        <v>5</v>
      </c>
      <c r="M1068" t="s">
        <v>5685</v>
      </c>
      <c r="N1068" t="s">
        <v>47</v>
      </c>
      <c r="O1068" t="s">
        <v>48</v>
      </c>
      <c r="P1068" t="s">
        <v>48</v>
      </c>
      <c r="Y1068" t="s">
        <v>5686</v>
      </c>
    </row>
    <row r="1069" spans="1:25">
      <c r="A1069" t="s">
        <v>5687</v>
      </c>
      <c r="B1069" t="s">
        <v>5688</v>
      </c>
      <c r="D1069" t="s">
        <v>40</v>
      </c>
      <c r="E1069" t="s">
        <v>41</v>
      </c>
      <c r="G1069" t="s">
        <v>5689</v>
      </c>
      <c r="H1069" t="s">
        <v>5075</v>
      </c>
      <c r="J1069" t="s">
        <v>54</v>
      </c>
      <c r="K1069" t="s">
        <v>55</v>
      </c>
      <c r="L1069">
        <v>5</v>
      </c>
      <c r="M1069" t="s">
        <v>5690</v>
      </c>
      <c r="N1069" t="s">
        <v>47</v>
      </c>
      <c r="O1069" t="s">
        <v>48</v>
      </c>
      <c r="P1069" t="s">
        <v>48</v>
      </c>
      <c r="Y1069" t="s">
        <v>5691</v>
      </c>
    </row>
    <row r="1070" spans="1:25">
      <c r="A1070" t="s">
        <v>5692</v>
      </c>
      <c r="B1070" t="s">
        <v>5693</v>
      </c>
      <c r="D1070" t="s">
        <v>40</v>
      </c>
      <c r="E1070" t="s">
        <v>41</v>
      </c>
      <c r="G1070" t="s">
        <v>5694</v>
      </c>
      <c r="H1070" t="s">
        <v>5695</v>
      </c>
      <c r="J1070" t="s">
        <v>44</v>
      </c>
      <c r="K1070" t="s">
        <v>45</v>
      </c>
      <c r="L1070">
        <v>5</v>
      </c>
      <c r="M1070" t="s">
        <v>5690</v>
      </c>
      <c r="N1070" t="s">
        <v>47</v>
      </c>
      <c r="O1070" t="s">
        <v>48</v>
      </c>
      <c r="P1070" t="s">
        <v>48</v>
      </c>
      <c r="Y1070" t="s">
        <v>5696</v>
      </c>
    </row>
    <row r="1071" spans="1:25">
      <c r="A1071" t="s">
        <v>5697</v>
      </c>
      <c r="B1071" t="s">
        <v>5698</v>
      </c>
      <c r="D1071" t="s">
        <v>40</v>
      </c>
      <c r="E1071" t="s">
        <v>41</v>
      </c>
      <c r="G1071" t="s">
        <v>5699</v>
      </c>
      <c r="H1071" t="s">
        <v>5700</v>
      </c>
      <c r="J1071" t="s">
        <v>54</v>
      </c>
      <c r="K1071" t="s">
        <v>55</v>
      </c>
      <c r="L1071">
        <v>5</v>
      </c>
      <c r="M1071" t="s">
        <v>5701</v>
      </c>
      <c r="N1071" t="s">
        <v>47</v>
      </c>
      <c r="O1071" t="s">
        <v>48</v>
      </c>
      <c r="P1071" t="s">
        <v>48</v>
      </c>
      <c r="Y1071" t="s">
        <v>5702</v>
      </c>
    </row>
    <row r="1072" spans="1:25">
      <c r="A1072" t="s">
        <v>5703</v>
      </c>
      <c r="B1072" t="s">
        <v>5704</v>
      </c>
      <c r="D1072" t="s">
        <v>40</v>
      </c>
      <c r="E1072" t="s">
        <v>41</v>
      </c>
      <c r="G1072" t="s">
        <v>5705</v>
      </c>
      <c r="H1072" t="s">
        <v>5706</v>
      </c>
      <c r="J1072" t="s">
        <v>371</v>
      </c>
      <c r="K1072" t="s">
        <v>372</v>
      </c>
      <c r="L1072">
        <v>5</v>
      </c>
      <c r="M1072" t="s">
        <v>5707</v>
      </c>
      <c r="N1072" t="s">
        <v>47</v>
      </c>
      <c r="O1072" t="s">
        <v>48</v>
      </c>
      <c r="P1072" t="s">
        <v>48</v>
      </c>
      <c r="Y1072" t="s">
        <v>5708</v>
      </c>
    </row>
    <row r="1073" spans="1:25">
      <c r="A1073" t="s">
        <v>5709</v>
      </c>
      <c r="B1073" t="s">
        <v>5710</v>
      </c>
      <c r="D1073" t="s">
        <v>40</v>
      </c>
      <c r="E1073" t="s">
        <v>41</v>
      </c>
      <c r="G1073" t="s">
        <v>5711</v>
      </c>
      <c r="H1073" t="s">
        <v>5712</v>
      </c>
      <c r="J1073" t="s">
        <v>90</v>
      </c>
      <c r="K1073" t="s">
        <v>91</v>
      </c>
      <c r="L1073">
        <v>5</v>
      </c>
      <c r="M1073" t="s">
        <v>5707</v>
      </c>
      <c r="N1073" t="s">
        <v>47</v>
      </c>
      <c r="O1073" t="s">
        <v>48</v>
      </c>
      <c r="P1073" t="s">
        <v>48</v>
      </c>
      <c r="Y1073" t="s">
        <v>5713</v>
      </c>
    </row>
    <row r="1074" spans="1:25">
      <c r="A1074" t="s">
        <v>5714</v>
      </c>
      <c r="B1074" t="s">
        <v>5715</v>
      </c>
      <c r="D1074" t="s">
        <v>40</v>
      </c>
      <c r="E1074" t="s">
        <v>41</v>
      </c>
      <c r="G1074" t="s">
        <v>5716</v>
      </c>
      <c r="H1074" t="s">
        <v>5717</v>
      </c>
      <c r="J1074" t="s">
        <v>371</v>
      </c>
      <c r="K1074" t="s">
        <v>372</v>
      </c>
      <c r="L1074">
        <v>5</v>
      </c>
      <c r="M1074" t="s">
        <v>5707</v>
      </c>
      <c r="N1074" t="s">
        <v>47</v>
      </c>
      <c r="O1074" t="s">
        <v>48</v>
      </c>
      <c r="P1074" t="s">
        <v>48</v>
      </c>
      <c r="Y1074" t="s">
        <v>5718</v>
      </c>
    </row>
    <row r="1075" spans="1:25">
      <c r="A1075" t="s">
        <v>5719</v>
      </c>
      <c r="B1075" t="s">
        <v>5720</v>
      </c>
      <c r="D1075" t="s">
        <v>40</v>
      </c>
      <c r="E1075" t="s">
        <v>41</v>
      </c>
      <c r="G1075" t="s">
        <v>5721</v>
      </c>
      <c r="H1075" t="s">
        <v>306</v>
      </c>
      <c r="J1075" t="s">
        <v>54</v>
      </c>
      <c r="K1075" t="s">
        <v>55</v>
      </c>
      <c r="L1075">
        <v>5</v>
      </c>
      <c r="M1075" t="s">
        <v>5707</v>
      </c>
      <c r="N1075" t="s">
        <v>47</v>
      </c>
      <c r="O1075" t="s">
        <v>48</v>
      </c>
      <c r="P1075" t="s">
        <v>48</v>
      </c>
      <c r="Y1075" t="s">
        <v>5722</v>
      </c>
    </row>
    <row r="1076" spans="1:25">
      <c r="A1076" t="s">
        <v>5723</v>
      </c>
      <c r="B1076" t="s">
        <v>5724</v>
      </c>
      <c r="D1076" t="s">
        <v>40</v>
      </c>
      <c r="E1076" t="s">
        <v>41</v>
      </c>
      <c r="G1076" t="s">
        <v>5725</v>
      </c>
      <c r="H1076" t="s">
        <v>5726</v>
      </c>
      <c r="J1076" t="s">
        <v>90</v>
      </c>
      <c r="K1076" t="s">
        <v>91</v>
      </c>
      <c r="L1076">
        <v>5</v>
      </c>
      <c r="M1076" t="s">
        <v>5727</v>
      </c>
      <c r="N1076" t="s">
        <v>47</v>
      </c>
      <c r="O1076" t="s">
        <v>48</v>
      </c>
      <c r="P1076" t="s">
        <v>48</v>
      </c>
      <c r="Y1076" t="s">
        <v>5728</v>
      </c>
    </row>
    <row r="1077" spans="1:25">
      <c r="A1077" t="s">
        <v>5729</v>
      </c>
      <c r="B1077" t="s">
        <v>5730</v>
      </c>
      <c r="D1077" t="s">
        <v>40</v>
      </c>
      <c r="E1077" t="s">
        <v>41</v>
      </c>
      <c r="G1077" t="s">
        <v>1679</v>
      </c>
      <c r="H1077" t="s">
        <v>5731</v>
      </c>
      <c r="J1077" t="s">
        <v>44</v>
      </c>
      <c r="K1077" t="s">
        <v>45</v>
      </c>
      <c r="L1077">
        <v>5</v>
      </c>
      <c r="M1077" t="s">
        <v>5732</v>
      </c>
      <c r="N1077" t="s">
        <v>47</v>
      </c>
      <c r="O1077" t="s">
        <v>48</v>
      </c>
      <c r="P1077" t="s">
        <v>48</v>
      </c>
      <c r="Y1077" t="s">
        <v>5733</v>
      </c>
    </row>
    <row r="1078" spans="1:25">
      <c r="A1078" t="s">
        <v>5734</v>
      </c>
      <c r="B1078" t="s">
        <v>5735</v>
      </c>
      <c r="D1078" t="s">
        <v>40</v>
      </c>
      <c r="E1078" t="s">
        <v>41</v>
      </c>
      <c r="G1078" t="s">
        <v>5736</v>
      </c>
      <c r="H1078" t="s">
        <v>5737</v>
      </c>
      <c r="J1078" t="s">
        <v>54</v>
      </c>
      <c r="K1078" t="s">
        <v>55</v>
      </c>
      <c r="L1078">
        <v>5</v>
      </c>
      <c r="M1078" t="s">
        <v>5738</v>
      </c>
      <c r="N1078" t="s">
        <v>47</v>
      </c>
      <c r="O1078" t="s">
        <v>48</v>
      </c>
      <c r="P1078" t="s">
        <v>48</v>
      </c>
      <c r="Y1078" t="s">
        <v>5739</v>
      </c>
    </row>
    <row r="1079" spans="1:25">
      <c r="A1079" t="s">
        <v>5740</v>
      </c>
      <c r="B1079" t="s">
        <v>5741</v>
      </c>
      <c r="D1079" t="s">
        <v>40</v>
      </c>
      <c r="E1079" t="s">
        <v>41</v>
      </c>
      <c r="G1079" t="s">
        <v>1826</v>
      </c>
      <c r="H1079" t="s">
        <v>3701</v>
      </c>
      <c r="J1079" t="s">
        <v>90</v>
      </c>
      <c r="K1079" t="s">
        <v>91</v>
      </c>
      <c r="L1079">
        <v>5</v>
      </c>
      <c r="M1079" t="s">
        <v>5738</v>
      </c>
      <c r="N1079" t="s">
        <v>47</v>
      </c>
      <c r="O1079" t="s">
        <v>48</v>
      </c>
      <c r="P1079" t="s">
        <v>48</v>
      </c>
      <c r="Y1079" t="s">
        <v>5742</v>
      </c>
    </row>
    <row r="1080" spans="1:25">
      <c r="A1080" t="s">
        <v>5743</v>
      </c>
      <c r="B1080" t="s">
        <v>5744</v>
      </c>
      <c r="D1080" t="s">
        <v>40</v>
      </c>
      <c r="E1080" t="s">
        <v>41</v>
      </c>
      <c r="G1080" t="s">
        <v>5745</v>
      </c>
      <c r="H1080" t="s">
        <v>5746</v>
      </c>
      <c r="J1080" t="s">
        <v>54</v>
      </c>
      <c r="K1080" t="s">
        <v>55</v>
      </c>
      <c r="L1080">
        <v>5</v>
      </c>
      <c r="M1080" t="s">
        <v>5747</v>
      </c>
      <c r="N1080" t="s">
        <v>47</v>
      </c>
      <c r="O1080" t="s">
        <v>48</v>
      </c>
      <c r="P1080" t="s">
        <v>48</v>
      </c>
      <c r="Y1080" t="s">
        <v>5748</v>
      </c>
    </row>
    <row r="1081" spans="1:25">
      <c r="A1081" t="s">
        <v>5749</v>
      </c>
      <c r="B1081" t="s">
        <v>5750</v>
      </c>
      <c r="D1081" t="s">
        <v>40</v>
      </c>
      <c r="E1081" t="s">
        <v>41</v>
      </c>
      <c r="G1081" t="s">
        <v>5751</v>
      </c>
      <c r="H1081" t="s">
        <v>5752</v>
      </c>
      <c r="J1081" t="s">
        <v>44</v>
      </c>
      <c r="K1081" t="s">
        <v>45</v>
      </c>
      <c r="L1081">
        <v>5</v>
      </c>
      <c r="M1081" t="s">
        <v>5747</v>
      </c>
      <c r="N1081" t="s">
        <v>47</v>
      </c>
      <c r="O1081" t="s">
        <v>48</v>
      </c>
      <c r="P1081" t="s">
        <v>48</v>
      </c>
      <c r="Y1081" t="s">
        <v>5753</v>
      </c>
    </row>
    <row r="1082" spans="1:25">
      <c r="A1082" t="s">
        <v>5754</v>
      </c>
      <c r="B1082" t="s">
        <v>5755</v>
      </c>
      <c r="D1082" t="s">
        <v>40</v>
      </c>
      <c r="E1082" t="s">
        <v>41</v>
      </c>
      <c r="G1082" t="s">
        <v>5756</v>
      </c>
      <c r="H1082" t="s">
        <v>241</v>
      </c>
      <c r="J1082" t="s">
        <v>44</v>
      </c>
      <c r="K1082" t="s">
        <v>45</v>
      </c>
      <c r="L1082">
        <v>5</v>
      </c>
      <c r="M1082" t="s">
        <v>5747</v>
      </c>
      <c r="N1082" t="s">
        <v>47</v>
      </c>
      <c r="O1082" t="s">
        <v>48</v>
      </c>
      <c r="P1082" t="s">
        <v>48</v>
      </c>
      <c r="Y1082" t="s">
        <v>5757</v>
      </c>
    </row>
    <row r="1083" spans="1:25">
      <c r="A1083" t="s">
        <v>5758</v>
      </c>
      <c r="B1083" t="s">
        <v>5759</v>
      </c>
      <c r="D1083" t="s">
        <v>40</v>
      </c>
      <c r="E1083" t="s">
        <v>41</v>
      </c>
      <c r="G1083" t="s">
        <v>2409</v>
      </c>
      <c r="H1083" t="s">
        <v>5760</v>
      </c>
      <c r="J1083" t="s">
        <v>44</v>
      </c>
      <c r="K1083" t="s">
        <v>45</v>
      </c>
      <c r="L1083">
        <v>5</v>
      </c>
      <c r="M1083" t="s">
        <v>5747</v>
      </c>
      <c r="N1083" t="s">
        <v>47</v>
      </c>
      <c r="O1083" t="s">
        <v>48</v>
      </c>
      <c r="P1083" t="s">
        <v>48</v>
      </c>
      <c r="Y1083" t="s">
        <v>5761</v>
      </c>
    </row>
    <row r="1084" spans="1:25">
      <c r="A1084" t="s">
        <v>5762</v>
      </c>
      <c r="B1084" t="s">
        <v>5763</v>
      </c>
      <c r="D1084" t="s">
        <v>40</v>
      </c>
      <c r="E1084" t="s">
        <v>41</v>
      </c>
      <c r="J1084" t="s">
        <v>90</v>
      </c>
      <c r="K1084" t="s">
        <v>91</v>
      </c>
      <c r="L1084">
        <v>5</v>
      </c>
      <c r="M1084" t="s">
        <v>5764</v>
      </c>
      <c r="N1084" t="s">
        <v>47</v>
      </c>
      <c r="O1084" t="s">
        <v>48</v>
      </c>
      <c r="P1084" t="s">
        <v>48</v>
      </c>
      <c r="Y1084" t="s">
        <v>5765</v>
      </c>
    </row>
    <row r="1085" spans="1:25">
      <c r="A1085" t="s">
        <v>5766</v>
      </c>
      <c r="B1085" t="s">
        <v>5767</v>
      </c>
      <c r="D1085" t="s">
        <v>40</v>
      </c>
      <c r="E1085" t="s">
        <v>41</v>
      </c>
      <c r="J1085" t="s">
        <v>90</v>
      </c>
      <c r="K1085" t="s">
        <v>91</v>
      </c>
      <c r="L1085">
        <v>5</v>
      </c>
      <c r="M1085" t="s">
        <v>5764</v>
      </c>
      <c r="N1085" t="s">
        <v>47</v>
      </c>
      <c r="O1085" t="s">
        <v>48</v>
      </c>
      <c r="P1085" t="s">
        <v>48</v>
      </c>
      <c r="Y1085" t="s">
        <v>5768</v>
      </c>
    </row>
    <row r="1086" spans="1:25">
      <c r="A1086" t="s">
        <v>5769</v>
      </c>
      <c r="B1086" t="s">
        <v>5770</v>
      </c>
      <c r="D1086" t="s">
        <v>40</v>
      </c>
      <c r="E1086" t="s">
        <v>41</v>
      </c>
      <c r="G1086" t="s">
        <v>2273</v>
      </c>
      <c r="H1086" t="s">
        <v>2846</v>
      </c>
      <c r="J1086" t="s">
        <v>78</v>
      </c>
      <c r="K1086" t="s">
        <v>79</v>
      </c>
      <c r="L1086">
        <v>5</v>
      </c>
      <c r="M1086" t="s">
        <v>5764</v>
      </c>
      <c r="N1086" t="s">
        <v>47</v>
      </c>
      <c r="O1086" t="s">
        <v>48</v>
      </c>
      <c r="P1086" t="s">
        <v>48</v>
      </c>
      <c r="Y1086" t="s">
        <v>5771</v>
      </c>
    </row>
    <row r="1087" spans="1:25">
      <c r="A1087" t="s">
        <v>5772</v>
      </c>
      <c r="B1087" t="s">
        <v>5773</v>
      </c>
      <c r="D1087" t="s">
        <v>40</v>
      </c>
      <c r="E1087" t="s">
        <v>41</v>
      </c>
      <c r="G1087" t="s">
        <v>5774</v>
      </c>
      <c r="H1087" t="s">
        <v>5775</v>
      </c>
      <c r="J1087" t="s">
        <v>90</v>
      </c>
      <c r="K1087" t="s">
        <v>91</v>
      </c>
      <c r="L1087">
        <v>5</v>
      </c>
      <c r="M1087" t="s">
        <v>5776</v>
      </c>
      <c r="N1087" t="s">
        <v>47</v>
      </c>
      <c r="O1087" t="s">
        <v>48</v>
      </c>
      <c r="P1087" t="s">
        <v>48</v>
      </c>
      <c r="Y1087" t="s">
        <v>5777</v>
      </c>
    </row>
    <row r="1088" spans="1:25">
      <c r="A1088" t="s">
        <v>5778</v>
      </c>
      <c r="B1088" t="s">
        <v>5779</v>
      </c>
      <c r="D1088" t="s">
        <v>40</v>
      </c>
      <c r="E1088" t="s">
        <v>41</v>
      </c>
      <c r="G1088" t="s">
        <v>5780</v>
      </c>
      <c r="H1088" t="s">
        <v>5349</v>
      </c>
      <c r="J1088" t="s">
        <v>90</v>
      </c>
      <c r="K1088" t="s">
        <v>91</v>
      </c>
      <c r="L1088">
        <v>5</v>
      </c>
      <c r="M1088" t="s">
        <v>5781</v>
      </c>
      <c r="N1088" t="s">
        <v>47</v>
      </c>
      <c r="O1088" t="s">
        <v>48</v>
      </c>
      <c r="P1088" t="s">
        <v>48</v>
      </c>
      <c r="Y1088" t="s">
        <v>5782</v>
      </c>
    </row>
    <row r="1089" spans="1:25">
      <c r="A1089" t="s">
        <v>5783</v>
      </c>
      <c r="B1089" t="s">
        <v>5784</v>
      </c>
      <c r="D1089" t="s">
        <v>40</v>
      </c>
      <c r="E1089" t="s">
        <v>41</v>
      </c>
      <c r="G1089" t="s">
        <v>5785</v>
      </c>
      <c r="H1089" t="s">
        <v>5786</v>
      </c>
      <c r="J1089" t="s">
        <v>44</v>
      </c>
      <c r="K1089" t="s">
        <v>45</v>
      </c>
      <c r="L1089">
        <v>5</v>
      </c>
      <c r="M1089" t="s">
        <v>5787</v>
      </c>
      <c r="N1089" t="s">
        <v>47</v>
      </c>
      <c r="O1089" t="s">
        <v>48</v>
      </c>
      <c r="P1089" t="s">
        <v>48</v>
      </c>
      <c r="Y1089" t="s">
        <v>5788</v>
      </c>
    </row>
    <row r="1090" spans="1:25">
      <c r="A1090" t="s">
        <v>5789</v>
      </c>
      <c r="B1090" t="s">
        <v>5790</v>
      </c>
      <c r="D1090" t="s">
        <v>40</v>
      </c>
      <c r="E1090" t="s">
        <v>41</v>
      </c>
      <c r="G1090" t="s">
        <v>5791</v>
      </c>
      <c r="H1090" t="s">
        <v>5792</v>
      </c>
      <c r="J1090" t="s">
        <v>90</v>
      </c>
      <c r="K1090" t="s">
        <v>91</v>
      </c>
      <c r="L1090">
        <v>5</v>
      </c>
      <c r="M1090" t="s">
        <v>5793</v>
      </c>
      <c r="N1090" t="s">
        <v>47</v>
      </c>
      <c r="O1090" t="s">
        <v>48</v>
      </c>
      <c r="P1090" t="s">
        <v>48</v>
      </c>
      <c r="Y1090" t="s">
        <v>5794</v>
      </c>
    </row>
    <row r="1091" spans="1:25">
      <c r="A1091" t="s">
        <v>5795</v>
      </c>
      <c r="B1091" t="s">
        <v>5796</v>
      </c>
      <c r="D1091" t="s">
        <v>40</v>
      </c>
      <c r="E1091" t="s">
        <v>41</v>
      </c>
      <c r="G1091" t="s">
        <v>5797</v>
      </c>
      <c r="H1091" t="s">
        <v>5798</v>
      </c>
      <c r="J1091" t="s">
        <v>90</v>
      </c>
      <c r="K1091" t="s">
        <v>91</v>
      </c>
      <c r="L1091">
        <v>5</v>
      </c>
      <c r="M1091" t="s">
        <v>5799</v>
      </c>
      <c r="N1091" t="s">
        <v>47</v>
      </c>
      <c r="O1091" t="s">
        <v>48</v>
      </c>
      <c r="P1091" t="s">
        <v>48</v>
      </c>
      <c r="Y1091" t="s">
        <v>5800</v>
      </c>
    </row>
    <row r="1092" spans="1:25">
      <c r="A1092" t="s">
        <v>5801</v>
      </c>
      <c r="B1092" t="s">
        <v>5802</v>
      </c>
      <c r="D1092" t="s">
        <v>40</v>
      </c>
      <c r="E1092" t="s">
        <v>41</v>
      </c>
      <c r="G1092" t="s">
        <v>5803</v>
      </c>
      <c r="H1092" t="s">
        <v>5804</v>
      </c>
      <c r="J1092" t="s">
        <v>54</v>
      </c>
      <c r="K1092" t="s">
        <v>55</v>
      </c>
      <c r="L1092">
        <v>5</v>
      </c>
      <c r="M1092" t="s">
        <v>5805</v>
      </c>
      <c r="N1092" t="s">
        <v>47</v>
      </c>
      <c r="O1092" t="s">
        <v>48</v>
      </c>
      <c r="P1092" t="s">
        <v>48</v>
      </c>
      <c r="Y1092" t="s">
        <v>5806</v>
      </c>
    </row>
    <row r="1093" spans="1:25">
      <c r="A1093" t="s">
        <v>5807</v>
      </c>
      <c r="B1093" t="s">
        <v>5808</v>
      </c>
      <c r="D1093" t="s">
        <v>40</v>
      </c>
      <c r="E1093" t="s">
        <v>41</v>
      </c>
      <c r="G1093" t="s">
        <v>938</v>
      </c>
      <c r="H1093" t="s">
        <v>938</v>
      </c>
      <c r="J1093" t="s">
        <v>90</v>
      </c>
      <c r="K1093" t="s">
        <v>91</v>
      </c>
      <c r="L1093">
        <v>5</v>
      </c>
      <c r="M1093" t="s">
        <v>5805</v>
      </c>
      <c r="N1093" t="s">
        <v>47</v>
      </c>
      <c r="O1093" t="s">
        <v>48</v>
      </c>
      <c r="P1093" t="s">
        <v>48</v>
      </c>
      <c r="Y1093" t="s">
        <v>5809</v>
      </c>
    </row>
    <row r="1094" spans="1:25">
      <c r="A1094" t="s">
        <v>5810</v>
      </c>
      <c r="B1094" t="s">
        <v>5811</v>
      </c>
      <c r="D1094" t="s">
        <v>40</v>
      </c>
      <c r="E1094" t="s">
        <v>41</v>
      </c>
      <c r="G1094" t="s">
        <v>5812</v>
      </c>
      <c r="H1094" t="s">
        <v>5813</v>
      </c>
      <c r="J1094" t="s">
        <v>44</v>
      </c>
      <c r="K1094" t="s">
        <v>45</v>
      </c>
      <c r="L1094">
        <v>5</v>
      </c>
      <c r="M1094" t="s">
        <v>5814</v>
      </c>
      <c r="N1094" t="s">
        <v>47</v>
      </c>
      <c r="O1094" t="s">
        <v>48</v>
      </c>
      <c r="P1094" t="s">
        <v>48</v>
      </c>
      <c r="Y1094" t="s">
        <v>5815</v>
      </c>
    </row>
    <row r="1095" spans="1:25">
      <c r="A1095" t="s">
        <v>5816</v>
      </c>
      <c r="B1095" t="s">
        <v>5817</v>
      </c>
      <c r="D1095" t="s">
        <v>40</v>
      </c>
      <c r="E1095" t="s">
        <v>41</v>
      </c>
      <c r="G1095" t="s">
        <v>1569</v>
      </c>
      <c r="H1095" t="s">
        <v>5464</v>
      </c>
      <c r="J1095" t="s">
        <v>2328</v>
      </c>
      <c r="K1095" t="s">
        <v>2329</v>
      </c>
      <c r="L1095">
        <v>6</v>
      </c>
      <c r="M1095" t="s">
        <v>5818</v>
      </c>
      <c r="N1095" t="s">
        <v>685</v>
      </c>
      <c r="O1095" t="s">
        <v>48</v>
      </c>
      <c r="P1095" t="s">
        <v>48</v>
      </c>
      <c r="Y1095" t="s">
        <v>5819</v>
      </c>
    </row>
    <row r="1096" spans="1:25">
      <c r="A1096" t="s">
        <v>5820</v>
      </c>
      <c r="B1096" t="s">
        <v>5821</v>
      </c>
      <c r="D1096" t="s">
        <v>40</v>
      </c>
      <c r="E1096" t="s">
        <v>41</v>
      </c>
      <c r="G1096" t="s">
        <v>5822</v>
      </c>
      <c r="H1096" t="s">
        <v>5823</v>
      </c>
      <c r="J1096" t="s">
        <v>78</v>
      </c>
      <c r="K1096" t="s">
        <v>79</v>
      </c>
      <c r="L1096">
        <v>5</v>
      </c>
      <c r="M1096" t="s">
        <v>5824</v>
      </c>
      <c r="N1096" t="s">
        <v>47</v>
      </c>
      <c r="O1096" t="s">
        <v>48</v>
      </c>
      <c r="P1096" t="s">
        <v>48</v>
      </c>
      <c r="Y1096" t="s">
        <v>5825</v>
      </c>
    </row>
    <row r="1097" spans="1:25">
      <c r="A1097" t="s">
        <v>5826</v>
      </c>
      <c r="B1097" t="s">
        <v>5827</v>
      </c>
      <c r="D1097" t="s">
        <v>40</v>
      </c>
      <c r="E1097" t="s">
        <v>41</v>
      </c>
      <c r="G1097" t="s">
        <v>5828</v>
      </c>
      <c r="H1097" t="s">
        <v>1024</v>
      </c>
      <c r="J1097" t="s">
        <v>90</v>
      </c>
      <c r="K1097" t="s">
        <v>91</v>
      </c>
      <c r="L1097">
        <v>5</v>
      </c>
      <c r="M1097" t="s">
        <v>5824</v>
      </c>
      <c r="N1097" t="s">
        <v>47</v>
      </c>
      <c r="O1097" t="s">
        <v>48</v>
      </c>
      <c r="P1097" t="s">
        <v>48</v>
      </c>
      <c r="Y1097" t="s">
        <v>5829</v>
      </c>
    </row>
    <row r="1098" spans="1:25">
      <c r="A1098" t="s">
        <v>5830</v>
      </c>
      <c r="B1098" t="s">
        <v>5831</v>
      </c>
      <c r="D1098" t="s">
        <v>40</v>
      </c>
      <c r="E1098" t="s">
        <v>41</v>
      </c>
      <c r="G1098" t="s">
        <v>5832</v>
      </c>
      <c r="H1098" t="s">
        <v>5833</v>
      </c>
      <c r="J1098" t="s">
        <v>90</v>
      </c>
      <c r="K1098" t="s">
        <v>91</v>
      </c>
      <c r="L1098">
        <v>5</v>
      </c>
      <c r="M1098" t="s">
        <v>5834</v>
      </c>
      <c r="N1098" t="s">
        <v>47</v>
      </c>
      <c r="O1098" t="s">
        <v>48</v>
      </c>
      <c r="P1098" t="s">
        <v>48</v>
      </c>
      <c r="Y1098" t="s">
        <v>5835</v>
      </c>
    </row>
    <row r="1099" spans="1:25">
      <c r="A1099" t="s">
        <v>5836</v>
      </c>
      <c r="B1099" t="s">
        <v>5837</v>
      </c>
      <c r="D1099" t="s">
        <v>40</v>
      </c>
      <c r="E1099" t="s">
        <v>41</v>
      </c>
      <c r="G1099" t="s">
        <v>1405</v>
      </c>
      <c r="H1099" t="s">
        <v>5838</v>
      </c>
      <c r="J1099" t="s">
        <v>54</v>
      </c>
      <c r="K1099" t="s">
        <v>55</v>
      </c>
      <c r="L1099">
        <v>5</v>
      </c>
      <c r="M1099" t="s">
        <v>5834</v>
      </c>
      <c r="N1099" t="s">
        <v>47</v>
      </c>
      <c r="O1099" t="s">
        <v>48</v>
      </c>
      <c r="P1099" t="s">
        <v>48</v>
      </c>
      <c r="Y1099" t="s">
        <v>5839</v>
      </c>
    </row>
    <row r="1100" spans="1:25">
      <c r="A1100" t="s">
        <v>5840</v>
      </c>
      <c r="B1100" t="s">
        <v>5841</v>
      </c>
      <c r="D1100" t="s">
        <v>40</v>
      </c>
      <c r="E1100" t="s">
        <v>41</v>
      </c>
      <c r="G1100" t="s">
        <v>5842</v>
      </c>
      <c r="H1100" t="s">
        <v>5843</v>
      </c>
      <c r="J1100" t="s">
        <v>5844</v>
      </c>
      <c r="K1100" t="s">
        <v>5845</v>
      </c>
      <c r="L1100">
        <v>6</v>
      </c>
      <c r="M1100" t="s">
        <v>5846</v>
      </c>
      <c r="N1100" t="s">
        <v>135</v>
      </c>
      <c r="O1100" t="s">
        <v>48</v>
      </c>
      <c r="P1100" t="s">
        <v>48</v>
      </c>
      <c r="Y1100" t="s">
        <v>5847</v>
      </c>
    </row>
    <row r="1101" spans="1:25">
      <c r="A1101" t="s">
        <v>5848</v>
      </c>
      <c r="B1101" t="s">
        <v>5849</v>
      </c>
      <c r="D1101" t="s">
        <v>40</v>
      </c>
      <c r="E1101" t="s">
        <v>41</v>
      </c>
      <c r="G1101" t="s">
        <v>5850</v>
      </c>
      <c r="H1101" t="s">
        <v>5851</v>
      </c>
      <c r="J1101" t="s">
        <v>78</v>
      </c>
      <c r="K1101" t="s">
        <v>79</v>
      </c>
      <c r="L1101">
        <v>5</v>
      </c>
      <c r="M1101" t="s">
        <v>5852</v>
      </c>
      <c r="N1101" t="s">
        <v>47</v>
      </c>
      <c r="O1101" t="s">
        <v>48</v>
      </c>
      <c r="P1101" t="s">
        <v>48</v>
      </c>
      <c r="Y1101" t="s">
        <v>5853</v>
      </c>
    </row>
    <row r="1102" spans="1:25">
      <c r="A1102" t="s">
        <v>5854</v>
      </c>
      <c r="B1102" t="s">
        <v>5855</v>
      </c>
      <c r="D1102" t="s">
        <v>40</v>
      </c>
      <c r="E1102" t="s">
        <v>41</v>
      </c>
      <c r="G1102" t="s">
        <v>4625</v>
      </c>
      <c r="H1102" t="s">
        <v>5856</v>
      </c>
      <c r="J1102" t="s">
        <v>78</v>
      </c>
      <c r="K1102" t="s">
        <v>79</v>
      </c>
      <c r="L1102">
        <v>5</v>
      </c>
      <c r="M1102" t="s">
        <v>5852</v>
      </c>
      <c r="N1102" t="s">
        <v>47</v>
      </c>
      <c r="O1102" t="s">
        <v>48</v>
      </c>
      <c r="P1102" t="s">
        <v>48</v>
      </c>
      <c r="Y1102" t="s">
        <v>5857</v>
      </c>
    </row>
    <row r="1103" spans="1:25">
      <c r="A1103" t="s">
        <v>5858</v>
      </c>
      <c r="B1103" t="s">
        <v>5859</v>
      </c>
      <c r="D1103" t="s">
        <v>40</v>
      </c>
      <c r="E1103" t="s">
        <v>41</v>
      </c>
      <c r="G1103" t="s">
        <v>5860</v>
      </c>
      <c r="H1103" t="s">
        <v>4935</v>
      </c>
      <c r="J1103" t="s">
        <v>54</v>
      </c>
      <c r="K1103" t="s">
        <v>55</v>
      </c>
      <c r="L1103">
        <v>5</v>
      </c>
      <c r="M1103" t="s">
        <v>5861</v>
      </c>
      <c r="N1103" t="s">
        <v>47</v>
      </c>
      <c r="O1103" t="s">
        <v>48</v>
      </c>
      <c r="P1103" t="s">
        <v>48</v>
      </c>
      <c r="Y1103" t="s">
        <v>5862</v>
      </c>
    </row>
    <row r="1104" spans="1:25">
      <c r="A1104" t="s">
        <v>5863</v>
      </c>
      <c r="B1104" t="s">
        <v>5864</v>
      </c>
      <c r="D1104" t="s">
        <v>40</v>
      </c>
      <c r="E1104" t="s">
        <v>41</v>
      </c>
      <c r="G1104" t="s">
        <v>5865</v>
      </c>
      <c r="H1104" t="s">
        <v>5866</v>
      </c>
      <c r="J1104" t="s">
        <v>90</v>
      </c>
      <c r="K1104" t="s">
        <v>91</v>
      </c>
      <c r="L1104">
        <v>5</v>
      </c>
      <c r="M1104" t="s">
        <v>5861</v>
      </c>
      <c r="N1104" t="s">
        <v>47</v>
      </c>
      <c r="O1104" t="s">
        <v>48</v>
      </c>
      <c r="P1104" t="s">
        <v>48</v>
      </c>
      <c r="Y1104" t="s">
        <v>5867</v>
      </c>
    </row>
    <row r="1105" spans="1:25">
      <c r="A1105" t="s">
        <v>5868</v>
      </c>
      <c r="B1105" t="s">
        <v>5869</v>
      </c>
      <c r="D1105" t="s">
        <v>40</v>
      </c>
      <c r="E1105" t="s">
        <v>41</v>
      </c>
      <c r="G1105" t="s">
        <v>5870</v>
      </c>
      <c r="H1105" t="s">
        <v>5871</v>
      </c>
      <c r="J1105" t="s">
        <v>90</v>
      </c>
      <c r="K1105" t="s">
        <v>91</v>
      </c>
      <c r="L1105">
        <v>5</v>
      </c>
      <c r="M1105" t="s">
        <v>5872</v>
      </c>
      <c r="N1105" t="s">
        <v>47</v>
      </c>
      <c r="O1105" t="s">
        <v>48</v>
      </c>
      <c r="P1105" t="s">
        <v>48</v>
      </c>
      <c r="Y1105" t="s">
        <v>5873</v>
      </c>
    </row>
    <row r="1106" spans="1:25">
      <c r="A1106" t="s">
        <v>5874</v>
      </c>
      <c r="B1106" t="s">
        <v>5875</v>
      </c>
      <c r="D1106" t="s">
        <v>40</v>
      </c>
      <c r="E1106" t="s">
        <v>41</v>
      </c>
      <c r="G1106" t="s">
        <v>5876</v>
      </c>
      <c r="H1106" t="s">
        <v>5877</v>
      </c>
      <c r="J1106" t="s">
        <v>54</v>
      </c>
      <c r="K1106" t="s">
        <v>55</v>
      </c>
      <c r="L1106">
        <v>5</v>
      </c>
      <c r="M1106" t="s">
        <v>5872</v>
      </c>
      <c r="N1106" t="s">
        <v>47</v>
      </c>
      <c r="O1106" t="s">
        <v>48</v>
      </c>
      <c r="P1106" t="s">
        <v>48</v>
      </c>
      <c r="Y1106" t="s">
        <v>5878</v>
      </c>
    </row>
    <row r="1107" spans="1:25">
      <c r="A1107" t="s">
        <v>5879</v>
      </c>
      <c r="B1107" t="s">
        <v>5880</v>
      </c>
      <c r="D1107" t="s">
        <v>40</v>
      </c>
      <c r="E1107" t="s">
        <v>41</v>
      </c>
      <c r="G1107" t="s">
        <v>222</v>
      </c>
      <c r="H1107" t="s">
        <v>5881</v>
      </c>
      <c r="J1107" t="s">
        <v>78</v>
      </c>
      <c r="K1107" t="s">
        <v>79</v>
      </c>
      <c r="L1107">
        <v>5</v>
      </c>
      <c r="M1107" t="s">
        <v>5882</v>
      </c>
      <c r="N1107" t="s">
        <v>47</v>
      </c>
      <c r="O1107" t="s">
        <v>48</v>
      </c>
      <c r="P1107" t="s">
        <v>48</v>
      </c>
      <c r="Y1107" t="s">
        <v>5883</v>
      </c>
    </row>
    <row r="1108" spans="1:25">
      <c r="A1108" t="s">
        <v>5884</v>
      </c>
      <c r="B1108" t="s">
        <v>5885</v>
      </c>
      <c r="D1108" t="s">
        <v>40</v>
      </c>
      <c r="E1108" t="s">
        <v>41</v>
      </c>
      <c r="G1108" t="s">
        <v>5886</v>
      </c>
      <c r="H1108" t="s">
        <v>4646</v>
      </c>
      <c r="J1108" t="s">
        <v>44</v>
      </c>
      <c r="K1108" t="s">
        <v>45</v>
      </c>
      <c r="L1108">
        <v>5</v>
      </c>
      <c r="M1108" t="s">
        <v>5887</v>
      </c>
      <c r="N1108" t="s">
        <v>47</v>
      </c>
      <c r="O1108" t="s">
        <v>48</v>
      </c>
      <c r="P1108" t="s">
        <v>48</v>
      </c>
      <c r="Y1108" t="s">
        <v>5888</v>
      </c>
    </row>
    <row r="1109" spans="1:25">
      <c r="A1109" t="s">
        <v>5889</v>
      </c>
      <c r="B1109" t="s">
        <v>5890</v>
      </c>
      <c r="D1109" t="s">
        <v>40</v>
      </c>
      <c r="E1109" t="s">
        <v>41</v>
      </c>
      <c r="G1109" t="s">
        <v>5891</v>
      </c>
      <c r="H1109" t="s">
        <v>4387</v>
      </c>
      <c r="J1109" t="s">
        <v>497</v>
      </c>
      <c r="K1109" t="s">
        <v>498</v>
      </c>
      <c r="L1109">
        <v>5</v>
      </c>
      <c r="M1109" t="s">
        <v>5892</v>
      </c>
      <c r="N1109" t="s">
        <v>685</v>
      </c>
      <c r="O1109" t="s">
        <v>48</v>
      </c>
      <c r="P1109" t="s">
        <v>48</v>
      </c>
      <c r="Y1109" t="s">
        <v>5893</v>
      </c>
    </row>
    <row r="1110" spans="1:25">
      <c r="A1110" t="s">
        <v>5894</v>
      </c>
      <c r="B1110" t="s">
        <v>5895</v>
      </c>
      <c r="D1110" t="s">
        <v>40</v>
      </c>
      <c r="E1110" t="s">
        <v>41</v>
      </c>
      <c r="G1110" t="s">
        <v>944</v>
      </c>
      <c r="H1110" t="s">
        <v>513</v>
      </c>
      <c r="J1110" t="s">
        <v>44</v>
      </c>
      <c r="K1110" t="s">
        <v>45</v>
      </c>
      <c r="L1110">
        <v>5</v>
      </c>
      <c r="M1110" t="s">
        <v>5892</v>
      </c>
      <c r="N1110" t="s">
        <v>47</v>
      </c>
      <c r="O1110" t="s">
        <v>48</v>
      </c>
      <c r="P1110" t="s">
        <v>48</v>
      </c>
      <c r="Y1110" t="s">
        <v>5896</v>
      </c>
    </row>
    <row r="1111" spans="1:25">
      <c r="A1111" t="s">
        <v>5897</v>
      </c>
      <c r="B1111" t="s">
        <v>5898</v>
      </c>
      <c r="D1111" t="s">
        <v>40</v>
      </c>
      <c r="E1111" t="s">
        <v>41</v>
      </c>
      <c r="G1111" t="s">
        <v>5899</v>
      </c>
      <c r="H1111" t="s">
        <v>5900</v>
      </c>
      <c r="J1111" t="s">
        <v>44</v>
      </c>
      <c r="K1111" t="s">
        <v>45</v>
      </c>
      <c r="L1111">
        <v>5</v>
      </c>
      <c r="M1111" t="s">
        <v>5892</v>
      </c>
      <c r="N1111" t="s">
        <v>47</v>
      </c>
      <c r="O1111" t="s">
        <v>48</v>
      </c>
      <c r="P1111" t="s">
        <v>48</v>
      </c>
      <c r="Y1111" t="s">
        <v>5901</v>
      </c>
    </row>
    <row r="1112" spans="1:25">
      <c r="A1112" t="s">
        <v>5902</v>
      </c>
      <c r="B1112" t="s">
        <v>5903</v>
      </c>
      <c r="D1112" t="s">
        <v>40</v>
      </c>
      <c r="E1112" t="s">
        <v>41</v>
      </c>
      <c r="G1112" t="s">
        <v>5904</v>
      </c>
      <c r="H1112" t="s">
        <v>2052</v>
      </c>
      <c r="J1112" t="s">
        <v>78</v>
      </c>
      <c r="K1112" t="s">
        <v>79</v>
      </c>
      <c r="L1112">
        <v>5</v>
      </c>
      <c r="M1112" t="s">
        <v>5892</v>
      </c>
      <c r="N1112" t="s">
        <v>47</v>
      </c>
      <c r="O1112" t="s">
        <v>48</v>
      </c>
      <c r="P1112" t="s">
        <v>48</v>
      </c>
      <c r="Y1112" t="s">
        <v>5905</v>
      </c>
    </row>
    <row r="1113" spans="1:25">
      <c r="A1113" t="s">
        <v>5906</v>
      </c>
      <c r="B1113" t="s">
        <v>5907</v>
      </c>
      <c r="D1113" t="s">
        <v>40</v>
      </c>
      <c r="E1113" t="s">
        <v>41</v>
      </c>
      <c r="G1113" t="s">
        <v>5908</v>
      </c>
      <c r="H1113" t="s">
        <v>5909</v>
      </c>
      <c r="J1113" t="s">
        <v>90</v>
      </c>
      <c r="K1113" t="s">
        <v>91</v>
      </c>
      <c r="L1113">
        <v>5</v>
      </c>
      <c r="M1113" t="s">
        <v>5910</v>
      </c>
      <c r="N1113" t="s">
        <v>47</v>
      </c>
      <c r="O1113" t="s">
        <v>48</v>
      </c>
      <c r="P1113" t="s">
        <v>48</v>
      </c>
      <c r="Y1113" t="s">
        <v>5911</v>
      </c>
    </row>
    <row r="1114" spans="1:25">
      <c r="A1114" t="s">
        <v>5912</v>
      </c>
      <c r="B1114" t="s">
        <v>5913</v>
      </c>
      <c r="D1114" t="s">
        <v>40</v>
      </c>
      <c r="E1114" t="s">
        <v>41</v>
      </c>
      <c r="G1114" t="s">
        <v>5914</v>
      </c>
      <c r="H1114" t="s">
        <v>5915</v>
      </c>
      <c r="J1114" t="s">
        <v>353</v>
      </c>
      <c r="K1114" t="s">
        <v>354</v>
      </c>
      <c r="L1114">
        <v>5</v>
      </c>
      <c r="M1114" t="s">
        <v>5916</v>
      </c>
      <c r="N1114" t="s">
        <v>135</v>
      </c>
      <c r="O1114" t="s">
        <v>48</v>
      </c>
      <c r="P1114" t="s">
        <v>48</v>
      </c>
      <c r="Y1114" t="s">
        <v>5917</v>
      </c>
    </row>
    <row r="1115" spans="1:25">
      <c r="A1115" t="s">
        <v>5918</v>
      </c>
      <c r="B1115" t="s">
        <v>5919</v>
      </c>
      <c r="D1115" t="s">
        <v>40</v>
      </c>
      <c r="E1115" t="s">
        <v>41</v>
      </c>
      <c r="G1115" t="s">
        <v>5920</v>
      </c>
      <c r="H1115" t="s">
        <v>5921</v>
      </c>
      <c r="J1115" t="s">
        <v>54</v>
      </c>
      <c r="K1115" t="s">
        <v>55</v>
      </c>
      <c r="L1115">
        <v>5</v>
      </c>
      <c r="M1115" t="s">
        <v>5916</v>
      </c>
      <c r="N1115" t="s">
        <v>47</v>
      </c>
      <c r="O1115" t="s">
        <v>48</v>
      </c>
      <c r="P1115" t="s">
        <v>48</v>
      </c>
      <c r="Y1115" t="s">
        <v>5922</v>
      </c>
    </row>
    <row r="1116" spans="1:25">
      <c r="A1116" t="s">
        <v>5923</v>
      </c>
      <c r="B1116" t="s">
        <v>5924</v>
      </c>
      <c r="D1116" t="s">
        <v>40</v>
      </c>
      <c r="E1116" t="s">
        <v>41</v>
      </c>
      <c r="G1116" t="s">
        <v>5925</v>
      </c>
      <c r="H1116" t="s">
        <v>5926</v>
      </c>
      <c r="J1116" t="s">
        <v>44</v>
      </c>
      <c r="K1116" t="s">
        <v>45</v>
      </c>
      <c r="L1116">
        <v>5</v>
      </c>
      <c r="M1116" t="s">
        <v>5927</v>
      </c>
      <c r="N1116" t="s">
        <v>47</v>
      </c>
      <c r="O1116" t="s">
        <v>48</v>
      </c>
      <c r="P1116" t="s">
        <v>48</v>
      </c>
      <c r="Y1116" t="s">
        <v>5928</v>
      </c>
    </row>
    <row r="1117" spans="1:25">
      <c r="A1117" t="s">
        <v>5929</v>
      </c>
      <c r="B1117" t="s">
        <v>5930</v>
      </c>
      <c r="D1117" t="s">
        <v>40</v>
      </c>
      <c r="E1117" t="s">
        <v>41</v>
      </c>
      <c r="G1117" t="s">
        <v>5931</v>
      </c>
      <c r="H1117" t="s">
        <v>5932</v>
      </c>
      <c r="J1117" t="s">
        <v>44</v>
      </c>
      <c r="K1117" t="s">
        <v>45</v>
      </c>
      <c r="L1117">
        <v>5</v>
      </c>
      <c r="M1117" t="s">
        <v>5933</v>
      </c>
      <c r="N1117" t="s">
        <v>47</v>
      </c>
      <c r="O1117" t="s">
        <v>48</v>
      </c>
      <c r="P1117" t="s">
        <v>48</v>
      </c>
      <c r="Y1117" t="s">
        <v>5934</v>
      </c>
    </row>
    <row r="1118" spans="1:25">
      <c r="A1118" t="s">
        <v>5935</v>
      </c>
      <c r="B1118" t="s">
        <v>5936</v>
      </c>
      <c r="D1118" t="s">
        <v>40</v>
      </c>
      <c r="E1118" t="s">
        <v>41</v>
      </c>
      <c r="G1118" t="s">
        <v>2861</v>
      </c>
      <c r="H1118" t="s">
        <v>5937</v>
      </c>
      <c r="J1118" t="s">
        <v>54</v>
      </c>
      <c r="K1118" t="s">
        <v>55</v>
      </c>
      <c r="L1118">
        <v>5</v>
      </c>
      <c r="M1118" t="s">
        <v>5938</v>
      </c>
      <c r="N1118" t="s">
        <v>47</v>
      </c>
      <c r="O1118" t="s">
        <v>48</v>
      </c>
      <c r="P1118" t="s">
        <v>48</v>
      </c>
      <c r="Y1118" t="s">
        <v>5939</v>
      </c>
    </row>
    <row r="1119" spans="1:25">
      <c r="A1119" t="s">
        <v>5940</v>
      </c>
      <c r="B1119" t="s">
        <v>5941</v>
      </c>
      <c r="D1119" t="s">
        <v>40</v>
      </c>
      <c r="E1119" t="s">
        <v>41</v>
      </c>
      <c r="G1119" t="s">
        <v>5942</v>
      </c>
      <c r="H1119" t="s">
        <v>447</v>
      </c>
      <c r="J1119" t="s">
        <v>371</v>
      </c>
      <c r="K1119" t="s">
        <v>372</v>
      </c>
      <c r="L1119">
        <v>5</v>
      </c>
      <c r="M1119" t="s">
        <v>5938</v>
      </c>
      <c r="N1119" t="s">
        <v>47</v>
      </c>
      <c r="O1119" t="s">
        <v>48</v>
      </c>
      <c r="P1119" t="s">
        <v>48</v>
      </c>
      <c r="Y1119" t="s">
        <v>5943</v>
      </c>
    </row>
    <row r="1120" spans="1:25">
      <c r="A1120" t="s">
        <v>5944</v>
      </c>
      <c r="B1120" t="s">
        <v>5945</v>
      </c>
      <c r="D1120" t="s">
        <v>40</v>
      </c>
      <c r="E1120" t="s">
        <v>41</v>
      </c>
      <c r="G1120" t="s">
        <v>5946</v>
      </c>
      <c r="H1120" t="s">
        <v>3440</v>
      </c>
      <c r="J1120" t="s">
        <v>133</v>
      </c>
      <c r="K1120" t="s">
        <v>134</v>
      </c>
      <c r="L1120">
        <v>5</v>
      </c>
      <c r="M1120" t="s">
        <v>5947</v>
      </c>
      <c r="N1120" t="s">
        <v>135</v>
      </c>
      <c r="O1120" t="s">
        <v>48</v>
      </c>
      <c r="P1120" t="s">
        <v>48</v>
      </c>
      <c r="Y1120" t="s">
        <v>5948</v>
      </c>
    </row>
    <row r="1121" spans="1:25">
      <c r="A1121" t="s">
        <v>5949</v>
      </c>
      <c r="B1121" t="s">
        <v>5950</v>
      </c>
      <c r="D1121" t="s">
        <v>40</v>
      </c>
      <c r="E1121" t="s">
        <v>41</v>
      </c>
      <c r="H1121" t="s">
        <v>5951</v>
      </c>
      <c r="J1121" t="s">
        <v>44</v>
      </c>
      <c r="K1121" t="s">
        <v>45</v>
      </c>
      <c r="L1121">
        <v>5</v>
      </c>
      <c r="M1121" t="s">
        <v>5947</v>
      </c>
      <c r="N1121" t="s">
        <v>47</v>
      </c>
      <c r="O1121" t="s">
        <v>48</v>
      </c>
      <c r="P1121" t="s">
        <v>48</v>
      </c>
      <c r="Y1121" t="s">
        <v>5951</v>
      </c>
    </row>
    <row r="1122" spans="1:25">
      <c r="A1122" t="s">
        <v>5952</v>
      </c>
      <c r="B1122" t="s">
        <v>5953</v>
      </c>
      <c r="D1122" t="s">
        <v>40</v>
      </c>
      <c r="E1122" t="s">
        <v>41</v>
      </c>
      <c r="J1122" t="s">
        <v>78</v>
      </c>
      <c r="K1122" t="s">
        <v>79</v>
      </c>
      <c r="L1122">
        <v>5</v>
      </c>
      <c r="M1122" t="s">
        <v>5954</v>
      </c>
      <c r="N1122" t="s">
        <v>47</v>
      </c>
      <c r="O1122" t="s">
        <v>48</v>
      </c>
      <c r="P1122" t="s">
        <v>48</v>
      </c>
      <c r="Y1122" t="s">
        <v>5955</v>
      </c>
    </row>
    <row r="1123" spans="1:25">
      <c r="A1123" t="s">
        <v>5956</v>
      </c>
      <c r="B1123" t="s">
        <v>5957</v>
      </c>
      <c r="D1123" t="s">
        <v>40</v>
      </c>
      <c r="E1123" t="s">
        <v>41</v>
      </c>
      <c r="G1123" t="s">
        <v>5958</v>
      </c>
      <c r="H1123" t="s">
        <v>1123</v>
      </c>
      <c r="J1123" t="s">
        <v>90</v>
      </c>
      <c r="K1123" t="s">
        <v>91</v>
      </c>
      <c r="L1123">
        <v>5</v>
      </c>
      <c r="M1123" t="s">
        <v>5959</v>
      </c>
      <c r="N1123" t="s">
        <v>47</v>
      </c>
      <c r="O1123" t="s">
        <v>48</v>
      </c>
      <c r="P1123" t="s">
        <v>48</v>
      </c>
      <c r="Y1123" t="s">
        <v>5960</v>
      </c>
    </row>
    <row r="1124" spans="1:25">
      <c r="A1124" t="s">
        <v>5961</v>
      </c>
      <c r="B1124" t="s">
        <v>5962</v>
      </c>
      <c r="D1124" t="s">
        <v>40</v>
      </c>
      <c r="E1124" t="s">
        <v>41</v>
      </c>
      <c r="G1124" t="s">
        <v>5963</v>
      </c>
      <c r="H1124" t="s">
        <v>728</v>
      </c>
      <c r="J1124" t="s">
        <v>5964</v>
      </c>
      <c r="K1124" t="s">
        <v>5965</v>
      </c>
      <c r="L1124">
        <v>5</v>
      </c>
      <c r="M1124" t="s">
        <v>5966</v>
      </c>
      <c r="N1124" t="s">
        <v>290</v>
      </c>
      <c r="O1124" t="s">
        <v>48</v>
      </c>
      <c r="P1124" t="s">
        <v>48</v>
      </c>
      <c r="Y1124" t="s">
        <v>5967</v>
      </c>
    </row>
    <row r="1125" spans="1:25">
      <c r="A1125" t="s">
        <v>5968</v>
      </c>
      <c r="B1125" t="s">
        <v>5969</v>
      </c>
      <c r="D1125" t="s">
        <v>40</v>
      </c>
      <c r="E1125" t="s">
        <v>41</v>
      </c>
      <c r="G1125" t="s">
        <v>1394</v>
      </c>
      <c r="H1125" t="s">
        <v>5240</v>
      </c>
      <c r="J1125" t="s">
        <v>90</v>
      </c>
      <c r="K1125" t="s">
        <v>91</v>
      </c>
      <c r="L1125">
        <v>5</v>
      </c>
      <c r="M1125" t="s">
        <v>5970</v>
      </c>
      <c r="N1125" t="s">
        <v>47</v>
      </c>
      <c r="O1125" t="s">
        <v>48</v>
      </c>
      <c r="P1125" t="s">
        <v>48</v>
      </c>
      <c r="Y1125" t="s">
        <v>5971</v>
      </c>
    </row>
    <row r="1126" spans="1:25">
      <c r="A1126" t="s">
        <v>5972</v>
      </c>
      <c r="B1126" t="s">
        <v>5973</v>
      </c>
      <c r="D1126" t="s">
        <v>40</v>
      </c>
      <c r="E1126" t="s">
        <v>41</v>
      </c>
      <c r="G1126" t="s">
        <v>5974</v>
      </c>
      <c r="H1126" t="s">
        <v>5975</v>
      </c>
      <c r="J1126" t="s">
        <v>90</v>
      </c>
      <c r="K1126" t="s">
        <v>91</v>
      </c>
      <c r="L1126">
        <v>5</v>
      </c>
      <c r="M1126" t="s">
        <v>5976</v>
      </c>
      <c r="N1126" t="s">
        <v>47</v>
      </c>
      <c r="O1126" t="s">
        <v>48</v>
      </c>
      <c r="P1126" t="s">
        <v>48</v>
      </c>
      <c r="Y1126" t="s">
        <v>5977</v>
      </c>
    </row>
    <row r="1127" spans="1:25">
      <c r="A1127" t="s">
        <v>5978</v>
      </c>
      <c r="B1127" t="s">
        <v>5979</v>
      </c>
      <c r="D1127" t="s">
        <v>40</v>
      </c>
      <c r="E1127" t="s">
        <v>41</v>
      </c>
      <c r="G1127" t="s">
        <v>5980</v>
      </c>
      <c r="H1127" t="s">
        <v>5981</v>
      </c>
      <c r="J1127" t="s">
        <v>90</v>
      </c>
      <c r="K1127" t="s">
        <v>91</v>
      </c>
      <c r="L1127">
        <v>5</v>
      </c>
      <c r="M1127" t="s">
        <v>5976</v>
      </c>
      <c r="N1127" t="s">
        <v>47</v>
      </c>
      <c r="O1127" t="s">
        <v>48</v>
      </c>
      <c r="P1127" t="s">
        <v>48</v>
      </c>
      <c r="Y1127" t="s">
        <v>5982</v>
      </c>
    </row>
    <row r="1128" spans="1:25">
      <c r="A1128" t="s">
        <v>5983</v>
      </c>
      <c r="B1128" t="s">
        <v>5984</v>
      </c>
      <c r="D1128" t="s">
        <v>40</v>
      </c>
      <c r="E1128" t="s">
        <v>41</v>
      </c>
      <c r="G1128" t="s">
        <v>5985</v>
      </c>
      <c r="H1128" t="s">
        <v>5986</v>
      </c>
      <c r="J1128" t="s">
        <v>90</v>
      </c>
      <c r="K1128" t="s">
        <v>91</v>
      </c>
      <c r="L1128">
        <v>5</v>
      </c>
      <c r="M1128" t="s">
        <v>5987</v>
      </c>
      <c r="N1128" t="s">
        <v>47</v>
      </c>
      <c r="O1128" t="s">
        <v>48</v>
      </c>
      <c r="P1128" t="s">
        <v>48</v>
      </c>
      <c r="Y1128" t="s">
        <v>5988</v>
      </c>
    </row>
    <row r="1129" spans="1:25">
      <c r="A1129" t="s">
        <v>5989</v>
      </c>
      <c r="B1129" t="s">
        <v>5990</v>
      </c>
      <c r="D1129" t="s">
        <v>40</v>
      </c>
      <c r="E1129" t="s">
        <v>41</v>
      </c>
      <c r="G1129" t="s">
        <v>5991</v>
      </c>
      <c r="H1129" t="s">
        <v>5992</v>
      </c>
      <c r="J1129" t="s">
        <v>44</v>
      </c>
      <c r="K1129" t="s">
        <v>45</v>
      </c>
      <c r="L1129">
        <v>5</v>
      </c>
      <c r="M1129" t="s">
        <v>5993</v>
      </c>
      <c r="N1129" t="s">
        <v>47</v>
      </c>
      <c r="O1129" t="s">
        <v>48</v>
      </c>
      <c r="P1129" t="s">
        <v>48</v>
      </c>
      <c r="Y1129" t="s">
        <v>5994</v>
      </c>
    </row>
    <row r="1130" spans="1:25">
      <c r="A1130" t="s">
        <v>5995</v>
      </c>
      <c r="B1130" t="s">
        <v>5996</v>
      </c>
      <c r="D1130" t="s">
        <v>40</v>
      </c>
      <c r="E1130" t="s">
        <v>41</v>
      </c>
      <c r="G1130" t="s">
        <v>5997</v>
      </c>
      <c r="H1130" t="s">
        <v>5998</v>
      </c>
      <c r="J1130" t="s">
        <v>44</v>
      </c>
      <c r="K1130" t="s">
        <v>45</v>
      </c>
      <c r="L1130">
        <v>5</v>
      </c>
      <c r="M1130" t="s">
        <v>5999</v>
      </c>
      <c r="N1130" t="s">
        <v>47</v>
      </c>
      <c r="O1130" t="s">
        <v>48</v>
      </c>
      <c r="P1130" t="s">
        <v>48</v>
      </c>
      <c r="Y1130" t="s">
        <v>6000</v>
      </c>
    </row>
    <row r="1131" spans="1:25">
      <c r="A1131" t="s">
        <v>6001</v>
      </c>
      <c r="B1131" t="s">
        <v>6002</v>
      </c>
      <c r="D1131" t="s">
        <v>40</v>
      </c>
      <c r="E1131" t="s">
        <v>41</v>
      </c>
      <c r="G1131" t="s">
        <v>1885</v>
      </c>
      <c r="H1131" t="s">
        <v>3387</v>
      </c>
      <c r="J1131" t="s">
        <v>2328</v>
      </c>
      <c r="K1131" t="s">
        <v>2329</v>
      </c>
      <c r="L1131">
        <v>5</v>
      </c>
      <c r="M1131" t="s">
        <v>5999</v>
      </c>
      <c r="N1131" t="s">
        <v>685</v>
      </c>
      <c r="O1131" t="s">
        <v>48</v>
      </c>
      <c r="P1131" t="s">
        <v>48</v>
      </c>
      <c r="Y1131" t="s">
        <v>6003</v>
      </c>
    </row>
    <row r="1132" spans="1:25">
      <c r="A1132" t="s">
        <v>6004</v>
      </c>
      <c r="B1132" t="s">
        <v>6005</v>
      </c>
      <c r="D1132" t="s">
        <v>40</v>
      </c>
      <c r="E1132" t="s">
        <v>41</v>
      </c>
      <c r="G1132" t="s">
        <v>6006</v>
      </c>
      <c r="H1132" t="s">
        <v>6007</v>
      </c>
      <c r="J1132" t="s">
        <v>78</v>
      </c>
      <c r="K1132" t="s">
        <v>79</v>
      </c>
      <c r="L1132">
        <v>5</v>
      </c>
      <c r="M1132" t="s">
        <v>5999</v>
      </c>
      <c r="N1132" t="s">
        <v>47</v>
      </c>
      <c r="O1132" t="s">
        <v>48</v>
      </c>
      <c r="P1132" t="s">
        <v>48</v>
      </c>
      <c r="Y1132" t="s">
        <v>6008</v>
      </c>
    </row>
    <row r="1133" spans="1:25">
      <c r="A1133" t="s">
        <v>6009</v>
      </c>
      <c r="B1133" t="s">
        <v>6010</v>
      </c>
      <c r="D1133" t="s">
        <v>40</v>
      </c>
      <c r="E1133" t="s">
        <v>41</v>
      </c>
      <c r="G1133" t="s">
        <v>3376</v>
      </c>
      <c r="H1133" t="s">
        <v>6011</v>
      </c>
      <c r="J1133" t="s">
        <v>90</v>
      </c>
      <c r="K1133" t="s">
        <v>91</v>
      </c>
      <c r="L1133">
        <v>5</v>
      </c>
      <c r="M1133" t="s">
        <v>5999</v>
      </c>
      <c r="N1133" t="s">
        <v>47</v>
      </c>
      <c r="O1133" t="s">
        <v>48</v>
      </c>
      <c r="P1133" t="s">
        <v>48</v>
      </c>
      <c r="Y1133" t="s">
        <v>6012</v>
      </c>
    </row>
    <row r="1134" spans="1:25">
      <c r="A1134" t="s">
        <v>6013</v>
      </c>
      <c r="B1134" t="s">
        <v>6014</v>
      </c>
      <c r="D1134" t="s">
        <v>1832</v>
      </c>
      <c r="E1134" t="s">
        <v>41</v>
      </c>
      <c r="H1134" t="s">
        <v>6015</v>
      </c>
      <c r="J1134" t="s">
        <v>287</v>
      </c>
      <c r="K1134" t="s">
        <v>288</v>
      </c>
      <c r="L1134">
        <v>5</v>
      </c>
      <c r="M1134" t="s">
        <v>6016</v>
      </c>
      <c r="N1134" t="s">
        <v>135</v>
      </c>
      <c r="O1134" t="s">
        <v>1835</v>
      </c>
      <c r="P1134" t="s">
        <v>1835</v>
      </c>
      <c r="Y1134" t="s">
        <v>6015</v>
      </c>
    </row>
    <row r="1135" spans="1:25">
      <c r="A1135" t="s">
        <v>6017</v>
      </c>
      <c r="B1135" t="s">
        <v>6018</v>
      </c>
      <c r="D1135" t="s">
        <v>1832</v>
      </c>
      <c r="E1135" t="s">
        <v>41</v>
      </c>
      <c r="H1135" t="s">
        <v>6019</v>
      </c>
      <c r="J1135" t="s">
        <v>234</v>
      </c>
      <c r="K1135" t="s">
        <v>235</v>
      </c>
      <c r="L1135">
        <v>5</v>
      </c>
      <c r="M1135" t="s">
        <v>6020</v>
      </c>
      <c r="N1135" t="s">
        <v>47</v>
      </c>
      <c r="O1135" t="s">
        <v>1835</v>
      </c>
      <c r="P1135" t="s">
        <v>1835</v>
      </c>
      <c r="Y1135" t="s">
        <v>6019</v>
      </c>
    </row>
    <row r="1136" spans="1:25">
      <c r="A1136" t="s">
        <v>6021</v>
      </c>
      <c r="B1136" t="s">
        <v>6022</v>
      </c>
      <c r="D1136" t="s">
        <v>40</v>
      </c>
      <c r="E1136" t="s">
        <v>41</v>
      </c>
      <c r="G1136" t="s">
        <v>6023</v>
      </c>
      <c r="H1136" t="s">
        <v>6024</v>
      </c>
      <c r="J1136" t="s">
        <v>90</v>
      </c>
      <c r="K1136" t="s">
        <v>91</v>
      </c>
      <c r="L1136">
        <v>5</v>
      </c>
      <c r="M1136" t="s">
        <v>6025</v>
      </c>
      <c r="N1136" t="s">
        <v>47</v>
      </c>
      <c r="O1136" t="s">
        <v>48</v>
      </c>
      <c r="P1136" t="s">
        <v>48</v>
      </c>
      <c r="Y1136" t="s">
        <v>6026</v>
      </c>
    </row>
    <row r="1137" spans="1:25">
      <c r="A1137" t="s">
        <v>6027</v>
      </c>
      <c r="B1137" t="s">
        <v>6028</v>
      </c>
      <c r="D1137" t="s">
        <v>40</v>
      </c>
      <c r="E1137" t="s">
        <v>41</v>
      </c>
      <c r="G1137" t="s">
        <v>6029</v>
      </c>
      <c r="H1137" t="s">
        <v>6030</v>
      </c>
      <c r="J1137" t="s">
        <v>2328</v>
      </c>
      <c r="K1137" t="s">
        <v>2329</v>
      </c>
      <c r="L1137">
        <v>5</v>
      </c>
      <c r="M1137" t="s">
        <v>6031</v>
      </c>
      <c r="N1137" t="s">
        <v>685</v>
      </c>
      <c r="O1137" t="s">
        <v>48</v>
      </c>
      <c r="P1137" t="s">
        <v>48</v>
      </c>
      <c r="Y1137" t="s">
        <v>6032</v>
      </c>
    </row>
    <row r="1138" spans="1:25">
      <c r="A1138" t="s">
        <v>6033</v>
      </c>
      <c r="B1138" t="s">
        <v>6034</v>
      </c>
      <c r="D1138" t="s">
        <v>40</v>
      </c>
      <c r="E1138" t="s">
        <v>41</v>
      </c>
      <c r="J1138" t="s">
        <v>78</v>
      </c>
      <c r="K1138" t="s">
        <v>79</v>
      </c>
      <c r="L1138">
        <v>5</v>
      </c>
      <c r="M1138" t="s">
        <v>6035</v>
      </c>
      <c r="N1138" t="s">
        <v>47</v>
      </c>
      <c r="O1138" t="s">
        <v>48</v>
      </c>
      <c r="P1138" t="s">
        <v>48</v>
      </c>
      <c r="Y1138" t="s">
        <v>6036</v>
      </c>
    </row>
    <row r="1139" spans="1:25">
      <c r="A1139" t="s">
        <v>6037</v>
      </c>
      <c r="B1139" t="s">
        <v>6038</v>
      </c>
      <c r="D1139" t="s">
        <v>40</v>
      </c>
      <c r="E1139" t="s">
        <v>41</v>
      </c>
      <c r="G1139" t="s">
        <v>6039</v>
      </c>
      <c r="H1139" t="s">
        <v>6040</v>
      </c>
      <c r="J1139" t="s">
        <v>44</v>
      </c>
      <c r="K1139" t="s">
        <v>45</v>
      </c>
      <c r="L1139">
        <v>5</v>
      </c>
      <c r="M1139" t="s">
        <v>6035</v>
      </c>
      <c r="N1139" t="s">
        <v>47</v>
      </c>
      <c r="O1139" t="s">
        <v>48</v>
      </c>
      <c r="P1139" t="s">
        <v>48</v>
      </c>
      <c r="Y1139" t="s">
        <v>6041</v>
      </c>
    </row>
    <row r="1140" spans="1:25">
      <c r="A1140" t="s">
        <v>6042</v>
      </c>
      <c r="B1140" t="s">
        <v>6043</v>
      </c>
      <c r="D1140" t="s">
        <v>40</v>
      </c>
      <c r="E1140" t="s">
        <v>41</v>
      </c>
      <c r="G1140" t="s">
        <v>938</v>
      </c>
      <c r="H1140" t="s">
        <v>6044</v>
      </c>
      <c r="J1140" t="s">
        <v>44</v>
      </c>
      <c r="K1140" t="s">
        <v>45</v>
      </c>
      <c r="L1140">
        <v>5</v>
      </c>
      <c r="M1140" t="s">
        <v>6035</v>
      </c>
      <c r="N1140" t="s">
        <v>47</v>
      </c>
      <c r="O1140" t="s">
        <v>48</v>
      </c>
      <c r="P1140" t="s">
        <v>48</v>
      </c>
      <c r="Y1140" t="s">
        <v>6045</v>
      </c>
    </row>
    <row r="1141" spans="1:25">
      <c r="A1141" t="s">
        <v>6046</v>
      </c>
      <c r="B1141" t="s">
        <v>6047</v>
      </c>
      <c r="D1141" t="s">
        <v>40</v>
      </c>
      <c r="E1141" t="s">
        <v>41</v>
      </c>
      <c r="G1141" t="s">
        <v>1076</v>
      </c>
      <c r="H1141" t="s">
        <v>6048</v>
      </c>
      <c r="J1141" t="s">
        <v>78</v>
      </c>
      <c r="K1141" t="s">
        <v>79</v>
      </c>
      <c r="L1141">
        <v>5</v>
      </c>
      <c r="M1141" t="s">
        <v>6035</v>
      </c>
      <c r="N1141" t="s">
        <v>47</v>
      </c>
      <c r="O1141" t="s">
        <v>48</v>
      </c>
      <c r="P1141" t="s">
        <v>48</v>
      </c>
      <c r="Y1141" t="s">
        <v>6049</v>
      </c>
    </row>
    <row r="1142" spans="1:25">
      <c r="A1142" t="s">
        <v>6050</v>
      </c>
      <c r="B1142" t="s">
        <v>6051</v>
      </c>
      <c r="D1142" t="s">
        <v>40</v>
      </c>
      <c r="E1142" t="s">
        <v>41</v>
      </c>
      <c r="G1142" t="s">
        <v>6052</v>
      </c>
      <c r="H1142" t="s">
        <v>6053</v>
      </c>
      <c r="J1142" t="s">
        <v>5844</v>
      </c>
      <c r="K1142" t="s">
        <v>5845</v>
      </c>
      <c r="L1142">
        <v>5</v>
      </c>
      <c r="M1142" t="s">
        <v>6054</v>
      </c>
      <c r="N1142" t="s">
        <v>135</v>
      </c>
      <c r="O1142" t="s">
        <v>48</v>
      </c>
      <c r="P1142" t="s">
        <v>48</v>
      </c>
      <c r="Y1142" t="s">
        <v>6055</v>
      </c>
    </row>
    <row r="1143" spans="1:25">
      <c r="A1143" t="s">
        <v>6056</v>
      </c>
      <c r="B1143" t="s">
        <v>6057</v>
      </c>
      <c r="D1143" t="s">
        <v>40</v>
      </c>
      <c r="E1143" t="s">
        <v>41</v>
      </c>
      <c r="G1143" t="s">
        <v>6058</v>
      </c>
      <c r="H1143" t="s">
        <v>6059</v>
      </c>
      <c r="J1143" t="s">
        <v>90</v>
      </c>
      <c r="K1143" t="s">
        <v>91</v>
      </c>
      <c r="L1143">
        <v>5</v>
      </c>
      <c r="M1143" t="s">
        <v>6054</v>
      </c>
      <c r="N1143" t="s">
        <v>47</v>
      </c>
      <c r="O1143" t="s">
        <v>48</v>
      </c>
      <c r="P1143" t="s">
        <v>48</v>
      </c>
      <c r="Y1143" t="s">
        <v>6060</v>
      </c>
    </row>
    <row r="1144" spans="1:25">
      <c r="A1144" t="s">
        <v>6061</v>
      </c>
      <c r="B1144" t="s">
        <v>6062</v>
      </c>
      <c r="D1144" t="s">
        <v>40</v>
      </c>
      <c r="E1144" t="s">
        <v>41</v>
      </c>
      <c r="G1144" t="s">
        <v>5365</v>
      </c>
      <c r="H1144" t="s">
        <v>6063</v>
      </c>
      <c r="J1144" t="s">
        <v>90</v>
      </c>
      <c r="K1144" t="s">
        <v>91</v>
      </c>
      <c r="L1144">
        <v>5</v>
      </c>
      <c r="M1144" t="s">
        <v>6064</v>
      </c>
      <c r="N1144" t="s">
        <v>47</v>
      </c>
      <c r="O1144" t="s">
        <v>48</v>
      </c>
      <c r="P1144" t="s">
        <v>48</v>
      </c>
      <c r="Y1144" t="s">
        <v>6065</v>
      </c>
    </row>
    <row r="1145" spans="1:25">
      <c r="A1145" t="s">
        <v>6066</v>
      </c>
      <c r="B1145" t="s">
        <v>6067</v>
      </c>
      <c r="D1145" t="s">
        <v>40</v>
      </c>
      <c r="E1145" t="s">
        <v>41</v>
      </c>
      <c r="G1145" t="s">
        <v>6068</v>
      </c>
      <c r="H1145" t="s">
        <v>2152</v>
      </c>
      <c r="J1145" t="s">
        <v>54</v>
      </c>
      <c r="K1145" t="s">
        <v>55</v>
      </c>
      <c r="L1145">
        <v>5</v>
      </c>
      <c r="M1145" t="s">
        <v>6069</v>
      </c>
      <c r="N1145" t="s">
        <v>47</v>
      </c>
      <c r="O1145" t="s">
        <v>48</v>
      </c>
      <c r="P1145" t="s">
        <v>48</v>
      </c>
      <c r="Y1145" t="s">
        <v>6070</v>
      </c>
    </row>
    <row r="1146" spans="1:25">
      <c r="A1146" t="s">
        <v>6071</v>
      </c>
      <c r="B1146" t="s">
        <v>6072</v>
      </c>
      <c r="D1146" t="s">
        <v>40</v>
      </c>
      <c r="E1146" t="s">
        <v>41</v>
      </c>
      <c r="G1146" t="s">
        <v>6073</v>
      </c>
      <c r="H1146" t="s">
        <v>6074</v>
      </c>
      <c r="J1146" t="s">
        <v>90</v>
      </c>
      <c r="K1146" t="s">
        <v>91</v>
      </c>
      <c r="L1146">
        <v>5</v>
      </c>
      <c r="M1146" t="s">
        <v>6075</v>
      </c>
      <c r="N1146" t="s">
        <v>47</v>
      </c>
      <c r="O1146" t="s">
        <v>48</v>
      </c>
      <c r="P1146" t="s">
        <v>48</v>
      </c>
      <c r="Y1146" t="s">
        <v>6076</v>
      </c>
    </row>
    <row r="1147" spans="1:25">
      <c r="A1147" t="s">
        <v>6077</v>
      </c>
      <c r="B1147" t="s">
        <v>6078</v>
      </c>
      <c r="D1147" t="s">
        <v>40</v>
      </c>
      <c r="E1147" t="s">
        <v>41</v>
      </c>
      <c r="G1147" t="s">
        <v>1265</v>
      </c>
      <c r="H1147" t="s">
        <v>6079</v>
      </c>
      <c r="J1147" t="s">
        <v>90</v>
      </c>
      <c r="K1147" t="s">
        <v>91</v>
      </c>
      <c r="L1147">
        <v>5</v>
      </c>
      <c r="M1147" t="s">
        <v>6075</v>
      </c>
      <c r="N1147" t="s">
        <v>47</v>
      </c>
      <c r="O1147" t="s">
        <v>48</v>
      </c>
      <c r="P1147" t="s">
        <v>48</v>
      </c>
      <c r="Y1147" t="s">
        <v>6080</v>
      </c>
    </row>
    <row r="1148" spans="1:25">
      <c r="A1148" t="s">
        <v>6081</v>
      </c>
      <c r="B1148" t="s">
        <v>6082</v>
      </c>
      <c r="D1148" t="s">
        <v>40</v>
      </c>
      <c r="E1148" t="s">
        <v>41</v>
      </c>
      <c r="G1148" t="s">
        <v>2291</v>
      </c>
      <c r="H1148" t="s">
        <v>6083</v>
      </c>
      <c r="J1148" t="s">
        <v>90</v>
      </c>
      <c r="K1148" t="s">
        <v>91</v>
      </c>
      <c r="L1148">
        <v>5</v>
      </c>
      <c r="M1148" t="s">
        <v>6075</v>
      </c>
      <c r="N1148" t="s">
        <v>47</v>
      </c>
      <c r="O1148" t="s">
        <v>48</v>
      </c>
      <c r="P1148" t="s">
        <v>48</v>
      </c>
      <c r="Y1148" t="s">
        <v>6084</v>
      </c>
    </row>
    <row r="1149" spans="1:25">
      <c r="A1149" t="s">
        <v>6085</v>
      </c>
      <c r="B1149" t="s">
        <v>6086</v>
      </c>
      <c r="D1149" t="s">
        <v>40</v>
      </c>
      <c r="E1149" t="s">
        <v>41</v>
      </c>
      <c r="G1149" t="s">
        <v>2409</v>
      </c>
      <c r="H1149" t="s">
        <v>6087</v>
      </c>
      <c r="J1149" t="s">
        <v>90</v>
      </c>
      <c r="K1149" t="s">
        <v>91</v>
      </c>
      <c r="L1149">
        <v>5</v>
      </c>
      <c r="M1149" t="s">
        <v>6075</v>
      </c>
      <c r="N1149" t="s">
        <v>47</v>
      </c>
      <c r="O1149" t="s">
        <v>48</v>
      </c>
      <c r="P1149" t="s">
        <v>48</v>
      </c>
      <c r="Y1149" t="s">
        <v>6088</v>
      </c>
    </row>
    <row r="1150" spans="1:25">
      <c r="A1150" t="s">
        <v>6089</v>
      </c>
      <c r="B1150" t="s">
        <v>6090</v>
      </c>
      <c r="D1150" t="s">
        <v>1832</v>
      </c>
      <c r="E1150" t="s">
        <v>41</v>
      </c>
      <c r="H1150" t="s">
        <v>6091</v>
      </c>
      <c r="J1150" t="s">
        <v>234</v>
      </c>
      <c r="K1150" t="s">
        <v>235</v>
      </c>
      <c r="L1150">
        <v>5</v>
      </c>
      <c r="M1150" t="s">
        <v>6092</v>
      </c>
      <c r="N1150" t="s">
        <v>47</v>
      </c>
      <c r="O1150" t="s">
        <v>1835</v>
      </c>
      <c r="P1150" t="s">
        <v>1835</v>
      </c>
      <c r="Y1150" t="s">
        <v>6091</v>
      </c>
    </row>
    <row r="1151" spans="1:25">
      <c r="A1151" t="s">
        <v>6093</v>
      </c>
      <c r="B1151" t="s">
        <v>6094</v>
      </c>
      <c r="D1151" t="s">
        <v>1832</v>
      </c>
      <c r="E1151" t="s">
        <v>41</v>
      </c>
      <c r="H1151" t="s">
        <v>6095</v>
      </c>
      <c r="J1151" t="s">
        <v>2328</v>
      </c>
      <c r="K1151" t="s">
        <v>2329</v>
      </c>
      <c r="L1151">
        <v>4</v>
      </c>
      <c r="M1151" t="s">
        <v>6096</v>
      </c>
      <c r="N1151" t="s">
        <v>685</v>
      </c>
      <c r="O1151" t="s">
        <v>1835</v>
      </c>
      <c r="P1151" t="s">
        <v>1835</v>
      </c>
      <c r="Y1151" t="s">
        <v>6095</v>
      </c>
    </row>
    <row r="1152" spans="1:25">
      <c r="A1152" t="s">
        <v>6097</v>
      </c>
      <c r="B1152" t="s">
        <v>6098</v>
      </c>
      <c r="D1152" t="s">
        <v>1832</v>
      </c>
      <c r="E1152" t="s">
        <v>41</v>
      </c>
      <c r="H1152" t="s">
        <v>6099</v>
      </c>
      <c r="J1152" t="s">
        <v>133</v>
      </c>
      <c r="K1152" t="s">
        <v>134</v>
      </c>
      <c r="L1152">
        <v>5</v>
      </c>
      <c r="M1152" t="s">
        <v>6100</v>
      </c>
      <c r="N1152" t="s">
        <v>685</v>
      </c>
      <c r="O1152" t="s">
        <v>1835</v>
      </c>
      <c r="P1152" t="s">
        <v>1835</v>
      </c>
      <c r="Y1152" t="s">
        <v>6099</v>
      </c>
    </row>
    <row r="1153" spans="1:25">
      <c r="A1153" t="s">
        <v>6101</v>
      </c>
      <c r="B1153" t="s">
        <v>6102</v>
      </c>
      <c r="D1153" t="s">
        <v>40</v>
      </c>
      <c r="E1153" t="s">
        <v>41</v>
      </c>
      <c r="G1153" t="s">
        <v>6103</v>
      </c>
      <c r="H1153" t="s">
        <v>6104</v>
      </c>
      <c r="J1153" t="s">
        <v>90</v>
      </c>
      <c r="K1153" t="s">
        <v>91</v>
      </c>
      <c r="L1153">
        <v>5</v>
      </c>
      <c r="M1153" t="s">
        <v>6105</v>
      </c>
      <c r="N1153" t="s">
        <v>47</v>
      </c>
      <c r="O1153" t="s">
        <v>48</v>
      </c>
      <c r="P1153" t="s">
        <v>48</v>
      </c>
      <c r="Y1153" t="s">
        <v>6106</v>
      </c>
    </row>
    <row r="1154" spans="1:25">
      <c r="A1154" t="s">
        <v>6107</v>
      </c>
      <c r="B1154" t="s">
        <v>6108</v>
      </c>
      <c r="D1154" t="s">
        <v>40</v>
      </c>
      <c r="E1154" t="s">
        <v>41</v>
      </c>
      <c r="G1154" t="s">
        <v>6109</v>
      </c>
      <c r="H1154" t="s">
        <v>6110</v>
      </c>
      <c r="J1154" t="s">
        <v>44</v>
      </c>
      <c r="K1154" t="s">
        <v>45</v>
      </c>
      <c r="L1154">
        <v>5</v>
      </c>
      <c r="M1154" t="s">
        <v>6111</v>
      </c>
      <c r="N1154" t="s">
        <v>47</v>
      </c>
      <c r="O1154" t="s">
        <v>48</v>
      </c>
      <c r="P1154" t="s">
        <v>48</v>
      </c>
      <c r="Y1154" t="s">
        <v>6112</v>
      </c>
    </row>
    <row r="1155" spans="1:25">
      <c r="A1155" t="s">
        <v>6113</v>
      </c>
      <c r="B1155" t="s">
        <v>6114</v>
      </c>
      <c r="D1155" t="s">
        <v>40</v>
      </c>
      <c r="E1155" t="s">
        <v>41</v>
      </c>
      <c r="G1155" t="s">
        <v>6115</v>
      </c>
      <c r="H1155" t="s">
        <v>6116</v>
      </c>
      <c r="J1155" t="s">
        <v>90</v>
      </c>
      <c r="K1155" t="s">
        <v>91</v>
      </c>
      <c r="L1155">
        <v>5</v>
      </c>
      <c r="M1155" t="s">
        <v>6117</v>
      </c>
      <c r="N1155" t="s">
        <v>47</v>
      </c>
      <c r="O1155" t="s">
        <v>48</v>
      </c>
      <c r="P1155" t="s">
        <v>48</v>
      </c>
      <c r="Y1155" t="s">
        <v>6118</v>
      </c>
    </row>
    <row r="1156" spans="1:25">
      <c r="A1156" t="s">
        <v>6119</v>
      </c>
      <c r="B1156" t="s">
        <v>6120</v>
      </c>
      <c r="D1156" t="s">
        <v>40</v>
      </c>
      <c r="E1156" t="s">
        <v>41</v>
      </c>
      <c r="G1156" t="s">
        <v>6121</v>
      </c>
      <c r="H1156" t="s">
        <v>6122</v>
      </c>
      <c r="J1156" t="s">
        <v>90</v>
      </c>
      <c r="K1156" t="s">
        <v>91</v>
      </c>
      <c r="L1156">
        <v>5</v>
      </c>
      <c r="M1156" t="s">
        <v>6123</v>
      </c>
      <c r="N1156" t="s">
        <v>47</v>
      </c>
      <c r="O1156" t="s">
        <v>48</v>
      </c>
      <c r="P1156" t="s">
        <v>48</v>
      </c>
      <c r="Y1156" t="s">
        <v>6124</v>
      </c>
    </row>
    <row r="1157" spans="1:25">
      <c r="A1157" t="s">
        <v>6125</v>
      </c>
      <c r="B1157" t="s">
        <v>6126</v>
      </c>
      <c r="D1157" t="s">
        <v>40</v>
      </c>
      <c r="E1157" t="s">
        <v>41</v>
      </c>
      <c r="G1157" t="s">
        <v>222</v>
      </c>
      <c r="H1157" t="s">
        <v>6127</v>
      </c>
      <c r="J1157" t="s">
        <v>90</v>
      </c>
      <c r="K1157" t="s">
        <v>91</v>
      </c>
      <c r="L1157">
        <v>5</v>
      </c>
      <c r="M1157" t="s">
        <v>6123</v>
      </c>
      <c r="N1157" t="s">
        <v>47</v>
      </c>
      <c r="O1157" t="s">
        <v>48</v>
      </c>
      <c r="P1157" t="s">
        <v>48</v>
      </c>
      <c r="Y1157" t="s">
        <v>6128</v>
      </c>
    </row>
    <row r="1158" spans="1:25">
      <c r="A1158" t="s">
        <v>6129</v>
      </c>
      <c r="B1158" t="s">
        <v>6130</v>
      </c>
      <c r="D1158" t="s">
        <v>40</v>
      </c>
      <c r="E1158" t="s">
        <v>41</v>
      </c>
      <c r="J1158" t="s">
        <v>44</v>
      </c>
      <c r="K1158" t="s">
        <v>45</v>
      </c>
      <c r="L1158">
        <v>5</v>
      </c>
      <c r="M1158" t="s">
        <v>6123</v>
      </c>
      <c r="N1158" t="s">
        <v>47</v>
      </c>
      <c r="O1158" t="s">
        <v>48</v>
      </c>
      <c r="P1158" t="s">
        <v>48</v>
      </c>
      <c r="Y1158" t="s">
        <v>6131</v>
      </c>
    </row>
    <row r="1159" spans="1:25">
      <c r="A1159" t="s">
        <v>6132</v>
      </c>
      <c r="B1159" t="s">
        <v>6133</v>
      </c>
      <c r="D1159" t="s">
        <v>40</v>
      </c>
      <c r="E1159" t="s">
        <v>41</v>
      </c>
      <c r="G1159" t="s">
        <v>6134</v>
      </c>
      <c r="H1159" t="s">
        <v>6135</v>
      </c>
      <c r="J1159" t="s">
        <v>44</v>
      </c>
      <c r="K1159" t="s">
        <v>45</v>
      </c>
      <c r="L1159">
        <v>5</v>
      </c>
      <c r="M1159" t="s">
        <v>6123</v>
      </c>
      <c r="N1159" t="s">
        <v>47</v>
      </c>
      <c r="O1159" t="s">
        <v>48</v>
      </c>
      <c r="P1159" t="s">
        <v>48</v>
      </c>
      <c r="Y1159" t="s">
        <v>6136</v>
      </c>
    </row>
    <row r="1160" spans="1:25">
      <c r="A1160" t="s">
        <v>6137</v>
      </c>
      <c r="B1160" t="s">
        <v>6138</v>
      </c>
      <c r="D1160" t="s">
        <v>40</v>
      </c>
      <c r="E1160" t="s">
        <v>41</v>
      </c>
      <c r="G1160" t="s">
        <v>6139</v>
      </c>
      <c r="H1160" t="s">
        <v>6140</v>
      </c>
      <c r="J1160" t="s">
        <v>54</v>
      </c>
      <c r="K1160" t="s">
        <v>55</v>
      </c>
      <c r="L1160">
        <v>5</v>
      </c>
      <c r="M1160" t="s">
        <v>6141</v>
      </c>
      <c r="N1160" t="s">
        <v>47</v>
      </c>
      <c r="O1160" t="s">
        <v>48</v>
      </c>
      <c r="P1160" t="s">
        <v>48</v>
      </c>
      <c r="Y1160" t="s">
        <v>6142</v>
      </c>
    </row>
    <row r="1161" spans="1:25">
      <c r="A1161" t="s">
        <v>6143</v>
      </c>
      <c r="B1161" t="s">
        <v>6144</v>
      </c>
      <c r="D1161" t="s">
        <v>40</v>
      </c>
      <c r="E1161" t="s">
        <v>41</v>
      </c>
      <c r="G1161" t="s">
        <v>6145</v>
      </c>
      <c r="H1161" t="s">
        <v>6146</v>
      </c>
      <c r="J1161" t="s">
        <v>133</v>
      </c>
      <c r="K1161" t="s">
        <v>134</v>
      </c>
      <c r="L1161">
        <v>5</v>
      </c>
      <c r="M1161" t="s">
        <v>6147</v>
      </c>
      <c r="N1161" t="s">
        <v>135</v>
      </c>
      <c r="O1161" t="s">
        <v>48</v>
      </c>
      <c r="P1161" t="s">
        <v>48</v>
      </c>
      <c r="Y1161" t="s">
        <v>6148</v>
      </c>
    </row>
    <row r="1162" spans="1:25">
      <c r="A1162" t="s">
        <v>6149</v>
      </c>
      <c r="B1162" t="s">
        <v>6150</v>
      </c>
      <c r="D1162" t="s">
        <v>40</v>
      </c>
      <c r="E1162" t="s">
        <v>41</v>
      </c>
      <c r="G1162" t="s">
        <v>2954</v>
      </c>
      <c r="H1162" t="s">
        <v>2471</v>
      </c>
      <c r="J1162" t="s">
        <v>54</v>
      </c>
      <c r="K1162" t="s">
        <v>55</v>
      </c>
      <c r="L1162">
        <v>5</v>
      </c>
      <c r="M1162" t="s">
        <v>6147</v>
      </c>
      <c r="N1162" t="s">
        <v>47</v>
      </c>
      <c r="O1162" t="s">
        <v>48</v>
      </c>
      <c r="P1162" t="s">
        <v>48</v>
      </c>
      <c r="Y1162" t="s">
        <v>6151</v>
      </c>
    </row>
    <row r="1163" spans="1:25">
      <c r="A1163" t="s">
        <v>6152</v>
      </c>
      <c r="B1163" t="s">
        <v>6153</v>
      </c>
      <c r="D1163" t="s">
        <v>40</v>
      </c>
      <c r="E1163" t="s">
        <v>41</v>
      </c>
      <c r="G1163" t="s">
        <v>1696</v>
      </c>
      <c r="H1163" t="s">
        <v>2462</v>
      </c>
      <c r="J1163" t="s">
        <v>353</v>
      </c>
      <c r="K1163" t="s">
        <v>354</v>
      </c>
      <c r="L1163">
        <v>5</v>
      </c>
      <c r="M1163" t="s">
        <v>6154</v>
      </c>
      <c r="N1163" t="s">
        <v>685</v>
      </c>
      <c r="O1163" t="s">
        <v>48</v>
      </c>
      <c r="P1163" t="s">
        <v>48</v>
      </c>
      <c r="Y1163" t="s">
        <v>6155</v>
      </c>
    </row>
    <row r="1164" spans="1:25">
      <c r="A1164" t="s">
        <v>6156</v>
      </c>
      <c r="B1164" t="s">
        <v>6157</v>
      </c>
      <c r="D1164" t="s">
        <v>40</v>
      </c>
      <c r="E1164" t="s">
        <v>41</v>
      </c>
      <c r="G1164" t="s">
        <v>2482</v>
      </c>
      <c r="H1164" t="s">
        <v>6158</v>
      </c>
      <c r="J1164" t="s">
        <v>90</v>
      </c>
      <c r="K1164" t="s">
        <v>91</v>
      </c>
      <c r="L1164">
        <v>5</v>
      </c>
      <c r="M1164" t="s">
        <v>6159</v>
      </c>
      <c r="N1164" t="s">
        <v>47</v>
      </c>
      <c r="O1164" t="s">
        <v>48</v>
      </c>
      <c r="P1164" t="s">
        <v>48</v>
      </c>
      <c r="Y1164" t="s">
        <v>6160</v>
      </c>
    </row>
    <row r="1165" spans="1:25">
      <c r="A1165" t="s">
        <v>6161</v>
      </c>
      <c r="B1165" t="s">
        <v>6162</v>
      </c>
      <c r="D1165" t="s">
        <v>40</v>
      </c>
      <c r="E1165" t="s">
        <v>41</v>
      </c>
      <c r="G1165" t="s">
        <v>6163</v>
      </c>
      <c r="H1165" t="s">
        <v>6164</v>
      </c>
      <c r="J1165" t="s">
        <v>54</v>
      </c>
      <c r="K1165" t="s">
        <v>55</v>
      </c>
      <c r="L1165">
        <v>5</v>
      </c>
      <c r="M1165" t="s">
        <v>6159</v>
      </c>
      <c r="N1165" t="s">
        <v>47</v>
      </c>
      <c r="O1165" t="s">
        <v>48</v>
      </c>
      <c r="P1165" t="s">
        <v>48</v>
      </c>
      <c r="Y1165" t="s">
        <v>6165</v>
      </c>
    </row>
    <row r="1166" spans="1:25">
      <c r="A1166" t="s">
        <v>6166</v>
      </c>
      <c r="B1166" t="s">
        <v>6167</v>
      </c>
      <c r="D1166" t="s">
        <v>40</v>
      </c>
      <c r="E1166" t="s">
        <v>41</v>
      </c>
      <c r="G1166" t="s">
        <v>6168</v>
      </c>
      <c r="H1166" t="s">
        <v>6169</v>
      </c>
      <c r="J1166" t="s">
        <v>90</v>
      </c>
      <c r="K1166" t="s">
        <v>91</v>
      </c>
      <c r="L1166">
        <v>5</v>
      </c>
      <c r="M1166" t="s">
        <v>6159</v>
      </c>
      <c r="N1166" t="s">
        <v>47</v>
      </c>
      <c r="O1166" t="s">
        <v>48</v>
      </c>
      <c r="P1166" t="s">
        <v>48</v>
      </c>
      <c r="Y1166" t="s">
        <v>6170</v>
      </c>
    </row>
    <row r="1167" spans="1:25">
      <c r="A1167" t="s">
        <v>6171</v>
      </c>
      <c r="B1167" t="s">
        <v>6172</v>
      </c>
      <c r="D1167" t="s">
        <v>40</v>
      </c>
      <c r="E1167" t="s">
        <v>41</v>
      </c>
      <c r="G1167" t="s">
        <v>810</v>
      </c>
      <c r="H1167" t="s">
        <v>4052</v>
      </c>
      <c r="J1167" t="s">
        <v>90</v>
      </c>
      <c r="K1167" t="s">
        <v>91</v>
      </c>
      <c r="L1167">
        <v>5</v>
      </c>
      <c r="M1167" t="s">
        <v>6159</v>
      </c>
      <c r="N1167" t="s">
        <v>47</v>
      </c>
      <c r="O1167" t="s">
        <v>48</v>
      </c>
      <c r="P1167" t="s">
        <v>48</v>
      </c>
      <c r="Y1167" t="s">
        <v>6173</v>
      </c>
    </row>
    <row r="1168" spans="1:25">
      <c r="A1168" t="s">
        <v>6174</v>
      </c>
      <c r="B1168" t="s">
        <v>6175</v>
      </c>
      <c r="D1168" t="s">
        <v>40</v>
      </c>
      <c r="E1168" t="s">
        <v>41</v>
      </c>
      <c r="G1168" t="s">
        <v>6176</v>
      </c>
      <c r="H1168" t="s">
        <v>6177</v>
      </c>
      <c r="J1168" t="s">
        <v>6178</v>
      </c>
      <c r="K1168" t="s">
        <v>6179</v>
      </c>
      <c r="L1168">
        <v>5</v>
      </c>
      <c r="M1168" t="s">
        <v>6180</v>
      </c>
      <c r="N1168" t="s">
        <v>290</v>
      </c>
      <c r="O1168" t="s">
        <v>48</v>
      </c>
      <c r="P1168" t="s">
        <v>48</v>
      </c>
      <c r="Y1168" t="s">
        <v>6181</v>
      </c>
    </row>
    <row r="1169" spans="1:25">
      <c r="A1169" t="s">
        <v>6182</v>
      </c>
      <c r="B1169" t="s">
        <v>6183</v>
      </c>
      <c r="D1169" t="s">
        <v>40</v>
      </c>
      <c r="E1169" t="s">
        <v>41</v>
      </c>
      <c r="G1169" t="s">
        <v>6184</v>
      </c>
      <c r="H1169" t="s">
        <v>6185</v>
      </c>
      <c r="J1169" t="s">
        <v>78</v>
      </c>
      <c r="K1169" t="s">
        <v>79</v>
      </c>
      <c r="L1169">
        <v>5</v>
      </c>
      <c r="M1169" t="s">
        <v>6186</v>
      </c>
      <c r="N1169" t="s">
        <v>47</v>
      </c>
      <c r="O1169" t="s">
        <v>48</v>
      </c>
      <c r="P1169" t="s">
        <v>48</v>
      </c>
      <c r="Y1169" t="s">
        <v>6187</v>
      </c>
    </row>
    <row r="1170" spans="1:25">
      <c r="A1170" t="s">
        <v>6188</v>
      </c>
      <c r="B1170" t="s">
        <v>6189</v>
      </c>
      <c r="D1170" t="s">
        <v>40</v>
      </c>
      <c r="E1170" t="s">
        <v>41</v>
      </c>
      <c r="G1170" t="s">
        <v>1786</v>
      </c>
      <c r="H1170" t="s">
        <v>6190</v>
      </c>
      <c r="J1170" t="s">
        <v>90</v>
      </c>
      <c r="K1170" t="s">
        <v>91</v>
      </c>
      <c r="L1170">
        <v>5</v>
      </c>
      <c r="M1170" t="s">
        <v>6186</v>
      </c>
      <c r="N1170" t="s">
        <v>47</v>
      </c>
      <c r="O1170" t="s">
        <v>48</v>
      </c>
      <c r="P1170" t="s">
        <v>48</v>
      </c>
      <c r="Y1170" t="s">
        <v>6191</v>
      </c>
    </row>
    <row r="1171" spans="1:25">
      <c r="A1171" t="s">
        <v>6192</v>
      </c>
      <c r="B1171" t="s">
        <v>6193</v>
      </c>
      <c r="D1171" t="s">
        <v>40</v>
      </c>
      <c r="E1171" t="s">
        <v>41</v>
      </c>
      <c r="G1171" t="s">
        <v>2409</v>
      </c>
      <c r="H1171" t="s">
        <v>6194</v>
      </c>
      <c r="J1171" t="s">
        <v>133</v>
      </c>
      <c r="K1171" t="s">
        <v>134</v>
      </c>
      <c r="L1171">
        <v>5</v>
      </c>
      <c r="M1171" t="s">
        <v>6195</v>
      </c>
      <c r="N1171" t="s">
        <v>135</v>
      </c>
      <c r="O1171" t="s">
        <v>48</v>
      </c>
      <c r="P1171" t="s">
        <v>48</v>
      </c>
      <c r="Y1171" t="s">
        <v>6196</v>
      </c>
    </row>
    <row r="1172" spans="1:25">
      <c r="A1172" t="s">
        <v>6197</v>
      </c>
      <c r="B1172" t="s">
        <v>6198</v>
      </c>
      <c r="D1172" t="s">
        <v>40</v>
      </c>
      <c r="E1172" t="s">
        <v>41</v>
      </c>
      <c r="G1172" t="s">
        <v>6199</v>
      </c>
      <c r="H1172" t="s">
        <v>6200</v>
      </c>
      <c r="J1172" t="s">
        <v>90</v>
      </c>
      <c r="K1172" t="s">
        <v>91</v>
      </c>
      <c r="L1172">
        <v>5</v>
      </c>
      <c r="M1172" t="s">
        <v>6201</v>
      </c>
      <c r="N1172" t="s">
        <v>47</v>
      </c>
      <c r="O1172" t="s">
        <v>48</v>
      </c>
      <c r="P1172" t="s">
        <v>48</v>
      </c>
      <c r="Y1172" t="s">
        <v>6202</v>
      </c>
    </row>
    <row r="1173" spans="1:25">
      <c r="A1173" t="s">
        <v>6203</v>
      </c>
      <c r="B1173" t="s">
        <v>6204</v>
      </c>
      <c r="D1173" t="s">
        <v>40</v>
      </c>
      <c r="E1173" t="s">
        <v>41</v>
      </c>
      <c r="G1173" t="s">
        <v>6205</v>
      </c>
      <c r="H1173" t="s">
        <v>6206</v>
      </c>
      <c r="J1173" t="s">
        <v>90</v>
      </c>
      <c r="K1173" t="s">
        <v>91</v>
      </c>
      <c r="L1173">
        <v>5</v>
      </c>
      <c r="M1173" t="s">
        <v>6201</v>
      </c>
      <c r="N1173" t="s">
        <v>47</v>
      </c>
      <c r="O1173" t="s">
        <v>48</v>
      </c>
      <c r="P1173" t="s">
        <v>48</v>
      </c>
      <c r="Y1173" t="s">
        <v>6207</v>
      </c>
    </row>
    <row r="1174" spans="1:25">
      <c r="A1174" t="s">
        <v>6208</v>
      </c>
      <c r="B1174" t="s">
        <v>6209</v>
      </c>
      <c r="D1174" t="s">
        <v>40</v>
      </c>
      <c r="E1174" t="s">
        <v>41</v>
      </c>
      <c r="G1174" t="s">
        <v>6210</v>
      </c>
      <c r="H1174" t="s">
        <v>5843</v>
      </c>
      <c r="J1174" t="s">
        <v>44</v>
      </c>
      <c r="K1174" t="s">
        <v>45</v>
      </c>
      <c r="L1174">
        <v>5</v>
      </c>
      <c r="M1174" t="s">
        <v>6201</v>
      </c>
      <c r="N1174" t="s">
        <v>47</v>
      </c>
      <c r="O1174" t="s">
        <v>48</v>
      </c>
      <c r="P1174" t="s">
        <v>48</v>
      </c>
      <c r="Y1174" t="s">
        <v>6211</v>
      </c>
    </row>
    <row r="1175" spans="1:25">
      <c r="A1175" t="s">
        <v>6212</v>
      </c>
      <c r="B1175" t="s">
        <v>6213</v>
      </c>
      <c r="D1175" t="s">
        <v>40</v>
      </c>
      <c r="E1175" t="s">
        <v>41</v>
      </c>
      <c r="G1175" t="s">
        <v>485</v>
      </c>
      <c r="H1175" t="s">
        <v>6214</v>
      </c>
      <c r="J1175" t="s">
        <v>90</v>
      </c>
      <c r="K1175" t="s">
        <v>91</v>
      </c>
      <c r="L1175">
        <v>5</v>
      </c>
      <c r="M1175" t="s">
        <v>6201</v>
      </c>
      <c r="N1175" t="s">
        <v>47</v>
      </c>
      <c r="O1175" t="s">
        <v>48</v>
      </c>
      <c r="P1175" t="s">
        <v>48</v>
      </c>
      <c r="Y1175" t="s">
        <v>6215</v>
      </c>
    </row>
    <row r="1176" spans="1:25">
      <c r="A1176" t="s">
        <v>6216</v>
      </c>
      <c r="B1176" t="s">
        <v>6217</v>
      </c>
      <c r="D1176" t="s">
        <v>40</v>
      </c>
      <c r="E1176" t="s">
        <v>41</v>
      </c>
      <c r="G1176" t="s">
        <v>168</v>
      </c>
      <c r="H1176" t="s">
        <v>6218</v>
      </c>
      <c r="J1176" t="s">
        <v>371</v>
      </c>
      <c r="K1176" t="s">
        <v>372</v>
      </c>
      <c r="L1176">
        <v>5</v>
      </c>
      <c r="M1176" t="s">
        <v>6201</v>
      </c>
      <c r="N1176" t="s">
        <v>47</v>
      </c>
      <c r="O1176" t="s">
        <v>48</v>
      </c>
      <c r="P1176" t="s">
        <v>48</v>
      </c>
      <c r="Y1176" t="s">
        <v>6219</v>
      </c>
    </row>
    <row r="1177" spans="1:25">
      <c r="A1177" t="s">
        <v>6220</v>
      </c>
      <c r="B1177" t="s">
        <v>6221</v>
      </c>
      <c r="D1177" t="s">
        <v>40</v>
      </c>
      <c r="E1177" t="s">
        <v>41</v>
      </c>
      <c r="G1177" t="s">
        <v>6222</v>
      </c>
      <c r="H1177" t="s">
        <v>6223</v>
      </c>
      <c r="J1177" t="s">
        <v>2328</v>
      </c>
      <c r="K1177" t="s">
        <v>2329</v>
      </c>
      <c r="L1177">
        <v>6</v>
      </c>
      <c r="M1177" t="s">
        <v>6224</v>
      </c>
      <c r="N1177" t="s">
        <v>685</v>
      </c>
      <c r="O1177" t="s">
        <v>48</v>
      </c>
      <c r="P1177" t="s">
        <v>48</v>
      </c>
      <c r="Y1177" t="s">
        <v>6225</v>
      </c>
    </row>
    <row r="1178" spans="1:25">
      <c r="A1178" t="s">
        <v>6226</v>
      </c>
      <c r="B1178" t="s">
        <v>6227</v>
      </c>
      <c r="D1178" t="s">
        <v>40</v>
      </c>
      <c r="E1178" t="s">
        <v>41</v>
      </c>
      <c r="G1178" t="s">
        <v>213</v>
      </c>
      <c r="H1178" t="s">
        <v>6228</v>
      </c>
      <c r="J1178" t="s">
        <v>44</v>
      </c>
      <c r="K1178" t="s">
        <v>45</v>
      </c>
      <c r="L1178">
        <v>5</v>
      </c>
      <c r="M1178" t="s">
        <v>6229</v>
      </c>
      <c r="N1178" t="s">
        <v>47</v>
      </c>
      <c r="O1178" t="s">
        <v>48</v>
      </c>
      <c r="P1178" t="s">
        <v>48</v>
      </c>
      <c r="Y1178" t="s">
        <v>6230</v>
      </c>
    </row>
    <row r="1179" spans="1:25">
      <c r="A1179" t="s">
        <v>6231</v>
      </c>
      <c r="B1179" t="s">
        <v>6232</v>
      </c>
      <c r="D1179" t="s">
        <v>40</v>
      </c>
      <c r="E1179" t="s">
        <v>41</v>
      </c>
      <c r="G1179" t="s">
        <v>2233</v>
      </c>
      <c r="H1179" t="s">
        <v>6233</v>
      </c>
      <c r="J1179" t="s">
        <v>44</v>
      </c>
      <c r="K1179" t="s">
        <v>45</v>
      </c>
      <c r="L1179">
        <v>5</v>
      </c>
      <c r="M1179" t="s">
        <v>6234</v>
      </c>
      <c r="N1179" t="s">
        <v>47</v>
      </c>
      <c r="O1179" t="s">
        <v>48</v>
      </c>
      <c r="P1179" t="s">
        <v>48</v>
      </c>
      <c r="Y1179" t="s">
        <v>6235</v>
      </c>
    </row>
    <row r="1180" spans="1:25">
      <c r="A1180" t="s">
        <v>6236</v>
      </c>
      <c r="B1180" t="s">
        <v>6237</v>
      </c>
      <c r="D1180" t="s">
        <v>40</v>
      </c>
      <c r="E1180" t="s">
        <v>41</v>
      </c>
      <c r="G1180" t="s">
        <v>6238</v>
      </c>
      <c r="H1180" t="s">
        <v>5415</v>
      </c>
      <c r="J1180" t="s">
        <v>54</v>
      </c>
      <c r="K1180" t="s">
        <v>55</v>
      </c>
      <c r="L1180">
        <v>5</v>
      </c>
      <c r="M1180" t="s">
        <v>6234</v>
      </c>
      <c r="N1180" t="s">
        <v>47</v>
      </c>
      <c r="O1180" t="s">
        <v>48</v>
      </c>
      <c r="P1180" t="s">
        <v>48</v>
      </c>
      <c r="Y1180" t="s">
        <v>6239</v>
      </c>
    </row>
    <row r="1181" spans="1:25">
      <c r="A1181" t="s">
        <v>6240</v>
      </c>
      <c r="B1181" t="s">
        <v>6241</v>
      </c>
      <c r="D1181" t="s">
        <v>40</v>
      </c>
      <c r="E1181" t="s">
        <v>41</v>
      </c>
      <c r="G1181" t="s">
        <v>6242</v>
      </c>
      <c r="H1181" t="s">
        <v>695</v>
      </c>
      <c r="J1181" t="s">
        <v>78</v>
      </c>
      <c r="K1181" t="s">
        <v>79</v>
      </c>
      <c r="L1181">
        <v>5</v>
      </c>
      <c r="M1181" t="s">
        <v>6234</v>
      </c>
      <c r="N1181" t="s">
        <v>47</v>
      </c>
      <c r="O1181" t="s">
        <v>48</v>
      </c>
      <c r="P1181" t="s">
        <v>48</v>
      </c>
      <c r="Y1181" t="s">
        <v>6243</v>
      </c>
    </row>
    <row r="1182" spans="1:25">
      <c r="A1182" t="s">
        <v>6244</v>
      </c>
      <c r="B1182" t="s">
        <v>6245</v>
      </c>
      <c r="D1182" t="s">
        <v>40</v>
      </c>
      <c r="E1182" t="s">
        <v>41</v>
      </c>
      <c r="G1182" t="s">
        <v>6246</v>
      </c>
      <c r="H1182" t="s">
        <v>6247</v>
      </c>
      <c r="J1182" t="s">
        <v>371</v>
      </c>
      <c r="K1182" t="s">
        <v>372</v>
      </c>
      <c r="L1182">
        <v>5</v>
      </c>
      <c r="M1182" t="s">
        <v>6248</v>
      </c>
      <c r="N1182" t="s">
        <v>47</v>
      </c>
      <c r="O1182" t="s">
        <v>48</v>
      </c>
      <c r="P1182" t="s">
        <v>48</v>
      </c>
      <c r="Y1182" t="s">
        <v>6249</v>
      </c>
    </row>
    <row r="1183" spans="1:25">
      <c r="A1183" t="s">
        <v>6250</v>
      </c>
      <c r="B1183" t="s">
        <v>6251</v>
      </c>
      <c r="D1183" t="s">
        <v>40</v>
      </c>
      <c r="E1183" t="s">
        <v>41</v>
      </c>
      <c r="G1183" t="s">
        <v>6252</v>
      </c>
      <c r="H1183" t="s">
        <v>6253</v>
      </c>
      <c r="J1183" t="s">
        <v>371</v>
      </c>
      <c r="K1183" t="s">
        <v>372</v>
      </c>
      <c r="L1183">
        <v>5</v>
      </c>
      <c r="M1183" t="s">
        <v>6254</v>
      </c>
      <c r="N1183" t="s">
        <v>47</v>
      </c>
      <c r="O1183" t="s">
        <v>48</v>
      </c>
      <c r="P1183" t="s">
        <v>48</v>
      </c>
      <c r="Y1183" t="s">
        <v>6255</v>
      </c>
    </row>
    <row r="1184" spans="1:25">
      <c r="A1184" t="s">
        <v>6256</v>
      </c>
      <c r="B1184" t="s">
        <v>6257</v>
      </c>
      <c r="D1184" t="s">
        <v>40</v>
      </c>
      <c r="E1184" t="s">
        <v>41</v>
      </c>
      <c r="G1184" t="s">
        <v>6258</v>
      </c>
      <c r="H1184" t="s">
        <v>6259</v>
      </c>
      <c r="J1184" t="s">
        <v>44</v>
      </c>
      <c r="K1184" t="s">
        <v>45</v>
      </c>
      <c r="L1184">
        <v>5</v>
      </c>
      <c r="M1184" t="s">
        <v>6260</v>
      </c>
      <c r="N1184" t="s">
        <v>47</v>
      </c>
      <c r="O1184" t="s">
        <v>48</v>
      </c>
      <c r="P1184" t="s">
        <v>48</v>
      </c>
      <c r="Y1184" t="s">
        <v>6261</v>
      </c>
    </row>
    <row r="1185" spans="1:25">
      <c r="A1185" t="s">
        <v>6262</v>
      </c>
      <c r="B1185" t="s">
        <v>6263</v>
      </c>
      <c r="D1185" t="s">
        <v>40</v>
      </c>
      <c r="E1185" t="s">
        <v>41</v>
      </c>
      <c r="G1185" t="s">
        <v>6264</v>
      </c>
      <c r="H1185" t="s">
        <v>5128</v>
      </c>
      <c r="J1185" t="s">
        <v>44</v>
      </c>
      <c r="K1185" t="s">
        <v>45</v>
      </c>
      <c r="L1185">
        <v>5</v>
      </c>
      <c r="M1185" t="s">
        <v>6265</v>
      </c>
      <c r="N1185" t="s">
        <v>47</v>
      </c>
      <c r="O1185" t="s">
        <v>48</v>
      </c>
      <c r="P1185" t="s">
        <v>48</v>
      </c>
      <c r="Y1185" t="s">
        <v>6266</v>
      </c>
    </row>
    <row r="1186" spans="1:25">
      <c r="A1186" t="s">
        <v>6267</v>
      </c>
      <c r="B1186" t="s">
        <v>6268</v>
      </c>
      <c r="D1186" t="s">
        <v>40</v>
      </c>
      <c r="E1186" t="s">
        <v>41</v>
      </c>
      <c r="G1186" t="s">
        <v>615</v>
      </c>
      <c r="H1186" t="s">
        <v>3095</v>
      </c>
      <c r="J1186" t="s">
        <v>90</v>
      </c>
      <c r="K1186" t="s">
        <v>91</v>
      </c>
      <c r="L1186">
        <v>5</v>
      </c>
      <c r="M1186" t="s">
        <v>6265</v>
      </c>
      <c r="N1186" t="s">
        <v>47</v>
      </c>
      <c r="O1186" t="s">
        <v>48</v>
      </c>
      <c r="P1186" t="s">
        <v>48</v>
      </c>
      <c r="Y1186" t="s">
        <v>6269</v>
      </c>
    </row>
    <row r="1187" spans="1:25">
      <c r="A1187" t="s">
        <v>6270</v>
      </c>
      <c r="B1187" t="s">
        <v>6271</v>
      </c>
      <c r="D1187" t="s">
        <v>40</v>
      </c>
      <c r="E1187" t="s">
        <v>41</v>
      </c>
      <c r="G1187" t="s">
        <v>6272</v>
      </c>
      <c r="H1187" t="s">
        <v>6273</v>
      </c>
      <c r="J1187" t="s">
        <v>44</v>
      </c>
      <c r="K1187" t="s">
        <v>45</v>
      </c>
      <c r="L1187">
        <v>5</v>
      </c>
      <c r="M1187" t="s">
        <v>6274</v>
      </c>
      <c r="N1187" t="s">
        <v>47</v>
      </c>
      <c r="O1187" t="s">
        <v>48</v>
      </c>
      <c r="P1187" t="s">
        <v>48</v>
      </c>
      <c r="Y1187" t="s">
        <v>6275</v>
      </c>
    </row>
    <row r="1188" spans="1:25">
      <c r="A1188" t="s">
        <v>6276</v>
      </c>
      <c r="B1188" t="s">
        <v>6277</v>
      </c>
      <c r="D1188" t="s">
        <v>40</v>
      </c>
      <c r="E1188" t="s">
        <v>41</v>
      </c>
      <c r="G1188" t="s">
        <v>6278</v>
      </c>
      <c r="H1188" t="s">
        <v>6279</v>
      </c>
      <c r="J1188" t="s">
        <v>54</v>
      </c>
      <c r="K1188" t="s">
        <v>55</v>
      </c>
      <c r="L1188">
        <v>5</v>
      </c>
      <c r="M1188" t="s">
        <v>6280</v>
      </c>
      <c r="N1188" t="s">
        <v>47</v>
      </c>
      <c r="O1188" t="s">
        <v>48</v>
      </c>
      <c r="P1188" t="s">
        <v>48</v>
      </c>
      <c r="Y1188" t="s">
        <v>6281</v>
      </c>
    </row>
    <row r="1189" spans="1:25">
      <c r="A1189" t="s">
        <v>6282</v>
      </c>
      <c r="B1189" t="s">
        <v>6283</v>
      </c>
      <c r="D1189" t="s">
        <v>40</v>
      </c>
      <c r="E1189" t="s">
        <v>41</v>
      </c>
      <c r="G1189" t="s">
        <v>6284</v>
      </c>
      <c r="H1189" t="s">
        <v>513</v>
      </c>
      <c r="J1189" t="s">
        <v>353</v>
      </c>
      <c r="K1189" t="s">
        <v>354</v>
      </c>
      <c r="L1189">
        <v>5</v>
      </c>
      <c r="M1189" t="s">
        <v>6285</v>
      </c>
      <c r="N1189" t="s">
        <v>290</v>
      </c>
      <c r="O1189" t="s">
        <v>48</v>
      </c>
      <c r="P1189" t="s">
        <v>48</v>
      </c>
      <c r="Y1189" t="s">
        <v>6286</v>
      </c>
    </row>
    <row r="1190" spans="1:25">
      <c r="A1190" t="s">
        <v>6287</v>
      </c>
      <c r="B1190" t="s">
        <v>6288</v>
      </c>
      <c r="D1190" t="s">
        <v>40</v>
      </c>
      <c r="E1190" t="s">
        <v>41</v>
      </c>
      <c r="G1190" t="s">
        <v>6289</v>
      </c>
      <c r="H1190" t="s">
        <v>6290</v>
      </c>
      <c r="J1190" t="s">
        <v>78</v>
      </c>
      <c r="K1190" t="s">
        <v>79</v>
      </c>
      <c r="L1190">
        <v>5</v>
      </c>
      <c r="M1190" t="s">
        <v>6291</v>
      </c>
      <c r="N1190" t="s">
        <v>47</v>
      </c>
      <c r="O1190" t="s">
        <v>48</v>
      </c>
      <c r="P1190" t="s">
        <v>48</v>
      </c>
      <c r="Y1190" t="s">
        <v>6292</v>
      </c>
    </row>
    <row r="1191" spans="1:25">
      <c r="A1191" t="s">
        <v>6293</v>
      </c>
      <c r="B1191" t="s">
        <v>6294</v>
      </c>
      <c r="D1191" t="s">
        <v>40</v>
      </c>
      <c r="E1191" t="s">
        <v>41</v>
      </c>
      <c r="J1191" t="s">
        <v>78</v>
      </c>
      <c r="K1191" t="s">
        <v>79</v>
      </c>
      <c r="L1191">
        <v>5</v>
      </c>
      <c r="M1191" t="s">
        <v>6295</v>
      </c>
      <c r="N1191" t="s">
        <v>47</v>
      </c>
      <c r="O1191" t="s">
        <v>48</v>
      </c>
      <c r="P1191" t="s">
        <v>48</v>
      </c>
      <c r="Y1191" t="s">
        <v>6296</v>
      </c>
    </row>
    <row r="1192" spans="1:25">
      <c r="A1192" t="s">
        <v>6297</v>
      </c>
      <c r="B1192" t="s">
        <v>6298</v>
      </c>
      <c r="D1192" t="s">
        <v>40</v>
      </c>
      <c r="E1192" t="s">
        <v>41</v>
      </c>
      <c r="G1192" t="s">
        <v>973</v>
      </c>
      <c r="H1192" t="s">
        <v>6299</v>
      </c>
      <c r="J1192" t="s">
        <v>133</v>
      </c>
      <c r="K1192" t="s">
        <v>134</v>
      </c>
      <c r="L1192">
        <v>5</v>
      </c>
      <c r="M1192" t="s">
        <v>6295</v>
      </c>
      <c r="N1192" t="s">
        <v>135</v>
      </c>
      <c r="O1192" t="s">
        <v>48</v>
      </c>
      <c r="P1192" t="s">
        <v>48</v>
      </c>
      <c r="Y1192" t="s">
        <v>6300</v>
      </c>
    </row>
    <row r="1193" spans="1:25">
      <c r="A1193" t="s">
        <v>6301</v>
      </c>
      <c r="B1193" t="s">
        <v>6302</v>
      </c>
      <c r="D1193" t="s">
        <v>40</v>
      </c>
      <c r="E1193" t="s">
        <v>41</v>
      </c>
      <c r="G1193" t="s">
        <v>6303</v>
      </c>
      <c r="H1193" t="s">
        <v>6304</v>
      </c>
      <c r="J1193" t="s">
        <v>44</v>
      </c>
      <c r="K1193" t="s">
        <v>45</v>
      </c>
      <c r="L1193">
        <v>5</v>
      </c>
      <c r="M1193" t="s">
        <v>6295</v>
      </c>
      <c r="N1193" t="s">
        <v>47</v>
      </c>
      <c r="O1193" t="s">
        <v>48</v>
      </c>
      <c r="P1193" t="s">
        <v>48</v>
      </c>
      <c r="Y1193" t="s">
        <v>6305</v>
      </c>
    </row>
    <row r="1194" spans="1:25">
      <c r="A1194" t="s">
        <v>6306</v>
      </c>
      <c r="B1194" t="s">
        <v>6307</v>
      </c>
      <c r="D1194" t="s">
        <v>40</v>
      </c>
      <c r="E1194" t="s">
        <v>41</v>
      </c>
      <c r="J1194" t="s">
        <v>78</v>
      </c>
      <c r="K1194" t="s">
        <v>79</v>
      </c>
      <c r="L1194">
        <v>5</v>
      </c>
      <c r="M1194" t="s">
        <v>6308</v>
      </c>
      <c r="N1194" t="s">
        <v>47</v>
      </c>
      <c r="O1194" t="s">
        <v>48</v>
      </c>
      <c r="P1194" t="s">
        <v>48</v>
      </c>
      <c r="Y1194" t="s">
        <v>6309</v>
      </c>
    </row>
    <row r="1195" spans="1:25">
      <c r="A1195" t="s">
        <v>6310</v>
      </c>
      <c r="B1195" t="s">
        <v>6311</v>
      </c>
      <c r="D1195" t="s">
        <v>40</v>
      </c>
      <c r="E1195" t="s">
        <v>41</v>
      </c>
      <c r="G1195" t="s">
        <v>2301</v>
      </c>
      <c r="H1195" t="s">
        <v>6312</v>
      </c>
      <c r="J1195" t="s">
        <v>78</v>
      </c>
      <c r="K1195" t="s">
        <v>79</v>
      </c>
      <c r="L1195">
        <v>5</v>
      </c>
      <c r="M1195" t="s">
        <v>6313</v>
      </c>
      <c r="N1195" t="s">
        <v>47</v>
      </c>
      <c r="O1195" t="s">
        <v>48</v>
      </c>
      <c r="P1195" t="s">
        <v>48</v>
      </c>
      <c r="Y1195" t="s">
        <v>6314</v>
      </c>
    </row>
    <row r="1196" spans="1:25">
      <c r="A1196" t="s">
        <v>6315</v>
      </c>
      <c r="B1196" t="s">
        <v>6316</v>
      </c>
      <c r="D1196" t="s">
        <v>40</v>
      </c>
      <c r="E1196" t="s">
        <v>41</v>
      </c>
      <c r="G1196" t="s">
        <v>407</v>
      </c>
      <c r="H1196" t="s">
        <v>6317</v>
      </c>
      <c r="J1196" t="s">
        <v>90</v>
      </c>
      <c r="K1196" t="s">
        <v>91</v>
      </c>
      <c r="L1196">
        <v>5</v>
      </c>
      <c r="M1196" t="s">
        <v>6318</v>
      </c>
      <c r="N1196" t="s">
        <v>47</v>
      </c>
      <c r="O1196" t="s">
        <v>48</v>
      </c>
      <c r="P1196" t="s">
        <v>48</v>
      </c>
      <c r="Y1196" t="s">
        <v>6319</v>
      </c>
    </row>
    <row r="1197" spans="1:25">
      <c r="A1197" t="s">
        <v>6320</v>
      </c>
      <c r="B1197" t="s">
        <v>6321</v>
      </c>
      <c r="D1197" t="s">
        <v>40</v>
      </c>
      <c r="E1197" t="s">
        <v>41</v>
      </c>
      <c r="G1197" t="s">
        <v>6322</v>
      </c>
      <c r="H1197" t="s">
        <v>6323</v>
      </c>
      <c r="J1197" t="s">
        <v>371</v>
      </c>
      <c r="K1197" t="s">
        <v>372</v>
      </c>
      <c r="L1197">
        <v>5</v>
      </c>
      <c r="M1197" t="s">
        <v>6324</v>
      </c>
      <c r="N1197" t="s">
        <v>47</v>
      </c>
      <c r="O1197" t="s">
        <v>48</v>
      </c>
      <c r="P1197" t="s">
        <v>48</v>
      </c>
      <c r="Y1197" t="s">
        <v>6325</v>
      </c>
    </row>
    <row r="1198" spans="1:25">
      <c r="A1198" t="s">
        <v>6326</v>
      </c>
      <c r="B1198" t="s">
        <v>6327</v>
      </c>
      <c r="D1198" t="s">
        <v>40</v>
      </c>
      <c r="E1198" t="s">
        <v>41</v>
      </c>
      <c r="G1198" t="s">
        <v>6328</v>
      </c>
      <c r="H1198" t="s">
        <v>6329</v>
      </c>
      <c r="J1198" t="s">
        <v>90</v>
      </c>
      <c r="K1198" t="s">
        <v>91</v>
      </c>
      <c r="L1198">
        <v>5</v>
      </c>
      <c r="M1198" t="s">
        <v>6330</v>
      </c>
      <c r="N1198" t="s">
        <v>47</v>
      </c>
      <c r="O1198" t="s">
        <v>48</v>
      </c>
      <c r="P1198" t="s">
        <v>48</v>
      </c>
      <c r="Y1198" t="s">
        <v>6331</v>
      </c>
    </row>
    <row r="1199" spans="1:25">
      <c r="A1199" t="s">
        <v>6332</v>
      </c>
      <c r="B1199" t="s">
        <v>6333</v>
      </c>
      <c r="D1199" t="s">
        <v>40</v>
      </c>
      <c r="E1199" t="s">
        <v>41</v>
      </c>
      <c r="G1199" t="s">
        <v>6334</v>
      </c>
      <c r="H1199" t="s">
        <v>6335</v>
      </c>
      <c r="J1199" t="s">
        <v>44</v>
      </c>
      <c r="K1199" t="s">
        <v>45</v>
      </c>
      <c r="L1199">
        <v>5</v>
      </c>
      <c r="M1199" t="s">
        <v>6336</v>
      </c>
      <c r="N1199" t="s">
        <v>47</v>
      </c>
      <c r="O1199" t="s">
        <v>48</v>
      </c>
      <c r="P1199" t="s">
        <v>48</v>
      </c>
      <c r="Y1199" t="s">
        <v>6337</v>
      </c>
    </row>
    <row r="1200" spans="1:25">
      <c r="A1200" t="s">
        <v>6338</v>
      </c>
      <c r="B1200" t="s">
        <v>6339</v>
      </c>
      <c r="D1200" t="s">
        <v>40</v>
      </c>
      <c r="E1200" t="s">
        <v>41</v>
      </c>
      <c r="G1200" t="s">
        <v>300</v>
      </c>
      <c r="H1200" t="s">
        <v>6340</v>
      </c>
      <c r="J1200" t="s">
        <v>44</v>
      </c>
      <c r="K1200" t="s">
        <v>45</v>
      </c>
      <c r="L1200">
        <v>5</v>
      </c>
      <c r="M1200" t="s">
        <v>6336</v>
      </c>
      <c r="N1200" t="s">
        <v>47</v>
      </c>
      <c r="O1200" t="s">
        <v>48</v>
      </c>
      <c r="P1200" t="s">
        <v>48</v>
      </c>
      <c r="Y1200" t="s">
        <v>6341</v>
      </c>
    </row>
    <row r="1201" spans="1:25">
      <c r="A1201" t="s">
        <v>6342</v>
      </c>
      <c r="B1201" t="s">
        <v>6343</v>
      </c>
      <c r="D1201" t="s">
        <v>40</v>
      </c>
      <c r="E1201" t="s">
        <v>41</v>
      </c>
      <c r="G1201" t="s">
        <v>6344</v>
      </c>
      <c r="H1201" t="s">
        <v>4300</v>
      </c>
      <c r="J1201" t="s">
        <v>2328</v>
      </c>
      <c r="K1201" t="s">
        <v>2329</v>
      </c>
      <c r="L1201">
        <v>5</v>
      </c>
      <c r="M1201" t="s">
        <v>6336</v>
      </c>
      <c r="N1201" t="s">
        <v>685</v>
      </c>
      <c r="O1201" t="s">
        <v>48</v>
      </c>
      <c r="P1201" t="s">
        <v>48</v>
      </c>
      <c r="Y1201" t="s">
        <v>6345</v>
      </c>
    </row>
    <row r="1202" spans="1:25">
      <c r="A1202" t="s">
        <v>6346</v>
      </c>
      <c r="B1202" t="s">
        <v>6347</v>
      </c>
      <c r="D1202" t="s">
        <v>40</v>
      </c>
      <c r="E1202" t="s">
        <v>41</v>
      </c>
      <c r="G1202" t="s">
        <v>6348</v>
      </c>
      <c r="H1202" t="s">
        <v>6349</v>
      </c>
      <c r="J1202" t="s">
        <v>78</v>
      </c>
      <c r="K1202" t="s">
        <v>79</v>
      </c>
      <c r="L1202">
        <v>5</v>
      </c>
      <c r="M1202" t="s">
        <v>6350</v>
      </c>
      <c r="N1202" t="s">
        <v>47</v>
      </c>
      <c r="O1202" t="s">
        <v>48</v>
      </c>
      <c r="P1202" t="s">
        <v>48</v>
      </c>
      <c r="Y1202" t="s">
        <v>6351</v>
      </c>
    </row>
    <row r="1203" spans="1:25">
      <c r="A1203" t="s">
        <v>6352</v>
      </c>
      <c r="B1203" t="s">
        <v>6353</v>
      </c>
      <c r="D1203" t="s">
        <v>40</v>
      </c>
      <c r="E1203" t="s">
        <v>41</v>
      </c>
      <c r="G1203" t="s">
        <v>6354</v>
      </c>
      <c r="H1203" t="s">
        <v>6355</v>
      </c>
      <c r="J1203" t="s">
        <v>44</v>
      </c>
      <c r="K1203" t="s">
        <v>45</v>
      </c>
      <c r="L1203">
        <v>5</v>
      </c>
      <c r="M1203" t="s">
        <v>6356</v>
      </c>
      <c r="N1203" t="s">
        <v>47</v>
      </c>
      <c r="O1203" t="s">
        <v>48</v>
      </c>
      <c r="P1203" t="s">
        <v>48</v>
      </c>
      <c r="Y1203" t="s">
        <v>6357</v>
      </c>
    </row>
    <row r="1204" spans="1:25">
      <c r="A1204" t="s">
        <v>6358</v>
      </c>
      <c r="B1204" t="s">
        <v>6359</v>
      </c>
      <c r="D1204" t="s">
        <v>40</v>
      </c>
      <c r="E1204" t="s">
        <v>41</v>
      </c>
      <c r="G1204" t="s">
        <v>2830</v>
      </c>
      <c r="H1204" t="s">
        <v>6360</v>
      </c>
      <c r="J1204" t="s">
        <v>78</v>
      </c>
      <c r="K1204" t="s">
        <v>79</v>
      </c>
      <c r="L1204">
        <v>5</v>
      </c>
      <c r="M1204" t="s">
        <v>6356</v>
      </c>
      <c r="N1204" t="s">
        <v>47</v>
      </c>
      <c r="O1204" t="s">
        <v>48</v>
      </c>
      <c r="P1204" t="s">
        <v>48</v>
      </c>
      <c r="Y1204" t="s">
        <v>6361</v>
      </c>
    </row>
    <row r="1205" spans="1:25">
      <c r="A1205" t="s">
        <v>6362</v>
      </c>
      <c r="B1205" t="s">
        <v>6363</v>
      </c>
      <c r="D1205" t="s">
        <v>40</v>
      </c>
      <c r="E1205" t="s">
        <v>41</v>
      </c>
      <c r="G1205" t="s">
        <v>474</v>
      </c>
      <c r="H1205" t="s">
        <v>2523</v>
      </c>
      <c r="J1205" t="s">
        <v>90</v>
      </c>
      <c r="K1205" t="s">
        <v>91</v>
      </c>
      <c r="L1205">
        <v>5</v>
      </c>
      <c r="M1205" t="s">
        <v>6356</v>
      </c>
      <c r="N1205" t="s">
        <v>47</v>
      </c>
      <c r="O1205" t="s">
        <v>48</v>
      </c>
      <c r="P1205" t="s">
        <v>48</v>
      </c>
      <c r="Y1205" t="s">
        <v>6364</v>
      </c>
    </row>
    <row r="1206" spans="1:25">
      <c r="A1206" t="s">
        <v>6365</v>
      </c>
      <c r="B1206" t="s">
        <v>6366</v>
      </c>
      <c r="D1206" t="s">
        <v>40</v>
      </c>
      <c r="E1206" t="s">
        <v>41</v>
      </c>
      <c r="G1206" t="s">
        <v>6367</v>
      </c>
      <c r="H1206" t="s">
        <v>6368</v>
      </c>
      <c r="J1206" t="s">
        <v>78</v>
      </c>
      <c r="K1206" t="s">
        <v>79</v>
      </c>
      <c r="L1206">
        <v>5</v>
      </c>
      <c r="M1206" t="s">
        <v>6356</v>
      </c>
      <c r="N1206" t="s">
        <v>47</v>
      </c>
      <c r="O1206" t="s">
        <v>48</v>
      </c>
      <c r="P1206" t="s">
        <v>48</v>
      </c>
      <c r="Y1206" t="s">
        <v>6369</v>
      </c>
    </row>
    <row r="1207" spans="1:25">
      <c r="A1207" t="s">
        <v>6370</v>
      </c>
      <c r="B1207" t="s">
        <v>6371</v>
      </c>
      <c r="D1207" t="s">
        <v>1832</v>
      </c>
      <c r="E1207" t="s">
        <v>41</v>
      </c>
      <c r="H1207" t="s">
        <v>6372</v>
      </c>
      <c r="J1207" t="s">
        <v>234</v>
      </c>
      <c r="K1207" t="s">
        <v>235</v>
      </c>
      <c r="L1207">
        <v>5</v>
      </c>
      <c r="M1207" t="s">
        <v>6373</v>
      </c>
      <c r="N1207" t="s">
        <v>47</v>
      </c>
      <c r="O1207" t="s">
        <v>1835</v>
      </c>
      <c r="P1207" t="s">
        <v>1835</v>
      </c>
      <c r="Y1207" t="s">
        <v>6372</v>
      </c>
    </row>
    <row r="1208" spans="1:25">
      <c r="A1208" t="s">
        <v>6374</v>
      </c>
      <c r="B1208" t="s">
        <v>6375</v>
      </c>
      <c r="D1208" t="s">
        <v>40</v>
      </c>
      <c r="E1208" t="s">
        <v>41</v>
      </c>
      <c r="G1208" t="s">
        <v>52</v>
      </c>
      <c r="H1208" t="s">
        <v>6376</v>
      </c>
      <c r="J1208" t="s">
        <v>234</v>
      </c>
      <c r="K1208" t="s">
        <v>235</v>
      </c>
      <c r="L1208">
        <v>5</v>
      </c>
      <c r="M1208" t="s">
        <v>6377</v>
      </c>
      <c r="N1208" t="s">
        <v>47</v>
      </c>
      <c r="O1208" t="s">
        <v>48</v>
      </c>
      <c r="P1208" t="s">
        <v>48</v>
      </c>
      <c r="Y1208" t="s">
        <v>6378</v>
      </c>
    </row>
    <row r="1209" spans="1:25">
      <c r="A1209" t="s">
        <v>6379</v>
      </c>
      <c r="B1209" t="s">
        <v>6380</v>
      </c>
      <c r="D1209" t="s">
        <v>40</v>
      </c>
      <c r="E1209" t="s">
        <v>41</v>
      </c>
      <c r="G1209" t="s">
        <v>6381</v>
      </c>
      <c r="H1209" t="s">
        <v>3632</v>
      </c>
      <c r="J1209" t="s">
        <v>78</v>
      </c>
      <c r="K1209" t="s">
        <v>79</v>
      </c>
      <c r="L1209">
        <v>5</v>
      </c>
      <c r="M1209" t="s">
        <v>6382</v>
      </c>
      <c r="N1209" t="s">
        <v>47</v>
      </c>
      <c r="O1209" t="s">
        <v>48</v>
      </c>
      <c r="P1209" t="s">
        <v>48</v>
      </c>
      <c r="Y1209" t="s">
        <v>6383</v>
      </c>
    </row>
    <row r="1210" spans="1:25">
      <c r="A1210" t="s">
        <v>6384</v>
      </c>
      <c r="B1210" t="s">
        <v>6385</v>
      </c>
      <c r="D1210" t="s">
        <v>40</v>
      </c>
      <c r="E1210" t="s">
        <v>41</v>
      </c>
      <c r="G1210" t="s">
        <v>6386</v>
      </c>
      <c r="H1210" t="s">
        <v>6387</v>
      </c>
      <c r="J1210" t="s">
        <v>90</v>
      </c>
      <c r="K1210" t="s">
        <v>91</v>
      </c>
      <c r="L1210">
        <v>5</v>
      </c>
      <c r="M1210" t="s">
        <v>6382</v>
      </c>
      <c r="N1210" t="s">
        <v>47</v>
      </c>
      <c r="O1210" t="s">
        <v>48</v>
      </c>
      <c r="P1210" t="s">
        <v>48</v>
      </c>
      <c r="Y1210" t="s">
        <v>6388</v>
      </c>
    </row>
    <row r="1211" spans="1:25">
      <c r="A1211" t="s">
        <v>6389</v>
      </c>
      <c r="B1211" t="s">
        <v>6390</v>
      </c>
      <c r="D1211" t="s">
        <v>40</v>
      </c>
      <c r="E1211" t="s">
        <v>41</v>
      </c>
      <c r="G1211" t="s">
        <v>6391</v>
      </c>
      <c r="H1211" t="s">
        <v>522</v>
      </c>
      <c r="J1211" t="s">
        <v>78</v>
      </c>
      <c r="K1211" t="s">
        <v>79</v>
      </c>
      <c r="L1211">
        <v>5</v>
      </c>
      <c r="M1211" t="s">
        <v>6382</v>
      </c>
      <c r="N1211" t="s">
        <v>47</v>
      </c>
      <c r="O1211" t="s">
        <v>48</v>
      </c>
      <c r="P1211" t="s">
        <v>48</v>
      </c>
      <c r="Y1211" t="s">
        <v>6392</v>
      </c>
    </row>
    <row r="1212" spans="1:25">
      <c r="A1212" t="s">
        <v>6393</v>
      </c>
      <c r="B1212" t="s">
        <v>6394</v>
      </c>
      <c r="D1212" t="s">
        <v>40</v>
      </c>
      <c r="E1212" t="s">
        <v>41</v>
      </c>
      <c r="J1212" t="s">
        <v>90</v>
      </c>
      <c r="K1212" t="s">
        <v>91</v>
      </c>
      <c r="L1212">
        <v>5</v>
      </c>
      <c r="M1212" t="s">
        <v>6382</v>
      </c>
      <c r="N1212" t="s">
        <v>47</v>
      </c>
      <c r="O1212" t="s">
        <v>48</v>
      </c>
      <c r="P1212" t="s">
        <v>48</v>
      </c>
      <c r="Y1212" t="s">
        <v>6395</v>
      </c>
    </row>
    <row r="1213" spans="1:25">
      <c r="A1213" t="s">
        <v>6396</v>
      </c>
      <c r="B1213" t="s">
        <v>6397</v>
      </c>
      <c r="D1213" t="s">
        <v>1832</v>
      </c>
      <c r="E1213" t="s">
        <v>41</v>
      </c>
      <c r="H1213" t="s">
        <v>6398</v>
      </c>
      <c r="J1213" t="s">
        <v>133</v>
      </c>
      <c r="K1213" t="s">
        <v>134</v>
      </c>
      <c r="L1213">
        <v>6</v>
      </c>
      <c r="M1213" t="s">
        <v>6399</v>
      </c>
      <c r="N1213" t="s">
        <v>135</v>
      </c>
      <c r="O1213" t="s">
        <v>1835</v>
      </c>
      <c r="P1213" t="s">
        <v>1835</v>
      </c>
      <c r="Y1213" t="s">
        <v>6398</v>
      </c>
    </row>
    <row r="1214" spans="1:25">
      <c r="A1214" t="s">
        <v>6400</v>
      </c>
      <c r="B1214" t="s">
        <v>6401</v>
      </c>
      <c r="D1214" t="s">
        <v>40</v>
      </c>
      <c r="E1214" t="s">
        <v>41</v>
      </c>
      <c r="G1214" t="s">
        <v>6402</v>
      </c>
      <c r="H1214" t="s">
        <v>4387</v>
      </c>
      <c r="J1214" t="s">
        <v>54</v>
      </c>
      <c r="K1214" t="s">
        <v>55</v>
      </c>
      <c r="L1214">
        <v>5</v>
      </c>
      <c r="M1214" t="s">
        <v>6403</v>
      </c>
      <c r="N1214" t="s">
        <v>47</v>
      </c>
      <c r="O1214" t="s">
        <v>48</v>
      </c>
      <c r="P1214" t="s">
        <v>48</v>
      </c>
      <c r="Y1214" t="s">
        <v>6404</v>
      </c>
    </row>
    <row r="1215" spans="1:25">
      <c r="A1215" t="s">
        <v>6405</v>
      </c>
      <c r="B1215" t="s">
        <v>6406</v>
      </c>
      <c r="D1215" t="s">
        <v>40</v>
      </c>
      <c r="E1215" t="s">
        <v>41</v>
      </c>
      <c r="G1215" t="s">
        <v>6407</v>
      </c>
      <c r="H1215" t="s">
        <v>6408</v>
      </c>
      <c r="J1215" t="s">
        <v>90</v>
      </c>
      <c r="K1215" t="s">
        <v>91</v>
      </c>
      <c r="L1215">
        <v>5</v>
      </c>
      <c r="M1215" t="s">
        <v>6409</v>
      </c>
      <c r="N1215" t="s">
        <v>47</v>
      </c>
      <c r="O1215" t="s">
        <v>48</v>
      </c>
      <c r="P1215" t="s">
        <v>48</v>
      </c>
      <c r="Y1215" t="s">
        <v>6410</v>
      </c>
    </row>
    <row r="1216" spans="1:25">
      <c r="A1216" t="s">
        <v>6411</v>
      </c>
      <c r="B1216" t="s">
        <v>6412</v>
      </c>
      <c r="D1216" t="s">
        <v>40</v>
      </c>
      <c r="E1216" t="s">
        <v>41</v>
      </c>
      <c r="G1216" t="s">
        <v>6413</v>
      </c>
      <c r="H1216" t="s">
        <v>6414</v>
      </c>
      <c r="J1216" t="s">
        <v>90</v>
      </c>
      <c r="K1216" t="s">
        <v>91</v>
      </c>
      <c r="L1216">
        <v>5</v>
      </c>
      <c r="M1216" t="s">
        <v>6415</v>
      </c>
      <c r="N1216" t="s">
        <v>47</v>
      </c>
      <c r="O1216" t="s">
        <v>48</v>
      </c>
      <c r="P1216" t="s">
        <v>48</v>
      </c>
      <c r="Y1216" t="s">
        <v>6416</v>
      </c>
    </row>
    <row r="1217" spans="1:25">
      <c r="A1217" t="s">
        <v>6417</v>
      </c>
      <c r="B1217" t="s">
        <v>6418</v>
      </c>
      <c r="D1217" t="s">
        <v>40</v>
      </c>
      <c r="E1217" t="s">
        <v>41</v>
      </c>
      <c r="G1217" t="s">
        <v>6419</v>
      </c>
      <c r="H1217" t="s">
        <v>6420</v>
      </c>
      <c r="J1217" t="s">
        <v>78</v>
      </c>
      <c r="K1217" t="s">
        <v>79</v>
      </c>
      <c r="L1217">
        <v>5</v>
      </c>
      <c r="M1217" t="s">
        <v>6415</v>
      </c>
      <c r="N1217" t="s">
        <v>47</v>
      </c>
      <c r="O1217" t="s">
        <v>48</v>
      </c>
      <c r="P1217" t="s">
        <v>48</v>
      </c>
      <c r="Y1217" t="s">
        <v>6421</v>
      </c>
    </row>
    <row r="1218" spans="1:25">
      <c r="A1218" t="s">
        <v>6422</v>
      </c>
      <c r="B1218" t="s">
        <v>6423</v>
      </c>
      <c r="D1218" t="s">
        <v>40</v>
      </c>
      <c r="E1218" t="s">
        <v>41</v>
      </c>
      <c r="G1218" t="s">
        <v>6424</v>
      </c>
      <c r="H1218" t="s">
        <v>6425</v>
      </c>
      <c r="J1218" t="s">
        <v>44</v>
      </c>
      <c r="K1218" t="s">
        <v>45</v>
      </c>
      <c r="L1218">
        <v>5</v>
      </c>
      <c r="M1218" t="s">
        <v>6426</v>
      </c>
      <c r="N1218" t="s">
        <v>47</v>
      </c>
      <c r="O1218" t="s">
        <v>48</v>
      </c>
      <c r="P1218" t="s">
        <v>48</v>
      </c>
      <c r="Y1218" t="s">
        <v>6427</v>
      </c>
    </row>
    <row r="1219" spans="1:25">
      <c r="A1219" t="s">
        <v>6428</v>
      </c>
      <c r="B1219" t="s">
        <v>6429</v>
      </c>
      <c r="D1219" t="s">
        <v>1832</v>
      </c>
      <c r="E1219" t="s">
        <v>41</v>
      </c>
      <c r="H1219" t="s">
        <v>6430</v>
      </c>
      <c r="J1219" t="s">
        <v>353</v>
      </c>
      <c r="K1219" t="s">
        <v>354</v>
      </c>
      <c r="L1219">
        <v>5</v>
      </c>
      <c r="M1219" t="s">
        <v>6431</v>
      </c>
      <c r="N1219" t="s">
        <v>135</v>
      </c>
      <c r="O1219" t="s">
        <v>1835</v>
      </c>
      <c r="P1219" t="s">
        <v>1835</v>
      </c>
      <c r="Y1219" t="s">
        <v>6430</v>
      </c>
    </row>
    <row r="1220" spans="1:25">
      <c r="A1220" t="s">
        <v>6432</v>
      </c>
      <c r="B1220" t="s">
        <v>6433</v>
      </c>
      <c r="D1220" t="s">
        <v>40</v>
      </c>
      <c r="E1220" t="s">
        <v>41</v>
      </c>
      <c r="G1220" t="s">
        <v>6434</v>
      </c>
      <c r="H1220" t="s">
        <v>6435</v>
      </c>
      <c r="J1220" t="s">
        <v>78</v>
      </c>
      <c r="K1220" t="s">
        <v>79</v>
      </c>
      <c r="L1220">
        <v>5</v>
      </c>
      <c r="M1220" t="s">
        <v>6436</v>
      </c>
      <c r="N1220" t="s">
        <v>47</v>
      </c>
      <c r="O1220" t="s">
        <v>48</v>
      </c>
      <c r="P1220" t="s">
        <v>48</v>
      </c>
      <c r="Y1220" t="s">
        <v>6437</v>
      </c>
    </row>
    <row r="1221" spans="1:25">
      <c r="A1221" t="s">
        <v>6438</v>
      </c>
      <c r="B1221" t="s">
        <v>6439</v>
      </c>
      <c r="D1221" t="s">
        <v>40</v>
      </c>
      <c r="E1221" t="s">
        <v>41</v>
      </c>
      <c r="G1221" t="s">
        <v>6440</v>
      </c>
      <c r="H1221" t="s">
        <v>6441</v>
      </c>
      <c r="J1221" t="s">
        <v>90</v>
      </c>
      <c r="K1221" t="s">
        <v>91</v>
      </c>
      <c r="L1221">
        <v>5</v>
      </c>
      <c r="M1221" t="s">
        <v>6442</v>
      </c>
      <c r="N1221" t="s">
        <v>47</v>
      </c>
      <c r="O1221" t="s">
        <v>48</v>
      </c>
      <c r="P1221" t="s">
        <v>48</v>
      </c>
      <c r="Y1221" t="s">
        <v>6443</v>
      </c>
    </row>
    <row r="1222" spans="1:25">
      <c r="A1222" t="s">
        <v>6444</v>
      </c>
      <c r="B1222" t="s">
        <v>6445</v>
      </c>
      <c r="D1222" t="s">
        <v>40</v>
      </c>
      <c r="E1222" t="s">
        <v>41</v>
      </c>
      <c r="G1222" t="s">
        <v>6446</v>
      </c>
      <c r="H1222" t="s">
        <v>6447</v>
      </c>
      <c r="J1222" t="s">
        <v>54</v>
      </c>
      <c r="K1222" t="s">
        <v>55</v>
      </c>
      <c r="L1222">
        <v>5</v>
      </c>
      <c r="M1222" t="s">
        <v>6442</v>
      </c>
      <c r="N1222" t="s">
        <v>47</v>
      </c>
      <c r="O1222" t="s">
        <v>48</v>
      </c>
      <c r="P1222" t="s">
        <v>48</v>
      </c>
      <c r="Y1222" t="s">
        <v>6448</v>
      </c>
    </row>
    <row r="1223" spans="1:25">
      <c r="A1223" t="s">
        <v>6449</v>
      </c>
      <c r="B1223" t="s">
        <v>6450</v>
      </c>
      <c r="D1223" t="s">
        <v>40</v>
      </c>
      <c r="E1223" t="s">
        <v>41</v>
      </c>
      <c r="G1223" t="s">
        <v>3253</v>
      </c>
      <c r="H1223" t="s">
        <v>6451</v>
      </c>
      <c r="J1223" t="s">
        <v>90</v>
      </c>
      <c r="K1223" t="s">
        <v>91</v>
      </c>
      <c r="L1223">
        <v>5</v>
      </c>
      <c r="M1223" t="s">
        <v>6442</v>
      </c>
      <c r="N1223" t="s">
        <v>47</v>
      </c>
      <c r="O1223" t="s">
        <v>48</v>
      </c>
      <c r="P1223" t="s">
        <v>48</v>
      </c>
      <c r="Y1223" t="s">
        <v>6452</v>
      </c>
    </row>
    <row r="1224" spans="1:25">
      <c r="A1224" t="s">
        <v>6453</v>
      </c>
      <c r="B1224" t="s">
        <v>6454</v>
      </c>
      <c r="D1224" t="s">
        <v>40</v>
      </c>
      <c r="E1224" t="s">
        <v>41</v>
      </c>
      <c r="H1224" t="s">
        <v>6455</v>
      </c>
      <c r="J1224" t="s">
        <v>44</v>
      </c>
      <c r="K1224" t="s">
        <v>45</v>
      </c>
      <c r="L1224">
        <v>5</v>
      </c>
      <c r="M1224" t="s">
        <v>6456</v>
      </c>
      <c r="N1224" t="s">
        <v>47</v>
      </c>
      <c r="O1224" t="s">
        <v>48</v>
      </c>
      <c r="P1224" t="s">
        <v>48</v>
      </c>
      <c r="Y1224" t="s">
        <v>6455</v>
      </c>
    </row>
    <row r="1225" spans="1:25">
      <c r="A1225" t="s">
        <v>6457</v>
      </c>
      <c r="B1225" t="s">
        <v>6458</v>
      </c>
      <c r="D1225" t="s">
        <v>40</v>
      </c>
      <c r="E1225" t="s">
        <v>41</v>
      </c>
      <c r="G1225" t="s">
        <v>1595</v>
      </c>
      <c r="H1225" t="s">
        <v>6459</v>
      </c>
      <c r="J1225" t="s">
        <v>90</v>
      </c>
      <c r="K1225" t="s">
        <v>91</v>
      </c>
      <c r="L1225">
        <v>5</v>
      </c>
      <c r="M1225" t="s">
        <v>6460</v>
      </c>
      <c r="N1225" t="s">
        <v>47</v>
      </c>
      <c r="O1225" t="s">
        <v>48</v>
      </c>
      <c r="P1225" t="s">
        <v>48</v>
      </c>
      <c r="Y1225" t="s">
        <v>6461</v>
      </c>
    </row>
    <row r="1226" spans="1:25">
      <c r="A1226" t="s">
        <v>6462</v>
      </c>
      <c r="B1226" t="s">
        <v>6463</v>
      </c>
      <c r="D1226" t="s">
        <v>40</v>
      </c>
      <c r="E1226" t="s">
        <v>41</v>
      </c>
      <c r="G1226" t="s">
        <v>6464</v>
      </c>
      <c r="H1226" t="s">
        <v>6465</v>
      </c>
      <c r="J1226" t="s">
        <v>90</v>
      </c>
      <c r="K1226" t="s">
        <v>91</v>
      </c>
      <c r="L1226">
        <v>5</v>
      </c>
      <c r="M1226" t="s">
        <v>6466</v>
      </c>
      <c r="N1226" t="s">
        <v>47</v>
      </c>
      <c r="O1226" t="s">
        <v>48</v>
      </c>
      <c r="P1226" t="s">
        <v>48</v>
      </c>
      <c r="Y1226" t="s">
        <v>6467</v>
      </c>
    </row>
    <row r="1227" spans="1:25">
      <c r="A1227" t="s">
        <v>6468</v>
      </c>
      <c r="B1227" t="s">
        <v>6469</v>
      </c>
      <c r="D1227" t="s">
        <v>40</v>
      </c>
      <c r="E1227" t="s">
        <v>41</v>
      </c>
      <c r="G1227" t="s">
        <v>1468</v>
      </c>
      <c r="H1227" t="s">
        <v>6470</v>
      </c>
      <c r="J1227" t="s">
        <v>90</v>
      </c>
      <c r="K1227" t="s">
        <v>91</v>
      </c>
      <c r="L1227">
        <v>5</v>
      </c>
      <c r="M1227" t="s">
        <v>6471</v>
      </c>
      <c r="N1227" t="s">
        <v>47</v>
      </c>
      <c r="O1227" t="s">
        <v>48</v>
      </c>
      <c r="P1227" t="s">
        <v>48</v>
      </c>
      <c r="Y1227" t="s">
        <v>6472</v>
      </c>
    </row>
    <row r="1228" spans="1:25">
      <c r="A1228" t="s">
        <v>6473</v>
      </c>
      <c r="B1228" t="s">
        <v>6474</v>
      </c>
      <c r="D1228" t="s">
        <v>40</v>
      </c>
      <c r="E1228" t="s">
        <v>41</v>
      </c>
      <c r="J1228" t="s">
        <v>90</v>
      </c>
      <c r="K1228" t="s">
        <v>91</v>
      </c>
      <c r="L1228">
        <v>5</v>
      </c>
      <c r="M1228" t="s">
        <v>6475</v>
      </c>
      <c r="N1228" t="s">
        <v>47</v>
      </c>
      <c r="O1228" t="s">
        <v>48</v>
      </c>
      <c r="P1228" t="s">
        <v>48</v>
      </c>
      <c r="Y1228" t="s">
        <v>6476</v>
      </c>
    </row>
    <row r="1229" spans="1:25">
      <c r="A1229" t="s">
        <v>6477</v>
      </c>
      <c r="B1229" t="s">
        <v>6478</v>
      </c>
      <c r="D1229" t="s">
        <v>40</v>
      </c>
      <c r="E1229" t="s">
        <v>41</v>
      </c>
      <c r="G1229" t="s">
        <v>3320</v>
      </c>
      <c r="H1229" t="s">
        <v>2802</v>
      </c>
      <c r="J1229" t="s">
        <v>54</v>
      </c>
      <c r="K1229" t="s">
        <v>55</v>
      </c>
      <c r="L1229">
        <v>5</v>
      </c>
      <c r="M1229" t="s">
        <v>6479</v>
      </c>
      <c r="N1229" t="s">
        <v>47</v>
      </c>
      <c r="O1229" t="s">
        <v>48</v>
      </c>
      <c r="P1229" t="s">
        <v>48</v>
      </c>
      <c r="Y1229" t="s">
        <v>6480</v>
      </c>
    </row>
    <row r="1230" spans="1:25">
      <c r="A1230" t="s">
        <v>6481</v>
      </c>
      <c r="B1230" t="s">
        <v>6482</v>
      </c>
      <c r="D1230" t="s">
        <v>40</v>
      </c>
      <c r="E1230" t="s">
        <v>41</v>
      </c>
      <c r="G1230" t="s">
        <v>6483</v>
      </c>
      <c r="H1230" t="s">
        <v>6484</v>
      </c>
      <c r="J1230" t="s">
        <v>90</v>
      </c>
      <c r="K1230" t="s">
        <v>91</v>
      </c>
      <c r="L1230">
        <v>5</v>
      </c>
      <c r="M1230" t="s">
        <v>6479</v>
      </c>
      <c r="N1230" t="s">
        <v>47</v>
      </c>
      <c r="O1230" t="s">
        <v>48</v>
      </c>
      <c r="P1230" t="s">
        <v>48</v>
      </c>
      <c r="Y1230" t="s">
        <v>6485</v>
      </c>
    </row>
    <row r="1231" spans="1:25">
      <c r="A1231" t="s">
        <v>6486</v>
      </c>
      <c r="B1231" t="s">
        <v>6487</v>
      </c>
      <c r="D1231" t="s">
        <v>40</v>
      </c>
      <c r="E1231" t="s">
        <v>41</v>
      </c>
      <c r="G1231" t="s">
        <v>6488</v>
      </c>
      <c r="H1231" t="s">
        <v>1844</v>
      </c>
      <c r="J1231" t="s">
        <v>44</v>
      </c>
      <c r="K1231" t="s">
        <v>45</v>
      </c>
      <c r="L1231">
        <v>5</v>
      </c>
      <c r="M1231" t="s">
        <v>6489</v>
      </c>
      <c r="N1231" t="s">
        <v>47</v>
      </c>
      <c r="O1231" t="s">
        <v>48</v>
      </c>
      <c r="P1231" t="s">
        <v>48</v>
      </c>
      <c r="Y1231" t="s">
        <v>6490</v>
      </c>
    </row>
    <row r="1232" spans="1:25">
      <c r="A1232" t="s">
        <v>6491</v>
      </c>
      <c r="B1232" t="s">
        <v>6492</v>
      </c>
      <c r="D1232" t="s">
        <v>40</v>
      </c>
      <c r="E1232" t="s">
        <v>41</v>
      </c>
      <c r="G1232" t="s">
        <v>6493</v>
      </c>
      <c r="H1232" t="s">
        <v>1610</v>
      </c>
      <c r="J1232" t="s">
        <v>78</v>
      </c>
      <c r="K1232" t="s">
        <v>79</v>
      </c>
      <c r="L1232">
        <v>5</v>
      </c>
      <c r="M1232" t="s">
        <v>6489</v>
      </c>
      <c r="N1232" t="s">
        <v>47</v>
      </c>
      <c r="O1232" t="s">
        <v>48</v>
      </c>
      <c r="P1232" t="s">
        <v>48</v>
      </c>
      <c r="Y1232" t="s">
        <v>6494</v>
      </c>
    </row>
    <row r="1233" spans="1:25">
      <c r="A1233" t="s">
        <v>6495</v>
      </c>
      <c r="B1233" t="s">
        <v>6496</v>
      </c>
      <c r="D1233" t="s">
        <v>40</v>
      </c>
      <c r="E1233" t="s">
        <v>41</v>
      </c>
      <c r="G1233" t="s">
        <v>6497</v>
      </c>
      <c r="H1233" t="s">
        <v>6498</v>
      </c>
      <c r="J1233" t="s">
        <v>90</v>
      </c>
      <c r="K1233" t="s">
        <v>91</v>
      </c>
      <c r="L1233">
        <v>5</v>
      </c>
      <c r="M1233" t="s">
        <v>6489</v>
      </c>
      <c r="N1233" t="s">
        <v>47</v>
      </c>
      <c r="O1233" t="s">
        <v>48</v>
      </c>
      <c r="P1233" t="s">
        <v>48</v>
      </c>
      <c r="Y1233" t="s">
        <v>6499</v>
      </c>
    </row>
    <row r="1234" spans="1:25">
      <c r="A1234" t="s">
        <v>6500</v>
      </c>
      <c r="B1234" t="s">
        <v>6501</v>
      </c>
      <c r="D1234" t="s">
        <v>40</v>
      </c>
      <c r="E1234" t="s">
        <v>41</v>
      </c>
      <c r="G1234" t="s">
        <v>6502</v>
      </c>
      <c r="H1234" t="s">
        <v>6503</v>
      </c>
      <c r="J1234" t="s">
        <v>90</v>
      </c>
      <c r="K1234" t="s">
        <v>91</v>
      </c>
      <c r="L1234">
        <v>5</v>
      </c>
      <c r="M1234" t="s">
        <v>6504</v>
      </c>
      <c r="N1234" t="s">
        <v>47</v>
      </c>
      <c r="O1234" t="s">
        <v>48</v>
      </c>
      <c r="P1234" t="s">
        <v>48</v>
      </c>
      <c r="Y1234" t="s">
        <v>6505</v>
      </c>
    </row>
    <row r="1235" spans="1:25">
      <c r="A1235" t="s">
        <v>6506</v>
      </c>
      <c r="B1235" t="s">
        <v>6507</v>
      </c>
      <c r="D1235" t="s">
        <v>40</v>
      </c>
      <c r="E1235" t="s">
        <v>41</v>
      </c>
      <c r="J1235" t="s">
        <v>497</v>
      </c>
      <c r="K1235" t="s">
        <v>498</v>
      </c>
      <c r="L1235">
        <v>5</v>
      </c>
      <c r="M1235" t="s">
        <v>6508</v>
      </c>
      <c r="N1235" t="s">
        <v>135</v>
      </c>
      <c r="O1235" t="s">
        <v>48</v>
      </c>
      <c r="P1235" t="s">
        <v>48</v>
      </c>
      <c r="Y1235" t="s">
        <v>6509</v>
      </c>
    </row>
    <row r="1236" spans="1:25">
      <c r="A1236" t="s">
        <v>6510</v>
      </c>
      <c r="B1236" t="s">
        <v>6511</v>
      </c>
      <c r="D1236" t="s">
        <v>40</v>
      </c>
      <c r="E1236" t="s">
        <v>41</v>
      </c>
      <c r="G1236" t="s">
        <v>6512</v>
      </c>
      <c r="H1236" t="s">
        <v>939</v>
      </c>
      <c r="J1236" t="s">
        <v>90</v>
      </c>
      <c r="K1236" t="s">
        <v>91</v>
      </c>
      <c r="L1236">
        <v>5</v>
      </c>
      <c r="M1236" t="s">
        <v>6513</v>
      </c>
      <c r="N1236" t="s">
        <v>47</v>
      </c>
      <c r="O1236" t="s">
        <v>48</v>
      </c>
      <c r="P1236" t="s">
        <v>48</v>
      </c>
      <c r="Y1236" t="s">
        <v>6514</v>
      </c>
    </row>
    <row r="1237" spans="1:25">
      <c r="A1237" t="s">
        <v>6515</v>
      </c>
      <c r="B1237" t="s">
        <v>6516</v>
      </c>
      <c r="D1237" t="s">
        <v>40</v>
      </c>
      <c r="E1237" t="s">
        <v>41</v>
      </c>
      <c r="G1237" t="s">
        <v>6517</v>
      </c>
      <c r="H1237" t="s">
        <v>5792</v>
      </c>
      <c r="J1237" t="s">
        <v>90</v>
      </c>
      <c r="K1237" t="s">
        <v>91</v>
      </c>
      <c r="L1237">
        <v>5</v>
      </c>
      <c r="M1237" t="s">
        <v>6513</v>
      </c>
      <c r="N1237" t="s">
        <v>47</v>
      </c>
      <c r="O1237" t="s">
        <v>48</v>
      </c>
      <c r="P1237" t="s">
        <v>48</v>
      </c>
      <c r="Y1237" t="s">
        <v>6518</v>
      </c>
    </row>
    <row r="1238" spans="1:25">
      <c r="A1238" t="s">
        <v>6519</v>
      </c>
      <c r="B1238" t="s">
        <v>6520</v>
      </c>
      <c r="D1238" t="s">
        <v>40</v>
      </c>
      <c r="E1238" t="s">
        <v>41</v>
      </c>
      <c r="G1238" t="s">
        <v>2287</v>
      </c>
      <c r="H1238" t="s">
        <v>4052</v>
      </c>
      <c r="J1238" t="s">
        <v>44</v>
      </c>
      <c r="K1238" t="s">
        <v>45</v>
      </c>
      <c r="L1238">
        <v>5</v>
      </c>
      <c r="M1238" t="s">
        <v>6513</v>
      </c>
      <c r="N1238" t="s">
        <v>47</v>
      </c>
      <c r="O1238" t="s">
        <v>48</v>
      </c>
      <c r="P1238" t="s">
        <v>48</v>
      </c>
      <c r="Y1238" t="s">
        <v>6521</v>
      </c>
    </row>
    <row r="1239" spans="1:25">
      <c r="A1239" t="s">
        <v>6522</v>
      </c>
      <c r="B1239" t="s">
        <v>6523</v>
      </c>
      <c r="D1239" t="s">
        <v>40</v>
      </c>
      <c r="E1239" t="s">
        <v>41</v>
      </c>
      <c r="G1239" t="s">
        <v>6524</v>
      </c>
      <c r="H1239" t="s">
        <v>6525</v>
      </c>
      <c r="J1239" t="s">
        <v>44</v>
      </c>
      <c r="K1239" t="s">
        <v>45</v>
      </c>
      <c r="L1239">
        <v>5</v>
      </c>
      <c r="M1239" t="s">
        <v>6526</v>
      </c>
      <c r="N1239" t="s">
        <v>47</v>
      </c>
      <c r="O1239" t="s">
        <v>48</v>
      </c>
      <c r="P1239" t="s">
        <v>48</v>
      </c>
      <c r="Y1239" t="s">
        <v>6527</v>
      </c>
    </row>
    <row r="1240" spans="1:25">
      <c r="A1240" t="s">
        <v>6528</v>
      </c>
      <c r="B1240" t="s">
        <v>6529</v>
      </c>
      <c r="D1240" t="s">
        <v>40</v>
      </c>
      <c r="E1240" t="s">
        <v>41</v>
      </c>
      <c r="G1240" t="s">
        <v>2101</v>
      </c>
      <c r="H1240" t="s">
        <v>6530</v>
      </c>
      <c r="J1240" t="s">
        <v>44</v>
      </c>
      <c r="K1240" t="s">
        <v>45</v>
      </c>
      <c r="L1240">
        <v>5</v>
      </c>
      <c r="M1240" t="s">
        <v>6526</v>
      </c>
      <c r="N1240" t="s">
        <v>47</v>
      </c>
      <c r="O1240" t="s">
        <v>48</v>
      </c>
      <c r="P1240" t="s">
        <v>48</v>
      </c>
      <c r="Y1240" t="s">
        <v>6531</v>
      </c>
    </row>
    <row r="1241" spans="1:25">
      <c r="A1241" t="s">
        <v>6532</v>
      </c>
      <c r="B1241" t="s">
        <v>6533</v>
      </c>
      <c r="D1241" t="s">
        <v>40</v>
      </c>
      <c r="E1241" t="s">
        <v>41</v>
      </c>
      <c r="G1241" t="s">
        <v>3439</v>
      </c>
      <c r="H1241" t="s">
        <v>6534</v>
      </c>
      <c r="J1241" t="s">
        <v>78</v>
      </c>
      <c r="K1241" t="s">
        <v>79</v>
      </c>
      <c r="L1241">
        <v>5</v>
      </c>
      <c r="M1241" t="s">
        <v>6526</v>
      </c>
      <c r="N1241" t="s">
        <v>47</v>
      </c>
      <c r="O1241" t="s">
        <v>48</v>
      </c>
      <c r="P1241" t="s">
        <v>48</v>
      </c>
      <c r="Y1241" t="s">
        <v>6535</v>
      </c>
    </row>
    <row r="1242" spans="1:25">
      <c r="A1242" t="s">
        <v>6536</v>
      </c>
      <c r="B1242" t="s">
        <v>6537</v>
      </c>
      <c r="D1242" t="s">
        <v>40</v>
      </c>
      <c r="E1242" t="s">
        <v>41</v>
      </c>
      <c r="G1242" t="s">
        <v>6538</v>
      </c>
      <c r="H1242" t="s">
        <v>6539</v>
      </c>
      <c r="J1242" t="s">
        <v>90</v>
      </c>
      <c r="K1242" t="s">
        <v>91</v>
      </c>
      <c r="L1242">
        <v>5</v>
      </c>
      <c r="M1242" t="s">
        <v>6526</v>
      </c>
      <c r="N1242" t="s">
        <v>47</v>
      </c>
      <c r="O1242" t="s">
        <v>48</v>
      </c>
      <c r="P1242" t="s">
        <v>48</v>
      </c>
      <c r="Y1242" t="s">
        <v>6540</v>
      </c>
    </row>
    <row r="1243" spans="1:25">
      <c r="A1243" t="s">
        <v>6541</v>
      </c>
      <c r="B1243" t="s">
        <v>6542</v>
      </c>
      <c r="D1243" t="s">
        <v>40</v>
      </c>
      <c r="E1243" t="s">
        <v>41</v>
      </c>
      <c r="G1243" t="s">
        <v>6543</v>
      </c>
      <c r="H1243" t="s">
        <v>6544</v>
      </c>
      <c r="J1243" t="s">
        <v>90</v>
      </c>
      <c r="K1243" t="s">
        <v>91</v>
      </c>
      <c r="L1243">
        <v>5</v>
      </c>
      <c r="M1243" t="s">
        <v>6545</v>
      </c>
      <c r="N1243" t="s">
        <v>47</v>
      </c>
      <c r="O1243" t="s">
        <v>48</v>
      </c>
      <c r="P1243" t="s">
        <v>48</v>
      </c>
      <c r="Y1243" t="s">
        <v>6546</v>
      </c>
    </row>
    <row r="1244" spans="1:25">
      <c r="A1244" t="s">
        <v>6547</v>
      </c>
      <c r="B1244" t="s">
        <v>6548</v>
      </c>
      <c r="D1244" t="s">
        <v>40</v>
      </c>
      <c r="E1244" t="s">
        <v>41</v>
      </c>
      <c r="G1244" t="s">
        <v>6549</v>
      </c>
      <c r="H1244" t="s">
        <v>6550</v>
      </c>
      <c r="J1244" t="s">
        <v>2328</v>
      </c>
      <c r="K1244" t="s">
        <v>2329</v>
      </c>
      <c r="L1244">
        <v>5</v>
      </c>
      <c r="M1244" t="s">
        <v>6545</v>
      </c>
      <c r="N1244" t="s">
        <v>685</v>
      </c>
      <c r="O1244" t="s">
        <v>48</v>
      </c>
      <c r="P1244" t="s">
        <v>48</v>
      </c>
      <c r="Y1244" t="s">
        <v>6551</v>
      </c>
    </row>
    <row r="1245" spans="1:25">
      <c r="A1245" t="s">
        <v>6552</v>
      </c>
      <c r="B1245" t="s">
        <v>6553</v>
      </c>
      <c r="D1245" t="s">
        <v>40</v>
      </c>
      <c r="E1245" t="s">
        <v>41</v>
      </c>
      <c r="G1245" t="s">
        <v>6554</v>
      </c>
      <c r="H1245" t="s">
        <v>6555</v>
      </c>
      <c r="J1245" t="s">
        <v>497</v>
      </c>
      <c r="K1245" t="s">
        <v>498</v>
      </c>
      <c r="L1245">
        <v>5</v>
      </c>
      <c r="M1245" t="s">
        <v>6545</v>
      </c>
      <c r="N1245" t="s">
        <v>290</v>
      </c>
      <c r="O1245" t="s">
        <v>48</v>
      </c>
      <c r="P1245" t="s">
        <v>48</v>
      </c>
      <c r="Y1245" t="s">
        <v>6556</v>
      </c>
    </row>
    <row r="1246" spans="1:25">
      <c r="A1246" t="s">
        <v>6557</v>
      </c>
      <c r="B1246" t="s">
        <v>6558</v>
      </c>
      <c r="D1246" t="s">
        <v>40</v>
      </c>
      <c r="E1246" t="s">
        <v>41</v>
      </c>
      <c r="G1246" t="s">
        <v>3445</v>
      </c>
      <c r="H1246" t="s">
        <v>6559</v>
      </c>
      <c r="J1246" t="s">
        <v>90</v>
      </c>
      <c r="K1246" t="s">
        <v>91</v>
      </c>
      <c r="L1246">
        <v>5</v>
      </c>
      <c r="M1246" t="s">
        <v>6545</v>
      </c>
      <c r="N1246" t="s">
        <v>47</v>
      </c>
      <c r="O1246" t="s">
        <v>48</v>
      </c>
      <c r="P1246" t="s">
        <v>48</v>
      </c>
      <c r="Y1246" t="s">
        <v>6560</v>
      </c>
    </row>
    <row r="1247" spans="1:25">
      <c r="A1247" t="s">
        <v>6561</v>
      </c>
      <c r="B1247" t="s">
        <v>6562</v>
      </c>
      <c r="D1247" t="s">
        <v>40</v>
      </c>
      <c r="E1247" t="s">
        <v>41</v>
      </c>
      <c r="H1247" t="s">
        <v>6563</v>
      </c>
      <c r="J1247" t="s">
        <v>133</v>
      </c>
      <c r="K1247" t="s">
        <v>134</v>
      </c>
      <c r="L1247">
        <v>5</v>
      </c>
      <c r="M1247" t="s">
        <v>6564</v>
      </c>
      <c r="N1247" t="s">
        <v>685</v>
      </c>
      <c r="O1247" t="s">
        <v>48</v>
      </c>
      <c r="P1247" t="s">
        <v>48</v>
      </c>
      <c r="Y1247" t="s">
        <v>6563</v>
      </c>
    </row>
    <row r="1248" spans="1:25">
      <c r="A1248" t="s">
        <v>6565</v>
      </c>
      <c r="B1248" t="s">
        <v>6566</v>
      </c>
      <c r="D1248" t="s">
        <v>40</v>
      </c>
      <c r="E1248" t="s">
        <v>41</v>
      </c>
      <c r="J1248" t="s">
        <v>54</v>
      </c>
      <c r="K1248" t="s">
        <v>55</v>
      </c>
      <c r="L1248">
        <v>5</v>
      </c>
      <c r="M1248" t="s">
        <v>6564</v>
      </c>
      <c r="N1248" t="s">
        <v>47</v>
      </c>
      <c r="O1248" t="s">
        <v>48</v>
      </c>
      <c r="P1248" t="s">
        <v>48</v>
      </c>
      <c r="Y1248" t="s">
        <v>6567</v>
      </c>
    </row>
    <row r="1249" spans="1:25">
      <c r="A1249" t="s">
        <v>6568</v>
      </c>
      <c r="B1249" t="s">
        <v>6569</v>
      </c>
      <c r="D1249" t="s">
        <v>1832</v>
      </c>
      <c r="E1249" t="s">
        <v>41</v>
      </c>
      <c r="J1249" t="s">
        <v>133</v>
      </c>
      <c r="K1249" t="s">
        <v>134</v>
      </c>
      <c r="L1249">
        <v>5</v>
      </c>
      <c r="M1249" t="s">
        <v>6570</v>
      </c>
      <c r="N1249" t="s">
        <v>135</v>
      </c>
      <c r="O1249" t="s">
        <v>1835</v>
      </c>
      <c r="P1249" t="s">
        <v>1835</v>
      </c>
      <c r="Y1249" t="s">
        <v>6571</v>
      </c>
    </row>
    <row r="1250" spans="1:25">
      <c r="A1250" t="s">
        <v>6572</v>
      </c>
      <c r="B1250" t="s">
        <v>6573</v>
      </c>
      <c r="D1250" t="s">
        <v>1832</v>
      </c>
      <c r="E1250" t="s">
        <v>41</v>
      </c>
      <c r="J1250" t="s">
        <v>44</v>
      </c>
      <c r="K1250" t="s">
        <v>45</v>
      </c>
      <c r="L1250">
        <v>5</v>
      </c>
      <c r="M1250" t="s">
        <v>6570</v>
      </c>
      <c r="N1250" t="s">
        <v>47</v>
      </c>
      <c r="O1250" t="s">
        <v>1835</v>
      </c>
      <c r="P1250" t="s">
        <v>1835</v>
      </c>
      <c r="Y1250" t="s">
        <v>6574</v>
      </c>
    </row>
    <row r="1251" spans="1:25">
      <c r="A1251" t="s">
        <v>6575</v>
      </c>
      <c r="B1251" t="s">
        <v>6576</v>
      </c>
      <c r="D1251" t="s">
        <v>1832</v>
      </c>
      <c r="E1251" t="s">
        <v>41</v>
      </c>
      <c r="J1251" t="s">
        <v>44</v>
      </c>
      <c r="K1251" t="s">
        <v>45</v>
      </c>
      <c r="L1251">
        <v>5</v>
      </c>
      <c r="M1251" t="s">
        <v>6570</v>
      </c>
      <c r="N1251" t="s">
        <v>47</v>
      </c>
      <c r="O1251" t="s">
        <v>1835</v>
      </c>
      <c r="P1251" t="s">
        <v>1835</v>
      </c>
      <c r="Y1251" t="s">
        <v>6577</v>
      </c>
    </row>
    <row r="1252" spans="1:25">
      <c r="A1252" t="s">
        <v>6578</v>
      </c>
      <c r="B1252" t="s">
        <v>6579</v>
      </c>
      <c r="D1252" t="s">
        <v>1832</v>
      </c>
      <c r="E1252" t="s">
        <v>41</v>
      </c>
      <c r="H1252" t="s">
        <v>6580</v>
      </c>
      <c r="J1252" t="s">
        <v>90</v>
      </c>
      <c r="K1252" t="s">
        <v>91</v>
      </c>
      <c r="L1252">
        <v>5</v>
      </c>
      <c r="M1252" t="s">
        <v>6570</v>
      </c>
      <c r="N1252" t="s">
        <v>47</v>
      </c>
      <c r="O1252" t="s">
        <v>1835</v>
      </c>
      <c r="P1252" t="s">
        <v>1835</v>
      </c>
      <c r="Y1252" t="s">
        <v>6580</v>
      </c>
    </row>
    <row r="1253" spans="1:25">
      <c r="A1253" t="s">
        <v>6581</v>
      </c>
      <c r="B1253" t="s">
        <v>6582</v>
      </c>
      <c r="D1253" t="s">
        <v>1832</v>
      </c>
      <c r="E1253" t="s">
        <v>41</v>
      </c>
      <c r="J1253" t="s">
        <v>133</v>
      </c>
      <c r="K1253" t="s">
        <v>134</v>
      </c>
      <c r="L1253">
        <v>5</v>
      </c>
      <c r="M1253" t="s">
        <v>6583</v>
      </c>
      <c r="N1253" t="s">
        <v>290</v>
      </c>
      <c r="O1253" t="s">
        <v>1835</v>
      </c>
      <c r="P1253" t="s">
        <v>1835</v>
      </c>
      <c r="Y1253" t="s">
        <v>6584</v>
      </c>
    </row>
    <row r="1254" spans="1:25">
      <c r="A1254" t="s">
        <v>6585</v>
      </c>
      <c r="B1254" t="s">
        <v>6586</v>
      </c>
      <c r="D1254" t="s">
        <v>1832</v>
      </c>
      <c r="E1254" t="s">
        <v>41</v>
      </c>
      <c r="H1254" t="s">
        <v>6587</v>
      </c>
      <c r="J1254" t="s">
        <v>133</v>
      </c>
      <c r="K1254" t="s">
        <v>134</v>
      </c>
      <c r="L1254">
        <v>5</v>
      </c>
      <c r="M1254" t="s">
        <v>6583</v>
      </c>
      <c r="N1254" t="s">
        <v>685</v>
      </c>
      <c r="O1254" t="s">
        <v>1835</v>
      </c>
      <c r="P1254" t="s">
        <v>1835</v>
      </c>
      <c r="Y1254" t="s">
        <v>6587</v>
      </c>
    </row>
    <row r="1255" spans="1:25">
      <c r="A1255" t="s">
        <v>6588</v>
      </c>
      <c r="B1255" t="s">
        <v>6589</v>
      </c>
      <c r="D1255" t="s">
        <v>1832</v>
      </c>
      <c r="E1255" t="s">
        <v>41</v>
      </c>
      <c r="H1255" t="s">
        <v>6590</v>
      </c>
      <c r="J1255" t="s">
        <v>133</v>
      </c>
      <c r="K1255" t="s">
        <v>134</v>
      </c>
      <c r="L1255">
        <v>5</v>
      </c>
      <c r="M1255" t="s">
        <v>6591</v>
      </c>
      <c r="N1255" t="s">
        <v>685</v>
      </c>
      <c r="O1255" t="s">
        <v>1835</v>
      </c>
      <c r="P1255" t="s">
        <v>1835</v>
      </c>
      <c r="Y1255" t="s">
        <v>6590</v>
      </c>
    </row>
    <row r="1256" spans="1:25">
      <c r="A1256" t="s">
        <v>6592</v>
      </c>
      <c r="B1256" t="s">
        <v>6593</v>
      </c>
      <c r="D1256" t="s">
        <v>1832</v>
      </c>
      <c r="E1256" t="s">
        <v>41</v>
      </c>
      <c r="J1256" t="s">
        <v>6594</v>
      </c>
      <c r="K1256" t="s">
        <v>6595</v>
      </c>
      <c r="L1256">
        <v>6</v>
      </c>
      <c r="M1256" t="s">
        <v>6596</v>
      </c>
      <c r="N1256" t="s">
        <v>685</v>
      </c>
      <c r="O1256" t="s">
        <v>1835</v>
      </c>
      <c r="P1256" t="s">
        <v>1835</v>
      </c>
      <c r="Y1256" t="s">
        <v>6597</v>
      </c>
    </row>
    <row r="1257" spans="1:25">
      <c r="A1257" t="s">
        <v>6598</v>
      </c>
      <c r="B1257" t="s">
        <v>6599</v>
      </c>
      <c r="D1257" t="s">
        <v>1832</v>
      </c>
      <c r="E1257" t="s">
        <v>41</v>
      </c>
      <c r="J1257" t="s">
        <v>90</v>
      </c>
      <c r="K1257" t="s">
        <v>91</v>
      </c>
      <c r="L1257">
        <v>5</v>
      </c>
      <c r="M1257" t="s">
        <v>6600</v>
      </c>
      <c r="N1257" t="s">
        <v>47</v>
      </c>
      <c r="O1257" t="s">
        <v>1835</v>
      </c>
      <c r="P1257" t="s">
        <v>1835</v>
      </c>
      <c r="Y1257" t="s">
        <v>6601</v>
      </c>
    </row>
    <row r="1258" spans="1:25">
      <c r="A1258" t="s">
        <v>6602</v>
      </c>
      <c r="B1258" t="s">
        <v>6603</v>
      </c>
      <c r="D1258" t="s">
        <v>1832</v>
      </c>
      <c r="E1258" t="s">
        <v>41</v>
      </c>
      <c r="J1258" t="s">
        <v>54</v>
      </c>
      <c r="K1258" t="s">
        <v>55</v>
      </c>
      <c r="L1258">
        <v>5</v>
      </c>
      <c r="M1258" t="s">
        <v>6600</v>
      </c>
      <c r="N1258" t="s">
        <v>47</v>
      </c>
      <c r="O1258" t="s">
        <v>1835</v>
      </c>
      <c r="P1258" t="s">
        <v>1835</v>
      </c>
      <c r="Y1258" t="s">
        <v>6604</v>
      </c>
    </row>
    <row r="1259" spans="1:25">
      <c r="A1259" t="s">
        <v>6605</v>
      </c>
      <c r="B1259" t="s">
        <v>6606</v>
      </c>
      <c r="D1259" t="s">
        <v>1832</v>
      </c>
      <c r="E1259" t="s">
        <v>41</v>
      </c>
      <c r="J1259" t="s">
        <v>54</v>
      </c>
      <c r="K1259" t="s">
        <v>55</v>
      </c>
      <c r="L1259">
        <v>5</v>
      </c>
      <c r="M1259" t="s">
        <v>6607</v>
      </c>
      <c r="N1259" t="s">
        <v>47</v>
      </c>
      <c r="O1259" t="s">
        <v>1835</v>
      </c>
      <c r="P1259" t="s">
        <v>1835</v>
      </c>
      <c r="Y1259" t="s">
        <v>6608</v>
      </c>
    </row>
    <row r="1260" spans="1:25">
      <c r="A1260" t="s">
        <v>6609</v>
      </c>
      <c r="B1260" t="s">
        <v>6610</v>
      </c>
      <c r="D1260" t="s">
        <v>1832</v>
      </c>
      <c r="E1260" t="s">
        <v>41</v>
      </c>
      <c r="J1260" t="s">
        <v>44</v>
      </c>
      <c r="K1260" t="s">
        <v>45</v>
      </c>
      <c r="L1260">
        <v>5</v>
      </c>
      <c r="M1260" t="s">
        <v>6607</v>
      </c>
      <c r="N1260" t="s">
        <v>47</v>
      </c>
      <c r="O1260" t="s">
        <v>1835</v>
      </c>
      <c r="P1260" t="s">
        <v>1835</v>
      </c>
      <c r="Y1260" t="s">
        <v>6611</v>
      </c>
    </row>
    <row r="1261" spans="1:25">
      <c r="A1261" t="s">
        <v>6612</v>
      </c>
      <c r="B1261" t="s">
        <v>6613</v>
      </c>
      <c r="D1261" t="s">
        <v>1832</v>
      </c>
      <c r="E1261" t="s">
        <v>41</v>
      </c>
      <c r="J1261" t="s">
        <v>44</v>
      </c>
      <c r="K1261" t="s">
        <v>45</v>
      </c>
      <c r="L1261">
        <v>5</v>
      </c>
      <c r="M1261" t="s">
        <v>6607</v>
      </c>
      <c r="N1261" t="s">
        <v>47</v>
      </c>
      <c r="O1261" t="s">
        <v>1835</v>
      </c>
      <c r="P1261" t="s">
        <v>1835</v>
      </c>
      <c r="Y1261" t="s">
        <v>6614</v>
      </c>
    </row>
    <row r="1262" spans="1:25">
      <c r="A1262" t="s">
        <v>6615</v>
      </c>
      <c r="B1262" t="s">
        <v>6616</v>
      </c>
      <c r="D1262" t="s">
        <v>1832</v>
      </c>
      <c r="E1262" t="s">
        <v>41</v>
      </c>
      <c r="J1262" t="s">
        <v>497</v>
      </c>
      <c r="K1262" t="s">
        <v>498</v>
      </c>
      <c r="L1262">
        <v>5</v>
      </c>
      <c r="M1262" t="s">
        <v>6607</v>
      </c>
      <c r="N1262" t="s">
        <v>135</v>
      </c>
      <c r="O1262" t="s">
        <v>1835</v>
      </c>
      <c r="P1262" t="s">
        <v>1835</v>
      </c>
      <c r="Y1262" t="s">
        <v>6617</v>
      </c>
    </row>
    <row r="1263" spans="1:25">
      <c r="A1263" t="s">
        <v>6618</v>
      </c>
      <c r="B1263" t="s">
        <v>6619</v>
      </c>
      <c r="D1263" t="s">
        <v>1832</v>
      </c>
      <c r="E1263" t="s">
        <v>41</v>
      </c>
      <c r="J1263" t="s">
        <v>90</v>
      </c>
      <c r="K1263" t="s">
        <v>91</v>
      </c>
      <c r="L1263">
        <v>5</v>
      </c>
      <c r="M1263" t="s">
        <v>6607</v>
      </c>
      <c r="N1263" t="s">
        <v>47</v>
      </c>
      <c r="O1263" t="s">
        <v>1835</v>
      </c>
      <c r="P1263" t="s">
        <v>1835</v>
      </c>
      <c r="Y1263" t="s">
        <v>6620</v>
      </c>
    </row>
    <row r="1264" spans="1:25">
      <c r="A1264" t="s">
        <v>6621</v>
      </c>
      <c r="B1264" t="s">
        <v>6622</v>
      </c>
      <c r="D1264" t="s">
        <v>1832</v>
      </c>
      <c r="E1264" t="s">
        <v>41</v>
      </c>
      <c r="J1264" t="s">
        <v>90</v>
      </c>
      <c r="K1264" t="s">
        <v>91</v>
      </c>
      <c r="L1264">
        <v>5</v>
      </c>
      <c r="M1264" t="s">
        <v>6607</v>
      </c>
      <c r="N1264" t="s">
        <v>47</v>
      </c>
      <c r="O1264" t="s">
        <v>1835</v>
      </c>
      <c r="P1264" t="s">
        <v>1835</v>
      </c>
      <c r="Y1264" t="s">
        <v>6623</v>
      </c>
    </row>
    <row r="1265" spans="1:25">
      <c r="A1265" t="s">
        <v>6624</v>
      </c>
      <c r="B1265" t="s">
        <v>6625</v>
      </c>
      <c r="D1265" t="s">
        <v>1832</v>
      </c>
      <c r="E1265" t="s">
        <v>41</v>
      </c>
      <c r="J1265" t="s">
        <v>90</v>
      </c>
      <c r="K1265" t="s">
        <v>91</v>
      </c>
      <c r="L1265">
        <v>5</v>
      </c>
      <c r="M1265" t="s">
        <v>6626</v>
      </c>
      <c r="N1265" t="s">
        <v>47</v>
      </c>
      <c r="O1265" t="s">
        <v>1835</v>
      </c>
      <c r="P1265" t="s">
        <v>1835</v>
      </c>
      <c r="Y1265" t="s">
        <v>6627</v>
      </c>
    </row>
    <row r="1266" spans="1:25">
      <c r="A1266" t="s">
        <v>6628</v>
      </c>
      <c r="B1266" t="s">
        <v>6629</v>
      </c>
      <c r="D1266" t="s">
        <v>1832</v>
      </c>
      <c r="E1266" t="s">
        <v>41</v>
      </c>
      <c r="J1266" t="s">
        <v>90</v>
      </c>
      <c r="K1266" t="s">
        <v>91</v>
      </c>
      <c r="L1266">
        <v>5</v>
      </c>
      <c r="M1266" t="s">
        <v>6626</v>
      </c>
      <c r="N1266" t="s">
        <v>47</v>
      </c>
      <c r="O1266" t="s">
        <v>1835</v>
      </c>
      <c r="P1266" t="s">
        <v>1835</v>
      </c>
      <c r="Y1266" t="s">
        <v>6630</v>
      </c>
    </row>
    <row r="1267" spans="1:25">
      <c r="A1267" t="s">
        <v>6631</v>
      </c>
      <c r="B1267" t="s">
        <v>6632</v>
      </c>
      <c r="D1267" t="s">
        <v>1832</v>
      </c>
      <c r="E1267" t="s">
        <v>41</v>
      </c>
      <c r="J1267" t="s">
        <v>90</v>
      </c>
      <c r="K1267" t="s">
        <v>91</v>
      </c>
      <c r="L1267">
        <v>5</v>
      </c>
      <c r="M1267" t="s">
        <v>6626</v>
      </c>
      <c r="N1267" t="s">
        <v>47</v>
      </c>
      <c r="O1267" t="s">
        <v>1835</v>
      </c>
      <c r="P1267" t="s">
        <v>1835</v>
      </c>
      <c r="Y1267" t="s">
        <v>6633</v>
      </c>
    </row>
    <row r="1268" spans="1:25">
      <c r="A1268" t="s">
        <v>6634</v>
      </c>
      <c r="B1268" t="s">
        <v>6635</v>
      </c>
      <c r="D1268" t="s">
        <v>1832</v>
      </c>
      <c r="E1268" t="s">
        <v>41</v>
      </c>
      <c r="H1268" t="s">
        <v>6636</v>
      </c>
      <c r="J1268" t="s">
        <v>90</v>
      </c>
      <c r="K1268" t="s">
        <v>91</v>
      </c>
      <c r="L1268">
        <v>5</v>
      </c>
      <c r="M1268" t="s">
        <v>6637</v>
      </c>
      <c r="N1268" t="s">
        <v>47</v>
      </c>
      <c r="O1268" t="s">
        <v>1835</v>
      </c>
      <c r="P1268" t="s">
        <v>1835</v>
      </c>
      <c r="Y1268" t="s">
        <v>6636</v>
      </c>
    </row>
    <row r="1269" spans="1:25">
      <c r="A1269" t="s">
        <v>6638</v>
      </c>
      <c r="B1269" t="s">
        <v>6639</v>
      </c>
      <c r="D1269" t="s">
        <v>1832</v>
      </c>
      <c r="E1269" t="s">
        <v>41</v>
      </c>
      <c r="J1269" t="s">
        <v>133</v>
      </c>
      <c r="K1269" t="s">
        <v>134</v>
      </c>
      <c r="L1269">
        <v>5</v>
      </c>
      <c r="M1269" t="s">
        <v>6637</v>
      </c>
      <c r="N1269" t="s">
        <v>135</v>
      </c>
      <c r="O1269" t="s">
        <v>1835</v>
      </c>
      <c r="P1269" t="s">
        <v>1835</v>
      </c>
      <c r="Y1269" t="s">
        <v>6640</v>
      </c>
    </row>
    <row r="1270" spans="1:25">
      <c r="A1270" t="s">
        <v>6641</v>
      </c>
      <c r="B1270" t="s">
        <v>6642</v>
      </c>
      <c r="D1270" t="s">
        <v>1832</v>
      </c>
      <c r="E1270" t="s">
        <v>41</v>
      </c>
      <c r="J1270" t="s">
        <v>78</v>
      </c>
      <c r="K1270" t="s">
        <v>79</v>
      </c>
      <c r="L1270">
        <v>5</v>
      </c>
      <c r="M1270" t="s">
        <v>6637</v>
      </c>
      <c r="N1270" t="s">
        <v>47</v>
      </c>
      <c r="O1270" t="s">
        <v>1835</v>
      </c>
      <c r="P1270" t="s">
        <v>1835</v>
      </c>
      <c r="Y1270" t="s">
        <v>6643</v>
      </c>
    </row>
    <row r="1271" spans="1:25">
      <c r="A1271" t="s">
        <v>6644</v>
      </c>
      <c r="B1271" t="s">
        <v>6645</v>
      </c>
      <c r="D1271" t="s">
        <v>1832</v>
      </c>
      <c r="E1271" t="s">
        <v>41</v>
      </c>
      <c r="J1271" t="s">
        <v>90</v>
      </c>
      <c r="K1271" t="s">
        <v>91</v>
      </c>
      <c r="L1271">
        <v>5</v>
      </c>
      <c r="M1271" t="s">
        <v>6646</v>
      </c>
      <c r="N1271" t="s">
        <v>47</v>
      </c>
      <c r="O1271" t="s">
        <v>1835</v>
      </c>
      <c r="P1271" t="s">
        <v>1835</v>
      </c>
      <c r="Y1271" t="s">
        <v>6647</v>
      </c>
    </row>
    <row r="1272" spans="1:25">
      <c r="A1272" t="s">
        <v>6648</v>
      </c>
      <c r="B1272" t="s">
        <v>6649</v>
      </c>
      <c r="D1272" t="s">
        <v>1832</v>
      </c>
      <c r="E1272" t="s">
        <v>41</v>
      </c>
      <c r="J1272" t="s">
        <v>78</v>
      </c>
      <c r="K1272" t="s">
        <v>79</v>
      </c>
      <c r="L1272">
        <v>5</v>
      </c>
      <c r="M1272" t="s">
        <v>6650</v>
      </c>
      <c r="N1272" t="s">
        <v>47</v>
      </c>
      <c r="O1272" t="s">
        <v>1835</v>
      </c>
      <c r="P1272" t="s">
        <v>1835</v>
      </c>
      <c r="Y1272" t="s">
        <v>6651</v>
      </c>
    </row>
    <row r="1273" spans="1:25">
      <c r="A1273" t="s">
        <v>6652</v>
      </c>
      <c r="B1273" t="s">
        <v>6653</v>
      </c>
      <c r="D1273" t="s">
        <v>1832</v>
      </c>
      <c r="E1273" t="s">
        <v>41</v>
      </c>
      <c r="J1273" t="s">
        <v>2328</v>
      </c>
      <c r="K1273" t="s">
        <v>2329</v>
      </c>
      <c r="L1273">
        <v>5</v>
      </c>
      <c r="M1273" t="s">
        <v>6654</v>
      </c>
      <c r="N1273" t="s">
        <v>685</v>
      </c>
      <c r="O1273" t="s">
        <v>1835</v>
      </c>
      <c r="P1273" t="s">
        <v>1835</v>
      </c>
      <c r="Y1273" t="s">
        <v>6655</v>
      </c>
    </row>
    <row r="1274" spans="1:25">
      <c r="A1274" t="s">
        <v>6656</v>
      </c>
      <c r="B1274" t="s">
        <v>6657</v>
      </c>
      <c r="D1274" t="s">
        <v>1832</v>
      </c>
      <c r="E1274" t="s">
        <v>41</v>
      </c>
      <c r="H1274" t="s">
        <v>6658</v>
      </c>
      <c r="J1274" t="s">
        <v>44</v>
      </c>
      <c r="K1274" t="s">
        <v>45</v>
      </c>
      <c r="L1274">
        <v>5</v>
      </c>
      <c r="M1274" t="s">
        <v>6659</v>
      </c>
      <c r="N1274" t="s">
        <v>47</v>
      </c>
      <c r="O1274" t="s">
        <v>1835</v>
      </c>
      <c r="P1274" t="s">
        <v>1835</v>
      </c>
      <c r="Y1274" t="s">
        <v>6658</v>
      </c>
    </row>
    <row r="1275" spans="1:25">
      <c r="A1275" t="s">
        <v>6660</v>
      </c>
      <c r="B1275" t="s">
        <v>6661</v>
      </c>
      <c r="D1275" t="s">
        <v>1832</v>
      </c>
      <c r="E1275" t="s">
        <v>41</v>
      </c>
      <c r="J1275" t="s">
        <v>44</v>
      </c>
      <c r="K1275" t="s">
        <v>45</v>
      </c>
      <c r="L1275">
        <v>5</v>
      </c>
      <c r="M1275" t="s">
        <v>6662</v>
      </c>
      <c r="N1275" t="s">
        <v>47</v>
      </c>
      <c r="O1275" t="s">
        <v>1835</v>
      </c>
      <c r="P1275" t="s">
        <v>1835</v>
      </c>
      <c r="Y1275" t="s">
        <v>6663</v>
      </c>
    </row>
    <row r="1276" spans="1:25">
      <c r="A1276" t="s">
        <v>6664</v>
      </c>
      <c r="B1276" t="s">
        <v>6665</v>
      </c>
      <c r="D1276" t="s">
        <v>1832</v>
      </c>
      <c r="E1276" t="s">
        <v>41</v>
      </c>
      <c r="J1276" t="s">
        <v>133</v>
      </c>
      <c r="K1276" t="s">
        <v>134</v>
      </c>
      <c r="L1276">
        <v>5</v>
      </c>
      <c r="M1276" t="s">
        <v>6666</v>
      </c>
      <c r="N1276" t="s">
        <v>135</v>
      </c>
      <c r="O1276" t="s">
        <v>1835</v>
      </c>
      <c r="P1276" t="s">
        <v>1835</v>
      </c>
      <c r="Y1276" t="s">
        <v>6667</v>
      </c>
    </row>
    <row r="1277" spans="1:25">
      <c r="A1277" t="s">
        <v>6668</v>
      </c>
      <c r="B1277" t="s">
        <v>6669</v>
      </c>
      <c r="D1277" t="s">
        <v>1832</v>
      </c>
      <c r="E1277" t="s">
        <v>41</v>
      </c>
      <c r="J1277" t="s">
        <v>44</v>
      </c>
      <c r="K1277" t="s">
        <v>45</v>
      </c>
      <c r="L1277">
        <v>5</v>
      </c>
      <c r="M1277" t="s">
        <v>6670</v>
      </c>
      <c r="N1277" t="s">
        <v>47</v>
      </c>
      <c r="O1277" t="s">
        <v>1835</v>
      </c>
      <c r="P1277" t="s">
        <v>1835</v>
      </c>
      <c r="Y1277" t="s">
        <v>6671</v>
      </c>
    </row>
    <row r="1278" spans="1:25">
      <c r="A1278" t="s">
        <v>6672</v>
      </c>
      <c r="B1278" t="s">
        <v>6673</v>
      </c>
      <c r="D1278" t="s">
        <v>1832</v>
      </c>
      <c r="E1278" t="s">
        <v>41</v>
      </c>
      <c r="J1278" t="s">
        <v>90</v>
      </c>
      <c r="K1278" t="s">
        <v>91</v>
      </c>
      <c r="L1278">
        <v>5</v>
      </c>
      <c r="M1278" t="s">
        <v>6674</v>
      </c>
      <c r="N1278" t="s">
        <v>47</v>
      </c>
      <c r="O1278" t="s">
        <v>1835</v>
      </c>
      <c r="P1278" t="s">
        <v>1835</v>
      </c>
      <c r="Y1278" t="s">
        <v>6675</v>
      </c>
    </row>
    <row r="1279" spans="1:25">
      <c r="A1279" t="s">
        <v>6676</v>
      </c>
      <c r="B1279" t="s">
        <v>6677</v>
      </c>
      <c r="D1279" t="s">
        <v>1832</v>
      </c>
      <c r="E1279" t="s">
        <v>41</v>
      </c>
      <c r="J1279" t="s">
        <v>90</v>
      </c>
      <c r="K1279" t="s">
        <v>91</v>
      </c>
      <c r="L1279">
        <v>5</v>
      </c>
      <c r="M1279" t="s">
        <v>6678</v>
      </c>
      <c r="N1279" t="s">
        <v>47</v>
      </c>
      <c r="O1279" t="s">
        <v>1835</v>
      </c>
      <c r="P1279" t="s">
        <v>1835</v>
      </c>
      <c r="Y1279" t="s">
        <v>6679</v>
      </c>
    </row>
    <row r="1280" spans="1:25">
      <c r="A1280" t="s">
        <v>6680</v>
      </c>
      <c r="B1280" t="s">
        <v>6681</v>
      </c>
      <c r="D1280" t="s">
        <v>1832</v>
      </c>
      <c r="E1280" t="s">
        <v>41</v>
      </c>
      <c r="J1280" t="s">
        <v>90</v>
      </c>
      <c r="K1280" t="s">
        <v>91</v>
      </c>
      <c r="L1280">
        <v>5</v>
      </c>
      <c r="M1280" t="s">
        <v>6682</v>
      </c>
      <c r="N1280" t="s">
        <v>47</v>
      </c>
      <c r="O1280" t="s">
        <v>1835</v>
      </c>
      <c r="P1280" t="s">
        <v>1835</v>
      </c>
      <c r="Y1280" t="s">
        <v>6683</v>
      </c>
    </row>
    <row r="1281" spans="1:25">
      <c r="A1281" t="s">
        <v>6684</v>
      </c>
      <c r="B1281" t="s">
        <v>6685</v>
      </c>
      <c r="D1281" t="s">
        <v>1832</v>
      </c>
      <c r="E1281" t="s">
        <v>41</v>
      </c>
      <c r="H1281" t="s">
        <v>6686</v>
      </c>
      <c r="J1281" t="s">
        <v>44</v>
      </c>
      <c r="K1281" t="s">
        <v>45</v>
      </c>
      <c r="L1281">
        <v>5</v>
      </c>
      <c r="M1281" t="s">
        <v>6687</v>
      </c>
      <c r="N1281" t="s">
        <v>47</v>
      </c>
      <c r="O1281" t="s">
        <v>1835</v>
      </c>
      <c r="P1281" t="s">
        <v>1835</v>
      </c>
      <c r="Y1281" t="s">
        <v>6686</v>
      </c>
    </row>
    <row r="1282" spans="1:25">
      <c r="A1282" t="s">
        <v>6688</v>
      </c>
      <c r="B1282" t="s">
        <v>6689</v>
      </c>
      <c r="D1282" t="s">
        <v>1832</v>
      </c>
      <c r="E1282" t="s">
        <v>41</v>
      </c>
      <c r="J1282" t="s">
        <v>90</v>
      </c>
      <c r="K1282" t="s">
        <v>91</v>
      </c>
      <c r="L1282">
        <v>5</v>
      </c>
      <c r="M1282" t="s">
        <v>6690</v>
      </c>
      <c r="N1282" t="s">
        <v>47</v>
      </c>
      <c r="O1282" t="s">
        <v>1835</v>
      </c>
      <c r="P1282" t="s">
        <v>1835</v>
      </c>
      <c r="Y1282" t="s">
        <v>6691</v>
      </c>
    </row>
    <row r="1283" spans="1:25">
      <c r="A1283" t="s">
        <v>6692</v>
      </c>
      <c r="B1283" t="s">
        <v>6693</v>
      </c>
      <c r="D1283" t="s">
        <v>1832</v>
      </c>
      <c r="E1283" t="s">
        <v>41</v>
      </c>
      <c r="H1283" t="s">
        <v>6694</v>
      </c>
      <c r="J1283" t="s">
        <v>90</v>
      </c>
      <c r="K1283" t="s">
        <v>91</v>
      </c>
      <c r="L1283">
        <v>5</v>
      </c>
      <c r="M1283" t="s">
        <v>6695</v>
      </c>
      <c r="N1283" t="s">
        <v>47</v>
      </c>
      <c r="O1283" t="s">
        <v>1835</v>
      </c>
      <c r="P1283" t="s">
        <v>1835</v>
      </c>
      <c r="Y1283" t="s">
        <v>6694</v>
      </c>
    </row>
    <row r="1284" spans="1:25">
      <c r="A1284" t="s">
        <v>6696</v>
      </c>
      <c r="B1284" t="s">
        <v>6697</v>
      </c>
      <c r="D1284" t="s">
        <v>1832</v>
      </c>
      <c r="E1284" t="s">
        <v>41</v>
      </c>
      <c r="J1284" t="s">
        <v>78</v>
      </c>
      <c r="K1284" t="s">
        <v>79</v>
      </c>
      <c r="L1284">
        <v>5</v>
      </c>
      <c r="M1284" t="s">
        <v>6698</v>
      </c>
      <c r="N1284" t="s">
        <v>47</v>
      </c>
      <c r="O1284" t="s">
        <v>1835</v>
      </c>
      <c r="P1284" t="s">
        <v>1835</v>
      </c>
      <c r="Y1284" t="s">
        <v>6699</v>
      </c>
    </row>
    <row r="1285" spans="1:25">
      <c r="A1285" t="s">
        <v>6700</v>
      </c>
      <c r="B1285" t="s">
        <v>6701</v>
      </c>
      <c r="D1285" t="s">
        <v>1832</v>
      </c>
      <c r="E1285" t="s">
        <v>41</v>
      </c>
      <c r="J1285" t="s">
        <v>54</v>
      </c>
      <c r="K1285" t="s">
        <v>55</v>
      </c>
      <c r="L1285">
        <v>5</v>
      </c>
      <c r="M1285" t="s">
        <v>6702</v>
      </c>
      <c r="N1285" t="s">
        <v>47</v>
      </c>
      <c r="O1285" t="s">
        <v>1835</v>
      </c>
      <c r="P1285" t="s">
        <v>1835</v>
      </c>
      <c r="Y1285" t="s">
        <v>6703</v>
      </c>
    </row>
    <row r="1286" spans="1:25">
      <c r="A1286" t="s">
        <v>6704</v>
      </c>
      <c r="B1286" t="s">
        <v>6705</v>
      </c>
      <c r="D1286" t="s">
        <v>1832</v>
      </c>
      <c r="E1286" t="s">
        <v>41</v>
      </c>
      <c r="J1286" t="s">
        <v>133</v>
      </c>
      <c r="K1286" t="s">
        <v>134</v>
      </c>
      <c r="L1286">
        <v>5</v>
      </c>
      <c r="M1286" t="s">
        <v>6706</v>
      </c>
      <c r="N1286" t="s">
        <v>290</v>
      </c>
      <c r="O1286" t="s">
        <v>1835</v>
      </c>
      <c r="P1286" t="s">
        <v>1835</v>
      </c>
      <c r="Y1286" t="s">
        <v>6707</v>
      </c>
    </row>
    <row r="1287" spans="1:25">
      <c r="A1287" t="s">
        <v>6708</v>
      </c>
      <c r="B1287" t="s">
        <v>6709</v>
      </c>
      <c r="D1287" t="s">
        <v>1832</v>
      </c>
      <c r="E1287" t="s">
        <v>41</v>
      </c>
      <c r="J1287" t="s">
        <v>90</v>
      </c>
      <c r="K1287" t="s">
        <v>91</v>
      </c>
      <c r="L1287">
        <v>5</v>
      </c>
      <c r="M1287" t="s">
        <v>6710</v>
      </c>
      <c r="N1287" t="s">
        <v>47</v>
      </c>
      <c r="O1287" t="s">
        <v>1835</v>
      </c>
      <c r="P1287" t="s">
        <v>1835</v>
      </c>
      <c r="Y1287" t="s">
        <v>6711</v>
      </c>
    </row>
    <row r="1288" spans="1:25">
      <c r="A1288" t="s">
        <v>6712</v>
      </c>
      <c r="B1288" t="s">
        <v>6713</v>
      </c>
      <c r="D1288" t="s">
        <v>1832</v>
      </c>
      <c r="E1288" t="s">
        <v>41</v>
      </c>
      <c r="J1288" t="s">
        <v>90</v>
      </c>
      <c r="K1288" t="s">
        <v>91</v>
      </c>
      <c r="L1288">
        <v>5</v>
      </c>
      <c r="M1288" t="s">
        <v>6714</v>
      </c>
      <c r="N1288" t="s">
        <v>47</v>
      </c>
      <c r="O1288" t="s">
        <v>1835</v>
      </c>
      <c r="P1288" t="s">
        <v>1835</v>
      </c>
      <c r="Y1288" t="s">
        <v>6715</v>
      </c>
    </row>
    <row r="1289" spans="1:25">
      <c r="A1289" t="s">
        <v>6716</v>
      </c>
      <c r="B1289" t="s">
        <v>6717</v>
      </c>
      <c r="D1289" t="s">
        <v>1832</v>
      </c>
      <c r="E1289" t="s">
        <v>41</v>
      </c>
      <c r="H1289" t="s">
        <v>6718</v>
      </c>
      <c r="J1289" t="s">
        <v>133</v>
      </c>
      <c r="K1289" t="s">
        <v>134</v>
      </c>
      <c r="L1289">
        <v>5</v>
      </c>
      <c r="M1289" t="s">
        <v>6714</v>
      </c>
      <c r="N1289" t="s">
        <v>135</v>
      </c>
      <c r="O1289" t="s">
        <v>1835</v>
      </c>
      <c r="P1289" t="s">
        <v>1835</v>
      </c>
      <c r="Y1289" t="s">
        <v>6718</v>
      </c>
    </row>
    <row r="1290" spans="1:25">
      <c r="A1290" t="s">
        <v>6719</v>
      </c>
      <c r="B1290" t="s">
        <v>6720</v>
      </c>
      <c r="D1290" t="s">
        <v>1832</v>
      </c>
      <c r="E1290" t="s">
        <v>41</v>
      </c>
      <c r="J1290" t="s">
        <v>54</v>
      </c>
      <c r="K1290" t="s">
        <v>55</v>
      </c>
      <c r="L1290">
        <v>5</v>
      </c>
      <c r="M1290" t="s">
        <v>6721</v>
      </c>
      <c r="N1290" t="s">
        <v>47</v>
      </c>
      <c r="O1290" t="s">
        <v>1835</v>
      </c>
      <c r="P1290" t="s">
        <v>1835</v>
      </c>
      <c r="Y1290" t="s">
        <v>6722</v>
      </c>
    </row>
    <row r="1291" spans="1:25">
      <c r="A1291" t="s">
        <v>6723</v>
      </c>
      <c r="B1291" t="s">
        <v>6724</v>
      </c>
      <c r="D1291" t="s">
        <v>1832</v>
      </c>
      <c r="E1291" t="s">
        <v>41</v>
      </c>
      <c r="J1291" t="s">
        <v>90</v>
      </c>
      <c r="K1291" t="s">
        <v>91</v>
      </c>
      <c r="L1291">
        <v>5</v>
      </c>
      <c r="M1291" t="s">
        <v>6725</v>
      </c>
      <c r="N1291" t="s">
        <v>47</v>
      </c>
      <c r="O1291" t="s">
        <v>1835</v>
      </c>
      <c r="P1291" t="s">
        <v>1835</v>
      </c>
      <c r="Y1291" t="s">
        <v>6726</v>
      </c>
    </row>
    <row r="1292" spans="1:25">
      <c r="A1292" t="s">
        <v>6727</v>
      </c>
      <c r="B1292" t="s">
        <v>6728</v>
      </c>
      <c r="D1292" t="s">
        <v>1832</v>
      </c>
      <c r="E1292" t="s">
        <v>41</v>
      </c>
      <c r="J1292" t="s">
        <v>90</v>
      </c>
      <c r="K1292" t="s">
        <v>91</v>
      </c>
      <c r="L1292">
        <v>5</v>
      </c>
      <c r="M1292" t="s">
        <v>6725</v>
      </c>
      <c r="N1292" t="s">
        <v>47</v>
      </c>
      <c r="O1292" t="s">
        <v>1835</v>
      </c>
      <c r="P1292" t="s">
        <v>1835</v>
      </c>
      <c r="Y1292" t="s">
        <v>6729</v>
      </c>
    </row>
    <row r="1293" spans="1:25">
      <c r="A1293" t="s">
        <v>6730</v>
      </c>
      <c r="B1293" t="s">
        <v>6731</v>
      </c>
      <c r="D1293" t="s">
        <v>1832</v>
      </c>
      <c r="E1293" t="s">
        <v>41</v>
      </c>
      <c r="J1293" t="s">
        <v>44</v>
      </c>
      <c r="K1293" t="s">
        <v>45</v>
      </c>
      <c r="L1293">
        <v>5</v>
      </c>
      <c r="M1293" t="s">
        <v>6725</v>
      </c>
      <c r="N1293" t="s">
        <v>47</v>
      </c>
      <c r="O1293" t="s">
        <v>1835</v>
      </c>
      <c r="P1293" t="s">
        <v>1835</v>
      </c>
      <c r="Y1293" t="s">
        <v>6732</v>
      </c>
    </row>
    <row r="1294" spans="1:25">
      <c r="A1294" t="s">
        <v>6733</v>
      </c>
      <c r="B1294" t="s">
        <v>6734</v>
      </c>
      <c r="D1294" t="s">
        <v>1832</v>
      </c>
      <c r="E1294" t="s">
        <v>41</v>
      </c>
      <c r="H1294" t="s">
        <v>6735</v>
      </c>
      <c r="J1294" t="s">
        <v>133</v>
      </c>
      <c r="K1294" t="s">
        <v>134</v>
      </c>
      <c r="L1294">
        <v>5</v>
      </c>
      <c r="M1294" t="s">
        <v>6725</v>
      </c>
      <c r="N1294" t="s">
        <v>685</v>
      </c>
      <c r="O1294" t="s">
        <v>1835</v>
      </c>
      <c r="P1294" t="s">
        <v>1835</v>
      </c>
      <c r="Y1294" t="s">
        <v>6735</v>
      </c>
    </row>
    <row r="1295" spans="1:25">
      <c r="A1295" t="s">
        <v>6736</v>
      </c>
      <c r="B1295" t="s">
        <v>6737</v>
      </c>
      <c r="D1295" t="s">
        <v>1832</v>
      </c>
      <c r="E1295" t="s">
        <v>41</v>
      </c>
      <c r="J1295" t="s">
        <v>78</v>
      </c>
      <c r="K1295" t="s">
        <v>79</v>
      </c>
      <c r="L1295">
        <v>5</v>
      </c>
      <c r="M1295" t="s">
        <v>6738</v>
      </c>
      <c r="N1295" t="s">
        <v>47</v>
      </c>
      <c r="O1295" t="s">
        <v>1835</v>
      </c>
      <c r="P1295" t="s">
        <v>1835</v>
      </c>
      <c r="Y1295" t="s">
        <v>6739</v>
      </c>
    </row>
    <row r="1296" spans="1:25">
      <c r="A1296" t="s">
        <v>6740</v>
      </c>
      <c r="B1296" t="s">
        <v>6741</v>
      </c>
      <c r="D1296" t="s">
        <v>1832</v>
      </c>
      <c r="E1296" t="s">
        <v>41</v>
      </c>
      <c r="J1296" t="s">
        <v>44</v>
      </c>
      <c r="K1296" t="s">
        <v>45</v>
      </c>
      <c r="L1296">
        <v>5</v>
      </c>
      <c r="M1296" t="s">
        <v>6738</v>
      </c>
      <c r="N1296" t="s">
        <v>47</v>
      </c>
      <c r="O1296" t="s">
        <v>1835</v>
      </c>
      <c r="P1296" t="s">
        <v>1835</v>
      </c>
      <c r="Y1296" t="s">
        <v>6742</v>
      </c>
    </row>
    <row r="1297" spans="1:25">
      <c r="A1297" t="s">
        <v>6743</v>
      </c>
      <c r="B1297" t="s">
        <v>6744</v>
      </c>
      <c r="D1297" t="s">
        <v>1832</v>
      </c>
      <c r="E1297" t="s">
        <v>41</v>
      </c>
      <c r="J1297" t="s">
        <v>44</v>
      </c>
      <c r="K1297" t="s">
        <v>45</v>
      </c>
      <c r="L1297">
        <v>5</v>
      </c>
      <c r="M1297" t="s">
        <v>6745</v>
      </c>
      <c r="N1297" t="s">
        <v>47</v>
      </c>
      <c r="O1297" t="s">
        <v>1835</v>
      </c>
      <c r="P1297" t="s">
        <v>1835</v>
      </c>
      <c r="Y1297" t="s">
        <v>6746</v>
      </c>
    </row>
    <row r="1298" spans="1:25">
      <c r="A1298" t="s">
        <v>6747</v>
      </c>
      <c r="B1298" t="s">
        <v>6748</v>
      </c>
      <c r="D1298" t="s">
        <v>1832</v>
      </c>
      <c r="E1298" t="s">
        <v>41</v>
      </c>
      <c r="H1298" t="s">
        <v>6749</v>
      </c>
      <c r="J1298" t="s">
        <v>54</v>
      </c>
      <c r="K1298" t="s">
        <v>55</v>
      </c>
      <c r="L1298">
        <v>5</v>
      </c>
      <c r="M1298" t="s">
        <v>6750</v>
      </c>
      <c r="N1298" t="s">
        <v>47</v>
      </c>
      <c r="O1298" t="s">
        <v>1835</v>
      </c>
      <c r="P1298" t="s">
        <v>1835</v>
      </c>
      <c r="Y1298" t="s">
        <v>6749</v>
      </c>
    </row>
    <row r="1299" spans="1:25">
      <c r="A1299" t="s">
        <v>6751</v>
      </c>
      <c r="B1299" t="s">
        <v>6752</v>
      </c>
      <c r="D1299" t="s">
        <v>1832</v>
      </c>
      <c r="E1299" t="s">
        <v>41</v>
      </c>
      <c r="J1299" t="s">
        <v>353</v>
      </c>
      <c r="K1299" t="s">
        <v>354</v>
      </c>
      <c r="L1299">
        <v>5</v>
      </c>
      <c r="M1299" t="s">
        <v>6750</v>
      </c>
      <c r="N1299" t="s">
        <v>135</v>
      </c>
      <c r="O1299" t="s">
        <v>1835</v>
      </c>
      <c r="P1299" t="s">
        <v>1835</v>
      </c>
      <c r="Y1299" t="s">
        <v>6753</v>
      </c>
    </row>
    <row r="1300" spans="1:25">
      <c r="A1300" t="s">
        <v>6754</v>
      </c>
      <c r="B1300" t="s">
        <v>6755</v>
      </c>
      <c r="D1300" t="s">
        <v>1832</v>
      </c>
      <c r="E1300" t="s">
        <v>41</v>
      </c>
      <c r="J1300" t="s">
        <v>44</v>
      </c>
      <c r="K1300" t="s">
        <v>45</v>
      </c>
      <c r="L1300">
        <v>5</v>
      </c>
      <c r="M1300" t="s">
        <v>6750</v>
      </c>
      <c r="N1300" t="s">
        <v>47</v>
      </c>
      <c r="O1300" t="s">
        <v>1835</v>
      </c>
      <c r="P1300" t="s">
        <v>1835</v>
      </c>
      <c r="Y1300" t="s">
        <v>6756</v>
      </c>
    </row>
    <row r="1301" spans="1:25">
      <c r="A1301" t="s">
        <v>6757</v>
      </c>
      <c r="B1301" t="s">
        <v>6758</v>
      </c>
      <c r="D1301" t="s">
        <v>1832</v>
      </c>
      <c r="E1301" t="s">
        <v>41</v>
      </c>
      <c r="J1301" t="s">
        <v>90</v>
      </c>
      <c r="K1301" t="s">
        <v>91</v>
      </c>
      <c r="L1301">
        <v>5</v>
      </c>
      <c r="M1301" t="s">
        <v>6759</v>
      </c>
      <c r="N1301" t="s">
        <v>47</v>
      </c>
      <c r="O1301" t="s">
        <v>1835</v>
      </c>
      <c r="P1301" t="s">
        <v>1835</v>
      </c>
      <c r="Y1301" t="s">
        <v>6760</v>
      </c>
    </row>
    <row r="1302" spans="1:25">
      <c r="A1302" t="s">
        <v>6761</v>
      </c>
      <c r="B1302" t="s">
        <v>6762</v>
      </c>
      <c r="D1302" t="s">
        <v>1832</v>
      </c>
      <c r="E1302" t="s">
        <v>41</v>
      </c>
      <c r="J1302" t="s">
        <v>90</v>
      </c>
      <c r="K1302" t="s">
        <v>91</v>
      </c>
      <c r="L1302">
        <v>5</v>
      </c>
      <c r="M1302" t="s">
        <v>6759</v>
      </c>
      <c r="N1302" t="s">
        <v>47</v>
      </c>
      <c r="O1302" t="s">
        <v>1835</v>
      </c>
      <c r="P1302" t="s">
        <v>1835</v>
      </c>
      <c r="Y1302" t="s">
        <v>6763</v>
      </c>
    </row>
    <row r="1303" spans="1:25">
      <c r="A1303" t="s">
        <v>6764</v>
      </c>
      <c r="B1303" t="s">
        <v>6765</v>
      </c>
      <c r="D1303" t="s">
        <v>1832</v>
      </c>
      <c r="E1303" t="s">
        <v>41</v>
      </c>
      <c r="J1303" t="s">
        <v>90</v>
      </c>
      <c r="K1303" t="s">
        <v>91</v>
      </c>
      <c r="L1303">
        <v>5</v>
      </c>
      <c r="M1303" t="s">
        <v>6766</v>
      </c>
      <c r="N1303" t="s">
        <v>47</v>
      </c>
      <c r="O1303" t="s">
        <v>1835</v>
      </c>
      <c r="P1303" t="s">
        <v>1835</v>
      </c>
      <c r="Y1303" t="s">
        <v>6767</v>
      </c>
    </row>
    <row r="1304" spans="1:25">
      <c r="A1304" t="s">
        <v>6768</v>
      </c>
      <c r="B1304" t="s">
        <v>6769</v>
      </c>
      <c r="D1304" t="s">
        <v>1832</v>
      </c>
      <c r="E1304" t="s">
        <v>41</v>
      </c>
      <c r="H1304" t="s">
        <v>6770</v>
      </c>
      <c r="J1304" t="s">
        <v>497</v>
      </c>
      <c r="K1304" t="s">
        <v>498</v>
      </c>
      <c r="L1304">
        <v>5</v>
      </c>
      <c r="M1304" t="s">
        <v>6771</v>
      </c>
      <c r="N1304" t="s">
        <v>290</v>
      </c>
      <c r="O1304" t="s">
        <v>1835</v>
      </c>
      <c r="P1304" t="s">
        <v>1835</v>
      </c>
      <c r="Y1304" t="s">
        <v>6770</v>
      </c>
    </row>
    <row r="1305" spans="1:25">
      <c r="A1305" t="s">
        <v>6772</v>
      </c>
      <c r="B1305" t="s">
        <v>6773</v>
      </c>
      <c r="D1305" t="s">
        <v>1832</v>
      </c>
      <c r="E1305" t="s">
        <v>41</v>
      </c>
      <c r="J1305" t="s">
        <v>133</v>
      </c>
      <c r="K1305" t="s">
        <v>134</v>
      </c>
      <c r="L1305">
        <v>5</v>
      </c>
      <c r="M1305" t="s">
        <v>6774</v>
      </c>
      <c r="N1305" t="s">
        <v>135</v>
      </c>
      <c r="O1305" t="s">
        <v>1835</v>
      </c>
      <c r="P1305" t="s">
        <v>1835</v>
      </c>
      <c r="Y1305" t="s">
        <v>6775</v>
      </c>
    </row>
    <row r="1306" spans="1:25">
      <c r="A1306" t="s">
        <v>6776</v>
      </c>
      <c r="B1306" t="s">
        <v>6777</v>
      </c>
      <c r="D1306" t="s">
        <v>1832</v>
      </c>
      <c r="E1306" t="s">
        <v>41</v>
      </c>
      <c r="H1306" t="s">
        <v>6778</v>
      </c>
      <c r="J1306" t="s">
        <v>90</v>
      </c>
      <c r="K1306" t="s">
        <v>91</v>
      </c>
      <c r="L1306">
        <v>5</v>
      </c>
      <c r="M1306" t="s">
        <v>6774</v>
      </c>
      <c r="N1306" t="s">
        <v>47</v>
      </c>
      <c r="O1306" t="s">
        <v>1835</v>
      </c>
      <c r="P1306" t="s">
        <v>1835</v>
      </c>
      <c r="Y1306" t="s">
        <v>6778</v>
      </c>
    </row>
    <row r="1307" spans="1:25">
      <c r="A1307" t="s">
        <v>6779</v>
      </c>
      <c r="B1307" t="s">
        <v>6780</v>
      </c>
      <c r="D1307" t="s">
        <v>1832</v>
      </c>
      <c r="E1307" t="s">
        <v>41</v>
      </c>
      <c r="J1307" t="s">
        <v>54</v>
      </c>
      <c r="K1307" t="s">
        <v>55</v>
      </c>
      <c r="L1307">
        <v>5</v>
      </c>
      <c r="M1307" t="s">
        <v>6774</v>
      </c>
      <c r="N1307" t="s">
        <v>47</v>
      </c>
      <c r="O1307" t="s">
        <v>1835</v>
      </c>
      <c r="P1307" t="s">
        <v>1835</v>
      </c>
      <c r="Y1307" t="s">
        <v>6781</v>
      </c>
    </row>
    <row r="1308" spans="1:25">
      <c r="A1308" t="s">
        <v>6782</v>
      </c>
      <c r="B1308" t="s">
        <v>6783</v>
      </c>
      <c r="D1308" t="s">
        <v>1832</v>
      </c>
      <c r="E1308" t="s">
        <v>41</v>
      </c>
      <c r="J1308" t="s">
        <v>44</v>
      </c>
      <c r="K1308" t="s">
        <v>45</v>
      </c>
      <c r="L1308">
        <v>5</v>
      </c>
      <c r="M1308" t="s">
        <v>6784</v>
      </c>
      <c r="N1308" t="s">
        <v>47</v>
      </c>
      <c r="O1308" t="s">
        <v>1835</v>
      </c>
      <c r="P1308" t="s">
        <v>1835</v>
      </c>
      <c r="Y1308" t="s">
        <v>6785</v>
      </c>
    </row>
    <row r="1309" spans="1:25">
      <c r="A1309" t="s">
        <v>6786</v>
      </c>
      <c r="B1309" t="s">
        <v>6787</v>
      </c>
      <c r="D1309" t="s">
        <v>1832</v>
      </c>
      <c r="E1309" t="s">
        <v>41</v>
      </c>
      <c r="J1309" t="s">
        <v>90</v>
      </c>
      <c r="K1309" t="s">
        <v>91</v>
      </c>
      <c r="L1309">
        <v>5</v>
      </c>
      <c r="M1309" t="s">
        <v>6788</v>
      </c>
      <c r="N1309" t="s">
        <v>47</v>
      </c>
      <c r="O1309" t="s">
        <v>1835</v>
      </c>
      <c r="P1309" t="s">
        <v>1835</v>
      </c>
      <c r="Y1309" t="s">
        <v>6789</v>
      </c>
    </row>
    <row r="1310" spans="1:25">
      <c r="A1310" t="s">
        <v>6790</v>
      </c>
      <c r="B1310" t="s">
        <v>6791</v>
      </c>
      <c r="D1310" t="s">
        <v>1832</v>
      </c>
      <c r="E1310" t="s">
        <v>41</v>
      </c>
      <c r="J1310" t="s">
        <v>133</v>
      </c>
      <c r="K1310" t="s">
        <v>134</v>
      </c>
      <c r="L1310">
        <v>5</v>
      </c>
      <c r="M1310" t="s">
        <v>6792</v>
      </c>
      <c r="N1310" t="s">
        <v>685</v>
      </c>
      <c r="O1310" t="s">
        <v>1835</v>
      </c>
      <c r="P1310" t="s">
        <v>1835</v>
      </c>
      <c r="Y1310" t="s">
        <v>6793</v>
      </c>
    </row>
    <row r="1311" spans="1:25">
      <c r="A1311" t="s">
        <v>6794</v>
      </c>
      <c r="B1311" t="s">
        <v>6795</v>
      </c>
      <c r="D1311" t="s">
        <v>1832</v>
      </c>
      <c r="E1311" t="s">
        <v>41</v>
      </c>
      <c r="J1311" t="s">
        <v>90</v>
      </c>
      <c r="K1311" t="s">
        <v>91</v>
      </c>
      <c r="L1311">
        <v>5</v>
      </c>
      <c r="M1311" t="s">
        <v>6796</v>
      </c>
      <c r="N1311" t="s">
        <v>47</v>
      </c>
      <c r="O1311" t="s">
        <v>1835</v>
      </c>
      <c r="P1311" t="s">
        <v>1835</v>
      </c>
      <c r="Y1311" t="s">
        <v>6797</v>
      </c>
    </row>
    <row r="1312" spans="1:25">
      <c r="A1312" t="s">
        <v>6798</v>
      </c>
      <c r="B1312" t="s">
        <v>6799</v>
      </c>
      <c r="D1312" t="s">
        <v>1832</v>
      </c>
      <c r="E1312" t="s">
        <v>41</v>
      </c>
      <c r="H1312" t="s">
        <v>6800</v>
      </c>
      <c r="J1312" t="s">
        <v>234</v>
      </c>
      <c r="K1312" t="s">
        <v>235</v>
      </c>
      <c r="L1312">
        <v>5</v>
      </c>
      <c r="M1312" t="s">
        <v>6801</v>
      </c>
      <c r="N1312" t="s">
        <v>47</v>
      </c>
      <c r="O1312" t="s">
        <v>1835</v>
      </c>
      <c r="P1312" t="s">
        <v>1835</v>
      </c>
      <c r="Y1312" t="s">
        <v>6800</v>
      </c>
    </row>
    <row r="1313" spans="1:25">
      <c r="A1313" t="s">
        <v>6802</v>
      </c>
      <c r="B1313" t="s">
        <v>6803</v>
      </c>
      <c r="D1313" t="s">
        <v>1832</v>
      </c>
      <c r="E1313" t="s">
        <v>41</v>
      </c>
      <c r="J1313" t="s">
        <v>78</v>
      </c>
      <c r="K1313" t="s">
        <v>79</v>
      </c>
      <c r="L1313">
        <v>5</v>
      </c>
      <c r="M1313" t="s">
        <v>6804</v>
      </c>
      <c r="N1313" t="s">
        <v>47</v>
      </c>
      <c r="O1313" t="s">
        <v>1835</v>
      </c>
      <c r="P1313" t="s">
        <v>1835</v>
      </c>
      <c r="Y1313" t="s">
        <v>6805</v>
      </c>
    </row>
    <row r="1314" spans="1:25">
      <c r="A1314" t="s">
        <v>6806</v>
      </c>
      <c r="B1314" t="s">
        <v>6807</v>
      </c>
      <c r="D1314" t="s">
        <v>1832</v>
      </c>
      <c r="E1314" t="s">
        <v>41</v>
      </c>
      <c r="J1314" t="s">
        <v>353</v>
      </c>
      <c r="K1314" t="s">
        <v>354</v>
      </c>
      <c r="L1314">
        <v>5</v>
      </c>
      <c r="M1314" t="s">
        <v>6808</v>
      </c>
      <c r="N1314" t="s">
        <v>685</v>
      </c>
      <c r="O1314" t="s">
        <v>1835</v>
      </c>
      <c r="P1314" t="s">
        <v>1835</v>
      </c>
      <c r="Y1314" t="s">
        <v>6809</v>
      </c>
    </row>
    <row r="1315" spans="1:25">
      <c r="A1315" t="s">
        <v>6810</v>
      </c>
      <c r="B1315" t="s">
        <v>6811</v>
      </c>
      <c r="D1315" t="s">
        <v>1832</v>
      </c>
      <c r="E1315" t="s">
        <v>41</v>
      </c>
      <c r="H1315" t="s">
        <v>6812</v>
      </c>
      <c r="J1315" t="s">
        <v>133</v>
      </c>
      <c r="K1315" t="s">
        <v>134</v>
      </c>
      <c r="L1315">
        <v>5</v>
      </c>
      <c r="M1315" t="s">
        <v>6813</v>
      </c>
      <c r="N1315" t="s">
        <v>685</v>
      </c>
      <c r="O1315" t="s">
        <v>1835</v>
      </c>
      <c r="P1315" t="s">
        <v>1835</v>
      </c>
      <c r="Y1315" t="s">
        <v>6812</v>
      </c>
    </row>
    <row r="1316" spans="1:25">
      <c r="A1316" t="s">
        <v>6814</v>
      </c>
      <c r="B1316" t="s">
        <v>6815</v>
      </c>
      <c r="D1316" t="s">
        <v>1832</v>
      </c>
      <c r="E1316" t="s">
        <v>41</v>
      </c>
      <c r="H1316" t="s">
        <v>6816</v>
      </c>
      <c r="J1316" t="s">
        <v>44</v>
      </c>
      <c r="K1316" t="s">
        <v>45</v>
      </c>
      <c r="L1316">
        <v>5</v>
      </c>
      <c r="M1316" t="s">
        <v>6817</v>
      </c>
      <c r="N1316" t="s">
        <v>47</v>
      </c>
      <c r="O1316" t="s">
        <v>1835</v>
      </c>
      <c r="P1316" t="s">
        <v>1835</v>
      </c>
      <c r="Y1316" t="s">
        <v>6816</v>
      </c>
    </row>
    <row r="1317" spans="1:25">
      <c r="A1317" t="s">
        <v>6818</v>
      </c>
      <c r="B1317" t="s">
        <v>6819</v>
      </c>
      <c r="D1317" t="s">
        <v>1832</v>
      </c>
      <c r="E1317" t="s">
        <v>41</v>
      </c>
      <c r="H1317" t="s">
        <v>6820</v>
      </c>
      <c r="J1317" t="s">
        <v>78</v>
      </c>
      <c r="K1317" t="s">
        <v>79</v>
      </c>
      <c r="L1317">
        <v>5</v>
      </c>
      <c r="M1317" t="s">
        <v>6821</v>
      </c>
      <c r="N1317" t="s">
        <v>47</v>
      </c>
      <c r="O1317" t="s">
        <v>1835</v>
      </c>
      <c r="P1317" t="s">
        <v>1835</v>
      </c>
      <c r="Y1317" t="s">
        <v>6820</v>
      </c>
    </row>
    <row r="1318" spans="1:25">
      <c r="A1318" t="s">
        <v>6822</v>
      </c>
      <c r="B1318" t="s">
        <v>6823</v>
      </c>
      <c r="D1318" t="s">
        <v>1832</v>
      </c>
      <c r="E1318" t="s">
        <v>41</v>
      </c>
      <c r="J1318" t="s">
        <v>54</v>
      </c>
      <c r="K1318" t="s">
        <v>55</v>
      </c>
      <c r="L1318">
        <v>5</v>
      </c>
      <c r="M1318" t="s">
        <v>6821</v>
      </c>
      <c r="N1318" t="s">
        <v>47</v>
      </c>
      <c r="O1318" t="s">
        <v>1835</v>
      </c>
      <c r="P1318" t="s">
        <v>1835</v>
      </c>
      <c r="Y1318" t="s">
        <v>6824</v>
      </c>
    </row>
    <row r="1319" spans="1:25">
      <c r="A1319" t="s">
        <v>6825</v>
      </c>
      <c r="B1319" t="s">
        <v>6826</v>
      </c>
      <c r="D1319" t="s">
        <v>1832</v>
      </c>
      <c r="E1319" t="s">
        <v>41</v>
      </c>
      <c r="H1319" t="s">
        <v>6827</v>
      </c>
      <c r="J1319" t="s">
        <v>90</v>
      </c>
      <c r="K1319" t="s">
        <v>91</v>
      </c>
      <c r="L1319">
        <v>5</v>
      </c>
      <c r="M1319" t="s">
        <v>6828</v>
      </c>
      <c r="N1319" t="s">
        <v>47</v>
      </c>
      <c r="O1319" t="s">
        <v>1835</v>
      </c>
      <c r="P1319" t="s">
        <v>1835</v>
      </c>
      <c r="Y1319" t="s">
        <v>6827</v>
      </c>
    </row>
    <row r="1320" spans="1:25">
      <c r="A1320" t="s">
        <v>6829</v>
      </c>
      <c r="B1320" t="s">
        <v>6830</v>
      </c>
      <c r="D1320" t="s">
        <v>1832</v>
      </c>
      <c r="E1320" t="s">
        <v>41</v>
      </c>
      <c r="J1320" t="s">
        <v>5844</v>
      </c>
      <c r="K1320" t="s">
        <v>5845</v>
      </c>
      <c r="L1320">
        <v>5</v>
      </c>
      <c r="M1320" t="s">
        <v>6831</v>
      </c>
      <c r="N1320" t="s">
        <v>135</v>
      </c>
      <c r="O1320" t="s">
        <v>1835</v>
      </c>
      <c r="P1320" t="s">
        <v>1835</v>
      </c>
      <c r="Y1320" t="s">
        <v>6832</v>
      </c>
    </row>
    <row r="1321" spans="1:25">
      <c r="A1321" t="s">
        <v>6833</v>
      </c>
      <c r="B1321" t="s">
        <v>6834</v>
      </c>
      <c r="D1321" t="s">
        <v>1832</v>
      </c>
      <c r="E1321" t="s">
        <v>41</v>
      </c>
      <c r="J1321" t="s">
        <v>44</v>
      </c>
      <c r="K1321" t="s">
        <v>45</v>
      </c>
      <c r="L1321">
        <v>5</v>
      </c>
      <c r="M1321" t="s">
        <v>6835</v>
      </c>
      <c r="N1321" t="s">
        <v>47</v>
      </c>
      <c r="O1321" t="s">
        <v>1835</v>
      </c>
      <c r="P1321" t="s">
        <v>1835</v>
      </c>
      <c r="Y1321" t="s">
        <v>6836</v>
      </c>
    </row>
    <row r="1322" spans="1:25">
      <c r="A1322" t="s">
        <v>6837</v>
      </c>
      <c r="B1322" t="s">
        <v>6838</v>
      </c>
      <c r="D1322" t="s">
        <v>1832</v>
      </c>
      <c r="E1322" t="s">
        <v>41</v>
      </c>
      <c r="J1322" t="s">
        <v>371</v>
      </c>
      <c r="K1322" t="s">
        <v>372</v>
      </c>
      <c r="L1322">
        <v>5</v>
      </c>
      <c r="M1322" t="s">
        <v>6835</v>
      </c>
      <c r="N1322" t="s">
        <v>47</v>
      </c>
      <c r="O1322" t="s">
        <v>1835</v>
      </c>
      <c r="P1322" t="s">
        <v>1835</v>
      </c>
      <c r="Y1322" t="s">
        <v>6839</v>
      </c>
    </row>
    <row r="1323" spans="1:25">
      <c r="A1323" t="s">
        <v>6840</v>
      </c>
      <c r="B1323" t="s">
        <v>6841</v>
      </c>
      <c r="D1323" t="s">
        <v>1832</v>
      </c>
      <c r="E1323" t="s">
        <v>41</v>
      </c>
      <c r="J1323" t="s">
        <v>44</v>
      </c>
      <c r="K1323" t="s">
        <v>45</v>
      </c>
      <c r="L1323">
        <v>5</v>
      </c>
      <c r="M1323" t="s">
        <v>6835</v>
      </c>
      <c r="N1323" t="s">
        <v>47</v>
      </c>
      <c r="O1323" t="s">
        <v>1835</v>
      </c>
      <c r="P1323" t="s">
        <v>1835</v>
      </c>
      <c r="Y1323" t="s">
        <v>6842</v>
      </c>
    </row>
    <row r="1324" spans="1:25">
      <c r="A1324" t="s">
        <v>6843</v>
      </c>
      <c r="B1324" t="s">
        <v>6844</v>
      </c>
      <c r="D1324" t="s">
        <v>1832</v>
      </c>
      <c r="E1324" t="s">
        <v>41</v>
      </c>
      <c r="J1324" t="s">
        <v>90</v>
      </c>
      <c r="K1324" t="s">
        <v>91</v>
      </c>
      <c r="L1324">
        <v>5</v>
      </c>
      <c r="M1324" t="s">
        <v>6835</v>
      </c>
      <c r="N1324" t="s">
        <v>47</v>
      </c>
      <c r="O1324" t="s">
        <v>1835</v>
      </c>
      <c r="P1324" t="s">
        <v>1835</v>
      </c>
      <c r="Y1324" t="s">
        <v>6845</v>
      </c>
    </row>
    <row r="1325" spans="1:25">
      <c r="A1325" t="s">
        <v>6846</v>
      </c>
      <c r="B1325" t="s">
        <v>6847</v>
      </c>
      <c r="D1325" t="s">
        <v>1832</v>
      </c>
      <c r="E1325" t="s">
        <v>41</v>
      </c>
      <c r="J1325" t="s">
        <v>44</v>
      </c>
      <c r="K1325" t="s">
        <v>45</v>
      </c>
      <c r="L1325">
        <v>5</v>
      </c>
      <c r="M1325" t="s">
        <v>6848</v>
      </c>
      <c r="N1325" t="s">
        <v>47</v>
      </c>
      <c r="O1325" t="s">
        <v>1835</v>
      </c>
      <c r="P1325" t="s">
        <v>1835</v>
      </c>
      <c r="Y1325" t="s">
        <v>6849</v>
      </c>
    </row>
    <row r="1326" spans="1:25">
      <c r="A1326" t="s">
        <v>6850</v>
      </c>
      <c r="B1326" t="s">
        <v>6851</v>
      </c>
      <c r="D1326" t="s">
        <v>1832</v>
      </c>
      <c r="E1326" t="s">
        <v>41</v>
      </c>
      <c r="J1326" t="s">
        <v>90</v>
      </c>
      <c r="K1326" t="s">
        <v>91</v>
      </c>
      <c r="L1326">
        <v>5</v>
      </c>
      <c r="M1326" t="s">
        <v>6848</v>
      </c>
      <c r="N1326" t="s">
        <v>47</v>
      </c>
      <c r="O1326" t="s">
        <v>1835</v>
      </c>
      <c r="P1326" t="s">
        <v>1835</v>
      </c>
      <c r="Y1326" t="s">
        <v>6852</v>
      </c>
    </row>
    <row r="1327" spans="1:25">
      <c r="A1327" t="s">
        <v>6853</v>
      </c>
      <c r="B1327" t="s">
        <v>6854</v>
      </c>
      <c r="D1327" t="s">
        <v>1832</v>
      </c>
      <c r="E1327" t="s">
        <v>41</v>
      </c>
      <c r="J1327" t="s">
        <v>54</v>
      </c>
      <c r="K1327" t="s">
        <v>55</v>
      </c>
      <c r="L1327">
        <v>5</v>
      </c>
      <c r="M1327" t="s">
        <v>6848</v>
      </c>
      <c r="N1327" t="s">
        <v>47</v>
      </c>
      <c r="O1327" t="s">
        <v>1835</v>
      </c>
      <c r="P1327" t="s">
        <v>1835</v>
      </c>
      <c r="Y1327" t="s">
        <v>6855</v>
      </c>
    </row>
    <row r="1328" spans="1:25">
      <c r="A1328" t="s">
        <v>6856</v>
      </c>
      <c r="B1328" t="s">
        <v>6857</v>
      </c>
      <c r="D1328" t="s">
        <v>1832</v>
      </c>
      <c r="E1328" t="s">
        <v>41</v>
      </c>
      <c r="J1328" t="s">
        <v>765</v>
      </c>
      <c r="K1328" t="s">
        <v>766</v>
      </c>
      <c r="L1328">
        <v>5</v>
      </c>
      <c r="M1328" t="s">
        <v>6848</v>
      </c>
      <c r="N1328" t="s">
        <v>290</v>
      </c>
      <c r="O1328" t="s">
        <v>1835</v>
      </c>
      <c r="P1328" t="s">
        <v>1835</v>
      </c>
      <c r="Y1328" t="s">
        <v>6858</v>
      </c>
    </row>
    <row r="1329" spans="1:25">
      <c r="A1329" t="s">
        <v>6859</v>
      </c>
      <c r="B1329" t="s">
        <v>6860</v>
      </c>
      <c r="D1329" t="s">
        <v>1832</v>
      </c>
      <c r="E1329" t="s">
        <v>41</v>
      </c>
      <c r="J1329" t="s">
        <v>133</v>
      </c>
      <c r="K1329" t="s">
        <v>134</v>
      </c>
      <c r="L1329">
        <v>5</v>
      </c>
      <c r="M1329" t="s">
        <v>6861</v>
      </c>
      <c r="N1329" t="s">
        <v>135</v>
      </c>
      <c r="O1329" t="s">
        <v>1835</v>
      </c>
      <c r="P1329" t="s">
        <v>1835</v>
      </c>
      <c r="Y1329" t="s">
        <v>6862</v>
      </c>
    </row>
    <row r="1330" spans="1:25">
      <c r="A1330" t="s">
        <v>6863</v>
      </c>
      <c r="B1330" t="s">
        <v>6864</v>
      </c>
      <c r="D1330" t="s">
        <v>1832</v>
      </c>
      <c r="E1330" t="s">
        <v>41</v>
      </c>
      <c r="J1330" t="s">
        <v>78</v>
      </c>
      <c r="K1330" t="s">
        <v>79</v>
      </c>
      <c r="L1330">
        <v>5</v>
      </c>
      <c r="M1330" t="s">
        <v>6861</v>
      </c>
      <c r="N1330" t="s">
        <v>47</v>
      </c>
      <c r="O1330" t="s">
        <v>1835</v>
      </c>
      <c r="P1330" t="s">
        <v>1835</v>
      </c>
      <c r="Y1330" t="s">
        <v>6865</v>
      </c>
    </row>
    <row r="1331" spans="1:25">
      <c r="A1331" t="s">
        <v>6866</v>
      </c>
      <c r="B1331" t="s">
        <v>6867</v>
      </c>
      <c r="D1331" t="s">
        <v>1832</v>
      </c>
      <c r="E1331" t="s">
        <v>41</v>
      </c>
      <c r="J1331" t="s">
        <v>90</v>
      </c>
      <c r="K1331" t="s">
        <v>91</v>
      </c>
      <c r="L1331">
        <v>5</v>
      </c>
      <c r="M1331" t="s">
        <v>6868</v>
      </c>
      <c r="N1331" t="s">
        <v>47</v>
      </c>
      <c r="O1331" t="s">
        <v>1835</v>
      </c>
      <c r="P1331" t="s">
        <v>1835</v>
      </c>
      <c r="Y1331" t="s">
        <v>6869</v>
      </c>
    </row>
    <row r="1332" spans="1:25">
      <c r="A1332" t="s">
        <v>6870</v>
      </c>
      <c r="B1332" t="s">
        <v>6871</v>
      </c>
      <c r="D1332" t="s">
        <v>1832</v>
      </c>
      <c r="E1332" t="s">
        <v>41</v>
      </c>
      <c r="J1332" t="s">
        <v>90</v>
      </c>
      <c r="K1332" t="s">
        <v>91</v>
      </c>
      <c r="L1332">
        <v>5</v>
      </c>
      <c r="M1332" t="s">
        <v>6872</v>
      </c>
      <c r="N1332" t="s">
        <v>47</v>
      </c>
      <c r="O1332" t="s">
        <v>1835</v>
      </c>
      <c r="P1332" t="s">
        <v>1835</v>
      </c>
      <c r="Y1332" t="s">
        <v>6873</v>
      </c>
    </row>
    <row r="1333" spans="1:25">
      <c r="A1333" t="s">
        <v>6874</v>
      </c>
      <c r="B1333" t="s">
        <v>6875</v>
      </c>
      <c r="D1333" t="s">
        <v>1832</v>
      </c>
      <c r="E1333" t="s">
        <v>41</v>
      </c>
      <c r="J1333" t="s">
        <v>44</v>
      </c>
      <c r="K1333" t="s">
        <v>45</v>
      </c>
      <c r="L1333">
        <v>5</v>
      </c>
      <c r="M1333" t="s">
        <v>6876</v>
      </c>
      <c r="N1333" t="s">
        <v>47</v>
      </c>
      <c r="O1333" t="s">
        <v>1835</v>
      </c>
      <c r="P1333" t="s">
        <v>1835</v>
      </c>
      <c r="Y1333" t="s">
        <v>6877</v>
      </c>
    </row>
    <row r="1334" spans="1:25">
      <c r="A1334" t="s">
        <v>6878</v>
      </c>
      <c r="B1334" t="s">
        <v>6879</v>
      </c>
      <c r="D1334" t="s">
        <v>1832</v>
      </c>
      <c r="E1334" t="s">
        <v>41</v>
      </c>
      <c r="J1334" t="s">
        <v>371</v>
      </c>
      <c r="K1334" t="s">
        <v>372</v>
      </c>
      <c r="L1334">
        <v>5</v>
      </c>
      <c r="M1334" t="s">
        <v>6880</v>
      </c>
      <c r="N1334" t="s">
        <v>47</v>
      </c>
      <c r="O1334" t="s">
        <v>1835</v>
      </c>
      <c r="P1334" t="s">
        <v>1835</v>
      </c>
      <c r="Y1334" t="s">
        <v>6881</v>
      </c>
    </row>
    <row r="1335" spans="1:25">
      <c r="A1335" t="s">
        <v>6882</v>
      </c>
      <c r="B1335" t="s">
        <v>6883</v>
      </c>
      <c r="D1335" t="s">
        <v>1832</v>
      </c>
      <c r="E1335" t="s">
        <v>41</v>
      </c>
      <c r="J1335" t="s">
        <v>54</v>
      </c>
      <c r="K1335" t="s">
        <v>55</v>
      </c>
      <c r="L1335">
        <v>5</v>
      </c>
      <c r="M1335" t="s">
        <v>6884</v>
      </c>
      <c r="N1335" t="s">
        <v>47</v>
      </c>
      <c r="O1335" t="s">
        <v>1835</v>
      </c>
      <c r="P1335" t="s">
        <v>1835</v>
      </c>
      <c r="Y1335" t="s">
        <v>6885</v>
      </c>
    </row>
    <row r="1336" spans="1:25">
      <c r="A1336" t="s">
        <v>6886</v>
      </c>
      <c r="B1336" t="s">
        <v>6887</v>
      </c>
      <c r="D1336" t="s">
        <v>1832</v>
      </c>
      <c r="E1336" t="s">
        <v>41</v>
      </c>
      <c r="J1336" t="s">
        <v>78</v>
      </c>
      <c r="K1336" t="s">
        <v>79</v>
      </c>
      <c r="L1336">
        <v>5</v>
      </c>
      <c r="M1336" t="s">
        <v>6884</v>
      </c>
      <c r="N1336" t="s">
        <v>47</v>
      </c>
      <c r="O1336" t="s">
        <v>1835</v>
      </c>
      <c r="P1336" t="s">
        <v>1835</v>
      </c>
      <c r="Y1336" t="s">
        <v>6888</v>
      </c>
    </row>
    <row r="1337" spans="1:25">
      <c r="A1337" t="s">
        <v>6889</v>
      </c>
      <c r="B1337" t="s">
        <v>6890</v>
      </c>
      <c r="D1337" t="s">
        <v>1832</v>
      </c>
      <c r="E1337" t="s">
        <v>41</v>
      </c>
      <c r="J1337" t="s">
        <v>54</v>
      </c>
      <c r="K1337" t="s">
        <v>55</v>
      </c>
      <c r="L1337">
        <v>5</v>
      </c>
      <c r="M1337" t="s">
        <v>6884</v>
      </c>
      <c r="N1337" t="s">
        <v>47</v>
      </c>
      <c r="O1337" t="s">
        <v>1835</v>
      </c>
      <c r="P1337" t="s">
        <v>1835</v>
      </c>
      <c r="Y1337" t="s">
        <v>6891</v>
      </c>
    </row>
    <row r="1338" spans="1:25">
      <c r="A1338" t="s">
        <v>6892</v>
      </c>
      <c r="B1338" t="s">
        <v>6893</v>
      </c>
      <c r="D1338" t="s">
        <v>1832</v>
      </c>
      <c r="E1338" t="s">
        <v>41</v>
      </c>
      <c r="H1338" t="s">
        <v>6894</v>
      </c>
      <c r="J1338" t="s">
        <v>133</v>
      </c>
      <c r="K1338" t="s">
        <v>134</v>
      </c>
      <c r="L1338">
        <v>5</v>
      </c>
      <c r="M1338" t="s">
        <v>6895</v>
      </c>
      <c r="N1338" t="s">
        <v>685</v>
      </c>
      <c r="O1338" t="s">
        <v>1835</v>
      </c>
      <c r="P1338" t="s">
        <v>1835</v>
      </c>
      <c r="Y1338" t="s">
        <v>6894</v>
      </c>
    </row>
    <row r="1339" spans="1:25">
      <c r="A1339" t="s">
        <v>6896</v>
      </c>
      <c r="B1339" t="s">
        <v>6897</v>
      </c>
      <c r="D1339" t="s">
        <v>1832</v>
      </c>
      <c r="E1339" t="s">
        <v>41</v>
      </c>
      <c r="J1339" t="s">
        <v>90</v>
      </c>
      <c r="K1339" t="s">
        <v>91</v>
      </c>
      <c r="L1339">
        <v>5</v>
      </c>
      <c r="M1339" t="s">
        <v>6898</v>
      </c>
      <c r="N1339" t="s">
        <v>47</v>
      </c>
      <c r="O1339" t="s">
        <v>1835</v>
      </c>
      <c r="P1339" t="s">
        <v>1835</v>
      </c>
      <c r="Y1339" t="s">
        <v>6899</v>
      </c>
    </row>
    <row r="1340" spans="1:25">
      <c r="A1340" t="s">
        <v>6900</v>
      </c>
      <c r="B1340" t="s">
        <v>6901</v>
      </c>
      <c r="D1340" t="s">
        <v>1832</v>
      </c>
      <c r="E1340" t="s">
        <v>41</v>
      </c>
      <c r="H1340" t="s">
        <v>6902</v>
      </c>
      <c r="J1340" t="s">
        <v>133</v>
      </c>
      <c r="K1340" t="s">
        <v>134</v>
      </c>
      <c r="L1340">
        <v>5</v>
      </c>
      <c r="M1340" t="s">
        <v>6898</v>
      </c>
      <c r="N1340" t="s">
        <v>135</v>
      </c>
      <c r="O1340" t="s">
        <v>1835</v>
      </c>
      <c r="P1340" t="s">
        <v>1835</v>
      </c>
      <c r="Y1340" t="s">
        <v>6902</v>
      </c>
    </row>
    <row r="1341" spans="1:25">
      <c r="A1341" t="s">
        <v>6903</v>
      </c>
      <c r="B1341" t="s">
        <v>6904</v>
      </c>
      <c r="D1341" t="s">
        <v>1832</v>
      </c>
      <c r="E1341" t="s">
        <v>41</v>
      </c>
      <c r="J1341" t="s">
        <v>78</v>
      </c>
      <c r="K1341" t="s">
        <v>79</v>
      </c>
      <c r="L1341">
        <v>5</v>
      </c>
      <c r="M1341" t="s">
        <v>6905</v>
      </c>
      <c r="N1341" t="s">
        <v>47</v>
      </c>
      <c r="O1341" t="s">
        <v>1835</v>
      </c>
      <c r="P1341" t="s">
        <v>1835</v>
      </c>
      <c r="Y1341" t="s">
        <v>6906</v>
      </c>
    </row>
    <row r="1342" spans="1:25">
      <c r="A1342" t="s">
        <v>6907</v>
      </c>
      <c r="B1342" t="s">
        <v>6908</v>
      </c>
      <c r="D1342" t="s">
        <v>1832</v>
      </c>
      <c r="E1342" t="s">
        <v>41</v>
      </c>
      <c r="H1342" t="s">
        <v>6909</v>
      </c>
      <c r="J1342" t="s">
        <v>90</v>
      </c>
      <c r="K1342" t="s">
        <v>91</v>
      </c>
      <c r="L1342">
        <v>5</v>
      </c>
      <c r="M1342" t="s">
        <v>6910</v>
      </c>
      <c r="N1342" t="s">
        <v>47</v>
      </c>
      <c r="O1342" t="s">
        <v>1835</v>
      </c>
      <c r="P1342" t="s">
        <v>1835</v>
      </c>
      <c r="Y1342" t="s">
        <v>6909</v>
      </c>
    </row>
    <row r="1343" spans="1:25">
      <c r="A1343" t="s">
        <v>6911</v>
      </c>
      <c r="B1343" t="s">
        <v>6912</v>
      </c>
      <c r="D1343" t="s">
        <v>1832</v>
      </c>
      <c r="E1343" t="s">
        <v>41</v>
      </c>
      <c r="J1343" t="s">
        <v>2328</v>
      </c>
      <c r="K1343" t="s">
        <v>2329</v>
      </c>
      <c r="L1343">
        <v>5</v>
      </c>
      <c r="M1343" t="s">
        <v>6910</v>
      </c>
      <c r="N1343" t="s">
        <v>685</v>
      </c>
      <c r="O1343" t="s">
        <v>1835</v>
      </c>
      <c r="P1343" t="s">
        <v>1835</v>
      </c>
      <c r="Y1343" t="s">
        <v>6913</v>
      </c>
    </row>
    <row r="1344" spans="1:25">
      <c r="A1344" t="s">
        <v>6914</v>
      </c>
      <c r="B1344" t="s">
        <v>6915</v>
      </c>
      <c r="D1344" t="s">
        <v>1832</v>
      </c>
      <c r="E1344" t="s">
        <v>41</v>
      </c>
      <c r="J1344" t="s">
        <v>44</v>
      </c>
      <c r="K1344" t="s">
        <v>45</v>
      </c>
      <c r="L1344">
        <v>5</v>
      </c>
      <c r="M1344" t="s">
        <v>6910</v>
      </c>
      <c r="N1344" t="s">
        <v>47</v>
      </c>
      <c r="O1344" t="s">
        <v>1835</v>
      </c>
      <c r="P1344" t="s">
        <v>1835</v>
      </c>
      <c r="Y1344" t="s">
        <v>6916</v>
      </c>
    </row>
    <row r="1345" spans="1:25">
      <c r="A1345" t="s">
        <v>6917</v>
      </c>
      <c r="B1345" t="s">
        <v>6918</v>
      </c>
      <c r="D1345" t="s">
        <v>1832</v>
      </c>
      <c r="E1345" t="s">
        <v>41</v>
      </c>
      <c r="J1345" t="s">
        <v>44</v>
      </c>
      <c r="K1345" t="s">
        <v>45</v>
      </c>
      <c r="L1345">
        <v>5</v>
      </c>
      <c r="M1345" t="s">
        <v>6919</v>
      </c>
      <c r="N1345" t="s">
        <v>47</v>
      </c>
      <c r="O1345" t="s">
        <v>1835</v>
      </c>
      <c r="P1345" t="s">
        <v>1835</v>
      </c>
      <c r="Y1345" t="s">
        <v>6920</v>
      </c>
    </row>
    <row r="1346" spans="1:25">
      <c r="A1346" t="s">
        <v>6921</v>
      </c>
      <c r="B1346" t="s">
        <v>6922</v>
      </c>
      <c r="D1346" t="s">
        <v>1832</v>
      </c>
      <c r="E1346" t="s">
        <v>41</v>
      </c>
      <c r="J1346" t="s">
        <v>90</v>
      </c>
      <c r="K1346" t="s">
        <v>91</v>
      </c>
      <c r="L1346">
        <v>5</v>
      </c>
      <c r="M1346" t="s">
        <v>6923</v>
      </c>
      <c r="N1346" t="s">
        <v>47</v>
      </c>
      <c r="O1346" t="s">
        <v>1835</v>
      </c>
      <c r="P1346" t="s">
        <v>1835</v>
      </c>
      <c r="Y1346" t="s">
        <v>6924</v>
      </c>
    </row>
    <row r="1347" spans="1:25">
      <c r="A1347" t="s">
        <v>6925</v>
      </c>
      <c r="B1347" t="s">
        <v>6926</v>
      </c>
      <c r="D1347" t="s">
        <v>1832</v>
      </c>
      <c r="E1347" t="s">
        <v>41</v>
      </c>
      <c r="H1347" t="s">
        <v>6927</v>
      </c>
      <c r="J1347" t="s">
        <v>133</v>
      </c>
      <c r="K1347" t="s">
        <v>134</v>
      </c>
      <c r="L1347">
        <v>5</v>
      </c>
      <c r="M1347" t="s">
        <v>6923</v>
      </c>
      <c r="N1347" t="s">
        <v>290</v>
      </c>
      <c r="O1347" t="s">
        <v>1835</v>
      </c>
      <c r="P1347" t="s">
        <v>1835</v>
      </c>
      <c r="Y1347" t="s">
        <v>6927</v>
      </c>
    </row>
    <row r="1348" spans="1:25">
      <c r="A1348" t="s">
        <v>6928</v>
      </c>
      <c r="B1348" t="s">
        <v>6929</v>
      </c>
      <c r="D1348" t="s">
        <v>1832</v>
      </c>
      <c r="E1348" t="s">
        <v>41</v>
      </c>
      <c r="J1348" t="s">
        <v>371</v>
      </c>
      <c r="K1348" t="s">
        <v>372</v>
      </c>
      <c r="L1348">
        <v>5</v>
      </c>
      <c r="M1348" t="s">
        <v>6930</v>
      </c>
      <c r="N1348" t="s">
        <v>47</v>
      </c>
      <c r="O1348" t="s">
        <v>1835</v>
      </c>
      <c r="P1348" t="s">
        <v>1835</v>
      </c>
      <c r="Y1348" t="s">
        <v>6931</v>
      </c>
    </row>
    <row r="1349" spans="1:25">
      <c r="A1349" t="s">
        <v>6932</v>
      </c>
      <c r="B1349" t="s">
        <v>6933</v>
      </c>
      <c r="D1349" t="s">
        <v>1832</v>
      </c>
      <c r="E1349" t="s">
        <v>41</v>
      </c>
      <c r="H1349" t="s">
        <v>6934</v>
      </c>
      <c r="J1349" t="s">
        <v>90</v>
      </c>
      <c r="K1349" t="s">
        <v>91</v>
      </c>
      <c r="L1349">
        <v>5</v>
      </c>
      <c r="M1349" t="s">
        <v>6930</v>
      </c>
      <c r="N1349" t="s">
        <v>47</v>
      </c>
      <c r="O1349" t="s">
        <v>1835</v>
      </c>
      <c r="P1349" t="s">
        <v>1835</v>
      </c>
      <c r="Y1349" t="s">
        <v>6934</v>
      </c>
    </row>
    <row r="1350" spans="1:25">
      <c r="A1350" t="s">
        <v>6935</v>
      </c>
      <c r="B1350" t="s">
        <v>6936</v>
      </c>
      <c r="D1350" t="s">
        <v>1832</v>
      </c>
      <c r="E1350" t="s">
        <v>41</v>
      </c>
      <c r="J1350" t="s">
        <v>44</v>
      </c>
      <c r="K1350" t="s">
        <v>45</v>
      </c>
      <c r="L1350">
        <v>5</v>
      </c>
      <c r="M1350" t="s">
        <v>6937</v>
      </c>
      <c r="N1350" t="s">
        <v>47</v>
      </c>
      <c r="O1350" t="s">
        <v>1835</v>
      </c>
      <c r="P1350" t="s">
        <v>1835</v>
      </c>
      <c r="Y1350" t="s">
        <v>6938</v>
      </c>
    </row>
    <row r="1351" spans="1:25">
      <c r="A1351" t="s">
        <v>6939</v>
      </c>
      <c r="B1351" t="s">
        <v>6940</v>
      </c>
      <c r="D1351" t="s">
        <v>1832</v>
      </c>
      <c r="E1351" t="s">
        <v>41</v>
      </c>
      <c r="J1351" t="s">
        <v>133</v>
      </c>
      <c r="K1351" t="s">
        <v>134</v>
      </c>
      <c r="L1351">
        <v>5</v>
      </c>
      <c r="M1351" t="s">
        <v>6941</v>
      </c>
      <c r="N1351" t="s">
        <v>135</v>
      </c>
      <c r="O1351" t="s">
        <v>1835</v>
      </c>
      <c r="P1351" t="s">
        <v>1835</v>
      </c>
      <c r="Y1351" t="s">
        <v>6942</v>
      </c>
    </row>
    <row r="1352" spans="1:25">
      <c r="A1352" t="s">
        <v>6943</v>
      </c>
      <c r="B1352" t="s">
        <v>6944</v>
      </c>
      <c r="D1352" t="s">
        <v>1832</v>
      </c>
      <c r="E1352" t="s">
        <v>41</v>
      </c>
      <c r="J1352" t="s">
        <v>90</v>
      </c>
      <c r="K1352" t="s">
        <v>91</v>
      </c>
      <c r="L1352">
        <v>5</v>
      </c>
      <c r="M1352" t="s">
        <v>6945</v>
      </c>
      <c r="N1352" t="s">
        <v>47</v>
      </c>
      <c r="O1352" t="s">
        <v>1835</v>
      </c>
      <c r="P1352" t="s">
        <v>1835</v>
      </c>
      <c r="Y1352" t="s">
        <v>6946</v>
      </c>
    </row>
    <row r="1353" spans="1:25">
      <c r="A1353" t="s">
        <v>6947</v>
      </c>
      <c r="B1353" t="s">
        <v>6948</v>
      </c>
      <c r="D1353" t="s">
        <v>1832</v>
      </c>
      <c r="E1353" t="s">
        <v>41</v>
      </c>
      <c r="H1353" t="s">
        <v>6949</v>
      </c>
      <c r="J1353" t="s">
        <v>90</v>
      </c>
      <c r="K1353" t="s">
        <v>91</v>
      </c>
      <c r="L1353">
        <v>5</v>
      </c>
      <c r="M1353" t="s">
        <v>6950</v>
      </c>
      <c r="N1353" t="s">
        <v>47</v>
      </c>
      <c r="O1353" t="s">
        <v>1835</v>
      </c>
      <c r="P1353" t="s">
        <v>1835</v>
      </c>
      <c r="Y1353" t="s">
        <v>6949</v>
      </c>
    </row>
    <row r="1354" spans="1:25">
      <c r="A1354" t="s">
        <v>6951</v>
      </c>
      <c r="B1354" t="s">
        <v>6952</v>
      </c>
      <c r="D1354" t="s">
        <v>1832</v>
      </c>
      <c r="E1354" t="s">
        <v>41</v>
      </c>
      <c r="J1354" t="s">
        <v>90</v>
      </c>
      <c r="K1354" t="s">
        <v>91</v>
      </c>
      <c r="L1354">
        <v>5</v>
      </c>
      <c r="M1354" t="s">
        <v>6953</v>
      </c>
      <c r="N1354" t="s">
        <v>47</v>
      </c>
      <c r="O1354" t="s">
        <v>1835</v>
      </c>
      <c r="P1354" t="s">
        <v>1835</v>
      </c>
      <c r="Y1354" t="s">
        <v>6954</v>
      </c>
    </row>
    <row r="1355" spans="1:25">
      <c r="A1355" t="s">
        <v>6955</v>
      </c>
      <c r="B1355" t="s">
        <v>6956</v>
      </c>
      <c r="D1355" t="s">
        <v>1832</v>
      </c>
      <c r="E1355" t="s">
        <v>41</v>
      </c>
      <c r="J1355" t="s">
        <v>44</v>
      </c>
      <c r="K1355" t="s">
        <v>45</v>
      </c>
      <c r="L1355">
        <v>5</v>
      </c>
      <c r="M1355" t="s">
        <v>6953</v>
      </c>
      <c r="N1355" t="s">
        <v>47</v>
      </c>
      <c r="O1355" t="s">
        <v>1835</v>
      </c>
      <c r="P1355" t="s">
        <v>1835</v>
      </c>
      <c r="Y1355" t="s">
        <v>6957</v>
      </c>
    </row>
    <row r="1356" spans="1:25">
      <c r="A1356" t="s">
        <v>6958</v>
      </c>
      <c r="B1356" t="s">
        <v>6959</v>
      </c>
      <c r="D1356" t="s">
        <v>1832</v>
      </c>
      <c r="E1356" t="s">
        <v>41</v>
      </c>
      <c r="J1356" t="s">
        <v>90</v>
      </c>
      <c r="K1356" t="s">
        <v>91</v>
      </c>
      <c r="L1356">
        <v>5</v>
      </c>
      <c r="M1356" t="s">
        <v>6953</v>
      </c>
      <c r="N1356" t="s">
        <v>47</v>
      </c>
      <c r="O1356" t="s">
        <v>1835</v>
      </c>
      <c r="P1356" t="s">
        <v>1835</v>
      </c>
      <c r="Y1356" t="s">
        <v>6960</v>
      </c>
    </row>
    <row r="1357" spans="1:25">
      <c r="A1357" t="s">
        <v>6961</v>
      </c>
      <c r="B1357" t="s">
        <v>6962</v>
      </c>
      <c r="D1357" t="s">
        <v>1832</v>
      </c>
      <c r="E1357" t="s">
        <v>41</v>
      </c>
      <c r="H1357" t="s">
        <v>6963</v>
      </c>
      <c r="J1357" t="s">
        <v>234</v>
      </c>
      <c r="K1357" t="s">
        <v>235</v>
      </c>
      <c r="L1357">
        <v>5</v>
      </c>
      <c r="M1357" t="s">
        <v>6964</v>
      </c>
      <c r="N1357" t="s">
        <v>47</v>
      </c>
      <c r="O1357" t="s">
        <v>1835</v>
      </c>
      <c r="P1357" t="s">
        <v>1835</v>
      </c>
      <c r="Y1357" t="s">
        <v>6963</v>
      </c>
    </row>
    <row r="1358" spans="1:25">
      <c r="A1358" t="s">
        <v>6965</v>
      </c>
      <c r="B1358" t="s">
        <v>6966</v>
      </c>
      <c r="D1358" t="s">
        <v>1832</v>
      </c>
      <c r="E1358" t="s">
        <v>41</v>
      </c>
      <c r="J1358" t="s">
        <v>44</v>
      </c>
      <c r="K1358" t="s">
        <v>45</v>
      </c>
      <c r="L1358">
        <v>5</v>
      </c>
      <c r="M1358" t="s">
        <v>6967</v>
      </c>
      <c r="N1358" t="s">
        <v>47</v>
      </c>
      <c r="O1358" t="s">
        <v>1835</v>
      </c>
      <c r="P1358" t="s">
        <v>1835</v>
      </c>
      <c r="Y1358" t="s">
        <v>6968</v>
      </c>
    </row>
    <row r="1359" spans="1:25">
      <c r="A1359" t="s">
        <v>6969</v>
      </c>
      <c r="B1359" t="s">
        <v>6970</v>
      </c>
      <c r="D1359" t="s">
        <v>1832</v>
      </c>
      <c r="E1359" t="s">
        <v>41</v>
      </c>
      <c r="J1359" t="s">
        <v>78</v>
      </c>
      <c r="K1359" t="s">
        <v>79</v>
      </c>
      <c r="L1359">
        <v>5</v>
      </c>
      <c r="M1359" t="s">
        <v>6971</v>
      </c>
      <c r="N1359" t="s">
        <v>47</v>
      </c>
      <c r="O1359" t="s">
        <v>1835</v>
      </c>
      <c r="P1359" t="s">
        <v>1835</v>
      </c>
      <c r="Y1359" t="s">
        <v>6972</v>
      </c>
    </row>
    <row r="1360" spans="1:25">
      <c r="A1360" t="s">
        <v>6973</v>
      </c>
      <c r="B1360" t="s">
        <v>6974</v>
      </c>
      <c r="D1360" t="s">
        <v>1832</v>
      </c>
      <c r="E1360" t="s">
        <v>41</v>
      </c>
      <c r="H1360" t="s">
        <v>6975</v>
      </c>
      <c r="J1360" t="s">
        <v>353</v>
      </c>
      <c r="K1360" t="s">
        <v>354</v>
      </c>
      <c r="L1360">
        <v>5</v>
      </c>
      <c r="M1360" t="s">
        <v>6976</v>
      </c>
      <c r="N1360" t="s">
        <v>135</v>
      </c>
      <c r="O1360" t="s">
        <v>1835</v>
      </c>
      <c r="P1360" t="s">
        <v>1835</v>
      </c>
      <c r="Y1360" t="s">
        <v>6975</v>
      </c>
    </row>
    <row r="1361" spans="1:25">
      <c r="A1361" t="s">
        <v>6977</v>
      </c>
      <c r="B1361" t="s">
        <v>6978</v>
      </c>
      <c r="D1361" t="s">
        <v>1832</v>
      </c>
      <c r="E1361" t="s">
        <v>41</v>
      </c>
      <c r="J1361" t="s">
        <v>44</v>
      </c>
      <c r="K1361" t="s">
        <v>45</v>
      </c>
      <c r="L1361">
        <v>5</v>
      </c>
      <c r="M1361" t="s">
        <v>6979</v>
      </c>
      <c r="N1361" t="s">
        <v>47</v>
      </c>
      <c r="O1361" t="s">
        <v>1835</v>
      </c>
      <c r="P1361" t="s">
        <v>1835</v>
      </c>
      <c r="Y1361" t="s">
        <v>6980</v>
      </c>
    </row>
    <row r="1362" spans="1:25">
      <c r="A1362" t="s">
        <v>6981</v>
      </c>
      <c r="B1362" t="s">
        <v>6982</v>
      </c>
      <c r="D1362" t="s">
        <v>1832</v>
      </c>
      <c r="E1362" t="s">
        <v>41</v>
      </c>
      <c r="H1362" t="s">
        <v>6983</v>
      </c>
      <c r="J1362" t="s">
        <v>54</v>
      </c>
      <c r="K1362" t="s">
        <v>55</v>
      </c>
      <c r="L1362">
        <v>5</v>
      </c>
      <c r="M1362" t="s">
        <v>6984</v>
      </c>
      <c r="N1362" t="s">
        <v>47</v>
      </c>
      <c r="O1362" t="s">
        <v>1835</v>
      </c>
      <c r="P1362" t="s">
        <v>1835</v>
      </c>
      <c r="Y1362" t="s">
        <v>6983</v>
      </c>
    </row>
    <row r="1363" spans="1:25">
      <c r="A1363" t="s">
        <v>6985</v>
      </c>
      <c r="B1363" t="s">
        <v>6986</v>
      </c>
      <c r="D1363" t="s">
        <v>1832</v>
      </c>
      <c r="E1363" t="s">
        <v>41</v>
      </c>
      <c r="J1363" t="s">
        <v>90</v>
      </c>
      <c r="K1363" t="s">
        <v>91</v>
      </c>
      <c r="L1363">
        <v>5</v>
      </c>
      <c r="M1363" t="s">
        <v>6987</v>
      </c>
      <c r="N1363" t="s">
        <v>47</v>
      </c>
      <c r="O1363" t="s">
        <v>1835</v>
      </c>
      <c r="P1363" t="s">
        <v>1835</v>
      </c>
      <c r="Y1363" t="s">
        <v>6988</v>
      </c>
    </row>
    <row r="1364" spans="1:25">
      <c r="A1364" t="s">
        <v>6989</v>
      </c>
      <c r="B1364" t="s">
        <v>6990</v>
      </c>
      <c r="D1364" t="s">
        <v>1832</v>
      </c>
      <c r="E1364" t="s">
        <v>41</v>
      </c>
      <c r="J1364" t="s">
        <v>90</v>
      </c>
      <c r="K1364" t="s">
        <v>91</v>
      </c>
      <c r="L1364">
        <v>5</v>
      </c>
      <c r="M1364" t="s">
        <v>6987</v>
      </c>
      <c r="N1364" t="s">
        <v>47</v>
      </c>
      <c r="O1364" t="s">
        <v>1835</v>
      </c>
      <c r="P1364" t="s">
        <v>1835</v>
      </c>
      <c r="Y1364" t="s">
        <v>6991</v>
      </c>
    </row>
    <row r="1365" spans="1:25">
      <c r="A1365" t="s">
        <v>6992</v>
      </c>
      <c r="B1365" t="s">
        <v>6993</v>
      </c>
      <c r="D1365" t="s">
        <v>1832</v>
      </c>
      <c r="E1365" t="s">
        <v>41</v>
      </c>
      <c r="J1365" t="s">
        <v>44</v>
      </c>
      <c r="K1365" t="s">
        <v>45</v>
      </c>
      <c r="L1365">
        <v>5</v>
      </c>
      <c r="M1365" t="s">
        <v>6987</v>
      </c>
      <c r="N1365" t="s">
        <v>47</v>
      </c>
      <c r="O1365" t="s">
        <v>1835</v>
      </c>
      <c r="P1365" t="s">
        <v>1835</v>
      </c>
      <c r="Y1365" t="s">
        <v>6994</v>
      </c>
    </row>
    <row r="1366" spans="1:25">
      <c r="A1366" t="s">
        <v>6995</v>
      </c>
      <c r="B1366" t="s">
        <v>6996</v>
      </c>
      <c r="D1366" t="s">
        <v>1832</v>
      </c>
      <c r="E1366" t="s">
        <v>41</v>
      </c>
      <c r="J1366" t="s">
        <v>90</v>
      </c>
      <c r="K1366" t="s">
        <v>91</v>
      </c>
      <c r="L1366">
        <v>5</v>
      </c>
      <c r="M1366" t="s">
        <v>6997</v>
      </c>
      <c r="N1366" t="s">
        <v>47</v>
      </c>
      <c r="O1366" t="s">
        <v>1835</v>
      </c>
      <c r="P1366" t="s">
        <v>1835</v>
      </c>
      <c r="Y1366" t="s">
        <v>6998</v>
      </c>
    </row>
    <row r="1367" spans="1:25">
      <c r="A1367" t="s">
        <v>6999</v>
      </c>
      <c r="B1367" t="s">
        <v>7000</v>
      </c>
      <c r="D1367" t="s">
        <v>1832</v>
      </c>
      <c r="E1367" t="s">
        <v>41</v>
      </c>
      <c r="H1367" t="s">
        <v>7001</v>
      </c>
      <c r="J1367" t="s">
        <v>90</v>
      </c>
      <c r="K1367" t="s">
        <v>91</v>
      </c>
      <c r="L1367">
        <v>5</v>
      </c>
      <c r="M1367" t="s">
        <v>7002</v>
      </c>
      <c r="N1367" t="s">
        <v>47</v>
      </c>
      <c r="O1367" t="s">
        <v>1835</v>
      </c>
      <c r="P1367" t="s">
        <v>1835</v>
      </c>
      <c r="Y1367" t="s">
        <v>7001</v>
      </c>
    </row>
    <row r="1368" spans="1:25">
      <c r="A1368" t="s">
        <v>7003</v>
      </c>
      <c r="B1368" t="s">
        <v>7004</v>
      </c>
      <c r="D1368" t="s">
        <v>1832</v>
      </c>
      <c r="E1368" t="s">
        <v>41</v>
      </c>
      <c r="J1368" t="s">
        <v>133</v>
      </c>
      <c r="K1368" t="s">
        <v>134</v>
      </c>
      <c r="L1368">
        <v>5</v>
      </c>
      <c r="M1368" t="s">
        <v>7005</v>
      </c>
      <c r="N1368" t="s">
        <v>685</v>
      </c>
      <c r="O1368" t="s">
        <v>1835</v>
      </c>
      <c r="P1368" t="s">
        <v>1835</v>
      </c>
      <c r="Y1368" t="s">
        <v>7006</v>
      </c>
    </row>
    <row r="1369" spans="1:25">
      <c r="A1369" t="s">
        <v>7007</v>
      </c>
      <c r="B1369" t="s">
        <v>7008</v>
      </c>
      <c r="D1369" t="s">
        <v>1832</v>
      </c>
      <c r="E1369" t="s">
        <v>41</v>
      </c>
      <c r="J1369" t="s">
        <v>78</v>
      </c>
      <c r="K1369" t="s">
        <v>79</v>
      </c>
      <c r="L1369">
        <v>5</v>
      </c>
      <c r="M1369" t="s">
        <v>7009</v>
      </c>
      <c r="N1369" t="s">
        <v>47</v>
      </c>
      <c r="O1369" t="s">
        <v>1835</v>
      </c>
      <c r="P1369" t="s">
        <v>1835</v>
      </c>
      <c r="Y1369" t="s">
        <v>7010</v>
      </c>
    </row>
    <row r="1370" spans="1:25">
      <c r="A1370" t="s">
        <v>7011</v>
      </c>
      <c r="B1370" t="s">
        <v>7012</v>
      </c>
      <c r="D1370" t="s">
        <v>1832</v>
      </c>
      <c r="E1370" t="s">
        <v>41</v>
      </c>
      <c r="J1370" t="s">
        <v>44</v>
      </c>
      <c r="K1370" t="s">
        <v>45</v>
      </c>
      <c r="L1370">
        <v>5</v>
      </c>
      <c r="M1370" t="s">
        <v>7013</v>
      </c>
      <c r="N1370" t="s">
        <v>47</v>
      </c>
      <c r="O1370" t="s">
        <v>1835</v>
      </c>
      <c r="P1370" t="s">
        <v>1835</v>
      </c>
      <c r="Y1370" t="s">
        <v>7014</v>
      </c>
    </row>
    <row r="1371" spans="1:25">
      <c r="A1371" t="s">
        <v>7015</v>
      </c>
      <c r="B1371" t="s">
        <v>7016</v>
      </c>
      <c r="D1371" t="s">
        <v>1832</v>
      </c>
      <c r="E1371" t="s">
        <v>41</v>
      </c>
      <c r="J1371" t="s">
        <v>54</v>
      </c>
      <c r="K1371" t="s">
        <v>55</v>
      </c>
      <c r="L1371">
        <v>5</v>
      </c>
      <c r="M1371" t="s">
        <v>7013</v>
      </c>
      <c r="N1371" t="s">
        <v>47</v>
      </c>
      <c r="O1371" t="s">
        <v>1835</v>
      </c>
      <c r="P1371" t="s">
        <v>1835</v>
      </c>
      <c r="Y1371" t="s">
        <v>7017</v>
      </c>
    </row>
    <row r="1372" spans="1:25">
      <c r="A1372" t="s">
        <v>7018</v>
      </c>
      <c r="B1372" t="s">
        <v>7019</v>
      </c>
      <c r="D1372" t="s">
        <v>1832</v>
      </c>
      <c r="E1372" t="s">
        <v>41</v>
      </c>
      <c r="J1372" t="s">
        <v>133</v>
      </c>
      <c r="K1372" t="s">
        <v>134</v>
      </c>
      <c r="L1372">
        <v>5</v>
      </c>
      <c r="M1372" t="s">
        <v>7020</v>
      </c>
      <c r="N1372" t="s">
        <v>290</v>
      </c>
      <c r="O1372" t="s">
        <v>1835</v>
      </c>
      <c r="P1372" t="s">
        <v>1835</v>
      </c>
      <c r="Y1372" t="s">
        <v>7021</v>
      </c>
    </row>
    <row r="1373" spans="1:25">
      <c r="A1373" t="s">
        <v>7022</v>
      </c>
      <c r="B1373" t="s">
        <v>7023</v>
      </c>
      <c r="D1373" t="s">
        <v>1832</v>
      </c>
      <c r="E1373" t="s">
        <v>41</v>
      </c>
      <c r="J1373" t="s">
        <v>44</v>
      </c>
      <c r="K1373" t="s">
        <v>45</v>
      </c>
      <c r="L1373">
        <v>5</v>
      </c>
      <c r="M1373" t="s">
        <v>7024</v>
      </c>
      <c r="N1373" t="s">
        <v>47</v>
      </c>
      <c r="O1373" t="s">
        <v>1835</v>
      </c>
      <c r="P1373" t="s">
        <v>1835</v>
      </c>
      <c r="Y1373" t="s">
        <v>7025</v>
      </c>
    </row>
    <row r="1374" spans="1:25">
      <c r="A1374" t="s">
        <v>7026</v>
      </c>
      <c r="B1374" t="s">
        <v>7027</v>
      </c>
      <c r="D1374" t="s">
        <v>1832</v>
      </c>
      <c r="E1374" t="s">
        <v>41</v>
      </c>
      <c r="J1374" t="s">
        <v>90</v>
      </c>
      <c r="K1374" t="s">
        <v>91</v>
      </c>
      <c r="L1374">
        <v>5</v>
      </c>
      <c r="M1374" t="s">
        <v>7024</v>
      </c>
      <c r="N1374" t="s">
        <v>47</v>
      </c>
      <c r="O1374" t="s">
        <v>1835</v>
      </c>
      <c r="P1374" t="s">
        <v>1835</v>
      </c>
      <c r="Y1374" t="s">
        <v>7028</v>
      </c>
    </row>
    <row r="1375" spans="1:25">
      <c r="A1375" t="s">
        <v>7029</v>
      </c>
      <c r="B1375" t="s">
        <v>7030</v>
      </c>
      <c r="D1375" t="s">
        <v>1832</v>
      </c>
      <c r="E1375" t="s">
        <v>41</v>
      </c>
      <c r="J1375" t="s">
        <v>44</v>
      </c>
      <c r="K1375" t="s">
        <v>45</v>
      </c>
      <c r="L1375">
        <v>5</v>
      </c>
      <c r="M1375" t="s">
        <v>7024</v>
      </c>
      <c r="N1375" t="s">
        <v>47</v>
      </c>
      <c r="O1375" t="s">
        <v>1835</v>
      </c>
      <c r="P1375" t="s">
        <v>1835</v>
      </c>
      <c r="Y1375" t="s">
        <v>7031</v>
      </c>
    </row>
    <row r="1376" spans="1:25">
      <c r="A1376" t="s">
        <v>7032</v>
      </c>
      <c r="B1376" t="s">
        <v>7033</v>
      </c>
      <c r="D1376" t="s">
        <v>1832</v>
      </c>
      <c r="E1376" t="s">
        <v>41</v>
      </c>
      <c r="J1376" t="s">
        <v>54</v>
      </c>
      <c r="K1376" t="s">
        <v>55</v>
      </c>
      <c r="L1376">
        <v>5</v>
      </c>
      <c r="M1376" t="s">
        <v>7024</v>
      </c>
      <c r="N1376" t="s">
        <v>47</v>
      </c>
      <c r="O1376" t="s">
        <v>1835</v>
      </c>
      <c r="P1376" t="s">
        <v>1835</v>
      </c>
      <c r="Y1376" t="s">
        <v>7034</v>
      </c>
    </row>
    <row r="1377" spans="1:25">
      <c r="A1377" t="s">
        <v>7035</v>
      </c>
      <c r="B1377" t="s">
        <v>7036</v>
      </c>
      <c r="D1377" t="s">
        <v>1832</v>
      </c>
      <c r="E1377" t="s">
        <v>41</v>
      </c>
      <c r="J1377" t="s">
        <v>44</v>
      </c>
      <c r="K1377" t="s">
        <v>45</v>
      </c>
      <c r="L1377">
        <v>5</v>
      </c>
      <c r="M1377" t="s">
        <v>7037</v>
      </c>
      <c r="N1377" t="s">
        <v>47</v>
      </c>
      <c r="O1377" t="s">
        <v>1835</v>
      </c>
      <c r="P1377" t="s">
        <v>1835</v>
      </c>
      <c r="Y1377" t="s">
        <v>7038</v>
      </c>
    </row>
    <row r="1378" spans="1:25">
      <c r="A1378" t="s">
        <v>7039</v>
      </c>
      <c r="B1378" t="s">
        <v>7040</v>
      </c>
      <c r="D1378" t="s">
        <v>1832</v>
      </c>
      <c r="E1378" t="s">
        <v>41</v>
      </c>
      <c r="J1378" t="s">
        <v>44</v>
      </c>
      <c r="K1378" t="s">
        <v>45</v>
      </c>
      <c r="L1378">
        <v>5</v>
      </c>
      <c r="M1378" t="s">
        <v>7041</v>
      </c>
      <c r="N1378" t="s">
        <v>47</v>
      </c>
      <c r="O1378" t="s">
        <v>1835</v>
      </c>
      <c r="P1378" t="s">
        <v>1835</v>
      </c>
      <c r="Y1378" t="s">
        <v>7042</v>
      </c>
    </row>
    <row r="1379" spans="1:25">
      <c r="A1379" t="s">
        <v>7043</v>
      </c>
      <c r="B1379" t="s">
        <v>7044</v>
      </c>
      <c r="D1379" t="s">
        <v>1832</v>
      </c>
      <c r="E1379" t="s">
        <v>41</v>
      </c>
      <c r="H1379" t="s">
        <v>7045</v>
      </c>
      <c r="J1379" t="s">
        <v>133</v>
      </c>
      <c r="K1379" t="s">
        <v>134</v>
      </c>
      <c r="L1379">
        <v>5</v>
      </c>
      <c r="M1379" t="s">
        <v>7041</v>
      </c>
      <c r="N1379" t="s">
        <v>135</v>
      </c>
      <c r="O1379" t="s">
        <v>1835</v>
      </c>
      <c r="P1379" t="s">
        <v>1835</v>
      </c>
      <c r="Y1379" t="s">
        <v>7045</v>
      </c>
    </row>
    <row r="1380" spans="1:25">
      <c r="A1380" t="s">
        <v>7046</v>
      </c>
      <c r="B1380" t="s">
        <v>7047</v>
      </c>
      <c r="D1380" t="s">
        <v>1832</v>
      </c>
      <c r="E1380" t="s">
        <v>41</v>
      </c>
      <c r="H1380" t="s">
        <v>7048</v>
      </c>
      <c r="J1380" t="s">
        <v>90</v>
      </c>
      <c r="K1380" t="s">
        <v>91</v>
      </c>
      <c r="L1380">
        <v>5</v>
      </c>
      <c r="M1380" t="s">
        <v>7041</v>
      </c>
      <c r="N1380" t="s">
        <v>47</v>
      </c>
      <c r="O1380" t="s">
        <v>1835</v>
      </c>
      <c r="P1380" t="s">
        <v>1835</v>
      </c>
      <c r="Y1380" t="s">
        <v>7048</v>
      </c>
    </row>
    <row r="1381" spans="1:25">
      <c r="A1381" t="s">
        <v>7049</v>
      </c>
      <c r="B1381" t="s">
        <v>7050</v>
      </c>
      <c r="D1381" t="s">
        <v>1832</v>
      </c>
      <c r="E1381" t="s">
        <v>41</v>
      </c>
      <c r="J1381" t="s">
        <v>90</v>
      </c>
      <c r="K1381" t="s">
        <v>91</v>
      </c>
      <c r="L1381">
        <v>5</v>
      </c>
      <c r="M1381" t="s">
        <v>7051</v>
      </c>
      <c r="N1381" t="s">
        <v>47</v>
      </c>
      <c r="O1381" t="s">
        <v>1835</v>
      </c>
      <c r="P1381" t="s">
        <v>1835</v>
      </c>
      <c r="Y1381" t="s">
        <v>7052</v>
      </c>
    </row>
    <row r="1382" spans="1:25">
      <c r="A1382" t="s">
        <v>7053</v>
      </c>
      <c r="B1382" t="s">
        <v>7054</v>
      </c>
      <c r="D1382" t="s">
        <v>1832</v>
      </c>
      <c r="E1382" t="s">
        <v>41</v>
      </c>
      <c r="J1382" t="s">
        <v>78</v>
      </c>
      <c r="K1382" t="s">
        <v>79</v>
      </c>
      <c r="L1382">
        <v>5</v>
      </c>
      <c r="M1382" t="s">
        <v>7055</v>
      </c>
      <c r="N1382" t="s">
        <v>47</v>
      </c>
      <c r="O1382" t="s">
        <v>1835</v>
      </c>
      <c r="P1382" t="s">
        <v>1835</v>
      </c>
      <c r="Y1382" t="s">
        <v>7056</v>
      </c>
    </row>
    <row r="1383" spans="1:25">
      <c r="A1383" t="s">
        <v>7057</v>
      </c>
      <c r="B1383" t="s">
        <v>7058</v>
      </c>
      <c r="D1383" t="s">
        <v>1832</v>
      </c>
      <c r="E1383" t="s">
        <v>41</v>
      </c>
      <c r="J1383" t="s">
        <v>90</v>
      </c>
      <c r="K1383" t="s">
        <v>91</v>
      </c>
      <c r="L1383">
        <v>5</v>
      </c>
      <c r="M1383" t="s">
        <v>7059</v>
      </c>
      <c r="N1383" t="s">
        <v>47</v>
      </c>
      <c r="O1383" t="s">
        <v>1835</v>
      </c>
      <c r="P1383" t="s">
        <v>1835</v>
      </c>
      <c r="Y1383" t="s">
        <v>7060</v>
      </c>
    </row>
    <row r="1384" spans="1:25">
      <c r="A1384" t="s">
        <v>7061</v>
      </c>
      <c r="B1384" t="s">
        <v>7062</v>
      </c>
      <c r="D1384" t="s">
        <v>1832</v>
      </c>
      <c r="E1384" t="s">
        <v>41</v>
      </c>
      <c r="J1384" t="s">
        <v>90</v>
      </c>
      <c r="K1384" t="s">
        <v>91</v>
      </c>
      <c r="L1384">
        <v>5</v>
      </c>
      <c r="M1384" t="s">
        <v>7063</v>
      </c>
      <c r="N1384" t="s">
        <v>47</v>
      </c>
      <c r="O1384" t="s">
        <v>1835</v>
      </c>
      <c r="P1384" t="s">
        <v>1835</v>
      </c>
      <c r="Y1384" t="s">
        <v>7064</v>
      </c>
    </row>
    <row r="1385" spans="1:25">
      <c r="A1385" t="s">
        <v>7065</v>
      </c>
      <c r="B1385" t="s">
        <v>7066</v>
      </c>
      <c r="D1385" t="s">
        <v>1832</v>
      </c>
      <c r="E1385" t="s">
        <v>41</v>
      </c>
      <c r="J1385" t="s">
        <v>44</v>
      </c>
      <c r="K1385" t="s">
        <v>45</v>
      </c>
      <c r="L1385">
        <v>5</v>
      </c>
      <c r="M1385" t="s">
        <v>7067</v>
      </c>
      <c r="N1385" t="s">
        <v>47</v>
      </c>
      <c r="O1385" t="s">
        <v>1835</v>
      </c>
      <c r="P1385" t="s">
        <v>1835</v>
      </c>
      <c r="Y1385" t="s">
        <v>7068</v>
      </c>
    </row>
    <row r="1386" spans="1:25">
      <c r="A1386" t="s">
        <v>7069</v>
      </c>
      <c r="B1386" t="s">
        <v>7070</v>
      </c>
      <c r="D1386" t="s">
        <v>1832</v>
      </c>
      <c r="E1386" t="s">
        <v>41</v>
      </c>
      <c r="J1386" t="s">
        <v>133</v>
      </c>
      <c r="K1386" t="s">
        <v>134</v>
      </c>
      <c r="L1386">
        <v>5</v>
      </c>
      <c r="M1386" t="s">
        <v>7071</v>
      </c>
      <c r="N1386" t="s">
        <v>135</v>
      </c>
      <c r="O1386" t="s">
        <v>1835</v>
      </c>
      <c r="P1386" t="s">
        <v>1835</v>
      </c>
      <c r="Y1386" t="s">
        <v>7072</v>
      </c>
    </row>
    <row r="1387" spans="1:25">
      <c r="A1387" t="s">
        <v>7073</v>
      </c>
      <c r="B1387" t="s">
        <v>7074</v>
      </c>
      <c r="D1387" t="s">
        <v>1832</v>
      </c>
      <c r="E1387" t="s">
        <v>41</v>
      </c>
      <c r="J1387" t="s">
        <v>44</v>
      </c>
      <c r="K1387" t="s">
        <v>45</v>
      </c>
      <c r="L1387">
        <v>5</v>
      </c>
      <c r="M1387" t="s">
        <v>7071</v>
      </c>
      <c r="N1387" t="s">
        <v>47</v>
      </c>
      <c r="O1387" t="s">
        <v>1835</v>
      </c>
      <c r="P1387" t="s">
        <v>1835</v>
      </c>
      <c r="Y1387" t="s">
        <v>7075</v>
      </c>
    </row>
    <row r="1388" spans="1:25">
      <c r="A1388" t="s">
        <v>7076</v>
      </c>
      <c r="B1388" t="s">
        <v>7077</v>
      </c>
      <c r="D1388" t="s">
        <v>1832</v>
      </c>
      <c r="E1388" t="s">
        <v>41</v>
      </c>
      <c r="H1388" t="s">
        <v>7078</v>
      </c>
      <c r="J1388" t="s">
        <v>133</v>
      </c>
      <c r="K1388" t="s">
        <v>134</v>
      </c>
      <c r="L1388">
        <v>5</v>
      </c>
      <c r="M1388" t="s">
        <v>7071</v>
      </c>
      <c r="N1388" t="s">
        <v>685</v>
      </c>
      <c r="O1388" t="s">
        <v>1835</v>
      </c>
      <c r="P1388" t="s">
        <v>1835</v>
      </c>
      <c r="Y1388" t="s">
        <v>7078</v>
      </c>
    </row>
    <row r="1389" spans="1:25">
      <c r="A1389" t="s">
        <v>7079</v>
      </c>
      <c r="B1389" t="s">
        <v>7080</v>
      </c>
      <c r="D1389" t="s">
        <v>1832</v>
      </c>
      <c r="E1389" t="s">
        <v>41</v>
      </c>
      <c r="J1389" t="s">
        <v>90</v>
      </c>
      <c r="K1389" t="s">
        <v>91</v>
      </c>
      <c r="L1389">
        <v>5</v>
      </c>
      <c r="M1389" t="s">
        <v>7081</v>
      </c>
      <c r="N1389" t="s">
        <v>47</v>
      </c>
      <c r="O1389" t="s">
        <v>1835</v>
      </c>
      <c r="P1389" t="s">
        <v>1835</v>
      </c>
      <c r="Y1389" t="s">
        <v>7082</v>
      </c>
    </row>
    <row r="1390" spans="1:25">
      <c r="A1390" t="s">
        <v>7083</v>
      </c>
      <c r="B1390" t="s">
        <v>7084</v>
      </c>
      <c r="D1390" t="s">
        <v>1832</v>
      </c>
      <c r="E1390" t="s">
        <v>41</v>
      </c>
      <c r="J1390" t="s">
        <v>90</v>
      </c>
      <c r="K1390" t="s">
        <v>91</v>
      </c>
      <c r="L1390">
        <v>5</v>
      </c>
      <c r="M1390" t="s">
        <v>7085</v>
      </c>
      <c r="N1390" t="s">
        <v>47</v>
      </c>
      <c r="O1390" t="s">
        <v>1835</v>
      </c>
      <c r="P1390" t="s">
        <v>1835</v>
      </c>
      <c r="Y1390" t="s">
        <v>7086</v>
      </c>
    </row>
    <row r="1391" spans="1:25">
      <c r="A1391" t="s">
        <v>7087</v>
      </c>
      <c r="B1391" t="s">
        <v>7088</v>
      </c>
      <c r="D1391" t="s">
        <v>1832</v>
      </c>
      <c r="E1391" t="s">
        <v>41</v>
      </c>
      <c r="J1391" t="s">
        <v>44</v>
      </c>
      <c r="K1391" t="s">
        <v>45</v>
      </c>
      <c r="L1391">
        <v>5</v>
      </c>
      <c r="M1391" t="s">
        <v>7089</v>
      </c>
      <c r="N1391" t="s">
        <v>47</v>
      </c>
      <c r="O1391" t="s">
        <v>1835</v>
      </c>
      <c r="P1391" t="s">
        <v>1835</v>
      </c>
      <c r="Y1391" t="s">
        <v>7090</v>
      </c>
    </row>
    <row r="1392" spans="1:25">
      <c r="A1392" t="s">
        <v>7091</v>
      </c>
      <c r="B1392" t="s">
        <v>7092</v>
      </c>
      <c r="D1392" t="s">
        <v>1832</v>
      </c>
      <c r="E1392" t="s">
        <v>41</v>
      </c>
      <c r="J1392" t="s">
        <v>133</v>
      </c>
      <c r="K1392" t="s">
        <v>134</v>
      </c>
      <c r="L1392">
        <v>5</v>
      </c>
      <c r="M1392" t="s">
        <v>7093</v>
      </c>
      <c r="N1392" t="s">
        <v>135</v>
      </c>
      <c r="O1392" t="s">
        <v>1835</v>
      </c>
      <c r="P1392" t="s">
        <v>1835</v>
      </c>
      <c r="Y1392" t="s">
        <v>7094</v>
      </c>
    </row>
    <row r="1393" spans="1:25">
      <c r="A1393" t="s">
        <v>7095</v>
      </c>
      <c r="B1393" t="s">
        <v>7096</v>
      </c>
      <c r="D1393" t="s">
        <v>1832</v>
      </c>
      <c r="E1393" t="s">
        <v>41</v>
      </c>
      <c r="J1393" t="s">
        <v>90</v>
      </c>
      <c r="K1393" t="s">
        <v>91</v>
      </c>
      <c r="L1393">
        <v>5</v>
      </c>
      <c r="M1393" t="s">
        <v>7097</v>
      </c>
      <c r="N1393" t="s">
        <v>47</v>
      </c>
      <c r="O1393" t="s">
        <v>1835</v>
      </c>
      <c r="P1393" t="s">
        <v>1835</v>
      </c>
      <c r="Y1393" t="s">
        <v>7098</v>
      </c>
    </row>
    <row r="1394" spans="1:25">
      <c r="A1394" t="s">
        <v>7099</v>
      </c>
      <c r="B1394" t="s">
        <v>7100</v>
      </c>
      <c r="D1394" t="s">
        <v>1832</v>
      </c>
      <c r="E1394" t="s">
        <v>41</v>
      </c>
      <c r="J1394" t="s">
        <v>90</v>
      </c>
      <c r="K1394" t="s">
        <v>91</v>
      </c>
      <c r="L1394">
        <v>5</v>
      </c>
      <c r="M1394" t="s">
        <v>7097</v>
      </c>
      <c r="N1394" t="s">
        <v>47</v>
      </c>
      <c r="O1394" t="s">
        <v>1835</v>
      </c>
      <c r="P1394" t="s">
        <v>1835</v>
      </c>
      <c r="Y1394" t="s">
        <v>7101</v>
      </c>
    </row>
    <row r="1395" spans="1:25">
      <c r="A1395" t="s">
        <v>7102</v>
      </c>
      <c r="B1395" t="s">
        <v>7103</v>
      </c>
      <c r="D1395" t="s">
        <v>1832</v>
      </c>
      <c r="E1395" t="s">
        <v>41</v>
      </c>
      <c r="J1395" t="s">
        <v>90</v>
      </c>
      <c r="K1395" t="s">
        <v>91</v>
      </c>
      <c r="L1395">
        <v>5</v>
      </c>
      <c r="M1395" t="s">
        <v>7104</v>
      </c>
      <c r="N1395" t="s">
        <v>47</v>
      </c>
      <c r="O1395" t="s">
        <v>1835</v>
      </c>
      <c r="P1395" t="s">
        <v>1835</v>
      </c>
      <c r="Y1395" t="s">
        <v>7105</v>
      </c>
    </row>
    <row r="1396" spans="1:25">
      <c r="A1396" t="s">
        <v>7106</v>
      </c>
      <c r="B1396" t="s">
        <v>7107</v>
      </c>
      <c r="D1396" t="s">
        <v>1832</v>
      </c>
      <c r="E1396" t="s">
        <v>41</v>
      </c>
      <c r="J1396" t="s">
        <v>54</v>
      </c>
      <c r="K1396" t="s">
        <v>55</v>
      </c>
      <c r="L1396">
        <v>5</v>
      </c>
      <c r="M1396" t="s">
        <v>7104</v>
      </c>
      <c r="N1396" t="s">
        <v>47</v>
      </c>
      <c r="O1396" t="s">
        <v>1835</v>
      </c>
      <c r="P1396" t="s">
        <v>1835</v>
      </c>
      <c r="Y1396" t="s">
        <v>7108</v>
      </c>
    </row>
    <row r="1397" spans="1:25">
      <c r="A1397" t="s">
        <v>7109</v>
      </c>
      <c r="B1397" t="s">
        <v>7110</v>
      </c>
      <c r="D1397" t="s">
        <v>1832</v>
      </c>
      <c r="E1397" t="s">
        <v>41</v>
      </c>
      <c r="J1397" t="s">
        <v>90</v>
      </c>
      <c r="K1397" t="s">
        <v>91</v>
      </c>
      <c r="L1397">
        <v>5</v>
      </c>
      <c r="M1397" t="s">
        <v>7104</v>
      </c>
      <c r="N1397" t="s">
        <v>47</v>
      </c>
      <c r="O1397" t="s">
        <v>1835</v>
      </c>
      <c r="P1397" t="s">
        <v>1835</v>
      </c>
      <c r="Y1397" t="s">
        <v>7111</v>
      </c>
    </row>
    <row r="1398" spans="1:25">
      <c r="A1398" t="s">
        <v>7112</v>
      </c>
      <c r="B1398" t="s">
        <v>7113</v>
      </c>
      <c r="D1398" t="s">
        <v>1832</v>
      </c>
      <c r="E1398" t="s">
        <v>41</v>
      </c>
      <c r="J1398" t="s">
        <v>54</v>
      </c>
      <c r="K1398" t="s">
        <v>55</v>
      </c>
      <c r="L1398">
        <v>5</v>
      </c>
      <c r="M1398" t="s">
        <v>7104</v>
      </c>
      <c r="N1398" t="s">
        <v>47</v>
      </c>
      <c r="O1398" t="s">
        <v>1835</v>
      </c>
      <c r="P1398" t="s">
        <v>1835</v>
      </c>
      <c r="Y1398" t="s">
        <v>7114</v>
      </c>
    </row>
    <row r="1399" spans="1:25">
      <c r="A1399" t="s">
        <v>7115</v>
      </c>
      <c r="B1399" t="s">
        <v>7116</v>
      </c>
      <c r="D1399" t="s">
        <v>1832</v>
      </c>
      <c r="E1399" t="s">
        <v>41</v>
      </c>
      <c r="J1399" t="s">
        <v>371</v>
      </c>
      <c r="K1399" t="s">
        <v>372</v>
      </c>
      <c r="L1399">
        <v>5</v>
      </c>
      <c r="M1399" t="s">
        <v>7117</v>
      </c>
      <c r="N1399" t="s">
        <v>47</v>
      </c>
      <c r="O1399" t="s">
        <v>1835</v>
      </c>
      <c r="P1399" t="s">
        <v>1835</v>
      </c>
      <c r="Y1399" t="s">
        <v>7118</v>
      </c>
    </row>
    <row r="1400" spans="1:25">
      <c r="A1400" t="s">
        <v>7119</v>
      </c>
      <c r="B1400" t="s">
        <v>7120</v>
      </c>
      <c r="D1400" t="s">
        <v>1832</v>
      </c>
      <c r="E1400" t="s">
        <v>41</v>
      </c>
      <c r="J1400" t="s">
        <v>133</v>
      </c>
      <c r="K1400" t="s">
        <v>134</v>
      </c>
      <c r="L1400">
        <v>5</v>
      </c>
      <c r="M1400" t="s">
        <v>7121</v>
      </c>
      <c r="N1400" t="s">
        <v>290</v>
      </c>
      <c r="O1400" t="s">
        <v>1835</v>
      </c>
      <c r="P1400" t="s">
        <v>1835</v>
      </c>
      <c r="Y1400" t="s">
        <v>7122</v>
      </c>
    </row>
    <row r="1401" spans="1:25">
      <c r="A1401" t="s">
        <v>7123</v>
      </c>
      <c r="B1401" t="s">
        <v>7124</v>
      </c>
      <c r="D1401" t="s">
        <v>1832</v>
      </c>
      <c r="E1401" t="s">
        <v>41</v>
      </c>
      <c r="J1401" t="s">
        <v>371</v>
      </c>
      <c r="K1401" t="s">
        <v>372</v>
      </c>
      <c r="L1401">
        <v>5</v>
      </c>
      <c r="M1401" t="s">
        <v>7125</v>
      </c>
      <c r="N1401" t="s">
        <v>47</v>
      </c>
      <c r="O1401" t="s">
        <v>1835</v>
      </c>
      <c r="P1401" t="s">
        <v>1835</v>
      </c>
      <c r="Y1401" t="s">
        <v>7126</v>
      </c>
    </row>
    <row r="1402" spans="1:25">
      <c r="A1402" t="s">
        <v>7127</v>
      </c>
      <c r="B1402" t="s">
        <v>7128</v>
      </c>
      <c r="D1402" t="s">
        <v>1832</v>
      </c>
      <c r="E1402" t="s">
        <v>41</v>
      </c>
      <c r="J1402" t="s">
        <v>44</v>
      </c>
      <c r="K1402" t="s">
        <v>45</v>
      </c>
      <c r="L1402">
        <v>5</v>
      </c>
      <c r="M1402" t="s">
        <v>7125</v>
      </c>
      <c r="N1402" t="s">
        <v>47</v>
      </c>
      <c r="O1402" t="s">
        <v>1835</v>
      </c>
      <c r="P1402" t="s">
        <v>1835</v>
      </c>
      <c r="Y1402" t="s">
        <v>7129</v>
      </c>
    </row>
    <row r="1403" spans="1:25">
      <c r="A1403" t="s">
        <v>7130</v>
      </c>
      <c r="B1403" t="s">
        <v>7131</v>
      </c>
      <c r="D1403" t="s">
        <v>1832</v>
      </c>
      <c r="E1403" t="s">
        <v>41</v>
      </c>
      <c r="J1403" t="s">
        <v>54</v>
      </c>
      <c r="K1403" t="s">
        <v>55</v>
      </c>
      <c r="L1403">
        <v>5</v>
      </c>
      <c r="M1403" t="s">
        <v>7132</v>
      </c>
      <c r="N1403" t="s">
        <v>47</v>
      </c>
      <c r="O1403" t="s">
        <v>1835</v>
      </c>
      <c r="P1403" t="s">
        <v>1835</v>
      </c>
      <c r="Y1403" t="s">
        <v>7133</v>
      </c>
    </row>
    <row r="1404" spans="1:25">
      <c r="A1404" t="s">
        <v>7134</v>
      </c>
      <c r="B1404" t="s">
        <v>7135</v>
      </c>
      <c r="D1404" t="s">
        <v>1832</v>
      </c>
      <c r="E1404" t="s">
        <v>41</v>
      </c>
      <c r="J1404" t="s">
        <v>90</v>
      </c>
      <c r="K1404" t="s">
        <v>91</v>
      </c>
      <c r="L1404">
        <v>5</v>
      </c>
      <c r="M1404" t="s">
        <v>7132</v>
      </c>
      <c r="N1404" t="s">
        <v>47</v>
      </c>
      <c r="O1404" t="s">
        <v>1835</v>
      </c>
      <c r="P1404" t="s">
        <v>1835</v>
      </c>
      <c r="Y1404" t="s">
        <v>7136</v>
      </c>
    </row>
    <row r="1405" spans="1:25">
      <c r="A1405" t="s">
        <v>7137</v>
      </c>
      <c r="B1405" t="s">
        <v>7138</v>
      </c>
      <c r="D1405" t="s">
        <v>1832</v>
      </c>
      <c r="E1405" t="s">
        <v>41</v>
      </c>
      <c r="J1405" t="s">
        <v>133</v>
      </c>
      <c r="K1405" t="s">
        <v>134</v>
      </c>
      <c r="L1405">
        <v>5</v>
      </c>
      <c r="M1405" t="s">
        <v>7139</v>
      </c>
      <c r="N1405" t="s">
        <v>135</v>
      </c>
      <c r="O1405" t="s">
        <v>1835</v>
      </c>
      <c r="P1405" t="s">
        <v>1835</v>
      </c>
      <c r="Y1405" t="s">
        <v>7140</v>
      </c>
    </row>
    <row r="1406" spans="1:25">
      <c r="A1406" t="s">
        <v>7141</v>
      </c>
      <c r="B1406" t="s">
        <v>7142</v>
      </c>
      <c r="D1406" t="s">
        <v>1832</v>
      </c>
      <c r="E1406" t="s">
        <v>41</v>
      </c>
      <c r="J1406" t="s">
        <v>90</v>
      </c>
      <c r="K1406" t="s">
        <v>91</v>
      </c>
      <c r="L1406">
        <v>5</v>
      </c>
      <c r="M1406" t="s">
        <v>7143</v>
      </c>
      <c r="N1406" t="s">
        <v>47</v>
      </c>
      <c r="O1406" t="s">
        <v>1835</v>
      </c>
      <c r="P1406" t="s">
        <v>1835</v>
      </c>
      <c r="Y1406" t="s">
        <v>7144</v>
      </c>
    </row>
    <row r="1407" spans="1:25">
      <c r="A1407" t="s">
        <v>7145</v>
      </c>
      <c r="B1407" t="s">
        <v>7146</v>
      </c>
      <c r="D1407" t="s">
        <v>1832</v>
      </c>
      <c r="E1407" t="s">
        <v>41</v>
      </c>
      <c r="H1407" t="s">
        <v>7147</v>
      </c>
      <c r="J1407" t="s">
        <v>90</v>
      </c>
      <c r="K1407" t="s">
        <v>91</v>
      </c>
      <c r="L1407">
        <v>5</v>
      </c>
      <c r="M1407" t="s">
        <v>7148</v>
      </c>
      <c r="N1407" t="s">
        <v>47</v>
      </c>
      <c r="O1407" t="s">
        <v>1835</v>
      </c>
      <c r="P1407" t="s">
        <v>1835</v>
      </c>
      <c r="Y1407" t="s">
        <v>7147</v>
      </c>
    </row>
    <row r="1408" spans="1:25">
      <c r="A1408" t="s">
        <v>7149</v>
      </c>
      <c r="B1408" t="s">
        <v>7150</v>
      </c>
      <c r="D1408" t="s">
        <v>1832</v>
      </c>
      <c r="E1408" t="s">
        <v>41</v>
      </c>
      <c r="J1408" t="s">
        <v>44</v>
      </c>
      <c r="K1408" t="s">
        <v>45</v>
      </c>
      <c r="L1408">
        <v>5</v>
      </c>
      <c r="M1408" t="s">
        <v>7151</v>
      </c>
      <c r="N1408" t="s">
        <v>47</v>
      </c>
      <c r="O1408" t="s">
        <v>1835</v>
      </c>
      <c r="P1408" t="s">
        <v>1835</v>
      </c>
      <c r="Y1408" t="s">
        <v>7152</v>
      </c>
    </row>
    <row r="1409" spans="1:25">
      <c r="A1409" t="s">
        <v>7153</v>
      </c>
      <c r="B1409" t="s">
        <v>7154</v>
      </c>
      <c r="D1409" t="s">
        <v>1832</v>
      </c>
      <c r="E1409" t="s">
        <v>41</v>
      </c>
      <c r="J1409" t="s">
        <v>44</v>
      </c>
      <c r="K1409" t="s">
        <v>45</v>
      </c>
      <c r="L1409">
        <v>5</v>
      </c>
      <c r="M1409" t="s">
        <v>7155</v>
      </c>
      <c r="N1409" t="s">
        <v>47</v>
      </c>
      <c r="O1409" t="s">
        <v>1835</v>
      </c>
      <c r="P1409" t="s">
        <v>1835</v>
      </c>
      <c r="Y1409" t="s">
        <v>7156</v>
      </c>
    </row>
    <row r="1410" spans="1:25">
      <c r="A1410" t="s">
        <v>7157</v>
      </c>
      <c r="B1410" t="s">
        <v>7158</v>
      </c>
      <c r="D1410" t="s">
        <v>1832</v>
      </c>
      <c r="E1410" t="s">
        <v>41</v>
      </c>
      <c r="J1410" t="s">
        <v>44</v>
      </c>
      <c r="K1410" t="s">
        <v>45</v>
      </c>
      <c r="L1410">
        <v>5</v>
      </c>
      <c r="M1410" t="s">
        <v>7155</v>
      </c>
      <c r="N1410" t="s">
        <v>47</v>
      </c>
      <c r="O1410" t="s">
        <v>1835</v>
      </c>
      <c r="P1410" t="s">
        <v>1835</v>
      </c>
      <c r="Y1410" t="s">
        <v>7159</v>
      </c>
    </row>
    <row r="1411" spans="1:25">
      <c r="A1411" t="s">
        <v>7160</v>
      </c>
      <c r="B1411" t="s">
        <v>7161</v>
      </c>
      <c r="D1411" t="s">
        <v>1832</v>
      </c>
      <c r="E1411" t="s">
        <v>41</v>
      </c>
      <c r="J1411" t="s">
        <v>44</v>
      </c>
      <c r="K1411" t="s">
        <v>45</v>
      </c>
      <c r="L1411">
        <v>5</v>
      </c>
      <c r="M1411" t="s">
        <v>7155</v>
      </c>
      <c r="N1411" t="s">
        <v>47</v>
      </c>
      <c r="O1411" t="s">
        <v>1835</v>
      </c>
      <c r="P1411" t="s">
        <v>1835</v>
      </c>
      <c r="Y1411" t="s">
        <v>7162</v>
      </c>
    </row>
    <row r="1412" spans="1:25">
      <c r="A1412" t="s">
        <v>7163</v>
      </c>
      <c r="B1412" t="s">
        <v>7164</v>
      </c>
      <c r="D1412" t="s">
        <v>1832</v>
      </c>
      <c r="E1412" t="s">
        <v>41</v>
      </c>
      <c r="J1412" t="s">
        <v>54</v>
      </c>
      <c r="K1412" t="s">
        <v>55</v>
      </c>
      <c r="L1412">
        <v>5</v>
      </c>
      <c r="M1412" t="s">
        <v>7165</v>
      </c>
      <c r="N1412" t="s">
        <v>47</v>
      </c>
      <c r="O1412" t="s">
        <v>1835</v>
      </c>
      <c r="P1412" t="s">
        <v>1835</v>
      </c>
      <c r="Y1412" t="s">
        <v>7166</v>
      </c>
    </row>
    <row r="1413" spans="1:25">
      <c r="A1413" t="s">
        <v>7167</v>
      </c>
      <c r="B1413" t="s">
        <v>7168</v>
      </c>
      <c r="D1413" t="s">
        <v>1832</v>
      </c>
      <c r="E1413" t="s">
        <v>41</v>
      </c>
      <c r="H1413" t="s">
        <v>7169</v>
      </c>
      <c r="J1413" t="s">
        <v>5964</v>
      </c>
      <c r="K1413" t="s">
        <v>5965</v>
      </c>
      <c r="L1413">
        <v>5</v>
      </c>
      <c r="M1413" t="s">
        <v>7170</v>
      </c>
      <c r="N1413" t="s">
        <v>685</v>
      </c>
      <c r="O1413" t="s">
        <v>1835</v>
      </c>
      <c r="P1413" t="s">
        <v>1835</v>
      </c>
      <c r="Y1413" t="s">
        <v>7169</v>
      </c>
    </row>
    <row r="1414" spans="1:25">
      <c r="A1414" t="s">
        <v>7171</v>
      </c>
      <c r="B1414" t="s">
        <v>7172</v>
      </c>
      <c r="D1414" t="s">
        <v>1832</v>
      </c>
      <c r="E1414" t="s">
        <v>41</v>
      </c>
      <c r="H1414" t="s">
        <v>7173</v>
      </c>
      <c r="J1414" t="s">
        <v>90</v>
      </c>
      <c r="K1414" t="s">
        <v>91</v>
      </c>
      <c r="L1414">
        <v>5</v>
      </c>
      <c r="M1414" t="s">
        <v>7174</v>
      </c>
      <c r="N1414" t="s">
        <v>47</v>
      </c>
      <c r="O1414" t="s">
        <v>1835</v>
      </c>
      <c r="P1414" t="s">
        <v>1835</v>
      </c>
      <c r="Y1414" t="s">
        <v>7173</v>
      </c>
    </row>
    <row r="1415" spans="1:25">
      <c r="A1415" t="s">
        <v>7175</v>
      </c>
      <c r="B1415" t="s">
        <v>7176</v>
      </c>
      <c r="D1415" t="s">
        <v>1832</v>
      </c>
      <c r="E1415" t="s">
        <v>41</v>
      </c>
      <c r="J1415" t="s">
        <v>90</v>
      </c>
      <c r="K1415" t="s">
        <v>91</v>
      </c>
      <c r="L1415">
        <v>5</v>
      </c>
      <c r="M1415" t="s">
        <v>7174</v>
      </c>
      <c r="N1415" t="s">
        <v>47</v>
      </c>
      <c r="O1415" t="s">
        <v>1835</v>
      </c>
      <c r="P1415" t="s">
        <v>1835</v>
      </c>
      <c r="Y1415" t="s">
        <v>7177</v>
      </c>
    </row>
    <row r="1416" spans="1:25">
      <c r="A1416" t="s">
        <v>7178</v>
      </c>
      <c r="B1416" t="s">
        <v>7179</v>
      </c>
      <c r="D1416" t="s">
        <v>1832</v>
      </c>
      <c r="E1416" t="s">
        <v>41</v>
      </c>
      <c r="J1416" t="s">
        <v>44</v>
      </c>
      <c r="K1416" t="s">
        <v>45</v>
      </c>
      <c r="L1416">
        <v>5</v>
      </c>
      <c r="M1416" t="s">
        <v>7180</v>
      </c>
      <c r="N1416" t="s">
        <v>47</v>
      </c>
      <c r="O1416" t="s">
        <v>1835</v>
      </c>
      <c r="P1416" t="s">
        <v>1835</v>
      </c>
      <c r="Y1416" t="s">
        <v>7181</v>
      </c>
    </row>
    <row r="1417" spans="1:25">
      <c r="A1417" t="s">
        <v>7182</v>
      </c>
      <c r="B1417" t="s">
        <v>7183</v>
      </c>
      <c r="D1417" t="s">
        <v>1832</v>
      </c>
      <c r="E1417" t="s">
        <v>41</v>
      </c>
      <c r="J1417" t="s">
        <v>371</v>
      </c>
      <c r="K1417" t="s">
        <v>372</v>
      </c>
      <c r="L1417">
        <v>5</v>
      </c>
      <c r="M1417" t="s">
        <v>7180</v>
      </c>
      <c r="N1417" t="s">
        <v>47</v>
      </c>
      <c r="O1417" t="s">
        <v>1835</v>
      </c>
      <c r="P1417" t="s">
        <v>1835</v>
      </c>
      <c r="Y1417" t="s">
        <v>7184</v>
      </c>
    </row>
    <row r="1418" spans="1:25">
      <c r="A1418" t="s">
        <v>7185</v>
      </c>
      <c r="B1418" t="s">
        <v>7186</v>
      </c>
      <c r="D1418" t="s">
        <v>1832</v>
      </c>
      <c r="E1418" t="s">
        <v>41</v>
      </c>
      <c r="J1418" t="s">
        <v>78</v>
      </c>
      <c r="K1418" t="s">
        <v>79</v>
      </c>
      <c r="L1418">
        <v>5</v>
      </c>
      <c r="M1418" t="s">
        <v>7187</v>
      </c>
      <c r="N1418" t="s">
        <v>47</v>
      </c>
      <c r="O1418" t="s">
        <v>1835</v>
      </c>
      <c r="P1418" t="s">
        <v>1835</v>
      </c>
      <c r="Y1418" t="s">
        <v>7188</v>
      </c>
    </row>
    <row r="1419" spans="1:25">
      <c r="A1419" t="s">
        <v>7189</v>
      </c>
      <c r="B1419" t="s">
        <v>7190</v>
      </c>
      <c r="D1419" t="s">
        <v>1832</v>
      </c>
      <c r="E1419" t="s">
        <v>41</v>
      </c>
      <c r="J1419" t="s">
        <v>78</v>
      </c>
      <c r="K1419" t="s">
        <v>79</v>
      </c>
      <c r="L1419">
        <v>5</v>
      </c>
      <c r="M1419" t="s">
        <v>7191</v>
      </c>
      <c r="N1419" t="s">
        <v>47</v>
      </c>
      <c r="O1419" t="s">
        <v>1835</v>
      </c>
      <c r="P1419" t="s">
        <v>1835</v>
      </c>
      <c r="Y1419" t="s">
        <v>7192</v>
      </c>
    </row>
    <row r="1420" spans="1:25">
      <c r="A1420" t="s">
        <v>7193</v>
      </c>
      <c r="B1420" t="s">
        <v>7194</v>
      </c>
      <c r="D1420" t="s">
        <v>1832</v>
      </c>
      <c r="E1420" t="s">
        <v>41</v>
      </c>
      <c r="J1420" t="s">
        <v>44</v>
      </c>
      <c r="K1420" t="s">
        <v>45</v>
      </c>
      <c r="L1420">
        <v>5</v>
      </c>
      <c r="M1420" t="s">
        <v>7195</v>
      </c>
      <c r="N1420" t="s">
        <v>47</v>
      </c>
      <c r="O1420" t="s">
        <v>1835</v>
      </c>
      <c r="P1420" t="s">
        <v>1835</v>
      </c>
      <c r="Y1420" t="s">
        <v>7196</v>
      </c>
    </row>
    <row r="1421" spans="1:25">
      <c r="A1421" t="s">
        <v>7197</v>
      </c>
      <c r="B1421" t="s">
        <v>7198</v>
      </c>
      <c r="D1421" t="s">
        <v>1832</v>
      </c>
      <c r="E1421" t="s">
        <v>41</v>
      </c>
      <c r="J1421" t="s">
        <v>90</v>
      </c>
      <c r="K1421" t="s">
        <v>91</v>
      </c>
      <c r="L1421">
        <v>5</v>
      </c>
      <c r="M1421" t="s">
        <v>7199</v>
      </c>
      <c r="N1421" t="s">
        <v>47</v>
      </c>
      <c r="O1421" t="s">
        <v>1835</v>
      </c>
      <c r="P1421" t="s">
        <v>1835</v>
      </c>
      <c r="Y1421" t="s">
        <v>7200</v>
      </c>
    </row>
    <row r="1422" spans="1:25">
      <c r="A1422" t="s">
        <v>7201</v>
      </c>
      <c r="B1422" t="s">
        <v>7202</v>
      </c>
      <c r="D1422" t="s">
        <v>1832</v>
      </c>
      <c r="E1422" t="s">
        <v>41</v>
      </c>
      <c r="J1422" t="s">
        <v>90</v>
      </c>
      <c r="K1422" t="s">
        <v>91</v>
      </c>
      <c r="L1422">
        <v>5</v>
      </c>
      <c r="M1422" t="s">
        <v>7203</v>
      </c>
      <c r="N1422" t="s">
        <v>47</v>
      </c>
      <c r="O1422" t="s">
        <v>1835</v>
      </c>
      <c r="P1422" t="s">
        <v>1835</v>
      </c>
      <c r="Y1422" t="s">
        <v>7204</v>
      </c>
    </row>
    <row r="1423" spans="1:25">
      <c r="A1423" t="s">
        <v>7205</v>
      </c>
      <c r="B1423" t="s">
        <v>7206</v>
      </c>
      <c r="D1423" t="s">
        <v>1832</v>
      </c>
      <c r="E1423" t="s">
        <v>41</v>
      </c>
      <c r="H1423" t="s">
        <v>7207</v>
      </c>
      <c r="J1423" t="s">
        <v>234</v>
      </c>
      <c r="K1423" t="s">
        <v>235</v>
      </c>
      <c r="L1423">
        <v>5</v>
      </c>
      <c r="M1423" t="s">
        <v>7208</v>
      </c>
      <c r="N1423" t="s">
        <v>47</v>
      </c>
      <c r="O1423" t="s">
        <v>1835</v>
      </c>
      <c r="P1423" t="s">
        <v>1835</v>
      </c>
      <c r="Y1423" t="s">
        <v>7207</v>
      </c>
    </row>
    <row r="1424" spans="1:25">
      <c r="A1424" t="s">
        <v>7209</v>
      </c>
      <c r="B1424" t="s">
        <v>7210</v>
      </c>
      <c r="D1424" t="s">
        <v>1832</v>
      </c>
      <c r="E1424" t="s">
        <v>41</v>
      </c>
      <c r="J1424" t="s">
        <v>44</v>
      </c>
      <c r="K1424" t="s">
        <v>45</v>
      </c>
      <c r="L1424">
        <v>5</v>
      </c>
      <c r="M1424" t="s">
        <v>7208</v>
      </c>
      <c r="N1424" t="s">
        <v>47</v>
      </c>
      <c r="O1424" t="s">
        <v>1835</v>
      </c>
      <c r="P1424" t="s">
        <v>1835</v>
      </c>
      <c r="Y1424" t="s">
        <v>7211</v>
      </c>
    </row>
    <row r="1425" spans="1:25">
      <c r="A1425" t="s">
        <v>7212</v>
      </c>
      <c r="B1425" t="s">
        <v>7213</v>
      </c>
      <c r="D1425" t="s">
        <v>1832</v>
      </c>
      <c r="E1425" t="s">
        <v>41</v>
      </c>
      <c r="H1425" t="s">
        <v>7214</v>
      </c>
      <c r="J1425" t="s">
        <v>2328</v>
      </c>
      <c r="K1425" t="s">
        <v>2329</v>
      </c>
      <c r="L1425">
        <v>5</v>
      </c>
      <c r="M1425" t="s">
        <v>7208</v>
      </c>
      <c r="N1425" t="s">
        <v>685</v>
      </c>
      <c r="O1425" t="s">
        <v>1835</v>
      </c>
      <c r="P1425" t="s">
        <v>1835</v>
      </c>
      <c r="Y1425" t="s">
        <v>7214</v>
      </c>
    </row>
    <row r="1426" spans="1:25">
      <c r="A1426" t="s">
        <v>7215</v>
      </c>
      <c r="B1426" t="s">
        <v>7216</v>
      </c>
      <c r="D1426" t="s">
        <v>1832</v>
      </c>
      <c r="E1426" t="s">
        <v>41</v>
      </c>
      <c r="J1426" t="s">
        <v>44</v>
      </c>
      <c r="K1426" t="s">
        <v>45</v>
      </c>
      <c r="L1426">
        <v>5</v>
      </c>
      <c r="M1426" t="s">
        <v>7217</v>
      </c>
      <c r="N1426" t="s">
        <v>47</v>
      </c>
      <c r="O1426" t="s">
        <v>1835</v>
      </c>
      <c r="P1426" t="s">
        <v>1835</v>
      </c>
      <c r="Y1426" t="s">
        <v>7218</v>
      </c>
    </row>
    <row r="1427" spans="1:25">
      <c r="A1427" t="s">
        <v>7219</v>
      </c>
      <c r="B1427" t="s">
        <v>7220</v>
      </c>
      <c r="D1427" t="s">
        <v>1832</v>
      </c>
      <c r="E1427" t="s">
        <v>41</v>
      </c>
      <c r="J1427" t="s">
        <v>90</v>
      </c>
      <c r="K1427" t="s">
        <v>91</v>
      </c>
      <c r="L1427">
        <v>5</v>
      </c>
      <c r="M1427" t="s">
        <v>7221</v>
      </c>
      <c r="N1427" t="s">
        <v>47</v>
      </c>
      <c r="O1427" t="s">
        <v>1835</v>
      </c>
      <c r="P1427" t="s">
        <v>1835</v>
      </c>
      <c r="Y1427" t="s">
        <v>7222</v>
      </c>
    </row>
    <row r="1428" spans="1:25">
      <c r="A1428" t="s">
        <v>7223</v>
      </c>
      <c r="B1428" t="s">
        <v>7224</v>
      </c>
      <c r="D1428" t="s">
        <v>1832</v>
      </c>
      <c r="E1428" t="s">
        <v>41</v>
      </c>
      <c r="J1428" t="s">
        <v>44</v>
      </c>
      <c r="K1428" t="s">
        <v>45</v>
      </c>
      <c r="L1428">
        <v>5</v>
      </c>
      <c r="M1428" t="s">
        <v>7225</v>
      </c>
      <c r="N1428" t="s">
        <v>47</v>
      </c>
      <c r="O1428" t="s">
        <v>1835</v>
      </c>
      <c r="P1428" t="s">
        <v>1835</v>
      </c>
      <c r="Y1428" t="s">
        <v>7226</v>
      </c>
    </row>
    <row r="1429" spans="1:25">
      <c r="A1429" t="s">
        <v>7227</v>
      </c>
      <c r="B1429" t="s">
        <v>7228</v>
      </c>
      <c r="D1429" t="s">
        <v>1832</v>
      </c>
      <c r="E1429" t="s">
        <v>41</v>
      </c>
      <c r="J1429" t="s">
        <v>44</v>
      </c>
      <c r="K1429" t="s">
        <v>45</v>
      </c>
      <c r="L1429">
        <v>5</v>
      </c>
      <c r="M1429" t="s">
        <v>7229</v>
      </c>
      <c r="N1429" t="s">
        <v>47</v>
      </c>
      <c r="O1429" t="s">
        <v>1835</v>
      </c>
      <c r="P1429" t="s">
        <v>1835</v>
      </c>
      <c r="Y1429" t="s">
        <v>7230</v>
      </c>
    </row>
    <row r="1430" spans="1:25">
      <c r="A1430" t="s">
        <v>7231</v>
      </c>
      <c r="B1430" t="s">
        <v>7232</v>
      </c>
      <c r="D1430" t="s">
        <v>1832</v>
      </c>
      <c r="E1430" t="s">
        <v>41</v>
      </c>
      <c r="J1430" t="s">
        <v>44</v>
      </c>
      <c r="K1430" t="s">
        <v>45</v>
      </c>
      <c r="L1430">
        <v>5</v>
      </c>
      <c r="M1430" t="s">
        <v>7229</v>
      </c>
      <c r="N1430" t="s">
        <v>47</v>
      </c>
      <c r="O1430" t="s">
        <v>1835</v>
      </c>
      <c r="P1430" t="s">
        <v>1835</v>
      </c>
      <c r="Y1430" t="s">
        <v>7233</v>
      </c>
    </row>
    <row r="1431" spans="1:25">
      <c r="A1431" t="s">
        <v>7234</v>
      </c>
      <c r="B1431" t="s">
        <v>7235</v>
      </c>
      <c r="D1431" t="s">
        <v>1832</v>
      </c>
      <c r="E1431" t="s">
        <v>41</v>
      </c>
      <c r="J1431" t="s">
        <v>78</v>
      </c>
      <c r="K1431" t="s">
        <v>79</v>
      </c>
      <c r="L1431">
        <v>5</v>
      </c>
      <c r="M1431" t="s">
        <v>7236</v>
      </c>
      <c r="N1431" t="s">
        <v>47</v>
      </c>
      <c r="O1431" t="s">
        <v>1835</v>
      </c>
      <c r="P1431" t="s">
        <v>1835</v>
      </c>
      <c r="Y1431" t="s">
        <v>7237</v>
      </c>
    </row>
    <row r="1432" spans="1:25">
      <c r="A1432" t="s">
        <v>7238</v>
      </c>
      <c r="B1432" t="s">
        <v>7239</v>
      </c>
      <c r="D1432" t="s">
        <v>1832</v>
      </c>
      <c r="E1432" t="s">
        <v>41</v>
      </c>
      <c r="J1432" t="s">
        <v>371</v>
      </c>
      <c r="K1432" t="s">
        <v>372</v>
      </c>
      <c r="L1432">
        <v>5</v>
      </c>
      <c r="M1432" t="s">
        <v>7236</v>
      </c>
      <c r="N1432" t="s">
        <v>47</v>
      </c>
      <c r="O1432" t="s">
        <v>1835</v>
      </c>
      <c r="P1432" t="s">
        <v>1835</v>
      </c>
      <c r="Y1432" t="s">
        <v>7240</v>
      </c>
    </row>
    <row r="1433" spans="1:25">
      <c r="A1433" t="s">
        <v>7241</v>
      </c>
      <c r="B1433" t="s">
        <v>7242</v>
      </c>
      <c r="D1433" t="s">
        <v>1832</v>
      </c>
      <c r="E1433" t="s">
        <v>41</v>
      </c>
      <c r="J1433" t="s">
        <v>44</v>
      </c>
      <c r="K1433" t="s">
        <v>45</v>
      </c>
      <c r="L1433">
        <v>5</v>
      </c>
      <c r="M1433" t="s">
        <v>7236</v>
      </c>
      <c r="N1433" t="s">
        <v>47</v>
      </c>
      <c r="O1433" t="s">
        <v>1835</v>
      </c>
      <c r="P1433" t="s">
        <v>1835</v>
      </c>
      <c r="Y1433" t="s">
        <v>7243</v>
      </c>
    </row>
    <row r="1434" spans="1:25">
      <c r="A1434" t="s">
        <v>7244</v>
      </c>
      <c r="B1434" t="s">
        <v>7245</v>
      </c>
      <c r="D1434" t="s">
        <v>1832</v>
      </c>
      <c r="E1434" t="s">
        <v>41</v>
      </c>
      <c r="H1434" t="s">
        <v>7246</v>
      </c>
      <c r="J1434" t="s">
        <v>497</v>
      </c>
      <c r="K1434" t="s">
        <v>498</v>
      </c>
      <c r="L1434">
        <v>5</v>
      </c>
      <c r="M1434" t="s">
        <v>7236</v>
      </c>
      <c r="N1434" t="s">
        <v>290</v>
      </c>
      <c r="O1434" t="s">
        <v>1835</v>
      </c>
      <c r="P1434" t="s">
        <v>1835</v>
      </c>
      <c r="Y1434" t="s">
        <v>7246</v>
      </c>
    </row>
    <row r="1435" spans="1:25">
      <c r="A1435" t="s">
        <v>7247</v>
      </c>
      <c r="B1435" t="s">
        <v>7248</v>
      </c>
      <c r="D1435" t="s">
        <v>1832</v>
      </c>
      <c r="E1435" t="s">
        <v>41</v>
      </c>
      <c r="H1435" t="s">
        <v>7249</v>
      </c>
      <c r="J1435" t="s">
        <v>7250</v>
      </c>
      <c r="K1435" t="s">
        <v>7251</v>
      </c>
      <c r="L1435">
        <v>5</v>
      </c>
      <c r="M1435" t="s">
        <v>7236</v>
      </c>
      <c r="N1435" t="s">
        <v>135</v>
      </c>
      <c r="O1435" t="s">
        <v>1835</v>
      </c>
      <c r="P1435" t="s">
        <v>1835</v>
      </c>
      <c r="Y1435" t="s">
        <v>7249</v>
      </c>
    </row>
    <row r="1436" spans="1:25">
      <c r="A1436" t="s">
        <v>7252</v>
      </c>
      <c r="B1436" t="s">
        <v>7253</v>
      </c>
      <c r="D1436" t="s">
        <v>1832</v>
      </c>
      <c r="E1436" t="s">
        <v>41</v>
      </c>
      <c r="H1436" t="s">
        <v>7254</v>
      </c>
      <c r="J1436" t="s">
        <v>90</v>
      </c>
      <c r="K1436" t="s">
        <v>91</v>
      </c>
      <c r="L1436">
        <v>5</v>
      </c>
      <c r="M1436" t="s">
        <v>7255</v>
      </c>
      <c r="N1436" t="s">
        <v>47</v>
      </c>
      <c r="O1436" t="s">
        <v>1835</v>
      </c>
      <c r="P1436" t="s">
        <v>1835</v>
      </c>
      <c r="Y1436" t="s">
        <v>7254</v>
      </c>
    </row>
    <row r="1437" spans="1:25">
      <c r="A1437" t="s">
        <v>7256</v>
      </c>
      <c r="B1437" t="s">
        <v>7257</v>
      </c>
      <c r="D1437" t="s">
        <v>1832</v>
      </c>
      <c r="E1437" t="s">
        <v>41</v>
      </c>
      <c r="J1437" t="s">
        <v>90</v>
      </c>
      <c r="K1437" t="s">
        <v>91</v>
      </c>
      <c r="L1437">
        <v>5</v>
      </c>
      <c r="M1437" t="s">
        <v>7255</v>
      </c>
      <c r="N1437" t="s">
        <v>47</v>
      </c>
      <c r="O1437" t="s">
        <v>1835</v>
      </c>
      <c r="P1437" t="s">
        <v>1835</v>
      </c>
      <c r="Y1437" t="s">
        <v>7258</v>
      </c>
    </row>
    <row r="1438" spans="1:25">
      <c r="A1438" t="s">
        <v>7259</v>
      </c>
      <c r="B1438" t="s">
        <v>7260</v>
      </c>
      <c r="D1438" t="s">
        <v>1832</v>
      </c>
      <c r="E1438" t="s">
        <v>41</v>
      </c>
      <c r="J1438" t="s">
        <v>44</v>
      </c>
      <c r="K1438" t="s">
        <v>45</v>
      </c>
      <c r="L1438">
        <v>5</v>
      </c>
      <c r="M1438" t="s">
        <v>7255</v>
      </c>
      <c r="N1438" t="s">
        <v>47</v>
      </c>
      <c r="O1438" t="s">
        <v>1835</v>
      </c>
      <c r="P1438" t="s">
        <v>1835</v>
      </c>
      <c r="Y1438" t="s">
        <v>7261</v>
      </c>
    </row>
    <row r="1439" spans="1:25">
      <c r="A1439" t="s">
        <v>7262</v>
      </c>
      <c r="B1439" t="s">
        <v>7263</v>
      </c>
      <c r="D1439" t="s">
        <v>1832</v>
      </c>
      <c r="E1439" t="s">
        <v>41</v>
      </c>
      <c r="J1439" t="s">
        <v>44</v>
      </c>
      <c r="K1439" t="s">
        <v>45</v>
      </c>
      <c r="L1439">
        <v>5</v>
      </c>
      <c r="M1439" t="s">
        <v>7255</v>
      </c>
      <c r="N1439" t="s">
        <v>47</v>
      </c>
      <c r="O1439" t="s">
        <v>1835</v>
      </c>
      <c r="P1439" t="s">
        <v>1835</v>
      </c>
      <c r="Y1439" t="s">
        <v>7264</v>
      </c>
    </row>
    <row r="1440" spans="1:25">
      <c r="A1440" t="s">
        <v>7265</v>
      </c>
      <c r="B1440" t="s">
        <v>7266</v>
      </c>
      <c r="D1440" t="s">
        <v>1832</v>
      </c>
      <c r="E1440" t="s">
        <v>41</v>
      </c>
      <c r="H1440" t="s">
        <v>7267</v>
      </c>
      <c r="J1440" t="s">
        <v>78</v>
      </c>
      <c r="K1440" t="s">
        <v>79</v>
      </c>
      <c r="L1440">
        <v>5</v>
      </c>
      <c r="M1440" t="s">
        <v>7268</v>
      </c>
      <c r="N1440" t="s">
        <v>47</v>
      </c>
      <c r="O1440" t="s">
        <v>1835</v>
      </c>
      <c r="P1440" t="s">
        <v>1835</v>
      </c>
      <c r="Y1440" t="s">
        <v>7267</v>
      </c>
    </row>
    <row r="1441" spans="1:25">
      <c r="A1441" t="s">
        <v>7269</v>
      </c>
      <c r="B1441" t="s">
        <v>7270</v>
      </c>
      <c r="D1441" t="s">
        <v>1832</v>
      </c>
      <c r="E1441" t="s">
        <v>41</v>
      </c>
      <c r="J1441" t="s">
        <v>44</v>
      </c>
      <c r="K1441" t="s">
        <v>45</v>
      </c>
      <c r="L1441">
        <v>5</v>
      </c>
      <c r="M1441" t="s">
        <v>7271</v>
      </c>
      <c r="N1441" t="s">
        <v>47</v>
      </c>
      <c r="O1441" t="s">
        <v>1835</v>
      </c>
      <c r="P1441" t="s">
        <v>1835</v>
      </c>
      <c r="Y1441" t="s">
        <v>7272</v>
      </c>
    </row>
    <row r="1442" spans="1:25">
      <c r="A1442" t="s">
        <v>7273</v>
      </c>
      <c r="B1442" t="s">
        <v>7274</v>
      </c>
      <c r="D1442" t="s">
        <v>1832</v>
      </c>
      <c r="E1442" t="s">
        <v>41</v>
      </c>
      <c r="J1442" t="s">
        <v>133</v>
      </c>
      <c r="K1442" t="s">
        <v>134</v>
      </c>
      <c r="L1442">
        <v>5</v>
      </c>
      <c r="M1442" t="s">
        <v>7275</v>
      </c>
      <c r="N1442" t="s">
        <v>135</v>
      </c>
      <c r="O1442" t="s">
        <v>1835</v>
      </c>
      <c r="P1442" t="s">
        <v>1835</v>
      </c>
      <c r="Y1442" t="s">
        <v>7276</v>
      </c>
    </row>
    <row r="1443" spans="1:25">
      <c r="A1443" t="s">
        <v>7277</v>
      </c>
      <c r="B1443" t="s">
        <v>7278</v>
      </c>
      <c r="D1443" t="s">
        <v>1832</v>
      </c>
      <c r="E1443" t="s">
        <v>41</v>
      </c>
      <c r="J1443" t="s">
        <v>44</v>
      </c>
      <c r="K1443" t="s">
        <v>45</v>
      </c>
      <c r="L1443">
        <v>5</v>
      </c>
      <c r="M1443" t="s">
        <v>7279</v>
      </c>
      <c r="N1443" t="s">
        <v>47</v>
      </c>
      <c r="O1443" t="s">
        <v>1835</v>
      </c>
      <c r="P1443" t="s">
        <v>1835</v>
      </c>
      <c r="Y1443" t="s">
        <v>7280</v>
      </c>
    </row>
    <row r="1444" spans="1:25">
      <c r="A1444" t="s">
        <v>7281</v>
      </c>
      <c r="B1444" t="s">
        <v>7282</v>
      </c>
      <c r="D1444" t="s">
        <v>1832</v>
      </c>
      <c r="E1444" t="s">
        <v>41</v>
      </c>
      <c r="J1444" t="s">
        <v>78</v>
      </c>
      <c r="K1444" t="s">
        <v>79</v>
      </c>
      <c r="L1444">
        <v>5</v>
      </c>
      <c r="M1444" t="s">
        <v>7279</v>
      </c>
      <c r="N1444" t="s">
        <v>47</v>
      </c>
      <c r="O1444" t="s">
        <v>1835</v>
      </c>
      <c r="P1444" t="s">
        <v>1835</v>
      </c>
      <c r="Y1444" t="s">
        <v>7283</v>
      </c>
    </row>
    <row r="1445" spans="1:25">
      <c r="A1445" t="s">
        <v>7284</v>
      </c>
      <c r="B1445" t="s">
        <v>7285</v>
      </c>
      <c r="D1445" t="s">
        <v>1832</v>
      </c>
      <c r="E1445" t="s">
        <v>41</v>
      </c>
      <c r="J1445" t="s">
        <v>90</v>
      </c>
      <c r="K1445" t="s">
        <v>91</v>
      </c>
      <c r="L1445">
        <v>5</v>
      </c>
      <c r="M1445" t="s">
        <v>7279</v>
      </c>
      <c r="N1445" t="s">
        <v>47</v>
      </c>
      <c r="O1445" t="s">
        <v>1835</v>
      </c>
      <c r="P1445" t="s">
        <v>1835</v>
      </c>
      <c r="Y1445" t="s">
        <v>7286</v>
      </c>
    </row>
    <row r="1446" spans="1:25">
      <c r="A1446" t="s">
        <v>7287</v>
      </c>
      <c r="B1446" t="s">
        <v>7288</v>
      </c>
      <c r="D1446" t="s">
        <v>1832</v>
      </c>
      <c r="E1446" t="s">
        <v>41</v>
      </c>
      <c r="J1446" t="s">
        <v>90</v>
      </c>
      <c r="K1446" t="s">
        <v>91</v>
      </c>
      <c r="L1446">
        <v>5</v>
      </c>
      <c r="M1446" t="s">
        <v>7289</v>
      </c>
      <c r="N1446" t="s">
        <v>47</v>
      </c>
      <c r="O1446" t="s">
        <v>1835</v>
      </c>
      <c r="P1446" t="s">
        <v>1835</v>
      </c>
      <c r="Y1446" t="s">
        <v>7290</v>
      </c>
    </row>
    <row r="1447" spans="1:25">
      <c r="A1447" t="s">
        <v>7291</v>
      </c>
      <c r="B1447" t="s">
        <v>7292</v>
      </c>
      <c r="D1447" t="s">
        <v>1832</v>
      </c>
      <c r="E1447" t="s">
        <v>41</v>
      </c>
      <c r="H1447" t="s">
        <v>7293</v>
      </c>
      <c r="J1447" t="s">
        <v>371</v>
      </c>
      <c r="K1447" t="s">
        <v>372</v>
      </c>
      <c r="L1447">
        <v>5</v>
      </c>
      <c r="M1447" t="s">
        <v>7294</v>
      </c>
      <c r="N1447" t="s">
        <v>47</v>
      </c>
      <c r="O1447" t="s">
        <v>1835</v>
      </c>
      <c r="P1447" t="s">
        <v>1835</v>
      </c>
      <c r="Y1447" t="s">
        <v>7293</v>
      </c>
    </row>
    <row r="1448" spans="1:25">
      <c r="A1448" t="s">
        <v>7295</v>
      </c>
      <c r="B1448" t="s">
        <v>7296</v>
      </c>
      <c r="D1448" t="s">
        <v>1832</v>
      </c>
      <c r="E1448" t="s">
        <v>41</v>
      </c>
      <c r="J1448" t="s">
        <v>44</v>
      </c>
      <c r="K1448" t="s">
        <v>45</v>
      </c>
      <c r="L1448">
        <v>5</v>
      </c>
      <c r="M1448" t="s">
        <v>7297</v>
      </c>
      <c r="N1448" t="s">
        <v>47</v>
      </c>
      <c r="O1448" t="s">
        <v>1835</v>
      </c>
      <c r="P1448" t="s">
        <v>1835</v>
      </c>
      <c r="Y1448" t="s">
        <v>7298</v>
      </c>
    </row>
    <row r="1449" spans="1:25">
      <c r="A1449" t="s">
        <v>7299</v>
      </c>
      <c r="B1449" t="s">
        <v>7300</v>
      </c>
      <c r="D1449" t="s">
        <v>1832</v>
      </c>
      <c r="E1449" t="s">
        <v>41</v>
      </c>
      <c r="J1449" t="s">
        <v>133</v>
      </c>
      <c r="K1449" t="s">
        <v>134</v>
      </c>
      <c r="L1449">
        <v>5</v>
      </c>
      <c r="M1449" t="s">
        <v>7297</v>
      </c>
      <c r="N1449" t="s">
        <v>135</v>
      </c>
      <c r="O1449" t="s">
        <v>1835</v>
      </c>
      <c r="P1449" t="s">
        <v>1835</v>
      </c>
      <c r="Y1449" t="s">
        <v>7301</v>
      </c>
    </row>
    <row r="1450" spans="1:25">
      <c r="A1450" t="s">
        <v>7302</v>
      </c>
      <c r="B1450" t="s">
        <v>7303</v>
      </c>
      <c r="D1450" t="s">
        <v>1832</v>
      </c>
      <c r="E1450" t="s">
        <v>41</v>
      </c>
      <c r="J1450" t="s">
        <v>90</v>
      </c>
      <c r="K1450" t="s">
        <v>91</v>
      </c>
      <c r="L1450">
        <v>5</v>
      </c>
      <c r="M1450" t="s">
        <v>7304</v>
      </c>
      <c r="N1450" t="s">
        <v>47</v>
      </c>
      <c r="O1450" t="s">
        <v>1835</v>
      </c>
      <c r="P1450" t="s">
        <v>1835</v>
      </c>
      <c r="Y1450" t="s">
        <v>7305</v>
      </c>
    </row>
    <row r="1451" spans="1:25">
      <c r="A1451" t="s">
        <v>7306</v>
      </c>
      <c r="B1451" t="s">
        <v>7307</v>
      </c>
      <c r="D1451" t="s">
        <v>1832</v>
      </c>
      <c r="E1451" t="s">
        <v>41</v>
      </c>
      <c r="H1451" t="s">
        <v>7308</v>
      </c>
      <c r="J1451" t="s">
        <v>133</v>
      </c>
      <c r="K1451" t="s">
        <v>134</v>
      </c>
      <c r="L1451">
        <v>5</v>
      </c>
      <c r="M1451" t="s">
        <v>7309</v>
      </c>
      <c r="N1451" t="s">
        <v>685</v>
      </c>
      <c r="O1451" t="s">
        <v>1835</v>
      </c>
      <c r="P1451" t="s">
        <v>1835</v>
      </c>
      <c r="Y1451" t="s">
        <v>7308</v>
      </c>
    </row>
    <row r="1452" spans="1:25">
      <c r="A1452" t="s">
        <v>7310</v>
      </c>
      <c r="B1452" t="s">
        <v>7311</v>
      </c>
      <c r="D1452" t="s">
        <v>1832</v>
      </c>
      <c r="E1452" t="s">
        <v>41</v>
      </c>
      <c r="J1452" t="s">
        <v>44</v>
      </c>
      <c r="K1452" t="s">
        <v>45</v>
      </c>
      <c r="L1452">
        <v>5</v>
      </c>
      <c r="M1452" t="s">
        <v>7312</v>
      </c>
      <c r="N1452" t="s">
        <v>47</v>
      </c>
      <c r="O1452" t="s">
        <v>1835</v>
      </c>
      <c r="P1452" t="s">
        <v>1835</v>
      </c>
      <c r="Y1452" t="s">
        <v>7313</v>
      </c>
    </row>
    <row r="1453" spans="1:25">
      <c r="A1453" t="s">
        <v>7314</v>
      </c>
      <c r="B1453" t="s">
        <v>7315</v>
      </c>
      <c r="D1453" t="s">
        <v>1832</v>
      </c>
      <c r="E1453" t="s">
        <v>41</v>
      </c>
      <c r="H1453" t="s">
        <v>7316</v>
      </c>
      <c r="J1453" t="s">
        <v>90</v>
      </c>
      <c r="K1453" t="s">
        <v>91</v>
      </c>
      <c r="L1453">
        <v>5</v>
      </c>
      <c r="M1453" t="s">
        <v>7317</v>
      </c>
      <c r="N1453" t="s">
        <v>47</v>
      </c>
      <c r="O1453" t="s">
        <v>1835</v>
      </c>
      <c r="P1453" t="s">
        <v>1835</v>
      </c>
      <c r="Y1453" t="s">
        <v>7316</v>
      </c>
    </row>
    <row r="1454" spans="1:25">
      <c r="A1454" t="s">
        <v>7318</v>
      </c>
      <c r="B1454" t="s">
        <v>7319</v>
      </c>
      <c r="D1454" t="s">
        <v>1832</v>
      </c>
      <c r="E1454" t="s">
        <v>41</v>
      </c>
      <c r="J1454" t="s">
        <v>44</v>
      </c>
      <c r="K1454" t="s">
        <v>45</v>
      </c>
      <c r="L1454">
        <v>5</v>
      </c>
      <c r="M1454" t="s">
        <v>7317</v>
      </c>
      <c r="N1454" t="s">
        <v>47</v>
      </c>
      <c r="O1454" t="s">
        <v>1835</v>
      </c>
      <c r="P1454" t="s">
        <v>1835</v>
      </c>
      <c r="Y1454" t="s">
        <v>7320</v>
      </c>
    </row>
    <row r="1455" spans="1:25">
      <c r="A1455" t="s">
        <v>7321</v>
      </c>
      <c r="B1455" t="s">
        <v>7322</v>
      </c>
      <c r="D1455" t="s">
        <v>1832</v>
      </c>
      <c r="E1455" t="s">
        <v>41</v>
      </c>
      <c r="J1455" t="s">
        <v>44</v>
      </c>
      <c r="K1455" t="s">
        <v>45</v>
      </c>
      <c r="L1455">
        <v>5</v>
      </c>
      <c r="M1455" t="s">
        <v>7323</v>
      </c>
      <c r="N1455" t="s">
        <v>47</v>
      </c>
      <c r="O1455" t="s">
        <v>1835</v>
      </c>
      <c r="P1455" t="s">
        <v>1835</v>
      </c>
      <c r="Y1455" t="s">
        <v>7324</v>
      </c>
    </row>
    <row r="1456" spans="1:25">
      <c r="A1456" t="s">
        <v>7325</v>
      </c>
      <c r="B1456" t="s">
        <v>7326</v>
      </c>
      <c r="D1456" t="s">
        <v>1832</v>
      </c>
      <c r="E1456" t="s">
        <v>41</v>
      </c>
      <c r="J1456" t="s">
        <v>44</v>
      </c>
      <c r="K1456" t="s">
        <v>45</v>
      </c>
      <c r="L1456">
        <v>5</v>
      </c>
      <c r="M1456" t="s">
        <v>7327</v>
      </c>
      <c r="N1456" t="s">
        <v>47</v>
      </c>
      <c r="O1456" t="s">
        <v>1835</v>
      </c>
      <c r="P1456" t="s">
        <v>1835</v>
      </c>
      <c r="Y1456" t="s">
        <v>7328</v>
      </c>
    </row>
    <row r="1457" spans="1:25">
      <c r="A1457" t="s">
        <v>7329</v>
      </c>
      <c r="B1457" t="s">
        <v>7330</v>
      </c>
      <c r="D1457" t="s">
        <v>1832</v>
      </c>
      <c r="E1457" t="s">
        <v>41</v>
      </c>
      <c r="J1457" t="s">
        <v>133</v>
      </c>
      <c r="K1457" t="s">
        <v>134</v>
      </c>
      <c r="L1457">
        <v>5</v>
      </c>
      <c r="M1457" t="s">
        <v>7327</v>
      </c>
      <c r="N1457" t="s">
        <v>290</v>
      </c>
      <c r="O1457" t="s">
        <v>1835</v>
      </c>
      <c r="P1457" t="s">
        <v>1835</v>
      </c>
      <c r="Y1457" t="s">
        <v>7331</v>
      </c>
    </row>
    <row r="1458" spans="1:25">
      <c r="A1458" t="s">
        <v>7332</v>
      </c>
      <c r="B1458" t="s">
        <v>7333</v>
      </c>
      <c r="D1458" t="s">
        <v>1832</v>
      </c>
      <c r="E1458" t="s">
        <v>41</v>
      </c>
      <c r="J1458" t="s">
        <v>54</v>
      </c>
      <c r="K1458" t="s">
        <v>55</v>
      </c>
      <c r="L1458">
        <v>5</v>
      </c>
      <c r="M1458" t="s">
        <v>7327</v>
      </c>
      <c r="N1458" t="s">
        <v>47</v>
      </c>
      <c r="O1458" t="s">
        <v>1835</v>
      </c>
      <c r="P1458" t="s">
        <v>1835</v>
      </c>
      <c r="Y1458" t="s">
        <v>7334</v>
      </c>
    </row>
    <row r="1459" spans="1:25">
      <c r="A1459" t="s">
        <v>7335</v>
      </c>
      <c r="B1459" t="s">
        <v>7336</v>
      </c>
      <c r="D1459" t="s">
        <v>1832</v>
      </c>
      <c r="E1459" t="s">
        <v>41</v>
      </c>
      <c r="J1459" t="s">
        <v>371</v>
      </c>
      <c r="K1459" t="s">
        <v>372</v>
      </c>
      <c r="L1459">
        <v>5</v>
      </c>
      <c r="M1459" t="s">
        <v>7337</v>
      </c>
      <c r="N1459" t="s">
        <v>47</v>
      </c>
      <c r="O1459" t="s">
        <v>1835</v>
      </c>
      <c r="P1459" t="s">
        <v>1835</v>
      </c>
      <c r="Y1459" t="s">
        <v>7338</v>
      </c>
    </row>
    <row r="1460" spans="1:25">
      <c r="A1460" t="s">
        <v>7339</v>
      </c>
      <c r="B1460" t="s">
        <v>7340</v>
      </c>
      <c r="D1460" t="s">
        <v>1832</v>
      </c>
      <c r="E1460" t="s">
        <v>41</v>
      </c>
      <c r="J1460" t="s">
        <v>90</v>
      </c>
      <c r="K1460" t="s">
        <v>91</v>
      </c>
      <c r="L1460">
        <v>5</v>
      </c>
      <c r="M1460" t="s">
        <v>7341</v>
      </c>
      <c r="N1460" t="s">
        <v>47</v>
      </c>
      <c r="O1460" t="s">
        <v>1835</v>
      </c>
      <c r="P1460" t="s">
        <v>1835</v>
      </c>
      <c r="Y1460" t="s">
        <v>7342</v>
      </c>
    </row>
    <row r="1461" spans="1:25">
      <c r="A1461" t="s">
        <v>7343</v>
      </c>
      <c r="B1461" t="s">
        <v>7344</v>
      </c>
      <c r="D1461" t="s">
        <v>1832</v>
      </c>
      <c r="E1461" t="s">
        <v>41</v>
      </c>
      <c r="J1461" t="s">
        <v>78</v>
      </c>
      <c r="K1461" t="s">
        <v>79</v>
      </c>
      <c r="L1461">
        <v>5</v>
      </c>
      <c r="M1461" t="s">
        <v>7345</v>
      </c>
      <c r="N1461" t="s">
        <v>47</v>
      </c>
      <c r="O1461" t="s">
        <v>1835</v>
      </c>
      <c r="P1461" t="s">
        <v>1835</v>
      </c>
      <c r="Y1461" t="s">
        <v>7346</v>
      </c>
    </row>
    <row r="1462" spans="1:25">
      <c r="A1462" t="s">
        <v>7347</v>
      </c>
      <c r="B1462" t="s">
        <v>7348</v>
      </c>
      <c r="D1462" t="s">
        <v>1832</v>
      </c>
      <c r="E1462" t="s">
        <v>41</v>
      </c>
      <c r="J1462" t="s">
        <v>44</v>
      </c>
      <c r="K1462" t="s">
        <v>45</v>
      </c>
      <c r="L1462">
        <v>5</v>
      </c>
      <c r="M1462" t="s">
        <v>7349</v>
      </c>
      <c r="N1462" t="s">
        <v>47</v>
      </c>
      <c r="O1462" t="s">
        <v>1835</v>
      </c>
      <c r="P1462" t="s">
        <v>1835</v>
      </c>
      <c r="Y1462" t="s">
        <v>7350</v>
      </c>
    </row>
    <row r="1463" spans="1:25">
      <c r="A1463" t="s">
        <v>7351</v>
      </c>
      <c r="B1463" t="s">
        <v>7352</v>
      </c>
      <c r="D1463" t="s">
        <v>1832</v>
      </c>
      <c r="E1463" t="s">
        <v>41</v>
      </c>
      <c r="H1463" t="s">
        <v>7353</v>
      </c>
      <c r="J1463" t="s">
        <v>90</v>
      </c>
      <c r="K1463" t="s">
        <v>91</v>
      </c>
      <c r="L1463">
        <v>5</v>
      </c>
      <c r="M1463" t="s">
        <v>7354</v>
      </c>
      <c r="N1463" t="s">
        <v>47</v>
      </c>
      <c r="O1463" t="s">
        <v>1835</v>
      </c>
      <c r="P1463" t="s">
        <v>1835</v>
      </c>
      <c r="Y1463" t="s">
        <v>7353</v>
      </c>
    </row>
    <row r="1464" spans="1:25">
      <c r="A1464" t="s">
        <v>7355</v>
      </c>
      <c r="B1464" t="s">
        <v>7356</v>
      </c>
      <c r="D1464" t="s">
        <v>1832</v>
      </c>
      <c r="E1464" t="s">
        <v>41</v>
      </c>
      <c r="H1464" t="s">
        <v>7357</v>
      </c>
      <c r="J1464" t="s">
        <v>133</v>
      </c>
      <c r="K1464" t="s">
        <v>134</v>
      </c>
      <c r="L1464">
        <v>6</v>
      </c>
      <c r="M1464" t="s">
        <v>7358</v>
      </c>
      <c r="N1464" t="s">
        <v>135</v>
      </c>
      <c r="O1464" t="s">
        <v>1835</v>
      </c>
      <c r="P1464" t="s">
        <v>1835</v>
      </c>
      <c r="Y1464" t="s">
        <v>7357</v>
      </c>
    </row>
    <row r="1465" spans="1:25">
      <c r="A1465" t="s">
        <v>7359</v>
      </c>
      <c r="B1465" t="s">
        <v>7360</v>
      </c>
      <c r="D1465" t="s">
        <v>1832</v>
      </c>
      <c r="E1465" t="s">
        <v>41</v>
      </c>
      <c r="J1465" t="s">
        <v>54</v>
      </c>
      <c r="K1465" t="s">
        <v>55</v>
      </c>
      <c r="L1465">
        <v>5</v>
      </c>
      <c r="M1465" t="s">
        <v>7361</v>
      </c>
      <c r="N1465" t="s">
        <v>47</v>
      </c>
      <c r="O1465" t="s">
        <v>1835</v>
      </c>
      <c r="P1465" t="s">
        <v>1835</v>
      </c>
      <c r="Y1465" t="s">
        <v>7362</v>
      </c>
    </row>
    <row r="1466" spans="1:25">
      <c r="A1466" t="s">
        <v>7363</v>
      </c>
      <c r="B1466" t="s">
        <v>7364</v>
      </c>
      <c r="D1466" t="s">
        <v>1832</v>
      </c>
      <c r="E1466" t="s">
        <v>41</v>
      </c>
      <c r="H1466" t="s">
        <v>7365</v>
      </c>
      <c r="J1466" t="s">
        <v>371</v>
      </c>
      <c r="K1466" t="s">
        <v>372</v>
      </c>
      <c r="L1466">
        <v>5</v>
      </c>
      <c r="M1466" t="s">
        <v>7361</v>
      </c>
      <c r="N1466" t="s">
        <v>47</v>
      </c>
      <c r="O1466" t="s">
        <v>1835</v>
      </c>
      <c r="P1466" t="s">
        <v>1835</v>
      </c>
      <c r="Y1466" t="s">
        <v>7365</v>
      </c>
    </row>
    <row r="1467" spans="1:25">
      <c r="A1467" t="s">
        <v>7366</v>
      </c>
      <c r="B1467" t="s">
        <v>7367</v>
      </c>
      <c r="D1467" t="s">
        <v>1832</v>
      </c>
      <c r="E1467" t="s">
        <v>41</v>
      </c>
      <c r="J1467" t="s">
        <v>44</v>
      </c>
      <c r="K1467" t="s">
        <v>45</v>
      </c>
      <c r="L1467">
        <v>5</v>
      </c>
      <c r="M1467" t="s">
        <v>7368</v>
      </c>
      <c r="N1467" t="s">
        <v>47</v>
      </c>
      <c r="O1467" t="s">
        <v>1835</v>
      </c>
      <c r="P1467" t="s">
        <v>1835</v>
      </c>
      <c r="Y1467" t="s">
        <v>7369</v>
      </c>
    </row>
    <row r="1468" spans="1:25">
      <c r="A1468" t="s">
        <v>7370</v>
      </c>
      <c r="B1468" t="s">
        <v>7371</v>
      </c>
      <c r="D1468" t="s">
        <v>1832</v>
      </c>
      <c r="E1468" t="s">
        <v>41</v>
      </c>
      <c r="J1468" t="s">
        <v>54</v>
      </c>
      <c r="K1468" t="s">
        <v>55</v>
      </c>
      <c r="L1468">
        <v>5</v>
      </c>
      <c r="M1468" t="s">
        <v>7372</v>
      </c>
      <c r="N1468" t="s">
        <v>47</v>
      </c>
      <c r="O1468" t="s">
        <v>1835</v>
      </c>
      <c r="P1468" t="s">
        <v>1835</v>
      </c>
      <c r="Y1468" t="s">
        <v>7373</v>
      </c>
    </row>
    <row r="1469" spans="1:25">
      <c r="A1469" t="s">
        <v>7374</v>
      </c>
      <c r="B1469" t="s">
        <v>7375</v>
      </c>
      <c r="D1469" t="s">
        <v>1832</v>
      </c>
      <c r="E1469" t="s">
        <v>41</v>
      </c>
      <c r="J1469" t="s">
        <v>90</v>
      </c>
      <c r="K1469" t="s">
        <v>91</v>
      </c>
      <c r="L1469">
        <v>5</v>
      </c>
      <c r="M1469" t="s">
        <v>7376</v>
      </c>
      <c r="N1469" t="s">
        <v>47</v>
      </c>
      <c r="O1469" t="s">
        <v>1835</v>
      </c>
      <c r="P1469" t="s">
        <v>1835</v>
      </c>
      <c r="Y1469" t="s">
        <v>7377</v>
      </c>
    </row>
    <row r="1470" spans="1:25">
      <c r="A1470" t="s">
        <v>7378</v>
      </c>
      <c r="B1470" t="s">
        <v>7379</v>
      </c>
      <c r="D1470" t="s">
        <v>1832</v>
      </c>
      <c r="E1470" t="s">
        <v>41</v>
      </c>
      <c r="J1470" t="s">
        <v>90</v>
      </c>
      <c r="K1470" t="s">
        <v>91</v>
      </c>
      <c r="L1470">
        <v>5</v>
      </c>
      <c r="M1470" t="s">
        <v>7380</v>
      </c>
      <c r="N1470" t="s">
        <v>47</v>
      </c>
      <c r="O1470" t="s">
        <v>1835</v>
      </c>
      <c r="P1470" t="s">
        <v>1835</v>
      </c>
      <c r="Y1470" t="s">
        <v>7381</v>
      </c>
    </row>
    <row r="1471" spans="1:25">
      <c r="A1471" t="s">
        <v>7382</v>
      </c>
      <c r="B1471" t="s">
        <v>7383</v>
      </c>
      <c r="D1471" t="s">
        <v>1832</v>
      </c>
      <c r="E1471" t="s">
        <v>41</v>
      </c>
      <c r="J1471" t="s">
        <v>133</v>
      </c>
      <c r="K1471" t="s">
        <v>134</v>
      </c>
      <c r="L1471">
        <v>5</v>
      </c>
      <c r="M1471" t="s">
        <v>7384</v>
      </c>
      <c r="N1471" t="s">
        <v>685</v>
      </c>
      <c r="O1471" t="s">
        <v>1835</v>
      </c>
      <c r="P1471" t="s">
        <v>1835</v>
      </c>
      <c r="Y1471" t="s">
        <v>7385</v>
      </c>
    </row>
    <row r="1472" spans="1:25">
      <c r="A1472" t="s">
        <v>7386</v>
      </c>
      <c r="B1472" t="s">
        <v>7387</v>
      </c>
      <c r="D1472" t="s">
        <v>1832</v>
      </c>
      <c r="E1472" t="s">
        <v>41</v>
      </c>
      <c r="J1472" t="s">
        <v>54</v>
      </c>
      <c r="K1472" t="s">
        <v>55</v>
      </c>
      <c r="L1472">
        <v>5</v>
      </c>
      <c r="M1472" t="s">
        <v>7384</v>
      </c>
      <c r="N1472" t="s">
        <v>47</v>
      </c>
      <c r="O1472" t="s">
        <v>1835</v>
      </c>
      <c r="P1472" t="s">
        <v>1835</v>
      </c>
      <c r="Y1472" t="s">
        <v>7388</v>
      </c>
    </row>
    <row r="1473" spans="1:25">
      <c r="A1473" t="s">
        <v>7389</v>
      </c>
      <c r="B1473" t="s">
        <v>7390</v>
      </c>
      <c r="D1473" t="s">
        <v>1832</v>
      </c>
      <c r="E1473" t="s">
        <v>41</v>
      </c>
      <c r="J1473" t="s">
        <v>90</v>
      </c>
      <c r="K1473" t="s">
        <v>91</v>
      </c>
      <c r="L1473">
        <v>5</v>
      </c>
      <c r="M1473" t="s">
        <v>7391</v>
      </c>
      <c r="N1473" t="s">
        <v>47</v>
      </c>
      <c r="O1473" t="s">
        <v>1835</v>
      </c>
      <c r="P1473" t="s">
        <v>1835</v>
      </c>
      <c r="Y1473" t="s">
        <v>7392</v>
      </c>
    </row>
    <row r="1474" spans="1:25">
      <c r="A1474" t="s">
        <v>7393</v>
      </c>
      <c r="B1474" t="s">
        <v>7394</v>
      </c>
      <c r="D1474" t="s">
        <v>1832</v>
      </c>
      <c r="E1474" t="s">
        <v>41</v>
      </c>
      <c r="J1474" t="s">
        <v>44</v>
      </c>
      <c r="K1474" t="s">
        <v>45</v>
      </c>
      <c r="L1474">
        <v>5</v>
      </c>
      <c r="M1474" t="s">
        <v>7395</v>
      </c>
      <c r="N1474" t="s">
        <v>47</v>
      </c>
      <c r="O1474" t="s">
        <v>1835</v>
      </c>
      <c r="P1474" t="s">
        <v>1835</v>
      </c>
      <c r="Y1474" t="s">
        <v>7396</v>
      </c>
    </row>
    <row r="1475" spans="1:25">
      <c r="A1475" t="s">
        <v>7397</v>
      </c>
      <c r="B1475" t="s">
        <v>7398</v>
      </c>
      <c r="D1475" t="s">
        <v>1832</v>
      </c>
      <c r="E1475" t="s">
        <v>41</v>
      </c>
      <c r="J1475" t="s">
        <v>44</v>
      </c>
      <c r="K1475" t="s">
        <v>45</v>
      </c>
      <c r="L1475">
        <v>5</v>
      </c>
      <c r="M1475" t="s">
        <v>7399</v>
      </c>
      <c r="N1475" t="s">
        <v>47</v>
      </c>
      <c r="O1475" t="s">
        <v>1835</v>
      </c>
      <c r="P1475" t="s">
        <v>1835</v>
      </c>
      <c r="Y1475" t="s">
        <v>7400</v>
      </c>
    </row>
    <row r="1476" spans="1:25">
      <c r="A1476" t="s">
        <v>7401</v>
      </c>
      <c r="B1476" t="s">
        <v>7402</v>
      </c>
      <c r="D1476" t="s">
        <v>1832</v>
      </c>
      <c r="E1476" t="s">
        <v>41</v>
      </c>
      <c r="H1476" t="s">
        <v>7403</v>
      </c>
      <c r="J1476" t="s">
        <v>90</v>
      </c>
      <c r="K1476" t="s">
        <v>91</v>
      </c>
      <c r="L1476">
        <v>5</v>
      </c>
      <c r="M1476" t="s">
        <v>7404</v>
      </c>
      <c r="N1476" t="s">
        <v>47</v>
      </c>
      <c r="O1476" t="s">
        <v>1835</v>
      </c>
      <c r="P1476" t="s">
        <v>1835</v>
      </c>
      <c r="Y1476" t="s">
        <v>7403</v>
      </c>
    </row>
    <row r="1477" spans="1:25">
      <c r="A1477" t="s">
        <v>7405</v>
      </c>
      <c r="B1477" t="s">
        <v>7406</v>
      </c>
      <c r="D1477" t="s">
        <v>1832</v>
      </c>
      <c r="E1477" t="s">
        <v>41</v>
      </c>
      <c r="J1477" t="s">
        <v>1827</v>
      </c>
      <c r="K1477" t="s">
        <v>1828</v>
      </c>
      <c r="L1477">
        <v>5</v>
      </c>
      <c r="M1477" t="s">
        <v>7407</v>
      </c>
      <c r="N1477" t="s">
        <v>47</v>
      </c>
      <c r="O1477" t="s">
        <v>1835</v>
      </c>
      <c r="P1477" t="s">
        <v>1835</v>
      </c>
      <c r="Y1477" t="s">
        <v>7408</v>
      </c>
    </row>
    <row r="1478" spans="1:25">
      <c r="A1478" t="s">
        <v>7409</v>
      </c>
      <c r="B1478" t="s">
        <v>7410</v>
      </c>
      <c r="D1478" t="s">
        <v>1832</v>
      </c>
      <c r="E1478" t="s">
        <v>41</v>
      </c>
      <c r="J1478" t="s">
        <v>371</v>
      </c>
      <c r="K1478" t="s">
        <v>372</v>
      </c>
      <c r="L1478">
        <v>5</v>
      </c>
      <c r="M1478" t="s">
        <v>7411</v>
      </c>
      <c r="N1478" t="s">
        <v>47</v>
      </c>
      <c r="O1478" t="s">
        <v>1835</v>
      </c>
      <c r="P1478" t="s">
        <v>1835</v>
      </c>
      <c r="Y1478" t="s">
        <v>7412</v>
      </c>
    </row>
    <row r="1479" spans="1:25">
      <c r="A1479" t="s">
        <v>7413</v>
      </c>
      <c r="B1479" t="s">
        <v>7414</v>
      </c>
      <c r="D1479" t="s">
        <v>1832</v>
      </c>
      <c r="E1479" t="s">
        <v>41</v>
      </c>
      <c r="H1479" t="s">
        <v>7415</v>
      </c>
      <c r="J1479" t="s">
        <v>90</v>
      </c>
      <c r="K1479" t="s">
        <v>91</v>
      </c>
      <c r="L1479">
        <v>5</v>
      </c>
      <c r="M1479" t="s">
        <v>7416</v>
      </c>
      <c r="N1479" t="s">
        <v>47</v>
      </c>
      <c r="O1479" t="s">
        <v>1835</v>
      </c>
      <c r="P1479" t="s">
        <v>1835</v>
      </c>
      <c r="Y1479" t="s">
        <v>7415</v>
      </c>
    </row>
    <row r="1480" spans="1:25">
      <c r="A1480" t="s">
        <v>7417</v>
      </c>
      <c r="B1480" t="s">
        <v>7418</v>
      </c>
      <c r="D1480" t="s">
        <v>1832</v>
      </c>
      <c r="E1480" t="s">
        <v>41</v>
      </c>
      <c r="J1480" t="s">
        <v>371</v>
      </c>
      <c r="K1480" t="s">
        <v>372</v>
      </c>
      <c r="L1480">
        <v>5</v>
      </c>
      <c r="M1480" t="s">
        <v>7416</v>
      </c>
      <c r="N1480" t="s">
        <v>47</v>
      </c>
      <c r="O1480" t="s">
        <v>1835</v>
      </c>
      <c r="P1480" t="s">
        <v>1835</v>
      </c>
      <c r="Y1480" t="s">
        <v>7419</v>
      </c>
    </row>
    <row r="1481" spans="1:25">
      <c r="A1481" t="s">
        <v>7420</v>
      </c>
      <c r="B1481" t="s">
        <v>7421</v>
      </c>
      <c r="D1481" t="s">
        <v>1832</v>
      </c>
      <c r="E1481" t="s">
        <v>41</v>
      </c>
      <c r="H1481" t="s">
        <v>7422</v>
      </c>
      <c r="J1481" t="s">
        <v>54</v>
      </c>
      <c r="K1481" t="s">
        <v>55</v>
      </c>
      <c r="L1481">
        <v>5</v>
      </c>
      <c r="M1481" t="s">
        <v>7416</v>
      </c>
      <c r="N1481" t="s">
        <v>47</v>
      </c>
      <c r="O1481" t="s">
        <v>1835</v>
      </c>
      <c r="P1481" t="s">
        <v>1835</v>
      </c>
      <c r="Y1481" t="s">
        <v>7422</v>
      </c>
    </row>
    <row r="1482" spans="1:25">
      <c r="A1482" t="s">
        <v>7423</v>
      </c>
      <c r="B1482" t="s">
        <v>7424</v>
      </c>
      <c r="D1482" t="s">
        <v>1832</v>
      </c>
      <c r="E1482" t="s">
        <v>41</v>
      </c>
      <c r="J1482" t="s">
        <v>54</v>
      </c>
      <c r="K1482" t="s">
        <v>55</v>
      </c>
      <c r="L1482">
        <v>5</v>
      </c>
      <c r="M1482" t="s">
        <v>7425</v>
      </c>
      <c r="N1482" t="s">
        <v>47</v>
      </c>
      <c r="O1482" t="s">
        <v>1835</v>
      </c>
      <c r="P1482" t="s">
        <v>1835</v>
      </c>
      <c r="Y1482" t="s">
        <v>7426</v>
      </c>
    </row>
    <row r="1483" spans="1:25">
      <c r="A1483" t="s">
        <v>7427</v>
      </c>
      <c r="B1483" t="s">
        <v>7428</v>
      </c>
      <c r="D1483" t="s">
        <v>1832</v>
      </c>
      <c r="E1483" t="s">
        <v>41</v>
      </c>
      <c r="H1483" t="s">
        <v>7429</v>
      </c>
      <c r="J1483" t="s">
        <v>44</v>
      </c>
      <c r="K1483" t="s">
        <v>45</v>
      </c>
      <c r="L1483">
        <v>5</v>
      </c>
      <c r="M1483" t="s">
        <v>7425</v>
      </c>
      <c r="N1483" t="s">
        <v>47</v>
      </c>
      <c r="O1483" t="s">
        <v>1835</v>
      </c>
      <c r="P1483" t="s">
        <v>1835</v>
      </c>
      <c r="Y1483" t="s">
        <v>7429</v>
      </c>
    </row>
    <row r="1484" spans="1:25">
      <c r="A1484" t="s">
        <v>7430</v>
      </c>
      <c r="B1484" t="s">
        <v>7431</v>
      </c>
      <c r="D1484" t="s">
        <v>1832</v>
      </c>
      <c r="E1484" t="s">
        <v>41</v>
      </c>
      <c r="J1484" t="s">
        <v>54</v>
      </c>
      <c r="K1484" t="s">
        <v>55</v>
      </c>
      <c r="L1484">
        <v>5</v>
      </c>
      <c r="M1484" t="s">
        <v>7432</v>
      </c>
      <c r="N1484" t="s">
        <v>47</v>
      </c>
      <c r="O1484" t="s">
        <v>1835</v>
      </c>
      <c r="P1484" t="s">
        <v>1835</v>
      </c>
      <c r="Y1484" t="s">
        <v>7433</v>
      </c>
    </row>
    <row r="1485" spans="1:25">
      <c r="A1485" t="s">
        <v>7434</v>
      </c>
      <c r="B1485" t="s">
        <v>7435</v>
      </c>
      <c r="D1485" t="s">
        <v>1832</v>
      </c>
      <c r="E1485" t="s">
        <v>41</v>
      </c>
      <c r="H1485" t="s">
        <v>7436</v>
      </c>
      <c r="J1485" t="s">
        <v>497</v>
      </c>
      <c r="K1485" t="s">
        <v>498</v>
      </c>
      <c r="L1485">
        <v>5</v>
      </c>
      <c r="M1485" t="s">
        <v>7437</v>
      </c>
      <c r="N1485" t="s">
        <v>290</v>
      </c>
      <c r="O1485" t="s">
        <v>1835</v>
      </c>
      <c r="P1485" t="s">
        <v>1835</v>
      </c>
      <c r="Y1485" t="s">
        <v>7436</v>
      </c>
    </row>
    <row r="1486" spans="1:25">
      <c r="A1486" t="s">
        <v>7438</v>
      </c>
      <c r="B1486" t="s">
        <v>7439</v>
      </c>
      <c r="D1486" t="s">
        <v>1832</v>
      </c>
      <c r="E1486" t="s">
        <v>41</v>
      </c>
      <c r="J1486" t="s">
        <v>78</v>
      </c>
      <c r="K1486" t="s">
        <v>79</v>
      </c>
      <c r="L1486">
        <v>5</v>
      </c>
      <c r="M1486" t="s">
        <v>7437</v>
      </c>
      <c r="N1486" t="s">
        <v>47</v>
      </c>
      <c r="O1486" t="s">
        <v>1835</v>
      </c>
      <c r="P1486" t="s">
        <v>1835</v>
      </c>
      <c r="Y1486" t="s">
        <v>7440</v>
      </c>
    </row>
    <row r="1487" spans="1:25">
      <c r="A1487" t="s">
        <v>7441</v>
      </c>
      <c r="B1487" t="s">
        <v>7442</v>
      </c>
      <c r="D1487" t="s">
        <v>1832</v>
      </c>
      <c r="E1487" t="s">
        <v>41</v>
      </c>
      <c r="H1487" t="s">
        <v>7443</v>
      </c>
      <c r="J1487" t="s">
        <v>78</v>
      </c>
      <c r="K1487" t="s">
        <v>79</v>
      </c>
      <c r="L1487">
        <v>5</v>
      </c>
      <c r="M1487" t="s">
        <v>7444</v>
      </c>
      <c r="N1487" t="s">
        <v>47</v>
      </c>
      <c r="O1487" t="s">
        <v>1835</v>
      </c>
      <c r="P1487" t="s">
        <v>1835</v>
      </c>
      <c r="Y1487" t="s">
        <v>7443</v>
      </c>
    </row>
    <row r="1488" spans="1:25">
      <c r="A1488" t="s">
        <v>7445</v>
      </c>
      <c r="B1488" t="s">
        <v>7446</v>
      </c>
      <c r="D1488" t="s">
        <v>1832</v>
      </c>
      <c r="E1488" t="s">
        <v>41</v>
      </c>
      <c r="J1488" t="s">
        <v>371</v>
      </c>
      <c r="K1488" t="s">
        <v>372</v>
      </c>
      <c r="L1488">
        <v>5</v>
      </c>
      <c r="M1488" t="s">
        <v>7447</v>
      </c>
      <c r="N1488" t="s">
        <v>47</v>
      </c>
      <c r="O1488" t="s">
        <v>1835</v>
      </c>
      <c r="P1488" t="s">
        <v>1835</v>
      </c>
      <c r="Y1488" t="s">
        <v>7448</v>
      </c>
    </row>
    <row r="1489" spans="1:25">
      <c r="A1489" t="s">
        <v>7449</v>
      </c>
      <c r="B1489" t="s">
        <v>7450</v>
      </c>
      <c r="D1489" t="s">
        <v>1832</v>
      </c>
      <c r="E1489" t="s">
        <v>41</v>
      </c>
      <c r="J1489" t="s">
        <v>133</v>
      </c>
      <c r="K1489" t="s">
        <v>134</v>
      </c>
      <c r="L1489">
        <v>5</v>
      </c>
      <c r="M1489" t="s">
        <v>7451</v>
      </c>
      <c r="N1489" t="s">
        <v>685</v>
      </c>
      <c r="O1489" t="s">
        <v>1835</v>
      </c>
      <c r="P1489" t="s">
        <v>1835</v>
      </c>
      <c r="Y1489" t="s">
        <v>7452</v>
      </c>
    </row>
    <row r="1490" spans="1:25">
      <c r="A1490" t="s">
        <v>7453</v>
      </c>
      <c r="B1490" t="s">
        <v>7454</v>
      </c>
      <c r="D1490" t="s">
        <v>1832</v>
      </c>
      <c r="E1490" t="s">
        <v>41</v>
      </c>
      <c r="H1490" t="s">
        <v>7455</v>
      </c>
      <c r="J1490" t="s">
        <v>44</v>
      </c>
      <c r="K1490" t="s">
        <v>45</v>
      </c>
      <c r="L1490">
        <v>5</v>
      </c>
      <c r="M1490" t="s">
        <v>7456</v>
      </c>
      <c r="N1490" t="s">
        <v>47</v>
      </c>
      <c r="O1490" t="s">
        <v>1835</v>
      </c>
      <c r="P1490" t="s">
        <v>1835</v>
      </c>
      <c r="Y1490" t="s">
        <v>7455</v>
      </c>
    </row>
    <row r="1491" spans="1:25">
      <c r="A1491" t="s">
        <v>7457</v>
      </c>
      <c r="B1491" t="s">
        <v>7458</v>
      </c>
      <c r="D1491" t="s">
        <v>1832</v>
      </c>
      <c r="E1491" t="s">
        <v>41</v>
      </c>
      <c r="H1491" t="s">
        <v>7459</v>
      </c>
      <c r="J1491" t="s">
        <v>90</v>
      </c>
      <c r="K1491" t="s">
        <v>91</v>
      </c>
      <c r="L1491">
        <v>5</v>
      </c>
      <c r="M1491" t="s">
        <v>7460</v>
      </c>
      <c r="N1491" t="s">
        <v>47</v>
      </c>
      <c r="O1491" t="s">
        <v>1835</v>
      </c>
      <c r="P1491" t="s">
        <v>1835</v>
      </c>
      <c r="Y1491" t="s">
        <v>7459</v>
      </c>
    </row>
    <row r="1492" spans="1:25">
      <c r="A1492" t="s">
        <v>7461</v>
      </c>
      <c r="B1492" t="s">
        <v>7462</v>
      </c>
      <c r="D1492" t="s">
        <v>1832</v>
      </c>
      <c r="E1492" t="s">
        <v>41</v>
      </c>
      <c r="J1492" t="s">
        <v>44</v>
      </c>
      <c r="K1492" t="s">
        <v>45</v>
      </c>
      <c r="L1492">
        <v>5</v>
      </c>
      <c r="M1492" t="s">
        <v>7463</v>
      </c>
      <c r="N1492" t="s">
        <v>47</v>
      </c>
      <c r="O1492" t="s">
        <v>1835</v>
      </c>
      <c r="P1492" t="s">
        <v>1835</v>
      </c>
      <c r="Y1492" t="s">
        <v>7464</v>
      </c>
    </row>
    <row r="1493" spans="1:25">
      <c r="A1493" t="s">
        <v>7465</v>
      </c>
      <c r="B1493" t="s">
        <v>7466</v>
      </c>
      <c r="D1493" t="s">
        <v>1832</v>
      </c>
      <c r="E1493" t="s">
        <v>41</v>
      </c>
      <c r="J1493" t="s">
        <v>44</v>
      </c>
      <c r="K1493" t="s">
        <v>45</v>
      </c>
      <c r="L1493">
        <v>5</v>
      </c>
      <c r="M1493" t="s">
        <v>7467</v>
      </c>
      <c r="N1493" t="s">
        <v>47</v>
      </c>
      <c r="O1493" t="s">
        <v>1835</v>
      </c>
      <c r="P1493" t="s">
        <v>1835</v>
      </c>
      <c r="Y1493" t="s">
        <v>7468</v>
      </c>
    </row>
    <row r="1494" spans="1:25">
      <c r="A1494" t="s">
        <v>7469</v>
      </c>
      <c r="B1494" t="s">
        <v>7470</v>
      </c>
      <c r="D1494" t="s">
        <v>1832</v>
      </c>
      <c r="E1494" t="s">
        <v>41</v>
      </c>
      <c r="J1494" t="s">
        <v>90</v>
      </c>
      <c r="K1494" t="s">
        <v>91</v>
      </c>
      <c r="L1494">
        <v>5</v>
      </c>
      <c r="M1494" t="s">
        <v>7471</v>
      </c>
      <c r="N1494" t="s">
        <v>47</v>
      </c>
      <c r="O1494" t="s">
        <v>1835</v>
      </c>
      <c r="P1494" t="s">
        <v>1835</v>
      </c>
      <c r="Y1494" t="s">
        <v>7472</v>
      </c>
    </row>
    <row r="1495" spans="1:25">
      <c r="A1495" t="s">
        <v>7473</v>
      </c>
      <c r="B1495" t="s">
        <v>7474</v>
      </c>
      <c r="D1495" t="s">
        <v>1832</v>
      </c>
      <c r="E1495" t="s">
        <v>41</v>
      </c>
      <c r="J1495" t="s">
        <v>90</v>
      </c>
      <c r="K1495" t="s">
        <v>91</v>
      </c>
      <c r="L1495">
        <v>5</v>
      </c>
      <c r="M1495" t="s">
        <v>7475</v>
      </c>
      <c r="N1495" t="s">
        <v>47</v>
      </c>
      <c r="O1495" t="s">
        <v>1835</v>
      </c>
      <c r="P1495" t="s">
        <v>1835</v>
      </c>
      <c r="Y1495" t="s">
        <v>7476</v>
      </c>
    </row>
    <row r="1496" spans="1:25">
      <c r="A1496" t="s">
        <v>7477</v>
      </c>
      <c r="B1496" t="s">
        <v>7478</v>
      </c>
      <c r="D1496" t="s">
        <v>1832</v>
      </c>
      <c r="E1496" t="s">
        <v>41</v>
      </c>
      <c r="H1496" t="s">
        <v>7479</v>
      </c>
      <c r="J1496" t="s">
        <v>44</v>
      </c>
      <c r="K1496" t="s">
        <v>45</v>
      </c>
      <c r="L1496">
        <v>5</v>
      </c>
      <c r="M1496" t="s">
        <v>7475</v>
      </c>
      <c r="N1496" t="s">
        <v>47</v>
      </c>
      <c r="O1496" t="s">
        <v>1835</v>
      </c>
      <c r="P1496" t="s">
        <v>1835</v>
      </c>
      <c r="Y1496" t="s">
        <v>7479</v>
      </c>
    </row>
    <row r="1497" spans="1:25">
      <c r="A1497" t="s">
        <v>7480</v>
      </c>
      <c r="B1497" t="s">
        <v>7481</v>
      </c>
      <c r="D1497" t="s">
        <v>1832</v>
      </c>
      <c r="E1497" t="s">
        <v>41</v>
      </c>
      <c r="J1497" t="s">
        <v>54</v>
      </c>
      <c r="K1497" t="s">
        <v>55</v>
      </c>
      <c r="L1497">
        <v>5</v>
      </c>
      <c r="M1497" t="s">
        <v>7482</v>
      </c>
      <c r="N1497" t="s">
        <v>47</v>
      </c>
      <c r="O1497" t="s">
        <v>1835</v>
      </c>
      <c r="P1497" t="s">
        <v>1835</v>
      </c>
      <c r="Y1497" t="s">
        <v>7483</v>
      </c>
    </row>
    <row r="1498" spans="1:25">
      <c r="A1498" t="s">
        <v>7484</v>
      </c>
      <c r="B1498" t="s">
        <v>7485</v>
      </c>
      <c r="D1498" t="s">
        <v>1832</v>
      </c>
      <c r="E1498" t="s">
        <v>41</v>
      </c>
      <c r="J1498" t="s">
        <v>133</v>
      </c>
      <c r="K1498" t="s">
        <v>134</v>
      </c>
      <c r="L1498">
        <v>5</v>
      </c>
      <c r="M1498" t="s">
        <v>7482</v>
      </c>
      <c r="N1498" t="s">
        <v>135</v>
      </c>
      <c r="O1498" t="s">
        <v>1835</v>
      </c>
      <c r="P1498" t="s">
        <v>1835</v>
      </c>
      <c r="Y1498" t="s">
        <v>7486</v>
      </c>
    </row>
    <row r="1499" spans="1:25">
      <c r="A1499" t="s">
        <v>7487</v>
      </c>
      <c r="B1499" t="s">
        <v>7488</v>
      </c>
      <c r="D1499" t="s">
        <v>1832</v>
      </c>
      <c r="E1499" t="s">
        <v>41</v>
      </c>
      <c r="J1499" t="s">
        <v>54</v>
      </c>
      <c r="K1499" t="s">
        <v>55</v>
      </c>
      <c r="L1499">
        <v>5</v>
      </c>
      <c r="M1499" t="s">
        <v>7489</v>
      </c>
      <c r="N1499" t="s">
        <v>47</v>
      </c>
      <c r="O1499" t="s">
        <v>1835</v>
      </c>
      <c r="P1499" t="s">
        <v>1835</v>
      </c>
      <c r="Y1499" t="s">
        <v>7490</v>
      </c>
    </row>
    <row r="1500" spans="1:25">
      <c r="A1500" t="s">
        <v>7491</v>
      </c>
      <c r="B1500" t="s">
        <v>7492</v>
      </c>
      <c r="D1500" t="s">
        <v>1832</v>
      </c>
      <c r="E1500" t="s">
        <v>41</v>
      </c>
      <c r="J1500" t="s">
        <v>371</v>
      </c>
      <c r="K1500" t="s">
        <v>372</v>
      </c>
      <c r="L1500">
        <v>5</v>
      </c>
      <c r="M1500" t="s">
        <v>7493</v>
      </c>
      <c r="N1500" t="s">
        <v>47</v>
      </c>
      <c r="O1500" t="s">
        <v>1835</v>
      </c>
      <c r="P1500" t="s">
        <v>1835</v>
      </c>
      <c r="Y1500" t="s">
        <v>7494</v>
      </c>
    </row>
    <row r="1501" spans="1:25">
      <c r="A1501" t="s">
        <v>7495</v>
      </c>
      <c r="B1501" t="s">
        <v>7496</v>
      </c>
      <c r="D1501" t="s">
        <v>1832</v>
      </c>
      <c r="E1501" t="s">
        <v>41</v>
      </c>
      <c r="J1501" t="s">
        <v>44</v>
      </c>
      <c r="K1501" t="s">
        <v>45</v>
      </c>
      <c r="L1501">
        <v>5</v>
      </c>
      <c r="M1501" t="s">
        <v>7497</v>
      </c>
      <c r="N1501" t="s">
        <v>47</v>
      </c>
      <c r="O1501" t="s">
        <v>1835</v>
      </c>
      <c r="P1501" t="s">
        <v>1835</v>
      </c>
      <c r="Y1501" t="s">
        <v>7498</v>
      </c>
    </row>
    <row r="1502" spans="1:25">
      <c r="A1502" t="s">
        <v>7499</v>
      </c>
      <c r="B1502" t="s">
        <v>7500</v>
      </c>
      <c r="D1502" t="s">
        <v>1832</v>
      </c>
      <c r="E1502" t="s">
        <v>41</v>
      </c>
      <c r="H1502" t="s">
        <v>7501</v>
      </c>
      <c r="J1502" t="s">
        <v>90</v>
      </c>
      <c r="K1502" t="s">
        <v>91</v>
      </c>
      <c r="L1502">
        <v>5</v>
      </c>
      <c r="M1502" t="s">
        <v>7502</v>
      </c>
      <c r="N1502" t="s">
        <v>47</v>
      </c>
      <c r="O1502" t="s">
        <v>1835</v>
      </c>
      <c r="P1502" t="s">
        <v>1835</v>
      </c>
      <c r="Y1502" t="s">
        <v>7501</v>
      </c>
    </row>
    <row r="1503" spans="1:25">
      <c r="A1503" t="s">
        <v>7503</v>
      </c>
      <c r="B1503" t="s">
        <v>7504</v>
      </c>
      <c r="D1503" t="s">
        <v>1832</v>
      </c>
      <c r="E1503" t="s">
        <v>41</v>
      </c>
      <c r="H1503" t="s">
        <v>7505</v>
      </c>
      <c r="J1503" t="s">
        <v>90</v>
      </c>
      <c r="K1503" t="s">
        <v>91</v>
      </c>
      <c r="L1503">
        <v>5</v>
      </c>
      <c r="M1503" t="s">
        <v>7506</v>
      </c>
      <c r="N1503" t="s">
        <v>47</v>
      </c>
      <c r="O1503" t="s">
        <v>1835</v>
      </c>
      <c r="P1503" t="s">
        <v>1835</v>
      </c>
      <c r="Y1503" t="s">
        <v>7505</v>
      </c>
    </row>
    <row r="1504" spans="1:25">
      <c r="A1504" t="s">
        <v>7507</v>
      </c>
      <c r="B1504" t="s">
        <v>7508</v>
      </c>
      <c r="D1504" t="s">
        <v>1832</v>
      </c>
      <c r="E1504" t="s">
        <v>41</v>
      </c>
      <c r="H1504" t="s">
        <v>7509</v>
      </c>
      <c r="J1504" t="s">
        <v>133</v>
      </c>
      <c r="K1504" t="s">
        <v>134</v>
      </c>
      <c r="L1504">
        <v>5</v>
      </c>
      <c r="M1504" t="s">
        <v>7510</v>
      </c>
      <c r="N1504" t="s">
        <v>290</v>
      </c>
      <c r="O1504" t="s">
        <v>1835</v>
      </c>
      <c r="P1504" t="s">
        <v>1835</v>
      </c>
      <c r="Y1504" t="s">
        <v>7509</v>
      </c>
    </row>
    <row r="1505" spans="1:25">
      <c r="A1505" t="s">
        <v>7511</v>
      </c>
      <c r="B1505" t="s">
        <v>7512</v>
      </c>
      <c r="D1505" t="s">
        <v>1832</v>
      </c>
      <c r="E1505" t="s">
        <v>41</v>
      </c>
      <c r="J1505" t="s">
        <v>90</v>
      </c>
      <c r="K1505" t="s">
        <v>91</v>
      </c>
      <c r="L1505">
        <v>5</v>
      </c>
      <c r="M1505" t="s">
        <v>7510</v>
      </c>
      <c r="N1505" t="s">
        <v>47</v>
      </c>
      <c r="O1505" t="s">
        <v>1835</v>
      </c>
      <c r="P1505" t="s">
        <v>1835</v>
      </c>
      <c r="Y1505" t="s">
        <v>7513</v>
      </c>
    </row>
    <row r="1506" spans="1:25">
      <c r="A1506" t="s">
        <v>7514</v>
      </c>
      <c r="B1506" t="s">
        <v>7515</v>
      </c>
      <c r="D1506" t="s">
        <v>1832</v>
      </c>
      <c r="E1506" t="s">
        <v>41</v>
      </c>
      <c r="J1506" t="s">
        <v>90</v>
      </c>
      <c r="K1506" t="s">
        <v>91</v>
      </c>
      <c r="L1506">
        <v>5</v>
      </c>
      <c r="M1506" t="s">
        <v>7510</v>
      </c>
      <c r="N1506" t="s">
        <v>47</v>
      </c>
      <c r="O1506" t="s">
        <v>1835</v>
      </c>
      <c r="P1506" t="s">
        <v>1835</v>
      </c>
      <c r="Y1506" t="s">
        <v>7516</v>
      </c>
    </row>
    <row r="1507" spans="1:25">
      <c r="A1507" t="s">
        <v>7517</v>
      </c>
      <c r="B1507" t="s">
        <v>7518</v>
      </c>
      <c r="D1507" t="s">
        <v>1832</v>
      </c>
      <c r="E1507" t="s">
        <v>41</v>
      </c>
      <c r="J1507" t="s">
        <v>54</v>
      </c>
      <c r="K1507" t="s">
        <v>55</v>
      </c>
      <c r="L1507">
        <v>5</v>
      </c>
      <c r="M1507" t="s">
        <v>7519</v>
      </c>
      <c r="N1507" t="s">
        <v>47</v>
      </c>
      <c r="O1507" t="s">
        <v>1835</v>
      </c>
      <c r="P1507" t="s">
        <v>1835</v>
      </c>
      <c r="Y1507" t="s">
        <v>7520</v>
      </c>
    </row>
    <row r="1508" spans="1:25">
      <c r="A1508" t="s">
        <v>7521</v>
      </c>
      <c r="B1508" t="s">
        <v>7522</v>
      </c>
      <c r="D1508" t="s">
        <v>1832</v>
      </c>
      <c r="E1508" t="s">
        <v>41</v>
      </c>
      <c r="J1508" t="s">
        <v>54</v>
      </c>
      <c r="K1508" t="s">
        <v>55</v>
      </c>
      <c r="L1508">
        <v>5</v>
      </c>
      <c r="M1508" t="s">
        <v>7523</v>
      </c>
      <c r="N1508" t="s">
        <v>47</v>
      </c>
      <c r="O1508" t="s">
        <v>1835</v>
      </c>
      <c r="P1508" t="s">
        <v>1835</v>
      </c>
      <c r="Y1508" t="s">
        <v>7524</v>
      </c>
    </row>
    <row r="1509" spans="1:25">
      <c r="A1509" t="s">
        <v>7525</v>
      </c>
      <c r="B1509" t="s">
        <v>7526</v>
      </c>
      <c r="D1509" t="s">
        <v>1832</v>
      </c>
      <c r="E1509" t="s">
        <v>41</v>
      </c>
      <c r="H1509" t="s">
        <v>7527</v>
      </c>
      <c r="J1509" t="s">
        <v>90</v>
      </c>
      <c r="K1509" t="s">
        <v>91</v>
      </c>
      <c r="L1509">
        <v>5</v>
      </c>
      <c r="M1509" t="s">
        <v>7523</v>
      </c>
      <c r="N1509" t="s">
        <v>47</v>
      </c>
      <c r="O1509" t="s">
        <v>1835</v>
      </c>
      <c r="P1509" t="s">
        <v>1835</v>
      </c>
      <c r="Y1509" t="s">
        <v>7527</v>
      </c>
    </row>
    <row r="1510" spans="1:25">
      <c r="A1510" t="s">
        <v>7528</v>
      </c>
      <c r="B1510" t="s">
        <v>7529</v>
      </c>
      <c r="D1510" t="s">
        <v>1832</v>
      </c>
      <c r="E1510" t="s">
        <v>41</v>
      </c>
      <c r="H1510" t="s">
        <v>7530</v>
      </c>
      <c r="J1510" t="s">
        <v>133</v>
      </c>
      <c r="K1510" t="s">
        <v>134</v>
      </c>
      <c r="L1510">
        <v>5</v>
      </c>
      <c r="M1510" t="s">
        <v>7531</v>
      </c>
      <c r="N1510" t="s">
        <v>290</v>
      </c>
      <c r="O1510" t="s">
        <v>1835</v>
      </c>
      <c r="P1510" t="s">
        <v>1835</v>
      </c>
      <c r="Y1510" t="s">
        <v>7530</v>
      </c>
    </row>
    <row r="1511" spans="1:25">
      <c r="A1511" t="s">
        <v>7532</v>
      </c>
      <c r="B1511" t="s">
        <v>7533</v>
      </c>
      <c r="D1511" t="s">
        <v>1832</v>
      </c>
      <c r="E1511" t="s">
        <v>41</v>
      </c>
      <c r="H1511" t="s">
        <v>7534</v>
      </c>
      <c r="J1511" t="s">
        <v>78</v>
      </c>
      <c r="K1511" t="s">
        <v>79</v>
      </c>
      <c r="L1511">
        <v>5</v>
      </c>
      <c r="M1511" t="s">
        <v>7535</v>
      </c>
      <c r="N1511" t="s">
        <v>47</v>
      </c>
      <c r="O1511" t="s">
        <v>1835</v>
      </c>
      <c r="P1511" t="s">
        <v>1835</v>
      </c>
      <c r="Y1511" t="s">
        <v>7534</v>
      </c>
    </row>
    <row r="1512" spans="1:25">
      <c r="A1512" t="s">
        <v>7536</v>
      </c>
      <c r="B1512" t="s">
        <v>7537</v>
      </c>
      <c r="D1512" t="s">
        <v>1832</v>
      </c>
      <c r="E1512" t="s">
        <v>41</v>
      </c>
      <c r="J1512" t="s">
        <v>44</v>
      </c>
      <c r="K1512" t="s">
        <v>45</v>
      </c>
      <c r="L1512">
        <v>5</v>
      </c>
      <c r="M1512" t="s">
        <v>7535</v>
      </c>
      <c r="N1512" t="s">
        <v>47</v>
      </c>
      <c r="O1512" t="s">
        <v>1835</v>
      </c>
      <c r="P1512" t="s">
        <v>1835</v>
      </c>
      <c r="Y1512" t="s">
        <v>7538</v>
      </c>
    </row>
    <row r="1513" spans="1:25">
      <c r="A1513" t="s">
        <v>7539</v>
      </c>
      <c r="B1513" t="s">
        <v>7540</v>
      </c>
      <c r="D1513" t="s">
        <v>1832</v>
      </c>
      <c r="E1513" t="s">
        <v>41</v>
      </c>
      <c r="J1513" t="s">
        <v>90</v>
      </c>
      <c r="K1513" t="s">
        <v>91</v>
      </c>
      <c r="L1513">
        <v>5</v>
      </c>
      <c r="M1513" t="s">
        <v>7535</v>
      </c>
      <c r="N1513" t="s">
        <v>47</v>
      </c>
      <c r="O1513" t="s">
        <v>1835</v>
      </c>
      <c r="P1513" t="s">
        <v>1835</v>
      </c>
      <c r="Y1513" t="s">
        <v>7541</v>
      </c>
    </row>
    <row r="1514" spans="1:25">
      <c r="A1514" t="s">
        <v>7542</v>
      </c>
      <c r="B1514" t="s">
        <v>7543</v>
      </c>
      <c r="D1514" t="s">
        <v>1832</v>
      </c>
      <c r="E1514" t="s">
        <v>41</v>
      </c>
      <c r="J1514" t="s">
        <v>54</v>
      </c>
      <c r="K1514" t="s">
        <v>55</v>
      </c>
      <c r="L1514">
        <v>5</v>
      </c>
      <c r="M1514" t="s">
        <v>7535</v>
      </c>
      <c r="N1514" t="s">
        <v>47</v>
      </c>
      <c r="O1514" t="s">
        <v>1835</v>
      </c>
      <c r="P1514" t="s">
        <v>1835</v>
      </c>
      <c r="Y1514" t="s">
        <v>7544</v>
      </c>
    </row>
    <row r="1515" spans="1:25">
      <c r="A1515" t="s">
        <v>7545</v>
      </c>
      <c r="B1515" t="s">
        <v>7546</v>
      </c>
      <c r="D1515" t="s">
        <v>1832</v>
      </c>
      <c r="E1515" t="s">
        <v>41</v>
      </c>
      <c r="J1515" t="s">
        <v>133</v>
      </c>
      <c r="K1515" t="s">
        <v>134</v>
      </c>
      <c r="L1515">
        <v>5</v>
      </c>
      <c r="M1515" t="s">
        <v>7547</v>
      </c>
      <c r="N1515" t="s">
        <v>685</v>
      </c>
      <c r="O1515" t="s">
        <v>1835</v>
      </c>
      <c r="P1515" t="s">
        <v>1835</v>
      </c>
      <c r="Y1515" t="s">
        <v>7548</v>
      </c>
    </row>
    <row r="1516" spans="1:25">
      <c r="A1516" t="s">
        <v>7549</v>
      </c>
      <c r="B1516" t="s">
        <v>7550</v>
      </c>
      <c r="D1516" t="s">
        <v>1832</v>
      </c>
      <c r="E1516" t="s">
        <v>41</v>
      </c>
      <c r="H1516" t="s">
        <v>7551</v>
      </c>
      <c r="J1516" t="s">
        <v>44</v>
      </c>
      <c r="K1516" t="s">
        <v>45</v>
      </c>
      <c r="L1516">
        <v>5</v>
      </c>
      <c r="M1516" t="s">
        <v>7552</v>
      </c>
      <c r="N1516" t="s">
        <v>47</v>
      </c>
      <c r="O1516" t="s">
        <v>1835</v>
      </c>
      <c r="P1516" t="s">
        <v>1835</v>
      </c>
      <c r="Y1516" t="s">
        <v>7551</v>
      </c>
    </row>
    <row r="1517" spans="1:25">
      <c r="A1517" t="s">
        <v>7553</v>
      </c>
      <c r="B1517" t="s">
        <v>7554</v>
      </c>
      <c r="D1517" t="s">
        <v>1832</v>
      </c>
      <c r="E1517" t="s">
        <v>41</v>
      </c>
      <c r="J1517" t="s">
        <v>54</v>
      </c>
      <c r="K1517" t="s">
        <v>55</v>
      </c>
      <c r="L1517">
        <v>5</v>
      </c>
      <c r="M1517" t="s">
        <v>7552</v>
      </c>
      <c r="N1517" t="s">
        <v>47</v>
      </c>
      <c r="O1517" t="s">
        <v>1835</v>
      </c>
      <c r="P1517" t="s">
        <v>1835</v>
      </c>
      <c r="Y1517" t="s">
        <v>7555</v>
      </c>
    </row>
    <row r="1518" spans="1:25">
      <c r="A1518" t="s">
        <v>7556</v>
      </c>
      <c r="B1518" t="s">
        <v>7557</v>
      </c>
      <c r="D1518" t="s">
        <v>1832</v>
      </c>
      <c r="E1518" t="s">
        <v>41</v>
      </c>
      <c r="J1518" t="s">
        <v>44</v>
      </c>
      <c r="K1518" t="s">
        <v>45</v>
      </c>
      <c r="L1518">
        <v>5</v>
      </c>
      <c r="M1518" t="s">
        <v>7558</v>
      </c>
      <c r="N1518" t="s">
        <v>47</v>
      </c>
      <c r="O1518" t="s">
        <v>1835</v>
      </c>
      <c r="P1518" t="s">
        <v>1835</v>
      </c>
      <c r="Y1518" t="s">
        <v>7559</v>
      </c>
    </row>
    <row r="1519" spans="1:25">
      <c r="A1519" t="s">
        <v>7560</v>
      </c>
      <c r="B1519" t="s">
        <v>7561</v>
      </c>
      <c r="D1519" t="s">
        <v>1832</v>
      </c>
      <c r="E1519" t="s">
        <v>41</v>
      </c>
      <c r="H1519" t="s">
        <v>7562</v>
      </c>
      <c r="J1519" t="s">
        <v>133</v>
      </c>
      <c r="K1519" t="s">
        <v>134</v>
      </c>
      <c r="L1519">
        <v>5</v>
      </c>
      <c r="M1519" t="s">
        <v>7558</v>
      </c>
      <c r="N1519" t="s">
        <v>685</v>
      </c>
      <c r="O1519" t="s">
        <v>1835</v>
      </c>
      <c r="P1519" t="s">
        <v>1835</v>
      </c>
      <c r="Y1519" t="s">
        <v>7562</v>
      </c>
    </row>
    <row r="1520" spans="1:25">
      <c r="A1520" t="s">
        <v>7563</v>
      </c>
      <c r="B1520" t="s">
        <v>7564</v>
      </c>
      <c r="D1520" t="s">
        <v>1832</v>
      </c>
      <c r="E1520" t="s">
        <v>41</v>
      </c>
      <c r="H1520" t="s">
        <v>7565</v>
      </c>
      <c r="J1520" t="s">
        <v>44</v>
      </c>
      <c r="K1520" t="s">
        <v>45</v>
      </c>
      <c r="L1520">
        <v>5</v>
      </c>
      <c r="M1520" t="s">
        <v>7566</v>
      </c>
      <c r="N1520" t="s">
        <v>47</v>
      </c>
      <c r="O1520" t="s">
        <v>1835</v>
      </c>
      <c r="P1520" t="s">
        <v>1835</v>
      </c>
      <c r="Y1520" t="s">
        <v>7565</v>
      </c>
    </row>
    <row r="1521" spans="1:25">
      <c r="A1521" t="s">
        <v>7567</v>
      </c>
      <c r="B1521" t="s">
        <v>7568</v>
      </c>
      <c r="D1521" t="s">
        <v>1832</v>
      </c>
      <c r="E1521" t="s">
        <v>41</v>
      </c>
      <c r="J1521" t="s">
        <v>497</v>
      </c>
      <c r="K1521" t="s">
        <v>498</v>
      </c>
      <c r="L1521">
        <v>7</v>
      </c>
      <c r="M1521" t="s">
        <v>7569</v>
      </c>
      <c r="N1521" t="s">
        <v>135</v>
      </c>
      <c r="O1521" t="s">
        <v>1835</v>
      </c>
      <c r="P1521" t="s">
        <v>1835</v>
      </c>
      <c r="Y1521" t="s">
        <v>7570</v>
      </c>
    </row>
    <row r="1522" spans="1:25">
      <c r="A1522" t="s">
        <v>7571</v>
      </c>
      <c r="B1522" t="s">
        <v>7572</v>
      </c>
      <c r="D1522" t="s">
        <v>1832</v>
      </c>
      <c r="E1522" t="s">
        <v>41</v>
      </c>
      <c r="J1522" t="s">
        <v>44</v>
      </c>
      <c r="K1522" t="s">
        <v>45</v>
      </c>
      <c r="L1522">
        <v>5</v>
      </c>
      <c r="M1522" t="s">
        <v>7573</v>
      </c>
      <c r="N1522" t="s">
        <v>47</v>
      </c>
      <c r="O1522" t="s">
        <v>1835</v>
      </c>
      <c r="P1522" t="s">
        <v>1835</v>
      </c>
      <c r="Y1522" t="s">
        <v>7574</v>
      </c>
    </row>
    <row r="1523" spans="1:25">
      <c r="A1523" t="s">
        <v>7575</v>
      </c>
      <c r="B1523" t="s">
        <v>7576</v>
      </c>
      <c r="D1523" t="s">
        <v>1832</v>
      </c>
      <c r="E1523" t="s">
        <v>41</v>
      </c>
      <c r="J1523" t="s">
        <v>90</v>
      </c>
      <c r="K1523" t="s">
        <v>91</v>
      </c>
      <c r="L1523">
        <v>5</v>
      </c>
      <c r="M1523" t="s">
        <v>7573</v>
      </c>
      <c r="N1523" t="s">
        <v>47</v>
      </c>
      <c r="O1523" t="s">
        <v>1835</v>
      </c>
      <c r="P1523" t="s">
        <v>1835</v>
      </c>
      <c r="Y1523" t="s">
        <v>7577</v>
      </c>
    </row>
    <row r="1524" spans="1:25">
      <c r="A1524" t="s">
        <v>7578</v>
      </c>
      <c r="B1524" t="s">
        <v>7579</v>
      </c>
      <c r="D1524" t="s">
        <v>1832</v>
      </c>
      <c r="E1524" t="s">
        <v>41</v>
      </c>
      <c r="J1524" t="s">
        <v>90</v>
      </c>
      <c r="K1524" t="s">
        <v>91</v>
      </c>
      <c r="L1524">
        <v>5</v>
      </c>
      <c r="M1524" t="s">
        <v>7573</v>
      </c>
      <c r="N1524" t="s">
        <v>47</v>
      </c>
      <c r="O1524" t="s">
        <v>1835</v>
      </c>
      <c r="P1524" t="s">
        <v>1835</v>
      </c>
      <c r="Y1524" t="s">
        <v>7580</v>
      </c>
    </row>
    <row r="1525" spans="1:25">
      <c r="A1525" t="s">
        <v>7581</v>
      </c>
      <c r="B1525" t="s">
        <v>7582</v>
      </c>
      <c r="D1525" t="s">
        <v>1832</v>
      </c>
      <c r="E1525" t="s">
        <v>41</v>
      </c>
      <c r="J1525" t="s">
        <v>44</v>
      </c>
      <c r="K1525" t="s">
        <v>45</v>
      </c>
      <c r="L1525">
        <v>5</v>
      </c>
      <c r="M1525" t="s">
        <v>7573</v>
      </c>
      <c r="N1525" t="s">
        <v>47</v>
      </c>
      <c r="O1525" t="s">
        <v>1835</v>
      </c>
      <c r="P1525" t="s">
        <v>1835</v>
      </c>
      <c r="Y1525" t="s">
        <v>7583</v>
      </c>
    </row>
    <row r="1526" spans="1:25">
      <c r="A1526" t="s">
        <v>7584</v>
      </c>
      <c r="B1526" t="s">
        <v>7585</v>
      </c>
      <c r="D1526" t="s">
        <v>1832</v>
      </c>
      <c r="E1526" t="s">
        <v>41</v>
      </c>
      <c r="J1526" t="s">
        <v>90</v>
      </c>
      <c r="K1526" t="s">
        <v>91</v>
      </c>
      <c r="L1526">
        <v>5</v>
      </c>
      <c r="M1526" t="s">
        <v>7586</v>
      </c>
      <c r="N1526" t="s">
        <v>47</v>
      </c>
      <c r="O1526" t="s">
        <v>1835</v>
      </c>
      <c r="P1526" t="s">
        <v>1835</v>
      </c>
      <c r="Y1526" t="s">
        <v>7587</v>
      </c>
    </row>
    <row r="1527" spans="1:25">
      <c r="A1527" t="s">
        <v>7588</v>
      </c>
      <c r="B1527" t="s">
        <v>7589</v>
      </c>
      <c r="D1527" t="s">
        <v>1832</v>
      </c>
      <c r="E1527" t="s">
        <v>41</v>
      </c>
      <c r="J1527" t="s">
        <v>54</v>
      </c>
      <c r="K1527" t="s">
        <v>55</v>
      </c>
      <c r="L1527">
        <v>5</v>
      </c>
      <c r="M1527" t="s">
        <v>7590</v>
      </c>
      <c r="N1527" t="s">
        <v>47</v>
      </c>
      <c r="O1527" t="s">
        <v>1835</v>
      </c>
      <c r="P1527" t="s">
        <v>1835</v>
      </c>
      <c r="Y1527" t="s">
        <v>7591</v>
      </c>
    </row>
    <row r="1528" spans="1:25">
      <c r="A1528" t="s">
        <v>7592</v>
      </c>
      <c r="B1528" t="s">
        <v>7593</v>
      </c>
      <c r="D1528" t="s">
        <v>1832</v>
      </c>
      <c r="E1528" t="s">
        <v>41</v>
      </c>
      <c r="J1528" t="s">
        <v>54</v>
      </c>
      <c r="K1528" t="s">
        <v>55</v>
      </c>
      <c r="L1528">
        <v>5</v>
      </c>
      <c r="M1528" t="s">
        <v>7590</v>
      </c>
      <c r="N1528" t="s">
        <v>47</v>
      </c>
      <c r="O1528" t="s">
        <v>1835</v>
      </c>
      <c r="P1528" t="s">
        <v>1835</v>
      </c>
      <c r="Y1528" t="s">
        <v>7594</v>
      </c>
    </row>
    <row r="1529" spans="1:25">
      <c r="A1529" t="s">
        <v>7595</v>
      </c>
      <c r="B1529" t="s">
        <v>7596</v>
      </c>
      <c r="D1529" t="s">
        <v>1832</v>
      </c>
      <c r="E1529" t="s">
        <v>41</v>
      </c>
      <c r="J1529" t="s">
        <v>78</v>
      </c>
      <c r="K1529" t="s">
        <v>79</v>
      </c>
      <c r="L1529">
        <v>5</v>
      </c>
      <c r="M1529" t="s">
        <v>7590</v>
      </c>
      <c r="N1529" t="s">
        <v>47</v>
      </c>
      <c r="O1529" t="s">
        <v>1835</v>
      </c>
      <c r="P1529" t="s">
        <v>1835</v>
      </c>
      <c r="Y1529" t="s">
        <v>7597</v>
      </c>
    </row>
    <row r="1530" spans="1:25">
      <c r="A1530" t="s">
        <v>7598</v>
      </c>
      <c r="B1530" t="s">
        <v>7599</v>
      </c>
      <c r="D1530" t="s">
        <v>1832</v>
      </c>
      <c r="E1530" t="s">
        <v>41</v>
      </c>
      <c r="J1530" t="s">
        <v>44</v>
      </c>
      <c r="K1530" t="s">
        <v>45</v>
      </c>
      <c r="L1530">
        <v>5</v>
      </c>
      <c r="M1530" t="s">
        <v>7600</v>
      </c>
      <c r="N1530" t="s">
        <v>47</v>
      </c>
      <c r="O1530" t="s">
        <v>1835</v>
      </c>
      <c r="P1530" t="s">
        <v>1835</v>
      </c>
      <c r="Y1530" t="s">
        <v>7601</v>
      </c>
    </row>
    <row r="1531" spans="1:25">
      <c r="A1531" t="s">
        <v>7602</v>
      </c>
      <c r="B1531" t="s">
        <v>7603</v>
      </c>
      <c r="D1531" t="s">
        <v>1832</v>
      </c>
      <c r="E1531" t="s">
        <v>41</v>
      </c>
      <c r="J1531" t="s">
        <v>133</v>
      </c>
      <c r="K1531" t="s">
        <v>134</v>
      </c>
      <c r="L1531">
        <v>5</v>
      </c>
      <c r="M1531" t="s">
        <v>7604</v>
      </c>
      <c r="N1531" t="s">
        <v>290</v>
      </c>
      <c r="O1531" t="s">
        <v>1835</v>
      </c>
      <c r="P1531" t="s">
        <v>1835</v>
      </c>
      <c r="Y1531" t="s">
        <v>7605</v>
      </c>
    </row>
    <row r="1532" spans="1:25">
      <c r="A1532" t="s">
        <v>7606</v>
      </c>
      <c r="B1532" t="s">
        <v>7607</v>
      </c>
      <c r="D1532" t="s">
        <v>1832</v>
      </c>
      <c r="E1532" t="s">
        <v>41</v>
      </c>
      <c r="H1532" t="s">
        <v>7608</v>
      </c>
      <c r="J1532" t="s">
        <v>90</v>
      </c>
      <c r="K1532" t="s">
        <v>91</v>
      </c>
      <c r="L1532">
        <v>5</v>
      </c>
      <c r="M1532" t="s">
        <v>7604</v>
      </c>
      <c r="N1532" t="s">
        <v>47</v>
      </c>
      <c r="O1532" t="s">
        <v>1835</v>
      </c>
      <c r="P1532" t="s">
        <v>1835</v>
      </c>
      <c r="Y1532" t="s">
        <v>7608</v>
      </c>
    </row>
    <row r="1533" spans="1:25">
      <c r="A1533" t="s">
        <v>7609</v>
      </c>
      <c r="B1533" t="s">
        <v>7610</v>
      </c>
      <c r="D1533" t="s">
        <v>1832</v>
      </c>
      <c r="E1533" t="s">
        <v>41</v>
      </c>
      <c r="H1533" t="s">
        <v>7611</v>
      </c>
      <c r="J1533" t="s">
        <v>90</v>
      </c>
      <c r="K1533" t="s">
        <v>91</v>
      </c>
      <c r="L1533">
        <v>5</v>
      </c>
      <c r="M1533" t="s">
        <v>7604</v>
      </c>
      <c r="N1533" t="s">
        <v>47</v>
      </c>
      <c r="O1533" t="s">
        <v>1835</v>
      </c>
      <c r="P1533" t="s">
        <v>1835</v>
      </c>
      <c r="Y1533" t="s">
        <v>7611</v>
      </c>
    </row>
    <row r="1534" spans="1:25">
      <c r="A1534" t="s">
        <v>7612</v>
      </c>
      <c r="B1534" t="s">
        <v>7613</v>
      </c>
      <c r="D1534" t="s">
        <v>1832</v>
      </c>
      <c r="E1534" t="s">
        <v>41</v>
      </c>
      <c r="J1534" t="s">
        <v>78</v>
      </c>
      <c r="K1534" t="s">
        <v>79</v>
      </c>
      <c r="L1534">
        <v>5</v>
      </c>
      <c r="M1534" t="s">
        <v>7614</v>
      </c>
      <c r="N1534" t="s">
        <v>47</v>
      </c>
      <c r="O1534" t="s">
        <v>1835</v>
      </c>
      <c r="P1534" t="s">
        <v>1835</v>
      </c>
      <c r="Y1534" t="s">
        <v>7615</v>
      </c>
    </row>
    <row r="1535" spans="1:25">
      <c r="A1535" t="s">
        <v>7616</v>
      </c>
      <c r="B1535" t="s">
        <v>7617</v>
      </c>
      <c r="D1535" t="s">
        <v>1832</v>
      </c>
      <c r="E1535" t="s">
        <v>41</v>
      </c>
      <c r="J1535" t="s">
        <v>44</v>
      </c>
      <c r="K1535" t="s">
        <v>45</v>
      </c>
      <c r="L1535">
        <v>5</v>
      </c>
      <c r="M1535" t="s">
        <v>7618</v>
      </c>
      <c r="N1535" t="s">
        <v>47</v>
      </c>
      <c r="O1535" t="s">
        <v>1835</v>
      </c>
      <c r="P1535" t="s">
        <v>1835</v>
      </c>
      <c r="Y1535" t="s">
        <v>7619</v>
      </c>
    </row>
    <row r="1536" spans="1:25">
      <c r="A1536" t="s">
        <v>7620</v>
      </c>
      <c r="B1536" t="s">
        <v>7621</v>
      </c>
      <c r="D1536" t="s">
        <v>1832</v>
      </c>
      <c r="E1536" t="s">
        <v>41</v>
      </c>
      <c r="J1536" t="s">
        <v>44</v>
      </c>
      <c r="K1536" t="s">
        <v>45</v>
      </c>
      <c r="L1536">
        <v>5</v>
      </c>
      <c r="M1536" t="s">
        <v>7622</v>
      </c>
      <c r="N1536" t="s">
        <v>47</v>
      </c>
      <c r="O1536" t="s">
        <v>1835</v>
      </c>
      <c r="P1536" t="s">
        <v>1835</v>
      </c>
      <c r="Y1536" t="s">
        <v>7623</v>
      </c>
    </row>
    <row r="1537" spans="1:25">
      <c r="A1537" t="s">
        <v>7624</v>
      </c>
      <c r="B1537" t="s">
        <v>7625</v>
      </c>
      <c r="D1537" t="s">
        <v>1832</v>
      </c>
      <c r="E1537" t="s">
        <v>41</v>
      </c>
      <c r="J1537" t="s">
        <v>78</v>
      </c>
      <c r="K1537" t="s">
        <v>79</v>
      </c>
      <c r="L1537">
        <v>5</v>
      </c>
      <c r="M1537" t="s">
        <v>7626</v>
      </c>
      <c r="N1537" t="s">
        <v>47</v>
      </c>
      <c r="O1537" t="s">
        <v>1835</v>
      </c>
      <c r="P1537" t="s">
        <v>1835</v>
      </c>
      <c r="Y1537" t="s">
        <v>7627</v>
      </c>
    </row>
    <row r="1538" spans="1:25">
      <c r="A1538" t="s">
        <v>7628</v>
      </c>
      <c r="B1538" t="s">
        <v>7629</v>
      </c>
      <c r="D1538" t="s">
        <v>1832</v>
      </c>
      <c r="E1538" t="s">
        <v>41</v>
      </c>
      <c r="J1538" t="s">
        <v>78</v>
      </c>
      <c r="K1538" t="s">
        <v>79</v>
      </c>
      <c r="L1538">
        <v>5</v>
      </c>
      <c r="M1538" t="s">
        <v>7630</v>
      </c>
      <c r="N1538" t="s">
        <v>47</v>
      </c>
      <c r="O1538" t="s">
        <v>1835</v>
      </c>
      <c r="P1538" t="s">
        <v>1835</v>
      </c>
      <c r="Y1538" t="s">
        <v>7631</v>
      </c>
    </row>
    <row r="1539" spans="1:25">
      <c r="A1539" t="s">
        <v>7632</v>
      </c>
      <c r="B1539" t="s">
        <v>7633</v>
      </c>
      <c r="D1539" t="s">
        <v>1832</v>
      </c>
      <c r="E1539" t="s">
        <v>41</v>
      </c>
      <c r="H1539" t="s">
        <v>7634</v>
      </c>
      <c r="J1539" t="s">
        <v>44</v>
      </c>
      <c r="K1539" t="s">
        <v>45</v>
      </c>
      <c r="L1539">
        <v>5</v>
      </c>
      <c r="M1539" t="s">
        <v>7630</v>
      </c>
      <c r="N1539" t="s">
        <v>47</v>
      </c>
      <c r="O1539" t="s">
        <v>1835</v>
      </c>
      <c r="P1539" t="s">
        <v>1835</v>
      </c>
      <c r="Y1539" t="s">
        <v>7634</v>
      </c>
    </row>
    <row r="1540" spans="1:25">
      <c r="A1540" t="s">
        <v>7635</v>
      </c>
      <c r="B1540" t="s">
        <v>7636</v>
      </c>
      <c r="D1540" t="s">
        <v>1832</v>
      </c>
      <c r="E1540" t="s">
        <v>41</v>
      </c>
      <c r="J1540" t="s">
        <v>44</v>
      </c>
      <c r="K1540" t="s">
        <v>45</v>
      </c>
      <c r="L1540">
        <v>5</v>
      </c>
      <c r="M1540" t="s">
        <v>7637</v>
      </c>
      <c r="N1540" t="s">
        <v>47</v>
      </c>
      <c r="O1540" t="s">
        <v>1835</v>
      </c>
      <c r="P1540" t="s">
        <v>1835</v>
      </c>
      <c r="Y1540" t="s">
        <v>7638</v>
      </c>
    </row>
    <row r="1541" spans="1:25">
      <c r="A1541" t="s">
        <v>7639</v>
      </c>
      <c r="B1541" t="s">
        <v>7640</v>
      </c>
      <c r="D1541" t="s">
        <v>1832</v>
      </c>
      <c r="E1541" t="s">
        <v>41</v>
      </c>
      <c r="H1541" t="s">
        <v>7641</v>
      </c>
      <c r="J1541" t="s">
        <v>44</v>
      </c>
      <c r="K1541" t="s">
        <v>45</v>
      </c>
      <c r="L1541">
        <v>5</v>
      </c>
      <c r="M1541" t="s">
        <v>7642</v>
      </c>
      <c r="N1541" t="s">
        <v>47</v>
      </c>
      <c r="O1541" t="s">
        <v>1835</v>
      </c>
      <c r="P1541" t="s">
        <v>1835</v>
      </c>
      <c r="Y1541" t="s">
        <v>7641</v>
      </c>
    </row>
    <row r="1542" spans="1:25">
      <c r="A1542" t="s">
        <v>7643</v>
      </c>
      <c r="B1542" t="s">
        <v>7644</v>
      </c>
      <c r="D1542" t="s">
        <v>1832</v>
      </c>
      <c r="E1542" t="s">
        <v>41</v>
      </c>
      <c r="J1542" t="s">
        <v>371</v>
      </c>
      <c r="K1542" t="s">
        <v>372</v>
      </c>
      <c r="L1542">
        <v>5</v>
      </c>
      <c r="M1542" t="s">
        <v>7642</v>
      </c>
      <c r="N1542" t="s">
        <v>47</v>
      </c>
      <c r="O1542" t="s">
        <v>1835</v>
      </c>
      <c r="P1542" t="s">
        <v>1835</v>
      </c>
      <c r="Y1542" t="s">
        <v>7645</v>
      </c>
    </row>
    <row r="1543" spans="1:25">
      <c r="A1543" t="s">
        <v>7646</v>
      </c>
      <c r="B1543" t="s">
        <v>7647</v>
      </c>
      <c r="D1543" t="s">
        <v>1832</v>
      </c>
      <c r="E1543" t="s">
        <v>41</v>
      </c>
      <c r="J1543" t="s">
        <v>78</v>
      </c>
      <c r="K1543" t="s">
        <v>79</v>
      </c>
      <c r="L1543">
        <v>5</v>
      </c>
      <c r="M1543" t="s">
        <v>7642</v>
      </c>
      <c r="N1543" t="s">
        <v>47</v>
      </c>
      <c r="O1543" t="s">
        <v>1835</v>
      </c>
      <c r="P1543" t="s">
        <v>1835</v>
      </c>
      <c r="Y1543" t="s">
        <v>7648</v>
      </c>
    </row>
    <row r="1544" spans="1:25">
      <c r="A1544" t="s">
        <v>7649</v>
      </c>
      <c r="B1544" t="s">
        <v>7650</v>
      </c>
      <c r="D1544" t="s">
        <v>1832</v>
      </c>
      <c r="E1544" t="s">
        <v>41</v>
      </c>
      <c r="J1544" t="s">
        <v>44</v>
      </c>
      <c r="K1544" t="s">
        <v>45</v>
      </c>
      <c r="L1544">
        <v>5</v>
      </c>
      <c r="M1544" t="s">
        <v>7642</v>
      </c>
      <c r="N1544" t="s">
        <v>47</v>
      </c>
      <c r="O1544" t="s">
        <v>1835</v>
      </c>
      <c r="P1544" t="s">
        <v>1835</v>
      </c>
      <c r="Y1544" t="s">
        <v>7651</v>
      </c>
    </row>
    <row r="1545" spans="1:25">
      <c r="A1545" t="s">
        <v>7652</v>
      </c>
      <c r="B1545" t="s">
        <v>7653</v>
      </c>
      <c r="D1545" t="s">
        <v>1832</v>
      </c>
      <c r="E1545" t="s">
        <v>41</v>
      </c>
      <c r="H1545" t="s">
        <v>7654</v>
      </c>
      <c r="J1545" t="s">
        <v>78</v>
      </c>
      <c r="K1545" t="s">
        <v>79</v>
      </c>
      <c r="L1545">
        <v>5</v>
      </c>
      <c r="M1545" t="s">
        <v>7655</v>
      </c>
      <c r="N1545" t="s">
        <v>47</v>
      </c>
      <c r="O1545" t="s">
        <v>1835</v>
      </c>
      <c r="P1545" t="s">
        <v>1835</v>
      </c>
      <c r="Y1545" t="s">
        <v>7654</v>
      </c>
    </row>
    <row r="1546" spans="1:25">
      <c r="A1546" t="s">
        <v>7656</v>
      </c>
      <c r="B1546" t="s">
        <v>7657</v>
      </c>
      <c r="D1546" t="s">
        <v>1832</v>
      </c>
      <c r="E1546" t="s">
        <v>41</v>
      </c>
      <c r="J1546" t="s">
        <v>44</v>
      </c>
      <c r="K1546" t="s">
        <v>45</v>
      </c>
      <c r="L1546">
        <v>5</v>
      </c>
      <c r="M1546" t="s">
        <v>7658</v>
      </c>
      <c r="N1546" t="s">
        <v>47</v>
      </c>
      <c r="O1546" t="s">
        <v>1835</v>
      </c>
      <c r="P1546" t="s">
        <v>1835</v>
      </c>
      <c r="Y1546" t="s">
        <v>7659</v>
      </c>
    </row>
    <row r="1547" spans="1:25">
      <c r="A1547" t="s">
        <v>7660</v>
      </c>
      <c r="B1547" t="s">
        <v>7661</v>
      </c>
      <c r="D1547" t="s">
        <v>1832</v>
      </c>
      <c r="E1547" t="s">
        <v>41</v>
      </c>
      <c r="J1547" t="s">
        <v>90</v>
      </c>
      <c r="K1547" t="s">
        <v>91</v>
      </c>
      <c r="L1547">
        <v>5</v>
      </c>
      <c r="M1547" t="s">
        <v>7662</v>
      </c>
      <c r="N1547" t="s">
        <v>47</v>
      </c>
      <c r="O1547" t="s">
        <v>1835</v>
      </c>
      <c r="P1547" t="s">
        <v>1835</v>
      </c>
      <c r="Y1547" t="s">
        <v>7663</v>
      </c>
    </row>
    <row r="1548" spans="1:25">
      <c r="A1548" t="s">
        <v>7664</v>
      </c>
      <c r="B1548" t="s">
        <v>7665</v>
      </c>
      <c r="D1548" t="s">
        <v>1832</v>
      </c>
      <c r="E1548" t="s">
        <v>41</v>
      </c>
      <c r="J1548" t="s">
        <v>78</v>
      </c>
      <c r="K1548" t="s">
        <v>79</v>
      </c>
      <c r="L1548">
        <v>5</v>
      </c>
      <c r="M1548" t="s">
        <v>7662</v>
      </c>
      <c r="N1548" t="s">
        <v>47</v>
      </c>
      <c r="O1548" t="s">
        <v>1835</v>
      </c>
      <c r="P1548" t="s">
        <v>1835</v>
      </c>
      <c r="Y1548" t="s">
        <v>7666</v>
      </c>
    </row>
    <row r="1549" spans="1:25">
      <c r="A1549" t="s">
        <v>7667</v>
      </c>
      <c r="B1549" t="s">
        <v>7668</v>
      </c>
      <c r="D1549" t="s">
        <v>1832</v>
      </c>
      <c r="E1549" t="s">
        <v>41</v>
      </c>
      <c r="J1549" t="s">
        <v>54</v>
      </c>
      <c r="K1549" t="s">
        <v>55</v>
      </c>
      <c r="L1549">
        <v>5</v>
      </c>
      <c r="M1549" t="s">
        <v>7662</v>
      </c>
      <c r="N1549" t="s">
        <v>47</v>
      </c>
      <c r="O1549" t="s">
        <v>1835</v>
      </c>
      <c r="P1549" t="s">
        <v>1835</v>
      </c>
      <c r="Y1549" t="s">
        <v>7669</v>
      </c>
    </row>
    <row r="1550" spans="1:25">
      <c r="A1550" t="s">
        <v>7670</v>
      </c>
      <c r="B1550" t="s">
        <v>7671</v>
      </c>
      <c r="D1550" t="s">
        <v>1832</v>
      </c>
      <c r="E1550" t="s">
        <v>41</v>
      </c>
      <c r="H1550" t="s">
        <v>7672</v>
      </c>
      <c r="J1550" t="s">
        <v>90</v>
      </c>
      <c r="K1550" t="s">
        <v>91</v>
      </c>
      <c r="L1550">
        <v>5</v>
      </c>
      <c r="M1550" t="s">
        <v>7673</v>
      </c>
      <c r="N1550" t="s">
        <v>47</v>
      </c>
      <c r="O1550" t="s">
        <v>1835</v>
      </c>
      <c r="P1550" t="s">
        <v>1835</v>
      </c>
      <c r="Y1550" t="s">
        <v>7672</v>
      </c>
    </row>
    <row r="1551" spans="1:25">
      <c r="A1551" t="s">
        <v>7674</v>
      </c>
      <c r="B1551" t="s">
        <v>7675</v>
      </c>
      <c r="D1551" t="s">
        <v>1832</v>
      </c>
      <c r="E1551" t="s">
        <v>41</v>
      </c>
      <c r="J1551" t="s">
        <v>44</v>
      </c>
      <c r="K1551" t="s">
        <v>45</v>
      </c>
      <c r="L1551">
        <v>5</v>
      </c>
      <c r="M1551" t="s">
        <v>7676</v>
      </c>
      <c r="N1551" t="s">
        <v>47</v>
      </c>
      <c r="O1551" t="s">
        <v>1835</v>
      </c>
      <c r="P1551" t="s">
        <v>1835</v>
      </c>
      <c r="Y1551" t="s">
        <v>7677</v>
      </c>
    </row>
    <row r="1552" spans="1:25">
      <c r="A1552" t="s">
        <v>7678</v>
      </c>
      <c r="B1552" t="s">
        <v>7679</v>
      </c>
      <c r="D1552" t="s">
        <v>1832</v>
      </c>
      <c r="E1552" t="s">
        <v>41</v>
      </c>
      <c r="J1552" t="s">
        <v>54</v>
      </c>
      <c r="K1552" t="s">
        <v>55</v>
      </c>
      <c r="L1552">
        <v>5</v>
      </c>
      <c r="M1552" t="s">
        <v>7676</v>
      </c>
      <c r="N1552" t="s">
        <v>47</v>
      </c>
      <c r="O1552" t="s">
        <v>1835</v>
      </c>
      <c r="P1552" t="s">
        <v>1835</v>
      </c>
      <c r="Y1552" t="s">
        <v>7680</v>
      </c>
    </row>
    <row r="1553" spans="1:25">
      <c r="A1553" t="s">
        <v>7681</v>
      </c>
      <c r="B1553" t="s">
        <v>7682</v>
      </c>
      <c r="D1553" t="s">
        <v>1832</v>
      </c>
      <c r="E1553" t="s">
        <v>41</v>
      </c>
      <c r="J1553" t="s">
        <v>90</v>
      </c>
      <c r="K1553" t="s">
        <v>91</v>
      </c>
      <c r="L1553">
        <v>5</v>
      </c>
      <c r="M1553" t="s">
        <v>7676</v>
      </c>
      <c r="N1553" t="s">
        <v>47</v>
      </c>
      <c r="O1553" t="s">
        <v>1835</v>
      </c>
      <c r="P1553" t="s">
        <v>1835</v>
      </c>
      <c r="Y1553" t="s">
        <v>7683</v>
      </c>
    </row>
    <row r="1554" spans="1:25">
      <c r="A1554" t="s">
        <v>7684</v>
      </c>
      <c r="B1554" t="s">
        <v>7685</v>
      </c>
      <c r="D1554" t="s">
        <v>1832</v>
      </c>
      <c r="E1554" t="s">
        <v>41</v>
      </c>
      <c r="H1554" t="s">
        <v>7686</v>
      </c>
      <c r="J1554" t="s">
        <v>353</v>
      </c>
      <c r="K1554" t="s">
        <v>354</v>
      </c>
      <c r="L1554">
        <v>5</v>
      </c>
      <c r="M1554" t="s">
        <v>7687</v>
      </c>
      <c r="N1554" t="s">
        <v>135</v>
      </c>
      <c r="O1554" t="s">
        <v>1835</v>
      </c>
      <c r="P1554" t="s">
        <v>1835</v>
      </c>
      <c r="Y1554" t="s">
        <v>7686</v>
      </c>
    </row>
    <row r="1555" spans="1:25">
      <c r="A1555" t="s">
        <v>7688</v>
      </c>
      <c r="B1555" t="s">
        <v>7689</v>
      </c>
      <c r="D1555" t="s">
        <v>1832</v>
      </c>
      <c r="E1555" t="s">
        <v>41</v>
      </c>
      <c r="J1555" t="s">
        <v>90</v>
      </c>
      <c r="K1555" t="s">
        <v>91</v>
      </c>
      <c r="L1555">
        <v>5</v>
      </c>
      <c r="M1555" t="s">
        <v>7690</v>
      </c>
      <c r="N1555" t="s">
        <v>47</v>
      </c>
      <c r="O1555" t="s">
        <v>1835</v>
      </c>
      <c r="P1555" t="s">
        <v>1835</v>
      </c>
      <c r="Y1555" t="s">
        <v>7691</v>
      </c>
    </row>
    <row r="1556" spans="1:25">
      <c r="A1556" t="s">
        <v>7692</v>
      </c>
      <c r="B1556" t="s">
        <v>7693</v>
      </c>
      <c r="D1556" t="s">
        <v>1832</v>
      </c>
      <c r="E1556" t="s">
        <v>41</v>
      </c>
      <c r="J1556" t="s">
        <v>44</v>
      </c>
      <c r="K1556" t="s">
        <v>45</v>
      </c>
      <c r="L1556">
        <v>5</v>
      </c>
      <c r="M1556" t="s">
        <v>7694</v>
      </c>
      <c r="N1556" t="s">
        <v>47</v>
      </c>
      <c r="O1556" t="s">
        <v>1835</v>
      </c>
      <c r="P1556" t="s">
        <v>1835</v>
      </c>
      <c r="Y1556" t="s">
        <v>7695</v>
      </c>
    </row>
    <row r="1557" spans="1:25">
      <c r="A1557" t="s">
        <v>7696</v>
      </c>
      <c r="B1557" t="s">
        <v>7697</v>
      </c>
      <c r="D1557" t="s">
        <v>1832</v>
      </c>
      <c r="E1557" t="s">
        <v>41</v>
      </c>
      <c r="J1557" t="s">
        <v>78</v>
      </c>
      <c r="K1557" t="s">
        <v>79</v>
      </c>
      <c r="L1557">
        <v>5</v>
      </c>
      <c r="M1557" t="s">
        <v>7698</v>
      </c>
      <c r="N1557" t="s">
        <v>47</v>
      </c>
      <c r="O1557" t="s">
        <v>1835</v>
      </c>
      <c r="P1557" t="s">
        <v>1835</v>
      </c>
      <c r="Y1557" t="s">
        <v>7699</v>
      </c>
    </row>
    <row r="1558" spans="1:25">
      <c r="A1558" t="s">
        <v>7700</v>
      </c>
      <c r="B1558" t="s">
        <v>7701</v>
      </c>
      <c r="D1558" t="s">
        <v>1832</v>
      </c>
      <c r="E1558" t="s">
        <v>41</v>
      </c>
      <c r="H1558" t="s">
        <v>7702</v>
      </c>
      <c r="J1558" t="s">
        <v>44</v>
      </c>
      <c r="K1558" t="s">
        <v>45</v>
      </c>
      <c r="L1558">
        <v>5</v>
      </c>
      <c r="M1558" t="s">
        <v>7703</v>
      </c>
      <c r="N1558" t="s">
        <v>47</v>
      </c>
      <c r="O1558" t="s">
        <v>1835</v>
      </c>
      <c r="P1558" t="s">
        <v>1835</v>
      </c>
      <c r="Y1558" t="s">
        <v>7702</v>
      </c>
    </row>
    <row r="1559" spans="1:25">
      <c r="A1559" t="s">
        <v>7704</v>
      </c>
      <c r="B1559" t="s">
        <v>7705</v>
      </c>
      <c r="D1559" t="s">
        <v>1832</v>
      </c>
      <c r="E1559" t="s">
        <v>41</v>
      </c>
      <c r="J1559" t="s">
        <v>133</v>
      </c>
      <c r="K1559" t="s">
        <v>134</v>
      </c>
      <c r="L1559">
        <v>5</v>
      </c>
      <c r="M1559" t="s">
        <v>7706</v>
      </c>
      <c r="N1559" t="s">
        <v>685</v>
      </c>
      <c r="O1559" t="s">
        <v>1835</v>
      </c>
      <c r="P1559" t="s">
        <v>1835</v>
      </c>
      <c r="Y1559" t="s">
        <v>7707</v>
      </c>
    </row>
    <row r="1560" spans="1:25">
      <c r="A1560" t="s">
        <v>7708</v>
      </c>
      <c r="B1560" t="s">
        <v>7709</v>
      </c>
      <c r="D1560" t="s">
        <v>1832</v>
      </c>
      <c r="E1560" t="s">
        <v>41</v>
      </c>
      <c r="J1560" t="s">
        <v>133</v>
      </c>
      <c r="K1560" t="s">
        <v>134</v>
      </c>
      <c r="L1560">
        <v>5</v>
      </c>
      <c r="M1560" t="s">
        <v>7710</v>
      </c>
      <c r="N1560" t="s">
        <v>290</v>
      </c>
      <c r="O1560" t="s">
        <v>1835</v>
      </c>
      <c r="P1560" t="s">
        <v>1835</v>
      </c>
      <c r="Y1560" t="s">
        <v>7711</v>
      </c>
    </row>
    <row r="1561" spans="1:25">
      <c r="A1561" t="s">
        <v>7712</v>
      </c>
      <c r="B1561" t="s">
        <v>7713</v>
      </c>
      <c r="D1561" t="s">
        <v>1832</v>
      </c>
      <c r="E1561" t="s">
        <v>41</v>
      </c>
      <c r="J1561" t="s">
        <v>44</v>
      </c>
      <c r="K1561" t="s">
        <v>45</v>
      </c>
      <c r="L1561">
        <v>5</v>
      </c>
      <c r="M1561" t="s">
        <v>7710</v>
      </c>
      <c r="N1561" t="s">
        <v>47</v>
      </c>
      <c r="O1561" t="s">
        <v>1835</v>
      </c>
      <c r="P1561" t="s">
        <v>1835</v>
      </c>
      <c r="Y1561" t="s">
        <v>7714</v>
      </c>
    </row>
    <row r="1562" spans="1:25">
      <c r="A1562" t="s">
        <v>7715</v>
      </c>
      <c r="B1562" t="s">
        <v>7716</v>
      </c>
      <c r="D1562" t="s">
        <v>1832</v>
      </c>
      <c r="E1562" t="s">
        <v>41</v>
      </c>
      <c r="H1562" t="s">
        <v>7717</v>
      </c>
      <c r="J1562" t="s">
        <v>78</v>
      </c>
      <c r="K1562" t="s">
        <v>79</v>
      </c>
      <c r="L1562">
        <v>5</v>
      </c>
      <c r="M1562" t="s">
        <v>7710</v>
      </c>
      <c r="N1562" t="s">
        <v>47</v>
      </c>
      <c r="O1562" t="s">
        <v>1835</v>
      </c>
      <c r="P1562" t="s">
        <v>1835</v>
      </c>
      <c r="Y1562" t="s">
        <v>7717</v>
      </c>
    </row>
    <row r="1563" spans="1:25">
      <c r="A1563" t="s">
        <v>7718</v>
      </c>
      <c r="B1563" t="s">
        <v>7719</v>
      </c>
      <c r="D1563" t="s">
        <v>1832</v>
      </c>
      <c r="E1563" t="s">
        <v>41</v>
      </c>
      <c r="J1563" t="s">
        <v>90</v>
      </c>
      <c r="K1563" t="s">
        <v>91</v>
      </c>
      <c r="L1563">
        <v>5</v>
      </c>
      <c r="M1563" t="s">
        <v>7720</v>
      </c>
      <c r="N1563" t="s">
        <v>47</v>
      </c>
      <c r="O1563" t="s">
        <v>1835</v>
      </c>
      <c r="P1563" t="s">
        <v>1835</v>
      </c>
      <c r="Y1563" t="s">
        <v>7721</v>
      </c>
    </row>
    <row r="1564" spans="1:25">
      <c r="A1564" t="s">
        <v>7722</v>
      </c>
      <c r="B1564" t="s">
        <v>7723</v>
      </c>
      <c r="D1564" t="s">
        <v>1832</v>
      </c>
      <c r="E1564" t="s">
        <v>41</v>
      </c>
      <c r="H1564" t="s">
        <v>7724</v>
      </c>
      <c r="J1564" t="s">
        <v>133</v>
      </c>
      <c r="K1564" t="s">
        <v>134</v>
      </c>
      <c r="L1564">
        <v>5</v>
      </c>
      <c r="M1564" t="s">
        <v>7725</v>
      </c>
      <c r="N1564" t="s">
        <v>47</v>
      </c>
      <c r="O1564" t="s">
        <v>1835</v>
      </c>
      <c r="P1564" t="s">
        <v>1835</v>
      </c>
      <c r="Y1564" t="s">
        <v>7724</v>
      </c>
    </row>
    <row r="1565" spans="1:25">
      <c r="A1565" t="s">
        <v>7726</v>
      </c>
      <c r="B1565" t="s">
        <v>7727</v>
      </c>
      <c r="D1565" t="s">
        <v>1832</v>
      </c>
      <c r="E1565" t="s">
        <v>41</v>
      </c>
      <c r="J1565" t="s">
        <v>54</v>
      </c>
      <c r="K1565" t="s">
        <v>55</v>
      </c>
      <c r="L1565">
        <v>5</v>
      </c>
      <c r="M1565" t="s">
        <v>7728</v>
      </c>
      <c r="N1565" t="s">
        <v>47</v>
      </c>
      <c r="O1565" t="s">
        <v>1835</v>
      </c>
      <c r="P1565" t="s">
        <v>1835</v>
      </c>
      <c r="Y1565" t="s">
        <v>7729</v>
      </c>
    </row>
    <row r="1566" spans="1:25">
      <c r="A1566" t="s">
        <v>7730</v>
      </c>
      <c r="B1566" t="s">
        <v>7731</v>
      </c>
      <c r="D1566" t="s">
        <v>1832</v>
      </c>
      <c r="E1566" t="s">
        <v>41</v>
      </c>
      <c r="H1566" t="s">
        <v>7732</v>
      </c>
      <c r="J1566" t="s">
        <v>90</v>
      </c>
      <c r="K1566" t="s">
        <v>91</v>
      </c>
      <c r="L1566">
        <v>5</v>
      </c>
      <c r="M1566" t="s">
        <v>7733</v>
      </c>
      <c r="N1566" t="s">
        <v>47</v>
      </c>
      <c r="O1566" t="s">
        <v>1835</v>
      </c>
      <c r="P1566" t="s">
        <v>1835</v>
      </c>
      <c r="Y1566" t="s">
        <v>7732</v>
      </c>
    </row>
    <row r="1567" spans="1:25">
      <c r="A1567" t="s">
        <v>7734</v>
      </c>
      <c r="B1567" t="s">
        <v>7735</v>
      </c>
      <c r="D1567" t="s">
        <v>1832</v>
      </c>
      <c r="E1567" t="s">
        <v>41</v>
      </c>
      <c r="J1567" t="s">
        <v>54</v>
      </c>
      <c r="K1567" t="s">
        <v>55</v>
      </c>
      <c r="L1567">
        <v>5</v>
      </c>
      <c r="M1567" t="s">
        <v>7733</v>
      </c>
      <c r="N1567" t="s">
        <v>47</v>
      </c>
      <c r="O1567" t="s">
        <v>1835</v>
      </c>
      <c r="P1567" t="s">
        <v>1835</v>
      </c>
      <c r="Y1567" t="s">
        <v>7736</v>
      </c>
    </row>
    <row r="1568" spans="1:25">
      <c r="A1568" t="s">
        <v>7737</v>
      </c>
      <c r="B1568" t="s">
        <v>7738</v>
      </c>
      <c r="D1568" t="s">
        <v>1832</v>
      </c>
      <c r="E1568" t="s">
        <v>41</v>
      </c>
      <c r="J1568" t="s">
        <v>54</v>
      </c>
      <c r="K1568" t="s">
        <v>55</v>
      </c>
      <c r="L1568">
        <v>5</v>
      </c>
      <c r="M1568" t="s">
        <v>7733</v>
      </c>
      <c r="N1568" t="s">
        <v>47</v>
      </c>
      <c r="O1568" t="s">
        <v>1835</v>
      </c>
      <c r="P1568" t="s">
        <v>1835</v>
      </c>
      <c r="Y1568" t="s">
        <v>7739</v>
      </c>
    </row>
    <row r="1569" spans="1:25">
      <c r="A1569" t="s">
        <v>7740</v>
      </c>
      <c r="B1569" t="s">
        <v>7741</v>
      </c>
      <c r="D1569" t="s">
        <v>1832</v>
      </c>
      <c r="E1569" t="s">
        <v>41</v>
      </c>
      <c r="J1569" t="s">
        <v>44</v>
      </c>
      <c r="K1569" t="s">
        <v>45</v>
      </c>
      <c r="L1569">
        <v>5</v>
      </c>
      <c r="M1569" t="s">
        <v>7742</v>
      </c>
      <c r="N1569" t="s">
        <v>47</v>
      </c>
      <c r="O1569" t="s">
        <v>1835</v>
      </c>
      <c r="P1569" t="s">
        <v>1835</v>
      </c>
      <c r="Y1569" t="s">
        <v>7743</v>
      </c>
    </row>
    <row r="1570" spans="1:25">
      <c r="A1570" t="s">
        <v>7744</v>
      </c>
      <c r="B1570" t="s">
        <v>7745</v>
      </c>
      <c r="D1570" t="s">
        <v>1832</v>
      </c>
      <c r="E1570" t="s">
        <v>41</v>
      </c>
      <c r="J1570" t="s">
        <v>90</v>
      </c>
      <c r="K1570" t="s">
        <v>91</v>
      </c>
      <c r="L1570">
        <v>5</v>
      </c>
      <c r="M1570" t="s">
        <v>7746</v>
      </c>
      <c r="N1570" t="s">
        <v>47</v>
      </c>
      <c r="O1570" t="s">
        <v>1835</v>
      </c>
      <c r="P1570" t="s">
        <v>1835</v>
      </c>
      <c r="Y1570" t="s">
        <v>7747</v>
      </c>
    </row>
    <row r="1571" spans="1:25">
      <c r="A1571" t="s">
        <v>7748</v>
      </c>
      <c r="B1571" t="s">
        <v>7749</v>
      </c>
      <c r="D1571" t="s">
        <v>1832</v>
      </c>
      <c r="E1571" t="s">
        <v>41</v>
      </c>
      <c r="J1571" t="s">
        <v>90</v>
      </c>
      <c r="K1571" t="s">
        <v>91</v>
      </c>
      <c r="L1571">
        <v>5</v>
      </c>
      <c r="M1571" t="s">
        <v>7750</v>
      </c>
      <c r="N1571" t="s">
        <v>47</v>
      </c>
      <c r="O1571" t="s">
        <v>1835</v>
      </c>
      <c r="P1571" t="s">
        <v>1835</v>
      </c>
      <c r="Y1571" t="s">
        <v>7751</v>
      </c>
    </row>
    <row r="1572" spans="1:25">
      <c r="A1572" t="s">
        <v>7752</v>
      </c>
      <c r="B1572" t="s">
        <v>7753</v>
      </c>
      <c r="D1572" t="s">
        <v>1832</v>
      </c>
      <c r="E1572" t="s">
        <v>41</v>
      </c>
      <c r="J1572" t="s">
        <v>90</v>
      </c>
      <c r="K1572" t="s">
        <v>91</v>
      </c>
      <c r="L1572">
        <v>5</v>
      </c>
      <c r="M1572" t="s">
        <v>7754</v>
      </c>
      <c r="N1572" t="s">
        <v>47</v>
      </c>
      <c r="O1572" t="s">
        <v>1835</v>
      </c>
      <c r="P1572" t="s">
        <v>1835</v>
      </c>
      <c r="Y1572" t="s">
        <v>7755</v>
      </c>
    </row>
    <row r="1573" spans="1:25">
      <c r="A1573" t="s">
        <v>7756</v>
      </c>
      <c r="B1573" t="s">
        <v>7757</v>
      </c>
      <c r="D1573" t="s">
        <v>1832</v>
      </c>
      <c r="E1573" t="s">
        <v>41</v>
      </c>
      <c r="H1573" t="s">
        <v>7758</v>
      </c>
      <c r="J1573" t="s">
        <v>1827</v>
      </c>
      <c r="K1573" t="s">
        <v>1828</v>
      </c>
      <c r="L1573">
        <v>5</v>
      </c>
      <c r="M1573" t="s">
        <v>7759</v>
      </c>
      <c r="N1573" t="s">
        <v>47</v>
      </c>
      <c r="O1573" t="s">
        <v>1835</v>
      </c>
      <c r="P1573" t="s">
        <v>1835</v>
      </c>
      <c r="Y1573" t="s">
        <v>7758</v>
      </c>
    </row>
    <row r="1574" spans="1:25">
      <c r="A1574" t="s">
        <v>7760</v>
      </c>
      <c r="B1574" t="s">
        <v>7761</v>
      </c>
      <c r="D1574" t="s">
        <v>1832</v>
      </c>
      <c r="E1574" t="s">
        <v>41</v>
      </c>
      <c r="J1574" t="s">
        <v>353</v>
      </c>
      <c r="K1574" t="s">
        <v>354</v>
      </c>
      <c r="L1574">
        <v>5</v>
      </c>
      <c r="M1574" t="s">
        <v>7762</v>
      </c>
      <c r="N1574" t="s">
        <v>135</v>
      </c>
      <c r="O1574" t="s">
        <v>1835</v>
      </c>
      <c r="P1574" t="s">
        <v>1835</v>
      </c>
      <c r="Y1574" t="s">
        <v>7763</v>
      </c>
    </row>
    <row r="1575" spans="1:25">
      <c r="A1575" t="s">
        <v>7764</v>
      </c>
      <c r="B1575" t="s">
        <v>7765</v>
      </c>
      <c r="D1575" t="s">
        <v>1832</v>
      </c>
      <c r="E1575" t="s">
        <v>41</v>
      </c>
      <c r="J1575" t="s">
        <v>44</v>
      </c>
      <c r="K1575" t="s">
        <v>45</v>
      </c>
      <c r="L1575">
        <v>5</v>
      </c>
      <c r="M1575" t="s">
        <v>7762</v>
      </c>
      <c r="N1575" t="s">
        <v>47</v>
      </c>
      <c r="O1575" t="s">
        <v>1835</v>
      </c>
      <c r="P1575" t="s">
        <v>1835</v>
      </c>
      <c r="Y1575" t="s">
        <v>7766</v>
      </c>
    </row>
    <row r="1576" spans="1:25">
      <c r="A1576" t="s">
        <v>7767</v>
      </c>
      <c r="B1576" t="s">
        <v>7768</v>
      </c>
      <c r="D1576" t="s">
        <v>1832</v>
      </c>
      <c r="E1576" t="s">
        <v>41</v>
      </c>
      <c r="J1576" t="s">
        <v>90</v>
      </c>
      <c r="K1576" t="s">
        <v>91</v>
      </c>
      <c r="L1576">
        <v>5</v>
      </c>
      <c r="M1576" t="s">
        <v>7769</v>
      </c>
      <c r="N1576" t="s">
        <v>47</v>
      </c>
      <c r="O1576" t="s">
        <v>1835</v>
      </c>
      <c r="P1576" t="s">
        <v>1835</v>
      </c>
      <c r="Y1576" t="s">
        <v>7770</v>
      </c>
    </row>
    <row r="1577" spans="1:25">
      <c r="A1577" t="s">
        <v>7771</v>
      </c>
      <c r="B1577" t="s">
        <v>7772</v>
      </c>
      <c r="D1577" t="s">
        <v>1832</v>
      </c>
      <c r="E1577" t="s">
        <v>41</v>
      </c>
      <c r="H1577" t="s">
        <v>7773</v>
      </c>
      <c r="J1577" t="s">
        <v>353</v>
      </c>
      <c r="K1577" t="s">
        <v>354</v>
      </c>
      <c r="L1577">
        <v>5</v>
      </c>
      <c r="M1577" t="s">
        <v>7774</v>
      </c>
      <c r="N1577" t="s">
        <v>290</v>
      </c>
      <c r="O1577" t="s">
        <v>1835</v>
      </c>
      <c r="P1577" t="s">
        <v>1835</v>
      </c>
      <c r="Y1577" t="s">
        <v>7773</v>
      </c>
    </row>
    <row r="1578" spans="1:25">
      <c r="A1578" t="s">
        <v>7775</v>
      </c>
      <c r="B1578" t="s">
        <v>7776</v>
      </c>
      <c r="D1578" t="s">
        <v>1832</v>
      </c>
      <c r="E1578" t="s">
        <v>41</v>
      </c>
      <c r="H1578" t="s">
        <v>7777</v>
      </c>
      <c r="J1578" t="s">
        <v>90</v>
      </c>
      <c r="K1578" t="s">
        <v>91</v>
      </c>
      <c r="L1578">
        <v>5</v>
      </c>
      <c r="M1578" t="s">
        <v>7778</v>
      </c>
      <c r="N1578" t="s">
        <v>47</v>
      </c>
      <c r="O1578" t="s">
        <v>1835</v>
      </c>
      <c r="P1578" t="s">
        <v>1835</v>
      </c>
      <c r="Y1578" t="s">
        <v>7777</v>
      </c>
    </row>
    <row r="1579" spans="1:25">
      <c r="A1579" t="s">
        <v>7779</v>
      </c>
      <c r="B1579" t="s">
        <v>7780</v>
      </c>
      <c r="D1579" t="s">
        <v>1832</v>
      </c>
      <c r="E1579" t="s">
        <v>41</v>
      </c>
      <c r="J1579" t="s">
        <v>44</v>
      </c>
      <c r="K1579" t="s">
        <v>45</v>
      </c>
      <c r="L1579">
        <v>5</v>
      </c>
      <c r="M1579" t="s">
        <v>7778</v>
      </c>
      <c r="N1579" t="s">
        <v>47</v>
      </c>
      <c r="O1579" t="s">
        <v>1835</v>
      </c>
      <c r="P1579" t="s">
        <v>1835</v>
      </c>
      <c r="Y1579" t="s">
        <v>7781</v>
      </c>
    </row>
    <row r="1580" spans="1:25">
      <c r="A1580" t="s">
        <v>7782</v>
      </c>
      <c r="B1580" t="s">
        <v>7783</v>
      </c>
      <c r="D1580" t="s">
        <v>1832</v>
      </c>
      <c r="E1580" t="s">
        <v>41</v>
      </c>
      <c r="H1580" t="s">
        <v>7784</v>
      </c>
      <c r="J1580" t="s">
        <v>133</v>
      </c>
      <c r="K1580" t="s">
        <v>134</v>
      </c>
      <c r="L1580">
        <v>5</v>
      </c>
      <c r="M1580" t="s">
        <v>7785</v>
      </c>
      <c r="N1580" t="s">
        <v>290</v>
      </c>
      <c r="O1580" t="s">
        <v>1835</v>
      </c>
      <c r="P1580" t="s">
        <v>1835</v>
      </c>
      <c r="Y1580" t="s">
        <v>7784</v>
      </c>
    </row>
    <row r="1581" spans="1:25">
      <c r="A1581" t="s">
        <v>7786</v>
      </c>
      <c r="B1581" t="s">
        <v>7787</v>
      </c>
      <c r="D1581" t="s">
        <v>1832</v>
      </c>
      <c r="E1581" t="s">
        <v>41</v>
      </c>
      <c r="H1581" t="s">
        <v>7788</v>
      </c>
      <c r="J1581" t="s">
        <v>54</v>
      </c>
      <c r="K1581" t="s">
        <v>55</v>
      </c>
      <c r="L1581">
        <v>5</v>
      </c>
      <c r="M1581" t="s">
        <v>7789</v>
      </c>
      <c r="N1581" t="s">
        <v>47</v>
      </c>
      <c r="O1581" t="s">
        <v>1835</v>
      </c>
      <c r="P1581" t="s">
        <v>1835</v>
      </c>
      <c r="Y1581" t="s">
        <v>7788</v>
      </c>
    </row>
    <row r="1582" spans="1:25">
      <c r="A1582" t="s">
        <v>7790</v>
      </c>
      <c r="B1582" t="s">
        <v>7791</v>
      </c>
      <c r="D1582" t="s">
        <v>1832</v>
      </c>
      <c r="E1582" t="s">
        <v>41</v>
      </c>
      <c r="J1582" t="s">
        <v>78</v>
      </c>
      <c r="K1582" t="s">
        <v>79</v>
      </c>
      <c r="L1582">
        <v>5</v>
      </c>
      <c r="M1582" t="s">
        <v>7792</v>
      </c>
      <c r="N1582" t="s">
        <v>47</v>
      </c>
      <c r="O1582" t="s">
        <v>1835</v>
      </c>
      <c r="P1582" t="s">
        <v>1835</v>
      </c>
      <c r="Y1582" t="s">
        <v>7793</v>
      </c>
    </row>
    <row r="1583" spans="1:25">
      <c r="A1583" t="s">
        <v>7794</v>
      </c>
      <c r="B1583" t="s">
        <v>7795</v>
      </c>
      <c r="D1583" t="s">
        <v>1832</v>
      </c>
      <c r="E1583" t="s">
        <v>41</v>
      </c>
      <c r="J1583" t="s">
        <v>44</v>
      </c>
      <c r="K1583" t="s">
        <v>45</v>
      </c>
      <c r="L1583">
        <v>5</v>
      </c>
      <c r="M1583" t="s">
        <v>7796</v>
      </c>
      <c r="N1583" t="s">
        <v>47</v>
      </c>
      <c r="O1583" t="s">
        <v>1835</v>
      </c>
      <c r="P1583" t="s">
        <v>1835</v>
      </c>
      <c r="Y1583" t="s">
        <v>7797</v>
      </c>
    </row>
    <row r="1584" spans="1:25">
      <c r="A1584" t="s">
        <v>7798</v>
      </c>
      <c r="B1584" t="s">
        <v>7799</v>
      </c>
      <c r="D1584" t="s">
        <v>1832</v>
      </c>
      <c r="E1584" t="s">
        <v>41</v>
      </c>
      <c r="H1584" t="s">
        <v>7800</v>
      </c>
      <c r="J1584" t="s">
        <v>927</v>
      </c>
      <c r="K1584" t="s">
        <v>928</v>
      </c>
      <c r="L1584">
        <v>6</v>
      </c>
      <c r="M1584" t="s">
        <v>7801</v>
      </c>
      <c r="N1584" t="s">
        <v>685</v>
      </c>
      <c r="O1584" t="s">
        <v>1835</v>
      </c>
      <c r="P1584" t="s">
        <v>1835</v>
      </c>
      <c r="Y1584" t="s">
        <v>7800</v>
      </c>
    </row>
    <row r="1585" spans="1:25">
      <c r="A1585" t="s">
        <v>7802</v>
      </c>
      <c r="B1585" t="s">
        <v>7803</v>
      </c>
      <c r="D1585" t="s">
        <v>1832</v>
      </c>
      <c r="E1585" t="s">
        <v>41</v>
      </c>
      <c r="J1585" t="s">
        <v>54</v>
      </c>
      <c r="K1585" t="s">
        <v>55</v>
      </c>
      <c r="L1585">
        <v>5</v>
      </c>
      <c r="M1585" t="s">
        <v>7804</v>
      </c>
      <c r="N1585" t="s">
        <v>47</v>
      </c>
      <c r="O1585" t="s">
        <v>1835</v>
      </c>
      <c r="P1585" t="s">
        <v>1835</v>
      </c>
      <c r="Y1585" t="s">
        <v>7805</v>
      </c>
    </row>
    <row r="1586" spans="1:25">
      <c r="A1586" t="s">
        <v>7806</v>
      </c>
      <c r="B1586" t="s">
        <v>7807</v>
      </c>
      <c r="D1586" t="s">
        <v>1832</v>
      </c>
      <c r="E1586" t="s">
        <v>41</v>
      </c>
      <c r="J1586" t="s">
        <v>371</v>
      </c>
      <c r="K1586" t="s">
        <v>372</v>
      </c>
      <c r="L1586">
        <v>5</v>
      </c>
      <c r="M1586" t="s">
        <v>7804</v>
      </c>
      <c r="N1586" t="s">
        <v>47</v>
      </c>
      <c r="O1586" t="s">
        <v>1835</v>
      </c>
      <c r="P1586" t="s">
        <v>1835</v>
      </c>
      <c r="Y1586" t="s">
        <v>7808</v>
      </c>
    </row>
    <row r="1587" spans="1:25">
      <c r="A1587" t="s">
        <v>7809</v>
      </c>
      <c r="B1587" t="s">
        <v>7810</v>
      </c>
      <c r="D1587" t="s">
        <v>1832</v>
      </c>
      <c r="E1587" t="s">
        <v>41</v>
      </c>
      <c r="J1587" t="s">
        <v>44</v>
      </c>
      <c r="K1587" t="s">
        <v>45</v>
      </c>
      <c r="L1587">
        <v>5</v>
      </c>
      <c r="M1587" t="s">
        <v>7811</v>
      </c>
      <c r="N1587" t="s">
        <v>47</v>
      </c>
      <c r="O1587" t="s">
        <v>1835</v>
      </c>
      <c r="P1587" t="s">
        <v>1835</v>
      </c>
      <c r="Y1587" t="s">
        <v>7812</v>
      </c>
    </row>
    <row r="1588" spans="1:25">
      <c r="A1588" t="s">
        <v>7813</v>
      </c>
      <c r="B1588" t="s">
        <v>7814</v>
      </c>
      <c r="D1588" t="s">
        <v>1832</v>
      </c>
      <c r="E1588" t="s">
        <v>41</v>
      </c>
      <c r="J1588" t="s">
        <v>44</v>
      </c>
      <c r="K1588" t="s">
        <v>45</v>
      </c>
      <c r="L1588">
        <v>5</v>
      </c>
      <c r="M1588" t="s">
        <v>7811</v>
      </c>
      <c r="N1588" t="s">
        <v>47</v>
      </c>
      <c r="O1588" t="s">
        <v>1835</v>
      </c>
      <c r="P1588" t="s">
        <v>1835</v>
      </c>
      <c r="Y1588" t="s">
        <v>7815</v>
      </c>
    </row>
    <row r="1589" spans="1:25">
      <c r="A1589" t="s">
        <v>7816</v>
      </c>
      <c r="B1589" t="s">
        <v>7817</v>
      </c>
      <c r="D1589" t="s">
        <v>1832</v>
      </c>
      <c r="E1589" t="s">
        <v>41</v>
      </c>
      <c r="J1589" t="s">
        <v>133</v>
      </c>
      <c r="K1589" t="s">
        <v>134</v>
      </c>
      <c r="L1589">
        <v>5</v>
      </c>
      <c r="M1589" t="s">
        <v>7818</v>
      </c>
      <c r="N1589" t="s">
        <v>135</v>
      </c>
      <c r="O1589" t="s">
        <v>1835</v>
      </c>
      <c r="P1589" t="s">
        <v>1835</v>
      </c>
      <c r="Y1589" t="s">
        <v>7819</v>
      </c>
    </row>
    <row r="1590" spans="1:25">
      <c r="A1590" t="s">
        <v>7820</v>
      </c>
      <c r="B1590" t="s">
        <v>7821</v>
      </c>
      <c r="D1590" t="s">
        <v>1832</v>
      </c>
      <c r="E1590" t="s">
        <v>41</v>
      </c>
      <c r="J1590" t="s">
        <v>90</v>
      </c>
      <c r="K1590" t="s">
        <v>91</v>
      </c>
      <c r="L1590">
        <v>5</v>
      </c>
      <c r="M1590" t="s">
        <v>7822</v>
      </c>
      <c r="N1590" t="s">
        <v>47</v>
      </c>
      <c r="O1590" t="s">
        <v>1835</v>
      </c>
      <c r="P1590" t="s">
        <v>1835</v>
      </c>
      <c r="Y1590" t="s">
        <v>7823</v>
      </c>
    </row>
    <row r="1591" spans="1:25">
      <c r="A1591" t="s">
        <v>7824</v>
      </c>
      <c r="B1591" t="s">
        <v>7825</v>
      </c>
      <c r="D1591" t="s">
        <v>1832</v>
      </c>
      <c r="E1591" t="s">
        <v>41</v>
      </c>
      <c r="J1591" t="s">
        <v>54</v>
      </c>
      <c r="K1591" t="s">
        <v>55</v>
      </c>
      <c r="L1591">
        <v>5</v>
      </c>
      <c r="M1591" t="s">
        <v>7826</v>
      </c>
      <c r="N1591" t="s">
        <v>47</v>
      </c>
      <c r="O1591" t="s">
        <v>1835</v>
      </c>
      <c r="P1591" t="s">
        <v>1835</v>
      </c>
      <c r="Y1591" t="s">
        <v>7827</v>
      </c>
    </row>
    <row r="1592" spans="1:25">
      <c r="A1592" t="s">
        <v>7828</v>
      </c>
      <c r="B1592" t="s">
        <v>7829</v>
      </c>
      <c r="D1592" t="s">
        <v>1832</v>
      </c>
      <c r="E1592" t="s">
        <v>41</v>
      </c>
      <c r="J1592" t="s">
        <v>44</v>
      </c>
      <c r="K1592" t="s">
        <v>45</v>
      </c>
      <c r="L1592">
        <v>5</v>
      </c>
      <c r="M1592" t="s">
        <v>7830</v>
      </c>
      <c r="N1592" t="s">
        <v>47</v>
      </c>
      <c r="O1592" t="s">
        <v>1835</v>
      </c>
      <c r="P1592" t="s">
        <v>1835</v>
      </c>
      <c r="Y1592" t="s">
        <v>7831</v>
      </c>
    </row>
    <row r="1593" spans="1:25">
      <c r="A1593" t="s">
        <v>7832</v>
      </c>
      <c r="B1593" t="s">
        <v>7833</v>
      </c>
      <c r="D1593" t="s">
        <v>1832</v>
      </c>
      <c r="E1593" t="s">
        <v>41</v>
      </c>
      <c r="J1593" t="s">
        <v>54</v>
      </c>
      <c r="K1593" t="s">
        <v>55</v>
      </c>
      <c r="L1593">
        <v>5</v>
      </c>
      <c r="M1593" t="s">
        <v>7834</v>
      </c>
      <c r="N1593" t="s">
        <v>47</v>
      </c>
      <c r="O1593" t="s">
        <v>1835</v>
      </c>
      <c r="P1593" t="s">
        <v>1835</v>
      </c>
      <c r="Y1593" t="s">
        <v>7835</v>
      </c>
    </row>
    <row r="1594" spans="1:25">
      <c r="A1594" t="s">
        <v>7836</v>
      </c>
      <c r="B1594" t="s">
        <v>7837</v>
      </c>
      <c r="D1594" t="s">
        <v>1832</v>
      </c>
      <c r="E1594" t="s">
        <v>41</v>
      </c>
      <c r="J1594" t="s">
        <v>90</v>
      </c>
      <c r="K1594" t="s">
        <v>91</v>
      </c>
      <c r="L1594">
        <v>5</v>
      </c>
      <c r="M1594" t="s">
        <v>7838</v>
      </c>
      <c r="N1594" t="s">
        <v>47</v>
      </c>
      <c r="O1594" t="s">
        <v>1835</v>
      </c>
      <c r="P1594" t="s">
        <v>1835</v>
      </c>
      <c r="Y1594" t="s">
        <v>7839</v>
      </c>
    </row>
    <row r="1595" spans="1:25">
      <c r="A1595" t="s">
        <v>7840</v>
      </c>
      <c r="B1595" t="s">
        <v>7841</v>
      </c>
      <c r="D1595" t="s">
        <v>1832</v>
      </c>
      <c r="E1595" t="s">
        <v>41</v>
      </c>
      <c r="H1595" t="s">
        <v>7842</v>
      </c>
      <c r="J1595" t="s">
        <v>234</v>
      </c>
      <c r="K1595" t="s">
        <v>235</v>
      </c>
      <c r="L1595">
        <v>5</v>
      </c>
      <c r="M1595" t="s">
        <v>7843</v>
      </c>
      <c r="N1595" t="s">
        <v>47</v>
      </c>
      <c r="O1595" t="s">
        <v>1835</v>
      </c>
      <c r="P1595" t="s">
        <v>1835</v>
      </c>
      <c r="Y1595" t="s">
        <v>7842</v>
      </c>
    </row>
    <row r="1596" spans="1:25">
      <c r="A1596" t="s">
        <v>7844</v>
      </c>
      <c r="B1596" t="s">
        <v>7845</v>
      </c>
      <c r="D1596" t="s">
        <v>1832</v>
      </c>
      <c r="E1596" t="s">
        <v>41</v>
      </c>
      <c r="J1596" t="s">
        <v>90</v>
      </c>
      <c r="K1596" t="s">
        <v>91</v>
      </c>
      <c r="L1596">
        <v>5</v>
      </c>
      <c r="M1596" t="s">
        <v>7846</v>
      </c>
      <c r="N1596" t="s">
        <v>47</v>
      </c>
      <c r="O1596" t="s">
        <v>1835</v>
      </c>
      <c r="P1596" t="s">
        <v>1835</v>
      </c>
      <c r="Y1596" t="s">
        <v>7847</v>
      </c>
    </row>
    <row r="1597" spans="1:25">
      <c r="A1597" t="s">
        <v>7848</v>
      </c>
      <c r="B1597" t="s">
        <v>7849</v>
      </c>
      <c r="D1597" t="s">
        <v>1832</v>
      </c>
      <c r="E1597" t="s">
        <v>41</v>
      </c>
      <c r="J1597" t="s">
        <v>54</v>
      </c>
      <c r="K1597" t="s">
        <v>55</v>
      </c>
      <c r="L1597">
        <v>5</v>
      </c>
      <c r="M1597" t="s">
        <v>7850</v>
      </c>
      <c r="N1597" t="s">
        <v>47</v>
      </c>
      <c r="O1597" t="s">
        <v>1835</v>
      </c>
      <c r="P1597" t="s">
        <v>1835</v>
      </c>
      <c r="Y1597" t="s">
        <v>7851</v>
      </c>
    </row>
    <row r="1598" spans="1:25">
      <c r="A1598" t="s">
        <v>7852</v>
      </c>
      <c r="B1598" t="s">
        <v>7853</v>
      </c>
      <c r="D1598" t="s">
        <v>1832</v>
      </c>
      <c r="E1598" t="s">
        <v>41</v>
      </c>
      <c r="J1598" t="s">
        <v>133</v>
      </c>
      <c r="K1598" t="s">
        <v>134</v>
      </c>
      <c r="L1598">
        <v>5</v>
      </c>
      <c r="M1598" t="s">
        <v>7854</v>
      </c>
      <c r="N1598" t="s">
        <v>135</v>
      </c>
      <c r="O1598" t="s">
        <v>1835</v>
      </c>
      <c r="P1598" t="s">
        <v>1835</v>
      </c>
      <c r="Y1598" t="s">
        <v>7855</v>
      </c>
    </row>
    <row r="1599" spans="1:25">
      <c r="A1599" t="s">
        <v>7856</v>
      </c>
      <c r="B1599" t="s">
        <v>7857</v>
      </c>
      <c r="D1599" t="s">
        <v>1832</v>
      </c>
      <c r="E1599" t="s">
        <v>41</v>
      </c>
      <c r="H1599" t="s">
        <v>7858</v>
      </c>
      <c r="J1599" t="s">
        <v>90</v>
      </c>
      <c r="K1599" t="s">
        <v>91</v>
      </c>
      <c r="L1599">
        <v>5</v>
      </c>
      <c r="M1599" t="s">
        <v>7859</v>
      </c>
      <c r="N1599" t="s">
        <v>47</v>
      </c>
      <c r="O1599" t="s">
        <v>1835</v>
      </c>
      <c r="P1599" t="s">
        <v>1835</v>
      </c>
      <c r="Y1599" t="s">
        <v>7858</v>
      </c>
    </row>
    <row r="1600" spans="1:25">
      <c r="A1600" t="s">
        <v>7860</v>
      </c>
      <c r="B1600" t="s">
        <v>7861</v>
      </c>
      <c r="D1600" t="s">
        <v>1832</v>
      </c>
      <c r="E1600" t="s">
        <v>41</v>
      </c>
      <c r="J1600" t="s">
        <v>90</v>
      </c>
      <c r="K1600" t="s">
        <v>91</v>
      </c>
      <c r="L1600">
        <v>5</v>
      </c>
      <c r="M1600" t="s">
        <v>7859</v>
      </c>
      <c r="N1600" t="s">
        <v>47</v>
      </c>
      <c r="O1600" t="s">
        <v>1835</v>
      </c>
      <c r="P1600" t="s">
        <v>1835</v>
      </c>
      <c r="Y1600" t="s">
        <v>7862</v>
      </c>
    </row>
    <row r="1601" spans="1:25">
      <c r="A1601" t="s">
        <v>7863</v>
      </c>
      <c r="B1601" t="s">
        <v>7864</v>
      </c>
      <c r="D1601" t="s">
        <v>1832</v>
      </c>
      <c r="E1601" t="s">
        <v>41</v>
      </c>
      <c r="J1601" t="s">
        <v>54</v>
      </c>
      <c r="K1601" t="s">
        <v>55</v>
      </c>
      <c r="L1601">
        <v>5</v>
      </c>
      <c r="M1601" t="s">
        <v>7859</v>
      </c>
      <c r="N1601" t="s">
        <v>47</v>
      </c>
      <c r="O1601" t="s">
        <v>1835</v>
      </c>
      <c r="P1601" t="s">
        <v>1835</v>
      </c>
      <c r="Y1601" t="s">
        <v>7865</v>
      </c>
    </row>
    <row r="1602" spans="1:25">
      <c r="A1602" t="s">
        <v>7866</v>
      </c>
      <c r="B1602" t="s">
        <v>7867</v>
      </c>
      <c r="D1602" t="s">
        <v>1832</v>
      </c>
      <c r="E1602" t="s">
        <v>41</v>
      </c>
      <c r="J1602" t="s">
        <v>90</v>
      </c>
      <c r="K1602" t="s">
        <v>91</v>
      </c>
      <c r="L1602">
        <v>5</v>
      </c>
      <c r="M1602" t="s">
        <v>7859</v>
      </c>
      <c r="N1602" t="s">
        <v>47</v>
      </c>
      <c r="O1602" t="s">
        <v>1835</v>
      </c>
      <c r="P1602" t="s">
        <v>1835</v>
      </c>
      <c r="Y1602" t="s">
        <v>7868</v>
      </c>
    </row>
    <row r="1603" spans="1:25">
      <c r="A1603" t="s">
        <v>7869</v>
      </c>
      <c r="B1603" t="s">
        <v>7870</v>
      </c>
      <c r="D1603" t="s">
        <v>1832</v>
      </c>
      <c r="E1603" t="s">
        <v>41</v>
      </c>
      <c r="J1603" t="s">
        <v>44</v>
      </c>
      <c r="K1603" t="s">
        <v>45</v>
      </c>
      <c r="L1603">
        <v>5</v>
      </c>
      <c r="M1603" t="s">
        <v>7859</v>
      </c>
      <c r="N1603" t="s">
        <v>47</v>
      </c>
      <c r="O1603" t="s">
        <v>1835</v>
      </c>
      <c r="P1603" t="s">
        <v>1835</v>
      </c>
      <c r="Y1603" t="s">
        <v>7871</v>
      </c>
    </row>
    <row r="1604" spans="1:25">
      <c r="A1604" t="s">
        <v>7872</v>
      </c>
      <c r="B1604" t="s">
        <v>7873</v>
      </c>
      <c r="D1604" t="s">
        <v>1832</v>
      </c>
      <c r="E1604" t="s">
        <v>41</v>
      </c>
      <c r="J1604" t="s">
        <v>133</v>
      </c>
      <c r="K1604" t="s">
        <v>134</v>
      </c>
      <c r="L1604">
        <v>5</v>
      </c>
      <c r="M1604" t="s">
        <v>7859</v>
      </c>
      <c r="N1604" t="s">
        <v>685</v>
      </c>
      <c r="O1604" t="s">
        <v>1835</v>
      </c>
      <c r="P1604" t="s">
        <v>1835</v>
      </c>
      <c r="Y1604" t="s">
        <v>7874</v>
      </c>
    </row>
    <row r="1605" spans="1:25">
      <c r="A1605" t="s">
        <v>7875</v>
      </c>
      <c r="B1605" t="s">
        <v>7876</v>
      </c>
      <c r="D1605" t="s">
        <v>1832</v>
      </c>
      <c r="E1605" t="s">
        <v>41</v>
      </c>
      <c r="J1605" t="s">
        <v>353</v>
      </c>
      <c r="K1605" t="s">
        <v>354</v>
      </c>
      <c r="L1605">
        <v>5</v>
      </c>
      <c r="M1605" t="s">
        <v>7877</v>
      </c>
      <c r="N1605" t="s">
        <v>135</v>
      </c>
      <c r="O1605" t="s">
        <v>1835</v>
      </c>
      <c r="P1605" t="s">
        <v>1835</v>
      </c>
      <c r="Y1605" t="s">
        <v>7878</v>
      </c>
    </row>
    <row r="1606" spans="1:25">
      <c r="A1606" t="s">
        <v>7879</v>
      </c>
      <c r="B1606" t="s">
        <v>7880</v>
      </c>
      <c r="D1606" t="s">
        <v>1832</v>
      </c>
      <c r="E1606" t="s">
        <v>41</v>
      </c>
      <c r="H1606" t="s">
        <v>7881</v>
      </c>
      <c r="J1606" t="s">
        <v>133</v>
      </c>
      <c r="K1606" t="s">
        <v>134</v>
      </c>
      <c r="L1606">
        <v>5</v>
      </c>
      <c r="M1606" t="s">
        <v>7882</v>
      </c>
      <c r="N1606" t="s">
        <v>135</v>
      </c>
      <c r="O1606" t="s">
        <v>1835</v>
      </c>
      <c r="P1606" t="s">
        <v>1835</v>
      </c>
      <c r="Y1606" t="s">
        <v>7881</v>
      </c>
    </row>
    <row r="1607" spans="1:25">
      <c r="A1607" t="s">
        <v>7883</v>
      </c>
      <c r="B1607" t="s">
        <v>7884</v>
      </c>
      <c r="D1607" t="s">
        <v>1832</v>
      </c>
      <c r="E1607" t="s">
        <v>41</v>
      </c>
      <c r="H1607" t="s">
        <v>7885</v>
      </c>
      <c r="J1607" t="s">
        <v>133</v>
      </c>
      <c r="K1607" t="s">
        <v>134</v>
      </c>
      <c r="L1607">
        <v>5</v>
      </c>
      <c r="M1607" t="s">
        <v>7886</v>
      </c>
      <c r="N1607" t="s">
        <v>135</v>
      </c>
      <c r="O1607" t="s">
        <v>1835</v>
      </c>
      <c r="P1607" t="s">
        <v>1835</v>
      </c>
      <c r="Y1607" t="s">
        <v>7885</v>
      </c>
    </row>
    <row r="1608" spans="1:25">
      <c r="A1608" t="s">
        <v>7887</v>
      </c>
      <c r="B1608" t="s">
        <v>7888</v>
      </c>
      <c r="D1608" t="s">
        <v>1832</v>
      </c>
      <c r="E1608" t="s">
        <v>41</v>
      </c>
      <c r="H1608" t="s">
        <v>7889</v>
      </c>
      <c r="J1608" t="s">
        <v>78</v>
      </c>
      <c r="K1608" t="s">
        <v>79</v>
      </c>
      <c r="L1608">
        <v>5</v>
      </c>
      <c r="M1608" t="s">
        <v>7890</v>
      </c>
      <c r="N1608" t="s">
        <v>47</v>
      </c>
      <c r="O1608" t="s">
        <v>1835</v>
      </c>
      <c r="P1608" t="s">
        <v>1835</v>
      </c>
      <c r="Y1608" t="s">
        <v>7889</v>
      </c>
    </row>
    <row r="1609" spans="1:25">
      <c r="A1609" t="s">
        <v>7891</v>
      </c>
      <c r="B1609" t="s">
        <v>7892</v>
      </c>
      <c r="D1609" t="s">
        <v>1832</v>
      </c>
      <c r="E1609" t="s">
        <v>41</v>
      </c>
      <c r="J1609" t="s">
        <v>90</v>
      </c>
      <c r="K1609" t="s">
        <v>91</v>
      </c>
      <c r="L1609">
        <v>5</v>
      </c>
      <c r="M1609" t="s">
        <v>7890</v>
      </c>
      <c r="N1609" t="s">
        <v>47</v>
      </c>
      <c r="O1609" t="s">
        <v>1835</v>
      </c>
      <c r="P1609" t="s">
        <v>1835</v>
      </c>
      <c r="Y1609" t="s">
        <v>7893</v>
      </c>
    </row>
    <row r="1610" spans="1:25">
      <c r="A1610" t="s">
        <v>7894</v>
      </c>
      <c r="B1610" t="s">
        <v>7895</v>
      </c>
      <c r="D1610" t="s">
        <v>1832</v>
      </c>
      <c r="E1610" t="s">
        <v>41</v>
      </c>
      <c r="J1610" t="s">
        <v>44</v>
      </c>
      <c r="K1610" t="s">
        <v>45</v>
      </c>
      <c r="L1610">
        <v>5</v>
      </c>
      <c r="M1610" t="s">
        <v>7896</v>
      </c>
      <c r="N1610" t="s">
        <v>47</v>
      </c>
      <c r="O1610" t="s">
        <v>1835</v>
      </c>
      <c r="P1610" t="s">
        <v>1835</v>
      </c>
      <c r="Y1610" t="s">
        <v>7897</v>
      </c>
    </row>
    <row r="1611" spans="1:25">
      <c r="A1611" t="s">
        <v>7898</v>
      </c>
      <c r="B1611" t="s">
        <v>7899</v>
      </c>
      <c r="D1611" t="s">
        <v>1832</v>
      </c>
      <c r="E1611" t="s">
        <v>41</v>
      </c>
      <c r="H1611" t="s">
        <v>7900</v>
      </c>
      <c r="J1611" t="s">
        <v>54</v>
      </c>
      <c r="K1611" t="s">
        <v>55</v>
      </c>
      <c r="L1611">
        <v>5</v>
      </c>
      <c r="M1611" t="s">
        <v>7896</v>
      </c>
      <c r="N1611" t="s">
        <v>47</v>
      </c>
      <c r="O1611" t="s">
        <v>1835</v>
      </c>
      <c r="P1611" t="s">
        <v>1835</v>
      </c>
      <c r="Y1611" t="s">
        <v>7900</v>
      </c>
    </row>
    <row r="1612" spans="1:25">
      <c r="A1612" t="s">
        <v>7901</v>
      </c>
      <c r="B1612" t="s">
        <v>7902</v>
      </c>
      <c r="D1612" t="s">
        <v>1832</v>
      </c>
      <c r="E1612" t="s">
        <v>41</v>
      </c>
      <c r="J1612" t="s">
        <v>90</v>
      </c>
      <c r="K1612" t="s">
        <v>91</v>
      </c>
      <c r="L1612">
        <v>5</v>
      </c>
      <c r="M1612" t="s">
        <v>7903</v>
      </c>
      <c r="N1612" t="s">
        <v>47</v>
      </c>
      <c r="O1612" t="s">
        <v>1835</v>
      </c>
      <c r="P1612" t="s">
        <v>1835</v>
      </c>
      <c r="Y1612" t="s">
        <v>7904</v>
      </c>
    </row>
    <row r="1613" spans="1:25">
      <c r="A1613" t="s">
        <v>7905</v>
      </c>
      <c r="B1613" t="s">
        <v>7906</v>
      </c>
      <c r="D1613" t="s">
        <v>1832</v>
      </c>
      <c r="E1613" t="s">
        <v>41</v>
      </c>
      <c r="J1613" t="s">
        <v>90</v>
      </c>
      <c r="K1613" t="s">
        <v>91</v>
      </c>
      <c r="L1613">
        <v>5</v>
      </c>
      <c r="M1613" t="s">
        <v>7907</v>
      </c>
      <c r="N1613" t="s">
        <v>47</v>
      </c>
      <c r="O1613" t="s">
        <v>1835</v>
      </c>
      <c r="P1613" t="s">
        <v>1835</v>
      </c>
      <c r="Y1613" t="s">
        <v>7908</v>
      </c>
    </row>
    <row r="1614" spans="1:25">
      <c r="A1614" t="s">
        <v>7909</v>
      </c>
      <c r="B1614" t="s">
        <v>7910</v>
      </c>
      <c r="D1614" t="s">
        <v>1832</v>
      </c>
      <c r="E1614" t="s">
        <v>41</v>
      </c>
      <c r="J1614" t="s">
        <v>44</v>
      </c>
      <c r="K1614" t="s">
        <v>45</v>
      </c>
      <c r="L1614">
        <v>5</v>
      </c>
      <c r="M1614" t="s">
        <v>7911</v>
      </c>
      <c r="N1614" t="s">
        <v>47</v>
      </c>
      <c r="O1614" t="s">
        <v>1835</v>
      </c>
      <c r="P1614" t="s">
        <v>1835</v>
      </c>
      <c r="Y1614" t="s">
        <v>7912</v>
      </c>
    </row>
    <row r="1615" spans="1:25">
      <c r="A1615" t="s">
        <v>7913</v>
      </c>
      <c r="B1615" t="s">
        <v>7914</v>
      </c>
      <c r="D1615" t="s">
        <v>1832</v>
      </c>
      <c r="E1615" t="s">
        <v>41</v>
      </c>
      <c r="J1615" t="s">
        <v>44</v>
      </c>
      <c r="K1615" t="s">
        <v>45</v>
      </c>
      <c r="L1615">
        <v>5</v>
      </c>
      <c r="M1615" t="s">
        <v>7915</v>
      </c>
      <c r="N1615" t="s">
        <v>47</v>
      </c>
      <c r="O1615" t="s">
        <v>1835</v>
      </c>
      <c r="P1615" t="s">
        <v>1835</v>
      </c>
      <c r="Y1615" t="s">
        <v>7916</v>
      </c>
    </row>
    <row r="1616" spans="1:25">
      <c r="A1616" t="s">
        <v>7917</v>
      </c>
      <c r="B1616" t="s">
        <v>7918</v>
      </c>
      <c r="D1616" t="s">
        <v>1832</v>
      </c>
      <c r="E1616" t="s">
        <v>41</v>
      </c>
      <c r="J1616" t="s">
        <v>133</v>
      </c>
      <c r="K1616" t="s">
        <v>134</v>
      </c>
      <c r="L1616">
        <v>5</v>
      </c>
      <c r="M1616" t="s">
        <v>7919</v>
      </c>
      <c r="N1616" t="s">
        <v>290</v>
      </c>
      <c r="O1616" t="s">
        <v>1835</v>
      </c>
      <c r="P1616" t="s">
        <v>1835</v>
      </c>
      <c r="Y1616" t="s">
        <v>7920</v>
      </c>
    </row>
    <row r="1617" spans="1:25">
      <c r="A1617" t="s">
        <v>7921</v>
      </c>
      <c r="B1617" t="s">
        <v>7922</v>
      </c>
      <c r="D1617" t="s">
        <v>1832</v>
      </c>
      <c r="E1617" t="s">
        <v>41</v>
      </c>
      <c r="H1617" t="s">
        <v>7923</v>
      </c>
      <c r="J1617" t="s">
        <v>90</v>
      </c>
      <c r="K1617" t="s">
        <v>91</v>
      </c>
      <c r="L1617">
        <v>5</v>
      </c>
      <c r="M1617" t="s">
        <v>7924</v>
      </c>
      <c r="N1617" t="s">
        <v>47</v>
      </c>
      <c r="O1617" t="s">
        <v>1835</v>
      </c>
      <c r="P1617" t="s">
        <v>1835</v>
      </c>
      <c r="Y1617" t="s">
        <v>7923</v>
      </c>
    </row>
    <row r="1618" spans="1:25">
      <c r="A1618" t="s">
        <v>7925</v>
      </c>
      <c r="B1618" t="s">
        <v>7926</v>
      </c>
      <c r="D1618" t="s">
        <v>1832</v>
      </c>
      <c r="E1618" t="s">
        <v>41</v>
      </c>
      <c r="J1618" t="s">
        <v>90</v>
      </c>
      <c r="K1618" t="s">
        <v>91</v>
      </c>
      <c r="L1618">
        <v>5</v>
      </c>
      <c r="M1618" t="s">
        <v>7924</v>
      </c>
      <c r="N1618" t="s">
        <v>47</v>
      </c>
      <c r="O1618" t="s">
        <v>1835</v>
      </c>
      <c r="P1618" t="s">
        <v>1835</v>
      </c>
      <c r="Y1618" t="s">
        <v>7927</v>
      </c>
    </row>
    <row r="1619" spans="1:25">
      <c r="A1619" t="s">
        <v>7928</v>
      </c>
      <c r="B1619" t="s">
        <v>7929</v>
      </c>
      <c r="D1619" t="s">
        <v>1832</v>
      </c>
      <c r="E1619" t="s">
        <v>41</v>
      </c>
      <c r="J1619" t="s">
        <v>54</v>
      </c>
      <c r="K1619" t="s">
        <v>55</v>
      </c>
      <c r="L1619">
        <v>5</v>
      </c>
      <c r="M1619" t="s">
        <v>7924</v>
      </c>
      <c r="N1619" t="s">
        <v>47</v>
      </c>
      <c r="O1619" t="s">
        <v>1835</v>
      </c>
      <c r="P1619" t="s">
        <v>1835</v>
      </c>
      <c r="Y1619" t="s">
        <v>7930</v>
      </c>
    </row>
    <row r="1620" spans="1:25">
      <c r="A1620" t="s">
        <v>7931</v>
      </c>
      <c r="B1620" t="s">
        <v>7932</v>
      </c>
      <c r="D1620" t="s">
        <v>1832</v>
      </c>
      <c r="E1620" t="s">
        <v>41</v>
      </c>
      <c r="J1620" t="s">
        <v>78</v>
      </c>
      <c r="K1620" t="s">
        <v>79</v>
      </c>
      <c r="L1620">
        <v>5</v>
      </c>
      <c r="M1620" t="s">
        <v>7933</v>
      </c>
      <c r="N1620" t="s">
        <v>47</v>
      </c>
      <c r="O1620" t="s">
        <v>1835</v>
      </c>
      <c r="P1620" t="s">
        <v>1835</v>
      </c>
      <c r="Y1620" t="s">
        <v>7934</v>
      </c>
    </row>
    <row r="1621" spans="1:25">
      <c r="A1621" t="s">
        <v>7935</v>
      </c>
      <c r="B1621" t="s">
        <v>7936</v>
      </c>
      <c r="D1621" t="s">
        <v>1832</v>
      </c>
      <c r="E1621" t="s">
        <v>41</v>
      </c>
      <c r="J1621" t="s">
        <v>7250</v>
      </c>
      <c r="K1621" t="s">
        <v>7251</v>
      </c>
      <c r="L1621">
        <v>5</v>
      </c>
      <c r="M1621" t="s">
        <v>7937</v>
      </c>
      <c r="N1621" t="s">
        <v>685</v>
      </c>
      <c r="O1621" t="s">
        <v>1835</v>
      </c>
      <c r="P1621" t="s">
        <v>1835</v>
      </c>
      <c r="Y1621" t="s">
        <v>7938</v>
      </c>
    </row>
    <row r="1622" spans="1:25">
      <c r="A1622" t="s">
        <v>7939</v>
      </c>
      <c r="B1622" t="s">
        <v>7940</v>
      </c>
      <c r="D1622" t="s">
        <v>1832</v>
      </c>
      <c r="E1622" t="s">
        <v>41</v>
      </c>
      <c r="H1622" t="s">
        <v>7941</v>
      </c>
      <c r="J1622" t="s">
        <v>54</v>
      </c>
      <c r="K1622" t="s">
        <v>55</v>
      </c>
      <c r="L1622">
        <v>5</v>
      </c>
      <c r="M1622" t="s">
        <v>7937</v>
      </c>
      <c r="N1622" t="s">
        <v>47</v>
      </c>
      <c r="O1622" t="s">
        <v>1835</v>
      </c>
      <c r="P1622" t="s">
        <v>1835</v>
      </c>
      <c r="Y1622" t="s">
        <v>7941</v>
      </c>
    </row>
    <row r="1623" spans="1:25">
      <c r="A1623" t="s">
        <v>7942</v>
      </c>
      <c r="B1623" t="s">
        <v>7943</v>
      </c>
      <c r="D1623" t="s">
        <v>1832</v>
      </c>
      <c r="E1623" t="s">
        <v>41</v>
      </c>
      <c r="H1623" t="s">
        <v>7944</v>
      </c>
      <c r="J1623" t="s">
        <v>78</v>
      </c>
      <c r="K1623" t="s">
        <v>79</v>
      </c>
      <c r="L1623">
        <v>5</v>
      </c>
      <c r="M1623" t="s">
        <v>7945</v>
      </c>
      <c r="N1623" t="s">
        <v>47</v>
      </c>
      <c r="O1623" t="s">
        <v>1835</v>
      </c>
      <c r="P1623" t="s">
        <v>1835</v>
      </c>
      <c r="Y1623" t="s">
        <v>7944</v>
      </c>
    </row>
    <row r="1624" spans="1:25">
      <c r="A1624" t="s">
        <v>7946</v>
      </c>
      <c r="B1624" t="s">
        <v>7947</v>
      </c>
      <c r="D1624" t="s">
        <v>1832</v>
      </c>
      <c r="E1624" t="s">
        <v>41</v>
      </c>
      <c r="H1624" t="s">
        <v>7948</v>
      </c>
      <c r="J1624" t="s">
        <v>133</v>
      </c>
      <c r="K1624" t="s">
        <v>134</v>
      </c>
      <c r="L1624">
        <v>5</v>
      </c>
      <c r="M1624" t="s">
        <v>7949</v>
      </c>
      <c r="N1624" t="s">
        <v>685</v>
      </c>
      <c r="O1624" t="s">
        <v>1835</v>
      </c>
      <c r="P1624" t="s">
        <v>1835</v>
      </c>
      <c r="Y1624" t="s">
        <v>7948</v>
      </c>
    </row>
    <row r="1625" spans="1:25">
      <c r="A1625" t="s">
        <v>7950</v>
      </c>
      <c r="B1625" t="s">
        <v>7951</v>
      </c>
      <c r="D1625" t="s">
        <v>1832</v>
      </c>
      <c r="E1625" t="s">
        <v>41</v>
      </c>
      <c r="J1625" t="s">
        <v>371</v>
      </c>
      <c r="K1625" t="s">
        <v>372</v>
      </c>
      <c r="L1625">
        <v>5</v>
      </c>
      <c r="M1625" t="s">
        <v>7952</v>
      </c>
      <c r="N1625" t="s">
        <v>47</v>
      </c>
      <c r="O1625" t="s">
        <v>1835</v>
      </c>
      <c r="P1625" t="s">
        <v>1835</v>
      </c>
      <c r="Y1625" t="s">
        <v>7953</v>
      </c>
    </row>
    <row r="1626" spans="1:25">
      <c r="A1626" t="s">
        <v>7954</v>
      </c>
      <c r="B1626" t="s">
        <v>7955</v>
      </c>
      <c r="D1626" t="s">
        <v>1832</v>
      </c>
      <c r="E1626" t="s">
        <v>41</v>
      </c>
      <c r="H1626" t="s">
        <v>7956</v>
      </c>
      <c r="J1626" t="s">
        <v>54</v>
      </c>
      <c r="K1626" t="s">
        <v>55</v>
      </c>
      <c r="L1626">
        <v>5</v>
      </c>
      <c r="M1626" t="s">
        <v>7952</v>
      </c>
      <c r="N1626" t="s">
        <v>47</v>
      </c>
      <c r="O1626" t="s">
        <v>1835</v>
      </c>
      <c r="P1626" t="s">
        <v>1835</v>
      </c>
      <c r="Y1626" t="s">
        <v>7956</v>
      </c>
    </row>
    <row r="1627" spans="1:25">
      <c r="A1627" t="s">
        <v>7957</v>
      </c>
      <c r="B1627" t="s">
        <v>7958</v>
      </c>
      <c r="D1627" t="s">
        <v>1832</v>
      </c>
      <c r="E1627" t="s">
        <v>41</v>
      </c>
      <c r="J1627" t="s">
        <v>90</v>
      </c>
      <c r="K1627" t="s">
        <v>91</v>
      </c>
      <c r="L1627">
        <v>5</v>
      </c>
      <c r="M1627" t="s">
        <v>7959</v>
      </c>
      <c r="N1627" t="s">
        <v>47</v>
      </c>
      <c r="O1627" t="s">
        <v>1835</v>
      </c>
      <c r="P1627" t="s">
        <v>1835</v>
      </c>
      <c r="Y1627" t="s">
        <v>7960</v>
      </c>
    </row>
    <row r="1628" spans="1:25">
      <c r="A1628" t="s">
        <v>7961</v>
      </c>
      <c r="B1628" t="s">
        <v>7962</v>
      </c>
      <c r="D1628" t="s">
        <v>1832</v>
      </c>
      <c r="E1628" t="s">
        <v>41</v>
      </c>
      <c r="J1628" t="s">
        <v>90</v>
      </c>
      <c r="K1628" t="s">
        <v>91</v>
      </c>
      <c r="L1628">
        <v>5</v>
      </c>
      <c r="M1628" t="s">
        <v>7963</v>
      </c>
      <c r="N1628" t="s">
        <v>47</v>
      </c>
      <c r="O1628" t="s">
        <v>1835</v>
      </c>
      <c r="P1628" t="s">
        <v>1835</v>
      </c>
      <c r="Y1628" t="s">
        <v>7964</v>
      </c>
    </row>
    <row r="1629" spans="1:25">
      <c r="A1629" t="s">
        <v>7965</v>
      </c>
      <c r="B1629" t="s">
        <v>7966</v>
      </c>
      <c r="D1629" t="s">
        <v>1832</v>
      </c>
      <c r="E1629" t="s">
        <v>41</v>
      </c>
      <c r="J1629" t="s">
        <v>54</v>
      </c>
      <c r="K1629" t="s">
        <v>55</v>
      </c>
      <c r="L1629">
        <v>5</v>
      </c>
      <c r="M1629" t="s">
        <v>7967</v>
      </c>
      <c r="N1629" t="s">
        <v>47</v>
      </c>
      <c r="O1629" t="s">
        <v>1835</v>
      </c>
      <c r="P1629" t="s">
        <v>1835</v>
      </c>
      <c r="Y1629" t="s">
        <v>7968</v>
      </c>
    </row>
    <row r="1630" spans="1:25">
      <c r="A1630" t="s">
        <v>7969</v>
      </c>
      <c r="B1630" t="s">
        <v>7970</v>
      </c>
      <c r="D1630" t="s">
        <v>1832</v>
      </c>
      <c r="E1630" t="s">
        <v>41</v>
      </c>
      <c r="J1630" t="s">
        <v>133</v>
      </c>
      <c r="K1630" t="s">
        <v>134</v>
      </c>
      <c r="L1630">
        <v>5</v>
      </c>
      <c r="M1630" t="s">
        <v>7971</v>
      </c>
      <c r="N1630" t="s">
        <v>685</v>
      </c>
      <c r="O1630" t="s">
        <v>1835</v>
      </c>
      <c r="P1630" t="s">
        <v>1835</v>
      </c>
      <c r="Y1630" t="s">
        <v>7972</v>
      </c>
    </row>
    <row r="1631" spans="1:25">
      <c r="A1631" t="s">
        <v>7973</v>
      </c>
      <c r="B1631" t="s">
        <v>7974</v>
      </c>
      <c r="D1631" t="s">
        <v>1832</v>
      </c>
      <c r="E1631" t="s">
        <v>41</v>
      </c>
      <c r="J1631" t="s">
        <v>78</v>
      </c>
      <c r="K1631" t="s">
        <v>79</v>
      </c>
      <c r="L1631">
        <v>5</v>
      </c>
      <c r="M1631" t="s">
        <v>7971</v>
      </c>
      <c r="N1631" t="s">
        <v>47</v>
      </c>
      <c r="O1631" t="s">
        <v>1835</v>
      </c>
      <c r="P1631" t="s">
        <v>1835</v>
      </c>
      <c r="Y1631" t="s">
        <v>7975</v>
      </c>
    </row>
    <row r="1632" spans="1:25">
      <c r="A1632" t="s">
        <v>7976</v>
      </c>
      <c r="B1632" t="s">
        <v>7977</v>
      </c>
      <c r="D1632" t="s">
        <v>1832</v>
      </c>
      <c r="E1632" t="s">
        <v>41</v>
      </c>
      <c r="J1632" t="s">
        <v>90</v>
      </c>
      <c r="K1632" t="s">
        <v>91</v>
      </c>
      <c r="L1632">
        <v>5</v>
      </c>
      <c r="M1632" t="s">
        <v>7971</v>
      </c>
      <c r="N1632" t="s">
        <v>47</v>
      </c>
      <c r="O1632" t="s">
        <v>1835</v>
      </c>
      <c r="P1632" t="s">
        <v>1835</v>
      </c>
      <c r="Y1632" t="s">
        <v>7978</v>
      </c>
    </row>
    <row r="1633" spans="1:25">
      <c r="A1633" t="s">
        <v>7979</v>
      </c>
      <c r="B1633" t="s">
        <v>7980</v>
      </c>
      <c r="D1633" t="s">
        <v>1832</v>
      </c>
      <c r="E1633" t="s">
        <v>41</v>
      </c>
      <c r="J1633" t="s">
        <v>90</v>
      </c>
      <c r="K1633" t="s">
        <v>91</v>
      </c>
      <c r="L1633">
        <v>5</v>
      </c>
      <c r="M1633" t="s">
        <v>7981</v>
      </c>
      <c r="N1633" t="s">
        <v>47</v>
      </c>
      <c r="O1633" t="s">
        <v>1835</v>
      </c>
      <c r="P1633" t="s">
        <v>1835</v>
      </c>
      <c r="Y1633" t="s">
        <v>7982</v>
      </c>
    </row>
    <row r="1634" spans="1:25">
      <c r="A1634" t="s">
        <v>7983</v>
      </c>
      <c r="B1634" t="s">
        <v>7984</v>
      </c>
      <c r="D1634" t="s">
        <v>1832</v>
      </c>
      <c r="E1634" t="s">
        <v>41</v>
      </c>
      <c r="J1634" t="s">
        <v>90</v>
      </c>
      <c r="K1634" t="s">
        <v>91</v>
      </c>
      <c r="L1634">
        <v>5</v>
      </c>
      <c r="M1634" t="s">
        <v>7985</v>
      </c>
      <c r="N1634" t="s">
        <v>47</v>
      </c>
      <c r="O1634" t="s">
        <v>1835</v>
      </c>
      <c r="P1634" t="s">
        <v>1835</v>
      </c>
      <c r="Y1634" t="s">
        <v>7986</v>
      </c>
    </row>
    <row r="1635" spans="1:25">
      <c r="A1635" t="s">
        <v>7987</v>
      </c>
      <c r="B1635" t="s">
        <v>7988</v>
      </c>
      <c r="D1635" t="s">
        <v>1832</v>
      </c>
      <c r="E1635" t="s">
        <v>41</v>
      </c>
      <c r="J1635" t="s">
        <v>90</v>
      </c>
      <c r="K1635" t="s">
        <v>91</v>
      </c>
      <c r="L1635">
        <v>5</v>
      </c>
      <c r="M1635" t="s">
        <v>7985</v>
      </c>
      <c r="N1635" t="s">
        <v>47</v>
      </c>
      <c r="O1635" t="s">
        <v>1835</v>
      </c>
      <c r="P1635" t="s">
        <v>1835</v>
      </c>
      <c r="Y1635" t="s">
        <v>7989</v>
      </c>
    </row>
    <row r="1636" spans="1:25">
      <c r="A1636" t="s">
        <v>7990</v>
      </c>
      <c r="B1636" t="s">
        <v>7991</v>
      </c>
      <c r="D1636" t="s">
        <v>1832</v>
      </c>
      <c r="E1636" t="s">
        <v>41</v>
      </c>
      <c r="J1636" t="s">
        <v>54</v>
      </c>
      <c r="K1636" t="s">
        <v>55</v>
      </c>
      <c r="L1636">
        <v>5</v>
      </c>
      <c r="M1636" t="s">
        <v>7992</v>
      </c>
      <c r="N1636" t="s">
        <v>47</v>
      </c>
      <c r="O1636" t="s">
        <v>1835</v>
      </c>
      <c r="P1636" t="s">
        <v>1835</v>
      </c>
      <c r="Y1636" t="s">
        <v>7993</v>
      </c>
    </row>
    <row r="1637" spans="1:25">
      <c r="A1637" t="s">
        <v>7994</v>
      </c>
      <c r="B1637" t="s">
        <v>7995</v>
      </c>
      <c r="D1637" t="s">
        <v>1832</v>
      </c>
      <c r="E1637" t="s">
        <v>41</v>
      </c>
      <c r="J1637" t="s">
        <v>78</v>
      </c>
      <c r="K1637" t="s">
        <v>79</v>
      </c>
      <c r="L1637">
        <v>5</v>
      </c>
      <c r="M1637" t="s">
        <v>7996</v>
      </c>
      <c r="N1637" t="s">
        <v>47</v>
      </c>
      <c r="O1637" t="s">
        <v>1835</v>
      </c>
      <c r="P1637" t="s">
        <v>1835</v>
      </c>
      <c r="Y1637" t="s">
        <v>7997</v>
      </c>
    </row>
    <row r="1638" spans="1:25">
      <c r="A1638" t="s">
        <v>7998</v>
      </c>
      <c r="B1638" t="s">
        <v>7999</v>
      </c>
      <c r="D1638" t="s">
        <v>1832</v>
      </c>
      <c r="E1638" t="s">
        <v>41</v>
      </c>
      <c r="J1638" t="s">
        <v>90</v>
      </c>
      <c r="K1638" t="s">
        <v>91</v>
      </c>
      <c r="L1638">
        <v>5</v>
      </c>
      <c r="M1638" t="s">
        <v>7996</v>
      </c>
      <c r="N1638" t="s">
        <v>47</v>
      </c>
      <c r="O1638" t="s">
        <v>1835</v>
      </c>
      <c r="P1638" t="s">
        <v>1835</v>
      </c>
      <c r="Y1638" t="s">
        <v>8000</v>
      </c>
    </row>
    <row r="1639" spans="1:25">
      <c r="A1639" t="s">
        <v>8001</v>
      </c>
      <c r="B1639" t="s">
        <v>8002</v>
      </c>
      <c r="D1639" t="s">
        <v>1832</v>
      </c>
      <c r="E1639" t="s">
        <v>41</v>
      </c>
      <c r="H1639" t="s">
        <v>8003</v>
      </c>
      <c r="J1639" t="s">
        <v>353</v>
      </c>
      <c r="K1639" t="s">
        <v>354</v>
      </c>
      <c r="L1639">
        <v>5</v>
      </c>
      <c r="M1639" t="s">
        <v>8004</v>
      </c>
      <c r="N1639" t="s">
        <v>135</v>
      </c>
      <c r="O1639" t="s">
        <v>1835</v>
      </c>
      <c r="P1639" t="s">
        <v>1835</v>
      </c>
      <c r="Y1639" t="s">
        <v>8003</v>
      </c>
    </row>
    <row r="1640" spans="1:25">
      <c r="A1640" t="s">
        <v>8005</v>
      </c>
      <c r="B1640" t="s">
        <v>8006</v>
      </c>
      <c r="D1640" t="s">
        <v>1832</v>
      </c>
      <c r="E1640" t="s">
        <v>41</v>
      </c>
      <c r="H1640" t="s">
        <v>8007</v>
      </c>
      <c r="J1640" t="s">
        <v>78</v>
      </c>
      <c r="K1640" t="s">
        <v>79</v>
      </c>
      <c r="L1640">
        <v>5</v>
      </c>
      <c r="M1640" t="s">
        <v>8008</v>
      </c>
      <c r="N1640" t="s">
        <v>47</v>
      </c>
      <c r="O1640" t="s">
        <v>1835</v>
      </c>
      <c r="P1640" t="s">
        <v>1835</v>
      </c>
      <c r="Y1640" t="s">
        <v>8007</v>
      </c>
    </row>
    <row r="1641" spans="1:25">
      <c r="A1641" t="s">
        <v>8009</v>
      </c>
      <c r="B1641" t="s">
        <v>8010</v>
      </c>
      <c r="D1641" t="s">
        <v>1832</v>
      </c>
      <c r="E1641" t="s">
        <v>41</v>
      </c>
      <c r="J1641" t="s">
        <v>90</v>
      </c>
      <c r="K1641" t="s">
        <v>91</v>
      </c>
      <c r="L1641">
        <v>5</v>
      </c>
      <c r="M1641" t="s">
        <v>8011</v>
      </c>
      <c r="N1641" t="s">
        <v>47</v>
      </c>
      <c r="O1641" t="s">
        <v>1835</v>
      </c>
      <c r="P1641" t="s">
        <v>1835</v>
      </c>
      <c r="Y1641" t="s">
        <v>8012</v>
      </c>
    </row>
    <row r="1642" spans="1:25">
      <c r="A1642" t="s">
        <v>8013</v>
      </c>
      <c r="B1642" t="s">
        <v>8014</v>
      </c>
      <c r="D1642" t="s">
        <v>1832</v>
      </c>
      <c r="E1642" t="s">
        <v>41</v>
      </c>
      <c r="J1642" t="s">
        <v>44</v>
      </c>
      <c r="K1642" t="s">
        <v>45</v>
      </c>
      <c r="L1642">
        <v>5</v>
      </c>
      <c r="M1642" t="s">
        <v>8015</v>
      </c>
      <c r="N1642" t="s">
        <v>47</v>
      </c>
      <c r="O1642" t="s">
        <v>1835</v>
      </c>
      <c r="P1642" t="s">
        <v>1835</v>
      </c>
      <c r="Y1642" t="s">
        <v>8016</v>
      </c>
    </row>
    <row r="1643" spans="1:25">
      <c r="A1643" t="s">
        <v>8017</v>
      </c>
      <c r="B1643" t="s">
        <v>8018</v>
      </c>
      <c r="D1643" t="s">
        <v>1832</v>
      </c>
      <c r="E1643" t="s">
        <v>41</v>
      </c>
      <c r="J1643" t="s">
        <v>44</v>
      </c>
      <c r="K1643" t="s">
        <v>45</v>
      </c>
      <c r="L1643">
        <v>5</v>
      </c>
      <c r="M1643" t="s">
        <v>8019</v>
      </c>
      <c r="N1643" t="s">
        <v>47</v>
      </c>
      <c r="O1643" t="s">
        <v>1835</v>
      </c>
      <c r="P1643" t="s">
        <v>1835</v>
      </c>
      <c r="Y1643" t="s">
        <v>8020</v>
      </c>
    </row>
    <row r="1644" spans="1:25">
      <c r="A1644" t="s">
        <v>8021</v>
      </c>
      <c r="B1644" t="s">
        <v>8022</v>
      </c>
      <c r="D1644" t="s">
        <v>1832</v>
      </c>
      <c r="E1644" t="s">
        <v>41</v>
      </c>
      <c r="J1644" t="s">
        <v>54</v>
      </c>
      <c r="K1644" t="s">
        <v>55</v>
      </c>
      <c r="L1644">
        <v>5</v>
      </c>
      <c r="M1644" t="s">
        <v>8019</v>
      </c>
      <c r="N1644" t="s">
        <v>47</v>
      </c>
      <c r="O1644" t="s">
        <v>1835</v>
      </c>
      <c r="P1644" t="s">
        <v>1835</v>
      </c>
      <c r="Y1644" t="s">
        <v>8023</v>
      </c>
    </row>
    <row r="1645" spans="1:25">
      <c r="A1645" t="s">
        <v>8024</v>
      </c>
      <c r="B1645" t="s">
        <v>8025</v>
      </c>
      <c r="D1645" t="s">
        <v>1832</v>
      </c>
      <c r="E1645" t="s">
        <v>41</v>
      </c>
      <c r="J1645" t="s">
        <v>44</v>
      </c>
      <c r="K1645" t="s">
        <v>45</v>
      </c>
      <c r="L1645">
        <v>5</v>
      </c>
      <c r="M1645" t="s">
        <v>8019</v>
      </c>
      <c r="N1645" t="s">
        <v>47</v>
      </c>
      <c r="O1645" t="s">
        <v>1835</v>
      </c>
      <c r="P1645" t="s">
        <v>1835</v>
      </c>
      <c r="Y1645" t="s">
        <v>8026</v>
      </c>
    </row>
    <row r="1646" spans="1:25">
      <c r="A1646" t="s">
        <v>8027</v>
      </c>
      <c r="B1646" t="s">
        <v>8028</v>
      </c>
      <c r="D1646" t="s">
        <v>1832</v>
      </c>
      <c r="E1646" t="s">
        <v>41</v>
      </c>
      <c r="J1646" t="s">
        <v>78</v>
      </c>
      <c r="K1646" t="s">
        <v>79</v>
      </c>
      <c r="L1646">
        <v>5</v>
      </c>
      <c r="M1646" t="s">
        <v>8029</v>
      </c>
      <c r="N1646" t="s">
        <v>47</v>
      </c>
      <c r="O1646" t="s">
        <v>1835</v>
      </c>
      <c r="P1646" t="s">
        <v>1835</v>
      </c>
      <c r="Y1646" t="s">
        <v>8030</v>
      </c>
    </row>
    <row r="1647" spans="1:25">
      <c r="A1647" t="s">
        <v>8031</v>
      </c>
      <c r="B1647" t="s">
        <v>8032</v>
      </c>
      <c r="D1647" t="s">
        <v>1832</v>
      </c>
      <c r="E1647" t="s">
        <v>41</v>
      </c>
      <c r="J1647" t="s">
        <v>44</v>
      </c>
      <c r="K1647" t="s">
        <v>45</v>
      </c>
      <c r="L1647">
        <v>5</v>
      </c>
      <c r="M1647" t="s">
        <v>8029</v>
      </c>
      <c r="N1647" t="s">
        <v>47</v>
      </c>
      <c r="O1647" t="s">
        <v>1835</v>
      </c>
      <c r="P1647" t="s">
        <v>1835</v>
      </c>
      <c r="Y1647" t="s">
        <v>8033</v>
      </c>
    </row>
    <row r="1648" spans="1:25">
      <c r="A1648" t="s">
        <v>8034</v>
      </c>
      <c r="B1648" t="s">
        <v>8035</v>
      </c>
      <c r="D1648" t="s">
        <v>1832</v>
      </c>
      <c r="E1648" t="s">
        <v>41</v>
      </c>
      <c r="J1648" t="s">
        <v>44</v>
      </c>
      <c r="K1648" t="s">
        <v>45</v>
      </c>
      <c r="L1648">
        <v>5</v>
      </c>
      <c r="M1648" t="s">
        <v>8036</v>
      </c>
      <c r="N1648" t="s">
        <v>47</v>
      </c>
      <c r="O1648" t="s">
        <v>1835</v>
      </c>
      <c r="P1648" t="s">
        <v>1835</v>
      </c>
      <c r="Y1648" t="s">
        <v>8037</v>
      </c>
    </row>
    <row r="1649" spans="1:25">
      <c r="A1649" t="s">
        <v>8038</v>
      </c>
      <c r="B1649" t="s">
        <v>8039</v>
      </c>
      <c r="D1649" t="s">
        <v>1832</v>
      </c>
      <c r="E1649" t="s">
        <v>41</v>
      </c>
      <c r="J1649" t="s">
        <v>371</v>
      </c>
      <c r="K1649" t="s">
        <v>372</v>
      </c>
      <c r="L1649">
        <v>5</v>
      </c>
      <c r="M1649" t="s">
        <v>8040</v>
      </c>
      <c r="N1649" t="s">
        <v>47</v>
      </c>
      <c r="O1649" t="s">
        <v>1835</v>
      </c>
      <c r="P1649" t="s">
        <v>1835</v>
      </c>
      <c r="Y1649" t="s">
        <v>8041</v>
      </c>
    </row>
    <row r="1650" spans="1:25">
      <c r="A1650" t="s">
        <v>8042</v>
      </c>
      <c r="B1650" t="s">
        <v>8043</v>
      </c>
      <c r="D1650" t="s">
        <v>1832</v>
      </c>
      <c r="E1650" t="s">
        <v>41</v>
      </c>
      <c r="H1650" t="s">
        <v>8044</v>
      </c>
      <c r="J1650" t="s">
        <v>54</v>
      </c>
      <c r="K1650" t="s">
        <v>55</v>
      </c>
      <c r="L1650">
        <v>5</v>
      </c>
      <c r="M1650" t="s">
        <v>8045</v>
      </c>
      <c r="N1650" t="s">
        <v>47</v>
      </c>
      <c r="O1650" t="s">
        <v>1835</v>
      </c>
      <c r="P1650" t="s">
        <v>1835</v>
      </c>
      <c r="Y1650" t="s">
        <v>8044</v>
      </c>
    </row>
    <row r="1651" spans="1:25">
      <c r="A1651" t="s">
        <v>8046</v>
      </c>
      <c r="B1651" t="s">
        <v>8047</v>
      </c>
      <c r="D1651" t="s">
        <v>1832</v>
      </c>
      <c r="E1651" t="s">
        <v>41</v>
      </c>
      <c r="J1651" t="s">
        <v>90</v>
      </c>
      <c r="K1651" t="s">
        <v>91</v>
      </c>
      <c r="L1651">
        <v>5</v>
      </c>
      <c r="M1651" t="s">
        <v>8048</v>
      </c>
      <c r="N1651" t="s">
        <v>47</v>
      </c>
      <c r="O1651" t="s">
        <v>1835</v>
      </c>
      <c r="P1651" t="s">
        <v>1835</v>
      </c>
      <c r="Y1651" t="s">
        <v>8049</v>
      </c>
    </row>
    <row r="1652" spans="1:25">
      <c r="A1652" t="s">
        <v>8050</v>
      </c>
      <c r="B1652" t="s">
        <v>8051</v>
      </c>
      <c r="D1652" t="s">
        <v>1832</v>
      </c>
      <c r="E1652" t="s">
        <v>41</v>
      </c>
      <c r="J1652" t="s">
        <v>90</v>
      </c>
      <c r="K1652" t="s">
        <v>91</v>
      </c>
      <c r="L1652">
        <v>5</v>
      </c>
      <c r="M1652" t="s">
        <v>8048</v>
      </c>
      <c r="N1652" t="s">
        <v>47</v>
      </c>
      <c r="O1652" t="s">
        <v>1835</v>
      </c>
      <c r="P1652" t="s">
        <v>1835</v>
      </c>
      <c r="Y1652" t="s">
        <v>8052</v>
      </c>
    </row>
    <row r="1653" spans="1:25">
      <c r="A1653" t="s">
        <v>8053</v>
      </c>
      <c r="B1653" t="s">
        <v>8054</v>
      </c>
      <c r="D1653" t="s">
        <v>1832</v>
      </c>
      <c r="E1653" t="s">
        <v>41</v>
      </c>
      <c r="H1653" t="s">
        <v>8055</v>
      </c>
      <c r="J1653" t="s">
        <v>133</v>
      </c>
      <c r="K1653" t="s">
        <v>134</v>
      </c>
      <c r="L1653">
        <v>5</v>
      </c>
      <c r="M1653" t="s">
        <v>8056</v>
      </c>
      <c r="N1653" t="s">
        <v>135</v>
      </c>
      <c r="O1653" t="s">
        <v>1835</v>
      </c>
      <c r="P1653" t="s">
        <v>1835</v>
      </c>
      <c r="Y1653" t="s">
        <v>8055</v>
      </c>
    </row>
    <row r="1654" spans="1:25">
      <c r="A1654" t="s">
        <v>8057</v>
      </c>
      <c r="B1654" t="s">
        <v>8058</v>
      </c>
      <c r="D1654" t="s">
        <v>1832</v>
      </c>
      <c r="E1654" t="s">
        <v>41</v>
      </c>
      <c r="J1654" t="s">
        <v>90</v>
      </c>
      <c r="K1654" t="s">
        <v>91</v>
      </c>
      <c r="L1654">
        <v>5</v>
      </c>
      <c r="M1654" t="s">
        <v>8059</v>
      </c>
      <c r="N1654" t="s">
        <v>47</v>
      </c>
      <c r="O1654" t="s">
        <v>1835</v>
      </c>
      <c r="P1654" t="s">
        <v>1835</v>
      </c>
      <c r="Y1654" t="s">
        <v>8060</v>
      </c>
    </row>
    <row r="1655" spans="1:25">
      <c r="A1655" t="s">
        <v>8061</v>
      </c>
      <c r="B1655" t="s">
        <v>8062</v>
      </c>
      <c r="D1655" t="s">
        <v>1832</v>
      </c>
      <c r="E1655" t="s">
        <v>41</v>
      </c>
      <c r="H1655" t="s">
        <v>8063</v>
      </c>
      <c r="J1655" t="s">
        <v>44</v>
      </c>
      <c r="K1655" t="s">
        <v>45</v>
      </c>
      <c r="L1655">
        <v>5</v>
      </c>
      <c r="M1655" t="s">
        <v>8064</v>
      </c>
      <c r="N1655" t="s">
        <v>47</v>
      </c>
      <c r="O1655" t="s">
        <v>1835</v>
      </c>
      <c r="P1655" t="s">
        <v>1835</v>
      </c>
      <c r="Y1655" t="s">
        <v>8063</v>
      </c>
    </row>
    <row r="1656" spans="1:25">
      <c r="A1656" t="s">
        <v>8065</v>
      </c>
      <c r="B1656" t="s">
        <v>8066</v>
      </c>
      <c r="D1656" t="s">
        <v>1832</v>
      </c>
      <c r="E1656" t="s">
        <v>41</v>
      </c>
      <c r="H1656" t="s">
        <v>8067</v>
      </c>
      <c r="J1656" t="s">
        <v>90</v>
      </c>
      <c r="K1656" t="s">
        <v>91</v>
      </c>
      <c r="L1656">
        <v>5</v>
      </c>
      <c r="M1656" t="s">
        <v>8068</v>
      </c>
      <c r="N1656" t="s">
        <v>47</v>
      </c>
      <c r="O1656" t="s">
        <v>1835</v>
      </c>
      <c r="P1656" t="s">
        <v>1835</v>
      </c>
      <c r="Y1656" t="s">
        <v>8067</v>
      </c>
    </row>
    <row r="1657" spans="1:25">
      <c r="A1657" t="s">
        <v>8069</v>
      </c>
      <c r="B1657" t="s">
        <v>8070</v>
      </c>
      <c r="D1657" t="s">
        <v>1832</v>
      </c>
      <c r="E1657" t="s">
        <v>41</v>
      </c>
      <c r="J1657" t="s">
        <v>90</v>
      </c>
      <c r="K1657" t="s">
        <v>91</v>
      </c>
      <c r="L1657">
        <v>5</v>
      </c>
      <c r="M1657" t="s">
        <v>8068</v>
      </c>
      <c r="N1657" t="s">
        <v>47</v>
      </c>
      <c r="O1657" t="s">
        <v>1835</v>
      </c>
      <c r="P1657" t="s">
        <v>1835</v>
      </c>
      <c r="Y1657" t="s">
        <v>8071</v>
      </c>
    </row>
    <row r="1658" spans="1:25">
      <c r="A1658" t="s">
        <v>8072</v>
      </c>
      <c r="B1658" t="s">
        <v>8073</v>
      </c>
      <c r="D1658" t="s">
        <v>1832</v>
      </c>
      <c r="E1658" t="s">
        <v>41</v>
      </c>
      <c r="H1658" t="s">
        <v>8074</v>
      </c>
      <c r="J1658" t="s">
        <v>234</v>
      </c>
      <c r="K1658" t="s">
        <v>235</v>
      </c>
      <c r="L1658">
        <v>5</v>
      </c>
      <c r="M1658" t="s">
        <v>8075</v>
      </c>
      <c r="N1658" t="s">
        <v>47</v>
      </c>
      <c r="O1658" t="s">
        <v>1835</v>
      </c>
      <c r="P1658" t="s">
        <v>1835</v>
      </c>
      <c r="Y1658" t="s">
        <v>8074</v>
      </c>
    </row>
    <row r="1659" spans="1:25">
      <c r="A1659" t="s">
        <v>8076</v>
      </c>
      <c r="B1659" t="s">
        <v>8077</v>
      </c>
      <c r="D1659" t="s">
        <v>1832</v>
      </c>
      <c r="E1659" t="s">
        <v>41</v>
      </c>
      <c r="H1659" t="s">
        <v>8078</v>
      </c>
      <c r="J1659" t="s">
        <v>44</v>
      </c>
      <c r="K1659" t="s">
        <v>45</v>
      </c>
      <c r="L1659">
        <v>5</v>
      </c>
      <c r="M1659" t="s">
        <v>8079</v>
      </c>
      <c r="N1659" t="s">
        <v>47</v>
      </c>
      <c r="O1659" t="s">
        <v>1835</v>
      </c>
      <c r="P1659" t="s">
        <v>1835</v>
      </c>
      <c r="Y1659" t="s">
        <v>8078</v>
      </c>
    </row>
    <row r="1660" spans="1:25">
      <c r="A1660" t="s">
        <v>8080</v>
      </c>
      <c r="B1660" t="s">
        <v>8081</v>
      </c>
      <c r="D1660" t="s">
        <v>1832</v>
      </c>
      <c r="E1660" t="s">
        <v>41</v>
      </c>
      <c r="J1660" t="s">
        <v>44</v>
      </c>
      <c r="K1660" t="s">
        <v>45</v>
      </c>
      <c r="L1660">
        <v>5</v>
      </c>
      <c r="M1660" t="s">
        <v>8079</v>
      </c>
      <c r="N1660" t="s">
        <v>47</v>
      </c>
      <c r="O1660" t="s">
        <v>1835</v>
      </c>
      <c r="P1660" t="s">
        <v>1835</v>
      </c>
      <c r="Y1660" t="s">
        <v>8082</v>
      </c>
    </row>
    <row r="1661" spans="1:25">
      <c r="A1661" t="s">
        <v>8083</v>
      </c>
      <c r="B1661" t="s">
        <v>8084</v>
      </c>
      <c r="D1661" t="s">
        <v>1832</v>
      </c>
      <c r="E1661" t="s">
        <v>41</v>
      </c>
      <c r="J1661" t="s">
        <v>90</v>
      </c>
      <c r="K1661" t="s">
        <v>91</v>
      </c>
      <c r="L1661">
        <v>5</v>
      </c>
      <c r="M1661" t="s">
        <v>8079</v>
      </c>
      <c r="N1661" t="s">
        <v>47</v>
      </c>
      <c r="O1661" t="s">
        <v>1835</v>
      </c>
      <c r="P1661" t="s">
        <v>1835</v>
      </c>
      <c r="Y1661" t="s">
        <v>8085</v>
      </c>
    </row>
    <row r="1662" spans="1:25">
      <c r="A1662" t="s">
        <v>8086</v>
      </c>
      <c r="B1662" t="s">
        <v>8087</v>
      </c>
      <c r="D1662" t="s">
        <v>1832</v>
      </c>
      <c r="E1662" t="s">
        <v>41</v>
      </c>
      <c r="J1662" t="s">
        <v>44</v>
      </c>
      <c r="K1662" t="s">
        <v>45</v>
      </c>
      <c r="L1662">
        <v>5</v>
      </c>
      <c r="M1662" t="s">
        <v>8079</v>
      </c>
      <c r="N1662" t="s">
        <v>47</v>
      </c>
      <c r="O1662" t="s">
        <v>1835</v>
      </c>
      <c r="P1662" t="s">
        <v>1835</v>
      </c>
      <c r="Y1662" t="s">
        <v>8088</v>
      </c>
    </row>
    <row r="1663" spans="1:25">
      <c r="A1663" t="s">
        <v>8089</v>
      </c>
      <c r="B1663" t="s">
        <v>8090</v>
      </c>
      <c r="D1663" t="s">
        <v>1832</v>
      </c>
      <c r="E1663" t="s">
        <v>41</v>
      </c>
      <c r="J1663" t="s">
        <v>44</v>
      </c>
      <c r="K1663" t="s">
        <v>45</v>
      </c>
      <c r="L1663">
        <v>5</v>
      </c>
      <c r="M1663" t="s">
        <v>8091</v>
      </c>
      <c r="N1663" t="s">
        <v>47</v>
      </c>
      <c r="O1663" t="s">
        <v>1835</v>
      </c>
      <c r="P1663" t="s">
        <v>1835</v>
      </c>
      <c r="Y1663" t="s">
        <v>8092</v>
      </c>
    </row>
    <row r="1664" spans="1:25">
      <c r="A1664" t="s">
        <v>8093</v>
      </c>
      <c r="B1664" t="s">
        <v>8094</v>
      </c>
      <c r="D1664" t="s">
        <v>1832</v>
      </c>
      <c r="E1664" t="s">
        <v>41</v>
      </c>
      <c r="H1664" t="s">
        <v>8095</v>
      </c>
      <c r="J1664" t="s">
        <v>90</v>
      </c>
      <c r="K1664" t="s">
        <v>91</v>
      </c>
      <c r="L1664">
        <v>5</v>
      </c>
      <c r="M1664" t="s">
        <v>8096</v>
      </c>
      <c r="N1664" t="s">
        <v>47</v>
      </c>
      <c r="O1664" t="s">
        <v>1835</v>
      </c>
      <c r="P1664" t="s">
        <v>1835</v>
      </c>
      <c r="Y1664" t="s">
        <v>8095</v>
      </c>
    </row>
    <row r="1665" spans="1:25">
      <c r="A1665" t="s">
        <v>8097</v>
      </c>
      <c r="B1665" t="s">
        <v>8098</v>
      </c>
      <c r="D1665" t="s">
        <v>1832</v>
      </c>
      <c r="E1665" t="s">
        <v>41</v>
      </c>
      <c r="J1665" t="s">
        <v>44</v>
      </c>
      <c r="K1665" t="s">
        <v>45</v>
      </c>
      <c r="L1665">
        <v>5</v>
      </c>
      <c r="M1665" t="s">
        <v>8099</v>
      </c>
      <c r="N1665" t="s">
        <v>47</v>
      </c>
      <c r="O1665" t="s">
        <v>1835</v>
      </c>
      <c r="P1665" t="s">
        <v>1835</v>
      </c>
      <c r="Y1665" t="s">
        <v>8100</v>
      </c>
    </row>
    <row r="1666" spans="1:25">
      <c r="A1666" t="s">
        <v>8101</v>
      </c>
      <c r="B1666" t="s">
        <v>8102</v>
      </c>
      <c r="D1666" t="s">
        <v>1832</v>
      </c>
      <c r="E1666" t="s">
        <v>41</v>
      </c>
      <c r="J1666" t="s">
        <v>133</v>
      </c>
      <c r="K1666" t="s">
        <v>134</v>
      </c>
      <c r="L1666">
        <v>5</v>
      </c>
      <c r="M1666" t="s">
        <v>8103</v>
      </c>
      <c r="N1666" t="s">
        <v>290</v>
      </c>
      <c r="O1666" t="s">
        <v>1835</v>
      </c>
      <c r="P1666" t="s">
        <v>1835</v>
      </c>
      <c r="Y1666" t="s">
        <v>8104</v>
      </c>
    </row>
    <row r="1667" spans="1:25">
      <c r="A1667" t="s">
        <v>8105</v>
      </c>
      <c r="B1667" t="s">
        <v>8106</v>
      </c>
      <c r="D1667" t="s">
        <v>1832</v>
      </c>
      <c r="E1667" t="s">
        <v>41</v>
      </c>
      <c r="J1667" t="s">
        <v>90</v>
      </c>
      <c r="K1667" t="s">
        <v>91</v>
      </c>
      <c r="L1667">
        <v>5</v>
      </c>
      <c r="M1667" t="s">
        <v>8107</v>
      </c>
      <c r="N1667" t="s">
        <v>47</v>
      </c>
      <c r="O1667" t="s">
        <v>1835</v>
      </c>
      <c r="P1667" t="s">
        <v>1835</v>
      </c>
      <c r="Y1667" t="s">
        <v>8108</v>
      </c>
    </row>
    <row r="1668" spans="1:25">
      <c r="A1668" t="s">
        <v>8109</v>
      </c>
      <c r="B1668" t="s">
        <v>8110</v>
      </c>
      <c r="D1668" t="s">
        <v>1832</v>
      </c>
      <c r="E1668" t="s">
        <v>41</v>
      </c>
      <c r="J1668" t="s">
        <v>90</v>
      </c>
      <c r="K1668" t="s">
        <v>91</v>
      </c>
      <c r="L1668">
        <v>5</v>
      </c>
      <c r="M1668" t="s">
        <v>8107</v>
      </c>
      <c r="N1668" t="s">
        <v>47</v>
      </c>
      <c r="O1668" t="s">
        <v>1835</v>
      </c>
      <c r="P1668" t="s">
        <v>1835</v>
      </c>
      <c r="Y1668" t="s">
        <v>8111</v>
      </c>
    </row>
    <row r="1669" spans="1:25">
      <c r="A1669" t="s">
        <v>8112</v>
      </c>
      <c r="B1669" t="s">
        <v>8113</v>
      </c>
      <c r="D1669" t="s">
        <v>1832</v>
      </c>
      <c r="E1669" t="s">
        <v>41</v>
      </c>
      <c r="J1669" t="s">
        <v>78</v>
      </c>
      <c r="K1669" t="s">
        <v>79</v>
      </c>
      <c r="L1669">
        <v>5</v>
      </c>
      <c r="M1669" t="s">
        <v>8114</v>
      </c>
      <c r="N1669" t="s">
        <v>47</v>
      </c>
      <c r="O1669" t="s">
        <v>1835</v>
      </c>
      <c r="P1669" t="s">
        <v>1835</v>
      </c>
      <c r="Y1669" t="s">
        <v>8115</v>
      </c>
    </row>
    <row r="1670" spans="1:25">
      <c r="A1670" t="s">
        <v>8116</v>
      </c>
      <c r="B1670" t="s">
        <v>8117</v>
      </c>
      <c r="D1670" t="s">
        <v>1832</v>
      </c>
      <c r="E1670" t="s">
        <v>41</v>
      </c>
      <c r="J1670" t="s">
        <v>2328</v>
      </c>
      <c r="K1670" t="s">
        <v>2329</v>
      </c>
      <c r="L1670">
        <v>5</v>
      </c>
      <c r="M1670" t="s">
        <v>8114</v>
      </c>
      <c r="N1670" t="s">
        <v>685</v>
      </c>
      <c r="O1670" t="s">
        <v>1835</v>
      </c>
      <c r="P1670" t="s">
        <v>1835</v>
      </c>
      <c r="Y1670" t="s">
        <v>8118</v>
      </c>
    </row>
    <row r="1671" spans="1:25">
      <c r="A1671" t="s">
        <v>8119</v>
      </c>
      <c r="B1671" t="s">
        <v>8120</v>
      </c>
      <c r="D1671" t="s">
        <v>1832</v>
      </c>
      <c r="E1671" t="s">
        <v>41</v>
      </c>
      <c r="J1671" t="s">
        <v>54</v>
      </c>
      <c r="K1671" t="s">
        <v>55</v>
      </c>
      <c r="L1671">
        <v>5</v>
      </c>
      <c r="M1671" t="s">
        <v>8114</v>
      </c>
      <c r="N1671" t="s">
        <v>47</v>
      </c>
      <c r="O1671" t="s">
        <v>1835</v>
      </c>
      <c r="P1671" t="s">
        <v>1835</v>
      </c>
      <c r="Y1671" t="s">
        <v>8121</v>
      </c>
    </row>
    <row r="1672" spans="1:25">
      <c r="A1672" t="s">
        <v>8122</v>
      </c>
      <c r="B1672" t="s">
        <v>8123</v>
      </c>
      <c r="D1672" t="s">
        <v>1832</v>
      </c>
      <c r="E1672" t="s">
        <v>41</v>
      </c>
      <c r="J1672" t="s">
        <v>44</v>
      </c>
      <c r="K1672" t="s">
        <v>45</v>
      </c>
      <c r="L1672">
        <v>5</v>
      </c>
      <c r="M1672" t="s">
        <v>8114</v>
      </c>
      <c r="N1672" t="s">
        <v>47</v>
      </c>
      <c r="O1672" t="s">
        <v>1835</v>
      </c>
      <c r="P1672" t="s">
        <v>1835</v>
      </c>
      <c r="Y1672" t="s">
        <v>8124</v>
      </c>
    </row>
    <row r="1673" spans="1:25">
      <c r="A1673" t="s">
        <v>8125</v>
      </c>
      <c r="B1673" t="s">
        <v>8126</v>
      </c>
      <c r="D1673" t="s">
        <v>1832</v>
      </c>
      <c r="E1673" t="s">
        <v>41</v>
      </c>
      <c r="H1673" t="s">
        <v>8127</v>
      </c>
      <c r="J1673" t="s">
        <v>78</v>
      </c>
      <c r="K1673" t="s">
        <v>79</v>
      </c>
      <c r="L1673">
        <v>5</v>
      </c>
      <c r="M1673" t="s">
        <v>8114</v>
      </c>
      <c r="N1673" t="s">
        <v>47</v>
      </c>
      <c r="O1673" t="s">
        <v>1835</v>
      </c>
      <c r="P1673" t="s">
        <v>1835</v>
      </c>
      <c r="Y1673" t="s">
        <v>8127</v>
      </c>
    </row>
    <row r="1674" spans="1:25">
      <c r="A1674" t="s">
        <v>8128</v>
      </c>
      <c r="B1674" t="s">
        <v>8129</v>
      </c>
      <c r="D1674" t="s">
        <v>1832</v>
      </c>
      <c r="E1674" t="s">
        <v>41</v>
      </c>
      <c r="J1674" t="s">
        <v>133</v>
      </c>
      <c r="K1674" t="s">
        <v>134</v>
      </c>
      <c r="L1674">
        <v>5</v>
      </c>
      <c r="M1674" t="s">
        <v>8130</v>
      </c>
      <c r="N1674" t="s">
        <v>135</v>
      </c>
      <c r="O1674" t="s">
        <v>1835</v>
      </c>
      <c r="P1674" t="s">
        <v>1835</v>
      </c>
      <c r="Y1674" t="s">
        <v>8131</v>
      </c>
    </row>
    <row r="1675" spans="1:25">
      <c r="A1675" t="s">
        <v>8132</v>
      </c>
      <c r="B1675" t="s">
        <v>8133</v>
      </c>
      <c r="D1675" t="s">
        <v>1832</v>
      </c>
      <c r="E1675" t="s">
        <v>41</v>
      </c>
      <c r="H1675" t="s">
        <v>8134</v>
      </c>
      <c r="J1675" t="s">
        <v>2328</v>
      </c>
      <c r="K1675" t="s">
        <v>2329</v>
      </c>
      <c r="L1675">
        <v>5</v>
      </c>
      <c r="M1675" t="s">
        <v>8135</v>
      </c>
      <c r="N1675" t="s">
        <v>685</v>
      </c>
      <c r="O1675" t="s">
        <v>1835</v>
      </c>
      <c r="P1675" t="s">
        <v>1835</v>
      </c>
      <c r="Y1675" t="s">
        <v>8134</v>
      </c>
    </row>
    <row r="1676" spans="1:25">
      <c r="A1676" t="s">
        <v>8136</v>
      </c>
      <c r="B1676" t="s">
        <v>8137</v>
      </c>
      <c r="D1676" t="s">
        <v>1832</v>
      </c>
      <c r="E1676" t="s">
        <v>41</v>
      </c>
      <c r="J1676" t="s">
        <v>44</v>
      </c>
      <c r="K1676" t="s">
        <v>45</v>
      </c>
      <c r="L1676">
        <v>5</v>
      </c>
      <c r="M1676" t="s">
        <v>8135</v>
      </c>
      <c r="N1676" t="s">
        <v>47</v>
      </c>
      <c r="O1676" t="s">
        <v>1835</v>
      </c>
      <c r="P1676" t="s">
        <v>1835</v>
      </c>
      <c r="Y1676" t="s">
        <v>8138</v>
      </c>
    </row>
    <row r="1677" spans="1:25">
      <c r="A1677" t="s">
        <v>8139</v>
      </c>
      <c r="B1677" t="s">
        <v>8140</v>
      </c>
      <c r="D1677" t="s">
        <v>1832</v>
      </c>
      <c r="E1677" t="s">
        <v>41</v>
      </c>
      <c r="J1677" t="s">
        <v>54</v>
      </c>
      <c r="K1677" t="s">
        <v>55</v>
      </c>
      <c r="L1677">
        <v>5</v>
      </c>
      <c r="M1677" t="s">
        <v>8141</v>
      </c>
      <c r="N1677" t="s">
        <v>47</v>
      </c>
      <c r="O1677" t="s">
        <v>1835</v>
      </c>
      <c r="P1677" t="s">
        <v>1835</v>
      </c>
      <c r="Y1677" t="s">
        <v>8142</v>
      </c>
    </row>
    <row r="1678" spans="1:25">
      <c r="A1678" t="s">
        <v>8143</v>
      </c>
      <c r="B1678" t="s">
        <v>8144</v>
      </c>
      <c r="D1678" t="s">
        <v>1832</v>
      </c>
      <c r="E1678" t="s">
        <v>41</v>
      </c>
      <c r="H1678" t="s">
        <v>8145</v>
      </c>
      <c r="J1678" t="s">
        <v>54</v>
      </c>
      <c r="K1678" t="s">
        <v>55</v>
      </c>
      <c r="L1678">
        <v>5</v>
      </c>
      <c r="M1678" t="s">
        <v>8141</v>
      </c>
      <c r="N1678" t="s">
        <v>47</v>
      </c>
      <c r="O1678" t="s">
        <v>1835</v>
      </c>
      <c r="P1678" t="s">
        <v>1835</v>
      </c>
      <c r="Y1678" t="s">
        <v>8145</v>
      </c>
    </row>
    <row r="1679" spans="1:25">
      <c r="A1679" t="s">
        <v>8146</v>
      </c>
      <c r="B1679" t="s">
        <v>8147</v>
      </c>
      <c r="D1679" t="s">
        <v>1832</v>
      </c>
      <c r="E1679" t="s">
        <v>41</v>
      </c>
      <c r="H1679" t="s">
        <v>8148</v>
      </c>
      <c r="J1679" t="s">
        <v>54</v>
      </c>
      <c r="K1679" t="s">
        <v>55</v>
      </c>
      <c r="L1679">
        <v>5</v>
      </c>
      <c r="M1679" t="s">
        <v>8141</v>
      </c>
      <c r="N1679" t="s">
        <v>47</v>
      </c>
      <c r="O1679" t="s">
        <v>1835</v>
      </c>
      <c r="P1679" t="s">
        <v>1835</v>
      </c>
      <c r="Y1679" t="s">
        <v>8148</v>
      </c>
    </row>
    <row r="1680" spans="1:25">
      <c r="A1680" t="s">
        <v>8149</v>
      </c>
      <c r="B1680" t="s">
        <v>8150</v>
      </c>
      <c r="D1680" t="s">
        <v>1832</v>
      </c>
      <c r="E1680" t="s">
        <v>41</v>
      </c>
      <c r="J1680" t="s">
        <v>54</v>
      </c>
      <c r="K1680" t="s">
        <v>55</v>
      </c>
      <c r="L1680">
        <v>5</v>
      </c>
      <c r="M1680" t="s">
        <v>8151</v>
      </c>
      <c r="N1680" t="s">
        <v>47</v>
      </c>
      <c r="O1680" t="s">
        <v>1835</v>
      </c>
      <c r="P1680" t="s">
        <v>1835</v>
      </c>
      <c r="Y1680" t="s">
        <v>8152</v>
      </c>
    </row>
    <row r="1681" spans="1:25">
      <c r="A1681" t="s">
        <v>8153</v>
      </c>
      <c r="B1681" t="s">
        <v>8154</v>
      </c>
      <c r="D1681" t="s">
        <v>1832</v>
      </c>
      <c r="E1681" t="s">
        <v>41</v>
      </c>
      <c r="J1681" t="s">
        <v>54</v>
      </c>
      <c r="K1681" t="s">
        <v>55</v>
      </c>
      <c r="L1681">
        <v>5</v>
      </c>
      <c r="M1681" t="s">
        <v>8151</v>
      </c>
      <c r="N1681" t="s">
        <v>47</v>
      </c>
      <c r="O1681" t="s">
        <v>1835</v>
      </c>
      <c r="P1681" t="s">
        <v>1835</v>
      </c>
      <c r="Y1681" t="s">
        <v>8155</v>
      </c>
    </row>
    <row r="1682" spans="1:25">
      <c r="A1682" t="s">
        <v>8156</v>
      </c>
      <c r="B1682" t="s">
        <v>8157</v>
      </c>
      <c r="D1682" t="s">
        <v>1832</v>
      </c>
      <c r="E1682" t="s">
        <v>41</v>
      </c>
      <c r="J1682" t="s">
        <v>133</v>
      </c>
      <c r="K1682" t="s">
        <v>134</v>
      </c>
      <c r="L1682">
        <v>5</v>
      </c>
      <c r="M1682" t="s">
        <v>8151</v>
      </c>
      <c r="N1682" t="s">
        <v>290</v>
      </c>
      <c r="O1682" t="s">
        <v>1835</v>
      </c>
      <c r="P1682" t="s">
        <v>1835</v>
      </c>
      <c r="Y1682" t="s">
        <v>8158</v>
      </c>
    </row>
    <row r="1683" spans="1:25">
      <c r="A1683" t="s">
        <v>8159</v>
      </c>
      <c r="B1683" t="s">
        <v>8160</v>
      </c>
      <c r="D1683" t="s">
        <v>1832</v>
      </c>
      <c r="E1683" t="s">
        <v>41</v>
      </c>
      <c r="J1683" t="s">
        <v>90</v>
      </c>
      <c r="K1683" t="s">
        <v>91</v>
      </c>
      <c r="L1683">
        <v>5</v>
      </c>
      <c r="M1683" t="s">
        <v>8151</v>
      </c>
      <c r="N1683" t="s">
        <v>47</v>
      </c>
      <c r="O1683" t="s">
        <v>1835</v>
      </c>
      <c r="P1683" t="s">
        <v>1835</v>
      </c>
      <c r="Y1683" t="s">
        <v>8161</v>
      </c>
    </row>
    <row r="1684" spans="1:25">
      <c r="A1684" t="s">
        <v>8162</v>
      </c>
      <c r="B1684" t="s">
        <v>8163</v>
      </c>
      <c r="D1684" t="s">
        <v>1832</v>
      </c>
      <c r="E1684" t="s">
        <v>41</v>
      </c>
      <c r="J1684" t="s">
        <v>44</v>
      </c>
      <c r="K1684" t="s">
        <v>45</v>
      </c>
      <c r="L1684">
        <v>5</v>
      </c>
      <c r="M1684" t="s">
        <v>8164</v>
      </c>
      <c r="N1684" t="s">
        <v>47</v>
      </c>
      <c r="O1684" t="s">
        <v>1835</v>
      </c>
      <c r="P1684" t="s">
        <v>1835</v>
      </c>
      <c r="Y1684" t="s">
        <v>8165</v>
      </c>
    </row>
    <row r="1685" spans="1:25">
      <c r="A1685" t="s">
        <v>8166</v>
      </c>
      <c r="B1685" t="s">
        <v>8167</v>
      </c>
      <c r="D1685" t="s">
        <v>1832</v>
      </c>
      <c r="E1685" t="s">
        <v>41</v>
      </c>
      <c r="J1685" t="s">
        <v>54</v>
      </c>
      <c r="K1685" t="s">
        <v>55</v>
      </c>
      <c r="L1685">
        <v>5</v>
      </c>
      <c r="M1685" t="s">
        <v>8164</v>
      </c>
      <c r="N1685" t="s">
        <v>47</v>
      </c>
      <c r="O1685" t="s">
        <v>1835</v>
      </c>
      <c r="P1685" t="s">
        <v>1835</v>
      </c>
      <c r="Y1685" t="s">
        <v>8168</v>
      </c>
    </row>
    <row r="1686" spans="1:25">
      <c r="A1686" t="s">
        <v>8169</v>
      </c>
      <c r="B1686" t="s">
        <v>8170</v>
      </c>
      <c r="D1686" t="s">
        <v>1832</v>
      </c>
      <c r="E1686" t="s">
        <v>41</v>
      </c>
      <c r="H1686" t="s">
        <v>8171</v>
      </c>
      <c r="J1686" t="s">
        <v>353</v>
      </c>
      <c r="K1686" t="s">
        <v>354</v>
      </c>
      <c r="L1686">
        <v>5</v>
      </c>
      <c r="M1686" t="s">
        <v>8172</v>
      </c>
      <c r="N1686" t="s">
        <v>135</v>
      </c>
      <c r="O1686" t="s">
        <v>1835</v>
      </c>
      <c r="P1686" t="s">
        <v>1835</v>
      </c>
      <c r="Y1686" t="s">
        <v>8171</v>
      </c>
    </row>
    <row r="1687" spans="1:25">
      <c r="A1687" t="s">
        <v>8173</v>
      </c>
      <c r="B1687" t="s">
        <v>8174</v>
      </c>
      <c r="D1687" t="s">
        <v>1832</v>
      </c>
      <c r="E1687" t="s">
        <v>41</v>
      </c>
      <c r="J1687" t="s">
        <v>1827</v>
      </c>
      <c r="K1687" t="s">
        <v>1828</v>
      </c>
      <c r="L1687">
        <v>5</v>
      </c>
      <c r="M1687" t="s">
        <v>8175</v>
      </c>
      <c r="N1687" t="s">
        <v>47</v>
      </c>
      <c r="O1687" t="s">
        <v>1835</v>
      </c>
      <c r="P1687" t="s">
        <v>1835</v>
      </c>
      <c r="Y1687" t="s">
        <v>8176</v>
      </c>
    </row>
    <row r="1688" spans="1:25">
      <c r="A1688" t="s">
        <v>8177</v>
      </c>
      <c r="B1688" t="s">
        <v>8178</v>
      </c>
      <c r="D1688" t="s">
        <v>1832</v>
      </c>
      <c r="E1688" t="s">
        <v>41</v>
      </c>
      <c r="J1688" t="s">
        <v>1827</v>
      </c>
      <c r="K1688" t="s">
        <v>1828</v>
      </c>
      <c r="L1688">
        <v>5</v>
      </c>
      <c r="M1688" t="s">
        <v>8175</v>
      </c>
      <c r="N1688" t="s">
        <v>47</v>
      </c>
      <c r="O1688" t="s">
        <v>1835</v>
      </c>
      <c r="P1688" t="s">
        <v>1835</v>
      </c>
      <c r="Y1688" t="s">
        <v>8179</v>
      </c>
    </row>
    <row r="1689" spans="1:25">
      <c r="A1689" t="s">
        <v>8180</v>
      </c>
      <c r="B1689" t="s">
        <v>8181</v>
      </c>
      <c r="D1689" t="s">
        <v>1832</v>
      </c>
      <c r="E1689" t="s">
        <v>41</v>
      </c>
      <c r="H1689" t="s">
        <v>8182</v>
      </c>
      <c r="J1689" t="s">
        <v>1827</v>
      </c>
      <c r="K1689" t="s">
        <v>1828</v>
      </c>
      <c r="L1689">
        <v>5</v>
      </c>
      <c r="M1689" t="s">
        <v>8183</v>
      </c>
      <c r="N1689" t="s">
        <v>47</v>
      </c>
      <c r="O1689" t="s">
        <v>1835</v>
      </c>
      <c r="P1689" t="s">
        <v>1835</v>
      </c>
      <c r="Y1689" t="s">
        <v>8182</v>
      </c>
    </row>
    <row r="1690" spans="1:25">
      <c r="A1690" t="s">
        <v>8184</v>
      </c>
      <c r="B1690" t="s">
        <v>8185</v>
      </c>
      <c r="D1690" t="s">
        <v>1832</v>
      </c>
      <c r="E1690" t="s">
        <v>41</v>
      </c>
      <c r="J1690" t="s">
        <v>1827</v>
      </c>
      <c r="K1690" t="s">
        <v>1828</v>
      </c>
      <c r="L1690">
        <v>5</v>
      </c>
      <c r="M1690" t="s">
        <v>8183</v>
      </c>
      <c r="N1690" t="s">
        <v>47</v>
      </c>
      <c r="O1690" t="s">
        <v>1835</v>
      </c>
      <c r="P1690" t="s">
        <v>1835</v>
      </c>
      <c r="Y1690" t="s">
        <v>8186</v>
      </c>
    </row>
    <row r="1691" spans="1:25">
      <c r="A1691" t="s">
        <v>8187</v>
      </c>
      <c r="B1691" t="s">
        <v>8188</v>
      </c>
      <c r="D1691" t="s">
        <v>1832</v>
      </c>
      <c r="E1691" t="s">
        <v>41</v>
      </c>
      <c r="J1691" t="s">
        <v>1827</v>
      </c>
      <c r="K1691" t="s">
        <v>1828</v>
      </c>
      <c r="L1691">
        <v>5</v>
      </c>
      <c r="M1691" t="s">
        <v>8189</v>
      </c>
      <c r="N1691" t="s">
        <v>47</v>
      </c>
      <c r="O1691" t="s">
        <v>1835</v>
      </c>
      <c r="P1691" t="s">
        <v>1835</v>
      </c>
      <c r="Y1691" t="s">
        <v>8190</v>
      </c>
    </row>
    <row r="1692" spans="1:25">
      <c r="A1692" t="s">
        <v>8191</v>
      </c>
      <c r="B1692" t="s">
        <v>8192</v>
      </c>
      <c r="D1692" t="s">
        <v>1832</v>
      </c>
      <c r="E1692" t="s">
        <v>41</v>
      </c>
      <c r="H1692" t="s">
        <v>8193</v>
      </c>
      <c r="J1692" t="s">
        <v>1827</v>
      </c>
      <c r="K1692" t="s">
        <v>1828</v>
      </c>
      <c r="L1692">
        <v>5</v>
      </c>
      <c r="M1692" t="s">
        <v>8189</v>
      </c>
      <c r="N1692" t="s">
        <v>47</v>
      </c>
      <c r="O1692" t="s">
        <v>1835</v>
      </c>
      <c r="P1692" t="s">
        <v>1835</v>
      </c>
      <c r="Y1692" t="s">
        <v>8193</v>
      </c>
    </row>
    <row r="1693" spans="1:25">
      <c r="A1693" t="s">
        <v>8194</v>
      </c>
      <c r="B1693" t="s">
        <v>8195</v>
      </c>
      <c r="D1693" t="s">
        <v>1832</v>
      </c>
      <c r="E1693" t="s">
        <v>41</v>
      </c>
      <c r="J1693" t="s">
        <v>1827</v>
      </c>
      <c r="K1693" t="s">
        <v>1828</v>
      </c>
      <c r="L1693">
        <v>5</v>
      </c>
      <c r="M1693" t="s">
        <v>8196</v>
      </c>
      <c r="N1693" t="s">
        <v>47</v>
      </c>
      <c r="O1693" t="s">
        <v>1835</v>
      </c>
      <c r="P1693" t="s">
        <v>1835</v>
      </c>
      <c r="Y1693" t="s">
        <v>8197</v>
      </c>
    </row>
    <row r="1694" spans="1:25">
      <c r="A1694" t="s">
        <v>8198</v>
      </c>
      <c r="B1694" t="s">
        <v>8199</v>
      </c>
      <c r="D1694" t="s">
        <v>1832</v>
      </c>
      <c r="E1694" t="s">
        <v>41</v>
      </c>
      <c r="J1694" t="s">
        <v>1827</v>
      </c>
      <c r="K1694" t="s">
        <v>1828</v>
      </c>
      <c r="L1694">
        <v>5</v>
      </c>
      <c r="M1694" t="s">
        <v>8196</v>
      </c>
      <c r="N1694" t="s">
        <v>47</v>
      </c>
      <c r="O1694" t="s">
        <v>1835</v>
      </c>
      <c r="P1694" t="s">
        <v>1835</v>
      </c>
      <c r="Y1694" t="s">
        <v>8200</v>
      </c>
    </row>
    <row r="1695" spans="1:25">
      <c r="A1695" t="s">
        <v>8201</v>
      </c>
      <c r="B1695" t="s">
        <v>8202</v>
      </c>
      <c r="D1695" t="s">
        <v>1832</v>
      </c>
      <c r="E1695" t="s">
        <v>41</v>
      </c>
      <c r="H1695" t="s">
        <v>8203</v>
      </c>
      <c r="J1695" t="s">
        <v>133</v>
      </c>
      <c r="K1695" t="s">
        <v>134</v>
      </c>
      <c r="L1695">
        <v>5</v>
      </c>
      <c r="M1695" t="s">
        <v>8204</v>
      </c>
      <c r="N1695" t="s">
        <v>135</v>
      </c>
      <c r="O1695" t="s">
        <v>1835</v>
      </c>
      <c r="P1695" t="s">
        <v>1835</v>
      </c>
      <c r="Y1695" t="s">
        <v>8203</v>
      </c>
    </row>
    <row r="1696" spans="1:25">
      <c r="A1696" t="s">
        <v>8205</v>
      </c>
      <c r="B1696" t="s">
        <v>8206</v>
      </c>
      <c r="D1696" t="s">
        <v>1832</v>
      </c>
      <c r="E1696" t="s">
        <v>41</v>
      </c>
      <c r="H1696" t="s">
        <v>8207</v>
      </c>
      <c r="J1696" t="s">
        <v>78</v>
      </c>
      <c r="K1696" t="s">
        <v>79</v>
      </c>
      <c r="L1696">
        <v>5</v>
      </c>
      <c r="M1696" t="s">
        <v>8208</v>
      </c>
      <c r="N1696" t="s">
        <v>47</v>
      </c>
      <c r="O1696" t="s">
        <v>1835</v>
      </c>
      <c r="P1696" t="s">
        <v>1835</v>
      </c>
      <c r="Y1696" t="s">
        <v>8207</v>
      </c>
    </row>
    <row r="1697" spans="1:25">
      <c r="A1697" t="s">
        <v>8209</v>
      </c>
      <c r="B1697" t="s">
        <v>8210</v>
      </c>
      <c r="D1697" t="s">
        <v>1832</v>
      </c>
      <c r="E1697" t="s">
        <v>41</v>
      </c>
      <c r="J1697" t="s">
        <v>44</v>
      </c>
      <c r="K1697" t="s">
        <v>45</v>
      </c>
      <c r="L1697">
        <v>5</v>
      </c>
      <c r="M1697" t="s">
        <v>8211</v>
      </c>
      <c r="N1697" t="s">
        <v>47</v>
      </c>
      <c r="O1697" t="s">
        <v>1835</v>
      </c>
      <c r="P1697" t="s">
        <v>1835</v>
      </c>
      <c r="Y1697" t="s">
        <v>8212</v>
      </c>
    </row>
    <row r="1698" spans="1:25">
      <c r="A1698" t="s">
        <v>8213</v>
      </c>
      <c r="B1698" t="s">
        <v>8214</v>
      </c>
      <c r="D1698" t="s">
        <v>1832</v>
      </c>
      <c r="E1698" t="s">
        <v>41</v>
      </c>
      <c r="J1698" t="s">
        <v>1827</v>
      </c>
      <c r="K1698" t="s">
        <v>1828</v>
      </c>
      <c r="L1698">
        <v>5</v>
      </c>
      <c r="M1698" t="s">
        <v>8215</v>
      </c>
      <c r="N1698" t="s">
        <v>47</v>
      </c>
      <c r="O1698" t="s">
        <v>1835</v>
      </c>
      <c r="P1698" t="s">
        <v>1835</v>
      </c>
      <c r="Y1698" t="s">
        <v>8216</v>
      </c>
    </row>
    <row r="1699" spans="1:25">
      <c r="A1699" t="s">
        <v>8217</v>
      </c>
      <c r="B1699" t="s">
        <v>8218</v>
      </c>
      <c r="D1699" t="s">
        <v>1832</v>
      </c>
      <c r="E1699" t="s">
        <v>41</v>
      </c>
      <c r="J1699" t="s">
        <v>90</v>
      </c>
      <c r="K1699" t="s">
        <v>91</v>
      </c>
      <c r="L1699">
        <v>5</v>
      </c>
      <c r="M1699" t="s">
        <v>8219</v>
      </c>
      <c r="N1699" t="s">
        <v>47</v>
      </c>
      <c r="O1699" t="s">
        <v>1835</v>
      </c>
      <c r="P1699" t="s">
        <v>1835</v>
      </c>
      <c r="Y1699" t="s">
        <v>8220</v>
      </c>
    </row>
    <row r="1700" spans="1:25">
      <c r="A1700" t="s">
        <v>8221</v>
      </c>
      <c r="B1700" t="s">
        <v>8222</v>
      </c>
      <c r="D1700" t="s">
        <v>1832</v>
      </c>
      <c r="E1700" t="s">
        <v>41</v>
      </c>
      <c r="J1700" t="s">
        <v>353</v>
      </c>
      <c r="K1700" t="s">
        <v>354</v>
      </c>
      <c r="L1700">
        <v>5</v>
      </c>
      <c r="M1700" t="s">
        <v>8219</v>
      </c>
      <c r="N1700" t="s">
        <v>135</v>
      </c>
      <c r="O1700" t="s">
        <v>1835</v>
      </c>
      <c r="P1700" t="s">
        <v>1835</v>
      </c>
      <c r="Y1700" t="s">
        <v>8223</v>
      </c>
    </row>
    <row r="1701" spans="1:25">
      <c r="A1701" t="s">
        <v>8224</v>
      </c>
      <c r="B1701" t="s">
        <v>8225</v>
      </c>
      <c r="D1701" t="s">
        <v>1832</v>
      </c>
      <c r="E1701" t="s">
        <v>41</v>
      </c>
      <c r="J1701" t="s">
        <v>90</v>
      </c>
      <c r="K1701" t="s">
        <v>91</v>
      </c>
      <c r="L1701">
        <v>5</v>
      </c>
      <c r="M1701" t="s">
        <v>8226</v>
      </c>
      <c r="N1701" t="s">
        <v>47</v>
      </c>
      <c r="O1701" t="s">
        <v>1835</v>
      </c>
      <c r="P1701" t="s">
        <v>1835</v>
      </c>
      <c r="Y1701" t="s">
        <v>8227</v>
      </c>
    </row>
    <row r="1702" spans="1:25">
      <c r="A1702" t="s">
        <v>8228</v>
      </c>
      <c r="B1702" t="s">
        <v>8229</v>
      </c>
      <c r="D1702" t="s">
        <v>1832</v>
      </c>
      <c r="E1702" t="s">
        <v>41</v>
      </c>
      <c r="J1702" t="s">
        <v>44</v>
      </c>
      <c r="K1702" t="s">
        <v>45</v>
      </c>
      <c r="L1702">
        <v>5</v>
      </c>
      <c r="M1702" t="s">
        <v>8230</v>
      </c>
      <c r="N1702" t="s">
        <v>47</v>
      </c>
      <c r="O1702" t="s">
        <v>1835</v>
      </c>
      <c r="P1702" t="s">
        <v>1835</v>
      </c>
      <c r="Y1702" t="s">
        <v>8231</v>
      </c>
    </row>
    <row r="1703" spans="1:25">
      <c r="A1703" t="s">
        <v>8232</v>
      </c>
      <c r="B1703" t="s">
        <v>8233</v>
      </c>
      <c r="D1703" t="s">
        <v>1832</v>
      </c>
      <c r="E1703" t="s">
        <v>41</v>
      </c>
      <c r="H1703" t="s">
        <v>8234</v>
      </c>
      <c r="J1703" t="s">
        <v>683</v>
      </c>
      <c r="K1703" t="s">
        <v>684</v>
      </c>
      <c r="L1703">
        <v>5</v>
      </c>
      <c r="M1703" t="s">
        <v>8235</v>
      </c>
      <c r="N1703" t="s">
        <v>685</v>
      </c>
      <c r="O1703" t="s">
        <v>1835</v>
      </c>
      <c r="P1703" t="s">
        <v>1835</v>
      </c>
      <c r="Y1703" t="s">
        <v>8234</v>
      </c>
    </row>
    <row r="1704" spans="1:25">
      <c r="A1704" t="s">
        <v>8236</v>
      </c>
      <c r="B1704" t="s">
        <v>8237</v>
      </c>
      <c r="D1704" t="s">
        <v>1832</v>
      </c>
      <c r="E1704" t="s">
        <v>41</v>
      </c>
      <c r="H1704" t="s">
        <v>8238</v>
      </c>
      <c r="J1704" t="s">
        <v>234</v>
      </c>
      <c r="K1704" t="s">
        <v>235</v>
      </c>
      <c r="L1704">
        <v>5</v>
      </c>
      <c r="M1704" t="s">
        <v>8239</v>
      </c>
      <c r="N1704" t="s">
        <v>47</v>
      </c>
      <c r="O1704" t="s">
        <v>1835</v>
      </c>
      <c r="P1704" t="s">
        <v>1835</v>
      </c>
      <c r="Y1704" t="s">
        <v>8238</v>
      </c>
    </row>
    <row r="1705" spans="1:25">
      <c r="A1705" t="s">
        <v>8240</v>
      </c>
      <c r="B1705" t="s">
        <v>8241</v>
      </c>
      <c r="D1705" t="s">
        <v>1832</v>
      </c>
      <c r="E1705" t="s">
        <v>41</v>
      </c>
      <c r="H1705" t="s">
        <v>8242</v>
      </c>
      <c r="J1705" t="s">
        <v>78</v>
      </c>
      <c r="K1705" t="s">
        <v>79</v>
      </c>
      <c r="L1705">
        <v>5</v>
      </c>
      <c r="M1705" t="s">
        <v>8243</v>
      </c>
      <c r="N1705" t="s">
        <v>47</v>
      </c>
      <c r="O1705" t="s">
        <v>1835</v>
      </c>
      <c r="P1705" t="s">
        <v>1835</v>
      </c>
      <c r="Y1705" t="s">
        <v>8242</v>
      </c>
    </row>
    <row r="1706" spans="1:25">
      <c r="A1706" t="s">
        <v>8244</v>
      </c>
      <c r="B1706" t="s">
        <v>8245</v>
      </c>
      <c r="D1706" t="s">
        <v>1832</v>
      </c>
      <c r="E1706" t="s">
        <v>41</v>
      </c>
      <c r="J1706" t="s">
        <v>44</v>
      </c>
      <c r="K1706" t="s">
        <v>45</v>
      </c>
      <c r="L1706">
        <v>5</v>
      </c>
      <c r="M1706" t="s">
        <v>8243</v>
      </c>
      <c r="N1706" t="s">
        <v>47</v>
      </c>
      <c r="O1706" t="s">
        <v>1835</v>
      </c>
      <c r="P1706" t="s">
        <v>1835</v>
      </c>
      <c r="Y1706" t="s">
        <v>8246</v>
      </c>
    </row>
    <row r="1707" spans="1:25">
      <c r="A1707" t="s">
        <v>8247</v>
      </c>
      <c r="B1707" t="s">
        <v>8248</v>
      </c>
      <c r="D1707" t="s">
        <v>1832</v>
      </c>
      <c r="E1707" t="s">
        <v>41</v>
      </c>
      <c r="J1707" t="s">
        <v>133</v>
      </c>
      <c r="K1707" t="s">
        <v>134</v>
      </c>
      <c r="L1707">
        <v>5</v>
      </c>
      <c r="M1707" t="s">
        <v>8249</v>
      </c>
      <c r="N1707" t="s">
        <v>135</v>
      </c>
      <c r="O1707" t="s">
        <v>1835</v>
      </c>
      <c r="P1707" t="s">
        <v>1835</v>
      </c>
      <c r="Y1707" t="s">
        <v>8250</v>
      </c>
    </row>
    <row r="1708" spans="1:25">
      <c r="A1708" t="s">
        <v>8251</v>
      </c>
      <c r="B1708" t="s">
        <v>8252</v>
      </c>
      <c r="D1708" t="s">
        <v>1832</v>
      </c>
      <c r="E1708" t="s">
        <v>41</v>
      </c>
      <c r="J1708" t="s">
        <v>90</v>
      </c>
      <c r="K1708" t="s">
        <v>91</v>
      </c>
      <c r="L1708">
        <v>5</v>
      </c>
      <c r="M1708" t="s">
        <v>8253</v>
      </c>
      <c r="N1708" t="s">
        <v>47</v>
      </c>
      <c r="O1708" t="s">
        <v>1835</v>
      </c>
      <c r="P1708" t="s">
        <v>1835</v>
      </c>
      <c r="Y1708" t="s">
        <v>8254</v>
      </c>
    </row>
    <row r="1709" spans="1:25">
      <c r="A1709" t="s">
        <v>8255</v>
      </c>
      <c r="B1709" t="s">
        <v>8256</v>
      </c>
      <c r="D1709" t="s">
        <v>1832</v>
      </c>
      <c r="E1709" t="s">
        <v>41</v>
      </c>
      <c r="H1709" t="s">
        <v>8257</v>
      </c>
      <c r="J1709" t="s">
        <v>90</v>
      </c>
      <c r="K1709" t="s">
        <v>91</v>
      </c>
      <c r="L1709">
        <v>5</v>
      </c>
      <c r="M1709" t="s">
        <v>8258</v>
      </c>
      <c r="N1709" t="s">
        <v>47</v>
      </c>
      <c r="O1709" t="s">
        <v>1835</v>
      </c>
      <c r="P1709" t="s">
        <v>1835</v>
      </c>
      <c r="Y1709" t="s">
        <v>8257</v>
      </c>
    </row>
    <row r="1710" spans="1:25">
      <c r="A1710" t="s">
        <v>8259</v>
      </c>
      <c r="B1710" t="s">
        <v>8260</v>
      </c>
      <c r="D1710" t="s">
        <v>1832</v>
      </c>
      <c r="E1710" t="s">
        <v>41</v>
      </c>
      <c r="H1710" t="s">
        <v>8261</v>
      </c>
      <c r="J1710" t="s">
        <v>54</v>
      </c>
      <c r="K1710" t="s">
        <v>55</v>
      </c>
      <c r="L1710">
        <v>5</v>
      </c>
      <c r="M1710" t="s">
        <v>8262</v>
      </c>
      <c r="N1710" t="s">
        <v>47</v>
      </c>
      <c r="O1710" t="s">
        <v>1835</v>
      </c>
      <c r="P1710" t="s">
        <v>1835</v>
      </c>
      <c r="Y1710" t="s">
        <v>8261</v>
      </c>
    </row>
    <row r="1711" spans="1:25">
      <c r="A1711" t="s">
        <v>8263</v>
      </c>
      <c r="B1711" t="s">
        <v>8264</v>
      </c>
      <c r="D1711" t="s">
        <v>1832</v>
      </c>
      <c r="E1711" t="s">
        <v>41</v>
      </c>
      <c r="J1711" t="s">
        <v>90</v>
      </c>
      <c r="K1711" t="s">
        <v>91</v>
      </c>
      <c r="L1711">
        <v>5</v>
      </c>
      <c r="M1711" t="s">
        <v>8262</v>
      </c>
      <c r="N1711" t="s">
        <v>47</v>
      </c>
      <c r="O1711" t="s">
        <v>1835</v>
      </c>
      <c r="P1711" t="s">
        <v>1835</v>
      </c>
      <c r="Y1711" t="s">
        <v>8265</v>
      </c>
    </row>
    <row r="1712" spans="1:25">
      <c r="A1712" t="s">
        <v>8266</v>
      </c>
      <c r="B1712" t="s">
        <v>8267</v>
      </c>
      <c r="D1712" t="s">
        <v>1832</v>
      </c>
      <c r="E1712" t="s">
        <v>41</v>
      </c>
      <c r="J1712" t="s">
        <v>90</v>
      </c>
      <c r="K1712" t="s">
        <v>91</v>
      </c>
      <c r="L1712">
        <v>5</v>
      </c>
      <c r="M1712" t="s">
        <v>8268</v>
      </c>
      <c r="N1712" t="s">
        <v>47</v>
      </c>
      <c r="O1712" t="s">
        <v>1835</v>
      </c>
      <c r="P1712" t="s">
        <v>1835</v>
      </c>
      <c r="Y1712" t="s">
        <v>8269</v>
      </c>
    </row>
    <row r="1713" spans="1:25">
      <c r="A1713" t="s">
        <v>8270</v>
      </c>
      <c r="B1713" t="s">
        <v>8271</v>
      </c>
      <c r="D1713" t="s">
        <v>1832</v>
      </c>
      <c r="E1713" t="s">
        <v>41</v>
      </c>
      <c r="J1713" t="s">
        <v>44</v>
      </c>
      <c r="K1713" t="s">
        <v>45</v>
      </c>
      <c r="L1713">
        <v>5</v>
      </c>
      <c r="M1713" t="s">
        <v>8272</v>
      </c>
      <c r="N1713" t="s">
        <v>47</v>
      </c>
      <c r="O1713" t="s">
        <v>1835</v>
      </c>
      <c r="P1713" t="s">
        <v>1835</v>
      </c>
      <c r="Y1713" t="s">
        <v>8273</v>
      </c>
    </row>
    <row r="1714" spans="1:25">
      <c r="A1714" t="s">
        <v>8274</v>
      </c>
      <c r="B1714" t="s">
        <v>8275</v>
      </c>
      <c r="D1714" t="s">
        <v>1832</v>
      </c>
      <c r="E1714" t="s">
        <v>41</v>
      </c>
      <c r="H1714" t="s">
        <v>8276</v>
      </c>
      <c r="J1714" t="s">
        <v>44</v>
      </c>
      <c r="K1714" t="s">
        <v>45</v>
      </c>
      <c r="L1714">
        <v>5</v>
      </c>
      <c r="M1714" t="s">
        <v>8277</v>
      </c>
      <c r="N1714" t="s">
        <v>47</v>
      </c>
      <c r="O1714" t="s">
        <v>1835</v>
      </c>
      <c r="P1714" t="s">
        <v>1835</v>
      </c>
      <c r="Y1714" t="s">
        <v>8276</v>
      </c>
    </row>
    <row r="1715" spans="1:25">
      <c r="A1715" t="s">
        <v>8278</v>
      </c>
      <c r="B1715" t="s">
        <v>8279</v>
      </c>
      <c r="D1715" t="s">
        <v>1832</v>
      </c>
      <c r="E1715" t="s">
        <v>41</v>
      </c>
      <c r="J1715" t="s">
        <v>90</v>
      </c>
      <c r="K1715" t="s">
        <v>91</v>
      </c>
      <c r="L1715">
        <v>5</v>
      </c>
      <c r="M1715" t="s">
        <v>8277</v>
      </c>
      <c r="N1715" t="s">
        <v>47</v>
      </c>
      <c r="O1715" t="s">
        <v>1835</v>
      </c>
      <c r="P1715" t="s">
        <v>1835</v>
      </c>
      <c r="Y1715" t="s">
        <v>8280</v>
      </c>
    </row>
    <row r="1716" spans="1:25">
      <c r="A1716" t="s">
        <v>8281</v>
      </c>
      <c r="B1716" t="s">
        <v>8282</v>
      </c>
      <c r="D1716" t="s">
        <v>1832</v>
      </c>
      <c r="E1716" t="s">
        <v>41</v>
      </c>
      <c r="J1716" t="s">
        <v>90</v>
      </c>
      <c r="K1716" t="s">
        <v>91</v>
      </c>
      <c r="L1716">
        <v>5</v>
      </c>
      <c r="M1716" t="s">
        <v>8277</v>
      </c>
      <c r="N1716" t="s">
        <v>47</v>
      </c>
      <c r="O1716" t="s">
        <v>1835</v>
      </c>
      <c r="P1716" t="s">
        <v>1835</v>
      </c>
      <c r="Y1716" t="s">
        <v>8283</v>
      </c>
    </row>
    <row r="1717" spans="1:25">
      <c r="A1717" t="s">
        <v>8284</v>
      </c>
      <c r="B1717" t="s">
        <v>8285</v>
      </c>
      <c r="D1717" t="s">
        <v>1832</v>
      </c>
      <c r="E1717" t="s">
        <v>41</v>
      </c>
      <c r="H1717" t="s">
        <v>8286</v>
      </c>
      <c r="J1717" t="s">
        <v>133</v>
      </c>
      <c r="K1717" t="s">
        <v>134</v>
      </c>
      <c r="L1717">
        <v>8</v>
      </c>
      <c r="M1717" t="s">
        <v>8287</v>
      </c>
      <c r="N1717" t="s">
        <v>685</v>
      </c>
      <c r="O1717" t="s">
        <v>1835</v>
      </c>
      <c r="P1717" t="s">
        <v>1835</v>
      </c>
      <c r="Y1717" t="s">
        <v>8286</v>
      </c>
    </row>
    <row r="1718" spans="1:25">
      <c r="A1718" t="s">
        <v>8288</v>
      </c>
      <c r="B1718" t="s">
        <v>8289</v>
      </c>
      <c r="D1718" t="s">
        <v>1832</v>
      </c>
      <c r="E1718" t="s">
        <v>41</v>
      </c>
      <c r="H1718" t="s">
        <v>8290</v>
      </c>
      <c r="J1718" t="s">
        <v>90</v>
      </c>
      <c r="K1718" t="s">
        <v>91</v>
      </c>
      <c r="L1718">
        <v>5</v>
      </c>
      <c r="M1718" t="s">
        <v>8291</v>
      </c>
      <c r="N1718" t="s">
        <v>47</v>
      </c>
      <c r="O1718" t="s">
        <v>1835</v>
      </c>
      <c r="P1718" t="s">
        <v>1835</v>
      </c>
      <c r="Y1718" t="s">
        <v>8290</v>
      </c>
    </row>
    <row r="1719" spans="1:25">
      <c r="A1719" t="s">
        <v>8292</v>
      </c>
      <c r="B1719" t="s">
        <v>8293</v>
      </c>
      <c r="D1719" t="s">
        <v>1832</v>
      </c>
      <c r="E1719" t="s">
        <v>41</v>
      </c>
      <c r="J1719" t="s">
        <v>90</v>
      </c>
      <c r="K1719" t="s">
        <v>91</v>
      </c>
      <c r="L1719">
        <v>5</v>
      </c>
      <c r="M1719" t="s">
        <v>8294</v>
      </c>
      <c r="N1719" t="s">
        <v>47</v>
      </c>
      <c r="O1719" t="s">
        <v>1835</v>
      </c>
      <c r="P1719" t="s">
        <v>1835</v>
      </c>
      <c r="Y1719" t="s">
        <v>8295</v>
      </c>
    </row>
    <row r="1720" spans="1:25">
      <c r="A1720" t="s">
        <v>8296</v>
      </c>
      <c r="B1720" t="s">
        <v>8297</v>
      </c>
      <c r="D1720" t="s">
        <v>1832</v>
      </c>
      <c r="E1720" t="s">
        <v>41</v>
      </c>
      <c r="J1720" t="s">
        <v>54</v>
      </c>
      <c r="K1720" t="s">
        <v>55</v>
      </c>
      <c r="L1720">
        <v>5</v>
      </c>
      <c r="M1720" t="s">
        <v>8294</v>
      </c>
      <c r="N1720" t="s">
        <v>47</v>
      </c>
      <c r="O1720" t="s">
        <v>1835</v>
      </c>
      <c r="P1720" t="s">
        <v>1835</v>
      </c>
      <c r="Y1720" t="s">
        <v>8298</v>
      </c>
    </row>
    <row r="1721" spans="1:25">
      <c r="A1721" t="s">
        <v>8299</v>
      </c>
      <c r="B1721" t="s">
        <v>8300</v>
      </c>
      <c r="D1721" t="s">
        <v>1832</v>
      </c>
      <c r="E1721" t="s">
        <v>41</v>
      </c>
      <c r="J1721" t="s">
        <v>90</v>
      </c>
      <c r="K1721" t="s">
        <v>91</v>
      </c>
      <c r="L1721">
        <v>5</v>
      </c>
      <c r="M1721" t="s">
        <v>8301</v>
      </c>
      <c r="N1721" t="s">
        <v>47</v>
      </c>
      <c r="O1721" t="s">
        <v>1835</v>
      </c>
      <c r="P1721" t="s">
        <v>1835</v>
      </c>
      <c r="Y1721" t="s">
        <v>8302</v>
      </c>
    </row>
    <row r="1722" spans="1:25">
      <c r="A1722" t="s">
        <v>8303</v>
      </c>
      <c r="B1722" t="s">
        <v>8304</v>
      </c>
      <c r="D1722" t="s">
        <v>1832</v>
      </c>
      <c r="E1722" t="s">
        <v>41</v>
      </c>
      <c r="J1722" t="s">
        <v>133</v>
      </c>
      <c r="K1722" t="s">
        <v>134</v>
      </c>
      <c r="L1722">
        <v>5</v>
      </c>
      <c r="M1722" t="s">
        <v>8301</v>
      </c>
      <c r="N1722" t="s">
        <v>685</v>
      </c>
      <c r="O1722" t="s">
        <v>1835</v>
      </c>
      <c r="P1722" t="s">
        <v>1835</v>
      </c>
      <c r="Y1722" t="s">
        <v>8305</v>
      </c>
    </row>
    <row r="1723" spans="1:25">
      <c r="A1723" t="s">
        <v>8306</v>
      </c>
      <c r="B1723" t="s">
        <v>8307</v>
      </c>
      <c r="D1723" t="s">
        <v>1832</v>
      </c>
      <c r="E1723" t="s">
        <v>41</v>
      </c>
      <c r="J1723" t="s">
        <v>78</v>
      </c>
      <c r="K1723" t="s">
        <v>79</v>
      </c>
      <c r="L1723">
        <v>5</v>
      </c>
      <c r="M1723" t="s">
        <v>8301</v>
      </c>
      <c r="N1723" t="s">
        <v>47</v>
      </c>
      <c r="O1723" t="s">
        <v>1835</v>
      </c>
      <c r="P1723" t="s">
        <v>1835</v>
      </c>
      <c r="Y1723" t="s">
        <v>8308</v>
      </c>
    </row>
    <row r="1724" spans="1:25">
      <c r="A1724" t="s">
        <v>8309</v>
      </c>
      <c r="B1724" t="s">
        <v>8310</v>
      </c>
      <c r="D1724" t="s">
        <v>1832</v>
      </c>
      <c r="E1724" t="s">
        <v>41</v>
      </c>
      <c r="J1724" t="s">
        <v>133</v>
      </c>
      <c r="K1724" t="s">
        <v>134</v>
      </c>
      <c r="L1724">
        <v>5</v>
      </c>
      <c r="M1724" t="s">
        <v>8311</v>
      </c>
      <c r="N1724" t="s">
        <v>135</v>
      </c>
      <c r="O1724" t="s">
        <v>1835</v>
      </c>
      <c r="P1724" t="s">
        <v>1835</v>
      </c>
      <c r="Y1724" t="s">
        <v>8312</v>
      </c>
    </row>
    <row r="1725" spans="1:25">
      <c r="A1725" t="s">
        <v>8313</v>
      </c>
      <c r="B1725" t="s">
        <v>8314</v>
      </c>
      <c r="D1725" t="s">
        <v>1832</v>
      </c>
      <c r="E1725" t="s">
        <v>41</v>
      </c>
      <c r="H1725" t="s">
        <v>8315</v>
      </c>
      <c r="J1725" t="s">
        <v>78</v>
      </c>
      <c r="K1725" t="s">
        <v>79</v>
      </c>
      <c r="L1725">
        <v>5</v>
      </c>
      <c r="M1725" t="s">
        <v>8311</v>
      </c>
      <c r="N1725" t="s">
        <v>47</v>
      </c>
      <c r="O1725" t="s">
        <v>1835</v>
      </c>
      <c r="P1725" t="s">
        <v>1835</v>
      </c>
      <c r="Y1725" t="s">
        <v>8315</v>
      </c>
    </row>
    <row r="1726" spans="1:25">
      <c r="A1726" t="s">
        <v>8316</v>
      </c>
      <c r="B1726" t="s">
        <v>8317</v>
      </c>
      <c r="D1726" t="s">
        <v>1832</v>
      </c>
      <c r="E1726" t="s">
        <v>41</v>
      </c>
      <c r="H1726" t="s">
        <v>8318</v>
      </c>
      <c r="J1726" t="s">
        <v>133</v>
      </c>
      <c r="K1726" t="s">
        <v>134</v>
      </c>
      <c r="L1726">
        <v>5</v>
      </c>
      <c r="M1726" t="s">
        <v>8319</v>
      </c>
      <c r="N1726" t="s">
        <v>685</v>
      </c>
      <c r="O1726" t="s">
        <v>1835</v>
      </c>
      <c r="P1726" t="s">
        <v>1835</v>
      </c>
      <c r="Y1726" t="s">
        <v>8318</v>
      </c>
    </row>
    <row r="1727" spans="1:25">
      <c r="A1727" t="s">
        <v>8320</v>
      </c>
      <c r="B1727" t="s">
        <v>8321</v>
      </c>
      <c r="D1727" t="s">
        <v>1832</v>
      </c>
      <c r="E1727" t="s">
        <v>41</v>
      </c>
      <c r="J1727" t="s">
        <v>90</v>
      </c>
      <c r="K1727" t="s">
        <v>91</v>
      </c>
      <c r="L1727">
        <v>5</v>
      </c>
      <c r="M1727" t="s">
        <v>8322</v>
      </c>
      <c r="N1727" t="s">
        <v>47</v>
      </c>
      <c r="O1727" t="s">
        <v>1835</v>
      </c>
      <c r="P1727" t="s">
        <v>1835</v>
      </c>
      <c r="Y1727" t="s">
        <v>8323</v>
      </c>
    </row>
    <row r="1728" spans="1:25">
      <c r="A1728" t="s">
        <v>8324</v>
      </c>
      <c r="B1728" t="s">
        <v>8325</v>
      </c>
      <c r="D1728" t="s">
        <v>1832</v>
      </c>
      <c r="E1728" t="s">
        <v>41</v>
      </c>
      <c r="J1728" t="s">
        <v>54</v>
      </c>
      <c r="K1728" t="s">
        <v>55</v>
      </c>
      <c r="L1728">
        <v>5</v>
      </c>
      <c r="M1728" t="s">
        <v>8322</v>
      </c>
      <c r="N1728" t="s">
        <v>47</v>
      </c>
      <c r="O1728" t="s">
        <v>1835</v>
      </c>
      <c r="P1728" t="s">
        <v>1835</v>
      </c>
      <c r="Y1728" t="s">
        <v>8326</v>
      </c>
    </row>
    <row r="1729" spans="1:25">
      <c r="A1729" t="s">
        <v>8327</v>
      </c>
      <c r="B1729" t="s">
        <v>8328</v>
      </c>
      <c r="D1729" t="s">
        <v>1832</v>
      </c>
      <c r="E1729" t="s">
        <v>41</v>
      </c>
      <c r="J1729" t="s">
        <v>90</v>
      </c>
      <c r="K1729" t="s">
        <v>91</v>
      </c>
      <c r="L1729">
        <v>5</v>
      </c>
      <c r="M1729" t="s">
        <v>8322</v>
      </c>
      <c r="N1729" t="s">
        <v>47</v>
      </c>
      <c r="O1729" t="s">
        <v>1835</v>
      </c>
      <c r="P1729" t="s">
        <v>1835</v>
      </c>
      <c r="Y1729" t="s">
        <v>8329</v>
      </c>
    </row>
    <row r="1730" spans="1:25">
      <c r="A1730" t="s">
        <v>8330</v>
      </c>
      <c r="B1730" t="s">
        <v>8331</v>
      </c>
      <c r="D1730" t="s">
        <v>1832</v>
      </c>
      <c r="E1730" t="s">
        <v>41</v>
      </c>
      <c r="H1730" t="s">
        <v>8332</v>
      </c>
      <c r="J1730" t="s">
        <v>54</v>
      </c>
      <c r="K1730" t="s">
        <v>55</v>
      </c>
      <c r="L1730">
        <v>5</v>
      </c>
      <c r="M1730" t="s">
        <v>8322</v>
      </c>
      <c r="N1730" t="s">
        <v>47</v>
      </c>
      <c r="O1730" t="s">
        <v>1835</v>
      </c>
      <c r="P1730" t="s">
        <v>1835</v>
      </c>
      <c r="Y1730" t="s">
        <v>8332</v>
      </c>
    </row>
    <row r="1731" spans="1:25">
      <c r="A1731" t="s">
        <v>8333</v>
      </c>
      <c r="B1731" t="s">
        <v>8334</v>
      </c>
      <c r="D1731" t="s">
        <v>1832</v>
      </c>
      <c r="E1731" t="s">
        <v>41</v>
      </c>
      <c r="H1731" t="s">
        <v>8335</v>
      </c>
      <c r="J1731" t="s">
        <v>234</v>
      </c>
      <c r="K1731" t="s">
        <v>235</v>
      </c>
      <c r="L1731">
        <v>5</v>
      </c>
      <c r="M1731" t="s">
        <v>8336</v>
      </c>
      <c r="N1731" t="s">
        <v>47</v>
      </c>
      <c r="O1731" t="s">
        <v>1835</v>
      </c>
      <c r="P1731" t="s">
        <v>1835</v>
      </c>
      <c r="Y1731" t="s">
        <v>8335</v>
      </c>
    </row>
    <row r="1732" spans="1:25">
      <c r="A1732" t="s">
        <v>8337</v>
      </c>
      <c r="B1732" t="s">
        <v>8338</v>
      </c>
      <c r="D1732" t="s">
        <v>1832</v>
      </c>
      <c r="E1732" t="s">
        <v>41</v>
      </c>
      <c r="J1732" t="s">
        <v>90</v>
      </c>
      <c r="K1732" t="s">
        <v>91</v>
      </c>
      <c r="L1732">
        <v>5</v>
      </c>
      <c r="M1732" t="s">
        <v>8339</v>
      </c>
      <c r="N1732" t="s">
        <v>47</v>
      </c>
      <c r="O1732" t="s">
        <v>1835</v>
      </c>
      <c r="P1732" t="s">
        <v>1835</v>
      </c>
      <c r="Y1732" t="s">
        <v>8340</v>
      </c>
    </row>
    <row r="1733" spans="1:25">
      <c r="A1733" t="s">
        <v>8341</v>
      </c>
      <c r="B1733" t="s">
        <v>8342</v>
      </c>
      <c r="D1733" t="s">
        <v>1832</v>
      </c>
      <c r="E1733" t="s">
        <v>41</v>
      </c>
      <c r="J1733" t="s">
        <v>90</v>
      </c>
      <c r="K1733" t="s">
        <v>91</v>
      </c>
      <c r="L1733">
        <v>5</v>
      </c>
      <c r="M1733" t="s">
        <v>8343</v>
      </c>
      <c r="N1733" t="s">
        <v>47</v>
      </c>
      <c r="O1733" t="s">
        <v>1835</v>
      </c>
      <c r="P1733" t="s">
        <v>1835</v>
      </c>
      <c r="Y1733" t="s">
        <v>8344</v>
      </c>
    </row>
    <row r="1734" spans="1:25">
      <c r="A1734" t="s">
        <v>8345</v>
      </c>
      <c r="B1734" t="s">
        <v>8346</v>
      </c>
      <c r="D1734" t="s">
        <v>1832</v>
      </c>
      <c r="E1734" t="s">
        <v>41</v>
      </c>
      <c r="J1734" t="s">
        <v>90</v>
      </c>
      <c r="K1734" t="s">
        <v>91</v>
      </c>
      <c r="L1734">
        <v>5</v>
      </c>
      <c r="M1734" t="s">
        <v>8347</v>
      </c>
      <c r="N1734" t="s">
        <v>47</v>
      </c>
      <c r="O1734" t="s">
        <v>1835</v>
      </c>
      <c r="P1734" t="s">
        <v>1835</v>
      </c>
      <c r="Y1734" t="s">
        <v>8348</v>
      </c>
    </row>
    <row r="1735" spans="1:25">
      <c r="A1735" t="s">
        <v>8349</v>
      </c>
      <c r="B1735" t="s">
        <v>8350</v>
      </c>
      <c r="D1735" t="s">
        <v>1832</v>
      </c>
      <c r="E1735" t="s">
        <v>41</v>
      </c>
      <c r="H1735" t="s">
        <v>8351</v>
      </c>
      <c r="J1735" t="s">
        <v>44</v>
      </c>
      <c r="K1735" t="s">
        <v>45</v>
      </c>
      <c r="L1735">
        <v>5</v>
      </c>
      <c r="M1735" t="s">
        <v>8352</v>
      </c>
      <c r="N1735" t="s">
        <v>47</v>
      </c>
      <c r="O1735" t="s">
        <v>1835</v>
      </c>
      <c r="P1735" t="s">
        <v>1835</v>
      </c>
      <c r="Y1735" t="s">
        <v>8351</v>
      </c>
    </row>
    <row r="1736" spans="1:25">
      <c r="A1736" t="s">
        <v>8353</v>
      </c>
      <c r="B1736" t="s">
        <v>8354</v>
      </c>
      <c r="D1736" t="s">
        <v>1832</v>
      </c>
      <c r="E1736" t="s">
        <v>41</v>
      </c>
      <c r="J1736" t="s">
        <v>44</v>
      </c>
      <c r="K1736" t="s">
        <v>45</v>
      </c>
      <c r="L1736">
        <v>5</v>
      </c>
      <c r="M1736" t="s">
        <v>8355</v>
      </c>
      <c r="N1736" t="s">
        <v>47</v>
      </c>
      <c r="O1736" t="s">
        <v>1835</v>
      </c>
      <c r="P1736" t="s">
        <v>1835</v>
      </c>
      <c r="Y1736" t="s">
        <v>8356</v>
      </c>
    </row>
    <row r="1737" spans="1:25">
      <c r="A1737" t="s">
        <v>8357</v>
      </c>
      <c r="B1737" t="s">
        <v>8358</v>
      </c>
      <c r="D1737" t="s">
        <v>1832</v>
      </c>
      <c r="E1737" t="s">
        <v>41</v>
      </c>
      <c r="J1737" t="s">
        <v>90</v>
      </c>
      <c r="K1737" t="s">
        <v>91</v>
      </c>
      <c r="L1737">
        <v>5</v>
      </c>
      <c r="M1737" t="s">
        <v>8359</v>
      </c>
      <c r="N1737" t="s">
        <v>47</v>
      </c>
      <c r="O1737" t="s">
        <v>1835</v>
      </c>
      <c r="P1737" t="s">
        <v>1835</v>
      </c>
      <c r="Y1737" t="s">
        <v>8360</v>
      </c>
    </row>
    <row r="1738" spans="1:25">
      <c r="A1738" t="s">
        <v>8361</v>
      </c>
      <c r="B1738" t="s">
        <v>8362</v>
      </c>
      <c r="D1738" t="s">
        <v>1832</v>
      </c>
      <c r="E1738" t="s">
        <v>41</v>
      </c>
      <c r="J1738" t="s">
        <v>133</v>
      </c>
      <c r="K1738" t="s">
        <v>134</v>
      </c>
      <c r="L1738">
        <v>5</v>
      </c>
      <c r="M1738" t="s">
        <v>8363</v>
      </c>
      <c r="N1738" t="s">
        <v>135</v>
      </c>
      <c r="O1738" t="s">
        <v>1835</v>
      </c>
      <c r="P1738" t="s">
        <v>1835</v>
      </c>
      <c r="Y1738" t="s">
        <v>8364</v>
      </c>
    </row>
    <row r="1739" spans="1:25">
      <c r="A1739" t="s">
        <v>8365</v>
      </c>
      <c r="B1739" t="s">
        <v>8366</v>
      </c>
      <c r="D1739" t="s">
        <v>1832</v>
      </c>
      <c r="E1739" t="s">
        <v>41</v>
      </c>
      <c r="H1739" t="s">
        <v>8367</v>
      </c>
      <c r="J1739" t="s">
        <v>54</v>
      </c>
      <c r="K1739" t="s">
        <v>55</v>
      </c>
      <c r="L1739">
        <v>5</v>
      </c>
      <c r="M1739" t="s">
        <v>8368</v>
      </c>
      <c r="N1739" t="s">
        <v>47</v>
      </c>
      <c r="O1739" t="s">
        <v>1835</v>
      </c>
      <c r="P1739" t="s">
        <v>1835</v>
      </c>
      <c r="Y1739" t="s">
        <v>8367</v>
      </c>
    </row>
    <row r="1740" spans="1:25">
      <c r="A1740" t="s">
        <v>8369</v>
      </c>
      <c r="B1740" t="s">
        <v>8370</v>
      </c>
      <c r="D1740" t="s">
        <v>1832</v>
      </c>
      <c r="E1740" t="s">
        <v>41</v>
      </c>
      <c r="H1740" t="s">
        <v>8371</v>
      </c>
      <c r="J1740" t="s">
        <v>234</v>
      </c>
      <c r="K1740" t="s">
        <v>235</v>
      </c>
      <c r="L1740">
        <v>5</v>
      </c>
      <c r="M1740" t="s">
        <v>8372</v>
      </c>
      <c r="N1740" t="s">
        <v>47</v>
      </c>
      <c r="O1740" t="s">
        <v>1835</v>
      </c>
      <c r="P1740" t="s">
        <v>1835</v>
      </c>
      <c r="Y1740" t="s">
        <v>8371</v>
      </c>
    </row>
    <row r="1741" spans="1:25">
      <c r="A1741" t="s">
        <v>8373</v>
      </c>
      <c r="B1741" t="s">
        <v>8374</v>
      </c>
      <c r="D1741" t="s">
        <v>1832</v>
      </c>
      <c r="E1741" t="s">
        <v>41</v>
      </c>
      <c r="J1741" t="s">
        <v>54</v>
      </c>
      <c r="K1741" t="s">
        <v>55</v>
      </c>
      <c r="L1741">
        <v>5</v>
      </c>
      <c r="M1741" t="s">
        <v>8375</v>
      </c>
      <c r="N1741" t="s">
        <v>47</v>
      </c>
      <c r="O1741" t="s">
        <v>1835</v>
      </c>
      <c r="P1741" t="s">
        <v>1835</v>
      </c>
      <c r="Y1741" t="s">
        <v>8376</v>
      </c>
    </row>
    <row r="1742" spans="1:25">
      <c r="A1742" t="s">
        <v>8377</v>
      </c>
      <c r="B1742" t="s">
        <v>8378</v>
      </c>
      <c r="D1742" t="s">
        <v>1832</v>
      </c>
      <c r="E1742" t="s">
        <v>41</v>
      </c>
      <c r="H1742" t="s">
        <v>8379</v>
      </c>
      <c r="J1742" t="s">
        <v>133</v>
      </c>
      <c r="K1742" t="s">
        <v>134</v>
      </c>
      <c r="L1742">
        <v>5</v>
      </c>
      <c r="M1742" t="s">
        <v>8375</v>
      </c>
      <c r="N1742" t="s">
        <v>135</v>
      </c>
      <c r="O1742" t="s">
        <v>1835</v>
      </c>
      <c r="P1742" t="s">
        <v>1835</v>
      </c>
      <c r="Y1742" t="s">
        <v>8379</v>
      </c>
    </row>
    <row r="1743" spans="1:25">
      <c r="A1743" t="s">
        <v>8380</v>
      </c>
      <c r="B1743" t="s">
        <v>8381</v>
      </c>
      <c r="D1743" t="s">
        <v>1832</v>
      </c>
      <c r="E1743" t="s">
        <v>41</v>
      </c>
      <c r="J1743" t="s">
        <v>54</v>
      </c>
      <c r="K1743" t="s">
        <v>55</v>
      </c>
      <c r="L1743">
        <v>5</v>
      </c>
      <c r="M1743" t="s">
        <v>8375</v>
      </c>
      <c r="N1743" t="s">
        <v>47</v>
      </c>
      <c r="O1743" t="s">
        <v>1835</v>
      </c>
      <c r="P1743" t="s">
        <v>1835</v>
      </c>
      <c r="Y1743" t="s">
        <v>8382</v>
      </c>
    </row>
    <row r="1744" spans="1:25">
      <c r="A1744" t="s">
        <v>8383</v>
      </c>
      <c r="B1744" t="s">
        <v>8384</v>
      </c>
      <c r="D1744" t="s">
        <v>1832</v>
      </c>
      <c r="E1744" t="s">
        <v>41</v>
      </c>
      <c r="J1744" t="s">
        <v>90</v>
      </c>
      <c r="K1744" t="s">
        <v>91</v>
      </c>
      <c r="L1744">
        <v>5</v>
      </c>
      <c r="M1744" t="s">
        <v>8385</v>
      </c>
      <c r="N1744" t="s">
        <v>47</v>
      </c>
      <c r="O1744" t="s">
        <v>1835</v>
      </c>
      <c r="P1744" t="s">
        <v>1835</v>
      </c>
      <c r="Y1744" t="s">
        <v>8386</v>
      </c>
    </row>
    <row r="1745" spans="1:25">
      <c r="A1745" t="s">
        <v>8387</v>
      </c>
      <c r="B1745" t="s">
        <v>8388</v>
      </c>
      <c r="D1745" t="s">
        <v>1832</v>
      </c>
      <c r="E1745" t="s">
        <v>41</v>
      </c>
      <c r="H1745" t="s">
        <v>8389</v>
      </c>
      <c r="J1745" t="s">
        <v>44</v>
      </c>
      <c r="K1745" t="s">
        <v>45</v>
      </c>
      <c r="L1745">
        <v>5</v>
      </c>
      <c r="M1745" t="s">
        <v>8390</v>
      </c>
      <c r="N1745" t="s">
        <v>47</v>
      </c>
      <c r="O1745" t="s">
        <v>1835</v>
      </c>
      <c r="P1745" t="s">
        <v>1835</v>
      </c>
      <c r="Y1745" t="s">
        <v>8389</v>
      </c>
    </row>
    <row r="1746" spans="1:25">
      <c r="A1746" t="s">
        <v>8391</v>
      </c>
      <c r="B1746" t="s">
        <v>8392</v>
      </c>
      <c r="D1746" t="s">
        <v>1832</v>
      </c>
      <c r="E1746" t="s">
        <v>41</v>
      </c>
      <c r="J1746" t="s">
        <v>54</v>
      </c>
      <c r="K1746" t="s">
        <v>55</v>
      </c>
      <c r="L1746">
        <v>5</v>
      </c>
      <c r="M1746" t="s">
        <v>8393</v>
      </c>
      <c r="N1746" t="s">
        <v>47</v>
      </c>
      <c r="O1746" t="s">
        <v>1835</v>
      </c>
      <c r="P1746" t="s">
        <v>1835</v>
      </c>
      <c r="Y1746" t="s">
        <v>8394</v>
      </c>
    </row>
    <row r="1747" spans="1:25">
      <c r="A1747" t="s">
        <v>8395</v>
      </c>
      <c r="B1747" t="s">
        <v>8396</v>
      </c>
      <c r="D1747" t="s">
        <v>1832</v>
      </c>
      <c r="E1747" t="s">
        <v>41</v>
      </c>
      <c r="J1747" t="s">
        <v>90</v>
      </c>
      <c r="K1747" t="s">
        <v>91</v>
      </c>
      <c r="L1747">
        <v>5</v>
      </c>
      <c r="M1747" t="s">
        <v>8397</v>
      </c>
      <c r="N1747" t="s">
        <v>47</v>
      </c>
      <c r="O1747" t="s">
        <v>1835</v>
      </c>
      <c r="P1747" t="s">
        <v>1835</v>
      </c>
      <c r="Y1747" t="s">
        <v>8398</v>
      </c>
    </row>
    <row r="1748" spans="1:25">
      <c r="A1748" t="s">
        <v>8399</v>
      </c>
      <c r="B1748" t="s">
        <v>8400</v>
      </c>
      <c r="D1748" t="s">
        <v>1832</v>
      </c>
      <c r="E1748" t="s">
        <v>41</v>
      </c>
      <c r="J1748" t="s">
        <v>78</v>
      </c>
      <c r="K1748" t="s">
        <v>79</v>
      </c>
      <c r="L1748">
        <v>5</v>
      </c>
      <c r="M1748" t="s">
        <v>8397</v>
      </c>
      <c r="N1748" t="s">
        <v>47</v>
      </c>
      <c r="O1748" t="s">
        <v>1835</v>
      </c>
      <c r="P1748" t="s">
        <v>1835</v>
      </c>
      <c r="Y1748" t="s">
        <v>8401</v>
      </c>
    </row>
    <row r="1749" spans="1:25">
      <c r="A1749" t="s">
        <v>8402</v>
      </c>
      <c r="B1749" t="s">
        <v>8403</v>
      </c>
      <c r="D1749" t="s">
        <v>1832</v>
      </c>
      <c r="E1749" t="s">
        <v>41</v>
      </c>
      <c r="J1749" t="s">
        <v>90</v>
      </c>
      <c r="K1749" t="s">
        <v>91</v>
      </c>
      <c r="L1749">
        <v>5</v>
      </c>
      <c r="M1749" t="s">
        <v>8404</v>
      </c>
      <c r="N1749" t="s">
        <v>47</v>
      </c>
      <c r="O1749" t="s">
        <v>1835</v>
      </c>
      <c r="P1749" t="s">
        <v>1835</v>
      </c>
      <c r="Y1749" t="s">
        <v>8405</v>
      </c>
    </row>
    <row r="1750" spans="1:25">
      <c r="A1750" t="s">
        <v>8406</v>
      </c>
      <c r="B1750" t="s">
        <v>8407</v>
      </c>
      <c r="D1750" t="s">
        <v>1832</v>
      </c>
      <c r="E1750" t="s">
        <v>41</v>
      </c>
      <c r="H1750" t="s">
        <v>8408</v>
      </c>
      <c r="J1750" t="s">
        <v>54</v>
      </c>
      <c r="K1750" t="s">
        <v>55</v>
      </c>
      <c r="L1750">
        <v>5</v>
      </c>
      <c r="M1750" t="s">
        <v>8409</v>
      </c>
      <c r="N1750" t="s">
        <v>47</v>
      </c>
      <c r="O1750" t="s">
        <v>1835</v>
      </c>
      <c r="P1750" t="s">
        <v>1835</v>
      </c>
      <c r="Y1750" t="s">
        <v>8408</v>
      </c>
    </row>
    <row r="1751" spans="1:25">
      <c r="A1751" t="s">
        <v>8410</v>
      </c>
      <c r="B1751" t="s">
        <v>8411</v>
      </c>
      <c r="D1751" t="s">
        <v>1832</v>
      </c>
      <c r="E1751" t="s">
        <v>41</v>
      </c>
      <c r="J1751" t="s">
        <v>44</v>
      </c>
      <c r="K1751" t="s">
        <v>45</v>
      </c>
      <c r="L1751">
        <v>5</v>
      </c>
      <c r="M1751" t="s">
        <v>8412</v>
      </c>
      <c r="N1751" t="s">
        <v>47</v>
      </c>
      <c r="O1751" t="s">
        <v>1835</v>
      </c>
      <c r="P1751" t="s">
        <v>1835</v>
      </c>
      <c r="Y1751" t="s">
        <v>8413</v>
      </c>
    </row>
    <row r="1752" spans="1:25">
      <c r="A1752" t="s">
        <v>8414</v>
      </c>
      <c r="B1752" t="s">
        <v>8415</v>
      </c>
      <c r="D1752" t="s">
        <v>1832</v>
      </c>
      <c r="E1752" t="s">
        <v>41</v>
      </c>
      <c r="J1752" t="s">
        <v>133</v>
      </c>
      <c r="K1752" t="s">
        <v>134</v>
      </c>
      <c r="L1752">
        <v>5</v>
      </c>
      <c r="M1752" t="s">
        <v>8416</v>
      </c>
      <c r="N1752" t="s">
        <v>135</v>
      </c>
      <c r="O1752" t="s">
        <v>1835</v>
      </c>
      <c r="P1752" t="s">
        <v>1835</v>
      </c>
      <c r="Y1752" t="s">
        <v>8417</v>
      </c>
    </row>
    <row r="1753" spans="1:25">
      <c r="A1753" t="s">
        <v>8418</v>
      </c>
      <c r="B1753" t="s">
        <v>8419</v>
      </c>
      <c r="D1753" t="s">
        <v>1832</v>
      </c>
      <c r="E1753" t="s">
        <v>41</v>
      </c>
      <c r="H1753" t="s">
        <v>8420</v>
      </c>
      <c r="J1753" t="s">
        <v>44</v>
      </c>
      <c r="K1753" t="s">
        <v>45</v>
      </c>
      <c r="L1753">
        <v>5</v>
      </c>
      <c r="M1753" t="s">
        <v>8421</v>
      </c>
      <c r="N1753" t="s">
        <v>47</v>
      </c>
      <c r="O1753" t="s">
        <v>1835</v>
      </c>
      <c r="P1753" t="s">
        <v>1835</v>
      </c>
      <c r="Y1753" t="s">
        <v>8420</v>
      </c>
    </row>
    <row r="1754" spans="1:25">
      <c r="A1754" t="s">
        <v>8422</v>
      </c>
      <c r="B1754" t="s">
        <v>8423</v>
      </c>
      <c r="D1754" t="s">
        <v>1832</v>
      </c>
      <c r="E1754" t="s">
        <v>41</v>
      </c>
      <c r="H1754" t="s">
        <v>8424</v>
      </c>
      <c r="J1754" t="s">
        <v>90</v>
      </c>
      <c r="K1754" t="s">
        <v>91</v>
      </c>
      <c r="L1754">
        <v>5</v>
      </c>
      <c r="M1754" t="s">
        <v>8425</v>
      </c>
      <c r="N1754" t="s">
        <v>47</v>
      </c>
      <c r="O1754" t="s">
        <v>1835</v>
      </c>
      <c r="P1754" t="s">
        <v>1835</v>
      </c>
      <c r="Y1754" t="s">
        <v>8424</v>
      </c>
    </row>
    <row r="1755" spans="1:25">
      <c r="A1755" t="s">
        <v>8426</v>
      </c>
      <c r="B1755" t="s">
        <v>8427</v>
      </c>
      <c r="D1755" t="s">
        <v>1832</v>
      </c>
      <c r="E1755" t="s">
        <v>41</v>
      </c>
      <c r="J1755" t="s">
        <v>44</v>
      </c>
      <c r="K1755" t="s">
        <v>45</v>
      </c>
      <c r="L1755">
        <v>5</v>
      </c>
      <c r="M1755" t="s">
        <v>8428</v>
      </c>
      <c r="N1755" t="s">
        <v>47</v>
      </c>
      <c r="O1755" t="s">
        <v>1835</v>
      </c>
      <c r="P1755" t="s">
        <v>1835</v>
      </c>
      <c r="Y1755" t="s">
        <v>8429</v>
      </c>
    </row>
    <row r="1756" spans="1:25">
      <c r="A1756" t="s">
        <v>8430</v>
      </c>
      <c r="B1756" t="s">
        <v>8431</v>
      </c>
      <c r="D1756" t="s">
        <v>1832</v>
      </c>
      <c r="E1756" t="s">
        <v>41</v>
      </c>
      <c r="J1756" t="s">
        <v>90</v>
      </c>
      <c r="K1756" t="s">
        <v>91</v>
      </c>
      <c r="L1756">
        <v>5</v>
      </c>
      <c r="M1756" t="s">
        <v>8428</v>
      </c>
      <c r="N1756" t="s">
        <v>47</v>
      </c>
      <c r="O1756" t="s">
        <v>1835</v>
      </c>
      <c r="P1756" t="s">
        <v>1835</v>
      </c>
      <c r="Y1756" t="s">
        <v>8432</v>
      </c>
    </row>
    <row r="1757" spans="1:25">
      <c r="A1757" t="s">
        <v>8433</v>
      </c>
      <c r="B1757" t="s">
        <v>8434</v>
      </c>
      <c r="D1757" t="s">
        <v>1832</v>
      </c>
      <c r="E1757" t="s">
        <v>41</v>
      </c>
      <c r="J1757" t="s">
        <v>90</v>
      </c>
      <c r="K1757" t="s">
        <v>91</v>
      </c>
      <c r="L1757">
        <v>5</v>
      </c>
      <c r="M1757" t="s">
        <v>8435</v>
      </c>
      <c r="N1757" t="s">
        <v>47</v>
      </c>
      <c r="O1757" t="s">
        <v>1835</v>
      </c>
      <c r="P1757" t="s">
        <v>1835</v>
      </c>
      <c r="Y1757" t="s">
        <v>8436</v>
      </c>
    </row>
    <row r="1758" spans="1:25">
      <c r="A1758" t="s">
        <v>8437</v>
      </c>
      <c r="B1758" t="s">
        <v>8438</v>
      </c>
      <c r="D1758" t="s">
        <v>1832</v>
      </c>
      <c r="E1758" t="s">
        <v>41</v>
      </c>
      <c r="J1758" t="s">
        <v>90</v>
      </c>
      <c r="K1758" t="s">
        <v>91</v>
      </c>
      <c r="L1758">
        <v>5</v>
      </c>
      <c r="M1758" t="s">
        <v>8439</v>
      </c>
      <c r="N1758" t="s">
        <v>47</v>
      </c>
      <c r="O1758" t="s">
        <v>1835</v>
      </c>
      <c r="P1758" t="s">
        <v>1835</v>
      </c>
      <c r="Y1758" t="s">
        <v>8440</v>
      </c>
    </row>
    <row r="1759" spans="1:25">
      <c r="A1759" t="s">
        <v>8441</v>
      </c>
      <c r="B1759" t="s">
        <v>8442</v>
      </c>
      <c r="D1759" t="s">
        <v>1832</v>
      </c>
      <c r="E1759" t="s">
        <v>41</v>
      </c>
      <c r="H1759" t="s">
        <v>8443</v>
      </c>
      <c r="J1759" t="s">
        <v>133</v>
      </c>
      <c r="K1759" t="s">
        <v>134</v>
      </c>
      <c r="L1759">
        <v>5</v>
      </c>
      <c r="M1759" t="s">
        <v>8444</v>
      </c>
      <c r="N1759" t="s">
        <v>135</v>
      </c>
      <c r="O1759" t="s">
        <v>1835</v>
      </c>
      <c r="P1759" t="s">
        <v>1835</v>
      </c>
      <c r="Y1759" t="s">
        <v>8443</v>
      </c>
    </row>
    <row r="1760" spans="1:25">
      <c r="A1760" t="s">
        <v>8445</v>
      </c>
      <c r="B1760" t="s">
        <v>8446</v>
      </c>
      <c r="D1760" t="s">
        <v>1832</v>
      </c>
      <c r="E1760" t="s">
        <v>41</v>
      </c>
      <c r="J1760" t="s">
        <v>90</v>
      </c>
      <c r="K1760" t="s">
        <v>91</v>
      </c>
      <c r="L1760">
        <v>5</v>
      </c>
      <c r="M1760" t="s">
        <v>8447</v>
      </c>
      <c r="N1760" t="s">
        <v>47</v>
      </c>
      <c r="O1760" t="s">
        <v>1835</v>
      </c>
      <c r="P1760" t="s">
        <v>1835</v>
      </c>
      <c r="Y1760" t="s">
        <v>8448</v>
      </c>
    </row>
    <row r="1761" spans="1:25">
      <c r="A1761" t="s">
        <v>8449</v>
      </c>
      <c r="B1761" t="s">
        <v>8450</v>
      </c>
      <c r="D1761" t="s">
        <v>1832</v>
      </c>
      <c r="E1761" t="s">
        <v>41</v>
      </c>
      <c r="J1761" t="s">
        <v>78</v>
      </c>
      <c r="K1761" t="s">
        <v>79</v>
      </c>
      <c r="L1761">
        <v>5</v>
      </c>
      <c r="M1761" t="s">
        <v>8451</v>
      </c>
      <c r="N1761" t="s">
        <v>47</v>
      </c>
      <c r="O1761" t="s">
        <v>1835</v>
      </c>
      <c r="P1761" t="s">
        <v>1835</v>
      </c>
      <c r="Y1761" t="s">
        <v>8452</v>
      </c>
    </row>
    <row r="1762" spans="1:25">
      <c r="A1762" t="s">
        <v>8453</v>
      </c>
      <c r="B1762" t="s">
        <v>8454</v>
      </c>
      <c r="D1762" t="s">
        <v>1832</v>
      </c>
      <c r="E1762" t="s">
        <v>41</v>
      </c>
      <c r="J1762" t="s">
        <v>54</v>
      </c>
      <c r="K1762" t="s">
        <v>55</v>
      </c>
      <c r="L1762">
        <v>5</v>
      </c>
      <c r="M1762" t="s">
        <v>8451</v>
      </c>
      <c r="N1762" t="s">
        <v>47</v>
      </c>
      <c r="O1762" t="s">
        <v>1835</v>
      </c>
      <c r="P1762" t="s">
        <v>1835</v>
      </c>
      <c r="Y1762" t="s">
        <v>8455</v>
      </c>
    </row>
    <row r="1763" spans="1:25">
      <c r="A1763" t="s">
        <v>8456</v>
      </c>
      <c r="B1763" t="s">
        <v>8457</v>
      </c>
      <c r="D1763" t="s">
        <v>1832</v>
      </c>
      <c r="E1763" t="s">
        <v>41</v>
      </c>
      <c r="H1763" t="s">
        <v>8458</v>
      </c>
      <c r="J1763" t="s">
        <v>497</v>
      </c>
      <c r="K1763" t="s">
        <v>498</v>
      </c>
      <c r="L1763">
        <v>5</v>
      </c>
      <c r="M1763" t="s">
        <v>8451</v>
      </c>
      <c r="N1763" t="s">
        <v>685</v>
      </c>
      <c r="O1763" t="s">
        <v>1835</v>
      </c>
      <c r="P1763" t="s">
        <v>1835</v>
      </c>
      <c r="Y1763" t="s">
        <v>8458</v>
      </c>
    </row>
    <row r="1764" spans="1:25">
      <c r="A1764" t="s">
        <v>8459</v>
      </c>
      <c r="B1764" t="s">
        <v>8460</v>
      </c>
      <c r="D1764" t="s">
        <v>1832</v>
      </c>
      <c r="E1764" t="s">
        <v>41</v>
      </c>
      <c r="J1764" t="s">
        <v>353</v>
      </c>
      <c r="K1764" t="s">
        <v>354</v>
      </c>
      <c r="L1764">
        <v>5</v>
      </c>
      <c r="M1764" t="s">
        <v>8461</v>
      </c>
      <c r="N1764" t="s">
        <v>135</v>
      </c>
      <c r="O1764" t="s">
        <v>1835</v>
      </c>
      <c r="P1764" t="s">
        <v>1835</v>
      </c>
      <c r="Y1764" t="s">
        <v>8462</v>
      </c>
    </row>
    <row r="1765" spans="1:25">
      <c r="A1765" t="s">
        <v>8463</v>
      </c>
      <c r="B1765" t="s">
        <v>8464</v>
      </c>
      <c r="D1765" t="s">
        <v>1832</v>
      </c>
      <c r="E1765" t="s">
        <v>41</v>
      </c>
      <c r="J1765" t="s">
        <v>90</v>
      </c>
      <c r="K1765" t="s">
        <v>91</v>
      </c>
      <c r="L1765">
        <v>5</v>
      </c>
      <c r="M1765" t="s">
        <v>8465</v>
      </c>
      <c r="N1765" t="s">
        <v>47</v>
      </c>
      <c r="O1765" t="s">
        <v>1835</v>
      </c>
      <c r="P1765" t="s">
        <v>1835</v>
      </c>
      <c r="Y1765" t="s">
        <v>8466</v>
      </c>
    </row>
    <row r="1766" spans="1:25">
      <c r="A1766" t="s">
        <v>8467</v>
      </c>
      <c r="B1766" t="s">
        <v>8468</v>
      </c>
      <c r="D1766" t="s">
        <v>1832</v>
      </c>
      <c r="E1766" t="s">
        <v>41</v>
      </c>
      <c r="J1766" t="s">
        <v>90</v>
      </c>
      <c r="K1766" t="s">
        <v>91</v>
      </c>
      <c r="L1766">
        <v>5</v>
      </c>
      <c r="M1766" t="s">
        <v>8469</v>
      </c>
      <c r="N1766" t="s">
        <v>47</v>
      </c>
      <c r="O1766" t="s">
        <v>1835</v>
      </c>
      <c r="P1766" t="s">
        <v>1835</v>
      </c>
      <c r="Y1766" t="s">
        <v>8470</v>
      </c>
    </row>
    <row r="1767" spans="1:25">
      <c r="A1767" t="s">
        <v>8471</v>
      </c>
      <c r="B1767" t="s">
        <v>8472</v>
      </c>
      <c r="D1767" t="s">
        <v>1832</v>
      </c>
      <c r="E1767" t="s">
        <v>41</v>
      </c>
      <c r="J1767" t="s">
        <v>90</v>
      </c>
      <c r="K1767" t="s">
        <v>91</v>
      </c>
      <c r="L1767">
        <v>5</v>
      </c>
      <c r="M1767" t="s">
        <v>8473</v>
      </c>
      <c r="N1767" t="s">
        <v>47</v>
      </c>
      <c r="O1767" t="s">
        <v>1835</v>
      </c>
      <c r="P1767" t="s">
        <v>1835</v>
      </c>
      <c r="Y1767" t="s">
        <v>8474</v>
      </c>
    </row>
    <row r="1768" spans="1:25">
      <c r="A1768" t="s">
        <v>8475</v>
      </c>
      <c r="B1768" t="s">
        <v>8476</v>
      </c>
      <c r="D1768" t="s">
        <v>1832</v>
      </c>
      <c r="E1768" t="s">
        <v>41</v>
      </c>
      <c r="J1768" t="s">
        <v>44</v>
      </c>
      <c r="K1768" t="s">
        <v>45</v>
      </c>
      <c r="L1768">
        <v>5</v>
      </c>
      <c r="M1768" t="s">
        <v>8477</v>
      </c>
      <c r="N1768" t="s">
        <v>47</v>
      </c>
      <c r="O1768" t="s">
        <v>1835</v>
      </c>
      <c r="P1768" t="s">
        <v>1835</v>
      </c>
      <c r="Y1768" t="s">
        <v>8478</v>
      </c>
    </row>
    <row r="1769" spans="1:25">
      <c r="A1769" t="s">
        <v>8479</v>
      </c>
      <c r="B1769" t="s">
        <v>8480</v>
      </c>
      <c r="D1769" t="s">
        <v>1832</v>
      </c>
      <c r="E1769" t="s">
        <v>41</v>
      </c>
      <c r="J1769" t="s">
        <v>90</v>
      </c>
      <c r="K1769" t="s">
        <v>91</v>
      </c>
      <c r="L1769">
        <v>5</v>
      </c>
      <c r="M1769" t="s">
        <v>8477</v>
      </c>
      <c r="N1769" t="s">
        <v>47</v>
      </c>
      <c r="O1769" t="s">
        <v>1835</v>
      </c>
      <c r="P1769" t="s">
        <v>1835</v>
      </c>
      <c r="Y1769" t="s">
        <v>8481</v>
      </c>
    </row>
    <row r="1770" spans="1:25">
      <c r="A1770" t="s">
        <v>8482</v>
      </c>
      <c r="B1770" t="s">
        <v>8483</v>
      </c>
      <c r="D1770" t="s">
        <v>1832</v>
      </c>
      <c r="E1770" t="s">
        <v>41</v>
      </c>
      <c r="J1770" t="s">
        <v>90</v>
      </c>
      <c r="K1770" t="s">
        <v>91</v>
      </c>
      <c r="L1770">
        <v>5</v>
      </c>
      <c r="M1770" t="s">
        <v>8484</v>
      </c>
      <c r="N1770" t="s">
        <v>47</v>
      </c>
      <c r="O1770" t="s">
        <v>1835</v>
      </c>
      <c r="P1770" t="s">
        <v>1835</v>
      </c>
      <c r="Y1770" t="s">
        <v>8485</v>
      </c>
    </row>
    <row r="1771" spans="1:25">
      <c r="A1771" t="s">
        <v>8486</v>
      </c>
      <c r="B1771" t="s">
        <v>8487</v>
      </c>
      <c r="D1771" t="s">
        <v>1832</v>
      </c>
      <c r="E1771" t="s">
        <v>41</v>
      </c>
      <c r="J1771" t="s">
        <v>90</v>
      </c>
      <c r="K1771" t="s">
        <v>91</v>
      </c>
      <c r="L1771">
        <v>5</v>
      </c>
      <c r="M1771" t="s">
        <v>8488</v>
      </c>
      <c r="N1771" t="s">
        <v>47</v>
      </c>
      <c r="O1771" t="s">
        <v>1835</v>
      </c>
      <c r="P1771" t="s">
        <v>1835</v>
      </c>
      <c r="Y1771" t="s">
        <v>8489</v>
      </c>
    </row>
    <row r="1772" spans="1:25">
      <c r="A1772" t="s">
        <v>8490</v>
      </c>
      <c r="B1772" t="s">
        <v>8491</v>
      </c>
      <c r="D1772" t="s">
        <v>1832</v>
      </c>
      <c r="E1772" t="s">
        <v>41</v>
      </c>
      <c r="H1772" t="s">
        <v>8492</v>
      </c>
      <c r="J1772" t="s">
        <v>90</v>
      </c>
      <c r="K1772" t="s">
        <v>91</v>
      </c>
      <c r="L1772">
        <v>5</v>
      </c>
      <c r="M1772" t="s">
        <v>8488</v>
      </c>
      <c r="N1772" t="s">
        <v>47</v>
      </c>
      <c r="O1772" t="s">
        <v>1835</v>
      </c>
      <c r="P1772" t="s">
        <v>1835</v>
      </c>
      <c r="Y1772" t="s">
        <v>8492</v>
      </c>
    </row>
    <row r="1773" spans="1:25">
      <c r="A1773" t="s">
        <v>8493</v>
      </c>
      <c r="B1773" t="s">
        <v>8494</v>
      </c>
      <c r="D1773" t="s">
        <v>1832</v>
      </c>
      <c r="E1773" t="s">
        <v>41</v>
      </c>
      <c r="J1773" t="s">
        <v>90</v>
      </c>
      <c r="K1773" t="s">
        <v>91</v>
      </c>
      <c r="L1773">
        <v>5</v>
      </c>
      <c r="M1773" t="s">
        <v>8495</v>
      </c>
      <c r="N1773" t="s">
        <v>47</v>
      </c>
      <c r="O1773" t="s">
        <v>1835</v>
      </c>
      <c r="P1773" t="s">
        <v>1835</v>
      </c>
      <c r="Y1773" t="s">
        <v>8496</v>
      </c>
    </row>
    <row r="1774" spans="1:25">
      <c r="A1774" t="s">
        <v>8497</v>
      </c>
      <c r="B1774" t="s">
        <v>8498</v>
      </c>
      <c r="D1774" t="s">
        <v>1832</v>
      </c>
      <c r="E1774" t="s">
        <v>41</v>
      </c>
      <c r="J1774" t="s">
        <v>133</v>
      </c>
      <c r="K1774" t="s">
        <v>134</v>
      </c>
      <c r="L1774">
        <v>5</v>
      </c>
      <c r="M1774" t="s">
        <v>8499</v>
      </c>
      <c r="N1774" t="s">
        <v>685</v>
      </c>
      <c r="O1774" t="s">
        <v>1835</v>
      </c>
      <c r="P1774" t="s">
        <v>1835</v>
      </c>
      <c r="Y1774" t="s">
        <v>8500</v>
      </c>
    </row>
    <row r="1775" spans="1:25">
      <c r="A1775" t="s">
        <v>8501</v>
      </c>
      <c r="B1775" t="s">
        <v>8502</v>
      </c>
      <c r="D1775" t="s">
        <v>1832</v>
      </c>
      <c r="E1775" t="s">
        <v>41</v>
      </c>
      <c r="J1775" t="s">
        <v>44</v>
      </c>
      <c r="K1775" t="s">
        <v>45</v>
      </c>
      <c r="L1775">
        <v>5</v>
      </c>
      <c r="M1775" t="s">
        <v>8503</v>
      </c>
      <c r="N1775" t="s">
        <v>47</v>
      </c>
      <c r="O1775" t="s">
        <v>1835</v>
      </c>
      <c r="P1775" t="s">
        <v>1835</v>
      </c>
      <c r="Y1775" t="s">
        <v>8504</v>
      </c>
    </row>
    <row r="1776" spans="1:25">
      <c r="A1776" t="s">
        <v>8505</v>
      </c>
      <c r="B1776" t="s">
        <v>8506</v>
      </c>
      <c r="D1776" t="s">
        <v>1832</v>
      </c>
      <c r="E1776" t="s">
        <v>41</v>
      </c>
      <c r="H1776" t="s">
        <v>8507</v>
      </c>
      <c r="J1776" t="s">
        <v>54</v>
      </c>
      <c r="K1776" t="s">
        <v>55</v>
      </c>
      <c r="L1776">
        <v>5</v>
      </c>
      <c r="M1776" t="s">
        <v>8508</v>
      </c>
      <c r="N1776" t="s">
        <v>47</v>
      </c>
      <c r="O1776" t="s">
        <v>1835</v>
      </c>
      <c r="P1776" t="s">
        <v>1835</v>
      </c>
      <c r="Y1776" t="s">
        <v>8507</v>
      </c>
    </row>
    <row r="1777" spans="1:25">
      <c r="A1777" t="s">
        <v>8509</v>
      </c>
      <c r="B1777" t="s">
        <v>8510</v>
      </c>
      <c r="D1777" t="s">
        <v>1832</v>
      </c>
      <c r="E1777" t="s">
        <v>41</v>
      </c>
      <c r="H1777" t="s">
        <v>8511</v>
      </c>
      <c r="J1777" t="s">
        <v>78</v>
      </c>
      <c r="K1777" t="s">
        <v>79</v>
      </c>
      <c r="L1777">
        <v>5</v>
      </c>
      <c r="M1777" t="s">
        <v>8508</v>
      </c>
      <c r="N1777" t="s">
        <v>47</v>
      </c>
      <c r="O1777" t="s">
        <v>1835</v>
      </c>
      <c r="P1777" t="s">
        <v>1835</v>
      </c>
      <c r="Y1777" t="s">
        <v>8511</v>
      </c>
    </row>
    <row r="1778" spans="1:25">
      <c r="A1778" t="s">
        <v>8512</v>
      </c>
      <c r="B1778" t="s">
        <v>8513</v>
      </c>
      <c r="D1778" t="s">
        <v>1832</v>
      </c>
      <c r="E1778" t="s">
        <v>41</v>
      </c>
      <c r="J1778" t="s">
        <v>54</v>
      </c>
      <c r="K1778" t="s">
        <v>55</v>
      </c>
      <c r="L1778">
        <v>5</v>
      </c>
      <c r="M1778" t="s">
        <v>8514</v>
      </c>
      <c r="N1778" t="s">
        <v>47</v>
      </c>
      <c r="O1778" t="s">
        <v>1835</v>
      </c>
      <c r="P1778" t="s">
        <v>1835</v>
      </c>
      <c r="Y1778" t="s">
        <v>8515</v>
      </c>
    </row>
    <row r="1779" spans="1:25">
      <c r="A1779" t="s">
        <v>8516</v>
      </c>
      <c r="B1779" t="s">
        <v>8517</v>
      </c>
      <c r="D1779" t="s">
        <v>1832</v>
      </c>
      <c r="E1779" t="s">
        <v>41</v>
      </c>
      <c r="J1779" t="s">
        <v>90</v>
      </c>
      <c r="K1779" t="s">
        <v>91</v>
      </c>
      <c r="L1779">
        <v>5</v>
      </c>
      <c r="M1779" t="s">
        <v>8518</v>
      </c>
      <c r="N1779" t="s">
        <v>47</v>
      </c>
      <c r="O1779" t="s">
        <v>1835</v>
      </c>
      <c r="P1779" t="s">
        <v>1835</v>
      </c>
      <c r="Y1779" t="s">
        <v>8519</v>
      </c>
    </row>
    <row r="1780" spans="1:25">
      <c r="A1780" t="s">
        <v>8520</v>
      </c>
      <c r="B1780" t="s">
        <v>8521</v>
      </c>
      <c r="D1780" t="s">
        <v>1832</v>
      </c>
      <c r="E1780" t="s">
        <v>41</v>
      </c>
      <c r="H1780" t="s">
        <v>8522</v>
      </c>
      <c r="J1780" t="s">
        <v>44</v>
      </c>
      <c r="K1780" t="s">
        <v>45</v>
      </c>
      <c r="L1780">
        <v>5</v>
      </c>
      <c r="M1780" t="s">
        <v>8518</v>
      </c>
      <c r="N1780" t="s">
        <v>47</v>
      </c>
      <c r="O1780" t="s">
        <v>1835</v>
      </c>
      <c r="P1780" t="s">
        <v>1835</v>
      </c>
      <c r="Y1780" t="s">
        <v>8522</v>
      </c>
    </row>
    <row r="1781" spans="1:25">
      <c r="A1781" t="s">
        <v>8523</v>
      </c>
      <c r="B1781" t="s">
        <v>8524</v>
      </c>
      <c r="D1781" t="s">
        <v>1832</v>
      </c>
      <c r="E1781" t="s">
        <v>41</v>
      </c>
      <c r="H1781" t="s">
        <v>8525</v>
      </c>
      <c r="J1781" t="s">
        <v>371</v>
      </c>
      <c r="K1781" t="s">
        <v>372</v>
      </c>
      <c r="L1781">
        <v>5</v>
      </c>
      <c r="M1781" t="s">
        <v>8526</v>
      </c>
      <c r="N1781" t="s">
        <v>47</v>
      </c>
      <c r="O1781" t="s">
        <v>1835</v>
      </c>
      <c r="P1781" t="s">
        <v>1835</v>
      </c>
      <c r="Y1781" t="s">
        <v>8525</v>
      </c>
    </row>
    <row r="1782" spans="1:25">
      <c r="A1782" t="s">
        <v>8527</v>
      </c>
      <c r="B1782" t="s">
        <v>8528</v>
      </c>
      <c r="D1782" t="s">
        <v>1832</v>
      </c>
      <c r="E1782" t="s">
        <v>41</v>
      </c>
      <c r="J1782" t="s">
        <v>90</v>
      </c>
      <c r="K1782" t="s">
        <v>91</v>
      </c>
      <c r="L1782">
        <v>5</v>
      </c>
      <c r="M1782" t="s">
        <v>8529</v>
      </c>
      <c r="N1782" t="s">
        <v>47</v>
      </c>
      <c r="O1782" t="s">
        <v>1835</v>
      </c>
      <c r="P1782" t="s">
        <v>1835</v>
      </c>
      <c r="Y1782" t="s">
        <v>8530</v>
      </c>
    </row>
    <row r="1783" spans="1:25">
      <c r="A1783" t="s">
        <v>8531</v>
      </c>
      <c r="B1783" t="s">
        <v>8532</v>
      </c>
      <c r="D1783" t="s">
        <v>1832</v>
      </c>
      <c r="E1783" t="s">
        <v>41</v>
      </c>
      <c r="J1783" t="s">
        <v>90</v>
      </c>
      <c r="K1783" t="s">
        <v>91</v>
      </c>
      <c r="L1783">
        <v>5</v>
      </c>
      <c r="M1783" t="s">
        <v>8533</v>
      </c>
      <c r="N1783" t="s">
        <v>47</v>
      </c>
      <c r="O1783" t="s">
        <v>1835</v>
      </c>
      <c r="P1783" t="s">
        <v>1835</v>
      </c>
      <c r="Y1783" t="s">
        <v>8534</v>
      </c>
    </row>
    <row r="1784" spans="1:25">
      <c r="A1784" t="s">
        <v>8535</v>
      </c>
      <c r="B1784" t="s">
        <v>8536</v>
      </c>
      <c r="D1784" t="s">
        <v>1832</v>
      </c>
      <c r="E1784" t="s">
        <v>41</v>
      </c>
      <c r="J1784" t="s">
        <v>44</v>
      </c>
      <c r="K1784" t="s">
        <v>45</v>
      </c>
      <c r="L1784">
        <v>5</v>
      </c>
      <c r="M1784" t="s">
        <v>8533</v>
      </c>
      <c r="N1784" t="s">
        <v>47</v>
      </c>
      <c r="O1784" t="s">
        <v>1835</v>
      </c>
      <c r="P1784" t="s">
        <v>1835</v>
      </c>
      <c r="Y1784" t="s">
        <v>8537</v>
      </c>
    </row>
    <row r="1785" spans="1:25">
      <c r="A1785" t="s">
        <v>8538</v>
      </c>
      <c r="B1785" t="s">
        <v>8539</v>
      </c>
      <c r="D1785" t="s">
        <v>1832</v>
      </c>
      <c r="E1785" t="s">
        <v>41</v>
      </c>
      <c r="J1785" t="s">
        <v>133</v>
      </c>
      <c r="K1785" t="s">
        <v>134</v>
      </c>
      <c r="L1785">
        <v>6</v>
      </c>
      <c r="M1785" t="s">
        <v>8540</v>
      </c>
      <c r="N1785" t="s">
        <v>135</v>
      </c>
      <c r="O1785" t="s">
        <v>1835</v>
      </c>
      <c r="P1785" t="s">
        <v>1835</v>
      </c>
      <c r="Y1785" t="s">
        <v>8541</v>
      </c>
    </row>
    <row r="1786" spans="1:25">
      <c r="A1786" t="s">
        <v>8542</v>
      </c>
      <c r="B1786" t="s">
        <v>8543</v>
      </c>
      <c r="D1786" t="s">
        <v>1832</v>
      </c>
      <c r="E1786" t="s">
        <v>41</v>
      </c>
      <c r="J1786" t="s">
        <v>54</v>
      </c>
      <c r="K1786" t="s">
        <v>55</v>
      </c>
      <c r="L1786">
        <v>5</v>
      </c>
      <c r="M1786" t="s">
        <v>8544</v>
      </c>
      <c r="N1786" t="s">
        <v>47</v>
      </c>
      <c r="O1786" t="s">
        <v>1835</v>
      </c>
      <c r="P1786" t="s">
        <v>1835</v>
      </c>
      <c r="Y1786" t="s">
        <v>8545</v>
      </c>
    </row>
    <row r="1787" spans="1:25">
      <c r="A1787" t="s">
        <v>8546</v>
      </c>
      <c r="B1787" t="s">
        <v>8547</v>
      </c>
      <c r="D1787" t="s">
        <v>1832</v>
      </c>
      <c r="E1787" t="s">
        <v>41</v>
      </c>
      <c r="H1787" t="s">
        <v>8548</v>
      </c>
      <c r="J1787" t="s">
        <v>78</v>
      </c>
      <c r="K1787" t="s">
        <v>79</v>
      </c>
      <c r="L1787">
        <v>5</v>
      </c>
      <c r="M1787" t="s">
        <v>8544</v>
      </c>
      <c r="N1787" t="s">
        <v>47</v>
      </c>
      <c r="O1787" t="s">
        <v>1835</v>
      </c>
      <c r="P1787" t="s">
        <v>1835</v>
      </c>
      <c r="Y1787" t="s">
        <v>8548</v>
      </c>
    </row>
    <row r="1788" spans="1:25">
      <c r="A1788" t="s">
        <v>8549</v>
      </c>
      <c r="B1788" t="s">
        <v>8550</v>
      </c>
      <c r="D1788" t="s">
        <v>1832</v>
      </c>
      <c r="E1788" t="s">
        <v>41</v>
      </c>
      <c r="H1788" t="s">
        <v>8551</v>
      </c>
      <c r="J1788" t="s">
        <v>54</v>
      </c>
      <c r="K1788" t="s">
        <v>55</v>
      </c>
      <c r="L1788">
        <v>5</v>
      </c>
      <c r="M1788" t="s">
        <v>8552</v>
      </c>
      <c r="N1788" t="s">
        <v>47</v>
      </c>
      <c r="O1788" t="s">
        <v>1835</v>
      </c>
      <c r="P1788" t="s">
        <v>1835</v>
      </c>
      <c r="Y1788" t="s">
        <v>8551</v>
      </c>
    </row>
    <row r="1789" spans="1:25">
      <c r="A1789" t="s">
        <v>8553</v>
      </c>
      <c r="B1789" t="s">
        <v>8554</v>
      </c>
      <c r="D1789" t="s">
        <v>1832</v>
      </c>
      <c r="E1789" t="s">
        <v>41</v>
      </c>
      <c r="J1789" t="s">
        <v>44</v>
      </c>
      <c r="K1789" t="s">
        <v>45</v>
      </c>
      <c r="L1789">
        <v>5</v>
      </c>
      <c r="M1789" t="s">
        <v>8552</v>
      </c>
      <c r="N1789" t="s">
        <v>47</v>
      </c>
      <c r="O1789" t="s">
        <v>1835</v>
      </c>
      <c r="P1789" t="s">
        <v>1835</v>
      </c>
      <c r="Y1789" t="s">
        <v>8555</v>
      </c>
    </row>
    <row r="1790" spans="1:25">
      <c r="A1790" t="s">
        <v>8556</v>
      </c>
      <c r="B1790" t="s">
        <v>8557</v>
      </c>
      <c r="D1790" t="s">
        <v>1832</v>
      </c>
      <c r="E1790" t="s">
        <v>41</v>
      </c>
      <c r="J1790" t="s">
        <v>90</v>
      </c>
      <c r="K1790" t="s">
        <v>91</v>
      </c>
      <c r="L1790">
        <v>5</v>
      </c>
      <c r="M1790" t="s">
        <v>8552</v>
      </c>
      <c r="N1790" t="s">
        <v>47</v>
      </c>
      <c r="O1790" t="s">
        <v>1835</v>
      </c>
      <c r="P1790" t="s">
        <v>1835</v>
      </c>
      <c r="Y1790" t="s">
        <v>8558</v>
      </c>
    </row>
    <row r="1791" spans="1:25">
      <c r="A1791" t="s">
        <v>8559</v>
      </c>
      <c r="B1791" t="s">
        <v>8560</v>
      </c>
      <c r="D1791" t="s">
        <v>1832</v>
      </c>
      <c r="E1791" t="s">
        <v>41</v>
      </c>
      <c r="J1791" t="s">
        <v>44</v>
      </c>
      <c r="K1791" t="s">
        <v>45</v>
      </c>
      <c r="L1791">
        <v>5</v>
      </c>
      <c r="M1791" t="s">
        <v>8561</v>
      </c>
      <c r="N1791" t="s">
        <v>47</v>
      </c>
      <c r="O1791" t="s">
        <v>1835</v>
      </c>
      <c r="P1791" t="s">
        <v>1835</v>
      </c>
      <c r="Y1791" t="s">
        <v>8562</v>
      </c>
    </row>
    <row r="1792" spans="1:25">
      <c r="A1792" t="s">
        <v>8563</v>
      </c>
      <c r="B1792" t="s">
        <v>8564</v>
      </c>
      <c r="D1792" t="s">
        <v>1832</v>
      </c>
      <c r="E1792" t="s">
        <v>41</v>
      </c>
      <c r="J1792" t="s">
        <v>90</v>
      </c>
      <c r="K1792" t="s">
        <v>91</v>
      </c>
      <c r="L1792">
        <v>5</v>
      </c>
      <c r="M1792" t="s">
        <v>8565</v>
      </c>
      <c r="N1792" t="s">
        <v>47</v>
      </c>
      <c r="O1792" t="s">
        <v>1835</v>
      </c>
      <c r="P1792" t="s">
        <v>1835</v>
      </c>
      <c r="Y1792" t="s">
        <v>8566</v>
      </c>
    </row>
    <row r="1793" spans="1:25">
      <c r="A1793" t="s">
        <v>8567</v>
      </c>
      <c r="B1793" t="s">
        <v>8568</v>
      </c>
      <c r="D1793" t="s">
        <v>1832</v>
      </c>
      <c r="E1793" t="s">
        <v>41</v>
      </c>
      <c r="J1793" t="s">
        <v>90</v>
      </c>
      <c r="K1793" t="s">
        <v>91</v>
      </c>
      <c r="L1793">
        <v>5</v>
      </c>
      <c r="M1793" t="s">
        <v>8569</v>
      </c>
      <c r="N1793" t="s">
        <v>47</v>
      </c>
      <c r="O1793" t="s">
        <v>1835</v>
      </c>
      <c r="P1793" t="s">
        <v>1835</v>
      </c>
      <c r="Y1793" t="s">
        <v>8570</v>
      </c>
    </row>
    <row r="1794" spans="1:25">
      <c r="A1794" t="s">
        <v>8571</v>
      </c>
      <c r="B1794" t="s">
        <v>8572</v>
      </c>
      <c r="D1794" t="s">
        <v>1832</v>
      </c>
      <c r="E1794" t="s">
        <v>41</v>
      </c>
      <c r="J1794" t="s">
        <v>44</v>
      </c>
      <c r="K1794" t="s">
        <v>45</v>
      </c>
      <c r="L1794">
        <v>5</v>
      </c>
      <c r="M1794" t="s">
        <v>8573</v>
      </c>
      <c r="N1794" t="s">
        <v>47</v>
      </c>
      <c r="O1794" t="s">
        <v>1835</v>
      </c>
      <c r="P1794" t="s">
        <v>1835</v>
      </c>
      <c r="Y1794" t="s">
        <v>8574</v>
      </c>
    </row>
    <row r="1795" spans="1:25">
      <c r="A1795" t="s">
        <v>8575</v>
      </c>
      <c r="B1795" t="s">
        <v>8576</v>
      </c>
      <c r="D1795" t="s">
        <v>1832</v>
      </c>
      <c r="E1795" t="s">
        <v>41</v>
      </c>
      <c r="H1795" t="s">
        <v>8577</v>
      </c>
      <c r="J1795" t="s">
        <v>44</v>
      </c>
      <c r="K1795" t="s">
        <v>45</v>
      </c>
      <c r="L1795">
        <v>5</v>
      </c>
      <c r="M1795" t="s">
        <v>8573</v>
      </c>
      <c r="N1795" t="s">
        <v>47</v>
      </c>
      <c r="O1795" t="s">
        <v>1835</v>
      </c>
      <c r="P1795" t="s">
        <v>1835</v>
      </c>
      <c r="Y1795" t="s">
        <v>8577</v>
      </c>
    </row>
    <row r="1796" spans="1:25">
      <c r="A1796" t="s">
        <v>8578</v>
      </c>
      <c r="B1796" t="s">
        <v>8579</v>
      </c>
      <c r="D1796" t="s">
        <v>1832</v>
      </c>
      <c r="E1796" t="s">
        <v>41</v>
      </c>
      <c r="J1796" t="s">
        <v>90</v>
      </c>
      <c r="K1796" t="s">
        <v>91</v>
      </c>
      <c r="L1796">
        <v>5</v>
      </c>
      <c r="M1796" t="s">
        <v>8580</v>
      </c>
      <c r="N1796" t="s">
        <v>47</v>
      </c>
      <c r="O1796" t="s">
        <v>1835</v>
      </c>
      <c r="P1796" t="s">
        <v>1835</v>
      </c>
      <c r="Y1796" t="s">
        <v>8581</v>
      </c>
    </row>
    <row r="1797" spans="1:25">
      <c r="A1797" t="s">
        <v>8582</v>
      </c>
      <c r="B1797" t="s">
        <v>8583</v>
      </c>
      <c r="D1797" t="s">
        <v>1832</v>
      </c>
      <c r="E1797" t="s">
        <v>41</v>
      </c>
      <c r="J1797" t="s">
        <v>90</v>
      </c>
      <c r="K1797" t="s">
        <v>91</v>
      </c>
      <c r="L1797">
        <v>5</v>
      </c>
      <c r="M1797" t="s">
        <v>8584</v>
      </c>
      <c r="N1797" t="s">
        <v>47</v>
      </c>
      <c r="O1797" t="s">
        <v>1835</v>
      </c>
      <c r="P1797" t="s">
        <v>1835</v>
      </c>
      <c r="Y1797" t="s">
        <v>8585</v>
      </c>
    </row>
    <row r="1798" spans="1:25">
      <c r="A1798" t="s">
        <v>8586</v>
      </c>
      <c r="B1798" t="s">
        <v>8587</v>
      </c>
      <c r="D1798" t="s">
        <v>1832</v>
      </c>
      <c r="E1798" t="s">
        <v>41</v>
      </c>
      <c r="H1798" t="s">
        <v>8588</v>
      </c>
      <c r="J1798" t="s">
        <v>371</v>
      </c>
      <c r="K1798" t="s">
        <v>372</v>
      </c>
      <c r="L1798">
        <v>5</v>
      </c>
      <c r="M1798" t="s">
        <v>8584</v>
      </c>
      <c r="N1798" t="s">
        <v>47</v>
      </c>
      <c r="O1798" t="s">
        <v>1835</v>
      </c>
      <c r="P1798" t="s">
        <v>1835</v>
      </c>
      <c r="Y1798" t="s">
        <v>8588</v>
      </c>
    </row>
    <row r="1799" spans="1:25">
      <c r="A1799" t="s">
        <v>8589</v>
      </c>
      <c r="B1799" t="s">
        <v>8590</v>
      </c>
      <c r="D1799" t="s">
        <v>1832</v>
      </c>
      <c r="E1799" t="s">
        <v>41</v>
      </c>
      <c r="J1799" t="s">
        <v>90</v>
      </c>
      <c r="K1799" t="s">
        <v>91</v>
      </c>
      <c r="L1799">
        <v>5</v>
      </c>
      <c r="M1799" t="s">
        <v>8584</v>
      </c>
      <c r="N1799" t="s">
        <v>47</v>
      </c>
      <c r="O1799" t="s">
        <v>1835</v>
      </c>
      <c r="P1799" t="s">
        <v>1835</v>
      </c>
      <c r="Y1799" t="s">
        <v>8591</v>
      </c>
    </row>
    <row r="1800" spans="1:25">
      <c r="A1800" t="s">
        <v>8592</v>
      </c>
      <c r="B1800" t="s">
        <v>8593</v>
      </c>
      <c r="D1800" t="s">
        <v>1832</v>
      </c>
      <c r="E1800" t="s">
        <v>41</v>
      </c>
      <c r="J1800" t="s">
        <v>90</v>
      </c>
      <c r="K1800" t="s">
        <v>91</v>
      </c>
      <c r="L1800">
        <v>5</v>
      </c>
      <c r="M1800" t="s">
        <v>8584</v>
      </c>
      <c r="N1800" t="s">
        <v>47</v>
      </c>
      <c r="O1800" t="s">
        <v>1835</v>
      </c>
      <c r="P1800" t="s">
        <v>1835</v>
      </c>
      <c r="Y1800" t="s">
        <v>8594</v>
      </c>
    </row>
    <row r="1801" spans="1:25">
      <c r="A1801" t="s">
        <v>8595</v>
      </c>
      <c r="B1801" t="s">
        <v>8596</v>
      </c>
      <c r="D1801" t="s">
        <v>1832</v>
      </c>
      <c r="E1801" t="s">
        <v>41</v>
      </c>
      <c r="H1801" t="s">
        <v>8597</v>
      </c>
      <c r="J1801" t="s">
        <v>234</v>
      </c>
      <c r="K1801" t="s">
        <v>235</v>
      </c>
      <c r="L1801">
        <v>5</v>
      </c>
      <c r="M1801" t="s">
        <v>8598</v>
      </c>
      <c r="N1801" t="s">
        <v>47</v>
      </c>
      <c r="O1801" t="s">
        <v>1835</v>
      </c>
      <c r="P1801" t="s">
        <v>1835</v>
      </c>
      <c r="Y1801" t="s">
        <v>8597</v>
      </c>
    </row>
    <row r="1802" spans="1:25">
      <c r="A1802" t="s">
        <v>8599</v>
      </c>
      <c r="B1802" t="s">
        <v>8600</v>
      </c>
      <c r="D1802" t="s">
        <v>1832</v>
      </c>
      <c r="E1802" t="s">
        <v>41</v>
      </c>
      <c r="J1802" t="s">
        <v>90</v>
      </c>
      <c r="K1802" t="s">
        <v>91</v>
      </c>
      <c r="L1802">
        <v>5</v>
      </c>
      <c r="M1802" t="s">
        <v>8601</v>
      </c>
      <c r="N1802" t="s">
        <v>47</v>
      </c>
      <c r="O1802" t="s">
        <v>1835</v>
      </c>
      <c r="P1802" t="s">
        <v>1835</v>
      </c>
      <c r="Y1802" t="s">
        <v>8602</v>
      </c>
    </row>
    <row r="1803" spans="1:25">
      <c r="A1803" t="s">
        <v>8603</v>
      </c>
      <c r="B1803" t="s">
        <v>8604</v>
      </c>
      <c r="D1803" t="s">
        <v>1832</v>
      </c>
      <c r="E1803" t="s">
        <v>41</v>
      </c>
      <c r="J1803" t="s">
        <v>44</v>
      </c>
      <c r="K1803" t="s">
        <v>45</v>
      </c>
      <c r="L1803">
        <v>5</v>
      </c>
      <c r="M1803" t="s">
        <v>8605</v>
      </c>
      <c r="N1803" t="s">
        <v>47</v>
      </c>
      <c r="O1803" t="s">
        <v>1835</v>
      </c>
      <c r="P1803" t="s">
        <v>1835</v>
      </c>
      <c r="Y1803" t="s">
        <v>8606</v>
      </c>
    </row>
    <row r="1804" spans="1:25">
      <c r="A1804" t="s">
        <v>8607</v>
      </c>
      <c r="B1804" t="s">
        <v>8608</v>
      </c>
      <c r="D1804" t="s">
        <v>1832</v>
      </c>
      <c r="E1804" t="s">
        <v>41</v>
      </c>
      <c r="H1804" t="s">
        <v>8609</v>
      </c>
      <c r="J1804" t="s">
        <v>90</v>
      </c>
      <c r="K1804" t="s">
        <v>91</v>
      </c>
      <c r="L1804">
        <v>5</v>
      </c>
      <c r="M1804" t="s">
        <v>8605</v>
      </c>
      <c r="N1804" t="s">
        <v>47</v>
      </c>
      <c r="O1804" t="s">
        <v>1835</v>
      </c>
      <c r="P1804" t="s">
        <v>1835</v>
      </c>
      <c r="Y1804" t="s">
        <v>8609</v>
      </c>
    </row>
    <row r="1805" spans="1:25">
      <c r="A1805" t="s">
        <v>8610</v>
      </c>
      <c r="B1805" t="s">
        <v>8611</v>
      </c>
      <c r="D1805" t="s">
        <v>1832</v>
      </c>
      <c r="E1805" t="s">
        <v>41</v>
      </c>
      <c r="J1805" t="s">
        <v>497</v>
      </c>
      <c r="K1805" t="s">
        <v>498</v>
      </c>
      <c r="L1805">
        <v>5</v>
      </c>
      <c r="M1805" t="s">
        <v>8605</v>
      </c>
      <c r="N1805" t="s">
        <v>290</v>
      </c>
      <c r="O1805" t="s">
        <v>1835</v>
      </c>
      <c r="P1805" t="s">
        <v>1835</v>
      </c>
      <c r="Y1805" t="s">
        <v>8612</v>
      </c>
    </row>
    <row r="1806" spans="1:25">
      <c r="A1806" t="s">
        <v>8613</v>
      </c>
      <c r="B1806" t="s">
        <v>8614</v>
      </c>
      <c r="D1806" t="s">
        <v>1832</v>
      </c>
      <c r="E1806" t="s">
        <v>41</v>
      </c>
      <c r="H1806" t="s">
        <v>8615</v>
      </c>
      <c r="J1806" t="s">
        <v>234</v>
      </c>
      <c r="K1806" t="s">
        <v>235</v>
      </c>
      <c r="L1806">
        <v>5</v>
      </c>
      <c r="M1806" t="s">
        <v>8616</v>
      </c>
      <c r="N1806" t="s">
        <v>47</v>
      </c>
      <c r="O1806" t="s">
        <v>1835</v>
      </c>
      <c r="P1806" t="s">
        <v>1835</v>
      </c>
      <c r="Y1806" t="s">
        <v>8615</v>
      </c>
    </row>
    <row r="1807" spans="1:25">
      <c r="A1807" t="s">
        <v>8617</v>
      </c>
      <c r="B1807" t="s">
        <v>8618</v>
      </c>
      <c r="D1807" t="s">
        <v>40</v>
      </c>
      <c r="E1807" t="s">
        <v>41</v>
      </c>
      <c r="G1807" t="s">
        <v>8619</v>
      </c>
      <c r="H1807" t="s">
        <v>8620</v>
      </c>
      <c r="J1807" t="s">
        <v>133</v>
      </c>
      <c r="K1807" t="s">
        <v>134</v>
      </c>
      <c r="L1807">
        <v>5</v>
      </c>
      <c r="M1807" t="s">
        <v>8621</v>
      </c>
      <c r="N1807" t="s">
        <v>290</v>
      </c>
      <c r="O1807" t="s">
        <v>48</v>
      </c>
      <c r="P1807" t="s">
        <v>48</v>
      </c>
      <c r="Y1807" t="s">
        <v>8622</v>
      </c>
    </row>
    <row r="1808" spans="1:25">
      <c r="A1808" t="s">
        <v>8623</v>
      </c>
      <c r="B1808" t="s">
        <v>8624</v>
      </c>
      <c r="D1808" t="s">
        <v>1832</v>
      </c>
      <c r="E1808" t="s">
        <v>41</v>
      </c>
      <c r="J1808" t="s">
        <v>78</v>
      </c>
      <c r="K1808" t="s">
        <v>79</v>
      </c>
      <c r="L1808">
        <v>5</v>
      </c>
      <c r="M1808" t="s">
        <v>8625</v>
      </c>
      <c r="N1808" t="s">
        <v>47</v>
      </c>
      <c r="O1808" t="s">
        <v>1835</v>
      </c>
      <c r="P1808" t="s">
        <v>1835</v>
      </c>
      <c r="Y1808" t="s">
        <v>8626</v>
      </c>
    </row>
    <row r="1809" spans="1:25">
      <c r="A1809" t="s">
        <v>8627</v>
      </c>
      <c r="B1809" t="s">
        <v>8628</v>
      </c>
      <c r="D1809" t="s">
        <v>1832</v>
      </c>
      <c r="E1809" t="s">
        <v>41</v>
      </c>
      <c r="J1809" t="s">
        <v>44</v>
      </c>
      <c r="K1809" t="s">
        <v>45</v>
      </c>
      <c r="L1809">
        <v>5</v>
      </c>
      <c r="M1809" t="s">
        <v>8629</v>
      </c>
      <c r="N1809" t="s">
        <v>47</v>
      </c>
      <c r="O1809" t="s">
        <v>1835</v>
      </c>
      <c r="P1809" t="s">
        <v>1835</v>
      </c>
      <c r="Y1809" t="s">
        <v>8630</v>
      </c>
    </row>
    <row r="1810" spans="1:25">
      <c r="A1810" t="s">
        <v>8631</v>
      </c>
      <c r="B1810" t="s">
        <v>8632</v>
      </c>
      <c r="D1810" t="s">
        <v>1832</v>
      </c>
      <c r="E1810" t="s">
        <v>41</v>
      </c>
      <c r="J1810" t="s">
        <v>90</v>
      </c>
      <c r="K1810" t="s">
        <v>91</v>
      </c>
      <c r="L1810">
        <v>5</v>
      </c>
      <c r="M1810" t="s">
        <v>8629</v>
      </c>
      <c r="N1810" t="s">
        <v>47</v>
      </c>
      <c r="O1810" t="s">
        <v>1835</v>
      </c>
      <c r="P1810" t="s">
        <v>1835</v>
      </c>
      <c r="Y1810" t="s">
        <v>8633</v>
      </c>
    </row>
    <row r="1811" spans="1:25">
      <c r="A1811" t="s">
        <v>8634</v>
      </c>
      <c r="B1811" t="s">
        <v>8635</v>
      </c>
      <c r="D1811" t="s">
        <v>1832</v>
      </c>
      <c r="E1811" t="s">
        <v>41</v>
      </c>
      <c r="H1811" t="s">
        <v>8636</v>
      </c>
      <c r="J1811" t="s">
        <v>44</v>
      </c>
      <c r="K1811" t="s">
        <v>45</v>
      </c>
      <c r="L1811">
        <v>5</v>
      </c>
      <c r="M1811" t="s">
        <v>8637</v>
      </c>
      <c r="N1811" t="s">
        <v>47</v>
      </c>
      <c r="O1811" t="s">
        <v>1835</v>
      </c>
      <c r="P1811" t="s">
        <v>1835</v>
      </c>
      <c r="Y1811" t="s">
        <v>8636</v>
      </c>
    </row>
    <row r="1812" spans="1:25">
      <c r="A1812" t="s">
        <v>8638</v>
      </c>
      <c r="B1812" t="s">
        <v>8639</v>
      </c>
      <c r="D1812" t="s">
        <v>1832</v>
      </c>
      <c r="E1812" t="s">
        <v>41</v>
      </c>
      <c r="H1812" t="s">
        <v>8640</v>
      </c>
      <c r="J1812" t="s">
        <v>78</v>
      </c>
      <c r="K1812" t="s">
        <v>79</v>
      </c>
      <c r="L1812">
        <v>5</v>
      </c>
      <c r="M1812" t="s">
        <v>8641</v>
      </c>
      <c r="N1812" t="s">
        <v>47</v>
      </c>
      <c r="O1812" t="s">
        <v>1835</v>
      </c>
      <c r="P1812" t="s">
        <v>1835</v>
      </c>
      <c r="Y1812" t="s">
        <v>8640</v>
      </c>
    </row>
    <row r="1813" spans="1:25">
      <c r="A1813" t="s">
        <v>8642</v>
      </c>
      <c r="B1813" t="s">
        <v>8643</v>
      </c>
      <c r="D1813" t="s">
        <v>1832</v>
      </c>
      <c r="E1813" t="s">
        <v>41</v>
      </c>
      <c r="J1813" t="s">
        <v>90</v>
      </c>
      <c r="K1813" t="s">
        <v>91</v>
      </c>
      <c r="L1813">
        <v>5</v>
      </c>
      <c r="M1813" t="s">
        <v>8641</v>
      </c>
      <c r="N1813" t="s">
        <v>47</v>
      </c>
      <c r="O1813" t="s">
        <v>1835</v>
      </c>
      <c r="P1813" t="s">
        <v>1835</v>
      </c>
      <c r="Y1813" t="s">
        <v>8644</v>
      </c>
    </row>
    <row r="1814" spans="1:25">
      <c r="A1814" t="s">
        <v>8645</v>
      </c>
      <c r="B1814" t="s">
        <v>8646</v>
      </c>
      <c r="D1814" t="s">
        <v>1832</v>
      </c>
      <c r="E1814" t="s">
        <v>41</v>
      </c>
      <c r="H1814" t="s">
        <v>8647</v>
      </c>
      <c r="J1814" t="s">
        <v>78</v>
      </c>
      <c r="K1814" t="s">
        <v>79</v>
      </c>
      <c r="L1814">
        <v>5</v>
      </c>
      <c r="M1814" t="s">
        <v>8641</v>
      </c>
      <c r="N1814" t="s">
        <v>47</v>
      </c>
      <c r="O1814" t="s">
        <v>1835</v>
      </c>
      <c r="P1814" t="s">
        <v>1835</v>
      </c>
      <c r="Y1814" t="s">
        <v>8647</v>
      </c>
    </row>
    <row r="1815" spans="1:25">
      <c r="A1815" t="s">
        <v>8648</v>
      </c>
      <c r="B1815" t="s">
        <v>8649</v>
      </c>
      <c r="D1815" t="s">
        <v>1832</v>
      </c>
      <c r="E1815" t="s">
        <v>41</v>
      </c>
      <c r="J1815" t="s">
        <v>90</v>
      </c>
      <c r="K1815" t="s">
        <v>91</v>
      </c>
      <c r="L1815">
        <v>5</v>
      </c>
      <c r="M1815" t="s">
        <v>8641</v>
      </c>
      <c r="N1815" t="s">
        <v>47</v>
      </c>
      <c r="O1815" t="s">
        <v>1835</v>
      </c>
      <c r="P1815" t="s">
        <v>1835</v>
      </c>
      <c r="Y1815" t="s">
        <v>8650</v>
      </c>
    </row>
    <row r="1816" spans="1:25">
      <c r="A1816" t="s">
        <v>8651</v>
      </c>
      <c r="B1816" t="s">
        <v>8652</v>
      </c>
      <c r="D1816" t="s">
        <v>1832</v>
      </c>
      <c r="E1816" t="s">
        <v>41</v>
      </c>
      <c r="H1816" t="s">
        <v>8653</v>
      </c>
      <c r="J1816" t="s">
        <v>133</v>
      </c>
      <c r="K1816" t="s">
        <v>134</v>
      </c>
      <c r="L1816">
        <v>5</v>
      </c>
      <c r="M1816" t="s">
        <v>8654</v>
      </c>
      <c r="N1816" t="s">
        <v>290</v>
      </c>
      <c r="O1816" t="s">
        <v>1835</v>
      </c>
      <c r="P1816" t="s">
        <v>1835</v>
      </c>
      <c r="Y1816" t="s">
        <v>8653</v>
      </c>
    </row>
    <row r="1817" spans="1:25">
      <c r="A1817" t="s">
        <v>8655</v>
      </c>
      <c r="B1817" t="s">
        <v>8656</v>
      </c>
      <c r="D1817" t="s">
        <v>1832</v>
      </c>
      <c r="E1817" t="s">
        <v>41</v>
      </c>
      <c r="H1817" t="s">
        <v>8657</v>
      </c>
      <c r="J1817" t="s">
        <v>90</v>
      </c>
      <c r="K1817" t="s">
        <v>91</v>
      </c>
      <c r="L1817">
        <v>5</v>
      </c>
      <c r="M1817" t="s">
        <v>8658</v>
      </c>
      <c r="N1817" t="s">
        <v>47</v>
      </c>
      <c r="O1817" t="s">
        <v>1835</v>
      </c>
      <c r="P1817" t="s">
        <v>1835</v>
      </c>
      <c r="Y1817" t="s">
        <v>8657</v>
      </c>
    </row>
    <row r="1818" spans="1:25">
      <c r="A1818" t="s">
        <v>8659</v>
      </c>
      <c r="B1818" t="s">
        <v>8660</v>
      </c>
      <c r="D1818" t="s">
        <v>1832</v>
      </c>
      <c r="E1818" t="s">
        <v>41</v>
      </c>
      <c r="J1818" t="s">
        <v>78</v>
      </c>
      <c r="K1818" t="s">
        <v>79</v>
      </c>
      <c r="L1818">
        <v>5</v>
      </c>
      <c r="M1818" t="s">
        <v>8658</v>
      </c>
      <c r="N1818" t="s">
        <v>47</v>
      </c>
      <c r="O1818" t="s">
        <v>1835</v>
      </c>
      <c r="P1818" t="s">
        <v>1835</v>
      </c>
      <c r="Y1818" t="s">
        <v>8661</v>
      </c>
    </row>
    <row r="1819" spans="1:25">
      <c r="A1819" t="s">
        <v>8662</v>
      </c>
      <c r="B1819" t="s">
        <v>8663</v>
      </c>
      <c r="D1819" t="s">
        <v>1832</v>
      </c>
      <c r="E1819" t="s">
        <v>41</v>
      </c>
      <c r="J1819" t="s">
        <v>371</v>
      </c>
      <c r="K1819" t="s">
        <v>372</v>
      </c>
      <c r="L1819">
        <v>5</v>
      </c>
      <c r="M1819" t="s">
        <v>8664</v>
      </c>
      <c r="N1819" t="s">
        <v>47</v>
      </c>
      <c r="O1819" t="s">
        <v>1835</v>
      </c>
      <c r="P1819" t="s">
        <v>1835</v>
      </c>
      <c r="Y1819" t="s">
        <v>8665</v>
      </c>
    </row>
    <row r="1820" spans="1:25">
      <c r="A1820" t="s">
        <v>8666</v>
      </c>
      <c r="B1820" t="s">
        <v>8667</v>
      </c>
      <c r="D1820" t="s">
        <v>1832</v>
      </c>
      <c r="E1820" t="s">
        <v>41</v>
      </c>
      <c r="J1820" t="s">
        <v>54</v>
      </c>
      <c r="K1820" t="s">
        <v>55</v>
      </c>
      <c r="L1820">
        <v>5</v>
      </c>
      <c r="M1820" t="s">
        <v>8668</v>
      </c>
      <c r="N1820" t="s">
        <v>47</v>
      </c>
      <c r="O1820" t="s">
        <v>1835</v>
      </c>
      <c r="P1820" t="s">
        <v>1835</v>
      </c>
      <c r="Y1820" t="s">
        <v>8669</v>
      </c>
    </row>
    <row r="1821" spans="1:25">
      <c r="A1821" t="s">
        <v>8670</v>
      </c>
      <c r="B1821" t="s">
        <v>8671</v>
      </c>
      <c r="D1821" t="s">
        <v>1832</v>
      </c>
      <c r="E1821" t="s">
        <v>41</v>
      </c>
      <c r="H1821" t="s">
        <v>8672</v>
      </c>
      <c r="J1821" t="s">
        <v>541</v>
      </c>
      <c r="K1821" t="s">
        <v>542</v>
      </c>
      <c r="L1821">
        <v>5</v>
      </c>
      <c r="M1821" t="s">
        <v>8673</v>
      </c>
      <c r="N1821" t="s">
        <v>290</v>
      </c>
      <c r="O1821" t="s">
        <v>1835</v>
      </c>
      <c r="P1821" t="s">
        <v>1835</v>
      </c>
      <c r="Y1821" t="s">
        <v>8672</v>
      </c>
    </row>
    <row r="1822" spans="1:25">
      <c r="A1822" t="s">
        <v>8674</v>
      </c>
      <c r="B1822" t="s">
        <v>8675</v>
      </c>
      <c r="D1822" t="s">
        <v>1832</v>
      </c>
      <c r="E1822" t="s">
        <v>41</v>
      </c>
      <c r="J1822" t="s">
        <v>44</v>
      </c>
      <c r="K1822" t="s">
        <v>45</v>
      </c>
      <c r="L1822">
        <v>5</v>
      </c>
      <c r="M1822" t="s">
        <v>8676</v>
      </c>
      <c r="N1822" t="s">
        <v>47</v>
      </c>
      <c r="O1822" t="s">
        <v>1835</v>
      </c>
      <c r="P1822" t="s">
        <v>1835</v>
      </c>
      <c r="Y1822" t="s">
        <v>8677</v>
      </c>
    </row>
    <row r="1823" spans="1:25">
      <c r="A1823" t="s">
        <v>8678</v>
      </c>
      <c r="B1823" t="s">
        <v>8679</v>
      </c>
      <c r="D1823" t="s">
        <v>1832</v>
      </c>
      <c r="E1823" t="s">
        <v>41</v>
      </c>
      <c r="J1823" t="s">
        <v>44</v>
      </c>
      <c r="K1823" t="s">
        <v>45</v>
      </c>
      <c r="L1823">
        <v>5</v>
      </c>
      <c r="M1823" t="s">
        <v>8680</v>
      </c>
      <c r="N1823" t="s">
        <v>47</v>
      </c>
      <c r="O1823" t="s">
        <v>1835</v>
      </c>
      <c r="P1823" t="s">
        <v>1835</v>
      </c>
      <c r="Y1823" t="s">
        <v>8681</v>
      </c>
    </row>
    <row r="1824" spans="1:25">
      <c r="A1824" t="s">
        <v>8682</v>
      </c>
      <c r="B1824" t="s">
        <v>8683</v>
      </c>
      <c r="D1824" t="s">
        <v>1832</v>
      </c>
      <c r="E1824" t="s">
        <v>41</v>
      </c>
      <c r="J1824" t="s">
        <v>54</v>
      </c>
      <c r="K1824" t="s">
        <v>55</v>
      </c>
      <c r="L1824">
        <v>5</v>
      </c>
      <c r="M1824" t="s">
        <v>8684</v>
      </c>
      <c r="N1824" t="s">
        <v>47</v>
      </c>
      <c r="O1824" t="s">
        <v>1835</v>
      </c>
      <c r="P1824" t="s">
        <v>1835</v>
      </c>
      <c r="Y1824" t="s">
        <v>8685</v>
      </c>
    </row>
    <row r="1825" spans="1:25">
      <c r="A1825" t="s">
        <v>8686</v>
      </c>
      <c r="B1825" t="s">
        <v>8687</v>
      </c>
      <c r="D1825" t="s">
        <v>1832</v>
      </c>
      <c r="E1825" t="s">
        <v>41</v>
      </c>
      <c r="H1825" t="s">
        <v>8688</v>
      </c>
      <c r="J1825" t="s">
        <v>44</v>
      </c>
      <c r="K1825" t="s">
        <v>45</v>
      </c>
      <c r="L1825">
        <v>5</v>
      </c>
      <c r="M1825" t="s">
        <v>8689</v>
      </c>
      <c r="N1825" t="s">
        <v>47</v>
      </c>
      <c r="O1825" t="s">
        <v>1835</v>
      </c>
      <c r="P1825" t="s">
        <v>1835</v>
      </c>
      <c r="Y1825" t="s">
        <v>8688</v>
      </c>
    </row>
    <row r="1826" spans="1:25">
      <c r="A1826" t="s">
        <v>8690</v>
      </c>
      <c r="B1826" t="s">
        <v>8691</v>
      </c>
      <c r="D1826" t="s">
        <v>1832</v>
      </c>
      <c r="E1826" t="s">
        <v>41</v>
      </c>
      <c r="J1826" t="s">
        <v>44</v>
      </c>
      <c r="K1826" t="s">
        <v>45</v>
      </c>
      <c r="L1826">
        <v>5</v>
      </c>
      <c r="M1826" t="s">
        <v>8692</v>
      </c>
      <c r="N1826" t="s">
        <v>47</v>
      </c>
      <c r="O1826" t="s">
        <v>1835</v>
      </c>
      <c r="P1826" t="s">
        <v>1835</v>
      </c>
      <c r="Y1826" t="s">
        <v>8693</v>
      </c>
    </row>
    <row r="1827" spans="1:25">
      <c r="A1827" t="s">
        <v>8694</v>
      </c>
      <c r="B1827" t="s">
        <v>8695</v>
      </c>
      <c r="D1827" t="s">
        <v>1832</v>
      </c>
      <c r="E1827" t="s">
        <v>41</v>
      </c>
      <c r="J1827" t="s">
        <v>90</v>
      </c>
      <c r="K1827" t="s">
        <v>91</v>
      </c>
      <c r="L1827">
        <v>5</v>
      </c>
      <c r="M1827" t="s">
        <v>8696</v>
      </c>
      <c r="N1827" t="s">
        <v>47</v>
      </c>
      <c r="O1827" t="s">
        <v>1835</v>
      </c>
      <c r="P1827" t="s">
        <v>1835</v>
      </c>
      <c r="Y1827" t="s">
        <v>8697</v>
      </c>
    </row>
    <row r="1828" spans="1:25">
      <c r="A1828" t="s">
        <v>8698</v>
      </c>
      <c r="B1828" t="s">
        <v>8699</v>
      </c>
      <c r="D1828" t="s">
        <v>1832</v>
      </c>
      <c r="E1828" t="s">
        <v>41</v>
      </c>
      <c r="J1828" t="s">
        <v>90</v>
      </c>
      <c r="K1828" t="s">
        <v>91</v>
      </c>
      <c r="L1828">
        <v>5</v>
      </c>
      <c r="M1828" t="s">
        <v>8700</v>
      </c>
      <c r="N1828" t="s">
        <v>47</v>
      </c>
      <c r="O1828" t="s">
        <v>1835</v>
      </c>
      <c r="P1828" t="s">
        <v>1835</v>
      </c>
      <c r="Y1828" t="s">
        <v>8701</v>
      </c>
    </row>
    <row r="1829" spans="1:25">
      <c r="A1829" t="s">
        <v>8702</v>
      </c>
      <c r="B1829" t="s">
        <v>8703</v>
      </c>
      <c r="D1829" t="s">
        <v>1832</v>
      </c>
      <c r="E1829" t="s">
        <v>41</v>
      </c>
      <c r="J1829" t="s">
        <v>90</v>
      </c>
      <c r="K1829" t="s">
        <v>91</v>
      </c>
      <c r="L1829">
        <v>5</v>
      </c>
      <c r="M1829" t="s">
        <v>8704</v>
      </c>
      <c r="N1829" t="s">
        <v>47</v>
      </c>
      <c r="O1829" t="s">
        <v>1835</v>
      </c>
      <c r="P1829" t="s">
        <v>1835</v>
      </c>
      <c r="Y1829" t="s">
        <v>8705</v>
      </c>
    </row>
    <row r="1830" spans="1:25">
      <c r="A1830" t="s">
        <v>8706</v>
      </c>
      <c r="B1830" t="s">
        <v>8707</v>
      </c>
      <c r="D1830" t="s">
        <v>1832</v>
      </c>
      <c r="E1830" t="s">
        <v>41</v>
      </c>
      <c r="H1830" t="s">
        <v>8708</v>
      </c>
      <c r="J1830" t="s">
        <v>90</v>
      </c>
      <c r="K1830" t="s">
        <v>91</v>
      </c>
      <c r="L1830">
        <v>5</v>
      </c>
      <c r="M1830" t="s">
        <v>8709</v>
      </c>
      <c r="N1830" t="s">
        <v>47</v>
      </c>
      <c r="O1830" t="s">
        <v>1835</v>
      </c>
      <c r="P1830" t="s">
        <v>1835</v>
      </c>
      <c r="Y1830" t="s">
        <v>8708</v>
      </c>
    </row>
    <row r="1831" spans="1:25">
      <c r="A1831" t="s">
        <v>8710</v>
      </c>
      <c r="B1831" t="s">
        <v>8711</v>
      </c>
      <c r="D1831" t="s">
        <v>1832</v>
      </c>
      <c r="E1831" t="s">
        <v>41</v>
      </c>
      <c r="J1831" t="s">
        <v>90</v>
      </c>
      <c r="K1831" t="s">
        <v>91</v>
      </c>
      <c r="L1831">
        <v>5</v>
      </c>
      <c r="M1831" t="s">
        <v>8712</v>
      </c>
      <c r="N1831" t="s">
        <v>47</v>
      </c>
      <c r="O1831" t="s">
        <v>1835</v>
      </c>
      <c r="P1831" t="s">
        <v>1835</v>
      </c>
      <c r="Y1831" t="s">
        <v>8713</v>
      </c>
    </row>
    <row r="1832" spans="1:25">
      <c r="A1832" t="s">
        <v>8714</v>
      </c>
      <c r="B1832" t="s">
        <v>8715</v>
      </c>
      <c r="D1832" t="s">
        <v>1832</v>
      </c>
      <c r="E1832" t="s">
        <v>41</v>
      </c>
      <c r="J1832" t="s">
        <v>54</v>
      </c>
      <c r="K1832" t="s">
        <v>55</v>
      </c>
      <c r="L1832">
        <v>5</v>
      </c>
      <c r="M1832" t="s">
        <v>8716</v>
      </c>
      <c r="N1832" t="s">
        <v>47</v>
      </c>
      <c r="O1832" t="s">
        <v>1835</v>
      </c>
      <c r="P1832" t="s">
        <v>1835</v>
      </c>
      <c r="Y1832" t="s">
        <v>8717</v>
      </c>
    </row>
    <row r="1833" spans="1:25">
      <c r="A1833" t="s">
        <v>8718</v>
      </c>
      <c r="B1833" t="s">
        <v>8719</v>
      </c>
      <c r="D1833" t="s">
        <v>1832</v>
      </c>
      <c r="E1833" t="s">
        <v>41</v>
      </c>
      <c r="J1833" t="s">
        <v>90</v>
      </c>
      <c r="K1833" t="s">
        <v>91</v>
      </c>
      <c r="L1833">
        <v>5</v>
      </c>
      <c r="M1833" t="s">
        <v>8720</v>
      </c>
      <c r="N1833" t="s">
        <v>47</v>
      </c>
      <c r="O1833" t="s">
        <v>1835</v>
      </c>
      <c r="P1833" t="s">
        <v>1835</v>
      </c>
      <c r="Y1833" t="s">
        <v>8721</v>
      </c>
    </row>
    <row r="1834" spans="1:25">
      <c r="A1834" t="s">
        <v>8722</v>
      </c>
      <c r="B1834" t="s">
        <v>8723</v>
      </c>
      <c r="D1834" t="s">
        <v>1832</v>
      </c>
      <c r="E1834" t="s">
        <v>41</v>
      </c>
      <c r="J1834" t="s">
        <v>44</v>
      </c>
      <c r="K1834" t="s">
        <v>45</v>
      </c>
      <c r="L1834">
        <v>5</v>
      </c>
      <c r="M1834" t="s">
        <v>8724</v>
      </c>
      <c r="N1834" t="s">
        <v>47</v>
      </c>
      <c r="O1834" t="s">
        <v>1835</v>
      </c>
      <c r="P1834" t="s">
        <v>1835</v>
      </c>
      <c r="Y1834" t="s">
        <v>8725</v>
      </c>
    </row>
    <row r="1835" spans="1:25">
      <c r="A1835" t="s">
        <v>8726</v>
      </c>
      <c r="B1835" t="s">
        <v>8727</v>
      </c>
      <c r="D1835" t="s">
        <v>1832</v>
      </c>
      <c r="E1835" t="s">
        <v>41</v>
      </c>
      <c r="H1835" t="s">
        <v>8728</v>
      </c>
      <c r="J1835" t="s">
        <v>44</v>
      </c>
      <c r="K1835" t="s">
        <v>45</v>
      </c>
      <c r="L1835">
        <v>5</v>
      </c>
      <c r="M1835" t="s">
        <v>8729</v>
      </c>
      <c r="N1835" t="s">
        <v>47</v>
      </c>
      <c r="O1835" t="s">
        <v>1835</v>
      </c>
      <c r="P1835" t="s">
        <v>1835</v>
      </c>
      <c r="Y1835" t="s">
        <v>8728</v>
      </c>
    </row>
    <row r="1836" spans="1:25">
      <c r="A1836" t="s">
        <v>8730</v>
      </c>
      <c r="B1836" t="s">
        <v>8731</v>
      </c>
      <c r="D1836" t="s">
        <v>1832</v>
      </c>
      <c r="E1836" t="s">
        <v>41</v>
      </c>
      <c r="J1836" t="s">
        <v>90</v>
      </c>
      <c r="K1836" t="s">
        <v>91</v>
      </c>
      <c r="L1836">
        <v>5</v>
      </c>
      <c r="M1836" t="s">
        <v>8732</v>
      </c>
      <c r="N1836" t="s">
        <v>47</v>
      </c>
      <c r="O1836" t="s">
        <v>1835</v>
      </c>
      <c r="P1836" t="s">
        <v>1835</v>
      </c>
      <c r="Y1836" t="s">
        <v>8733</v>
      </c>
    </row>
    <row r="1837" spans="1:25">
      <c r="A1837" t="s">
        <v>8734</v>
      </c>
      <c r="B1837" t="s">
        <v>8735</v>
      </c>
      <c r="D1837" t="s">
        <v>1832</v>
      </c>
      <c r="E1837" t="s">
        <v>41</v>
      </c>
      <c r="J1837" t="s">
        <v>90</v>
      </c>
      <c r="K1837" t="s">
        <v>91</v>
      </c>
      <c r="L1837">
        <v>5</v>
      </c>
      <c r="M1837" t="s">
        <v>8736</v>
      </c>
      <c r="N1837" t="s">
        <v>47</v>
      </c>
      <c r="O1837" t="s">
        <v>1835</v>
      </c>
      <c r="P1837" t="s">
        <v>1835</v>
      </c>
      <c r="Y1837" t="s">
        <v>8737</v>
      </c>
    </row>
    <row r="1838" spans="1:25">
      <c r="A1838" t="s">
        <v>8738</v>
      </c>
      <c r="B1838" t="s">
        <v>8739</v>
      </c>
      <c r="D1838" t="s">
        <v>1832</v>
      </c>
      <c r="E1838" t="s">
        <v>41</v>
      </c>
      <c r="J1838" t="s">
        <v>44</v>
      </c>
      <c r="K1838" t="s">
        <v>45</v>
      </c>
      <c r="L1838">
        <v>5</v>
      </c>
      <c r="M1838" t="s">
        <v>8736</v>
      </c>
      <c r="N1838" t="s">
        <v>47</v>
      </c>
      <c r="O1838" t="s">
        <v>1835</v>
      </c>
      <c r="P1838" t="s">
        <v>1835</v>
      </c>
      <c r="Y1838" t="s">
        <v>8740</v>
      </c>
    </row>
    <row r="1839" spans="1:25">
      <c r="A1839" t="s">
        <v>8741</v>
      </c>
      <c r="B1839" t="s">
        <v>8742</v>
      </c>
      <c r="D1839" t="s">
        <v>1832</v>
      </c>
      <c r="E1839" t="s">
        <v>41</v>
      </c>
      <c r="J1839" t="s">
        <v>90</v>
      </c>
      <c r="K1839" t="s">
        <v>91</v>
      </c>
      <c r="L1839">
        <v>5</v>
      </c>
      <c r="M1839" t="s">
        <v>8743</v>
      </c>
      <c r="N1839" t="s">
        <v>47</v>
      </c>
      <c r="O1839" t="s">
        <v>1835</v>
      </c>
      <c r="P1839" t="s">
        <v>1835</v>
      </c>
      <c r="Y1839" t="s">
        <v>8744</v>
      </c>
    </row>
    <row r="1840" spans="1:25">
      <c r="A1840" t="s">
        <v>8745</v>
      </c>
      <c r="B1840" t="s">
        <v>8746</v>
      </c>
      <c r="D1840" t="s">
        <v>1832</v>
      </c>
      <c r="E1840" t="s">
        <v>41</v>
      </c>
      <c r="H1840" t="s">
        <v>8747</v>
      </c>
      <c r="J1840" t="s">
        <v>90</v>
      </c>
      <c r="K1840" t="s">
        <v>91</v>
      </c>
      <c r="L1840">
        <v>5</v>
      </c>
      <c r="M1840" t="s">
        <v>8748</v>
      </c>
      <c r="N1840" t="s">
        <v>47</v>
      </c>
      <c r="O1840" t="s">
        <v>1835</v>
      </c>
      <c r="P1840" t="s">
        <v>1835</v>
      </c>
      <c r="Y1840" t="s">
        <v>8747</v>
      </c>
    </row>
    <row r="1841" spans="1:25">
      <c r="A1841" t="s">
        <v>8749</v>
      </c>
      <c r="B1841" t="s">
        <v>8750</v>
      </c>
      <c r="D1841" t="s">
        <v>1832</v>
      </c>
      <c r="E1841" t="s">
        <v>41</v>
      </c>
      <c r="J1841" t="s">
        <v>78</v>
      </c>
      <c r="K1841" t="s">
        <v>79</v>
      </c>
      <c r="L1841">
        <v>5</v>
      </c>
      <c r="M1841" t="s">
        <v>8751</v>
      </c>
      <c r="N1841" t="s">
        <v>47</v>
      </c>
      <c r="O1841" t="s">
        <v>1835</v>
      </c>
      <c r="P1841" t="s">
        <v>1835</v>
      </c>
      <c r="Y1841" t="s">
        <v>8752</v>
      </c>
    </row>
    <row r="1842" spans="1:25">
      <c r="A1842" t="s">
        <v>8753</v>
      </c>
      <c r="B1842" t="s">
        <v>8754</v>
      </c>
      <c r="D1842" t="s">
        <v>1832</v>
      </c>
      <c r="E1842" t="s">
        <v>41</v>
      </c>
      <c r="J1842" t="s">
        <v>90</v>
      </c>
      <c r="K1842" t="s">
        <v>91</v>
      </c>
      <c r="L1842">
        <v>5</v>
      </c>
      <c r="M1842" t="s">
        <v>8755</v>
      </c>
      <c r="N1842" t="s">
        <v>47</v>
      </c>
      <c r="O1842" t="s">
        <v>1835</v>
      </c>
      <c r="P1842" t="s">
        <v>1835</v>
      </c>
      <c r="Y1842" t="s">
        <v>8756</v>
      </c>
    </row>
    <row r="1843" spans="1:25">
      <c r="A1843" t="s">
        <v>8757</v>
      </c>
      <c r="B1843" t="s">
        <v>8758</v>
      </c>
      <c r="D1843" t="s">
        <v>1832</v>
      </c>
      <c r="E1843" t="s">
        <v>41</v>
      </c>
      <c r="J1843" t="s">
        <v>371</v>
      </c>
      <c r="K1843" t="s">
        <v>372</v>
      </c>
      <c r="L1843">
        <v>5</v>
      </c>
      <c r="M1843" t="s">
        <v>8755</v>
      </c>
      <c r="N1843" t="s">
        <v>47</v>
      </c>
      <c r="O1843" t="s">
        <v>1835</v>
      </c>
      <c r="P1843" t="s">
        <v>1835</v>
      </c>
      <c r="Y1843" t="s">
        <v>8759</v>
      </c>
    </row>
    <row r="1844" spans="1:25">
      <c r="A1844" t="s">
        <v>8760</v>
      </c>
      <c r="B1844" t="s">
        <v>8761</v>
      </c>
      <c r="D1844" t="s">
        <v>1832</v>
      </c>
      <c r="E1844" t="s">
        <v>41</v>
      </c>
      <c r="J1844" t="s">
        <v>90</v>
      </c>
      <c r="K1844" t="s">
        <v>91</v>
      </c>
      <c r="L1844">
        <v>5</v>
      </c>
      <c r="M1844" t="s">
        <v>8762</v>
      </c>
      <c r="N1844" t="s">
        <v>47</v>
      </c>
      <c r="O1844" t="s">
        <v>1835</v>
      </c>
      <c r="P1844" t="s">
        <v>1835</v>
      </c>
      <c r="Y1844" t="s">
        <v>8763</v>
      </c>
    </row>
    <row r="1845" spans="1:25">
      <c r="A1845" t="s">
        <v>8764</v>
      </c>
      <c r="B1845" t="s">
        <v>8765</v>
      </c>
      <c r="D1845" t="s">
        <v>1832</v>
      </c>
      <c r="E1845" t="s">
        <v>41</v>
      </c>
      <c r="J1845" t="s">
        <v>54</v>
      </c>
      <c r="K1845" t="s">
        <v>55</v>
      </c>
      <c r="L1845">
        <v>5</v>
      </c>
      <c r="M1845" t="s">
        <v>8762</v>
      </c>
      <c r="N1845" t="s">
        <v>47</v>
      </c>
      <c r="O1845" t="s">
        <v>1835</v>
      </c>
      <c r="P1845" t="s">
        <v>1835</v>
      </c>
      <c r="Y1845" t="s">
        <v>8766</v>
      </c>
    </row>
    <row r="1846" spans="1:25">
      <c r="A1846" t="s">
        <v>8767</v>
      </c>
      <c r="B1846" t="s">
        <v>8768</v>
      </c>
      <c r="D1846" t="s">
        <v>1832</v>
      </c>
      <c r="E1846" t="s">
        <v>41</v>
      </c>
      <c r="J1846" t="s">
        <v>44</v>
      </c>
      <c r="K1846" t="s">
        <v>45</v>
      </c>
      <c r="L1846">
        <v>5</v>
      </c>
      <c r="M1846" t="s">
        <v>8769</v>
      </c>
      <c r="N1846" t="s">
        <v>47</v>
      </c>
      <c r="O1846" t="s">
        <v>1835</v>
      </c>
      <c r="P1846" t="s">
        <v>1835</v>
      </c>
      <c r="Y1846" t="s">
        <v>8770</v>
      </c>
    </row>
    <row r="1847" spans="1:25">
      <c r="A1847" t="s">
        <v>8771</v>
      </c>
      <c r="B1847" t="s">
        <v>8772</v>
      </c>
      <c r="D1847" t="s">
        <v>1832</v>
      </c>
      <c r="E1847" t="s">
        <v>41</v>
      </c>
      <c r="J1847" t="s">
        <v>133</v>
      </c>
      <c r="K1847" t="s">
        <v>134</v>
      </c>
      <c r="L1847">
        <v>5</v>
      </c>
      <c r="M1847" t="s">
        <v>8773</v>
      </c>
      <c r="N1847" t="s">
        <v>290</v>
      </c>
      <c r="O1847" t="s">
        <v>1835</v>
      </c>
      <c r="P1847" t="s">
        <v>1835</v>
      </c>
      <c r="Y1847" t="s">
        <v>8774</v>
      </c>
    </row>
    <row r="1848" spans="1:25">
      <c r="A1848" t="s">
        <v>8775</v>
      </c>
      <c r="B1848" t="s">
        <v>8776</v>
      </c>
      <c r="D1848" t="s">
        <v>1832</v>
      </c>
      <c r="E1848" t="s">
        <v>41</v>
      </c>
      <c r="H1848" t="s">
        <v>8777</v>
      </c>
      <c r="J1848" t="s">
        <v>44</v>
      </c>
      <c r="K1848" t="s">
        <v>45</v>
      </c>
      <c r="L1848">
        <v>5</v>
      </c>
      <c r="M1848" t="s">
        <v>8778</v>
      </c>
      <c r="N1848" t="s">
        <v>47</v>
      </c>
      <c r="O1848" t="s">
        <v>1835</v>
      </c>
      <c r="P1848" t="s">
        <v>1835</v>
      </c>
      <c r="Y1848" t="s">
        <v>8777</v>
      </c>
    </row>
    <row r="1849" spans="1:25">
      <c r="A1849" t="s">
        <v>8779</v>
      </c>
      <c r="B1849" t="s">
        <v>8780</v>
      </c>
      <c r="D1849" t="s">
        <v>1832</v>
      </c>
      <c r="E1849" t="s">
        <v>41</v>
      </c>
      <c r="J1849" t="s">
        <v>78</v>
      </c>
      <c r="K1849" t="s">
        <v>79</v>
      </c>
      <c r="L1849">
        <v>5</v>
      </c>
      <c r="M1849" t="s">
        <v>8778</v>
      </c>
      <c r="N1849" t="s">
        <v>47</v>
      </c>
      <c r="O1849" t="s">
        <v>1835</v>
      </c>
      <c r="P1849" t="s">
        <v>1835</v>
      </c>
      <c r="Y1849" t="s">
        <v>8781</v>
      </c>
    </row>
    <row r="1850" spans="1:25">
      <c r="A1850" t="s">
        <v>8782</v>
      </c>
      <c r="B1850" t="s">
        <v>8783</v>
      </c>
      <c r="D1850" t="s">
        <v>1832</v>
      </c>
      <c r="E1850" t="s">
        <v>41</v>
      </c>
      <c r="J1850" t="s">
        <v>90</v>
      </c>
      <c r="K1850" t="s">
        <v>91</v>
      </c>
      <c r="L1850">
        <v>5</v>
      </c>
      <c r="M1850" t="s">
        <v>8784</v>
      </c>
      <c r="N1850" t="s">
        <v>47</v>
      </c>
      <c r="O1850" t="s">
        <v>1835</v>
      </c>
      <c r="P1850" t="s">
        <v>1835</v>
      </c>
      <c r="Y1850" t="s">
        <v>8785</v>
      </c>
    </row>
    <row r="1851" spans="1:25">
      <c r="A1851" t="s">
        <v>8786</v>
      </c>
      <c r="B1851" t="s">
        <v>8787</v>
      </c>
      <c r="D1851" t="s">
        <v>1832</v>
      </c>
      <c r="E1851" t="s">
        <v>41</v>
      </c>
      <c r="J1851" t="s">
        <v>90</v>
      </c>
      <c r="K1851" t="s">
        <v>91</v>
      </c>
      <c r="L1851">
        <v>5</v>
      </c>
      <c r="M1851" t="s">
        <v>8788</v>
      </c>
      <c r="N1851" t="s">
        <v>47</v>
      </c>
      <c r="O1851" t="s">
        <v>1835</v>
      </c>
      <c r="P1851" t="s">
        <v>1835</v>
      </c>
      <c r="Y1851" t="s">
        <v>8789</v>
      </c>
    </row>
    <row r="1852" spans="1:25">
      <c r="A1852" t="s">
        <v>8790</v>
      </c>
      <c r="B1852" t="s">
        <v>8791</v>
      </c>
      <c r="D1852" t="s">
        <v>1832</v>
      </c>
      <c r="E1852" t="s">
        <v>41</v>
      </c>
      <c r="H1852" t="s">
        <v>8792</v>
      </c>
      <c r="J1852" t="s">
        <v>90</v>
      </c>
      <c r="K1852" t="s">
        <v>91</v>
      </c>
      <c r="L1852">
        <v>5</v>
      </c>
      <c r="M1852" t="s">
        <v>8788</v>
      </c>
      <c r="N1852" t="s">
        <v>47</v>
      </c>
      <c r="O1852" t="s">
        <v>1835</v>
      </c>
      <c r="P1852" t="s">
        <v>1835</v>
      </c>
      <c r="Y1852" t="s">
        <v>8792</v>
      </c>
    </row>
    <row r="1853" spans="1:25">
      <c r="A1853" t="s">
        <v>8793</v>
      </c>
      <c r="B1853" t="s">
        <v>8794</v>
      </c>
      <c r="D1853" t="s">
        <v>1832</v>
      </c>
      <c r="E1853" t="s">
        <v>41</v>
      </c>
      <c r="J1853" t="s">
        <v>54</v>
      </c>
      <c r="K1853" t="s">
        <v>55</v>
      </c>
      <c r="L1853">
        <v>5</v>
      </c>
      <c r="M1853" t="s">
        <v>8788</v>
      </c>
      <c r="N1853" t="s">
        <v>47</v>
      </c>
      <c r="O1853" t="s">
        <v>1835</v>
      </c>
      <c r="P1853" t="s">
        <v>1835</v>
      </c>
      <c r="Y1853" t="s">
        <v>8795</v>
      </c>
    </row>
    <row r="1854" spans="1:25">
      <c r="A1854" t="s">
        <v>8796</v>
      </c>
      <c r="B1854" t="s">
        <v>8797</v>
      </c>
      <c r="D1854" t="s">
        <v>1832</v>
      </c>
      <c r="E1854" t="s">
        <v>41</v>
      </c>
      <c r="J1854" t="s">
        <v>78</v>
      </c>
      <c r="K1854" t="s">
        <v>79</v>
      </c>
      <c r="L1854">
        <v>5</v>
      </c>
      <c r="M1854" t="s">
        <v>8798</v>
      </c>
      <c r="N1854" t="s">
        <v>47</v>
      </c>
      <c r="O1854" t="s">
        <v>1835</v>
      </c>
      <c r="P1854" t="s">
        <v>1835</v>
      </c>
      <c r="Y1854" t="s">
        <v>8799</v>
      </c>
    </row>
    <row r="1855" spans="1:25">
      <c r="A1855" t="s">
        <v>8800</v>
      </c>
      <c r="B1855" t="s">
        <v>8801</v>
      </c>
      <c r="D1855" t="s">
        <v>1832</v>
      </c>
      <c r="E1855" t="s">
        <v>41</v>
      </c>
      <c r="H1855" t="s">
        <v>8802</v>
      </c>
      <c r="J1855" t="s">
        <v>90</v>
      </c>
      <c r="K1855" t="s">
        <v>91</v>
      </c>
      <c r="L1855">
        <v>5</v>
      </c>
      <c r="M1855" t="s">
        <v>8803</v>
      </c>
      <c r="N1855" t="s">
        <v>47</v>
      </c>
      <c r="O1855" t="s">
        <v>1835</v>
      </c>
      <c r="P1855" t="s">
        <v>1835</v>
      </c>
      <c r="Y1855" t="s">
        <v>8802</v>
      </c>
    </row>
    <row r="1856" spans="1:25">
      <c r="A1856" t="s">
        <v>8804</v>
      </c>
      <c r="B1856" t="s">
        <v>8805</v>
      </c>
      <c r="D1856" t="s">
        <v>1832</v>
      </c>
      <c r="E1856" t="s">
        <v>41</v>
      </c>
      <c r="H1856" t="s">
        <v>8806</v>
      </c>
      <c r="J1856" t="s">
        <v>90</v>
      </c>
      <c r="K1856" t="s">
        <v>91</v>
      </c>
      <c r="L1856">
        <v>5</v>
      </c>
      <c r="M1856" t="s">
        <v>8807</v>
      </c>
      <c r="N1856" t="s">
        <v>47</v>
      </c>
      <c r="O1856" t="s">
        <v>1835</v>
      </c>
      <c r="P1856" t="s">
        <v>1835</v>
      </c>
      <c r="Y1856" t="s">
        <v>8806</v>
      </c>
    </row>
    <row r="1857" spans="1:25">
      <c r="A1857" t="s">
        <v>8808</v>
      </c>
      <c r="B1857" t="s">
        <v>8809</v>
      </c>
      <c r="D1857" t="s">
        <v>1832</v>
      </c>
      <c r="E1857" t="s">
        <v>41</v>
      </c>
      <c r="J1857" t="s">
        <v>2328</v>
      </c>
      <c r="K1857" t="s">
        <v>2329</v>
      </c>
      <c r="L1857">
        <v>5</v>
      </c>
      <c r="M1857" t="s">
        <v>8807</v>
      </c>
      <c r="N1857" t="s">
        <v>290</v>
      </c>
      <c r="O1857" t="s">
        <v>1835</v>
      </c>
      <c r="P1857" t="s">
        <v>1835</v>
      </c>
      <c r="Y1857" t="s">
        <v>8810</v>
      </c>
    </row>
    <row r="1858" spans="1:25">
      <c r="A1858" t="s">
        <v>8811</v>
      </c>
      <c r="B1858" t="s">
        <v>8812</v>
      </c>
      <c r="D1858" t="s">
        <v>1832</v>
      </c>
      <c r="E1858" t="s">
        <v>41</v>
      </c>
      <c r="J1858" t="s">
        <v>44</v>
      </c>
      <c r="K1858" t="s">
        <v>45</v>
      </c>
      <c r="L1858">
        <v>5</v>
      </c>
      <c r="M1858" t="s">
        <v>8807</v>
      </c>
      <c r="N1858" t="s">
        <v>47</v>
      </c>
      <c r="O1858" t="s">
        <v>1835</v>
      </c>
      <c r="P1858" t="s">
        <v>1835</v>
      </c>
      <c r="Y1858" t="s">
        <v>8813</v>
      </c>
    </row>
    <row r="1859" spans="1:25">
      <c r="A1859" t="s">
        <v>8814</v>
      </c>
      <c r="B1859" t="s">
        <v>8815</v>
      </c>
      <c r="D1859" t="s">
        <v>1832</v>
      </c>
      <c r="E1859" t="s">
        <v>41</v>
      </c>
      <c r="J1859" t="s">
        <v>44</v>
      </c>
      <c r="K1859" t="s">
        <v>45</v>
      </c>
      <c r="L1859">
        <v>5</v>
      </c>
      <c r="M1859" t="s">
        <v>8816</v>
      </c>
      <c r="N1859" t="s">
        <v>47</v>
      </c>
      <c r="O1859" t="s">
        <v>1835</v>
      </c>
      <c r="P1859" t="s">
        <v>1835</v>
      </c>
      <c r="Y1859" t="s">
        <v>8817</v>
      </c>
    </row>
    <row r="1860" spans="1:25">
      <c r="A1860" t="s">
        <v>8818</v>
      </c>
      <c r="B1860" t="s">
        <v>8819</v>
      </c>
      <c r="D1860" t="s">
        <v>1832</v>
      </c>
      <c r="E1860" t="s">
        <v>41</v>
      </c>
      <c r="J1860" t="s">
        <v>90</v>
      </c>
      <c r="K1860" t="s">
        <v>91</v>
      </c>
      <c r="L1860">
        <v>5</v>
      </c>
      <c r="M1860" t="s">
        <v>8820</v>
      </c>
      <c r="N1860" t="s">
        <v>47</v>
      </c>
      <c r="O1860" t="s">
        <v>1835</v>
      </c>
      <c r="P1860" t="s">
        <v>1835</v>
      </c>
      <c r="Y1860" t="s">
        <v>8821</v>
      </c>
    </row>
    <row r="1861" spans="1:25">
      <c r="A1861" t="s">
        <v>8822</v>
      </c>
      <c r="B1861" t="s">
        <v>8823</v>
      </c>
      <c r="D1861" t="s">
        <v>1832</v>
      </c>
      <c r="E1861" t="s">
        <v>41</v>
      </c>
      <c r="J1861" t="s">
        <v>90</v>
      </c>
      <c r="K1861" t="s">
        <v>91</v>
      </c>
      <c r="L1861">
        <v>5</v>
      </c>
      <c r="M1861" t="s">
        <v>8824</v>
      </c>
      <c r="N1861" t="s">
        <v>47</v>
      </c>
      <c r="O1861" t="s">
        <v>1835</v>
      </c>
      <c r="P1861" t="s">
        <v>1835</v>
      </c>
      <c r="Y1861" t="s">
        <v>8825</v>
      </c>
    </row>
    <row r="1862" spans="1:25">
      <c r="A1862" t="s">
        <v>8826</v>
      </c>
      <c r="B1862" t="s">
        <v>8827</v>
      </c>
      <c r="D1862" t="s">
        <v>1832</v>
      </c>
      <c r="E1862" t="s">
        <v>41</v>
      </c>
      <c r="H1862" t="s">
        <v>8828</v>
      </c>
      <c r="J1862" t="s">
        <v>927</v>
      </c>
      <c r="K1862" t="s">
        <v>928</v>
      </c>
      <c r="L1862">
        <v>5</v>
      </c>
      <c r="M1862" t="s">
        <v>8829</v>
      </c>
      <c r="N1862" t="s">
        <v>135</v>
      </c>
      <c r="O1862" t="s">
        <v>1835</v>
      </c>
      <c r="P1862" t="s">
        <v>1835</v>
      </c>
      <c r="Y1862" t="s">
        <v>8828</v>
      </c>
    </row>
    <row r="1863" spans="1:25">
      <c r="A1863" t="s">
        <v>8830</v>
      </c>
      <c r="B1863" t="s">
        <v>8831</v>
      </c>
      <c r="D1863" t="s">
        <v>1832</v>
      </c>
      <c r="E1863" t="s">
        <v>41</v>
      </c>
      <c r="J1863" t="s">
        <v>44</v>
      </c>
      <c r="K1863" t="s">
        <v>45</v>
      </c>
      <c r="L1863">
        <v>5</v>
      </c>
      <c r="M1863" t="s">
        <v>8832</v>
      </c>
      <c r="N1863" t="s">
        <v>47</v>
      </c>
      <c r="O1863" t="s">
        <v>1835</v>
      </c>
      <c r="P1863" t="s">
        <v>1835</v>
      </c>
      <c r="Y1863" t="s">
        <v>8833</v>
      </c>
    </row>
    <row r="1864" spans="1:25">
      <c r="A1864" t="s">
        <v>8834</v>
      </c>
      <c r="B1864" t="s">
        <v>8835</v>
      </c>
      <c r="D1864" t="s">
        <v>1832</v>
      </c>
      <c r="E1864" t="s">
        <v>41</v>
      </c>
      <c r="J1864" t="s">
        <v>44</v>
      </c>
      <c r="K1864" t="s">
        <v>45</v>
      </c>
      <c r="L1864">
        <v>5</v>
      </c>
      <c r="M1864" t="s">
        <v>8836</v>
      </c>
      <c r="N1864" t="s">
        <v>47</v>
      </c>
      <c r="O1864" t="s">
        <v>1835</v>
      </c>
      <c r="P1864" t="s">
        <v>1835</v>
      </c>
      <c r="Y1864" t="s">
        <v>8837</v>
      </c>
    </row>
    <row r="1865" spans="1:25">
      <c r="A1865" t="s">
        <v>8838</v>
      </c>
      <c r="B1865" t="s">
        <v>8839</v>
      </c>
      <c r="D1865" t="s">
        <v>1832</v>
      </c>
      <c r="E1865" t="s">
        <v>41</v>
      </c>
      <c r="J1865" t="s">
        <v>90</v>
      </c>
      <c r="K1865" t="s">
        <v>91</v>
      </c>
      <c r="L1865">
        <v>5</v>
      </c>
      <c r="M1865" t="s">
        <v>8840</v>
      </c>
      <c r="N1865" t="s">
        <v>47</v>
      </c>
      <c r="O1865" t="s">
        <v>1835</v>
      </c>
      <c r="P1865" t="s">
        <v>1835</v>
      </c>
      <c r="Y1865" t="s">
        <v>8841</v>
      </c>
    </row>
    <row r="1866" spans="1:25">
      <c r="A1866" t="s">
        <v>8842</v>
      </c>
      <c r="B1866" t="s">
        <v>8843</v>
      </c>
      <c r="D1866" t="s">
        <v>1832</v>
      </c>
      <c r="E1866" t="s">
        <v>41</v>
      </c>
      <c r="J1866" t="s">
        <v>54</v>
      </c>
      <c r="K1866" t="s">
        <v>55</v>
      </c>
      <c r="L1866">
        <v>5</v>
      </c>
      <c r="M1866" t="s">
        <v>8844</v>
      </c>
      <c r="N1866" t="s">
        <v>47</v>
      </c>
      <c r="O1866" t="s">
        <v>1835</v>
      </c>
      <c r="P1866" t="s">
        <v>1835</v>
      </c>
      <c r="Y1866" t="s">
        <v>8845</v>
      </c>
    </row>
    <row r="1867" spans="1:25">
      <c r="A1867" t="s">
        <v>8846</v>
      </c>
      <c r="B1867" t="s">
        <v>8847</v>
      </c>
      <c r="D1867" t="s">
        <v>1832</v>
      </c>
      <c r="E1867" t="s">
        <v>41</v>
      </c>
      <c r="J1867" t="s">
        <v>90</v>
      </c>
      <c r="K1867" t="s">
        <v>91</v>
      </c>
      <c r="L1867">
        <v>5</v>
      </c>
      <c r="M1867" t="s">
        <v>8844</v>
      </c>
      <c r="N1867" t="s">
        <v>47</v>
      </c>
      <c r="O1867" t="s">
        <v>1835</v>
      </c>
      <c r="P1867" t="s">
        <v>1835</v>
      </c>
      <c r="Y1867" t="s">
        <v>8848</v>
      </c>
    </row>
    <row r="1868" spans="1:25">
      <c r="A1868" t="s">
        <v>8849</v>
      </c>
      <c r="B1868" t="s">
        <v>8850</v>
      </c>
      <c r="D1868" t="s">
        <v>1832</v>
      </c>
      <c r="E1868" t="s">
        <v>41</v>
      </c>
      <c r="J1868" t="s">
        <v>90</v>
      </c>
      <c r="K1868" t="s">
        <v>91</v>
      </c>
      <c r="L1868">
        <v>5</v>
      </c>
      <c r="M1868" t="s">
        <v>8851</v>
      </c>
      <c r="N1868" t="s">
        <v>47</v>
      </c>
      <c r="O1868" t="s">
        <v>1835</v>
      </c>
      <c r="P1868" t="s">
        <v>1835</v>
      </c>
      <c r="Y1868" t="s">
        <v>8852</v>
      </c>
    </row>
    <row r="1869" spans="1:25">
      <c r="A1869" t="s">
        <v>8853</v>
      </c>
      <c r="B1869" t="s">
        <v>8854</v>
      </c>
      <c r="D1869" t="s">
        <v>1832</v>
      </c>
      <c r="E1869" t="s">
        <v>41</v>
      </c>
      <c r="J1869" t="s">
        <v>54</v>
      </c>
      <c r="K1869" t="s">
        <v>55</v>
      </c>
      <c r="L1869">
        <v>5</v>
      </c>
      <c r="M1869" t="s">
        <v>8855</v>
      </c>
      <c r="N1869" t="s">
        <v>47</v>
      </c>
      <c r="O1869" t="s">
        <v>1835</v>
      </c>
      <c r="P1869" t="s">
        <v>1835</v>
      </c>
      <c r="Y1869" t="s">
        <v>8856</v>
      </c>
    </row>
    <row r="1870" spans="1:25">
      <c r="A1870" t="s">
        <v>8857</v>
      </c>
      <c r="B1870" t="s">
        <v>8858</v>
      </c>
      <c r="D1870" t="s">
        <v>1832</v>
      </c>
      <c r="E1870" t="s">
        <v>41</v>
      </c>
      <c r="H1870" t="s">
        <v>8859</v>
      </c>
      <c r="J1870" t="s">
        <v>133</v>
      </c>
      <c r="K1870" t="s">
        <v>134</v>
      </c>
      <c r="L1870">
        <v>5</v>
      </c>
      <c r="M1870" t="s">
        <v>8855</v>
      </c>
      <c r="N1870" t="s">
        <v>135</v>
      </c>
      <c r="O1870" t="s">
        <v>1835</v>
      </c>
      <c r="P1870" t="s">
        <v>1835</v>
      </c>
      <c r="Y1870" t="s">
        <v>8859</v>
      </c>
    </row>
    <row r="1871" spans="1:25">
      <c r="A1871" t="s">
        <v>8860</v>
      </c>
      <c r="B1871" t="s">
        <v>8861</v>
      </c>
      <c r="D1871" t="s">
        <v>1832</v>
      </c>
      <c r="E1871" t="s">
        <v>41</v>
      </c>
      <c r="J1871" t="s">
        <v>90</v>
      </c>
      <c r="K1871" t="s">
        <v>91</v>
      </c>
      <c r="L1871">
        <v>5</v>
      </c>
      <c r="M1871" t="s">
        <v>8855</v>
      </c>
      <c r="N1871" t="s">
        <v>47</v>
      </c>
      <c r="O1871" t="s">
        <v>1835</v>
      </c>
      <c r="P1871" t="s">
        <v>1835</v>
      </c>
      <c r="Y1871" t="s">
        <v>8862</v>
      </c>
    </row>
    <row r="1872" spans="1:25">
      <c r="A1872" t="s">
        <v>8863</v>
      </c>
      <c r="B1872" t="s">
        <v>8864</v>
      </c>
      <c r="D1872" t="s">
        <v>1832</v>
      </c>
      <c r="E1872" t="s">
        <v>41</v>
      </c>
      <c r="J1872" t="s">
        <v>497</v>
      </c>
      <c r="K1872" t="s">
        <v>498</v>
      </c>
      <c r="L1872">
        <v>5</v>
      </c>
      <c r="M1872" t="s">
        <v>8855</v>
      </c>
      <c r="N1872" t="s">
        <v>290</v>
      </c>
      <c r="O1872" t="s">
        <v>1835</v>
      </c>
      <c r="P1872" t="s">
        <v>1835</v>
      </c>
      <c r="Y1872" t="s">
        <v>8865</v>
      </c>
    </row>
    <row r="1873" spans="1:25">
      <c r="A1873" t="s">
        <v>8866</v>
      </c>
      <c r="B1873" t="s">
        <v>8867</v>
      </c>
      <c r="D1873" t="s">
        <v>1832</v>
      </c>
      <c r="E1873" t="s">
        <v>41</v>
      </c>
      <c r="J1873" t="s">
        <v>54</v>
      </c>
      <c r="K1873" t="s">
        <v>55</v>
      </c>
      <c r="L1873">
        <v>5</v>
      </c>
      <c r="M1873" t="s">
        <v>8868</v>
      </c>
      <c r="N1873" t="s">
        <v>47</v>
      </c>
      <c r="O1873" t="s">
        <v>1835</v>
      </c>
      <c r="P1873" t="s">
        <v>1835</v>
      </c>
      <c r="Y1873" t="s">
        <v>8869</v>
      </c>
    </row>
    <row r="1874" spans="1:25">
      <c r="A1874" t="s">
        <v>8870</v>
      </c>
      <c r="B1874" t="s">
        <v>8871</v>
      </c>
      <c r="D1874" t="s">
        <v>1832</v>
      </c>
      <c r="E1874" t="s">
        <v>41</v>
      </c>
      <c r="J1874" t="s">
        <v>90</v>
      </c>
      <c r="K1874" t="s">
        <v>91</v>
      </c>
      <c r="L1874">
        <v>5</v>
      </c>
      <c r="M1874" t="s">
        <v>8868</v>
      </c>
      <c r="N1874" t="s">
        <v>47</v>
      </c>
      <c r="O1874" t="s">
        <v>1835</v>
      </c>
      <c r="P1874" t="s">
        <v>1835</v>
      </c>
      <c r="Y1874" t="s">
        <v>8872</v>
      </c>
    </row>
    <row r="1875" spans="1:25">
      <c r="A1875" t="s">
        <v>8873</v>
      </c>
      <c r="B1875" t="s">
        <v>8874</v>
      </c>
      <c r="D1875" t="s">
        <v>1832</v>
      </c>
      <c r="E1875" t="s">
        <v>41</v>
      </c>
      <c r="H1875" t="s">
        <v>8875</v>
      </c>
      <c r="J1875" t="s">
        <v>133</v>
      </c>
      <c r="K1875" t="s">
        <v>134</v>
      </c>
      <c r="L1875">
        <v>5</v>
      </c>
      <c r="M1875" t="s">
        <v>8876</v>
      </c>
      <c r="N1875" t="s">
        <v>290</v>
      </c>
      <c r="O1875" t="s">
        <v>1835</v>
      </c>
      <c r="P1875" t="s">
        <v>1835</v>
      </c>
      <c r="Y1875" t="s">
        <v>8875</v>
      </c>
    </row>
    <row r="1876" spans="1:25">
      <c r="A1876" t="s">
        <v>8877</v>
      </c>
      <c r="B1876" t="s">
        <v>8878</v>
      </c>
      <c r="D1876" t="s">
        <v>1832</v>
      </c>
      <c r="E1876" t="s">
        <v>41</v>
      </c>
      <c r="J1876" t="s">
        <v>54</v>
      </c>
      <c r="K1876" t="s">
        <v>55</v>
      </c>
      <c r="L1876">
        <v>5</v>
      </c>
      <c r="M1876" t="s">
        <v>8879</v>
      </c>
      <c r="N1876" t="s">
        <v>47</v>
      </c>
      <c r="O1876" t="s">
        <v>1835</v>
      </c>
      <c r="P1876" t="s">
        <v>1835</v>
      </c>
      <c r="Y1876" t="s">
        <v>8880</v>
      </c>
    </row>
    <row r="1877" spans="1:25">
      <c r="A1877" t="s">
        <v>8881</v>
      </c>
      <c r="B1877" t="s">
        <v>8882</v>
      </c>
      <c r="D1877" t="s">
        <v>1832</v>
      </c>
      <c r="E1877" t="s">
        <v>41</v>
      </c>
      <c r="J1877" t="s">
        <v>44</v>
      </c>
      <c r="K1877" t="s">
        <v>45</v>
      </c>
      <c r="L1877">
        <v>5</v>
      </c>
      <c r="M1877" t="s">
        <v>8883</v>
      </c>
      <c r="N1877" t="s">
        <v>47</v>
      </c>
      <c r="O1877" t="s">
        <v>1835</v>
      </c>
      <c r="P1877" t="s">
        <v>1835</v>
      </c>
      <c r="Y1877" t="s">
        <v>8884</v>
      </c>
    </row>
    <row r="1878" spans="1:25">
      <c r="A1878" t="s">
        <v>8885</v>
      </c>
      <c r="B1878" t="s">
        <v>8886</v>
      </c>
      <c r="D1878" t="s">
        <v>1832</v>
      </c>
      <c r="E1878" t="s">
        <v>41</v>
      </c>
      <c r="H1878" t="s">
        <v>8887</v>
      </c>
      <c r="J1878" t="s">
        <v>353</v>
      </c>
      <c r="K1878" t="s">
        <v>354</v>
      </c>
      <c r="L1878">
        <v>5</v>
      </c>
      <c r="M1878" t="s">
        <v>8883</v>
      </c>
      <c r="N1878" t="s">
        <v>135</v>
      </c>
      <c r="O1878" t="s">
        <v>1835</v>
      </c>
      <c r="P1878" t="s">
        <v>1835</v>
      </c>
      <c r="Y1878" t="s">
        <v>8887</v>
      </c>
    </row>
    <row r="1879" spans="1:25">
      <c r="A1879" t="s">
        <v>8888</v>
      </c>
      <c r="B1879" t="s">
        <v>8889</v>
      </c>
      <c r="D1879" t="s">
        <v>1832</v>
      </c>
      <c r="E1879" t="s">
        <v>41</v>
      </c>
      <c r="J1879" t="s">
        <v>90</v>
      </c>
      <c r="K1879" t="s">
        <v>91</v>
      </c>
      <c r="L1879">
        <v>5</v>
      </c>
      <c r="M1879" t="s">
        <v>8883</v>
      </c>
      <c r="N1879" t="s">
        <v>47</v>
      </c>
      <c r="O1879" t="s">
        <v>1835</v>
      </c>
      <c r="P1879" t="s">
        <v>1835</v>
      </c>
      <c r="Y1879" t="s">
        <v>8890</v>
      </c>
    </row>
    <row r="1880" spans="1:25">
      <c r="A1880" t="s">
        <v>8891</v>
      </c>
      <c r="B1880" t="s">
        <v>8892</v>
      </c>
      <c r="D1880" t="s">
        <v>1832</v>
      </c>
      <c r="E1880" t="s">
        <v>41</v>
      </c>
      <c r="J1880" t="s">
        <v>54</v>
      </c>
      <c r="K1880" t="s">
        <v>55</v>
      </c>
      <c r="L1880">
        <v>5</v>
      </c>
      <c r="M1880" t="s">
        <v>8893</v>
      </c>
      <c r="N1880" t="s">
        <v>47</v>
      </c>
      <c r="O1880" t="s">
        <v>1835</v>
      </c>
      <c r="P1880" t="s">
        <v>1835</v>
      </c>
      <c r="Y1880" t="s">
        <v>8894</v>
      </c>
    </row>
    <row r="1881" spans="1:25">
      <c r="A1881" t="s">
        <v>8895</v>
      </c>
      <c r="B1881" t="s">
        <v>8896</v>
      </c>
      <c r="D1881" t="s">
        <v>1832</v>
      </c>
      <c r="E1881" t="s">
        <v>41</v>
      </c>
      <c r="J1881" t="s">
        <v>90</v>
      </c>
      <c r="K1881" t="s">
        <v>91</v>
      </c>
      <c r="L1881">
        <v>5</v>
      </c>
      <c r="M1881" t="s">
        <v>8893</v>
      </c>
      <c r="N1881" t="s">
        <v>47</v>
      </c>
      <c r="O1881" t="s">
        <v>1835</v>
      </c>
      <c r="P1881" t="s">
        <v>1835</v>
      </c>
      <c r="Y1881" t="s">
        <v>8897</v>
      </c>
    </row>
    <row r="1882" spans="1:25">
      <c r="A1882" t="s">
        <v>8898</v>
      </c>
      <c r="B1882" t="s">
        <v>8899</v>
      </c>
      <c r="D1882" t="s">
        <v>1832</v>
      </c>
      <c r="E1882" t="s">
        <v>41</v>
      </c>
      <c r="J1882" t="s">
        <v>90</v>
      </c>
      <c r="K1882" t="s">
        <v>91</v>
      </c>
      <c r="L1882">
        <v>5</v>
      </c>
      <c r="M1882" t="s">
        <v>8893</v>
      </c>
      <c r="N1882" t="s">
        <v>47</v>
      </c>
      <c r="O1882" t="s">
        <v>1835</v>
      </c>
      <c r="P1882" t="s">
        <v>1835</v>
      </c>
      <c r="Y1882" t="s">
        <v>8900</v>
      </c>
    </row>
    <row r="1883" spans="1:25">
      <c r="A1883" t="s">
        <v>8901</v>
      </c>
      <c r="B1883" t="s">
        <v>8902</v>
      </c>
      <c r="D1883" t="s">
        <v>1832</v>
      </c>
      <c r="E1883" t="s">
        <v>41</v>
      </c>
      <c r="J1883" t="s">
        <v>90</v>
      </c>
      <c r="K1883" t="s">
        <v>91</v>
      </c>
      <c r="L1883">
        <v>5</v>
      </c>
      <c r="M1883" t="s">
        <v>8893</v>
      </c>
      <c r="N1883" t="s">
        <v>47</v>
      </c>
      <c r="O1883" t="s">
        <v>1835</v>
      </c>
      <c r="P1883" t="s">
        <v>1835</v>
      </c>
      <c r="Y1883" t="s">
        <v>8903</v>
      </c>
    </row>
    <row r="1884" spans="1:25">
      <c r="A1884" t="s">
        <v>8904</v>
      </c>
      <c r="B1884" t="s">
        <v>8905</v>
      </c>
      <c r="D1884" t="s">
        <v>1832</v>
      </c>
      <c r="E1884" t="s">
        <v>41</v>
      </c>
      <c r="J1884" t="s">
        <v>133</v>
      </c>
      <c r="K1884" t="s">
        <v>134</v>
      </c>
      <c r="L1884">
        <v>5</v>
      </c>
      <c r="M1884" t="s">
        <v>8906</v>
      </c>
      <c r="N1884" t="s">
        <v>135</v>
      </c>
      <c r="O1884" t="s">
        <v>1835</v>
      </c>
      <c r="P1884" t="s">
        <v>1835</v>
      </c>
      <c r="Y1884" t="s">
        <v>8907</v>
      </c>
    </row>
    <row r="1885" spans="1:25">
      <c r="A1885" t="s">
        <v>8908</v>
      </c>
      <c r="B1885" t="s">
        <v>8909</v>
      </c>
      <c r="D1885" t="s">
        <v>1832</v>
      </c>
      <c r="E1885" t="s">
        <v>41</v>
      </c>
      <c r="J1885" t="s">
        <v>90</v>
      </c>
      <c r="K1885" t="s">
        <v>91</v>
      </c>
      <c r="L1885">
        <v>5</v>
      </c>
      <c r="M1885" t="s">
        <v>8910</v>
      </c>
      <c r="N1885" t="s">
        <v>47</v>
      </c>
      <c r="O1885" t="s">
        <v>1835</v>
      </c>
      <c r="P1885" t="s">
        <v>1835</v>
      </c>
      <c r="Y1885" t="s">
        <v>8911</v>
      </c>
    </row>
    <row r="1886" spans="1:25">
      <c r="A1886" t="s">
        <v>8912</v>
      </c>
      <c r="B1886" t="s">
        <v>8913</v>
      </c>
      <c r="D1886" t="s">
        <v>1832</v>
      </c>
      <c r="E1886" t="s">
        <v>41</v>
      </c>
      <c r="J1886" t="s">
        <v>371</v>
      </c>
      <c r="K1886" t="s">
        <v>372</v>
      </c>
      <c r="L1886">
        <v>5</v>
      </c>
      <c r="M1886" t="s">
        <v>8914</v>
      </c>
      <c r="N1886" t="s">
        <v>47</v>
      </c>
      <c r="O1886" t="s">
        <v>1835</v>
      </c>
      <c r="P1886" t="s">
        <v>1835</v>
      </c>
      <c r="Y1886" t="s">
        <v>8915</v>
      </c>
    </row>
    <row r="1887" spans="1:25">
      <c r="A1887" t="s">
        <v>8916</v>
      </c>
      <c r="B1887" t="s">
        <v>8917</v>
      </c>
      <c r="D1887" t="s">
        <v>1832</v>
      </c>
      <c r="E1887" t="s">
        <v>41</v>
      </c>
      <c r="J1887" t="s">
        <v>54</v>
      </c>
      <c r="K1887" t="s">
        <v>55</v>
      </c>
      <c r="L1887">
        <v>5</v>
      </c>
      <c r="M1887" t="s">
        <v>8918</v>
      </c>
      <c r="N1887" t="s">
        <v>47</v>
      </c>
      <c r="O1887" t="s">
        <v>1835</v>
      </c>
      <c r="P1887" t="s">
        <v>1835</v>
      </c>
      <c r="Y1887" t="s">
        <v>8919</v>
      </c>
    </row>
    <row r="1888" spans="1:25">
      <c r="A1888" t="s">
        <v>8920</v>
      </c>
      <c r="B1888" t="s">
        <v>8921</v>
      </c>
      <c r="D1888" t="s">
        <v>1832</v>
      </c>
      <c r="E1888" t="s">
        <v>41</v>
      </c>
      <c r="H1888" t="s">
        <v>8922</v>
      </c>
      <c r="J1888" t="s">
        <v>54</v>
      </c>
      <c r="K1888" t="s">
        <v>55</v>
      </c>
      <c r="L1888">
        <v>5</v>
      </c>
      <c r="M1888" t="s">
        <v>8923</v>
      </c>
      <c r="N1888" t="s">
        <v>47</v>
      </c>
      <c r="O1888" t="s">
        <v>1835</v>
      </c>
      <c r="P1888" t="s">
        <v>1835</v>
      </c>
      <c r="Y1888" t="s">
        <v>8922</v>
      </c>
    </row>
    <row r="1889" spans="1:25">
      <c r="A1889" t="s">
        <v>8924</v>
      </c>
      <c r="B1889" t="s">
        <v>8925</v>
      </c>
      <c r="D1889" t="s">
        <v>1832</v>
      </c>
      <c r="E1889" t="s">
        <v>41</v>
      </c>
      <c r="J1889" t="s">
        <v>44</v>
      </c>
      <c r="K1889" t="s">
        <v>45</v>
      </c>
      <c r="L1889">
        <v>5</v>
      </c>
      <c r="M1889" t="s">
        <v>8926</v>
      </c>
      <c r="N1889" t="s">
        <v>47</v>
      </c>
      <c r="O1889" t="s">
        <v>1835</v>
      </c>
      <c r="P1889" t="s">
        <v>1835</v>
      </c>
      <c r="Y1889" t="s">
        <v>8927</v>
      </c>
    </row>
    <row r="1890" spans="1:25">
      <c r="A1890" t="s">
        <v>8928</v>
      </c>
      <c r="B1890" t="s">
        <v>8929</v>
      </c>
      <c r="D1890" t="s">
        <v>1832</v>
      </c>
      <c r="E1890" t="s">
        <v>41</v>
      </c>
      <c r="J1890" t="s">
        <v>90</v>
      </c>
      <c r="K1890" t="s">
        <v>91</v>
      </c>
      <c r="L1890">
        <v>5</v>
      </c>
      <c r="M1890" t="s">
        <v>8926</v>
      </c>
      <c r="N1890" t="s">
        <v>47</v>
      </c>
      <c r="O1890" t="s">
        <v>1835</v>
      </c>
      <c r="P1890" t="s">
        <v>1835</v>
      </c>
      <c r="Y1890" t="s">
        <v>8930</v>
      </c>
    </row>
    <row r="1891" spans="1:25">
      <c r="A1891" t="s">
        <v>8931</v>
      </c>
      <c r="B1891" t="s">
        <v>8932</v>
      </c>
      <c r="D1891" t="s">
        <v>1832</v>
      </c>
      <c r="E1891" t="s">
        <v>41</v>
      </c>
      <c r="J1891" t="s">
        <v>90</v>
      </c>
      <c r="K1891" t="s">
        <v>91</v>
      </c>
      <c r="L1891">
        <v>5</v>
      </c>
      <c r="M1891" t="s">
        <v>8933</v>
      </c>
      <c r="N1891" t="s">
        <v>47</v>
      </c>
      <c r="O1891" t="s">
        <v>1835</v>
      </c>
      <c r="P1891" t="s">
        <v>1835</v>
      </c>
      <c r="Y1891" t="s">
        <v>8934</v>
      </c>
    </row>
    <row r="1892" spans="1:25">
      <c r="A1892" t="s">
        <v>8935</v>
      </c>
      <c r="B1892" t="s">
        <v>8936</v>
      </c>
      <c r="D1892" t="s">
        <v>1832</v>
      </c>
      <c r="E1892" t="s">
        <v>41</v>
      </c>
      <c r="J1892" t="s">
        <v>353</v>
      </c>
      <c r="K1892" t="s">
        <v>354</v>
      </c>
      <c r="L1892">
        <v>5</v>
      </c>
      <c r="M1892" t="s">
        <v>8937</v>
      </c>
      <c r="N1892" t="s">
        <v>135</v>
      </c>
      <c r="O1892" t="s">
        <v>1835</v>
      </c>
      <c r="P1892" t="s">
        <v>1835</v>
      </c>
      <c r="Y1892" t="s">
        <v>8938</v>
      </c>
    </row>
    <row r="1893" spans="1:25">
      <c r="A1893" t="s">
        <v>8939</v>
      </c>
      <c r="B1893" t="s">
        <v>8940</v>
      </c>
      <c r="D1893" t="s">
        <v>1832</v>
      </c>
      <c r="E1893" t="s">
        <v>41</v>
      </c>
      <c r="J1893" t="s">
        <v>44</v>
      </c>
      <c r="K1893" t="s">
        <v>45</v>
      </c>
      <c r="L1893">
        <v>5</v>
      </c>
      <c r="M1893" t="s">
        <v>8937</v>
      </c>
      <c r="N1893" t="s">
        <v>47</v>
      </c>
      <c r="O1893" t="s">
        <v>1835</v>
      </c>
      <c r="P1893" t="s">
        <v>1835</v>
      </c>
      <c r="Y1893" t="s">
        <v>8941</v>
      </c>
    </row>
    <row r="1894" spans="1:25">
      <c r="A1894" t="s">
        <v>8942</v>
      </c>
      <c r="B1894" t="s">
        <v>8943</v>
      </c>
      <c r="D1894" t="s">
        <v>1832</v>
      </c>
      <c r="E1894" t="s">
        <v>41</v>
      </c>
      <c r="J1894" t="s">
        <v>44</v>
      </c>
      <c r="K1894" t="s">
        <v>45</v>
      </c>
      <c r="L1894">
        <v>5</v>
      </c>
      <c r="M1894" t="s">
        <v>8944</v>
      </c>
      <c r="N1894" t="s">
        <v>47</v>
      </c>
      <c r="O1894" t="s">
        <v>1835</v>
      </c>
      <c r="P1894" t="s">
        <v>1835</v>
      </c>
      <c r="Y1894" t="s">
        <v>8945</v>
      </c>
    </row>
    <row r="1895" spans="1:25">
      <c r="A1895" t="s">
        <v>8946</v>
      </c>
      <c r="B1895" t="s">
        <v>8947</v>
      </c>
      <c r="D1895" t="s">
        <v>1832</v>
      </c>
      <c r="E1895" t="s">
        <v>41</v>
      </c>
      <c r="J1895" t="s">
        <v>90</v>
      </c>
      <c r="K1895" t="s">
        <v>91</v>
      </c>
      <c r="L1895">
        <v>5</v>
      </c>
      <c r="M1895" t="s">
        <v>8948</v>
      </c>
      <c r="N1895" t="s">
        <v>47</v>
      </c>
      <c r="O1895" t="s">
        <v>1835</v>
      </c>
      <c r="P1895" t="s">
        <v>1835</v>
      </c>
      <c r="Y1895" t="s">
        <v>8949</v>
      </c>
    </row>
    <row r="1896" spans="1:25">
      <c r="A1896" t="s">
        <v>8950</v>
      </c>
      <c r="B1896" t="s">
        <v>8951</v>
      </c>
      <c r="D1896" t="s">
        <v>1832</v>
      </c>
      <c r="E1896" t="s">
        <v>41</v>
      </c>
      <c r="H1896" t="s">
        <v>8952</v>
      </c>
      <c r="J1896" t="s">
        <v>90</v>
      </c>
      <c r="K1896" t="s">
        <v>91</v>
      </c>
      <c r="L1896">
        <v>5</v>
      </c>
      <c r="M1896" t="s">
        <v>8953</v>
      </c>
      <c r="N1896" t="s">
        <v>47</v>
      </c>
      <c r="O1896" t="s">
        <v>1835</v>
      </c>
      <c r="P1896" t="s">
        <v>1835</v>
      </c>
      <c r="Y1896" t="s">
        <v>8952</v>
      </c>
    </row>
    <row r="1897" spans="1:25">
      <c r="A1897" t="s">
        <v>8954</v>
      </c>
      <c r="B1897" t="s">
        <v>8955</v>
      </c>
      <c r="D1897" t="s">
        <v>1832</v>
      </c>
      <c r="E1897" t="s">
        <v>41</v>
      </c>
      <c r="H1897" t="s">
        <v>8956</v>
      </c>
      <c r="J1897" t="s">
        <v>90</v>
      </c>
      <c r="K1897" t="s">
        <v>91</v>
      </c>
      <c r="L1897">
        <v>5</v>
      </c>
      <c r="M1897" t="s">
        <v>8957</v>
      </c>
      <c r="N1897" t="s">
        <v>47</v>
      </c>
      <c r="O1897" t="s">
        <v>1835</v>
      </c>
      <c r="P1897" t="s">
        <v>1835</v>
      </c>
      <c r="Y1897" t="s">
        <v>8956</v>
      </c>
    </row>
    <row r="1898" spans="1:25">
      <c r="A1898" t="s">
        <v>8958</v>
      </c>
      <c r="B1898" t="s">
        <v>8959</v>
      </c>
      <c r="D1898" t="s">
        <v>1832</v>
      </c>
      <c r="E1898" t="s">
        <v>41</v>
      </c>
      <c r="H1898" t="s">
        <v>8960</v>
      </c>
      <c r="J1898" t="s">
        <v>90</v>
      </c>
      <c r="K1898" t="s">
        <v>91</v>
      </c>
      <c r="L1898">
        <v>5</v>
      </c>
      <c r="M1898" t="s">
        <v>8961</v>
      </c>
      <c r="N1898" t="s">
        <v>47</v>
      </c>
      <c r="O1898" t="s">
        <v>1835</v>
      </c>
      <c r="P1898" t="s">
        <v>1835</v>
      </c>
      <c r="Y1898" t="s">
        <v>8960</v>
      </c>
    </row>
    <row r="1899" spans="1:25">
      <c r="A1899" t="s">
        <v>8962</v>
      </c>
      <c r="B1899" t="s">
        <v>8963</v>
      </c>
      <c r="D1899" t="s">
        <v>1832</v>
      </c>
      <c r="E1899" t="s">
        <v>41</v>
      </c>
      <c r="J1899" t="s">
        <v>54</v>
      </c>
      <c r="K1899" t="s">
        <v>55</v>
      </c>
      <c r="L1899">
        <v>5</v>
      </c>
      <c r="M1899" t="s">
        <v>8964</v>
      </c>
      <c r="N1899" t="s">
        <v>47</v>
      </c>
      <c r="O1899" t="s">
        <v>1835</v>
      </c>
      <c r="P1899" t="s">
        <v>1835</v>
      </c>
      <c r="Y1899" t="s">
        <v>8965</v>
      </c>
    </row>
    <row r="1900" spans="1:25">
      <c r="A1900" t="s">
        <v>8966</v>
      </c>
      <c r="B1900" t="s">
        <v>8967</v>
      </c>
      <c r="D1900" t="s">
        <v>1832</v>
      </c>
      <c r="E1900" t="s">
        <v>41</v>
      </c>
      <c r="J1900" t="s">
        <v>54</v>
      </c>
      <c r="K1900" t="s">
        <v>55</v>
      </c>
      <c r="L1900">
        <v>5</v>
      </c>
      <c r="M1900" t="s">
        <v>8964</v>
      </c>
      <c r="N1900" t="s">
        <v>47</v>
      </c>
      <c r="O1900" t="s">
        <v>1835</v>
      </c>
      <c r="P1900" t="s">
        <v>1835</v>
      </c>
      <c r="Y1900" t="s">
        <v>8968</v>
      </c>
    </row>
    <row r="1901" spans="1:25">
      <c r="A1901" t="s">
        <v>8969</v>
      </c>
      <c r="B1901" t="s">
        <v>8970</v>
      </c>
      <c r="D1901" t="s">
        <v>1832</v>
      </c>
      <c r="E1901" t="s">
        <v>41</v>
      </c>
      <c r="J1901" t="s">
        <v>90</v>
      </c>
      <c r="K1901" t="s">
        <v>91</v>
      </c>
      <c r="L1901">
        <v>5</v>
      </c>
      <c r="M1901" t="s">
        <v>8964</v>
      </c>
      <c r="N1901" t="s">
        <v>47</v>
      </c>
      <c r="O1901" t="s">
        <v>1835</v>
      </c>
      <c r="P1901" t="s">
        <v>1835</v>
      </c>
      <c r="Y1901" t="s">
        <v>8971</v>
      </c>
    </row>
    <row r="1902" spans="1:25">
      <c r="A1902" t="s">
        <v>8972</v>
      </c>
      <c r="B1902" t="s">
        <v>8973</v>
      </c>
      <c r="D1902" t="s">
        <v>1832</v>
      </c>
      <c r="E1902" t="s">
        <v>41</v>
      </c>
      <c r="J1902" t="s">
        <v>44</v>
      </c>
      <c r="K1902" t="s">
        <v>45</v>
      </c>
      <c r="L1902">
        <v>5</v>
      </c>
      <c r="M1902" t="s">
        <v>8964</v>
      </c>
      <c r="N1902" t="s">
        <v>47</v>
      </c>
      <c r="O1902" t="s">
        <v>1835</v>
      </c>
      <c r="P1902" t="s">
        <v>1835</v>
      </c>
      <c r="Y1902" t="s">
        <v>8974</v>
      </c>
    </row>
    <row r="1903" spans="1:25">
      <c r="A1903" t="s">
        <v>8975</v>
      </c>
      <c r="B1903" t="s">
        <v>8976</v>
      </c>
      <c r="D1903" t="s">
        <v>1832</v>
      </c>
      <c r="E1903" t="s">
        <v>41</v>
      </c>
      <c r="J1903" t="s">
        <v>90</v>
      </c>
      <c r="K1903" t="s">
        <v>91</v>
      </c>
      <c r="L1903">
        <v>5</v>
      </c>
      <c r="M1903" t="s">
        <v>8977</v>
      </c>
      <c r="N1903" t="s">
        <v>47</v>
      </c>
      <c r="O1903" t="s">
        <v>1835</v>
      </c>
      <c r="P1903" t="s">
        <v>1835</v>
      </c>
      <c r="Y1903" t="s">
        <v>8978</v>
      </c>
    </row>
    <row r="1904" spans="1:25">
      <c r="A1904" t="s">
        <v>8979</v>
      </c>
      <c r="B1904" t="s">
        <v>8980</v>
      </c>
      <c r="D1904" t="s">
        <v>1832</v>
      </c>
      <c r="E1904" t="s">
        <v>41</v>
      </c>
      <c r="J1904" t="s">
        <v>78</v>
      </c>
      <c r="K1904" t="s">
        <v>79</v>
      </c>
      <c r="L1904">
        <v>5</v>
      </c>
      <c r="M1904" t="s">
        <v>8981</v>
      </c>
      <c r="N1904" t="s">
        <v>47</v>
      </c>
      <c r="O1904" t="s">
        <v>1835</v>
      </c>
      <c r="P1904" t="s">
        <v>1835</v>
      </c>
      <c r="Y1904" t="s">
        <v>8982</v>
      </c>
    </row>
    <row r="1905" spans="1:25">
      <c r="A1905" t="s">
        <v>8983</v>
      </c>
      <c r="B1905" t="s">
        <v>8984</v>
      </c>
      <c r="D1905" t="s">
        <v>1832</v>
      </c>
      <c r="E1905" t="s">
        <v>41</v>
      </c>
      <c r="H1905" t="s">
        <v>8985</v>
      </c>
      <c r="J1905" t="s">
        <v>90</v>
      </c>
      <c r="K1905" t="s">
        <v>91</v>
      </c>
      <c r="L1905">
        <v>5</v>
      </c>
      <c r="M1905" t="s">
        <v>8986</v>
      </c>
      <c r="N1905" t="s">
        <v>47</v>
      </c>
      <c r="O1905" t="s">
        <v>1835</v>
      </c>
      <c r="P1905" t="s">
        <v>1835</v>
      </c>
      <c r="Y1905" t="s">
        <v>8985</v>
      </c>
    </row>
    <row r="1906" spans="1:25">
      <c r="A1906" t="s">
        <v>8987</v>
      </c>
      <c r="B1906" t="s">
        <v>8988</v>
      </c>
      <c r="D1906" t="s">
        <v>1832</v>
      </c>
      <c r="E1906" t="s">
        <v>41</v>
      </c>
      <c r="J1906" t="s">
        <v>90</v>
      </c>
      <c r="K1906" t="s">
        <v>91</v>
      </c>
      <c r="L1906">
        <v>5</v>
      </c>
      <c r="M1906" t="s">
        <v>8989</v>
      </c>
      <c r="N1906" t="s">
        <v>47</v>
      </c>
      <c r="O1906" t="s">
        <v>1835</v>
      </c>
      <c r="P1906" t="s">
        <v>1835</v>
      </c>
      <c r="Y1906" t="s">
        <v>8990</v>
      </c>
    </row>
    <row r="1907" spans="1:25">
      <c r="A1907" t="s">
        <v>8991</v>
      </c>
      <c r="B1907" t="s">
        <v>8992</v>
      </c>
      <c r="D1907" t="s">
        <v>1832</v>
      </c>
      <c r="E1907" t="s">
        <v>41</v>
      </c>
      <c r="J1907" t="s">
        <v>133</v>
      </c>
      <c r="K1907" t="s">
        <v>134</v>
      </c>
      <c r="L1907">
        <v>6</v>
      </c>
      <c r="M1907" t="s">
        <v>8993</v>
      </c>
      <c r="N1907" t="s">
        <v>135</v>
      </c>
      <c r="O1907" t="s">
        <v>1835</v>
      </c>
      <c r="P1907" t="s">
        <v>1835</v>
      </c>
      <c r="Y1907" t="s">
        <v>8994</v>
      </c>
    </row>
    <row r="1908" spans="1:25">
      <c r="A1908" t="s">
        <v>8995</v>
      </c>
      <c r="B1908" t="s">
        <v>8996</v>
      </c>
      <c r="D1908" t="s">
        <v>1832</v>
      </c>
      <c r="E1908" t="s">
        <v>41</v>
      </c>
      <c r="H1908" t="s">
        <v>8997</v>
      </c>
      <c r="J1908" t="s">
        <v>78</v>
      </c>
      <c r="K1908" t="s">
        <v>79</v>
      </c>
      <c r="L1908">
        <v>5</v>
      </c>
      <c r="M1908" t="s">
        <v>8998</v>
      </c>
      <c r="N1908" t="s">
        <v>47</v>
      </c>
      <c r="O1908" t="s">
        <v>1835</v>
      </c>
      <c r="P1908" t="s">
        <v>1835</v>
      </c>
      <c r="Y1908" t="s">
        <v>8997</v>
      </c>
    </row>
    <row r="1909" spans="1:25">
      <c r="A1909" t="s">
        <v>8999</v>
      </c>
      <c r="B1909" t="s">
        <v>9000</v>
      </c>
      <c r="D1909" t="s">
        <v>1832</v>
      </c>
      <c r="E1909" t="s">
        <v>41</v>
      </c>
      <c r="J1909" t="s">
        <v>44</v>
      </c>
      <c r="K1909" t="s">
        <v>45</v>
      </c>
      <c r="L1909">
        <v>5</v>
      </c>
      <c r="M1909" t="s">
        <v>8998</v>
      </c>
      <c r="N1909" t="s">
        <v>47</v>
      </c>
      <c r="O1909" t="s">
        <v>1835</v>
      </c>
      <c r="P1909" t="s">
        <v>1835</v>
      </c>
      <c r="Y1909" t="s">
        <v>9001</v>
      </c>
    </row>
    <row r="1910" spans="1:25">
      <c r="A1910" t="s">
        <v>9002</v>
      </c>
      <c r="B1910" t="s">
        <v>9003</v>
      </c>
      <c r="D1910" t="s">
        <v>1832</v>
      </c>
      <c r="E1910" t="s">
        <v>41</v>
      </c>
      <c r="H1910" t="s">
        <v>9004</v>
      </c>
      <c r="J1910" t="s">
        <v>90</v>
      </c>
      <c r="K1910" t="s">
        <v>91</v>
      </c>
      <c r="L1910">
        <v>5</v>
      </c>
      <c r="M1910" t="s">
        <v>8998</v>
      </c>
      <c r="N1910" t="s">
        <v>47</v>
      </c>
      <c r="O1910" t="s">
        <v>1835</v>
      </c>
      <c r="P1910" t="s">
        <v>1835</v>
      </c>
      <c r="Y1910" t="s">
        <v>9004</v>
      </c>
    </row>
    <row r="1911" spans="1:25">
      <c r="A1911" t="s">
        <v>9005</v>
      </c>
      <c r="B1911" t="s">
        <v>9006</v>
      </c>
      <c r="D1911" t="s">
        <v>1832</v>
      </c>
      <c r="E1911" t="s">
        <v>41</v>
      </c>
      <c r="J1911" t="s">
        <v>44</v>
      </c>
      <c r="K1911" t="s">
        <v>45</v>
      </c>
      <c r="L1911">
        <v>5</v>
      </c>
      <c r="M1911" t="s">
        <v>8998</v>
      </c>
      <c r="N1911" t="s">
        <v>47</v>
      </c>
      <c r="O1911" t="s">
        <v>1835</v>
      </c>
      <c r="P1911" t="s">
        <v>1835</v>
      </c>
      <c r="Y1911" t="s">
        <v>9007</v>
      </c>
    </row>
    <row r="1912" spans="1:25">
      <c r="A1912" t="s">
        <v>9008</v>
      </c>
      <c r="B1912" t="s">
        <v>9009</v>
      </c>
      <c r="D1912" t="s">
        <v>1832</v>
      </c>
      <c r="E1912" t="s">
        <v>41</v>
      </c>
      <c r="H1912" t="s">
        <v>9010</v>
      </c>
      <c r="J1912" t="s">
        <v>497</v>
      </c>
      <c r="K1912" t="s">
        <v>498</v>
      </c>
      <c r="L1912">
        <v>5</v>
      </c>
      <c r="M1912" t="s">
        <v>9011</v>
      </c>
      <c r="N1912" t="s">
        <v>290</v>
      </c>
      <c r="O1912" t="s">
        <v>1835</v>
      </c>
      <c r="P1912" t="s">
        <v>1835</v>
      </c>
      <c r="Y1912" t="s">
        <v>9010</v>
      </c>
    </row>
    <row r="1913" spans="1:25">
      <c r="A1913" t="s">
        <v>9012</v>
      </c>
      <c r="B1913" t="s">
        <v>9013</v>
      </c>
      <c r="D1913" t="s">
        <v>1832</v>
      </c>
      <c r="E1913" t="s">
        <v>41</v>
      </c>
      <c r="J1913" t="s">
        <v>90</v>
      </c>
      <c r="K1913" t="s">
        <v>91</v>
      </c>
      <c r="L1913">
        <v>5</v>
      </c>
      <c r="M1913" t="s">
        <v>9014</v>
      </c>
      <c r="N1913" t="s">
        <v>47</v>
      </c>
      <c r="O1913" t="s">
        <v>1835</v>
      </c>
      <c r="P1913" t="s">
        <v>1835</v>
      </c>
      <c r="Y1913" t="s">
        <v>9015</v>
      </c>
    </row>
    <row r="1914" spans="1:25">
      <c r="A1914" t="s">
        <v>9016</v>
      </c>
      <c r="B1914" t="s">
        <v>9017</v>
      </c>
      <c r="D1914" t="s">
        <v>1832</v>
      </c>
      <c r="E1914" t="s">
        <v>41</v>
      </c>
      <c r="J1914" t="s">
        <v>90</v>
      </c>
      <c r="K1914" t="s">
        <v>91</v>
      </c>
      <c r="L1914">
        <v>5</v>
      </c>
      <c r="M1914" t="s">
        <v>9018</v>
      </c>
      <c r="N1914" t="s">
        <v>47</v>
      </c>
      <c r="O1914" t="s">
        <v>1835</v>
      </c>
      <c r="P1914" t="s">
        <v>1835</v>
      </c>
      <c r="Y1914" t="s">
        <v>9019</v>
      </c>
    </row>
    <row r="1915" spans="1:25">
      <c r="A1915" t="s">
        <v>9020</v>
      </c>
      <c r="B1915" t="s">
        <v>9021</v>
      </c>
      <c r="D1915" t="s">
        <v>1832</v>
      </c>
      <c r="E1915" t="s">
        <v>41</v>
      </c>
      <c r="J1915" t="s">
        <v>54</v>
      </c>
      <c r="K1915" t="s">
        <v>55</v>
      </c>
      <c r="L1915">
        <v>5</v>
      </c>
      <c r="M1915" t="s">
        <v>9022</v>
      </c>
      <c r="N1915" t="s">
        <v>47</v>
      </c>
      <c r="O1915" t="s">
        <v>1835</v>
      </c>
      <c r="P1915" t="s">
        <v>1835</v>
      </c>
      <c r="Y1915" t="s">
        <v>9023</v>
      </c>
    </row>
    <row r="1916" spans="1:25">
      <c r="A1916" t="s">
        <v>9024</v>
      </c>
      <c r="B1916" t="s">
        <v>9025</v>
      </c>
      <c r="D1916" t="s">
        <v>1832</v>
      </c>
      <c r="E1916" t="s">
        <v>41</v>
      </c>
      <c r="J1916" t="s">
        <v>90</v>
      </c>
      <c r="K1916" t="s">
        <v>91</v>
      </c>
      <c r="L1916">
        <v>5</v>
      </c>
      <c r="M1916" t="s">
        <v>9026</v>
      </c>
      <c r="N1916" t="s">
        <v>47</v>
      </c>
      <c r="O1916" t="s">
        <v>1835</v>
      </c>
      <c r="P1916" t="s">
        <v>1835</v>
      </c>
      <c r="Y1916" t="s">
        <v>9027</v>
      </c>
    </row>
    <row r="1917" spans="1:25">
      <c r="A1917" t="s">
        <v>9028</v>
      </c>
      <c r="B1917" t="s">
        <v>9029</v>
      </c>
      <c r="D1917" t="s">
        <v>1832</v>
      </c>
      <c r="E1917" t="s">
        <v>41</v>
      </c>
      <c r="J1917" t="s">
        <v>90</v>
      </c>
      <c r="K1917" t="s">
        <v>91</v>
      </c>
      <c r="L1917">
        <v>5</v>
      </c>
      <c r="M1917" t="s">
        <v>9030</v>
      </c>
      <c r="N1917" t="s">
        <v>47</v>
      </c>
      <c r="O1917" t="s">
        <v>1835</v>
      </c>
      <c r="P1917" t="s">
        <v>1835</v>
      </c>
      <c r="Y1917" t="s">
        <v>9031</v>
      </c>
    </row>
    <row r="1918" spans="1:25">
      <c r="A1918" t="s">
        <v>9032</v>
      </c>
      <c r="B1918" t="s">
        <v>9033</v>
      </c>
      <c r="D1918" t="s">
        <v>1832</v>
      </c>
      <c r="E1918" t="s">
        <v>41</v>
      </c>
      <c r="J1918" t="s">
        <v>541</v>
      </c>
      <c r="K1918" t="s">
        <v>542</v>
      </c>
      <c r="L1918">
        <v>5</v>
      </c>
      <c r="M1918" t="s">
        <v>9034</v>
      </c>
      <c r="N1918" t="s">
        <v>290</v>
      </c>
      <c r="O1918" t="s">
        <v>1835</v>
      </c>
      <c r="P1918" t="s">
        <v>1835</v>
      </c>
      <c r="Y1918" t="s">
        <v>9035</v>
      </c>
    </row>
    <row r="1919" spans="1:25">
      <c r="A1919" t="s">
        <v>9036</v>
      </c>
      <c r="B1919" t="s">
        <v>9037</v>
      </c>
      <c r="D1919" t="s">
        <v>1832</v>
      </c>
      <c r="E1919" t="s">
        <v>41</v>
      </c>
      <c r="J1919" t="s">
        <v>44</v>
      </c>
      <c r="K1919" t="s">
        <v>45</v>
      </c>
      <c r="L1919">
        <v>5</v>
      </c>
      <c r="M1919" t="s">
        <v>9034</v>
      </c>
      <c r="N1919" t="s">
        <v>47</v>
      </c>
      <c r="O1919" t="s">
        <v>1835</v>
      </c>
      <c r="P1919" t="s">
        <v>1835</v>
      </c>
      <c r="Y1919" t="s">
        <v>9038</v>
      </c>
    </row>
    <row r="1920" spans="1:25">
      <c r="A1920" t="s">
        <v>9039</v>
      </c>
      <c r="B1920" t="s">
        <v>9040</v>
      </c>
      <c r="D1920" t="s">
        <v>1832</v>
      </c>
      <c r="E1920" t="s">
        <v>41</v>
      </c>
      <c r="J1920" t="s">
        <v>44</v>
      </c>
      <c r="K1920" t="s">
        <v>45</v>
      </c>
      <c r="L1920">
        <v>5</v>
      </c>
      <c r="M1920" t="s">
        <v>9034</v>
      </c>
      <c r="N1920" t="s">
        <v>47</v>
      </c>
      <c r="O1920" t="s">
        <v>1835</v>
      </c>
      <c r="P1920" t="s">
        <v>1835</v>
      </c>
      <c r="Y1920" t="s">
        <v>9041</v>
      </c>
    </row>
    <row r="1921" spans="1:25">
      <c r="A1921" t="s">
        <v>9042</v>
      </c>
      <c r="B1921" t="s">
        <v>9043</v>
      </c>
      <c r="D1921" t="s">
        <v>1832</v>
      </c>
      <c r="E1921" t="s">
        <v>41</v>
      </c>
      <c r="J1921" t="s">
        <v>44</v>
      </c>
      <c r="K1921" t="s">
        <v>45</v>
      </c>
      <c r="L1921">
        <v>5</v>
      </c>
      <c r="M1921" t="s">
        <v>9034</v>
      </c>
      <c r="N1921" t="s">
        <v>47</v>
      </c>
      <c r="O1921" t="s">
        <v>1835</v>
      </c>
      <c r="P1921" t="s">
        <v>1835</v>
      </c>
      <c r="Y1921" t="s">
        <v>9044</v>
      </c>
    </row>
    <row r="1922" spans="1:25">
      <c r="A1922" t="s">
        <v>9045</v>
      </c>
      <c r="B1922" t="s">
        <v>9046</v>
      </c>
      <c r="D1922" t="s">
        <v>1832</v>
      </c>
      <c r="E1922" t="s">
        <v>41</v>
      </c>
      <c r="H1922" t="s">
        <v>9047</v>
      </c>
      <c r="J1922" t="s">
        <v>54</v>
      </c>
      <c r="K1922" t="s">
        <v>55</v>
      </c>
      <c r="L1922">
        <v>5</v>
      </c>
      <c r="M1922" t="s">
        <v>9048</v>
      </c>
      <c r="N1922" t="s">
        <v>47</v>
      </c>
      <c r="O1922" t="s">
        <v>1835</v>
      </c>
      <c r="P1922" t="s">
        <v>1835</v>
      </c>
      <c r="Y1922" t="s">
        <v>9047</v>
      </c>
    </row>
    <row r="1923" spans="1:25">
      <c r="A1923" t="s">
        <v>9049</v>
      </c>
      <c r="B1923" t="s">
        <v>9050</v>
      </c>
      <c r="D1923" t="s">
        <v>1832</v>
      </c>
      <c r="E1923" t="s">
        <v>41</v>
      </c>
      <c r="H1923" t="s">
        <v>9051</v>
      </c>
      <c r="J1923" t="s">
        <v>44</v>
      </c>
      <c r="K1923" t="s">
        <v>45</v>
      </c>
      <c r="L1923">
        <v>5</v>
      </c>
      <c r="M1923" t="s">
        <v>9052</v>
      </c>
      <c r="N1923" t="s">
        <v>47</v>
      </c>
      <c r="O1923" t="s">
        <v>1835</v>
      </c>
      <c r="P1923" t="s">
        <v>1835</v>
      </c>
      <c r="Y1923" t="s">
        <v>9051</v>
      </c>
    </row>
    <row r="1924" spans="1:25">
      <c r="A1924" t="s">
        <v>9053</v>
      </c>
      <c r="B1924" t="s">
        <v>9054</v>
      </c>
      <c r="D1924" t="s">
        <v>1832</v>
      </c>
      <c r="E1924" t="s">
        <v>41</v>
      </c>
      <c r="J1924" t="s">
        <v>90</v>
      </c>
      <c r="K1924" t="s">
        <v>91</v>
      </c>
      <c r="L1924">
        <v>5</v>
      </c>
      <c r="M1924" t="s">
        <v>9055</v>
      </c>
      <c r="N1924" t="s">
        <v>47</v>
      </c>
      <c r="O1924" t="s">
        <v>1835</v>
      </c>
      <c r="P1924" t="s">
        <v>1835</v>
      </c>
      <c r="Y1924" t="s">
        <v>9056</v>
      </c>
    </row>
    <row r="1925" spans="1:25">
      <c r="A1925" t="s">
        <v>9057</v>
      </c>
      <c r="B1925" t="s">
        <v>9058</v>
      </c>
      <c r="D1925" t="s">
        <v>1832</v>
      </c>
      <c r="E1925" t="s">
        <v>41</v>
      </c>
      <c r="J1925" t="s">
        <v>90</v>
      </c>
      <c r="K1925" t="s">
        <v>91</v>
      </c>
      <c r="L1925">
        <v>5</v>
      </c>
      <c r="M1925" t="s">
        <v>9059</v>
      </c>
      <c r="N1925" t="s">
        <v>47</v>
      </c>
      <c r="O1925" t="s">
        <v>1835</v>
      </c>
      <c r="P1925" t="s">
        <v>1835</v>
      </c>
      <c r="Y1925" t="s">
        <v>9060</v>
      </c>
    </row>
    <row r="1926" spans="1:25">
      <c r="A1926" t="s">
        <v>9061</v>
      </c>
      <c r="B1926" t="s">
        <v>9062</v>
      </c>
      <c r="D1926" t="s">
        <v>1832</v>
      </c>
      <c r="E1926" t="s">
        <v>41</v>
      </c>
      <c r="J1926" t="s">
        <v>54</v>
      </c>
      <c r="K1926" t="s">
        <v>55</v>
      </c>
      <c r="L1926">
        <v>5</v>
      </c>
      <c r="M1926" t="s">
        <v>9059</v>
      </c>
      <c r="N1926" t="s">
        <v>47</v>
      </c>
      <c r="O1926" t="s">
        <v>1835</v>
      </c>
      <c r="P1926" t="s">
        <v>1835</v>
      </c>
      <c r="Y1926" t="s">
        <v>9063</v>
      </c>
    </row>
    <row r="1927" spans="1:25">
      <c r="A1927" t="s">
        <v>9064</v>
      </c>
      <c r="B1927" t="s">
        <v>9065</v>
      </c>
      <c r="D1927" t="s">
        <v>1832</v>
      </c>
      <c r="E1927" t="s">
        <v>41</v>
      </c>
      <c r="J1927" t="s">
        <v>90</v>
      </c>
      <c r="K1927" t="s">
        <v>91</v>
      </c>
      <c r="L1927">
        <v>5</v>
      </c>
      <c r="M1927" t="s">
        <v>9066</v>
      </c>
      <c r="N1927" t="s">
        <v>47</v>
      </c>
      <c r="O1927" t="s">
        <v>1835</v>
      </c>
      <c r="P1927" t="s">
        <v>1835</v>
      </c>
      <c r="Y1927" t="s">
        <v>9067</v>
      </c>
    </row>
    <row r="1928" spans="1:25">
      <c r="A1928" t="s">
        <v>9068</v>
      </c>
      <c r="B1928" t="s">
        <v>9069</v>
      </c>
      <c r="D1928" t="s">
        <v>1832</v>
      </c>
      <c r="E1928" t="s">
        <v>41</v>
      </c>
      <c r="J1928" t="s">
        <v>90</v>
      </c>
      <c r="K1928" t="s">
        <v>91</v>
      </c>
      <c r="L1928">
        <v>5</v>
      </c>
      <c r="M1928" t="s">
        <v>9070</v>
      </c>
      <c r="N1928" t="s">
        <v>47</v>
      </c>
      <c r="O1928" t="s">
        <v>1835</v>
      </c>
      <c r="P1928" t="s">
        <v>1835</v>
      </c>
      <c r="Y1928" t="s">
        <v>9071</v>
      </c>
    </row>
    <row r="1929" spans="1:25">
      <c r="A1929" t="s">
        <v>9072</v>
      </c>
      <c r="B1929" t="s">
        <v>9073</v>
      </c>
      <c r="D1929" t="s">
        <v>1832</v>
      </c>
      <c r="E1929" t="s">
        <v>41</v>
      </c>
      <c r="H1929" t="s">
        <v>9074</v>
      </c>
      <c r="J1929" t="s">
        <v>133</v>
      </c>
      <c r="K1929" t="s">
        <v>134</v>
      </c>
      <c r="L1929">
        <v>5</v>
      </c>
      <c r="M1929" t="s">
        <v>9075</v>
      </c>
      <c r="N1929" t="s">
        <v>135</v>
      </c>
      <c r="O1929" t="s">
        <v>1835</v>
      </c>
      <c r="P1929" t="s">
        <v>1835</v>
      </c>
      <c r="Y1929" t="s">
        <v>9074</v>
      </c>
    </row>
    <row r="1930" spans="1:25">
      <c r="A1930" t="s">
        <v>9076</v>
      </c>
      <c r="B1930" t="s">
        <v>9077</v>
      </c>
      <c r="D1930" t="s">
        <v>1832</v>
      </c>
      <c r="E1930" t="s">
        <v>41</v>
      </c>
      <c r="J1930" t="s">
        <v>90</v>
      </c>
      <c r="K1930" t="s">
        <v>91</v>
      </c>
      <c r="L1930">
        <v>5</v>
      </c>
      <c r="M1930" t="s">
        <v>9078</v>
      </c>
      <c r="N1930" t="s">
        <v>47</v>
      </c>
      <c r="O1930" t="s">
        <v>1835</v>
      </c>
      <c r="P1930" t="s">
        <v>1835</v>
      </c>
      <c r="Y1930" t="s">
        <v>9079</v>
      </c>
    </row>
    <row r="1931" spans="1:25">
      <c r="A1931" t="s">
        <v>9080</v>
      </c>
      <c r="B1931" t="s">
        <v>9081</v>
      </c>
      <c r="D1931" t="s">
        <v>1832</v>
      </c>
      <c r="E1931" t="s">
        <v>41</v>
      </c>
      <c r="J1931" t="s">
        <v>44</v>
      </c>
      <c r="K1931" t="s">
        <v>45</v>
      </c>
      <c r="L1931">
        <v>5</v>
      </c>
      <c r="M1931" t="s">
        <v>9082</v>
      </c>
      <c r="N1931" t="s">
        <v>47</v>
      </c>
      <c r="O1931" t="s">
        <v>1835</v>
      </c>
      <c r="P1931" t="s">
        <v>1835</v>
      </c>
      <c r="Y1931" t="s">
        <v>9083</v>
      </c>
    </row>
    <row r="1932" spans="1:25">
      <c r="A1932" t="s">
        <v>9084</v>
      </c>
      <c r="B1932" t="s">
        <v>9085</v>
      </c>
      <c r="D1932" t="s">
        <v>1832</v>
      </c>
      <c r="E1932" t="s">
        <v>41</v>
      </c>
      <c r="J1932" t="s">
        <v>90</v>
      </c>
      <c r="K1932" t="s">
        <v>91</v>
      </c>
      <c r="L1932">
        <v>5</v>
      </c>
      <c r="M1932" t="s">
        <v>9086</v>
      </c>
      <c r="N1932" t="s">
        <v>47</v>
      </c>
      <c r="O1932" t="s">
        <v>1835</v>
      </c>
      <c r="P1932" t="s">
        <v>1835</v>
      </c>
      <c r="Y1932" t="s">
        <v>9087</v>
      </c>
    </row>
    <row r="1933" spans="1:25">
      <c r="A1933" t="s">
        <v>9088</v>
      </c>
      <c r="B1933" t="s">
        <v>9089</v>
      </c>
      <c r="D1933" t="s">
        <v>1832</v>
      </c>
      <c r="E1933" t="s">
        <v>41</v>
      </c>
      <c r="J1933" t="s">
        <v>133</v>
      </c>
      <c r="K1933" t="s">
        <v>134</v>
      </c>
      <c r="L1933">
        <v>5</v>
      </c>
      <c r="M1933" t="s">
        <v>9090</v>
      </c>
      <c r="N1933" t="s">
        <v>290</v>
      </c>
      <c r="O1933" t="s">
        <v>1835</v>
      </c>
      <c r="P1933" t="s">
        <v>1835</v>
      </c>
      <c r="Y1933" t="s">
        <v>9091</v>
      </c>
    </row>
    <row r="1934" spans="1:25">
      <c r="A1934" t="s">
        <v>9092</v>
      </c>
      <c r="B1934" t="s">
        <v>9093</v>
      </c>
      <c r="D1934" t="s">
        <v>1832</v>
      </c>
      <c r="E1934" t="s">
        <v>41</v>
      </c>
      <c r="H1934" t="s">
        <v>9094</v>
      </c>
      <c r="J1934" t="s">
        <v>371</v>
      </c>
      <c r="K1934" t="s">
        <v>372</v>
      </c>
      <c r="L1934">
        <v>5</v>
      </c>
      <c r="M1934" t="s">
        <v>9095</v>
      </c>
      <c r="N1934" t="s">
        <v>47</v>
      </c>
      <c r="O1934" t="s">
        <v>1835</v>
      </c>
      <c r="P1934" t="s">
        <v>1835</v>
      </c>
      <c r="Y1934" t="s">
        <v>9094</v>
      </c>
    </row>
    <row r="1935" spans="1:25">
      <c r="A1935" t="s">
        <v>9096</v>
      </c>
      <c r="B1935" t="s">
        <v>9097</v>
      </c>
      <c r="D1935" t="s">
        <v>1832</v>
      </c>
      <c r="E1935" t="s">
        <v>41</v>
      </c>
      <c r="H1935" t="s">
        <v>9098</v>
      </c>
      <c r="J1935" t="s">
        <v>90</v>
      </c>
      <c r="K1935" t="s">
        <v>91</v>
      </c>
      <c r="L1935">
        <v>5</v>
      </c>
      <c r="M1935" t="s">
        <v>9099</v>
      </c>
      <c r="N1935" t="s">
        <v>47</v>
      </c>
      <c r="O1935" t="s">
        <v>1835</v>
      </c>
      <c r="P1935" t="s">
        <v>1835</v>
      </c>
      <c r="Y1935" t="s">
        <v>9098</v>
      </c>
    </row>
    <row r="1936" spans="1:25">
      <c r="A1936" t="s">
        <v>9100</v>
      </c>
      <c r="B1936" t="s">
        <v>9101</v>
      </c>
      <c r="D1936" t="s">
        <v>1832</v>
      </c>
      <c r="E1936" t="s">
        <v>41</v>
      </c>
      <c r="H1936" t="s">
        <v>9102</v>
      </c>
      <c r="J1936" t="s">
        <v>54</v>
      </c>
      <c r="K1936" t="s">
        <v>55</v>
      </c>
      <c r="L1936">
        <v>5</v>
      </c>
      <c r="M1936" t="s">
        <v>9103</v>
      </c>
      <c r="N1936" t="s">
        <v>47</v>
      </c>
      <c r="O1936" t="s">
        <v>1835</v>
      </c>
      <c r="P1936" t="s">
        <v>1835</v>
      </c>
      <c r="Y1936" t="s">
        <v>9102</v>
      </c>
    </row>
    <row r="1937" spans="1:25">
      <c r="A1937" t="s">
        <v>9104</v>
      </c>
      <c r="B1937" t="s">
        <v>9105</v>
      </c>
      <c r="D1937" t="s">
        <v>1832</v>
      </c>
      <c r="E1937" t="s">
        <v>41</v>
      </c>
      <c r="J1937" t="s">
        <v>54</v>
      </c>
      <c r="K1937" t="s">
        <v>55</v>
      </c>
      <c r="L1937">
        <v>5</v>
      </c>
      <c r="M1937" t="s">
        <v>9103</v>
      </c>
      <c r="N1937" t="s">
        <v>47</v>
      </c>
      <c r="O1937" t="s">
        <v>1835</v>
      </c>
      <c r="P1937" t="s">
        <v>1835</v>
      </c>
      <c r="Y1937" t="s">
        <v>9106</v>
      </c>
    </row>
    <row r="1938" spans="1:25">
      <c r="A1938" t="s">
        <v>9107</v>
      </c>
      <c r="B1938" t="s">
        <v>9108</v>
      </c>
      <c r="D1938" t="s">
        <v>1832</v>
      </c>
      <c r="E1938" t="s">
        <v>41</v>
      </c>
      <c r="H1938" t="s">
        <v>9109</v>
      </c>
      <c r="J1938" t="s">
        <v>44</v>
      </c>
      <c r="K1938" t="s">
        <v>45</v>
      </c>
      <c r="L1938">
        <v>5</v>
      </c>
      <c r="M1938" t="s">
        <v>9110</v>
      </c>
      <c r="N1938" t="s">
        <v>47</v>
      </c>
      <c r="O1938" t="s">
        <v>1835</v>
      </c>
      <c r="P1938" t="s">
        <v>1835</v>
      </c>
      <c r="Y1938" t="s">
        <v>9109</v>
      </c>
    </row>
    <row r="1939" spans="1:25">
      <c r="A1939" t="s">
        <v>9111</v>
      </c>
      <c r="B1939" t="s">
        <v>9112</v>
      </c>
      <c r="D1939" t="s">
        <v>1832</v>
      </c>
      <c r="E1939" t="s">
        <v>41</v>
      </c>
      <c r="J1939" t="s">
        <v>54</v>
      </c>
      <c r="K1939" t="s">
        <v>55</v>
      </c>
      <c r="L1939">
        <v>5</v>
      </c>
      <c r="M1939" t="s">
        <v>9110</v>
      </c>
      <c r="N1939" t="s">
        <v>47</v>
      </c>
      <c r="O1939" t="s">
        <v>1835</v>
      </c>
      <c r="P1939" t="s">
        <v>1835</v>
      </c>
      <c r="Y1939" t="s">
        <v>9113</v>
      </c>
    </row>
    <row r="1940" spans="1:25">
      <c r="A1940" t="s">
        <v>9114</v>
      </c>
      <c r="B1940" t="s">
        <v>9115</v>
      </c>
      <c r="D1940" t="s">
        <v>1832</v>
      </c>
      <c r="E1940" t="s">
        <v>41</v>
      </c>
      <c r="J1940" t="s">
        <v>90</v>
      </c>
      <c r="K1940" t="s">
        <v>91</v>
      </c>
      <c r="L1940">
        <v>5</v>
      </c>
      <c r="M1940" t="s">
        <v>9116</v>
      </c>
      <c r="N1940" t="s">
        <v>47</v>
      </c>
      <c r="O1940" t="s">
        <v>1835</v>
      </c>
      <c r="P1940" t="s">
        <v>1835</v>
      </c>
      <c r="Y1940" t="s">
        <v>9117</v>
      </c>
    </row>
    <row r="1941" spans="1:25">
      <c r="A1941" t="s">
        <v>9118</v>
      </c>
      <c r="B1941" t="s">
        <v>9119</v>
      </c>
      <c r="D1941" t="s">
        <v>1832</v>
      </c>
      <c r="E1941" t="s">
        <v>41</v>
      </c>
      <c r="J1941" t="s">
        <v>44</v>
      </c>
      <c r="K1941" t="s">
        <v>45</v>
      </c>
      <c r="L1941">
        <v>5</v>
      </c>
      <c r="M1941" t="s">
        <v>9120</v>
      </c>
      <c r="N1941" t="s">
        <v>47</v>
      </c>
      <c r="O1941" t="s">
        <v>1835</v>
      </c>
      <c r="P1941" t="s">
        <v>1835</v>
      </c>
      <c r="Y1941" t="s">
        <v>9121</v>
      </c>
    </row>
    <row r="1942" spans="1:25">
      <c r="A1942" t="s">
        <v>9122</v>
      </c>
      <c r="B1942" t="s">
        <v>9123</v>
      </c>
      <c r="D1942" t="s">
        <v>1832</v>
      </c>
      <c r="E1942" t="s">
        <v>41</v>
      </c>
      <c r="H1942" t="s">
        <v>9124</v>
      </c>
      <c r="J1942" t="s">
        <v>90</v>
      </c>
      <c r="K1942" t="s">
        <v>91</v>
      </c>
      <c r="L1942">
        <v>5</v>
      </c>
      <c r="M1942" t="s">
        <v>9125</v>
      </c>
      <c r="N1942" t="s">
        <v>47</v>
      </c>
      <c r="O1942" t="s">
        <v>1835</v>
      </c>
      <c r="P1942" t="s">
        <v>1835</v>
      </c>
      <c r="Y1942" t="s">
        <v>9124</v>
      </c>
    </row>
    <row r="1943" spans="1:25">
      <c r="A1943" t="s">
        <v>9126</v>
      </c>
      <c r="B1943" t="s">
        <v>9127</v>
      </c>
      <c r="D1943" t="s">
        <v>1832</v>
      </c>
      <c r="E1943" t="s">
        <v>41</v>
      </c>
      <c r="J1943" t="s">
        <v>90</v>
      </c>
      <c r="K1943" t="s">
        <v>91</v>
      </c>
      <c r="L1943">
        <v>5</v>
      </c>
      <c r="M1943" t="s">
        <v>9128</v>
      </c>
      <c r="N1943" t="s">
        <v>47</v>
      </c>
      <c r="O1943" t="s">
        <v>1835</v>
      </c>
      <c r="P1943" t="s">
        <v>1835</v>
      </c>
      <c r="Y1943" t="s">
        <v>9129</v>
      </c>
    </row>
    <row r="1944" spans="1:25">
      <c r="A1944" t="s">
        <v>9130</v>
      </c>
      <c r="B1944" t="s">
        <v>9131</v>
      </c>
      <c r="D1944" t="s">
        <v>1832</v>
      </c>
      <c r="E1944" t="s">
        <v>41</v>
      </c>
      <c r="J1944" t="s">
        <v>54</v>
      </c>
      <c r="K1944" t="s">
        <v>55</v>
      </c>
      <c r="L1944">
        <v>5</v>
      </c>
      <c r="M1944" t="s">
        <v>9128</v>
      </c>
      <c r="N1944" t="s">
        <v>47</v>
      </c>
      <c r="O1944" t="s">
        <v>1835</v>
      </c>
      <c r="P1944" t="s">
        <v>1835</v>
      </c>
      <c r="Y1944" t="s">
        <v>9132</v>
      </c>
    </row>
    <row r="1945" spans="1:25">
      <c r="A1945" t="s">
        <v>9133</v>
      </c>
      <c r="B1945" t="s">
        <v>9134</v>
      </c>
      <c r="D1945" t="s">
        <v>1832</v>
      </c>
      <c r="E1945" t="s">
        <v>41</v>
      </c>
      <c r="J1945" t="s">
        <v>90</v>
      </c>
      <c r="K1945" t="s">
        <v>91</v>
      </c>
      <c r="L1945">
        <v>5</v>
      </c>
      <c r="M1945" t="s">
        <v>9135</v>
      </c>
      <c r="N1945" t="s">
        <v>47</v>
      </c>
      <c r="O1945" t="s">
        <v>1835</v>
      </c>
      <c r="P1945" t="s">
        <v>1835</v>
      </c>
      <c r="Y1945" t="s">
        <v>9136</v>
      </c>
    </row>
    <row r="1946" spans="1:25">
      <c r="A1946" t="s">
        <v>9137</v>
      </c>
      <c r="B1946" t="s">
        <v>9138</v>
      </c>
      <c r="D1946" t="s">
        <v>1832</v>
      </c>
      <c r="E1946" t="s">
        <v>41</v>
      </c>
      <c r="H1946" t="s">
        <v>9139</v>
      </c>
      <c r="J1946" t="s">
        <v>90</v>
      </c>
      <c r="K1946" t="s">
        <v>91</v>
      </c>
      <c r="L1946">
        <v>5</v>
      </c>
      <c r="M1946" t="s">
        <v>9140</v>
      </c>
      <c r="N1946" t="s">
        <v>47</v>
      </c>
      <c r="O1946" t="s">
        <v>1835</v>
      </c>
      <c r="P1946" t="s">
        <v>1835</v>
      </c>
      <c r="Y1946" t="s">
        <v>9139</v>
      </c>
    </row>
    <row r="1947" spans="1:25">
      <c r="A1947" t="s">
        <v>9141</v>
      </c>
      <c r="B1947" t="s">
        <v>9142</v>
      </c>
      <c r="D1947" t="s">
        <v>1832</v>
      </c>
      <c r="E1947" t="s">
        <v>41</v>
      </c>
      <c r="J1947" t="s">
        <v>54</v>
      </c>
      <c r="K1947" t="s">
        <v>55</v>
      </c>
      <c r="L1947">
        <v>5</v>
      </c>
      <c r="M1947" t="s">
        <v>9143</v>
      </c>
      <c r="N1947" t="s">
        <v>47</v>
      </c>
      <c r="O1947" t="s">
        <v>1835</v>
      </c>
      <c r="P1947" t="s">
        <v>1835</v>
      </c>
      <c r="Y1947" t="s">
        <v>9144</v>
      </c>
    </row>
    <row r="1948" spans="1:25">
      <c r="A1948" t="s">
        <v>9145</v>
      </c>
      <c r="B1948" t="s">
        <v>9146</v>
      </c>
      <c r="D1948" t="s">
        <v>1832</v>
      </c>
      <c r="E1948" t="s">
        <v>41</v>
      </c>
      <c r="J1948" t="s">
        <v>90</v>
      </c>
      <c r="K1948" t="s">
        <v>91</v>
      </c>
      <c r="L1948">
        <v>5</v>
      </c>
      <c r="M1948" t="s">
        <v>9147</v>
      </c>
      <c r="N1948" t="s">
        <v>47</v>
      </c>
      <c r="O1948" t="s">
        <v>1835</v>
      </c>
      <c r="P1948" t="s">
        <v>1835</v>
      </c>
      <c r="Y1948" t="s">
        <v>9148</v>
      </c>
    </row>
    <row r="1949" spans="1:25">
      <c r="A1949" t="s">
        <v>9149</v>
      </c>
      <c r="B1949" t="s">
        <v>9150</v>
      </c>
      <c r="D1949" t="s">
        <v>1832</v>
      </c>
      <c r="E1949" t="s">
        <v>41</v>
      </c>
      <c r="J1949" t="s">
        <v>371</v>
      </c>
      <c r="K1949" t="s">
        <v>372</v>
      </c>
      <c r="L1949">
        <v>5</v>
      </c>
      <c r="M1949" t="s">
        <v>9151</v>
      </c>
      <c r="N1949" t="s">
        <v>47</v>
      </c>
      <c r="O1949" t="s">
        <v>1835</v>
      </c>
      <c r="P1949" t="s">
        <v>1835</v>
      </c>
      <c r="Y1949" t="s">
        <v>9152</v>
      </c>
    </row>
    <row r="1950" spans="1:25">
      <c r="A1950" t="s">
        <v>9153</v>
      </c>
      <c r="B1950" t="s">
        <v>9154</v>
      </c>
      <c r="D1950" t="s">
        <v>1832</v>
      </c>
      <c r="E1950" t="s">
        <v>41</v>
      </c>
      <c r="H1950" t="s">
        <v>9155</v>
      </c>
      <c r="J1950" t="s">
        <v>90</v>
      </c>
      <c r="K1950" t="s">
        <v>91</v>
      </c>
      <c r="L1950">
        <v>5</v>
      </c>
      <c r="M1950" t="s">
        <v>9151</v>
      </c>
      <c r="N1950" t="s">
        <v>47</v>
      </c>
      <c r="O1950" t="s">
        <v>1835</v>
      </c>
      <c r="P1950" t="s">
        <v>1835</v>
      </c>
      <c r="Y1950" t="s">
        <v>9155</v>
      </c>
    </row>
    <row r="1951" spans="1:25">
      <c r="A1951" t="s">
        <v>9156</v>
      </c>
      <c r="B1951" t="s">
        <v>9157</v>
      </c>
      <c r="D1951" t="s">
        <v>1832</v>
      </c>
      <c r="E1951" t="s">
        <v>41</v>
      </c>
      <c r="J1951" t="s">
        <v>44</v>
      </c>
      <c r="K1951" t="s">
        <v>45</v>
      </c>
      <c r="L1951">
        <v>5</v>
      </c>
      <c r="M1951" t="s">
        <v>9158</v>
      </c>
      <c r="N1951" t="s">
        <v>47</v>
      </c>
      <c r="O1951" t="s">
        <v>1835</v>
      </c>
      <c r="P1951" t="s">
        <v>1835</v>
      </c>
      <c r="Y1951" t="s">
        <v>9159</v>
      </c>
    </row>
    <row r="1952" spans="1:25">
      <c r="A1952" t="s">
        <v>9160</v>
      </c>
      <c r="B1952" t="s">
        <v>9161</v>
      </c>
      <c r="D1952" t="s">
        <v>1832</v>
      </c>
      <c r="E1952" t="s">
        <v>41</v>
      </c>
      <c r="J1952" t="s">
        <v>90</v>
      </c>
      <c r="K1952" t="s">
        <v>91</v>
      </c>
      <c r="L1952">
        <v>5</v>
      </c>
      <c r="M1952" t="s">
        <v>9162</v>
      </c>
      <c r="N1952" t="s">
        <v>47</v>
      </c>
      <c r="O1952" t="s">
        <v>1835</v>
      </c>
      <c r="P1952" t="s">
        <v>1835</v>
      </c>
      <c r="Y1952" t="s">
        <v>9163</v>
      </c>
    </row>
    <row r="1953" spans="1:25">
      <c r="A1953" t="s">
        <v>9164</v>
      </c>
      <c r="B1953" t="s">
        <v>9165</v>
      </c>
      <c r="D1953" t="s">
        <v>1832</v>
      </c>
      <c r="E1953" t="s">
        <v>41</v>
      </c>
      <c r="J1953" t="s">
        <v>371</v>
      </c>
      <c r="K1953" t="s">
        <v>372</v>
      </c>
      <c r="L1953">
        <v>5</v>
      </c>
      <c r="M1953" t="s">
        <v>9162</v>
      </c>
      <c r="N1953" t="s">
        <v>47</v>
      </c>
      <c r="O1953" t="s">
        <v>1835</v>
      </c>
      <c r="P1953" t="s">
        <v>1835</v>
      </c>
      <c r="Y1953" t="s">
        <v>9166</v>
      </c>
    </row>
    <row r="1954" spans="1:25">
      <c r="A1954" t="s">
        <v>9167</v>
      </c>
      <c r="B1954" t="s">
        <v>9168</v>
      </c>
      <c r="D1954" t="s">
        <v>1832</v>
      </c>
      <c r="E1954" t="s">
        <v>41</v>
      </c>
      <c r="J1954" t="s">
        <v>90</v>
      </c>
      <c r="K1954" t="s">
        <v>91</v>
      </c>
      <c r="L1954">
        <v>5</v>
      </c>
      <c r="M1954" t="s">
        <v>9162</v>
      </c>
      <c r="N1954" t="s">
        <v>47</v>
      </c>
      <c r="O1954" t="s">
        <v>1835</v>
      </c>
      <c r="P1954" t="s">
        <v>1835</v>
      </c>
      <c r="Y1954" t="s">
        <v>9169</v>
      </c>
    </row>
    <row r="1955" spans="1:25">
      <c r="A1955" t="s">
        <v>9170</v>
      </c>
      <c r="B1955" t="s">
        <v>9171</v>
      </c>
      <c r="D1955" t="s">
        <v>1832</v>
      </c>
      <c r="E1955" t="s">
        <v>41</v>
      </c>
      <c r="J1955" t="s">
        <v>90</v>
      </c>
      <c r="K1955" t="s">
        <v>91</v>
      </c>
      <c r="L1955">
        <v>5</v>
      </c>
      <c r="M1955" t="s">
        <v>9172</v>
      </c>
      <c r="N1955" t="s">
        <v>47</v>
      </c>
      <c r="O1955" t="s">
        <v>1835</v>
      </c>
      <c r="P1955" t="s">
        <v>1835</v>
      </c>
      <c r="Y1955" t="s">
        <v>9173</v>
      </c>
    </row>
    <row r="1956" spans="1:25">
      <c r="A1956" t="s">
        <v>9174</v>
      </c>
      <c r="B1956" t="s">
        <v>9175</v>
      </c>
      <c r="D1956" t="s">
        <v>1832</v>
      </c>
      <c r="E1956" t="s">
        <v>41</v>
      </c>
      <c r="J1956" t="s">
        <v>44</v>
      </c>
      <c r="K1956" t="s">
        <v>45</v>
      </c>
      <c r="L1956">
        <v>5</v>
      </c>
      <c r="M1956" t="s">
        <v>9176</v>
      </c>
      <c r="N1956" t="s">
        <v>47</v>
      </c>
      <c r="O1956" t="s">
        <v>1835</v>
      </c>
      <c r="P1956" t="s">
        <v>1835</v>
      </c>
      <c r="Y1956" t="s">
        <v>9177</v>
      </c>
    </row>
    <row r="1957" spans="1:25">
      <c r="A1957" t="s">
        <v>9178</v>
      </c>
      <c r="B1957" t="s">
        <v>9179</v>
      </c>
      <c r="D1957" t="s">
        <v>1832</v>
      </c>
      <c r="E1957" t="s">
        <v>41</v>
      </c>
      <c r="H1957" t="s">
        <v>9180</v>
      </c>
      <c r="J1957" t="s">
        <v>90</v>
      </c>
      <c r="K1957" t="s">
        <v>91</v>
      </c>
      <c r="L1957">
        <v>5</v>
      </c>
      <c r="M1957" t="s">
        <v>9181</v>
      </c>
      <c r="N1957" t="s">
        <v>47</v>
      </c>
      <c r="O1957" t="s">
        <v>1835</v>
      </c>
      <c r="P1957" t="s">
        <v>1835</v>
      </c>
      <c r="Y1957" t="s">
        <v>9180</v>
      </c>
    </row>
    <row r="1958" spans="1:25">
      <c r="A1958" t="s">
        <v>9182</v>
      </c>
      <c r="B1958" t="s">
        <v>9183</v>
      </c>
      <c r="D1958" t="s">
        <v>1832</v>
      </c>
      <c r="E1958" t="s">
        <v>41</v>
      </c>
      <c r="J1958" t="s">
        <v>54</v>
      </c>
      <c r="K1958" t="s">
        <v>55</v>
      </c>
      <c r="L1958">
        <v>5</v>
      </c>
      <c r="M1958" t="s">
        <v>9184</v>
      </c>
      <c r="N1958" t="s">
        <v>47</v>
      </c>
      <c r="O1958" t="s">
        <v>1835</v>
      </c>
      <c r="P1958" t="s">
        <v>1835</v>
      </c>
      <c r="Y1958" t="s">
        <v>9185</v>
      </c>
    </row>
    <row r="1959" spans="1:25">
      <c r="A1959" t="s">
        <v>9186</v>
      </c>
      <c r="B1959" t="s">
        <v>9187</v>
      </c>
      <c r="D1959" t="s">
        <v>1832</v>
      </c>
      <c r="E1959" t="s">
        <v>41</v>
      </c>
      <c r="J1959" t="s">
        <v>44</v>
      </c>
      <c r="K1959" t="s">
        <v>45</v>
      </c>
      <c r="L1959">
        <v>5</v>
      </c>
      <c r="M1959" t="s">
        <v>9188</v>
      </c>
      <c r="N1959" t="s">
        <v>47</v>
      </c>
      <c r="O1959" t="s">
        <v>1835</v>
      </c>
      <c r="P1959" t="s">
        <v>1835</v>
      </c>
      <c r="Y1959" t="s">
        <v>9189</v>
      </c>
    </row>
    <row r="1960" spans="1:25">
      <c r="A1960" t="s">
        <v>9190</v>
      </c>
      <c r="B1960" t="s">
        <v>9191</v>
      </c>
      <c r="D1960" t="s">
        <v>1832</v>
      </c>
      <c r="E1960" t="s">
        <v>41</v>
      </c>
      <c r="J1960" t="s">
        <v>371</v>
      </c>
      <c r="K1960" t="s">
        <v>372</v>
      </c>
      <c r="L1960">
        <v>5</v>
      </c>
      <c r="M1960" t="s">
        <v>9192</v>
      </c>
      <c r="N1960" t="s">
        <v>47</v>
      </c>
      <c r="O1960" t="s">
        <v>1835</v>
      </c>
      <c r="P1960" t="s">
        <v>1835</v>
      </c>
      <c r="Y1960" t="s">
        <v>9193</v>
      </c>
    </row>
    <row r="1961" spans="1:25">
      <c r="A1961" t="s">
        <v>9194</v>
      </c>
      <c r="B1961" t="s">
        <v>9195</v>
      </c>
      <c r="D1961" t="s">
        <v>1832</v>
      </c>
      <c r="E1961" t="s">
        <v>41</v>
      </c>
      <c r="H1961" t="s">
        <v>9196</v>
      </c>
      <c r="J1961" t="s">
        <v>133</v>
      </c>
      <c r="K1961" t="s">
        <v>134</v>
      </c>
      <c r="L1961">
        <v>5</v>
      </c>
      <c r="M1961" t="s">
        <v>9197</v>
      </c>
      <c r="N1961" t="s">
        <v>290</v>
      </c>
      <c r="O1961" t="s">
        <v>1835</v>
      </c>
      <c r="P1961" t="s">
        <v>1835</v>
      </c>
      <c r="Y1961" t="s">
        <v>9196</v>
      </c>
    </row>
    <row r="1962" spans="1:25">
      <c r="A1962" t="s">
        <v>9198</v>
      </c>
      <c r="B1962" t="s">
        <v>9199</v>
      </c>
      <c r="D1962" t="s">
        <v>1832</v>
      </c>
      <c r="E1962" t="s">
        <v>41</v>
      </c>
      <c r="J1962" t="s">
        <v>90</v>
      </c>
      <c r="K1962" t="s">
        <v>91</v>
      </c>
      <c r="L1962">
        <v>5</v>
      </c>
      <c r="M1962" t="s">
        <v>9197</v>
      </c>
      <c r="N1962" t="s">
        <v>47</v>
      </c>
      <c r="O1962" t="s">
        <v>1835</v>
      </c>
      <c r="P1962" t="s">
        <v>1835</v>
      </c>
      <c r="Y1962" t="s">
        <v>9200</v>
      </c>
    </row>
    <row r="1963" spans="1:25">
      <c r="A1963" t="s">
        <v>9201</v>
      </c>
      <c r="B1963" t="s">
        <v>9202</v>
      </c>
      <c r="D1963" t="s">
        <v>1832</v>
      </c>
      <c r="E1963" t="s">
        <v>41</v>
      </c>
      <c r="J1963" t="s">
        <v>54</v>
      </c>
      <c r="K1963" t="s">
        <v>55</v>
      </c>
      <c r="L1963">
        <v>5</v>
      </c>
      <c r="M1963" t="s">
        <v>9203</v>
      </c>
      <c r="N1963" t="s">
        <v>47</v>
      </c>
      <c r="O1963" t="s">
        <v>1835</v>
      </c>
      <c r="P1963" t="s">
        <v>1835</v>
      </c>
      <c r="Y1963" t="s">
        <v>9204</v>
      </c>
    </row>
    <row r="1964" spans="1:25">
      <c r="A1964" t="s">
        <v>9205</v>
      </c>
      <c r="B1964" t="s">
        <v>9206</v>
      </c>
      <c r="D1964" t="s">
        <v>1832</v>
      </c>
      <c r="E1964" t="s">
        <v>41</v>
      </c>
      <c r="H1964" t="s">
        <v>9207</v>
      </c>
      <c r="J1964" t="s">
        <v>90</v>
      </c>
      <c r="K1964" t="s">
        <v>91</v>
      </c>
      <c r="L1964">
        <v>5</v>
      </c>
      <c r="M1964" t="s">
        <v>9208</v>
      </c>
      <c r="N1964" t="s">
        <v>47</v>
      </c>
      <c r="O1964" t="s">
        <v>1835</v>
      </c>
      <c r="P1964" t="s">
        <v>1835</v>
      </c>
      <c r="Y1964" t="s">
        <v>9207</v>
      </c>
    </row>
    <row r="1965" spans="1:25">
      <c r="A1965" t="s">
        <v>9209</v>
      </c>
      <c r="B1965" t="s">
        <v>9210</v>
      </c>
      <c r="D1965" t="s">
        <v>1832</v>
      </c>
      <c r="E1965" t="s">
        <v>41</v>
      </c>
      <c r="J1965" t="s">
        <v>44</v>
      </c>
      <c r="K1965" t="s">
        <v>45</v>
      </c>
      <c r="L1965">
        <v>5</v>
      </c>
      <c r="M1965" t="s">
        <v>9208</v>
      </c>
      <c r="N1965" t="s">
        <v>47</v>
      </c>
      <c r="O1965" t="s">
        <v>1835</v>
      </c>
      <c r="P1965" t="s">
        <v>1835</v>
      </c>
      <c r="Y1965" t="s">
        <v>9211</v>
      </c>
    </row>
    <row r="1966" spans="1:25">
      <c r="A1966" t="s">
        <v>9212</v>
      </c>
      <c r="B1966" t="s">
        <v>9213</v>
      </c>
      <c r="D1966" t="s">
        <v>1832</v>
      </c>
      <c r="E1966" t="s">
        <v>41</v>
      </c>
      <c r="H1966" t="s">
        <v>9214</v>
      </c>
      <c r="J1966" t="s">
        <v>927</v>
      </c>
      <c r="K1966" t="s">
        <v>928</v>
      </c>
      <c r="L1966">
        <v>5</v>
      </c>
      <c r="M1966" t="s">
        <v>9215</v>
      </c>
      <c r="N1966" t="s">
        <v>135</v>
      </c>
      <c r="O1966" t="s">
        <v>1835</v>
      </c>
      <c r="P1966" t="s">
        <v>1835</v>
      </c>
      <c r="Y1966" t="s">
        <v>9214</v>
      </c>
    </row>
    <row r="1967" spans="1:25">
      <c r="A1967" t="s">
        <v>9216</v>
      </c>
      <c r="B1967" t="s">
        <v>9217</v>
      </c>
      <c r="D1967" t="s">
        <v>1832</v>
      </c>
      <c r="E1967" t="s">
        <v>41</v>
      </c>
      <c r="J1967" t="s">
        <v>54</v>
      </c>
      <c r="K1967" t="s">
        <v>55</v>
      </c>
      <c r="L1967">
        <v>5</v>
      </c>
      <c r="M1967" t="s">
        <v>9218</v>
      </c>
      <c r="N1967" t="s">
        <v>47</v>
      </c>
      <c r="O1967" t="s">
        <v>1835</v>
      </c>
      <c r="P1967" t="s">
        <v>1835</v>
      </c>
      <c r="Y1967" t="s">
        <v>9219</v>
      </c>
    </row>
    <row r="1968" spans="1:25">
      <c r="A1968" t="s">
        <v>9220</v>
      </c>
      <c r="B1968" t="s">
        <v>9221</v>
      </c>
      <c r="D1968" t="s">
        <v>1832</v>
      </c>
      <c r="E1968" t="s">
        <v>41</v>
      </c>
      <c r="J1968" t="s">
        <v>44</v>
      </c>
      <c r="K1968" t="s">
        <v>45</v>
      </c>
      <c r="L1968">
        <v>5</v>
      </c>
      <c r="M1968" t="s">
        <v>9218</v>
      </c>
      <c r="N1968" t="s">
        <v>47</v>
      </c>
      <c r="O1968" t="s">
        <v>1835</v>
      </c>
      <c r="P1968" t="s">
        <v>1835</v>
      </c>
      <c r="Y1968" t="s">
        <v>9222</v>
      </c>
    </row>
    <row r="1969" spans="1:25">
      <c r="A1969" t="s">
        <v>9223</v>
      </c>
      <c r="B1969" t="s">
        <v>9224</v>
      </c>
      <c r="D1969" t="s">
        <v>1832</v>
      </c>
      <c r="E1969" t="s">
        <v>41</v>
      </c>
      <c r="H1969" t="s">
        <v>9225</v>
      </c>
      <c r="J1969" t="s">
        <v>90</v>
      </c>
      <c r="K1969" t="s">
        <v>91</v>
      </c>
      <c r="L1969">
        <v>5</v>
      </c>
      <c r="M1969" t="s">
        <v>9218</v>
      </c>
      <c r="N1969" t="s">
        <v>47</v>
      </c>
      <c r="O1969" t="s">
        <v>1835</v>
      </c>
      <c r="P1969" t="s">
        <v>1835</v>
      </c>
      <c r="Y1969" t="s">
        <v>9225</v>
      </c>
    </row>
    <row r="1970" spans="1:25">
      <c r="A1970" t="s">
        <v>9226</v>
      </c>
      <c r="B1970" t="s">
        <v>9227</v>
      </c>
      <c r="D1970" t="s">
        <v>1832</v>
      </c>
      <c r="E1970" t="s">
        <v>41</v>
      </c>
      <c r="J1970" t="s">
        <v>44</v>
      </c>
      <c r="K1970" t="s">
        <v>45</v>
      </c>
      <c r="L1970">
        <v>5</v>
      </c>
      <c r="M1970" t="s">
        <v>9228</v>
      </c>
      <c r="N1970" t="s">
        <v>47</v>
      </c>
      <c r="O1970" t="s">
        <v>1835</v>
      </c>
      <c r="P1970" t="s">
        <v>1835</v>
      </c>
      <c r="Y1970" t="s">
        <v>9229</v>
      </c>
    </row>
    <row r="1971" spans="1:25">
      <c r="A1971" t="s">
        <v>9230</v>
      </c>
      <c r="B1971" t="s">
        <v>9231</v>
      </c>
      <c r="D1971" t="s">
        <v>1832</v>
      </c>
      <c r="E1971" t="s">
        <v>41</v>
      </c>
      <c r="J1971" t="s">
        <v>1571</v>
      </c>
      <c r="K1971" t="s">
        <v>1572</v>
      </c>
      <c r="L1971">
        <v>5</v>
      </c>
      <c r="M1971" t="s">
        <v>9228</v>
      </c>
      <c r="N1971" t="s">
        <v>685</v>
      </c>
      <c r="O1971" t="s">
        <v>1835</v>
      </c>
      <c r="P1971" t="s">
        <v>1835</v>
      </c>
      <c r="Y1971" t="s">
        <v>9232</v>
      </c>
    </row>
    <row r="1972" spans="1:25">
      <c r="A1972" t="s">
        <v>9233</v>
      </c>
      <c r="B1972" t="s">
        <v>9234</v>
      </c>
      <c r="D1972" t="s">
        <v>1832</v>
      </c>
      <c r="E1972" t="s">
        <v>41</v>
      </c>
      <c r="J1972" t="s">
        <v>371</v>
      </c>
      <c r="K1972" t="s">
        <v>372</v>
      </c>
      <c r="L1972">
        <v>5</v>
      </c>
      <c r="M1972" t="s">
        <v>9228</v>
      </c>
      <c r="N1972" t="s">
        <v>47</v>
      </c>
      <c r="O1972" t="s">
        <v>1835</v>
      </c>
      <c r="P1972" t="s">
        <v>1835</v>
      </c>
      <c r="Y1972" t="s">
        <v>9235</v>
      </c>
    </row>
    <row r="1973" spans="1:25">
      <c r="A1973" t="s">
        <v>9236</v>
      </c>
      <c r="B1973" t="s">
        <v>9237</v>
      </c>
      <c r="D1973" t="s">
        <v>1832</v>
      </c>
      <c r="E1973" t="s">
        <v>41</v>
      </c>
      <c r="J1973" t="s">
        <v>44</v>
      </c>
      <c r="K1973" t="s">
        <v>45</v>
      </c>
      <c r="L1973">
        <v>5</v>
      </c>
      <c r="M1973" t="s">
        <v>9228</v>
      </c>
      <c r="N1973" t="s">
        <v>47</v>
      </c>
      <c r="O1973" t="s">
        <v>1835</v>
      </c>
      <c r="P1973" t="s">
        <v>1835</v>
      </c>
      <c r="Y1973" t="s">
        <v>9238</v>
      </c>
    </row>
    <row r="1974" spans="1:25">
      <c r="A1974" t="s">
        <v>9239</v>
      </c>
      <c r="B1974" t="s">
        <v>9240</v>
      </c>
      <c r="D1974" t="s">
        <v>1832</v>
      </c>
      <c r="E1974" t="s">
        <v>41</v>
      </c>
      <c r="H1974" t="s">
        <v>9241</v>
      </c>
      <c r="J1974" t="s">
        <v>353</v>
      </c>
      <c r="K1974" t="s">
        <v>354</v>
      </c>
      <c r="L1974">
        <v>5</v>
      </c>
      <c r="M1974" t="s">
        <v>9242</v>
      </c>
      <c r="N1974" t="s">
        <v>135</v>
      </c>
      <c r="O1974" t="s">
        <v>1835</v>
      </c>
      <c r="P1974" t="s">
        <v>1835</v>
      </c>
      <c r="Y1974" t="s">
        <v>9241</v>
      </c>
    </row>
    <row r="1975" spans="1:25">
      <c r="A1975" t="s">
        <v>9243</v>
      </c>
      <c r="B1975" t="s">
        <v>9244</v>
      </c>
      <c r="D1975" t="s">
        <v>1832</v>
      </c>
      <c r="E1975" t="s">
        <v>41</v>
      </c>
      <c r="J1975" t="s">
        <v>90</v>
      </c>
      <c r="K1975" t="s">
        <v>91</v>
      </c>
      <c r="L1975">
        <v>5</v>
      </c>
      <c r="M1975" t="s">
        <v>9242</v>
      </c>
      <c r="N1975" t="s">
        <v>47</v>
      </c>
      <c r="O1975" t="s">
        <v>1835</v>
      </c>
      <c r="P1975" t="s">
        <v>1835</v>
      </c>
      <c r="Y1975" t="s">
        <v>9245</v>
      </c>
    </row>
    <row r="1976" spans="1:25">
      <c r="A1976" t="s">
        <v>9246</v>
      </c>
      <c r="B1976" t="s">
        <v>9247</v>
      </c>
      <c r="D1976" t="s">
        <v>1832</v>
      </c>
      <c r="E1976" t="s">
        <v>41</v>
      </c>
      <c r="J1976" t="s">
        <v>90</v>
      </c>
      <c r="K1976" t="s">
        <v>91</v>
      </c>
      <c r="L1976">
        <v>5</v>
      </c>
      <c r="M1976" t="s">
        <v>9242</v>
      </c>
      <c r="N1976" t="s">
        <v>47</v>
      </c>
      <c r="O1976" t="s">
        <v>1835</v>
      </c>
      <c r="P1976" t="s">
        <v>1835</v>
      </c>
      <c r="Y1976" t="s">
        <v>9248</v>
      </c>
    </row>
    <row r="1977" spans="1:25">
      <c r="A1977" t="s">
        <v>9249</v>
      </c>
      <c r="B1977" t="s">
        <v>9250</v>
      </c>
      <c r="D1977" t="s">
        <v>1832</v>
      </c>
      <c r="E1977" t="s">
        <v>41</v>
      </c>
      <c r="H1977" t="s">
        <v>9251</v>
      </c>
      <c r="J1977" t="s">
        <v>133</v>
      </c>
      <c r="K1977" t="s">
        <v>134</v>
      </c>
      <c r="L1977">
        <v>5</v>
      </c>
      <c r="M1977" t="s">
        <v>9252</v>
      </c>
      <c r="N1977" t="s">
        <v>685</v>
      </c>
      <c r="O1977" t="s">
        <v>1835</v>
      </c>
      <c r="P1977" t="s">
        <v>1835</v>
      </c>
      <c r="Y1977" t="s">
        <v>9251</v>
      </c>
    </row>
    <row r="1978" spans="1:25">
      <c r="A1978" t="s">
        <v>9253</v>
      </c>
      <c r="B1978" t="s">
        <v>9254</v>
      </c>
      <c r="D1978" t="s">
        <v>1832</v>
      </c>
      <c r="E1978" t="s">
        <v>41</v>
      </c>
      <c r="J1978" t="s">
        <v>44</v>
      </c>
      <c r="K1978" t="s">
        <v>45</v>
      </c>
      <c r="L1978">
        <v>5</v>
      </c>
      <c r="M1978" t="s">
        <v>9255</v>
      </c>
      <c r="N1978" t="s">
        <v>47</v>
      </c>
      <c r="O1978" t="s">
        <v>1835</v>
      </c>
      <c r="P1978" t="s">
        <v>1835</v>
      </c>
      <c r="Y1978" t="s">
        <v>9256</v>
      </c>
    </row>
    <row r="1979" spans="1:25">
      <c r="A1979" t="s">
        <v>9257</v>
      </c>
      <c r="B1979" t="s">
        <v>9258</v>
      </c>
      <c r="D1979" t="s">
        <v>1832</v>
      </c>
      <c r="E1979" t="s">
        <v>41</v>
      </c>
      <c r="J1979" t="s">
        <v>54</v>
      </c>
      <c r="K1979" t="s">
        <v>55</v>
      </c>
      <c r="L1979">
        <v>5</v>
      </c>
      <c r="M1979" t="s">
        <v>9255</v>
      </c>
      <c r="N1979" t="s">
        <v>47</v>
      </c>
      <c r="O1979" t="s">
        <v>1835</v>
      </c>
      <c r="P1979" t="s">
        <v>1835</v>
      </c>
      <c r="Y1979" t="s">
        <v>9259</v>
      </c>
    </row>
    <row r="1980" spans="1:25">
      <c r="A1980" t="s">
        <v>9260</v>
      </c>
      <c r="B1980" t="s">
        <v>9261</v>
      </c>
      <c r="D1980" t="s">
        <v>1832</v>
      </c>
      <c r="E1980" t="s">
        <v>41</v>
      </c>
      <c r="H1980" t="s">
        <v>9262</v>
      </c>
      <c r="J1980" t="s">
        <v>90</v>
      </c>
      <c r="K1980" t="s">
        <v>91</v>
      </c>
      <c r="L1980">
        <v>5</v>
      </c>
      <c r="M1980" t="s">
        <v>9263</v>
      </c>
      <c r="N1980" t="s">
        <v>47</v>
      </c>
      <c r="O1980" t="s">
        <v>1835</v>
      </c>
      <c r="P1980" t="s">
        <v>1835</v>
      </c>
      <c r="Y1980" t="s">
        <v>9262</v>
      </c>
    </row>
    <row r="1981" spans="1:25">
      <c r="A1981" t="s">
        <v>9264</v>
      </c>
      <c r="B1981" t="s">
        <v>9265</v>
      </c>
      <c r="D1981" t="s">
        <v>1832</v>
      </c>
      <c r="E1981" t="s">
        <v>41</v>
      </c>
      <c r="J1981" t="s">
        <v>54</v>
      </c>
      <c r="K1981" t="s">
        <v>55</v>
      </c>
      <c r="L1981">
        <v>5</v>
      </c>
      <c r="M1981" t="s">
        <v>9266</v>
      </c>
      <c r="N1981" t="s">
        <v>47</v>
      </c>
      <c r="O1981" t="s">
        <v>1835</v>
      </c>
      <c r="P1981" t="s">
        <v>1835</v>
      </c>
      <c r="Y1981" t="s">
        <v>9267</v>
      </c>
    </row>
    <row r="1982" spans="1:25">
      <c r="A1982" t="s">
        <v>9268</v>
      </c>
      <c r="B1982" t="s">
        <v>9269</v>
      </c>
      <c r="D1982" t="s">
        <v>1832</v>
      </c>
      <c r="E1982" t="s">
        <v>41</v>
      </c>
      <c r="J1982" t="s">
        <v>44</v>
      </c>
      <c r="K1982" t="s">
        <v>45</v>
      </c>
      <c r="L1982">
        <v>5</v>
      </c>
      <c r="M1982" t="s">
        <v>9270</v>
      </c>
      <c r="N1982" t="s">
        <v>47</v>
      </c>
      <c r="O1982" t="s">
        <v>1835</v>
      </c>
      <c r="P1982" t="s">
        <v>1835</v>
      </c>
      <c r="Y1982" t="s">
        <v>9271</v>
      </c>
    </row>
    <row r="1983" spans="1:25">
      <c r="A1983" t="s">
        <v>9272</v>
      </c>
      <c r="B1983" t="s">
        <v>9273</v>
      </c>
      <c r="D1983" t="s">
        <v>1832</v>
      </c>
      <c r="E1983" t="s">
        <v>41</v>
      </c>
      <c r="J1983" t="s">
        <v>133</v>
      </c>
      <c r="K1983" t="s">
        <v>134</v>
      </c>
      <c r="L1983">
        <v>5</v>
      </c>
      <c r="M1983" t="s">
        <v>9274</v>
      </c>
      <c r="N1983" t="s">
        <v>290</v>
      </c>
      <c r="O1983" t="s">
        <v>1835</v>
      </c>
      <c r="P1983" t="s">
        <v>1835</v>
      </c>
      <c r="Y1983" t="s">
        <v>9275</v>
      </c>
    </row>
    <row r="1984" spans="1:25">
      <c r="A1984" t="s">
        <v>9276</v>
      </c>
      <c r="B1984" t="s">
        <v>9277</v>
      </c>
      <c r="D1984" t="s">
        <v>1832</v>
      </c>
      <c r="E1984" t="s">
        <v>41</v>
      </c>
      <c r="J1984" t="s">
        <v>78</v>
      </c>
      <c r="K1984" t="s">
        <v>79</v>
      </c>
      <c r="L1984">
        <v>5</v>
      </c>
      <c r="M1984" t="s">
        <v>9278</v>
      </c>
      <c r="N1984" t="s">
        <v>47</v>
      </c>
      <c r="O1984" t="s">
        <v>1835</v>
      </c>
      <c r="P1984" t="s">
        <v>1835</v>
      </c>
      <c r="Y1984" t="s">
        <v>9279</v>
      </c>
    </row>
    <row r="1985" spans="1:25">
      <c r="A1985" t="s">
        <v>9280</v>
      </c>
      <c r="B1985" t="s">
        <v>9281</v>
      </c>
      <c r="D1985" t="s">
        <v>1832</v>
      </c>
      <c r="E1985" t="s">
        <v>41</v>
      </c>
      <c r="J1985" t="s">
        <v>9282</v>
      </c>
      <c r="K1985" t="s">
        <v>9283</v>
      </c>
      <c r="L1985">
        <v>5</v>
      </c>
      <c r="M1985" t="s">
        <v>9284</v>
      </c>
      <c r="N1985" t="s">
        <v>135</v>
      </c>
      <c r="O1985" t="s">
        <v>1835</v>
      </c>
      <c r="P1985" t="s">
        <v>1835</v>
      </c>
      <c r="Y1985" t="s">
        <v>9285</v>
      </c>
    </row>
    <row r="1986" spans="1:25">
      <c r="A1986" t="s">
        <v>9286</v>
      </c>
      <c r="B1986" t="s">
        <v>9287</v>
      </c>
      <c r="D1986" t="s">
        <v>1832</v>
      </c>
      <c r="E1986" t="s">
        <v>41</v>
      </c>
      <c r="J1986" t="s">
        <v>54</v>
      </c>
      <c r="K1986" t="s">
        <v>55</v>
      </c>
      <c r="L1986">
        <v>5</v>
      </c>
      <c r="M1986" t="s">
        <v>9288</v>
      </c>
      <c r="N1986" t="s">
        <v>47</v>
      </c>
      <c r="O1986" t="s">
        <v>1835</v>
      </c>
      <c r="P1986" t="s">
        <v>1835</v>
      </c>
      <c r="Y1986" t="s">
        <v>9289</v>
      </c>
    </row>
    <row r="1987" spans="1:25">
      <c r="A1987" t="s">
        <v>9290</v>
      </c>
      <c r="B1987" t="s">
        <v>9291</v>
      </c>
      <c r="D1987" t="s">
        <v>1832</v>
      </c>
      <c r="E1987" t="s">
        <v>41</v>
      </c>
      <c r="J1987" t="s">
        <v>54</v>
      </c>
      <c r="K1987" t="s">
        <v>55</v>
      </c>
      <c r="L1987">
        <v>5</v>
      </c>
      <c r="M1987" t="s">
        <v>9288</v>
      </c>
      <c r="N1987" t="s">
        <v>47</v>
      </c>
      <c r="O1987" t="s">
        <v>1835</v>
      </c>
      <c r="P1987" t="s">
        <v>1835</v>
      </c>
      <c r="Y1987" t="s">
        <v>9292</v>
      </c>
    </row>
    <row r="1988" spans="1:25">
      <c r="A1988" t="s">
        <v>9293</v>
      </c>
      <c r="B1988" t="s">
        <v>9294</v>
      </c>
      <c r="D1988" t="s">
        <v>1832</v>
      </c>
      <c r="E1988" t="s">
        <v>41</v>
      </c>
      <c r="J1988" t="s">
        <v>78</v>
      </c>
      <c r="K1988" t="s">
        <v>79</v>
      </c>
      <c r="L1988">
        <v>5</v>
      </c>
      <c r="M1988" t="s">
        <v>9295</v>
      </c>
      <c r="N1988" t="s">
        <v>47</v>
      </c>
      <c r="O1988" t="s">
        <v>1835</v>
      </c>
      <c r="P1988" t="s">
        <v>1835</v>
      </c>
      <c r="Y1988" t="s">
        <v>9296</v>
      </c>
    </row>
    <row r="1989" spans="1:25">
      <c r="A1989" t="s">
        <v>9297</v>
      </c>
      <c r="B1989" t="s">
        <v>9298</v>
      </c>
      <c r="D1989" t="s">
        <v>1832</v>
      </c>
      <c r="E1989" t="s">
        <v>41</v>
      </c>
      <c r="J1989" t="s">
        <v>90</v>
      </c>
      <c r="K1989" t="s">
        <v>91</v>
      </c>
      <c r="L1989">
        <v>5</v>
      </c>
      <c r="M1989" t="s">
        <v>9299</v>
      </c>
      <c r="N1989" t="s">
        <v>47</v>
      </c>
      <c r="O1989" t="s">
        <v>1835</v>
      </c>
      <c r="P1989" t="s">
        <v>1835</v>
      </c>
      <c r="Y1989" t="s">
        <v>9300</v>
      </c>
    </row>
    <row r="1990" spans="1:25">
      <c r="A1990" t="s">
        <v>9301</v>
      </c>
      <c r="B1990" t="s">
        <v>9302</v>
      </c>
      <c r="D1990" t="s">
        <v>1832</v>
      </c>
      <c r="E1990" t="s">
        <v>41</v>
      </c>
      <c r="J1990" t="s">
        <v>90</v>
      </c>
      <c r="K1990" t="s">
        <v>91</v>
      </c>
      <c r="L1990">
        <v>5</v>
      </c>
      <c r="M1990" t="s">
        <v>9299</v>
      </c>
      <c r="N1990" t="s">
        <v>47</v>
      </c>
      <c r="O1990" t="s">
        <v>1835</v>
      </c>
      <c r="P1990" t="s">
        <v>1835</v>
      </c>
      <c r="Y1990" t="s">
        <v>9303</v>
      </c>
    </row>
    <row r="1991" spans="1:25">
      <c r="A1991" t="s">
        <v>9304</v>
      </c>
      <c r="B1991" t="s">
        <v>9305</v>
      </c>
      <c r="D1991" t="s">
        <v>1832</v>
      </c>
      <c r="E1991" t="s">
        <v>41</v>
      </c>
      <c r="J1991" t="s">
        <v>44</v>
      </c>
      <c r="K1991" t="s">
        <v>45</v>
      </c>
      <c r="L1991">
        <v>5</v>
      </c>
      <c r="M1991" t="s">
        <v>9299</v>
      </c>
      <c r="N1991" t="s">
        <v>47</v>
      </c>
      <c r="O1991" t="s">
        <v>1835</v>
      </c>
      <c r="P1991" t="s">
        <v>1835</v>
      </c>
      <c r="Y1991" t="s">
        <v>9306</v>
      </c>
    </row>
    <row r="1992" spans="1:25">
      <c r="A1992" t="s">
        <v>9307</v>
      </c>
      <c r="B1992" t="s">
        <v>9308</v>
      </c>
      <c r="D1992" t="s">
        <v>1832</v>
      </c>
      <c r="E1992" t="s">
        <v>41</v>
      </c>
      <c r="J1992" t="s">
        <v>90</v>
      </c>
      <c r="K1992" t="s">
        <v>91</v>
      </c>
      <c r="L1992">
        <v>5</v>
      </c>
      <c r="M1992" t="s">
        <v>9299</v>
      </c>
      <c r="N1992" t="s">
        <v>47</v>
      </c>
      <c r="O1992" t="s">
        <v>1835</v>
      </c>
      <c r="P1992" t="s">
        <v>1835</v>
      </c>
      <c r="Y1992" t="s">
        <v>9309</v>
      </c>
    </row>
    <row r="1993" spans="1:25">
      <c r="A1993" t="s">
        <v>9310</v>
      </c>
      <c r="B1993" t="s">
        <v>9311</v>
      </c>
      <c r="D1993" t="s">
        <v>1832</v>
      </c>
      <c r="E1993" t="s">
        <v>41</v>
      </c>
      <c r="J1993" t="s">
        <v>54</v>
      </c>
      <c r="K1993" t="s">
        <v>55</v>
      </c>
      <c r="L1993">
        <v>5</v>
      </c>
      <c r="M1993" t="s">
        <v>9312</v>
      </c>
      <c r="N1993" t="s">
        <v>47</v>
      </c>
      <c r="O1993" t="s">
        <v>1835</v>
      </c>
      <c r="P1993" t="s">
        <v>1835</v>
      </c>
      <c r="Y1993" t="s">
        <v>9313</v>
      </c>
    </row>
    <row r="1994" spans="1:25">
      <c r="A1994" t="s">
        <v>9314</v>
      </c>
      <c r="B1994" t="s">
        <v>9315</v>
      </c>
      <c r="D1994" t="s">
        <v>1832</v>
      </c>
      <c r="E1994" t="s">
        <v>41</v>
      </c>
      <c r="J1994" t="s">
        <v>44</v>
      </c>
      <c r="K1994" t="s">
        <v>45</v>
      </c>
      <c r="L1994">
        <v>5</v>
      </c>
      <c r="M1994" t="s">
        <v>9316</v>
      </c>
      <c r="N1994" t="s">
        <v>47</v>
      </c>
      <c r="O1994" t="s">
        <v>1835</v>
      </c>
      <c r="P1994" t="s">
        <v>1835</v>
      </c>
      <c r="Y1994" t="s">
        <v>9317</v>
      </c>
    </row>
    <row r="1995" spans="1:25">
      <c r="A1995" t="s">
        <v>9318</v>
      </c>
      <c r="B1995" t="s">
        <v>9319</v>
      </c>
      <c r="D1995" t="s">
        <v>1832</v>
      </c>
      <c r="E1995" t="s">
        <v>41</v>
      </c>
      <c r="J1995" t="s">
        <v>371</v>
      </c>
      <c r="K1995" t="s">
        <v>372</v>
      </c>
      <c r="L1995">
        <v>5</v>
      </c>
      <c r="M1995" t="s">
        <v>9316</v>
      </c>
      <c r="N1995" t="s">
        <v>47</v>
      </c>
      <c r="O1995" t="s">
        <v>1835</v>
      </c>
      <c r="P1995" t="s">
        <v>1835</v>
      </c>
      <c r="Y1995" t="s">
        <v>9320</v>
      </c>
    </row>
    <row r="1996" spans="1:25">
      <c r="A1996" t="s">
        <v>9321</v>
      </c>
      <c r="B1996" t="s">
        <v>9322</v>
      </c>
      <c r="D1996" t="s">
        <v>1832</v>
      </c>
      <c r="E1996" t="s">
        <v>41</v>
      </c>
      <c r="J1996" t="s">
        <v>44</v>
      </c>
      <c r="K1996" t="s">
        <v>45</v>
      </c>
      <c r="L1996">
        <v>5</v>
      </c>
      <c r="M1996" t="s">
        <v>9323</v>
      </c>
      <c r="N1996" t="s">
        <v>47</v>
      </c>
      <c r="O1996" t="s">
        <v>1835</v>
      </c>
      <c r="P1996" t="s">
        <v>1835</v>
      </c>
      <c r="Y1996" t="s">
        <v>9324</v>
      </c>
    </row>
    <row r="1997" spans="1:25">
      <c r="A1997" t="s">
        <v>9325</v>
      </c>
      <c r="B1997" t="s">
        <v>9326</v>
      </c>
      <c r="D1997" t="s">
        <v>1832</v>
      </c>
      <c r="E1997" t="s">
        <v>41</v>
      </c>
      <c r="H1997" t="s">
        <v>9327</v>
      </c>
      <c r="J1997" t="s">
        <v>44</v>
      </c>
      <c r="K1997" t="s">
        <v>45</v>
      </c>
      <c r="L1997">
        <v>5</v>
      </c>
      <c r="M1997" t="s">
        <v>9323</v>
      </c>
      <c r="N1997" t="s">
        <v>47</v>
      </c>
      <c r="O1997" t="s">
        <v>1835</v>
      </c>
      <c r="P1997" t="s">
        <v>1835</v>
      </c>
      <c r="Y1997" t="s">
        <v>9327</v>
      </c>
    </row>
    <row r="1998" spans="1:25">
      <c r="A1998" t="s">
        <v>9328</v>
      </c>
      <c r="B1998" t="s">
        <v>9329</v>
      </c>
      <c r="D1998" t="s">
        <v>1832</v>
      </c>
      <c r="E1998" t="s">
        <v>41</v>
      </c>
      <c r="J1998" t="s">
        <v>44</v>
      </c>
      <c r="K1998" t="s">
        <v>45</v>
      </c>
      <c r="L1998">
        <v>5</v>
      </c>
      <c r="M1998" t="s">
        <v>9330</v>
      </c>
      <c r="N1998" t="s">
        <v>47</v>
      </c>
      <c r="O1998" t="s">
        <v>1835</v>
      </c>
      <c r="P1998" t="s">
        <v>1835</v>
      </c>
      <c r="Y1998" t="s">
        <v>9331</v>
      </c>
    </row>
    <row r="1999" spans="1:25">
      <c r="A1999" t="s">
        <v>9332</v>
      </c>
      <c r="B1999" t="s">
        <v>9333</v>
      </c>
      <c r="D1999" t="s">
        <v>1832</v>
      </c>
      <c r="E1999" t="s">
        <v>41</v>
      </c>
      <c r="J1999" t="s">
        <v>90</v>
      </c>
      <c r="K1999" t="s">
        <v>91</v>
      </c>
      <c r="L1999">
        <v>5</v>
      </c>
      <c r="M1999" t="s">
        <v>9330</v>
      </c>
      <c r="N1999" t="s">
        <v>47</v>
      </c>
      <c r="O1999" t="s">
        <v>1835</v>
      </c>
      <c r="P1999" t="s">
        <v>1835</v>
      </c>
      <c r="Y1999" t="s">
        <v>9334</v>
      </c>
    </row>
    <row r="2000" spans="1:25">
      <c r="A2000" t="s">
        <v>9335</v>
      </c>
      <c r="B2000" t="s">
        <v>9336</v>
      </c>
      <c r="D2000" t="s">
        <v>1832</v>
      </c>
      <c r="E2000" t="s">
        <v>41</v>
      </c>
      <c r="J2000" t="s">
        <v>90</v>
      </c>
      <c r="K2000" t="s">
        <v>91</v>
      </c>
      <c r="L2000">
        <v>5</v>
      </c>
      <c r="M2000" t="s">
        <v>9337</v>
      </c>
      <c r="N2000" t="s">
        <v>47</v>
      </c>
      <c r="O2000" t="s">
        <v>1835</v>
      </c>
      <c r="P2000" t="s">
        <v>1835</v>
      </c>
      <c r="Y2000" t="s">
        <v>9338</v>
      </c>
    </row>
    <row r="2001" spans="1:25">
      <c r="A2001" t="s">
        <v>9339</v>
      </c>
      <c r="B2001" t="s">
        <v>9340</v>
      </c>
      <c r="D2001" t="s">
        <v>1832</v>
      </c>
      <c r="E2001" t="s">
        <v>41</v>
      </c>
      <c r="J2001" t="s">
        <v>353</v>
      </c>
      <c r="K2001" t="s">
        <v>354</v>
      </c>
      <c r="L2001">
        <v>5</v>
      </c>
      <c r="M2001" t="s">
        <v>9341</v>
      </c>
      <c r="N2001" t="s">
        <v>135</v>
      </c>
      <c r="O2001" t="s">
        <v>1835</v>
      </c>
      <c r="P2001" t="s">
        <v>1835</v>
      </c>
      <c r="Y2001" t="s">
        <v>9342</v>
      </c>
    </row>
    <row r="2002" spans="1:25">
      <c r="A2002" t="s">
        <v>9343</v>
      </c>
      <c r="B2002" t="s">
        <v>9344</v>
      </c>
      <c r="D2002" t="s">
        <v>1832</v>
      </c>
      <c r="E2002" t="s">
        <v>41</v>
      </c>
      <c r="J2002" t="s">
        <v>78</v>
      </c>
      <c r="K2002" t="s">
        <v>79</v>
      </c>
      <c r="L2002">
        <v>5</v>
      </c>
      <c r="M2002" t="s">
        <v>9345</v>
      </c>
      <c r="N2002" t="s">
        <v>47</v>
      </c>
      <c r="O2002" t="s">
        <v>1835</v>
      </c>
      <c r="P2002" t="s">
        <v>1835</v>
      </c>
      <c r="Y2002" t="s">
        <v>9346</v>
      </c>
    </row>
    <row r="2003" spans="1:25">
      <c r="A2003" t="s">
        <v>9347</v>
      </c>
      <c r="B2003" t="s">
        <v>9348</v>
      </c>
      <c r="D2003" t="s">
        <v>1832</v>
      </c>
      <c r="E2003" t="s">
        <v>41</v>
      </c>
      <c r="J2003" t="s">
        <v>54</v>
      </c>
      <c r="K2003" t="s">
        <v>55</v>
      </c>
      <c r="L2003">
        <v>5</v>
      </c>
      <c r="M2003" t="s">
        <v>9349</v>
      </c>
      <c r="N2003" t="s">
        <v>47</v>
      </c>
      <c r="O2003" t="s">
        <v>1835</v>
      </c>
      <c r="P2003" t="s">
        <v>1835</v>
      </c>
      <c r="Y2003" t="s">
        <v>9350</v>
      </c>
    </row>
    <row r="2004" spans="1:25">
      <c r="A2004" t="s">
        <v>9351</v>
      </c>
      <c r="B2004" t="s">
        <v>9352</v>
      </c>
      <c r="D2004" t="s">
        <v>1832</v>
      </c>
      <c r="E2004" t="s">
        <v>41</v>
      </c>
      <c r="J2004" t="s">
        <v>371</v>
      </c>
      <c r="K2004" t="s">
        <v>372</v>
      </c>
      <c r="L2004">
        <v>5</v>
      </c>
      <c r="M2004" t="s">
        <v>9349</v>
      </c>
      <c r="N2004" t="s">
        <v>47</v>
      </c>
      <c r="O2004" t="s">
        <v>1835</v>
      </c>
      <c r="P2004" t="s">
        <v>1835</v>
      </c>
      <c r="Y2004" t="s">
        <v>9353</v>
      </c>
    </row>
    <row r="2005" spans="1:25">
      <c r="A2005" t="s">
        <v>9354</v>
      </c>
      <c r="B2005" t="s">
        <v>9355</v>
      </c>
      <c r="D2005" t="s">
        <v>1832</v>
      </c>
      <c r="E2005" t="s">
        <v>41</v>
      </c>
      <c r="H2005" t="s">
        <v>9356</v>
      </c>
      <c r="J2005" t="s">
        <v>78</v>
      </c>
      <c r="K2005" t="s">
        <v>79</v>
      </c>
      <c r="L2005">
        <v>5</v>
      </c>
      <c r="M2005" t="s">
        <v>9357</v>
      </c>
      <c r="N2005" t="s">
        <v>47</v>
      </c>
      <c r="O2005" t="s">
        <v>1835</v>
      </c>
      <c r="P2005" t="s">
        <v>1835</v>
      </c>
      <c r="Y2005" t="s">
        <v>9356</v>
      </c>
    </row>
    <row r="2006" spans="1:25">
      <c r="A2006" t="s">
        <v>9358</v>
      </c>
      <c r="B2006" t="s">
        <v>9359</v>
      </c>
      <c r="D2006" t="s">
        <v>1832</v>
      </c>
      <c r="E2006" t="s">
        <v>41</v>
      </c>
      <c r="J2006" t="s">
        <v>353</v>
      </c>
      <c r="K2006" t="s">
        <v>354</v>
      </c>
      <c r="L2006">
        <v>5</v>
      </c>
      <c r="M2006" t="s">
        <v>9360</v>
      </c>
      <c r="N2006" t="s">
        <v>135</v>
      </c>
      <c r="O2006" t="s">
        <v>1835</v>
      </c>
      <c r="P2006" t="s">
        <v>1835</v>
      </c>
      <c r="Y2006" t="s">
        <v>9361</v>
      </c>
    </row>
    <row r="2007" spans="1:25">
      <c r="A2007" t="s">
        <v>9362</v>
      </c>
      <c r="B2007" t="s">
        <v>9363</v>
      </c>
      <c r="D2007" t="s">
        <v>1832</v>
      </c>
      <c r="E2007" t="s">
        <v>41</v>
      </c>
      <c r="J2007" t="s">
        <v>44</v>
      </c>
      <c r="K2007" t="s">
        <v>45</v>
      </c>
      <c r="L2007">
        <v>5</v>
      </c>
      <c r="M2007" t="s">
        <v>9364</v>
      </c>
      <c r="N2007" t="s">
        <v>47</v>
      </c>
      <c r="O2007" t="s">
        <v>1835</v>
      </c>
      <c r="P2007" t="s">
        <v>1835</v>
      </c>
      <c r="Y2007" t="s">
        <v>9365</v>
      </c>
    </row>
    <row r="2008" spans="1:25">
      <c r="A2008" t="s">
        <v>9366</v>
      </c>
      <c r="B2008" t="s">
        <v>9367</v>
      </c>
      <c r="D2008" t="s">
        <v>1832</v>
      </c>
      <c r="E2008" t="s">
        <v>41</v>
      </c>
      <c r="H2008" t="s">
        <v>9368</v>
      </c>
      <c r="J2008" t="s">
        <v>44</v>
      </c>
      <c r="K2008" t="s">
        <v>45</v>
      </c>
      <c r="L2008">
        <v>5</v>
      </c>
      <c r="M2008" t="s">
        <v>9369</v>
      </c>
      <c r="N2008" t="s">
        <v>47</v>
      </c>
      <c r="O2008" t="s">
        <v>1835</v>
      </c>
      <c r="P2008" t="s">
        <v>1835</v>
      </c>
      <c r="Y2008" t="s">
        <v>9368</v>
      </c>
    </row>
    <row r="2009" spans="1:25">
      <c r="A2009" t="s">
        <v>9370</v>
      </c>
      <c r="B2009" t="s">
        <v>9371</v>
      </c>
      <c r="D2009" t="s">
        <v>1832</v>
      </c>
      <c r="E2009" t="s">
        <v>41</v>
      </c>
      <c r="J2009" t="s">
        <v>54</v>
      </c>
      <c r="K2009" t="s">
        <v>55</v>
      </c>
      <c r="L2009">
        <v>5</v>
      </c>
      <c r="M2009" t="s">
        <v>9369</v>
      </c>
      <c r="N2009" t="s">
        <v>47</v>
      </c>
      <c r="O2009" t="s">
        <v>1835</v>
      </c>
      <c r="P2009" t="s">
        <v>1835</v>
      </c>
      <c r="Y2009" t="s">
        <v>9372</v>
      </c>
    </row>
    <row r="2010" spans="1:25">
      <c r="A2010" t="s">
        <v>9373</v>
      </c>
      <c r="B2010" t="s">
        <v>9374</v>
      </c>
      <c r="D2010" t="s">
        <v>1832</v>
      </c>
      <c r="E2010" t="s">
        <v>41</v>
      </c>
      <c r="J2010" t="s">
        <v>44</v>
      </c>
      <c r="K2010" t="s">
        <v>45</v>
      </c>
      <c r="L2010">
        <v>5</v>
      </c>
      <c r="M2010" t="s">
        <v>9375</v>
      </c>
      <c r="N2010" t="s">
        <v>47</v>
      </c>
      <c r="O2010" t="s">
        <v>1835</v>
      </c>
      <c r="P2010" t="s">
        <v>1835</v>
      </c>
      <c r="Y2010" t="s">
        <v>9376</v>
      </c>
    </row>
    <row r="2011" spans="1:25">
      <c r="A2011" t="s">
        <v>9377</v>
      </c>
      <c r="B2011" t="s">
        <v>9378</v>
      </c>
      <c r="D2011" t="s">
        <v>1832</v>
      </c>
      <c r="E2011" t="s">
        <v>41</v>
      </c>
      <c r="J2011" t="s">
        <v>54</v>
      </c>
      <c r="K2011" t="s">
        <v>55</v>
      </c>
      <c r="L2011">
        <v>5</v>
      </c>
      <c r="M2011" t="s">
        <v>9375</v>
      </c>
      <c r="N2011" t="s">
        <v>47</v>
      </c>
      <c r="O2011" t="s">
        <v>1835</v>
      </c>
      <c r="P2011" t="s">
        <v>1835</v>
      </c>
      <c r="Y2011" t="s">
        <v>9379</v>
      </c>
    </row>
    <row r="2012" spans="1:25">
      <c r="A2012" t="s">
        <v>9380</v>
      </c>
      <c r="B2012" t="s">
        <v>9381</v>
      </c>
      <c r="D2012" t="s">
        <v>1832</v>
      </c>
      <c r="E2012" t="s">
        <v>41</v>
      </c>
      <c r="J2012" t="s">
        <v>78</v>
      </c>
      <c r="K2012" t="s">
        <v>79</v>
      </c>
      <c r="L2012">
        <v>5</v>
      </c>
      <c r="M2012" t="s">
        <v>9382</v>
      </c>
      <c r="N2012" t="s">
        <v>47</v>
      </c>
      <c r="O2012" t="s">
        <v>1835</v>
      </c>
      <c r="P2012" t="s">
        <v>1835</v>
      </c>
      <c r="Y2012" t="s">
        <v>9383</v>
      </c>
    </row>
    <row r="2013" spans="1:25">
      <c r="A2013" t="s">
        <v>9384</v>
      </c>
      <c r="B2013" t="s">
        <v>9385</v>
      </c>
      <c r="D2013" t="s">
        <v>1832</v>
      </c>
      <c r="E2013" t="s">
        <v>41</v>
      </c>
      <c r="J2013" t="s">
        <v>54</v>
      </c>
      <c r="K2013" t="s">
        <v>55</v>
      </c>
      <c r="L2013">
        <v>5</v>
      </c>
      <c r="M2013" t="s">
        <v>9386</v>
      </c>
      <c r="N2013" t="s">
        <v>47</v>
      </c>
      <c r="O2013" t="s">
        <v>1835</v>
      </c>
      <c r="P2013" t="s">
        <v>1835</v>
      </c>
      <c r="Y2013" t="s">
        <v>9387</v>
      </c>
    </row>
    <row r="2014" spans="1:25">
      <c r="A2014" t="s">
        <v>9388</v>
      </c>
      <c r="B2014" t="s">
        <v>9389</v>
      </c>
      <c r="D2014" t="s">
        <v>1832</v>
      </c>
      <c r="E2014" t="s">
        <v>41</v>
      </c>
      <c r="J2014" t="s">
        <v>90</v>
      </c>
      <c r="K2014" t="s">
        <v>91</v>
      </c>
      <c r="L2014">
        <v>5</v>
      </c>
      <c r="M2014" t="s">
        <v>9386</v>
      </c>
      <c r="N2014" t="s">
        <v>47</v>
      </c>
      <c r="O2014" t="s">
        <v>1835</v>
      </c>
      <c r="P2014" t="s">
        <v>1835</v>
      </c>
      <c r="Y2014" t="s">
        <v>9390</v>
      </c>
    </row>
    <row r="2015" spans="1:25">
      <c r="A2015" t="s">
        <v>9391</v>
      </c>
      <c r="B2015" t="s">
        <v>9392</v>
      </c>
      <c r="D2015" t="s">
        <v>1832</v>
      </c>
      <c r="E2015" t="s">
        <v>41</v>
      </c>
      <c r="J2015" t="s">
        <v>78</v>
      </c>
      <c r="K2015" t="s">
        <v>79</v>
      </c>
      <c r="L2015">
        <v>5</v>
      </c>
      <c r="M2015" t="s">
        <v>9386</v>
      </c>
      <c r="N2015" t="s">
        <v>47</v>
      </c>
      <c r="O2015" t="s">
        <v>1835</v>
      </c>
      <c r="P2015" t="s">
        <v>1835</v>
      </c>
      <c r="Y2015" t="s">
        <v>9393</v>
      </c>
    </row>
    <row r="2016" spans="1:25">
      <c r="A2016" t="s">
        <v>9394</v>
      </c>
      <c r="B2016" t="s">
        <v>9395</v>
      </c>
      <c r="D2016" t="s">
        <v>1832</v>
      </c>
      <c r="E2016" t="s">
        <v>41</v>
      </c>
      <c r="H2016" t="s">
        <v>9396</v>
      </c>
      <c r="J2016" t="s">
        <v>2328</v>
      </c>
      <c r="K2016" t="s">
        <v>2329</v>
      </c>
      <c r="L2016">
        <v>6</v>
      </c>
      <c r="M2016" t="s">
        <v>9397</v>
      </c>
      <c r="N2016" t="s">
        <v>685</v>
      </c>
      <c r="O2016" t="s">
        <v>1835</v>
      </c>
      <c r="P2016" t="s">
        <v>1835</v>
      </c>
      <c r="Y2016" t="s">
        <v>9396</v>
      </c>
    </row>
    <row r="2017" spans="1:25">
      <c r="A2017" t="s">
        <v>9398</v>
      </c>
      <c r="B2017" t="s">
        <v>9399</v>
      </c>
      <c r="D2017" t="s">
        <v>1832</v>
      </c>
      <c r="E2017" t="s">
        <v>41</v>
      </c>
      <c r="J2017" t="s">
        <v>133</v>
      </c>
      <c r="K2017" t="s">
        <v>134</v>
      </c>
      <c r="L2017">
        <v>5</v>
      </c>
      <c r="M2017" t="s">
        <v>9400</v>
      </c>
      <c r="N2017" t="s">
        <v>290</v>
      </c>
      <c r="O2017" t="s">
        <v>1835</v>
      </c>
      <c r="P2017" t="s">
        <v>1835</v>
      </c>
      <c r="Y2017" t="s">
        <v>9401</v>
      </c>
    </row>
    <row r="2018" spans="1:25">
      <c r="A2018" t="s">
        <v>9402</v>
      </c>
      <c r="B2018" t="s">
        <v>9403</v>
      </c>
      <c r="D2018" t="s">
        <v>1832</v>
      </c>
      <c r="E2018" t="s">
        <v>41</v>
      </c>
      <c r="J2018" t="s">
        <v>90</v>
      </c>
      <c r="K2018" t="s">
        <v>91</v>
      </c>
      <c r="L2018">
        <v>5</v>
      </c>
      <c r="M2018" t="s">
        <v>9404</v>
      </c>
      <c r="N2018" t="s">
        <v>47</v>
      </c>
      <c r="O2018" t="s">
        <v>1835</v>
      </c>
      <c r="P2018" t="s">
        <v>1835</v>
      </c>
      <c r="Y2018" t="s">
        <v>9405</v>
      </c>
    </row>
    <row r="2019" spans="1:25">
      <c r="A2019" t="s">
        <v>9406</v>
      </c>
      <c r="B2019" t="s">
        <v>9407</v>
      </c>
      <c r="D2019" t="s">
        <v>1832</v>
      </c>
      <c r="E2019" t="s">
        <v>41</v>
      </c>
      <c r="H2019" t="s">
        <v>9408</v>
      </c>
      <c r="J2019" t="s">
        <v>90</v>
      </c>
      <c r="K2019" t="s">
        <v>91</v>
      </c>
      <c r="L2019">
        <v>5</v>
      </c>
      <c r="M2019" t="s">
        <v>9404</v>
      </c>
      <c r="N2019" t="s">
        <v>47</v>
      </c>
      <c r="O2019" t="s">
        <v>1835</v>
      </c>
      <c r="P2019" t="s">
        <v>1835</v>
      </c>
      <c r="Y2019" t="s">
        <v>9408</v>
      </c>
    </row>
    <row r="2020" spans="1:25">
      <c r="A2020" t="s">
        <v>9409</v>
      </c>
      <c r="B2020" t="s">
        <v>9410</v>
      </c>
      <c r="D2020" t="s">
        <v>1832</v>
      </c>
      <c r="E2020" t="s">
        <v>41</v>
      </c>
      <c r="J2020" t="s">
        <v>44</v>
      </c>
      <c r="K2020" t="s">
        <v>45</v>
      </c>
      <c r="L2020">
        <v>5</v>
      </c>
      <c r="M2020" t="s">
        <v>9404</v>
      </c>
      <c r="N2020" t="s">
        <v>47</v>
      </c>
      <c r="O2020" t="s">
        <v>1835</v>
      </c>
      <c r="P2020" t="s">
        <v>1835</v>
      </c>
      <c r="Y2020" t="s">
        <v>9411</v>
      </c>
    </row>
    <row r="2021" spans="1:25">
      <c r="A2021" t="s">
        <v>9412</v>
      </c>
      <c r="B2021" t="s">
        <v>9413</v>
      </c>
      <c r="D2021" t="s">
        <v>1832</v>
      </c>
      <c r="E2021" t="s">
        <v>41</v>
      </c>
      <c r="J2021" t="s">
        <v>90</v>
      </c>
      <c r="K2021" t="s">
        <v>91</v>
      </c>
      <c r="L2021">
        <v>5</v>
      </c>
      <c r="M2021" t="s">
        <v>9404</v>
      </c>
      <c r="N2021" t="s">
        <v>47</v>
      </c>
      <c r="O2021" t="s">
        <v>1835</v>
      </c>
      <c r="P2021" t="s">
        <v>1835</v>
      </c>
      <c r="Y2021" t="s">
        <v>9414</v>
      </c>
    </row>
    <row r="2022" spans="1:25">
      <c r="A2022" t="s">
        <v>9415</v>
      </c>
      <c r="B2022" t="s">
        <v>9416</v>
      </c>
      <c r="D2022" t="s">
        <v>1832</v>
      </c>
      <c r="E2022" t="s">
        <v>41</v>
      </c>
      <c r="J2022" t="s">
        <v>44</v>
      </c>
      <c r="K2022" t="s">
        <v>45</v>
      </c>
      <c r="L2022">
        <v>5</v>
      </c>
      <c r="M2022" t="s">
        <v>9417</v>
      </c>
      <c r="N2022" t="s">
        <v>47</v>
      </c>
      <c r="O2022" t="s">
        <v>1835</v>
      </c>
      <c r="P2022" t="s">
        <v>1835</v>
      </c>
      <c r="Y2022" t="s">
        <v>9418</v>
      </c>
    </row>
    <row r="2023" spans="1:25">
      <c r="A2023" t="s">
        <v>9419</v>
      </c>
      <c r="B2023" t="s">
        <v>9420</v>
      </c>
      <c r="D2023" t="s">
        <v>1832</v>
      </c>
      <c r="E2023" t="s">
        <v>41</v>
      </c>
      <c r="J2023" t="s">
        <v>54</v>
      </c>
      <c r="K2023" t="s">
        <v>55</v>
      </c>
      <c r="L2023">
        <v>5</v>
      </c>
      <c r="M2023" t="s">
        <v>9421</v>
      </c>
      <c r="N2023" t="s">
        <v>47</v>
      </c>
      <c r="O2023" t="s">
        <v>1835</v>
      </c>
      <c r="P2023" t="s">
        <v>1835</v>
      </c>
      <c r="Y2023" t="s">
        <v>9422</v>
      </c>
    </row>
    <row r="2024" spans="1:25">
      <c r="A2024" t="s">
        <v>9423</v>
      </c>
      <c r="B2024" t="s">
        <v>9424</v>
      </c>
      <c r="D2024" t="s">
        <v>1832</v>
      </c>
      <c r="E2024" t="s">
        <v>41</v>
      </c>
      <c r="H2024" t="s">
        <v>9425</v>
      </c>
      <c r="J2024" t="s">
        <v>44</v>
      </c>
      <c r="K2024" t="s">
        <v>45</v>
      </c>
      <c r="L2024">
        <v>5</v>
      </c>
      <c r="M2024" t="s">
        <v>9426</v>
      </c>
      <c r="N2024" t="s">
        <v>47</v>
      </c>
      <c r="O2024" t="s">
        <v>1835</v>
      </c>
      <c r="P2024" t="s">
        <v>1835</v>
      </c>
      <c r="Y2024" t="s">
        <v>9425</v>
      </c>
    </row>
    <row r="2025" spans="1:25">
      <c r="A2025" t="s">
        <v>9427</v>
      </c>
      <c r="B2025" t="s">
        <v>9428</v>
      </c>
      <c r="D2025" t="s">
        <v>1832</v>
      </c>
      <c r="E2025" t="s">
        <v>41</v>
      </c>
      <c r="J2025" t="s">
        <v>44</v>
      </c>
      <c r="K2025" t="s">
        <v>45</v>
      </c>
      <c r="L2025">
        <v>5</v>
      </c>
      <c r="M2025" t="s">
        <v>9429</v>
      </c>
      <c r="N2025" t="s">
        <v>47</v>
      </c>
      <c r="O2025" t="s">
        <v>1835</v>
      </c>
      <c r="P2025" t="s">
        <v>1835</v>
      </c>
      <c r="Y2025" t="s">
        <v>9430</v>
      </c>
    </row>
    <row r="2026" spans="1:25">
      <c r="A2026" t="s">
        <v>9431</v>
      </c>
      <c r="B2026" t="s">
        <v>9432</v>
      </c>
      <c r="D2026" t="s">
        <v>1832</v>
      </c>
      <c r="E2026" t="s">
        <v>41</v>
      </c>
      <c r="J2026" t="s">
        <v>90</v>
      </c>
      <c r="K2026" t="s">
        <v>91</v>
      </c>
      <c r="L2026">
        <v>5</v>
      </c>
      <c r="M2026" t="s">
        <v>9433</v>
      </c>
      <c r="N2026" t="s">
        <v>47</v>
      </c>
      <c r="O2026" t="s">
        <v>1835</v>
      </c>
      <c r="P2026" t="s">
        <v>1835</v>
      </c>
      <c r="Y2026" t="s">
        <v>9434</v>
      </c>
    </row>
    <row r="2027" spans="1:25">
      <c r="A2027" t="s">
        <v>9435</v>
      </c>
      <c r="B2027" t="s">
        <v>9436</v>
      </c>
      <c r="D2027" t="s">
        <v>1832</v>
      </c>
      <c r="E2027" t="s">
        <v>41</v>
      </c>
      <c r="H2027" t="s">
        <v>9437</v>
      </c>
      <c r="J2027" t="s">
        <v>287</v>
      </c>
      <c r="K2027" t="s">
        <v>288</v>
      </c>
      <c r="L2027">
        <v>5</v>
      </c>
      <c r="M2027" t="s">
        <v>9438</v>
      </c>
      <c r="N2027" t="s">
        <v>135</v>
      </c>
      <c r="O2027" t="s">
        <v>1835</v>
      </c>
      <c r="P2027" t="s">
        <v>1835</v>
      </c>
      <c r="Y2027" t="s">
        <v>9437</v>
      </c>
    </row>
    <row r="2028" spans="1:25">
      <c r="A2028" t="s">
        <v>9439</v>
      </c>
      <c r="B2028" t="s">
        <v>9440</v>
      </c>
      <c r="D2028" t="s">
        <v>1832</v>
      </c>
      <c r="E2028" t="s">
        <v>41</v>
      </c>
      <c r="J2028" t="s">
        <v>44</v>
      </c>
      <c r="K2028" t="s">
        <v>45</v>
      </c>
      <c r="L2028">
        <v>5</v>
      </c>
      <c r="M2028" t="s">
        <v>9441</v>
      </c>
      <c r="N2028" t="s">
        <v>47</v>
      </c>
      <c r="O2028" t="s">
        <v>1835</v>
      </c>
      <c r="P2028" t="s">
        <v>1835</v>
      </c>
      <c r="Y2028" t="s">
        <v>9442</v>
      </c>
    </row>
    <row r="2029" spans="1:25">
      <c r="A2029" t="s">
        <v>9443</v>
      </c>
      <c r="B2029" t="s">
        <v>9444</v>
      </c>
      <c r="D2029" t="s">
        <v>1832</v>
      </c>
      <c r="E2029" t="s">
        <v>41</v>
      </c>
      <c r="J2029" t="s">
        <v>90</v>
      </c>
      <c r="K2029" t="s">
        <v>91</v>
      </c>
      <c r="L2029">
        <v>5</v>
      </c>
      <c r="M2029" t="s">
        <v>9441</v>
      </c>
      <c r="N2029" t="s">
        <v>47</v>
      </c>
      <c r="O2029" t="s">
        <v>1835</v>
      </c>
      <c r="P2029" t="s">
        <v>1835</v>
      </c>
      <c r="Y2029" t="s">
        <v>9445</v>
      </c>
    </row>
    <row r="2030" spans="1:25">
      <c r="A2030" t="s">
        <v>9446</v>
      </c>
      <c r="B2030" t="s">
        <v>9447</v>
      </c>
      <c r="D2030" t="s">
        <v>1832</v>
      </c>
      <c r="E2030" t="s">
        <v>41</v>
      </c>
      <c r="J2030" t="s">
        <v>44</v>
      </c>
      <c r="K2030" t="s">
        <v>45</v>
      </c>
      <c r="L2030">
        <v>5</v>
      </c>
      <c r="M2030" t="s">
        <v>9448</v>
      </c>
      <c r="N2030" t="s">
        <v>47</v>
      </c>
      <c r="O2030" t="s">
        <v>1835</v>
      </c>
      <c r="P2030" t="s">
        <v>1835</v>
      </c>
      <c r="Y2030" t="s">
        <v>9449</v>
      </c>
    </row>
    <row r="2031" spans="1:25">
      <c r="A2031" t="s">
        <v>9450</v>
      </c>
      <c r="B2031" t="s">
        <v>9451</v>
      </c>
      <c r="D2031" t="s">
        <v>1832</v>
      </c>
      <c r="E2031" t="s">
        <v>41</v>
      </c>
      <c r="J2031" t="s">
        <v>44</v>
      </c>
      <c r="K2031" t="s">
        <v>45</v>
      </c>
      <c r="L2031">
        <v>5</v>
      </c>
      <c r="M2031" t="s">
        <v>9452</v>
      </c>
      <c r="N2031" t="s">
        <v>47</v>
      </c>
      <c r="O2031" t="s">
        <v>1835</v>
      </c>
      <c r="P2031" t="s">
        <v>1835</v>
      </c>
      <c r="Y2031" t="s">
        <v>9453</v>
      </c>
    </row>
    <row r="2032" spans="1:25">
      <c r="A2032" t="s">
        <v>9454</v>
      </c>
      <c r="B2032" t="s">
        <v>9455</v>
      </c>
      <c r="D2032" t="s">
        <v>1832</v>
      </c>
      <c r="E2032" t="s">
        <v>41</v>
      </c>
      <c r="H2032" t="s">
        <v>9456</v>
      </c>
      <c r="J2032" t="s">
        <v>353</v>
      </c>
      <c r="K2032" t="s">
        <v>354</v>
      </c>
      <c r="L2032">
        <v>5</v>
      </c>
      <c r="M2032" t="s">
        <v>9457</v>
      </c>
      <c r="N2032" t="s">
        <v>135</v>
      </c>
      <c r="O2032" t="s">
        <v>1835</v>
      </c>
      <c r="P2032" t="s">
        <v>1835</v>
      </c>
      <c r="Y2032" t="s">
        <v>9456</v>
      </c>
    </row>
    <row r="2033" spans="1:25">
      <c r="A2033" t="s">
        <v>9458</v>
      </c>
      <c r="B2033" t="s">
        <v>9459</v>
      </c>
      <c r="D2033" t="s">
        <v>1832</v>
      </c>
      <c r="E2033" t="s">
        <v>41</v>
      </c>
      <c r="J2033" t="s">
        <v>44</v>
      </c>
      <c r="K2033" t="s">
        <v>45</v>
      </c>
      <c r="L2033">
        <v>5</v>
      </c>
      <c r="M2033" t="s">
        <v>9457</v>
      </c>
      <c r="N2033" t="s">
        <v>47</v>
      </c>
      <c r="O2033" t="s">
        <v>1835</v>
      </c>
      <c r="P2033" t="s">
        <v>1835</v>
      </c>
      <c r="Y2033" t="s">
        <v>9460</v>
      </c>
    </row>
    <row r="2034" spans="1:25">
      <c r="A2034" t="s">
        <v>9461</v>
      </c>
      <c r="B2034" t="s">
        <v>9462</v>
      </c>
      <c r="D2034" t="s">
        <v>1832</v>
      </c>
      <c r="E2034" t="s">
        <v>41</v>
      </c>
      <c r="J2034" t="s">
        <v>54</v>
      </c>
      <c r="K2034" t="s">
        <v>55</v>
      </c>
      <c r="L2034">
        <v>5</v>
      </c>
      <c r="M2034" t="s">
        <v>9463</v>
      </c>
      <c r="N2034" t="s">
        <v>47</v>
      </c>
      <c r="O2034" t="s">
        <v>1835</v>
      </c>
      <c r="P2034" t="s">
        <v>1835</v>
      </c>
      <c r="Y2034" t="s">
        <v>9464</v>
      </c>
    </row>
    <row r="2035" spans="1:25">
      <c r="A2035" t="s">
        <v>9465</v>
      </c>
      <c r="B2035" t="s">
        <v>9466</v>
      </c>
      <c r="D2035" t="s">
        <v>1832</v>
      </c>
      <c r="E2035" t="s">
        <v>41</v>
      </c>
      <c r="J2035" t="s">
        <v>90</v>
      </c>
      <c r="K2035" t="s">
        <v>91</v>
      </c>
      <c r="L2035">
        <v>5</v>
      </c>
      <c r="M2035" t="s">
        <v>9463</v>
      </c>
      <c r="N2035" t="s">
        <v>47</v>
      </c>
      <c r="O2035" t="s">
        <v>1835</v>
      </c>
      <c r="P2035" t="s">
        <v>1835</v>
      </c>
      <c r="Y2035" t="s">
        <v>9467</v>
      </c>
    </row>
    <row r="2036" spans="1:25">
      <c r="A2036" t="s">
        <v>9468</v>
      </c>
      <c r="B2036" t="s">
        <v>9469</v>
      </c>
      <c r="D2036" t="s">
        <v>1832</v>
      </c>
      <c r="E2036" t="s">
        <v>41</v>
      </c>
      <c r="J2036" t="s">
        <v>90</v>
      </c>
      <c r="K2036" t="s">
        <v>91</v>
      </c>
      <c r="L2036">
        <v>5</v>
      </c>
      <c r="M2036" t="s">
        <v>9463</v>
      </c>
      <c r="N2036" t="s">
        <v>47</v>
      </c>
      <c r="O2036" t="s">
        <v>1835</v>
      </c>
      <c r="P2036" t="s">
        <v>1835</v>
      </c>
      <c r="Y2036" t="s">
        <v>9470</v>
      </c>
    </row>
    <row r="2037" spans="1:25">
      <c r="A2037" t="s">
        <v>9471</v>
      </c>
      <c r="B2037" t="s">
        <v>9472</v>
      </c>
      <c r="D2037" t="s">
        <v>9473</v>
      </c>
      <c r="E2037" t="s">
        <v>9474</v>
      </c>
      <c r="H2037" t="s">
        <v>9475</v>
      </c>
      <c r="J2037" t="s">
        <v>765</v>
      </c>
      <c r="K2037" t="s">
        <v>766</v>
      </c>
      <c r="L2037">
        <v>8</v>
      </c>
      <c r="M2037" t="s">
        <v>9476</v>
      </c>
      <c r="N2037" t="s">
        <v>685</v>
      </c>
      <c r="O2037" t="s">
        <v>9477</v>
      </c>
      <c r="P2037" t="s">
        <v>9477</v>
      </c>
      <c r="Y2037" t="s">
        <v>9475</v>
      </c>
    </row>
    <row r="2038" spans="1:25">
      <c r="A2038" t="s">
        <v>9478</v>
      </c>
      <c r="B2038" t="s">
        <v>9479</v>
      </c>
      <c r="D2038" t="s">
        <v>1832</v>
      </c>
      <c r="E2038" t="s">
        <v>41</v>
      </c>
      <c r="H2038" t="s">
        <v>9480</v>
      </c>
      <c r="J2038" t="s">
        <v>90</v>
      </c>
      <c r="K2038" t="s">
        <v>91</v>
      </c>
      <c r="L2038">
        <v>5</v>
      </c>
      <c r="M2038" t="s">
        <v>9481</v>
      </c>
      <c r="N2038" t="s">
        <v>47</v>
      </c>
      <c r="O2038" t="s">
        <v>1835</v>
      </c>
      <c r="P2038" t="s">
        <v>1835</v>
      </c>
      <c r="Y2038" t="s">
        <v>9480</v>
      </c>
    </row>
    <row r="2039" spans="1:25">
      <c r="A2039" t="s">
        <v>9482</v>
      </c>
      <c r="B2039" t="s">
        <v>9483</v>
      </c>
      <c r="D2039" t="s">
        <v>1832</v>
      </c>
      <c r="E2039" t="s">
        <v>41</v>
      </c>
      <c r="J2039" t="s">
        <v>44</v>
      </c>
      <c r="K2039" t="s">
        <v>45</v>
      </c>
      <c r="L2039">
        <v>5</v>
      </c>
      <c r="M2039" t="s">
        <v>9484</v>
      </c>
      <c r="N2039" t="s">
        <v>47</v>
      </c>
      <c r="O2039" t="s">
        <v>1835</v>
      </c>
      <c r="P2039" t="s">
        <v>1835</v>
      </c>
      <c r="Y2039" t="s">
        <v>9485</v>
      </c>
    </row>
    <row r="2040" spans="1:25">
      <c r="A2040" t="s">
        <v>9486</v>
      </c>
      <c r="B2040" t="s">
        <v>9487</v>
      </c>
      <c r="D2040" t="s">
        <v>1832</v>
      </c>
      <c r="E2040" t="s">
        <v>41</v>
      </c>
      <c r="J2040" t="s">
        <v>90</v>
      </c>
      <c r="K2040" t="s">
        <v>91</v>
      </c>
      <c r="L2040">
        <v>5</v>
      </c>
      <c r="M2040" t="s">
        <v>9488</v>
      </c>
      <c r="N2040" t="s">
        <v>47</v>
      </c>
      <c r="O2040" t="s">
        <v>1835</v>
      </c>
      <c r="P2040" t="s">
        <v>1835</v>
      </c>
      <c r="Y2040" t="s">
        <v>9489</v>
      </c>
    </row>
    <row r="2041" spans="1:25">
      <c r="A2041" t="s">
        <v>9490</v>
      </c>
      <c r="B2041" t="s">
        <v>9491</v>
      </c>
      <c r="D2041" t="s">
        <v>1832</v>
      </c>
      <c r="E2041" t="s">
        <v>41</v>
      </c>
      <c r="J2041" t="s">
        <v>90</v>
      </c>
      <c r="K2041" t="s">
        <v>91</v>
      </c>
      <c r="L2041">
        <v>5</v>
      </c>
      <c r="M2041" t="s">
        <v>9488</v>
      </c>
      <c r="N2041" t="s">
        <v>47</v>
      </c>
      <c r="O2041" t="s">
        <v>1835</v>
      </c>
      <c r="P2041" t="s">
        <v>1835</v>
      </c>
      <c r="Y2041" t="s">
        <v>9492</v>
      </c>
    </row>
    <row r="2042" spans="1:25">
      <c r="A2042" t="s">
        <v>9493</v>
      </c>
      <c r="B2042" t="s">
        <v>9494</v>
      </c>
      <c r="D2042" t="s">
        <v>1832</v>
      </c>
      <c r="E2042" t="s">
        <v>41</v>
      </c>
      <c r="J2042" t="s">
        <v>54</v>
      </c>
      <c r="K2042" t="s">
        <v>55</v>
      </c>
      <c r="L2042">
        <v>5</v>
      </c>
      <c r="M2042" t="s">
        <v>9488</v>
      </c>
      <c r="N2042" t="s">
        <v>47</v>
      </c>
      <c r="O2042" t="s">
        <v>1835</v>
      </c>
      <c r="P2042" t="s">
        <v>1835</v>
      </c>
      <c r="Y2042" t="s">
        <v>9495</v>
      </c>
    </row>
    <row r="2043" spans="1:25">
      <c r="A2043" t="s">
        <v>9496</v>
      </c>
      <c r="B2043" t="s">
        <v>9497</v>
      </c>
      <c r="D2043" t="s">
        <v>1832</v>
      </c>
      <c r="E2043" t="s">
        <v>41</v>
      </c>
      <c r="H2043" t="s">
        <v>9498</v>
      </c>
      <c r="J2043" t="s">
        <v>90</v>
      </c>
      <c r="K2043" t="s">
        <v>91</v>
      </c>
      <c r="L2043">
        <v>5</v>
      </c>
      <c r="M2043" t="s">
        <v>9488</v>
      </c>
      <c r="N2043" t="s">
        <v>47</v>
      </c>
      <c r="O2043" t="s">
        <v>1835</v>
      </c>
      <c r="P2043" t="s">
        <v>1835</v>
      </c>
      <c r="Y2043" t="s">
        <v>9498</v>
      </c>
    </row>
    <row r="2044" spans="1:25">
      <c r="A2044" t="s">
        <v>9499</v>
      </c>
      <c r="B2044" t="s">
        <v>9500</v>
      </c>
      <c r="D2044" t="s">
        <v>1832</v>
      </c>
      <c r="E2044" t="s">
        <v>41</v>
      </c>
      <c r="J2044" t="s">
        <v>90</v>
      </c>
      <c r="K2044" t="s">
        <v>91</v>
      </c>
      <c r="L2044">
        <v>5</v>
      </c>
      <c r="M2044" t="s">
        <v>9501</v>
      </c>
      <c r="N2044" t="s">
        <v>47</v>
      </c>
      <c r="O2044" t="s">
        <v>1835</v>
      </c>
      <c r="P2044" t="s">
        <v>1835</v>
      </c>
      <c r="Y2044" t="s">
        <v>9502</v>
      </c>
    </row>
    <row r="2045" spans="1:25">
      <c r="A2045" t="s">
        <v>9503</v>
      </c>
      <c r="B2045" t="s">
        <v>9504</v>
      </c>
      <c r="D2045" t="s">
        <v>40</v>
      </c>
      <c r="E2045" t="s">
        <v>41</v>
      </c>
      <c r="G2045" t="s">
        <v>9505</v>
      </c>
      <c r="H2045" t="s">
        <v>9506</v>
      </c>
      <c r="J2045" t="s">
        <v>54</v>
      </c>
      <c r="K2045" t="s">
        <v>55</v>
      </c>
      <c r="L2045">
        <v>5</v>
      </c>
      <c r="M2045" t="s">
        <v>9507</v>
      </c>
      <c r="N2045" t="s">
        <v>47</v>
      </c>
      <c r="O2045" t="s">
        <v>48</v>
      </c>
      <c r="P2045" t="s">
        <v>48</v>
      </c>
      <c r="Y2045" t="s">
        <v>9508</v>
      </c>
    </row>
    <row r="2046" spans="1:25">
      <c r="A2046" t="s">
        <v>9509</v>
      </c>
      <c r="B2046" t="s">
        <v>9510</v>
      </c>
      <c r="D2046" t="s">
        <v>1832</v>
      </c>
      <c r="E2046" t="s">
        <v>41</v>
      </c>
      <c r="J2046" t="s">
        <v>90</v>
      </c>
      <c r="K2046" t="s">
        <v>91</v>
      </c>
      <c r="L2046">
        <v>5</v>
      </c>
      <c r="M2046" t="s">
        <v>9511</v>
      </c>
      <c r="N2046" t="s">
        <v>47</v>
      </c>
      <c r="O2046" t="s">
        <v>1835</v>
      </c>
      <c r="P2046" t="s">
        <v>1835</v>
      </c>
      <c r="Y2046" t="s">
        <v>9512</v>
      </c>
    </row>
    <row r="2047" spans="1:25">
      <c r="A2047" t="s">
        <v>9513</v>
      </c>
      <c r="B2047" t="s">
        <v>9514</v>
      </c>
      <c r="D2047" t="s">
        <v>1832</v>
      </c>
      <c r="E2047" t="s">
        <v>41</v>
      </c>
      <c r="J2047" t="s">
        <v>497</v>
      </c>
      <c r="K2047" t="s">
        <v>498</v>
      </c>
      <c r="L2047">
        <v>5</v>
      </c>
      <c r="M2047" t="s">
        <v>9511</v>
      </c>
      <c r="N2047" t="s">
        <v>135</v>
      </c>
      <c r="O2047" t="s">
        <v>1835</v>
      </c>
      <c r="P2047" t="s">
        <v>1835</v>
      </c>
      <c r="Y2047" t="s">
        <v>9515</v>
      </c>
    </row>
    <row r="2048" spans="1:25">
      <c r="A2048" t="s">
        <v>9516</v>
      </c>
      <c r="B2048" t="s">
        <v>9517</v>
      </c>
      <c r="D2048" t="s">
        <v>1832</v>
      </c>
      <c r="E2048" t="s">
        <v>41</v>
      </c>
      <c r="J2048" t="s">
        <v>90</v>
      </c>
      <c r="K2048" t="s">
        <v>91</v>
      </c>
      <c r="L2048">
        <v>5</v>
      </c>
      <c r="M2048" t="s">
        <v>9518</v>
      </c>
      <c r="N2048" t="s">
        <v>47</v>
      </c>
      <c r="O2048" t="s">
        <v>1835</v>
      </c>
      <c r="P2048" t="s">
        <v>1835</v>
      </c>
      <c r="Y2048" t="s">
        <v>9519</v>
      </c>
    </row>
    <row r="2049" spans="1:25">
      <c r="A2049" t="s">
        <v>9520</v>
      </c>
      <c r="B2049" t="s">
        <v>9521</v>
      </c>
      <c r="D2049" t="s">
        <v>1832</v>
      </c>
      <c r="E2049" t="s">
        <v>41</v>
      </c>
      <c r="H2049" t="s">
        <v>9522</v>
      </c>
      <c r="J2049" t="s">
        <v>44</v>
      </c>
      <c r="K2049" t="s">
        <v>45</v>
      </c>
      <c r="L2049">
        <v>5</v>
      </c>
      <c r="M2049" t="s">
        <v>9523</v>
      </c>
      <c r="N2049" t="s">
        <v>47</v>
      </c>
      <c r="O2049" t="s">
        <v>1835</v>
      </c>
      <c r="P2049" t="s">
        <v>1835</v>
      </c>
      <c r="Y2049" t="s">
        <v>9522</v>
      </c>
    </row>
    <row r="2050" spans="1:25">
      <c r="A2050" t="s">
        <v>9524</v>
      </c>
      <c r="B2050" t="s">
        <v>9525</v>
      </c>
      <c r="D2050" t="s">
        <v>1832</v>
      </c>
      <c r="E2050" t="s">
        <v>41</v>
      </c>
      <c r="J2050" t="s">
        <v>54</v>
      </c>
      <c r="K2050" t="s">
        <v>55</v>
      </c>
      <c r="L2050">
        <v>5</v>
      </c>
      <c r="M2050" t="s">
        <v>9526</v>
      </c>
      <c r="N2050" t="s">
        <v>47</v>
      </c>
      <c r="O2050" t="s">
        <v>1835</v>
      </c>
      <c r="P2050" t="s">
        <v>1835</v>
      </c>
      <c r="Y2050" t="s">
        <v>9527</v>
      </c>
    </row>
    <row r="2051" spans="1:25">
      <c r="A2051" t="s">
        <v>9528</v>
      </c>
      <c r="B2051" t="s">
        <v>9529</v>
      </c>
      <c r="D2051" t="s">
        <v>1832</v>
      </c>
      <c r="E2051" t="s">
        <v>41</v>
      </c>
      <c r="J2051" t="s">
        <v>90</v>
      </c>
      <c r="K2051" t="s">
        <v>91</v>
      </c>
      <c r="L2051">
        <v>5</v>
      </c>
      <c r="M2051" t="s">
        <v>9530</v>
      </c>
      <c r="N2051" t="s">
        <v>47</v>
      </c>
      <c r="O2051" t="s">
        <v>1835</v>
      </c>
      <c r="P2051" t="s">
        <v>1835</v>
      </c>
      <c r="Y2051" t="s">
        <v>9531</v>
      </c>
    </row>
    <row r="2052" spans="1:25">
      <c r="A2052" t="s">
        <v>9532</v>
      </c>
      <c r="B2052" t="s">
        <v>9533</v>
      </c>
      <c r="D2052" t="s">
        <v>1832</v>
      </c>
      <c r="E2052" t="s">
        <v>41</v>
      </c>
      <c r="J2052" t="s">
        <v>44</v>
      </c>
      <c r="K2052" t="s">
        <v>45</v>
      </c>
      <c r="L2052">
        <v>5</v>
      </c>
      <c r="M2052" t="s">
        <v>9534</v>
      </c>
      <c r="N2052" t="s">
        <v>47</v>
      </c>
      <c r="O2052" t="s">
        <v>1835</v>
      </c>
      <c r="P2052" t="s">
        <v>1835</v>
      </c>
      <c r="Y2052" t="s">
        <v>9535</v>
      </c>
    </row>
    <row r="2053" spans="1:25">
      <c r="A2053" t="s">
        <v>9536</v>
      </c>
      <c r="B2053" t="s">
        <v>9537</v>
      </c>
      <c r="D2053" t="s">
        <v>1832</v>
      </c>
      <c r="E2053" t="s">
        <v>41</v>
      </c>
      <c r="J2053" t="s">
        <v>44</v>
      </c>
      <c r="K2053" t="s">
        <v>45</v>
      </c>
      <c r="L2053">
        <v>5</v>
      </c>
      <c r="M2053" t="s">
        <v>9538</v>
      </c>
      <c r="N2053" t="s">
        <v>47</v>
      </c>
      <c r="O2053" t="s">
        <v>1835</v>
      </c>
      <c r="P2053" t="s">
        <v>1835</v>
      </c>
      <c r="Y2053" t="s">
        <v>9539</v>
      </c>
    </row>
    <row r="2054" spans="1:25">
      <c r="A2054" t="s">
        <v>9540</v>
      </c>
      <c r="B2054" t="s">
        <v>9541</v>
      </c>
      <c r="D2054" t="s">
        <v>1832</v>
      </c>
      <c r="E2054" t="s">
        <v>41</v>
      </c>
      <c r="H2054" t="s">
        <v>9542</v>
      </c>
      <c r="J2054" t="s">
        <v>44</v>
      </c>
      <c r="K2054" t="s">
        <v>45</v>
      </c>
      <c r="L2054">
        <v>5</v>
      </c>
      <c r="M2054" t="s">
        <v>9543</v>
      </c>
      <c r="N2054" t="s">
        <v>47</v>
      </c>
      <c r="O2054" t="s">
        <v>1835</v>
      </c>
      <c r="P2054" t="s">
        <v>1835</v>
      </c>
      <c r="Y2054" t="s">
        <v>9542</v>
      </c>
    </row>
    <row r="2055" spans="1:25">
      <c r="A2055" t="s">
        <v>9544</v>
      </c>
      <c r="B2055" t="s">
        <v>9545</v>
      </c>
      <c r="D2055" t="s">
        <v>1832</v>
      </c>
      <c r="E2055" t="s">
        <v>41</v>
      </c>
      <c r="J2055" t="s">
        <v>90</v>
      </c>
      <c r="K2055" t="s">
        <v>91</v>
      </c>
      <c r="L2055">
        <v>5</v>
      </c>
      <c r="M2055" t="s">
        <v>9546</v>
      </c>
      <c r="N2055" t="s">
        <v>47</v>
      </c>
      <c r="O2055" t="s">
        <v>1835</v>
      </c>
      <c r="P2055" t="s">
        <v>1835</v>
      </c>
      <c r="Y2055" t="s">
        <v>9547</v>
      </c>
    </row>
    <row r="2056" spans="1:25">
      <c r="A2056" t="s">
        <v>9548</v>
      </c>
      <c r="B2056" t="s">
        <v>9549</v>
      </c>
      <c r="D2056" t="s">
        <v>1832</v>
      </c>
      <c r="E2056" t="s">
        <v>41</v>
      </c>
      <c r="H2056" t="s">
        <v>9550</v>
      </c>
      <c r="J2056" t="s">
        <v>371</v>
      </c>
      <c r="K2056" t="s">
        <v>372</v>
      </c>
      <c r="L2056">
        <v>5</v>
      </c>
      <c r="M2056" t="s">
        <v>9546</v>
      </c>
      <c r="N2056" t="s">
        <v>47</v>
      </c>
      <c r="O2056" t="s">
        <v>1835</v>
      </c>
      <c r="P2056" t="s">
        <v>1835</v>
      </c>
      <c r="Y2056" t="s">
        <v>9550</v>
      </c>
    </row>
    <row r="2057" spans="1:25">
      <c r="A2057" t="s">
        <v>9551</v>
      </c>
      <c r="B2057" t="s">
        <v>9552</v>
      </c>
      <c r="D2057" t="s">
        <v>1832</v>
      </c>
      <c r="E2057" t="s">
        <v>41</v>
      </c>
      <c r="J2057" t="s">
        <v>44</v>
      </c>
      <c r="K2057" t="s">
        <v>45</v>
      </c>
      <c r="L2057">
        <v>5</v>
      </c>
      <c r="M2057" t="s">
        <v>9546</v>
      </c>
      <c r="N2057" t="s">
        <v>47</v>
      </c>
      <c r="O2057" t="s">
        <v>1835</v>
      </c>
      <c r="P2057" t="s">
        <v>1835</v>
      </c>
      <c r="Y2057" t="s">
        <v>9553</v>
      </c>
    </row>
    <row r="2058" spans="1:25">
      <c r="A2058" t="s">
        <v>9554</v>
      </c>
      <c r="B2058" t="s">
        <v>9555</v>
      </c>
      <c r="D2058" t="s">
        <v>1832</v>
      </c>
      <c r="E2058" t="s">
        <v>41</v>
      </c>
      <c r="J2058" t="s">
        <v>90</v>
      </c>
      <c r="K2058" t="s">
        <v>91</v>
      </c>
      <c r="L2058">
        <v>5</v>
      </c>
      <c r="M2058" t="s">
        <v>9556</v>
      </c>
      <c r="N2058" t="s">
        <v>47</v>
      </c>
      <c r="O2058" t="s">
        <v>1835</v>
      </c>
      <c r="P2058" t="s">
        <v>1835</v>
      </c>
      <c r="Y2058" t="s">
        <v>9557</v>
      </c>
    </row>
    <row r="2059" spans="1:25">
      <c r="A2059" t="s">
        <v>9558</v>
      </c>
      <c r="B2059" t="s">
        <v>9559</v>
      </c>
      <c r="D2059" t="s">
        <v>1832</v>
      </c>
      <c r="E2059" t="s">
        <v>41</v>
      </c>
      <c r="J2059" t="s">
        <v>1827</v>
      </c>
      <c r="K2059" t="s">
        <v>1828</v>
      </c>
      <c r="L2059">
        <v>5</v>
      </c>
      <c r="M2059" t="s">
        <v>9556</v>
      </c>
      <c r="N2059" t="s">
        <v>47</v>
      </c>
      <c r="O2059" t="s">
        <v>1835</v>
      </c>
      <c r="P2059" t="s">
        <v>1835</v>
      </c>
      <c r="Y2059" t="s">
        <v>9560</v>
      </c>
    </row>
    <row r="2060" spans="1:25">
      <c r="A2060" t="s">
        <v>9561</v>
      </c>
      <c r="B2060" t="s">
        <v>9562</v>
      </c>
      <c r="D2060" t="s">
        <v>1832</v>
      </c>
      <c r="E2060" t="s">
        <v>41</v>
      </c>
      <c r="J2060" t="s">
        <v>90</v>
      </c>
      <c r="K2060" t="s">
        <v>91</v>
      </c>
      <c r="L2060">
        <v>5</v>
      </c>
      <c r="M2060" t="s">
        <v>9556</v>
      </c>
      <c r="N2060" t="s">
        <v>47</v>
      </c>
      <c r="O2060" t="s">
        <v>1835</v>
      </c>
      <c r="P2060" t="s">
        <v>1835</v>
      </c>
      <c r="Y2060" t="s">
        <v>9563</v>
      </c>
    </row>
    <row r="2061" spans="1:25">
      <c r="A2061" t="s">
        <v>9564</v>
      </c>
      <c r="B2061" t="s">
        <v>9565</v>
      </c>
      <c r="D2061" t="s">
        <v>1832</v>
      </c>
      <c r="E2061" t="s">
        <v>41</v>
      </c>
      <c r="H2061" t="s">
        <v>9566</v>
      </c>
      <c r="J2061" t="s">
        <v>78</v>
      </c>
      <c r="K2061" t="s">
        <v>79</v>
      </c>
      <c r="L2061">
        <v>5</v>
      </c>
      <c r="M2061" t="s">
        <v>9567</v>
      </c>
      <c r="N2061" t="s">
        <v>47</v>
      </c>
      <c r="O2061" t="s">
        <v>1835</v>
      </c>
      <c r="P2061" t="s">
        <v>1835</v>
      </c>
      <c r="Y2061" t="s">
        <v>9566</v>
      </c>
    </row>
    <row r="2062" spans="1:25">
      <c r="A2062" t="s">
        <v>9568</v>
      </c>
      <c r="B2062" t="s">
        <v>9569</v>
      </c>
      <c r="D2062" t="s">
        <v>1832</v>
      </c>
      <c r="E2062" t="s">
        <v>41</v>
      </c>
      <c r="J2062" t="s">
        <v>90</v>
      </c>
      <c r="K2062" t="s">
        <v>91</v>
      </c>
      <c r="L2062">
        <v>5</v>
      </c>
      <c r="M2062" t="s">
        <v>9567</v>
      </c>
      <c r="N2062" t="s">
        <v>47</v>
      </c>
      <c r="O2062" t="s">
        <v>1835</v>
      </c>
      <c r="P2062" t="s">
        <v>1835</v>
      </c>
      <c r="Y2062" t="s">
        <v>9570</v>
      </c>
    </row>
    <row r="2063" spans="1:25">
      <c r="A2063" t="s">
        <v>9571</v>
      </c>
      <c r="B2063" t="s">
        <v>9572</v>
      </c>
      <c r="D2063" t="s">
        <v>1832</v>
      </c>
      <c r="E2063" t="s">
        <v>41</v>
      </c>
      <c r="J2063" t="s">
        <v>90</v>
      </c>
      <c r="K2063" t="s">
        <v>91</v>
      </c>
      <c r="L2063">
        <v>5</v>
      </c>
      <c r="M2063" t="s">
        <v>9567</v>
      </c>
      <c r="N2063" t="s">
        <v>47</v>
      </c>
      <c r="O2063" t="s">
        <v>1835</v>
      </c>
      <c r="P2063" t="s">
        <v>1835</v>
      </c>
      <c r="Y2063" t="s">
        <v>9573</v>
      </c>
    </row>
    <row r="2064" spans="1:25">
      <c r="A2064" t="s">
        <v>9574</v>
      </c>
      <c r="B2064" t="s">
        <v>9575</v>
      </c>
      <c r="D2064" t="s">
        <v>1832</v>
      </c>
      <c r="E2064" t="s">
        <v>41</v>
      </c>
      <c r="J2064" t="s">
        <v>133</v>
      </c>
      <c r="K2064" t="s">
        <v>134</v>
      </c>
      <c r="L2064">
        <v>5</v>
      </c>
      <c r="M2064" t="s">
        <v>9567</v>
      </c>
      <c r="N2064" t="s">
        <v>135</v>
      </c>
      <c r="O2064" t="s">
        <v>1835</v>
      </c>
      <c r="P2064" t="s">
        <v>1835</v>
      </c>
      <c r="Y2064" t="s">
        <v>9576</v>
      </c>
    </row>
    <row r="2065" spans="1:25">
      <c r="A2065" t="s">
        <v>9577</v>
      </c>
      <c r="B2065" t="s">
        <v>9578</v>
      </c>
      <c r="D2065" t="s">
        <v>1832</v>
      </c>
      <c r="E2065" t="s">
        <v>41</v>
      </c>
      <c r="H2065" t="s">
        <v>9579</v>
      </c>
      <c r="J2065" t="s">
        <v>90</v>
      </c>
      <c r="K2065" t="s">
        <v>91</v>
      </c>
      <c r="L2065">
        <v>5</v>
      </c>
      <c r="M2065" t="s">
        <v>9580</v>
      </c>
      <c r="N2065" t="s">
        <v>47</v>
      </c>
      <c r="O2065" t="s">
        <v>1835</v>
      </c>
      <c r="P2065" t="s">
        <v>1835</v>
      </c>
      <c r="Y2065" t="s">
        <v>9579</v>
      </c>
    </row>
    <row r="2066" spans="1:25">
      <c r="A2066" t="s">
        <v>9581</v>
      </c>
      <c r="B2066" t="s">
        <v>9582</v>
      </c>
      <c r="D2066" t="s">
        <v>1832</v>
      </c>
      <c r="E2066" t="s">
        <v>41</v>
      </c>
      <c r="J2066" t="s">
        <v>90</v>
      </c>
      <c r="K2066" t="s">
        <v>91</v>
      </c>
      <c r="L2066">
        <v>5</v>
      </c>
      <c r="M2066" t="s">
        <v>9580</v>
      </c>
      <c r="N2066" t="s">
        <v>47</v>
      </c>
      <c r="O2066" t="s">
        <v>1835</v>
      </c>
      <c r="P2066" t="s">
        <v>1835</v>
      </c>
      <c r="Y2066" t="s">
        <v>9583</v>
      </c>
    </row>
    <row r="2067" spans="1:25">
      <c r="A2067" t="s">
        <v>9584</v>
      </c>
      <c r="B2067" t="s">
        <v>9585</v>
      </c>
      <c r="D2067" t="s">
        <v>1832</v>
      </c>
      <c r="E2067" t="s">
        <v>41</v>
      </c>
      <c r="H2067" t="s">
        <v>9586</v>
      </c>
      <c r="J2067" t="s">
        <v>234</v>
      </c>
      <c r="K2067" t="s">
        <v>235</v>
      </c>
      <c r="L2067">
        <v>5</v>
      </c>
      <c r="M2067" t="s">
        <v>9587</v>
      </c>
      <c r="N2067" t="s">
        <v>47</v>
      </c>
      <c r="O2067" t="s">
        <v>1835</v>
      </c>
      <c r="P2067" t="s">
        <v>1835</v>
      </c>
      <c r="Y2067" t="s">
        <v>9586</v>
      </c>
    </row>
    <row r="2068" spans="1:25">
      <c r="A2068" t="s">
        <v>9588</v>
      </c>
      <c r="B2068" t="s">
        <v>9589</v>
      </c>
      <c r="D2068" t="s">
        <v>1832</v>
      </c>
      <c r="E2068" t="s">
        <v>41</v>
      </c>
      <c r="J2068" t="s">
        <v>54</v>
      </c>
      <c r="K2068" t="s">
        <v>55</v>
      </c>
      <c r="L2068">
        <v>5</v>
      </c>
      <c r="M2068" t="s">
        <v>9590</v>
      </c>
      <c r="N2068" t="s">
        <v>47</v>
      </c>
      <c r="O2068" t="s">
        <v>1835</v>
      </c>
      <c r="P2068" t="s">
        <v>1835</v>
      </c>
      <c r="Y2068" t="s">
        <v>9591</v>
      </c>
    </row>
    <row r="2069" spans="1:25">
      <c r="A2069" t="s">
        <v>9592</v>
      </c>
      <c r="B2069" t="s">
        <v>9593</v>
      </c>
      <c r="D2069" t="s">
        <v>1832</v>
      </c>
      <c r="E2069" t="s">
        <v>41</v>
      </c>
      <c r="J2069" t="s">
        <v>90</v>
      </c>
      <c r="K2069" t="s">
        <v>91</v>
      </c>
      <c r="L2069">
        <v>5</v>
      </c>
      <c r="M2069" t="s">
        <v>9590</v>
      </c>
      <c r="N2069" t="s">
        <v>47</v>
      </c>
      <c r="O2069" t="s">
        <v>1835</v>
      </c>
      <c r="P2069" t="s">
        <v>1835</v>
      </c>
      <c r="Y2069" t="s">
        <v>9594</v>
      </c>
    </row>
    <row r="2070" spans="1:25">
      <c r="A2070" t="s">
        <v>9595</v>
      </c>
      <c r="B2070" t="s">
        <v>9596</v>
      </c>
      <c r="D2070" t="s">
        <v>1832</v>
      </c>
      <c r="E2070" t="s">
        <v>41</v>
      </c>
      <c r="J2070" t="s">
        <v>44</v>
      </c>
      <c r="K2070" t="s">
        <v>45</v>
      </c>
      <c r="L2070">
        <v>5</v>
      </c>
      <c r="M2070" t="s">
        <v>9590</v>
      </c>
      <c r="N2070" t="s">
        <v>47</v>
      </c>
      <c r="O2070" t="s">
        <v>1835</v>
      </c>
      <c r="P2070" t="s">
        <v>1835</v>
      </c>
      <c r="Y2070" t="s">
        <v>9597</v>
      </c>
    </row>
    <row r="2071" spans="1:25">
      <c r="A2071" t="s">
        <v>9598</v>
      </c>
      <c r="B2071" t="s">
        <v>9599</v>
      </c>
      <c r="D2071" t="s">
        <v>1832</v>
      </c>
      <c r="E2071" t="s">
        <v>41</v>
      </c>
      <c r="J2071" t="s">
        <v>54</v>
      </c>
      <c r="K2071" t="s">
        <v>55</v>
      </c>
      <c r="L2071">
        <v>5</v>
      </c>
      <c r="M2071" t="s">
        <v>9600</v>
      </c>
      <c r="N2071" t="s">
        <v>47</v>
      </c>
      <c r="O2071" t="s">
        <v>1835</v>
      </c>
      <c r="P2071" t="s">
        <v>1835</v>
      </c>
      <c r="Y2071" t="s">
        <v>9601</v>
      </c>
    </row>
    <row r="2072" spans="1:25">
      <c r="A2072" t="s">
        <v>9602</v>
      </c>
      <c r="B2072" t="s">
        <v>9603</v>
      </c>
      <c r="D2072" t="s">
        <v>1832</v>
      </c>
      <c r="E2072" t="s">
        <v>41</v>
      </c>
      <c r="J2072" t="s">
        <v>44</v>
      </c>
      <c r="K2072" t="s">
        <v>45</v>
      </c>
      <c r="L2072">
        <v>5</v>
      </c>
      <c r="M2072" t="s">
        <v>9600</v>
      </c>
      <c r="N2072" t="s">
        <v>47</v>
      </c>
      <c r="O2072" t="s">
        <v>1835</v>
      </c>
      <c r="P2072" t="s">
        <v>1835</v>
      </c>
      <c r="Y2072" t="s">
        <v>9604</v>
      </c>
    </row>
    <row r="2073" spans="1:25">
      <c r="A2073" t="s">
        <v>9605</v>
      </c>
      <c r="B2073" t="s">
        <v>9606</v>
      </c>
      <c r="D2073" t="s">
        <v>1832</v>
      </c>
      <c r="E2073" t="s">
        <v>41</v>
      </c>
      <c r="J2073" t="s">
        <v>90</v>
      </c>
      <c r="K2073" t="s">
        <v>91</v>
      </c>
      <c r="L2073">
        <v>5</v>
      </c>
      <c r="M2073" t="s">
        <v>9607</v>
      </c>
      <c r="N2073" t="s">
        <v>47</v>
      </c>
      <c r="O2073" t="s">
        <v>1835</v>
      </c>
      <c r="P2073" t="s">
        <v>1835</v>
      </c>
      <c r="Y2073" t="s">
        <v>9608</v>
      </c>
    </row>
    <row r="2074" spans="1:25">
      <c r="A2074" t="s">
        <v>9609</v>
      </c>
      <c r="B2074" t="s">
        <v>9610</v>
      </c>
      <c r="D2074" t="s">
        <v>1832</v>
      </c>
      <c r="E2074" t="s">
        <v>41</v>
      </c>
      <c r="J2074" t="s">
        <v>44</v>
      </c>
      <c r="K2074" t="s">
        <v>45</v>
      </c>
      <c r="L2074">
        <v>5</v>
      </c>
      <c r="M2074" t="s">
        <v>9607</v>
      </c>
      <c r="N2074" t="s">
        <v>47</v>
      </c>
      <c r="O2074" t="s">
        <v>1835</v>
      </c>
      <c r="P2074" t="s">
        <v>1835</v>
      </c>
      <c r="Y2074" t="s">
        <v>9611</v>
      </c>
    </row>
    <row r="2075" spans="1:25">
      <c r="A2075" t="s">
        <v>9612</v>
      </c>
      <c r="B2075" t="s">
        <v>9613</v>
      </c>
      <c r="D2075" t="s">
        <v>1832</v>
      </c>
      <c r="E2075" t="s">
        <v>41</v>
      </c>
      <c r="H2075" t="s">
        <v>9614</v>
      </c>
      <c r="J2075" t="s">
        <v>78</v>
      </c>
      <c r="K2075" t="s">
        <v>79</v>
      </c>
      <c r="L2075">
        <v>5</v>
      </c>
      <c r="M2075" t="s">
        <v>9615</v>
      </c>
      <c r="N2075" t="s">
        <v>47</v>
      </c>
      <c r="O2075" t="s">
        <v>1835</v>
      </c>
      <c r="P2075" t="s">
        <v>1835</v>
      </c>
      <c r="Y2075" t="s">
        <v>9614</v>
      </c>
    </row>
    <row r="2076" spans="1:25">
      <c r="A2076" t="s">
        <v>9616</v>
      </c>
      <c r="B2076" t="s">
        <v>9617</v>
      </c>
      <c r="D2076" t="s">
        <v>1832</v>
      </c>
      <c r="E2076" t="s">
        <v>41</v>
      </c>
      <c r="H2076" t="s">
        <v>9618</v>
      </c>
      <c r="J2076" t="s">
        <v>353</v>
      </c>
      <c r="K2076" t="s">
        <v>354</v>
      </c>
      <c r="L2076">
        <v>5</v>
      </c>
      <c r="M2076" t="s">
        <v>9619</v>
      </c>
      <c r="N2076" t="s">
        <v>135</v>
      </c>
      <c r="O2076" t="s">
        <v>1835</v>
      </c>
      <c r="P2076" t="s">
        <v>1835</v>
      </c>
      <c r="Y2076" t="s">
        <v>9618</v>
      </c>
    </row>
    <row r="2077" spans="1:25">
      <c r="A2077" t="s">
        <v>9620</v>
      </c>
      <c r="B2077" t="s">
        <v>9621</v>
      </c>
      <c r="D2077" t="s">
        <v>1832</v>
      </c>
      <c r="E2077" t="s">
        <v>41</v>
      </c>
      <c r="J2077" t="s">
        <v>44</v>
      </c>
      <c r="K2077" t="s">
        <v>45</v>
      </c>
      <c r="L2077">
        <v>5</v>
      </c>
      <c r="M2077" t="s">
        <v>9622</v>
      </c>
      <c r="N2077" t="s">
        <v>47</v>
      </c>
      <c r="O2077" t="s">
        <v>1835</v>
      </c>
      <c r="P2077" t="s">
        <v>1835</v>
      </c>
      <c r="Y2077" t="s">
        <v>9623</v>
      </c>
    </row>
    <row r="2078" spans="1:25">
      <c r="A2078" t="s">
        <v>9624</v>
      </c>
      <c r="B2078" t="s">
        <v>9625</v>
      </c>
      <c r="D2078" t="s">
        <v>1832</v>
      </c>
      <c r="E2078" t="s">
        <v>41</v>
      </c>
      <c r="J2078" t="s">
        <v>90</v>
      </c>
      <c r="K2078" t="s">
        <v>91</v>
      </c>
      <c r="L2078">
        <v>5</v>
      </c>
      <c r="M2078" t="s">
        <v>9626</v>
      </c>
      <c r="N2078" t="s">
        <v>47</v>
      </c>
      <c r="O2078" t="s">
        <v>1835</v>
      </c>
      <c r="P2078" t="s">
        <v>1835</v>
      </c>
      <c r="Y2078" t="s">
        <v>9627</v>
      </c>
    </row>
    <row r="2079" spans="1:25">
      <c r="A2079" t="s">
        <v>9628</v>
      </c>
      <c r="B2079" t="s">
        <v>9629</v>
      </c>
      <c r="D2079" t="s">
        <v>1832</v>
      </c>
      <c r="E2079" t="s">
        <v>41</v>
      </c>
      <c r="J2079" t="s">
        <v>90</v>
      </c>
      <c r="K2079" t="s">
        <v>91</v>
      </c>
      <c r="L2079">
        <v>5</v>
      </c>
      <c r="M2079" t="s">
        <v>9630</v>
      </c>
      <c r="N2079" t="s">
        <v>47</v>
      </c>
      <c r="O2079" t="s">
        <v>1835</v>
      </c>
      <c r="P2079" t="s">
        <v>1835</v>
      </c>
      <c r="Y2079" t="s">
        <v>9631</v>
      </c>
    </row>
    <row r="2080" spans="1:25">
      <c r="A2080" t="s">
        <v>9632</v>
      </c>
      <c r="B2080" t="s">
        <v>9633</v>
      </c>
      <c r="D2080" t="s">
        <v>1832</v>
      </c>
      <c r="E2080" t="s">
        <v>41</v>
      </c>
      <c r="J2080" t="s">
        <v>90</v>
      </c>
      <c r="K2080" t="s">
        <v>91</v>
      </c>
      <c r="L2080">
        <v>5</v>
      </c>
      <c r="M2080" t="s">
        <v>9634</v>
      </c>
      <c r="N2080" t="s">
        <v>47</v>
      </c>
      <c r="O2080" t="s">
        <v>1835</v>
      </c>
      <c r="P2080" t="s">
        <v>1835</v>
      </c>
      <c r="Y2080" t="s">
        <v>9635</v>
      </c>
    </row>
    <row r="2081" spans="1:25">
      <c r="A2081" t="s">
        <v>9636</v>
      </c>
      <c r="B2081" t="s">
        <v>9637</v>
      </c>
      <c r="D2081" t="s">
        <v>1832</v>
      </c>
      <c r="E2081" t="s">
        <v>41</v>
      </c>
      <c r="H2081" t="s">
        <v>9638</v>
      </c>
      <c r="J2081" t="s">
        <v>44</v>
      </c>
      <c r="K2081" t="s">
        <v>45</v>
      </c>
      <c r="L2081">
        <v>5</v>
      </c>
      <c r="M2081" t="s">
        <v>9639</v>
      </c>
      <c r="N2081" t="s">
        <v>47</v>
      </c>
      <c r="O2081" t="s">
        <v>1835</v>
      </c>
      <c r="P2081" t="s">
        <v>1835</v>
      </c>
      <c r="Y2081" t="s">
        <v>9638</v>
      </c>
    </row>
    <row r="2082" spans="1:25">
      <c r="A2082" t="s">
        <v>9640</v>
      </c>
      <c r="B2082" t="s">
        <v>9641</v>
      </c>
      <c r="D2082" t="s">
        <v>1832</v>
      </c>
      <c r="E2082" t="s">
        <v>41</v>
      </c>
      <c r="J2082" t="s">
        <v>44</v>
      </c>
      <c r="K2082" t="s">
        <v>45</v>
      </c>
      <c r="L2082">
        <v>5</v>
      </c>
      <c r="M2082" t="s">
        <v>9642</v>
      </c>
      <c r="N2082" t="s">
        <v>47</v>
      </c>
      <c r="O2082" t="s">
        <v>1835</v>
      </c>
      <c r="P2082" t="s">
        <v>1835</v>
      </c>
      <c r="Y2082" t="s">
        <v>9643</v>
      </c>
    </row>
    <row r="2083" spans="1:25">
      <c r="A2083" t="s">
        <v>9644</v>
      </c>
      <c r="B2083" t="s">
        <v>9645</v>
      </c>
      <c r="D2083" t="s">
        <v>1832</v>
      </c>
      <c r="E2083" t="s">
        <v>41</v>
      </c>
      <c r="J2083" t="s">
        <v>44</v>
      </c>
      <c r="K2083" t="s">
        <v>45</v>
      </c>
      <c r="L2083">
        <v>5</v>
      </c>
      <c r="M2083" t="s">
        <v>9642</v>
      </c>
      <c r="N2083" t="s">
        <v>47</v>
      </c>
      <c r="O2083" t="s">
        <v>1835</v>
      </c>
      <c r="P2083" t="s">
        <v>1835</v>
      </c>
      <c r="Y2083" t="s">
        <v>9646</v>
      </c>
    </row>
    <row r="2084" spans="1:25">
      <c r="A2084" t="s">
        <v>9647</v>
      </c>
      <c r="B2084" t="s">
        <v>9648</v>
      </c>
      <c r="D2084" t="s">
        <v>9473</v>
      </c>
      <c r="E2084" t="s">
        <v>9474</v>
      </c>
      <c r="H2084" t="s">
        <v>9649</v>
      </c>
      <c r="J2084" t="s">
        <v>54</v>
      </c>
      <c r="K2084" t="s">
        <v>55</v>
      </c>
      <c r="L2084">
        <v>4</v>
      </c>
      <c r="M2084" t="s">
        <v>9642</v>
      </c>
      <c r="N2084" t="s">
        <v>47</v>
      </c>
      <c r="O2084" t="s">
        <v>9477</v>
      </c>
      <c r="P2084" t="s">
        <v>9477</v>
      </c>
      <c r="Y2084" t="s">
        <v>9649</v>
      </c>
    </row>
    <row r="2085" spans="1:25">
      <c r="A2085" t="s">
        <v>9650</v>
      </c>
      <c r="B2085" t="s">
        <v>9651</v>
      </c>
      <c r="D2085" t="s">
        <v>40</v>
      </c>
      <c r="E2085" t="s">
        <v>41</v>
      </c>
      <c r="G2085" t="s">
        <v>5283</v>
      </c>
      <c r="H2085" t="s">
        <v>939</v>
      </c>
      <c r="J2085" t="s">
        <v>133</v>
      </c>
      <c r="K2085" t="s">
        <v>134</v>
      </c>
      <c r="L2085">
        <v>5</v>
      </c>
      <c r="M2085" t="s">
        <v>9652</v>
      </c>
      <c r="N2085" t="s">
        <v>135</v>
      </c>
      <c r="O2085" t="s">
        <v>48</v>
      </c>
      <c r="P2085" t="s">
        <v>48</v>
      </c>
      <c r="Y2085" t="s">
        <v>9653</v>
      </c>
    </row>
    <row r="2086" spans="1:25">
      <c r="A2086" t="s">
        <v>9654</v>
      </c>
      <c r="B2086" t="s">
        <v>9655</v>
      </c>
      <c r="D2086" t="s">
        <v>40</v>
      </c>
      <c r="E2086" t="s">
        <v>41</v>
      </c>
      <c r="J2086" t="s">
        <v>497</v>
      </c>
      <c r="K2086" t="s">
        <v>498</v>
      </c>
      <c r="L2086">
        <v>4</v>
      </c>
      <c r="M2086" t="s">
        <v>9656</v>
      </c>
      <c r="N2086" t="s">
        <v>135</v>
      </c>
      <c r="O2086" t="s">
        <v>48</v>
      </c>
      <c r="P2086" t="s">
        <v>48</v>
      </c>
      <c r="Y2086" t="s">
        <v>9657</v>
      </c>
    </row>
    <row r="2087" spans="1:25">
      <c r="A2087" t="s">
        <v>9658</v>
      </c>
      <c r="B2087" t="s">
        <v>9659</v>
      </c>
      <c r="D2087" t="s">
        <v>40</v>
      </c>
      <c r="E2087" t="s">
        <v>41</v>
      </c>
      <c r="J2087" t="s">
        <v>1571</v>
      </c>
      <c r="K2087" t="s">
        <v>1572</v>
      </c>
      <c r="L2087">
        <v>5</v>
      </c>
      <c r="M2087" t="s">
        <v>9660</v>
      </c>
      <c r="N2087" t="s">
        <v>685</v>
      </c>
      <c r="O2087" t="s">
        <v>48</v>
      </c>
      <c r="P2087" t="s">
        <v>48</v>
      </c>
      <c r="Y2087" t="s">
        <v>9661</v>
      </c>
    </row>
    <row r="2088" spans="1:25">
      <c r="A2088" t="s">
        <v>9662</v>
      </c>
      <c r="B2088" t="s">
        <v>9663</v>
      </c>
      <c r="D2088" t="s">
        <v>40</v>
      </c>
      <c r="E2088" t="s">
        <v>41</v>
      </c>
      <c r="G2088" t="s">
        <v>2617</v>
      </c>
      <c r="H2088" t="s">
        <v>9664</v>
      </c>
      <c r="J2088" t="s">
        <v>353</v>
      </c>
      <c r="K2088" t="s">
        <v>354</v>
      </c>
      <c r="L2088">
        <v>5</v>
      </c>
      <c r="M2088" t="s">
        <v>9665</v>
      </c>
      <c r="N2088" t="s">
        <v>135</v>
      </c>
      <c r="O2088" t="s">
        <v>48</v>
      </c>
      <c r="P2088" t="s">
        <v>48</v>
      </c>
      <c r="Y2088" t="s">
        <v>9666</v>
      </c>
    </row>
    <row r="2089" spans="1:25">
      <c r="A2089" t="s">
        <v>9667</v>
      </c>
      <c r="B2089" t="s">
        <v>9668</v>
      </c>
      <c r="D2089" t="s">
        <v>40</v>
      </c>
      <c r="E2089" t="s">
        <v>41</v>
      </c>
      <c r="G2089" t="s">
        <v>9669</v>
      </c>
      <c r="H2089" t="s">
        <v>9670</v>
      </c>
      <c r="J2089" t="s">
        <v>497</v>
      </c>
      <c r="K2089" t="s">
        <v>498</v>
      </c>
      <c r="L2089">
        <v>5</v>
      </c>
      <c r="M2089" t="s">
        <v>9671</v>
      </c>
      <c r="N2089" t="s">
        <v>685</v>
      </c>
      <c r="O2089" t="s">
        <v>48</v>
      </c>
      <c r="P2089" t="s">
        <v>48</v>
      </c>
      <c r="Y2089" t="s">
        <v>9672</v>
      </c>
    </row>
    <row r="2090" spans="1:25">
      <c r="A2090" t="s">
        <v>9673</v>
      </c>
      <c r="B2090" t="s">
        <v>9674</v>
      </c>
      <c r="D2090" t="s">
        <v>1832</v>
      </c>
      <c r="E2090" t="s">
        <v>41</v>
      </c>
      <c r="H2090" t="s">
        <v>9675</v>
      </c>
      <c r="J2090" t="s">
        <v>133</v>
      </c>
      <c r="K2090" t="s">
        <v>134</v>
      </c>
      <c r="L2090">
        <v>6</v>
      </c>
      <c r="M2090" t="s">
        <v>9676</v>
      </c>
      <c r="N2090" t="s">
        <v>135</v>
      </c>
      <c r="O2090" t="s">
        <v>1835</v>
      </c>
      <c r="P2090" t="s">
        <v>1835</v>
      </c>
      <c r="Y2090" t="s">
        <v>9675</v>
      </c>
    </row>
    <row r="2091" spans="1:25">
      <c r="A2091" t="s">
        <v>9677</v>
      </c>
      <c r="B2091" t="s">
        <v>9678</v>
      </c>
      <c r="D2091" t="s">
        <v>40</v>
      </c>
      <c r="E2091" t="s">
        <v>41</v>
      </c>
      <c r="G2091" t="s">
        <v>973</v>
      </c>
      <c r="H2091" t="s">
        <v>9679</v>
      </c>
      <c r="J2091" t="s">
        <v>353</v>
      </c>
      <c r="K2091" t="s">
        <v>354</v>
      </c>
      <c r="L2091">
        <v>5</v>
      </c>
      <c r="M2091" t="s">
        <v>9680</v>
      </c>
      <c r="N2091" t="s">
        <v>685</v>
      </c>
      <c r="O2091" t="s">
        <v>48</v>
      </c>
      <c r="P2091" t="s">
        <v>48</v>
      </c>
      <c r="Y2091" t="s">
        <v>9681</v>
      </c>
    </row>
    <row r="2092" spans="1:25">
      <c r="A2092" t="s">
        <v>9682</v>
      </c>
      <c r="B2092" t="s">
        <v>9683</v>
      </c>
      <c r="D2092" t="s">
        <v>40</v>
      </c>
      <c r="E2092" t="s">
        <v>41</v>
      </c>
      <c r="G2092" t="s">
        <v>1225</v>
      </c>
      <c r="H2092" t="s">
        <v>939</v>
      </c>
      <c r="J2092" t="s">
        <v>497</v>
      </c>
      <c r="K2092" t="s">
        <v>498</v>
      </c>
      <c r="L2092">
        <v>4</v>
      </c>
      <c r="M2092" t="s">
        <v>9684</v>
      </c>
      <c r="N2092" t="s">
        <v>685</v>
      </c>
      <c r="O2092" t="s">
        <v>48</v>
      </c>
      <c r="P2092" t="s">
        <v>48</v>
      </c>
      <c r="Y2092" t="s">
        <v>9685</v>
      </c>
    </row>
    <row r="2093" spans="1:25">
      <c r="A2093" t="s">
        <v>9686</v>
      </c>
      <c r="B2093" t="s">
        <v>9687</v>
      </c>
      <c r="D2093" t="s">
        <v>40</v>
      </c>
      <c r="E2093" t="s">
        <v>41</v>
      </c>
      <c r="G2093" t="s">
        <v>9688</v>
      </c>
      <c r="H2093" t="s">
        <v>9689</v>
      </c>
      <c r="J2093" t="s">
        <v>497</v>
      </c>
      <c r="K2093" t="s">
        <v>498</v>
      </c>
      <c r="L2093">
        <v>4</v>
      </c>
      <c r="M2093" t="s">
        <v>9690</v>
      </c>
      <c r="N2093" t="s">
        <v>685</v>
      </c>
      <c r="O2093" t="s">
        <v>48</v>
      </c>
      <c r="P2093" t="s">
        <v>48</v>
      </c>
      <c r="Y2093" t="s">
        <v>9691</v>
      </c>
    </row>
    <row r="2094" spans="1:25">
      <c r="A2094" t="s">
        <v>9692</v>
      </c>
      <c r="B2094" t="s">
        <v>9693</v>
      </c>
      <c r="D2094" t="s">
        <v>40</v>
      </c>
      <c r="E2094" t="s">
        <v>41</v>
      </c>
      <c r="G2094" t="s">
        <v>9694</v>
      </c>
      <c r="H2094" t="s">
        <v>9695</v>
      </c>
      <c r="J2094" t="s">
        <v>353</v>
      </c>
      <c r="K2094" t="s">
        <v>354</v>
      </c>
      <c r="L2094">
        <v>6</v>
      </c>
      <c r="M2094" t="s">
        <v>9696</v>
      </c>
      <c r="N2094" t="s">
        <v>685</v>
      </c>
      <c r="O2094" t="s">
        <v>48</v>
      </c>
      <c r="P2094" t="s">
        <v>48</v>
      </c>
      <c r="Y2094" t="s">
        <v>9697</v>
      </c>
    </row>
    <row r="2095" spans="1:25">
      <c r="A2095" t="s">
        <v>9698</v>
      </c>
      <c r="B2095" t="s">
        <v>9699</v>
      </c>
      <c r="D2095" t="s">
        <v>40</v>
      </c>
      <c r="E2095" t="s">
        <v>41</v>
      </c>
      <c r="G2095" t="s">
        <v>9700</v>
      </c>
      <c r="H2095" t="s">
        <v>2837</v>
      </c>
      <c r="J2095" t="s">
        <v>497</v>
      </c>
      <c r="K2095" t="s">
        <v>498</v>
      </c>
      <c r="L2095">
        <v>5</v>
      </c>
      <c r="M2095" t="s">
        <v>9701</v>
      </c>
      <c r="N2095" t="s">
        <v>685</v>
      </c>
      <c r="O2095" t="s">
        <v>48</v>
      </c>
      <c r="P2095" t="s">
        <v>48</v>
      </c>
      <c r="Y2095" t="s">
        <v>9702</v>
      </c>
    </row>
    <row r="2096" spans="1:25">
      <c r="A2096" t="s">
        <v>9703</v>
      </c>
      <c r="B2096" t="s">
        <v>9704</v>
      </c>
      <c r="D2096" t="s">
        <v>40</v>
      </c>
      <c r="E2096" t="s">
        <v>41</v>
      </c>
      <c r="G2096" t="s">
        <v>9705</v>
      </c>
      <c r="H2096" t="s">
        <v>9706</v>
      </c>
      <c r="J2096" t="s">
        <v>1571</v>
      </c>
      <c r="K2096" t="s">
        <v>1572</v>
      </c>
      <c r="L2096">
        <v>4</v>
      </c>
      <c r="M2096" t="s">
        <v>9707</v>
      </c>
      <c r="N2096" t="s">
        <v>290</v>
      </c>
      <c r="O2096" t="s">
        <v>48</v>
      </c>
      <c r="P2096" t="s">
        <v>48</v>
      </c>
      <c r="Y2096" t="s">
        <v>9708</v>
      </c>
    </row>
    <row r="2097" spans="1:25">
      <c r="A2097" t="s">
        <v>9709</v>
      </c>
      <c r="B2097" t="s">
        <v>9710</v>
      </c>
      <c r="D2097" t="s">
        <v>40</v>
      </c>
      <c r="E2097" t="s">
        <v>41</v>
      </c>
      <c r="G2097" t="s">
        <v>9711</v>
      </c>
      <c r="H2097" t="s">
        <v>9712</v>
      </c>
      <c r="J2097" t="s">
        <v>927</v>
      </c>
      <c r="K2097" t="s">
        <v>928</v>
      </c>
      <c r="L2097">
        <v>5</v>
      </c>
      <c r="M2097" t="s">
        <v>9713</v>
      </c>
      <c r="N2097" t="s">
        <v>135</v>
      </c>
      <c r="O2097" t="s">
        <v>48</v>
      </c>
      <c r="P2097" t="s">
        <v>48</v>
      </c>
      <c r="Y2097" t="s">
        <v>9714</v>
      </c>
    </row>
    <row r="2098" spans="1:25">
      <c r="A2098" t="s">
        <v>9715</v>
      </c>
      <c r="B2098" t="s">
        <v>9716</v>
      </c>
      <c r="D2098" t="s">
        <v>40</v>
      </c>
      <c r="E2098" t="s">
        <v>41</v>
      </c>
      <c r="G2098" t="s">
        <v>9717</v>
      </c>
      <c r="H2098" t="s">
        <v>9718</v>
      </c>
      <c r="J2098" t="s">
        <v>9719</v>
      </c>
      <c r="K2098" t="s">
        <v>9720</v>
      </c>
      <c r="L2098">
        <v>5</v>
      </c>
      <c r="M2098" t="s">
        <v>9721</v>
      </c>
      <c r="N2098" t="s">
        <v>685</v>
      </c>
      <c r="O2098" t="s">
        <v>48</v>
      </c>
      <c r="P2098" t="s">
        <v>48</v>
      </c>
      <c r="Y2098" t="s">
        <v>9722</v>
      </c>
    </row>
    <row r="2099" spans="1:25">
      <c r="A2099" t="s">
        <v>9723</v>
      </c>
      <c r="B2099" t="s">
        <v>9724</v>
      </c>
      <c r="D2099" t="s">
        <v>40</v>
      </c>
      <c r="E2099" t="s">
        <v>41</v>
      </c>
      <c r="G2099" t="s">
        <v>9725</v>
      </c>
      <c r="H2099" t="s">
        <v>1686</v>
      </c>
      <c r="J2099" t="s">
        <v>90</v>
      </c>
      <c r="K2099" t="s">
        <v>91</v>
      </c>
      <c r="L2099">
        <v>4</v>
      </c>
      <c r="M2099" t="s">
        <v>9726</v>
      </c>
      <c r="N2099" t="s">
        <v>47</v>
      </c>
      <c r="O2099" t="s">
        <v>48</v>
      </c>
      <c r="P2099" t="s">
        <v>48</v>
      </c>
      <c r="Y2099" t="s">
        <v>9727</v>
      </c>
    </row>
    <row r="2100" spans="1:25">
      <c r="A2100" t="s">
        <v>9728</v>
      </c>
      <c r="B2100" t="s">
        <v>9729</v>
      </c>
      <c r="D2100" t="s">
        <v>40</v>
      </c>
      <c r="E2100" t="s">
        <v>41</v>
      </c>
      <c r="G2100" t="s">
        <v>4779</v>
      </c>
      <c r="H2100" t="s">
        <v>9730</v>
      </c>
      <c r="J2100" t="s">
        <v>44</v>
      </c>
      <c r="K2100" t="s">
        <v>45</v>
      </c>
      <c r="L2100">
        <v>4</v>
      </c>
      <c r="M2100" t="s">
        <v>9731</v>
      </c>
      <c r="N2100" t="s">
        <v>47</v>
      </c>
      <c r="O2100" t="s">
        <v>48</v>
      </c>
      <c r="P2100" t="s">
        <v>48</v>
      </c>
      <c r="Y2100" t="s">
        <v>9732</v>
      </c>
    </row>
    <row r="2101" spans="1:25">
      <c r="A2101" t="s">
        <v>9733</v>
      </c>
      <c r="B2101" t="s">
        <v>9734</v>
      </c>
      <c r="D2101" t="s">
        <v>40</v>
      </c>
      <c r="E2101" t="s">
        <v>41</v>
      </c>
      <c r="G2101" t="s">
        <v>6549</v>
      </c>
      <c r="H2101" t="s">
        <v>9735</v>
      </c>
      <c r="J2101" t="s">
        <v>44</v>
      </c>
      <c r="K2101" t="s">
        <v>45</v>
      </c>
      <c r="L2101">
        <v>4</v>
      </c>
      <c r="M2101" t="s">
        <v>9736</v>
      </c>
      <c r="N2101" t="s">
        <v>47</v>
      </c>
      <c r="O2101" t="s">
        <v>48</v>
      </c>
      <c r="P2101" t="s">
        <v>48</v>
      </c>
      <c r="Y2101" t="s">
        <v>9737</v>
      </c>
    </row>
    <row r="2102" spans="1:25">
      <c r="A2102" t="s">
        <v>9738</v>
      </c>
      <c r="B2102" t="s">
        <v>9739</v>
      </c>
      <c r="D2102" t="s">
        <v>40</v>
      </c>
      <c r="E2102" t="s">
        <v>41</v>
      </c>
      <c r="G2102" t="s">
        <v>9740</v>
      </c>
      <c r="H2102" t="s">
        <v>9741</v>
      </c>
      <c r="J2102" t="s">
        <v>497</v>
      </c>
      <c r="K2102" t="s">
        <v>498</v>
      </c>
      <c r="L2102">
        <v>4</v>
      </c>
      <c r="M2102" t="s">
        <v>9742</v>
      </c>
      <c r="N2102" t="s">
        <v>685</v>
      </c>
      <c r="O2102" t="s">
        <v>48</v>
      </c>
      <c r="P2102" t="s">
        <v>48</v>
      </c>
      <c r="Y2102" t="s">
        <v>9743</v>
      </c>
    </row>
    <row r="2103" spans="1:25">
      <c r="A2103" t="s">
        <v>9744</v>
      </c>
      <c r="B2103" t="s">
        <v>9745</v>
      </c>
      <c r="D2103" t="s">
        <v>40</v>
      </c>
      <c r="E2103" t="s">
        <v>41</v>
      </c>
      <c r="G2103" t="s">
        <v>274</v>
      </c>
      <c r="H2103" t="s">
        <v>9746</v>
      </c>
      <c r="J2103" t="s">
        <v>2605</v>
      </c>
      <c r="K2103" t="s">
        <v>2606</v>
      </c>
      <c r="L2103">
        <v>4</v>
      </c>
      <c r="M2103" t="s">
        <v>9747</v>
      </c>
      <c r="N2103" t="s">
        <v>135</v>
      </c>
      <c r="O2103" t="s">
        <v>48</v>
      </c>
      <c r="P2103" t="s">
        <v>48</v>
      </c>
      <c r="Y2103" t="s">
        <v>9748</v>
      </c>
    </row>
    <row r="2104" spans="1:25">
      <c r="A2104" t="s">
        <v>9749</v>
      </c>
      <c r="B2104" t="s">
        <v>9750</v>
      </c>
      <c r="D2104" t="s">
        <v>40</v>
      </c>
      <c r="E2104" t="s">
        <v>41</v>
      </c>
      <c r="G2104" t="s">
        <v>9751</v>
      </c>
      <c r="H2104" t="s">
        <v>9752</v>
      </c>
      <c r="J2104" t="s">
        <v>497</v>
      </c>
      <c r="K2104" t="s">
        <v>498</v>
      </c>
      <c r="L2104">
        <v>4</v>
      </c>
      <c r="M2104" t="s">
        <v>9753</v>
      </c>
      <c r="N2104" t="s">
        <v>685</v>
      </c>
      <c r="O2104" t="s">
        <v>48</v>
      </c>
      <c r="P2104" t="s">
        <v>48</v>
      </c>
      <c r="Y2104" t="s">
        <v>9754</v>
      </c>
    </row>
    <row r="2105" spans="1:25">
      <c r="A2105" t="s">
        <v>9755</v>
      </c>
      <c r="B2105" t="s">
        <v>9756</v>
      </c>
      <c r="D2105" t="s">
        <v>40</v>
      </c>
      <c r="E2105" t="s">
        <v>41</v>
      </c>
      <c r="G2105" t="s">
        <v>9757</v>
      </c>
      <c r="H2105" t="s">
        <v>9758</v>
      </c>
      <c r="J2105" t="s">
        <v>9759</v>
      </c>
      <c r="K2105" t="s">
        <v>9760</v>
      </c>
      <c r="L2105">
        <v>5</v>
      </c>
      <c r="M2105" t="s">
        <v>9761</v>
      </c>
      <c r="N2105" t="s">
        <v>47</v>
      </c>
      <c r="O2105" t="s">
        <v>48</v>
      </c>
      <c r="P2105" t="s">
        <v>48</v>
      </c>
      <c r="Y2105" t="s">
        <v>9762</v>
      </c>
    </row>
    <row r="2106" spans="1:25">
      <c r="A2106" t="s">
        <v>9763</v>
      </c>
      <c r="B2106" t="s">
        <v>9764</v>
      </c>
      <c r="D2106" t="s">
        <v>40</v>
      </c>
      <c r="E2106" t="s">
        <v>41</v>
      </c>
      <c r="J2106" t="s">
        <v>765</v>
      </c>
      <c r="K2106" t="s">
        <v>766</v>
      </c>
      <c r="L2106">
        <v>4</v>
      </c>
      <c r="M2106" t="s">
        <v>9765</v>
      </c>
      <c r="N2106" t="s">
        <v>685</v>
      </c>
      <c r="O2106" t="s">
        <v>48</v>
      </c>
      <c r="P2106" t="s">
        <v>48</v>
      </c>
      <c r="Y2106" t="s">
        <v>9766</v>
      </c>
    </row>
    <row r="2107" spans="1:25">
      <c r="A2107" t="s">
        <v>9767</v>
      </c>
      <c r="B2107" t="s">
        <v>9768</v>
      </c>
      <c r="D2107" t="s">
        <v>40</v>
      </c>
      <c r="E2107" t="s">
        <v>41</v>
      </c>
      <c r="G2107" t="s">
        <v>9769</v>
      </c>
      <c r="H2107" t="s">
        <v>1686</v>
      </c>
      <c r="J2107" t="s">
        <v>765</v>
      </c>
      <c r="K2107" t="s">
        <v>766</v>
      </c>
      <c r="L2107">
        <v>4</v>
      </c>
      <c r="M2107" t="s">
        <v>9770</v>
      </c>
      <c r="N2107" t="s">
        <v>685</v>
      </c>
      <c r="O2107" t="s">
        <v>48</v>
      </c>
      <c r="P2107" t="s">
        <v>48</v>
      </c>
      <c r="Y2107" t="s">
        <v>9771</v>
      </c>
    </row>
    <row r="2108" spans="1:25">
      <c r="A2108" t="s">
        <v>9772</v>
      </c>
      <c r="B2108" t="s">
        <v>9773</v>
      </c>
      <c r="D2108" t="s">
        <v>40</v>
      </c>
      <c r="E2108" t="s">
        <v>41</v>
      </c>
      <c r="G2108" t="s">
        <v>9774</v>
      </c>
      <c r="H2108" t="s">
        <v>9775</v>
      </c>
      <c r="J2108" t="s">
        <v>497</v>
      </c>
      <c r="K2108" t="s">
        <v>498</v>
      </c>
      <c r="L2108">
        <v>4</v>
      </c>
      <c r="M2108" t="s">
        <v>9776</v>
      </c>
      <c r="N2108" t="s">
        <v>135</v>
      </c>
      <c r="O2108" t="s">
        <v>48</v>
      </c>
      <c r="P2108" t="s">
        <v>48</v>
      </c>
      <c r="Y2108" t="s">
        <v>9777</v>
      </c>
    </row>
    <row r="2109" spans="1:25">
      <c r="A2109" t="s">
        <v>9778</v>
      </c>
      <c r="B2109" t="s">
        <v>9779</v>
      </c>
      <c r="D2109" t="s">
        <v>40</v>
      </c>
      <c r="E2109" t="s">
        <v>41</v>
      </c>
      <c r="G2109" t="s">
        <v>9780</v>
      </c>
      <c r="H2109" t="s">
        <v>5134</v>
      </c>
      <c r="J2109" t="s">
        <v>765</v>
      </c>
      <c r="K2109" t="s">
        <v>766</v>
      </c>
      <c r="L2109">
        <v>4</v>
      </c>
      <c r="M2109" t="s">
        <v>9781</v>
      </c>
      <c r="N2109" t="s">
        <v>685</v>
      </c>
      <c r="O2109" t="s">
        <v>48</v>
      </c>
      <c r="P2109" t="s">
        <v>48</v>
      </c>
      <c r="Y2109" t="s">
        <v>9782</v>
      </c>
    </row>
    <row r="2110" spans="1:25">
      <c r="A2110" t="s">
        <v>9783</v>
      </c>
      <c r="B2110" t="s">
        <v>9784</v>
      </c>
      <c r="D2110" t="s">
        <v>40</v>
      </c>
      <c r="E2110" t="s">
        <v>41</v>
      </c>
      <c r="G2110" t="s">
        <v>9785</v>
      </c>
      <c r="H2110" t="s">
        <v>3309</v>
      </c>
      <c r="J2110" t="s">
        <v>2948</v>
      </c>
      <c r="K2110" t="s">
        <v>2949</v>
      </c>
      <c r="L2110">
        <v>4</v>
      </c>
      <c r="M2110" t="s">
        <v>9786</v>
      </c>
      <c r="N2110" t="s">
        <v>685</v>
      </c>
      <c r="O2110" t="s">
        <v>48</v>
      </c>
      <c r="P2110" t="s">
        <v>48</v>
      </c>
      <c r="Y2110" t="s">
        <v>9787</v>
      </c>
    </row>
    <row r="2111" spans="1:25">
      <c r="A2111" t="s">
        <v>9788</v>
      </c>
      <c r="B2111" t="s">
        <v>9789</v>
      </c>
      <c r="D2111" t="s">
        <v>40</v>
      </c>
      <c r="E2111" t="s">
        <v>41</v>
      </c>
      <c r="G2111" t="s">
        <v>4234</v>
      </c>
      <c r="H2111" t="s">
        <v>1595</v>
      </c>
      <c r="J2111" t="s">
        <v>133</v>
      </c>
      <c r="K2111" t="s">
        <v>134</v>
      </c>
      <c r="L2111">
        <v>4</v>
      </c>
      <c r="M2111" t="s">
        <v>9790</v>
      </c>
      <c r="N2111" t="s">
        <v>135</v>
      </c>
      <c r="O2111" t="s">
        <v>48</v>
      </c>
      <c r="P2111" t="s">
        <v>48</v>
      </c>
      <c r="Y2111" t="s">
        <v>9791</v>
      </c>
    </row>
    <row r="2112" spans="1:25">
      <c r="A2112" t="s">
        <v>9792</v>
      </c>
      <c r="B2112" t="s">
        <v>9793</v>
      </c>
      <c r="D2112" t="s">
        <v>40</v>
      </c>
      <c r="E2112" t="s">
        <v>41</v>
      </c>
      <c r="G2112" t="s">
        <v>4146</v>
      </c>
      <c r="H2112" t="s">
        <v>9794</v>
      </c>
      <c r="J2112" t="s">
        <v>133</v>
      </c>
      <c r="K2112" t="s">
        <v>134</v>
      </c>
      <c r="L2112">
        <v>5</v>
      </c>
      <c r="M2112" t="s">
        <v>9795</v>
      </c>
      <c r="N2112" t="s">
        <v>135</v>
      </c>
      <c r="O2112" t="s">
        <v>48</v>
      </c>
      <c r="P2112" t="s">
        <v>48</v>
      </c>
      <c r="Y2112" t="s">
        <v>9796</v>
      </c>
    </row>
    <row r="2113" spans="1:25">
      <c r="A2113" t="s">
        <v>9797</v>
      </c>
      <c r="B2113" t="s">
        <v>9798</v>
      </c>
      <c r="D2113" t="s">
        <v>40</v>
      </c>
      <c r="E2113" t="s">
        <v>41</v>
      </c>
      <c r="G2113" t="s">
        <v>9799</v>
      </c>
      <c r="H2113" t="s">
        <v>9800</v>
      </c>
      <c r="J2113" t="s">
        <v>765</v>
      </c>
      <c r="K2113" t="s">
        <v>766</v>
      </c>
      <c r="L2113">
        <v>4</v>
      </c>
      <c r="M2113" t="s">
        <v>9801</v>
      </c>
      <c r="N2113" t="s">
        <v>685</v>
      </c>
      <c r="O2113" t="s">
        <v>48</v>
      </c>
      <c r="P2113" t="s">
        <v>48</v>
      </c>
      <c r="Y2113" t="s">
        <v>9802</v>
      </c>
    </row>
    <row r="2114" spans="1:25">
      <c r="A2114" t="s">
        <v>9803</v>
      </c>
      <c r="B2114" t="s">
        <v>9804</v>
      </c>
      <c r="D2114" t="s">
        <v>40</v>
      </c>
      <c r="E2114" t="s">
        <v>41</v>
      </c>
      <c r="G2114" t="s">
        <v>9805</v>
      </c>
      <c r="H2114" t="s">
        <v>9806</v>
      </c>
      <c r="J2114" t="s">
        <v>54</v>
      </c>
      <c r="K2114" t="s">
        <v>55</v>
      </c>
      <c r="L2114">
        <v>4</v>
      </c>
      <c r="M2114" t="s">
        <v>9807</v>
      </c>
      <c r="N2114" t="s">
        <v>47</v>
      </c>
      <c r="O2114" t="s">
        <v>48</v>
      </c>
      <c r="P2114" t="s">
        <v>48</v>
      </c>
      <c r="Y2114" t="s">
        <v>9808</v>
      </c>
    </row>
    <row r="2115" spans="1:25">
      <c r="A2115" t="s">
        <v>9809</v>
      </c>
      <c r="B2115" t="s">
        <v>9810</v>
      </c>
      <c r="D2115" t="s">
        <v>40</v>
      </c>
      <c r="E2115" t="s">
        <v>41</v>
      </c>
      <c r="G2115" t="s">
        <v>1243</v>
      </c>
      <c r="H2115" t="s">
        <v>9811</v>
      </c>
      <c r="J2115" t="s">
        <v>90</v>
      </c>
      <c r="K2115" t="s">
        <v>91</v>
      </c>
      <c r="L2115">
        <v>4</v>
      </c>
      <c r="M2115" t="s">
        <v>9812</v>
      </c>
      <c r="N2115" t="s">
        <v>47</v>
      </c>
      <c r="O2115" t="s">
        <v>48</v>
      </c>
      <c r="P2115" t="s">
        <v>48</v>
      </c>
      <c r="Y2115" t="s">
        <v>9813</v>
      </c>
    </row>
    <row r="2116" spans="1:25">
      <c r="A2116" t="s">
        <v>9814</v>
      </c>
      <c r="B2116" t="s">
        <v>9815</v>
      </c>
      <c r="D2116" t="s">
        <v>40</v>
      </c>
      <c r="E2116" t="s">
        <v>41</v>
      </c>
      <c r="G2116" t="s">
        <v>1099</v>
      </c>
      <c r="H2116" t="s">
        <v>9816</v>
      </c>
      <c r="J2116" t="s">
        <v>497</v>
      </c>
      <c r="K2116" t="s">
        <v>498</v>
      </c>
      <c r="L2116">
        <v>4</v>
      </c>
      <c r="M2116" t="s">
        <v>9817</v>
      </c>
      <c r="N2116" t="s">
        <v>290</v>
      </c>
      <c r="O2116" t="s">
        <v>48</v>
      </c>
      <c r="P2116" t="s">
        <v>48</v>
      </c>
      <c r="Y2116" t="s">
        <v>9818</v>
      </c>
    </row>
    <row r="2117" spans="1:25">
      <c r="A2117" t="s">
        <v>9819</v>
      </c>
      <c r="B2117" t="s">
        <v>9820</v>
      </c>
      <c r="D2117" t="s">
        <v>1832</v>
      </c>
      <c r="E2117" t="s">
        <v>41</v>
      </c>
      <c r="J2117" t="s">
        <v>287</v>
      </c>
      <c r="K2117" t="s">
        <v>288</v>
      </c>
      <c r="L2117">
        <v>5</v>
      </c>
      <c r="M2117" t="s">
        <v>9821</v>
      </c>
      <c r="N2117" t="s">
        <v>135</v>
      </c>
      <c r="O2117" t="s">
        <v>1835</v>
      </c>
      <c r="P2117" t="s">
        <v>1835</v>
      </c>
      <c r="Y2117" t="s">
        <v>9822</v>
      </c>
    </row>
    <row r="2118" spans="1:25">
      <c r="A2118" t="s">
        <v>9823</v>
      </c>
      <c r="B2118" t="s">
        <v>9824</v>
      </c>
      <c r="D2118" t="s">
        <v>40</v>
      </c>
      <c r="E2118" t="s">
        <v>41</v>
      </c>
      <c r="G2118" t="s">
        <v>9825</v>
      </c>
      <c r="H2118" t="s">
        <v>9826</v>
      </c>
      <c r="J2118" t="s">
        <v>44</v>
      </c>
      <c r="K2118" t="s">
        <v>45</v>
      </c>
      <c r="L2118">
        <v>4</v>
      </c>
      <c r="M2118" t="s">
        <v>9827</v>
      </c>
      <c r="N2118" t="s">
        <v>47</v>
      </c>
      <c r="O2118" t="s">
        <v>48</v>
      </c>
      <c r="P2118" t="s">
        <v>48</v>
      </c>
      <c r="Y2118" t="s">
        <v>9828</v>
      </c>
    </row>
    <row r="2119" spans="1:25">
      <c r="A2119" t="s">
        <v>9829</v>
      </c>
      <c r="B2119" t="s">
        <v>9830</v>
      </c>
      <c r="D2119" t="s">
        <v>40</v>
      </c>
      <c r="E2119" t="s">
        <v>41</v>
      </c>
      <c r="G2119" t="s">
        <v>9831</v>
      </c>
      <c r="H2119" t="s">
        <v>3562</v>
      </c>
      <c r="J2119" t="s">
        <v>9759</v>
      </c>
      <c r="K2119" t="s">
        <v>9760</v>
      </c>
      <c r="L2119">
        <v>5</v>
      </c>
      <c r="M2119" t="s">
        <v>9827</v>
      </c>
      <c r="N2119" t="s">
        <v>290</v>
      </c>
      <c r="O2119" t="s">
        <v>48</v>
      </c>
      <c r="P2119" t="s">
        <v>48</v>
      </c>
      <c r="Y2119" t="s">
        <v>9832</v>
      </c>
    </row>
    <row r="2120" spans="1:25">
      <c r="A2120" t="s">
        <v>9833</v>
      </c>
      <c r="B2120" t="s">
        <v>9834</v>
      </c>
      <c r="D2120" t="s">
        <v>40</v>
      </c>
      <c r="E2120" t="s">
        <v>41</v>
      </c>
      <c r="G2120" t="s">
        <v>9835</v>
      </c>
      <c r="H2120" t="s">
        <v>9836</v>
      </c>
      <c r="J2120" t="s">
        <v>765</v>
      </c>
      <c r="K2120" t="s">
        <v>766</v>
      </c>
      <c r="L2120">
        <v>4</v>
      </c>
      <c r="M2120" t="s">
        <v>9837</v>
      </c>
      <c r="N2120" t="s">
        <v>685</v>
      </c>
      <c r="O2120" t="s">
        <v>48</v>
      </c>
      <c r="P2120" t="s">
        <v>48</v>
      </c>
      <c r="Y2120" t="s">
        <v>9838</v>
      </c>
    </row>
    <row r="2121" spans="1:25">
      <c r="A2121" t="s">
        <v>9839</v>
      </c>
      <c r="B2121" t="s">
        <v>9840</v>
      </c>
      <c r="D2121" t="s">
        <v>40</v>
      </c>
      <c r="E2121" t="s">
        <v>41</v>
      </c>
      <c r="G2121" t="s">
        <v>9841</v>
      </c>
      <c r="H2121" t="s">
        <v>9842</v>
      </c>
      <c r="J2121" t="s">
        <v>90</v>
      </c>
      <c r="K2121" t="s">
        <v>91</v>
      </c>
      <c r="L2121">
        <v>4</v>
      </c>
      <c r="M2121" t="s">
        <v>9843</v>
      </c>
      <c r="N2121" t="s">
        <v>47</v>
      </c>
      <c r="O2121" t="s">
        <v>48</v>
      </c>
      <c r="P2121" t="s">
        <v>48</v>
      </c>
      <c r="Y2121" t="s">
        <v>9844</v>
      </c>
    </row>
    <row r="2122" spans="1:25">
      <c r="A2122" t="s">
        <v>9845</v>
      </c>
      <c r="B2122" t="s">
        <v>9846</v>
      </c>
      <c r="D2122" t="s">
        <v>40</v>
      </c>
      <c r="E2122" t="s">
        <v>41</v>
      </c>
      <c r="G2122" t="s">
        <v>9847</v>
      </c>
      <c r="H2122" t="s">
        <v>9848</v>
      </c>
      <c r="J2122" t="s">
        <v>54</v>
      </c>
      <c r="K2122" t="s">
        <v>55</v>
      </c>
      <c r="L2122">
        <v>4</v>
      </c>
      <c r="M2122" t="s">
        <v>9849</v>
      </c>
      <c r="N2122" t="s">
        <v>47</v>
      </c>
      <c r="O2122" t="s">
        <v>48</v>
      </c>
      <c r="P2122" t="s">
        <v>48</v>
      </c>
      <c r="Y2122" t="s">
        <v>9850</v>
      </c>
    </row>
    <row r="2123" spans="1:25">
      <c r="A2123" t="s">
        <v>9851</v>
      </c>
      <c r="B2123" t="s">
        <v>9852</v>
      </c>
      <c r="D2123" t="s">
        <v>40</v>
      </c>
      <c r="E2123" t="s">
        <v>41</v>
      </c>
      <c r="G2123" t="s">
        <v>9853</v>
      </c>
      <c r="H2123" t="s">
        <v>649</v>
      </c>
      <c r="J2123" t="s">
        <v>497</v>
      </c>
      <c r="K2123" t="s">
        <v>498</v>
      </c>
      <c r="L2123">
        <v>4</v>
      </c>
      <c r="M2123" t="s">
        <v>9854</v>
      </c>
      <c r="N2123" t="s">
        <v>135</v>
      </c>
      <c r="O2123" t="s">
        <v>48</v>
      </c>
      <c r="P2123" t="s">
        <v>48</v>
      </c>
      <c r="Y2123" t="s">
        <v>9855</v>
      </c>
    </row>
    <row r="2124" spans="1:25">
      <c r="A2124" t="s">
        <v>9856</v>
      </c>
      <c r="B2124" t="s">
        <v>9857</v>
      </c>
      <c r="D2124" t="s">
        <v>40</v>
      </c>
      <c r="E2124" t="s">
        <v>41</v>
      </c>
      <c r="G2124" t="s">
        <v>9858</v>
      </c>
      <c r="H2124" t="s">
        <v>9859</v>
      </c>
      <c r="J2124" t="s">
        <v>44</v>
      </c>
      <c r="K2124" t="s">
        <v>45</v>
      </c>
      <c r="L2124">
        <v>4</v>
      </c>
      <c r="M2124" t="s">
        <v>9860</v>
      </c>
      <c r="N2124" t="s">
        <v>47</v>
      </c>
      <c r="O2124" t="s">
        <v>48</v>
      </c>
      <c r="P2124" t="s">
        <v>48</v>
      </c>
      <c r="Y2124" t="s">
        <v>9861</v>
      </c>
    </row>
    <row r="2125" spans="1:25">
      <c r="A2125" t="s">
        <v>9862</v>
      </c>
      <c r="B2125" t="s">
        <v>9863</v>
      </c>
      <c r="D2125" t="s">
        <v>40</v>
      </c>
      <c r="E2125" t="s">
        <v>41</v>
      </c>
      <c r="G2125" t="s">
        <v>4023</v>
      </c>
      <c r="H2125" t="s">
        <v>9864</v>
      </c>
      <c r="J2125" t="s">
        <v>44</v>
      </c>
      <c r="K2125" t="s">
        <v>45</v>
      </c>
      <c r="L2125">
        <v>4</v>
      </c>
      <c r="M2125" t="s">
        <v>9865</v>
      </c>
      <c r="N2125" t="s">
        <v>47</v>
      </c>
      <c r="O2125" t="s">
        <v>48</v>
      </c>
      <c r="P2125" t="s">
        <v>48</v>
      </c>
      <c r="Y2125" t="s">
        <v>9866</v>
      </c>
    </row>
    <row r="2126" spans="1:25">
      <c r="A2126" t="s">
        <v>9867</v>
      </c>
      <c r="B2126" t="s">
        <v>9868</v>
      </c>
      <c r="D2126" t="s">
        <v>40</v>
      </c>
      <c r="E2126" t="s">
        <v>41</v>
      </c>
      <c r="G2126" t="s">
        <v>9869</v>
      </c>
      <c r="H2126" t="s">
        <v>9870</v>
      </c>
      <c r="J2126" t="s">
        <v>90</v>
      </c>
      <c r="K2126" t="s">
        <v>91</v>
      </c>
      <c r="L2126">
        <v>4</v>
      </c>
      <c r="M2126" t="s">
        <v>9871</v>
      </c>
      <c r="N2126" t="s">
        <v>47</v>
      </c>
      <c r="O2126" t="s">
        <v>48</v>
      </c>
      <c r="P2126" t="s">
        <v>48</v>
      </c>
      <c r="Y2126" t="s">
        <v>9872</v>
      </c>
    </row>
    <row r="2127" spans="1:25">
      <c r="A2127" t="s">
        <v>9873</v>
      </c>
      <c r="B2127" t="s">
        <v>9874</v>
      </c>
      <c r="D2127" t="s">
        <v>1832</v>
      </c>
      <c r="E2127" t="s">
        <v>41</v>
      </c>
      <c r="J2127" t="s">
        <v>287</v>
      </c>
      <c r="K2127" t="s">
        <v>288</v>
      </c>
      <c r="L2127">
        <v>5</v>
      </c>
      <c r="M2127" t="s">
        <v>9875</v>
      </c>
      <c r="N2127" t="s">
        <v>135</v>
      </c>
      <c r="O2127" t="s">
        <v>1835</v>
      </c>
      <c r="P2127" t="s">
        <v>1835</v>
      </c>
      <c r="Y2127" t="s">
        <v>9876</v>
      </c>
    </row>
    <row r="2128" spans="1:25">
      <c r="A2128" t="s">
        <v>9877</v>
      </c>
      <c r="B2128" t="s">
        <v>9878</v>
      </c>
      <c r="D2128" t="s">
        <v>40</v>
      </c>
      <c r="E2128" t="s">
        <v>41</v>
      </c>
      <c r="G2128" t="s">
        <v>1462</v>
      </c>
      <c r="H2128" t="s">
        <v>9879</v>
      </c>
      <c r="J2128" t="s">
        <v>287</v>
      </c>
      <c r="K2128" t="s">
        <v>288</v>
      </c>
      <c r="L2128">
        <v>5</v>
      </c>
      <c r="M2128" t="s">
        <v>9880</v>
      </c>
      <c r="N2128" t="s">
        <v>685</v>
      </c>
      <c r="O2128" t="s">
        <v>48</v>
      </c>
      <c r="P2128" t="s">
        <v>48</v>
      </c>
      <c r="Y2128" t="s">
        <v>9881</v>
      </c>
    </row>
    <row r="2129" spans="1:25">
      <c r="A2129" t="s">
        <v>9882</v>
      </c>
      <c r="B2129" t="s">
        <v>9883</v>
      </c>
      <c r="D2129" t="s">
        <v>40</v>
      </c>
      <c r="E2129" t="s">
        <v>41</v>
      </c>
      <c r="G2129" t="s">
        <v>9884</v>
      </c>
      <c r="H2129" t="s">
        <v>9885</v>
      </c>
      <c r="J2129" t="s">
        <v>2605</v>
      </c>
      <c r="K2129" t="s">
        <v>2606</v>
      </c>
      <c r="L2129">
        <v>4</v>
      </c>
      <c r="M2129" t="s">
        <v>9886</v>
      </c>
      <c r="N2129" t="s">
        <v>685</v>
      </c>
      <c r="O2129" t="s">
        <v>48</v>
      </c>
      <c r="P2129" t="s">
        <v>48</v>
      </c>
      <c r="Y2129" t="s">
        <v>9887</v>
      </c>
    </row>
    <row r="2130" spans="1:25">
      <c r="A2130" t="s">
        <v>9888</v>
      </c>
      <c r="B2130" t="s">
        <v>9889</v>
      </c>
      <c r="D2130" t="s">
        <v>40</v>
      </c>
      <c r="E2130" t="s">
        <v>41</v>
      </c>
      <c r="G2130" t="s">
        <v>9890</v>
      </c>
      <c r="H2130" t="s">
        <v>2792</v>
      </c>
      <c r="J2130" t="s">
        <v>287</v>
      </c>
      <c r="K2130" t="s">
        <v>288</v>
      </c>
      <c r="L2130">
        <v>5</v>
      </c>
      <c r="M2130" t="s">
        <v>9891</v>
      </c>
      <c r="N2130" t="s">
        <v>685</v>
      </c>
      <c r="O2130" t="s">
        <v>48</v>
      </c>
      <c r="P2130" t="s">
        <v>48</v>
      </c>
      <c r="Y2130" t="s">
        <v>9892</v>
      </c>
    </row>
    <row r="2131" spans="1:25">
      <c r="A2131" t="s">
        <v>9893</v>
      </c>
      <c r="B2131" t="s">
        <v>9894</v>
      </c>
      <c r="D2131" t="s">
        <v>40</v>
      </c>
      <c r="E2131" t="s">
        <v>41</v>
      </c>
      <c r="G2131" t="s">
        <v>9895</v>
      </c>
      <c r="H2131" t="s">
        <v>9896</v>
      </c>
      <c r="J2131" t="s">
        <v>765</v>
      </c>
      <c r="K2131" t="s">
        <v>766</v>
      </c>
      <c r="L2131">
        <v>5</v>
      </c>
      <c r="M2131" t="s">
        <v>9897</v>
      </c>
      <c r="N2131" t="s">
        <v>290</v>
      </c>
      <c r="O2131" t="s">
        <v>48</v>
      </c>
      <c r="P2131" t="s">
        <v>48</v>
      </c>
      <c r="Y2131" t="s">
        <v>9898</v>
      </c>
    </row>
    <row r="2132" spans="1:25">
      <c r="A2132" t="s">
        <v>9899</v>
      </c>
      <c r="B2132" t="s">
        <v>9900</v>
      </c>
      <c r="D2132" t="s">
        <v>40</v>
      </c>
      <c r="E2132" t="s">
        <v>41</v>
      </c>
      <c r="G2132" t="s">
        <v>9901</v>
      </c>
      <c r="H2132" t="s">
        <v>9902</v>
      </c>
      <c r="J2132" t="s">
        <v>353</v>
      </c>
      <c r="K2132" t="s">
        <v>354</v>
      </c>
      <c r="L2132">
        <v>5</v>
      </c>
      <c r="M2132" t="s">
        <v>9903</v>
      </c>
      <c r="N2132" t="s">
        <v>685</v>
      </c>
      <c r="O2132" t="s">
        <v>48</v>
      </c>
      <c r="P2132" t="s">
        <v>48</v>
      </c>
      <c r="Y2132" t="s">
        <v>9904</v>
      </c>
    </row>
    <row r="2133" spans="1:25">
      <c r="A2133" t="s">
        <v>9905</v>
      </c>
      <c r="B2133" t="s">
        <v>9906</v>
      </c>
      <c r="D2133" t="s">
        <v>40</v>
      </c>
      <c r="E2133" t="s">
        <v>41</v>
      </c>
      <c r="G2133" t="s">
        <v>9907</v>
      </c>
      <c r="H2133" t="s">
        <v>9908</v>
      </c>
      <c r="J2133" t="s">
        <v>2605</v>
      </c>
      <c r="K2133" t="s">
        <v>2606</v>
      </c>
      <c r="L2133">
        <v>5</v>
      </c>
      <c r="M2133" t="s">
        <v>9909</v>
      </c>
      <c r="N2133" t="s">
        <v>685</v>
      </c>
      <c r="O2133" t="s">
        <v>48</v>
      </c>
      <c r="P2133" t="s">
        <v>48</v>
      </c>
      <c r="Y2133" t="s">
        <v>9910</v>
      </c>
    </row>
    <row r="2134" spans="1:25">
      <c r="A2134" t="s">
        <v>9911</v>
      </c>
      <c r="B2134" t="s">
        <v>9912</v>
      </c>
      <c r="D2134" t="s">
        <v>40</v>
      </c>
      <c r="E2134" t="s">
        <v>41</v>
      </c>
      <c r="G2134" t="s">
        <v>5165</v>
      </c>
      <c r="H2134" t="s">
        <v>2021</v>
      </c>
      <c r="J2134" t="s">
        <v>133</v>
      </c>
      <c r="K2134" t="s">
        <v>134</v>
      </c>
      <c r="L2134">
        <v>5</v>
      </c>
      <c r="M2134" t="s">
        <v>9913</v>
      </c>
      <c r="N2134" t="s">
        <v>685</v>
      </c>
      <c r="O2134" t="s">
        <v>48</v>
      </c>
      <c r="P2134" t="s">
        <v>48</v>
      </c>
      <c r="Y2134" t="s">
        <v>9914</v>
      </c>
    </row>
    <row r="2135" spans="1:25">
      <c r="A2135" t="s">
        <v>9915</v>
      </c>
      <c r="B2135" t="s">
        <v>9916</v>
      </c>
      <c r="D2135" t="s">
        <v>9473</v>
      </c>
      <c r="E2135" t="s">
        <v>9474</v>
      </c>
      <c r="H2135" t="s">
        <v>9917</v>
      </c>
      <c r="J2135" t="s">
        <v>287</v>
      </c>
      <c r="K2135" t="s">
        <v>288</v>
      </c>
      <c r="L2135">
        <v>11</v>
      </c>
      <c r="M2135" t="s">
        <v>9918</v>
      </c>
      <c r="N2135" t="s">
        <v>685</v>
      </c>
      <c r="O2135" t="s">
        <v>9477</v>
      </c>
      <c r="P2135" t="s">
        <v>9477</v>
      </c>
      <c r="Y2135" t="s">
        <v>9917</v>
      </c>
    </row>
    <row r="2136" spans="1:25">
      <c r="A2136" t="s">
        <v>9919</v>
      </c>
      <c r="B2136" t="s">
        <v>9920</v>
      </c>
      <c r="D2136" t="s">
        <v>40</v>
      </c>
      <c r="E2136" t="s">
        <v>41</v>
      </c>
      <c r="H2136" t="s">
        <v>9921</v>
      </c>
      <c r="J2136" t="s">
        <v>5844</v>
      </c>
      <c r="K2136" t="s">
        <v>5845</v>
      </c>
      <c r="L2136">
        <v>4</v>
      </c>
      <c r="M2136" t="s">
        <v>9922</v>
      </c>
      <c r="N2136" t="s">
        <v>135</v>
      </c>
      <c r="O2136" t="s">
        <v>48</v>
      </c>
      <c r="P2136" t="s">
        <v>48</v>
      </c>
      <c r="Y2136" t="s">
        <v>9921</v>
      </c>
    </row>
    <row r="2137" spans="1:25">
      <c r="A2137" t="s">
        <v>9923</v>
      </c>
      <c r="B2137" t="s">
        <v>9924</v>
      </c>
      <c r="D2137" t="s">
        <v>40</v>
      </c>
      <c r="E2137" t="s">
        <v>41</v>
      </c>
      <c r="G2137" t="s">
        <v>9925</v>
      </c>
      <c r="H2137" t="s">
        <v>9926</v>
      </c>
      <c r="J2137" t="s">
        <v>54</v>
      </c>
      <c r="K2137" t="s">
        <v>55</v>
      </c>
      <c r="L2137">
        <v>4</v>
      </c>
      <c r="M2137" t="s">
        <v>9927</v>
      </c>
      <c r="N2137" t="s">
        <v>47</v>
      </c>
      <c r="O2137" t="s">
        <v>48</v>
      </c>
      <c r="P2137" t="s">
        <v>48</v>
      </c>
      <c r="Y2137" t="s">
        <v>9928</v>
      </c>
    </row>
    <row r="2138" spans="1:25">
      <c r="A2138" t="s">
        <v>9929</v>
      </c>
      <c r="B2138" t="s">
        <v>9930</v>
      </c>
      <c r="D2138" t="s">
        <v>40</v>
      </c>
      <c r="E2138" t="s">
        <v>41</v>
      </c>
      <c r="G2138" t="s">
        <v>2651</v>
      </c>
      <c r="H2138" t="s">
        <v>1042</v>
      </c>
      <c r="J2138" t="s">
        <v>497</v>
      </c>
      <c r="K2138" t="s">
        <v>498</v>
      </c>
      <c r="L2138">
        <v>4</v>
      </c>
      <c r="M2138" t="s">
        <v>9931</v>
      </c>
      <c r="N2138" t="s">
        <v>685</v>
      </c>
      <c r="O2138" t="s">
        <v>48</v>
      </c>
      <c r="P2138" t="s">
        <v>48</v>
      </c>
      <c r="Y2138" t="s">
        <v>9932</v>
      </c>
    </row>
    <row r="2139" spans="1:25">
      <c r="A2139" t="s">
        <v>9933</v>
      </c>
      <c r="B2139" t="s">
        <v>9934</v>
      </c>
      <c r="D2139" t="s">
        <v>40</v>
      </c>
      <c r="E2139" t="s">
        <v>41</v>
      </c>
      <c r="G2139" t="s">
        <v>9935</v>
      </c>
      <c r="H2139" t="s">
        <v>9936</v>
      </c>
      <c r="J2139" t="s">
        <v>497</v>
      </c>
      <c r="K2139" t="s">
        <v>498</v>
      </c>
      <c r="L2139">
        <v>4</v>
      </c>
      <c r="M2139" t="s">
        <v>9937</v>
      </c>
      <c r="N2139" t="s">
        <v>685</v>
      </c>
      <c r="O2139" t="s">
        <v>48</v>
      </c>
      <c r="P2139" t="s">
        <v>48</v>
      </c>
      <c r="Y2139" t="s">
        <v>9938</v>
      </c>
    </row>
    <row r="2140" spans="1:25">
      <c r="A2140" t="s">
        <v>9939</v>
      </c>
      <c r="B2140" t="s">
        <v>9940</v>
      </c>
      <c r="D2140" t="s">
        <v>40</v>
      </c>
      <c r="E2140" t="s">
        <v>41</v>
      </c>
      <c r="G2140" t="s">
        <v>9941</v>
      </c>
      <c r="H2140" t="s">
        <v>9942</v>
      </c>
      <c r="J2140" t="s">
        <v>765</v>
      </c>
      <c r="K2140" t="s">
        <v>766</v>
      </c>
      <c r="L2140">
        <v>4</v>
      </c>
      <c r="M2140" t="s">
        <v>9943</v>
      </c>
      <c r="N2140" t="s">
        <v>685</v>
      </c>
      <c r="O2140" t="s">
        <v>48</v>
      </c>
      <c r="P2140" t="s">
        <v>48</v>
      </c>
      <c r="Y2140" t="s">
        <v>9944</v>
      </c>
    </row>
    <row r="2141" spans="1:25">
      <c r="A2141" t="s">
        <v>9945</v>
      </c>
      <c r="B2141" t="s">
        <v>9946</v>
      </c>
      <c r="D2141" t="s">
        <v>40</v>
      </c>
      <c r="E2141" t="s">
        <v>41</v>
      </c>
      <c r="G2141" t="s">
        <v>4151</v>
      </c>
      <c r="H2141" t="s">
        <v>9947</v>
      </c>
      <c r="J2141" t="s">
        <v>133</v>
      </c>
      <c r="K2141" t="s">
        <v>134</v>
      </c>
      <c r="L2141">
        <v>5</v>
      </c>
      <c r="M2141" t="s">
        <v>9948</v>
      </c>
      <c r="N2141" t="s">
        <v>685</v>
      </c>
      <c r="O2141" t="s">
        <v>48</v>
      </c>
      <c r="P2141" t="s">
        <v>48</v>
      </c>
      <c r="Y2141" t="s">
        <v>9949</v>
      </c>
    </row>
    <row r="2142" spans="1:25">
      <c r="A2142" t="s">
        <v>9950</v>
      </c>
      <c r="B2142" t="s">
        <v>9951</v>
      </c>
      <c r="D2142" t="s">
        <v>40</v>
      </c>
      <c r="E2142" t="s">
        <v>41</v>
      </c>
      <c r="J2142" t="s">
        <v>497</v>
      </c>
      <c r="K2142" t="s">
        <v>498</v>
      </c>
      <c r="L2142">
        <v>4</v>
      </c>
      <c r="M2142" t="s">
        <v>9952</v>
      </c>
      <c r="N2142" t="s">
        <v>685</v>
      </c>
      <c r="O2142" t="s">
        <v>48</v>
      </c>
      <c r="P2142" t="s">
        <v>48</v>
      </c>
      <c r="Y2142" t="s">
        <v>9953</v>
      </c>
    </row>
    <row r="2143" spans="1:25">
      <c r="A2143" t="s">
        <v>9954</v>
      </c>
      <c r="B2143" t="s">
        <v>9955</v>
      </c>
      <c r="D2143" t="s">
        <v>40</v>
      </c>
      <c r="E2143" t="s">
        <v>41</v>
      </c>
      <c r="G2143" t="s">
        <v>9956</v>
      </c>
      <c r="H2143" t="s">
        <v>9957</v>
      </c>
      <c r="J2143" t="s">
        <v>497</v>
      </c>
      <c r="K2143" t="s">
        <v>498</v>
      </c>
      <c r="L2143">
        <v>4</v>
      </c>
      <c r="M2143" t="s">
        <v>9958</v>
      </c>
      <c r="N2143" t="s">
        <v>685</v>
      </c>
      <c r="O2143" t="s">
        <v>48</v>
      </c>
      <c r="P2143" t="s">
        <v>48</v>
      </c>
      <c r="Y2143" t="s">
        <v>9959</v>
      </c>
    </row>
    <row r="2144" spans="1:25">
      <c r="A2144" t="s">
        <v>9960</v>
      </c>
      <c r="B2144" t="s">
        <v>9961</v>
      </c>
      <c r="D2144" t="s">
        <v>40</v>
      </c>
      <c r="E2144" t="s">
        <v>41</v>
      </c>
      <c r="G2144" t="s">
        <v>9962</v>
      </c>
      <c r="H2144" t="s">
        <v>9963</v>
      </c>
      <c r="J2144" t="s">
        <v>9719</v>
      </c>
      <c r="K2144" t="s">
        <v>9720</v>
      </c>
      <c r="L2144">
        <v>4</v>
      </c>
      <c r="M2144" t="s">
        <v>9964</v>
      </c>
      <c r="N2144" t="s">
        <v>685</v>
      </c>
      <c r="O2144" t="s">
        <v>48</v>
      </c>
      <c r="P2144" t="s">
        <v>48</v>
      </c>
      <c r="Y2144" t="s">
        <v>9965</v>
      </c>
    </row>
    <row r="2145" spans="1:25">
      <c r="A2145" t="s">
        <v>9966</v>
      </c>
      <c r="B2145" t="s">
        <v>9967</v>
      </c>
      <c r="D2145" t="s">
        <v>40</v>
      </c>
      <c r="E2145" t="s">
        <v>41</v>
      </c>
      <c r="G2145" t="s">
        <v>9968</v>
      </c>
      <c r="H2145" t="s">
        <v>9969</v>
      </c>
      <c r="J2145" t="s">
        <v>287</v>
      </c>
      <c r="K2145" t="s">
        <v>288</v>
      </c>
      <c r="L2145">
        <v>5</v>
      </c>
      <c r="M2145" t="s">
        <v>9970</v>
      </c>
      <c r="N2145" t="s">
        <v>685</v>
      </c>
      <c r="O2145" t="s">
        <v>48</v>
      </c>
      <c r="P2145" t="s">
        <v>48</v>
      </c>
      <c r="Y2145" t="s">
        <v>9971</v>
      </c>
    </row>
    <row r="2146" spans="1:25">
      <c r="A2146" t="s">
        <v>9972</v>
      </c>
      <c r="B2146" t="s">
        <v>9973</v>
      </c>
      <c r="D2146" t="s">
        <v>40</v>
      </c>
      <c r="E2146" t="s">
        <v>41</v>
      </c>
      <c r="G2146" t="s">
        <v>9974</v>
      </c>
      <c r="H2146" t="s">
        <v>9975</v>
      </c>
      <c r="J2146" t="s">
        <v>353</v>
      </c>
      <c r="K2146" t="s">
        <v>354</v>
      </c>
      <c r="L2146">
        <v>5</v>
      </c>
      <c r="M2146" t="s">
        <v>9976</v>
      </c>
      <c r="N2146" t="s">
        <v>685</v>
      </c>
      <c r="O2146" t="s">
        <v>48</v>
      </c>
      <c r="P2146" t="s">
        <v>48</v>
      </c>
      <c r="Y2146" t="s">
        <v>9977</v>
      </c>
    </row>
    <row r="2147" spans="1:25">
      <c r="A2147" t="s">
        <v>9978</v>
      </c>
      <c r="B2147" t="s">
        <v>9979</v>
      </c>
      <c r="D2147" t="s">
        <v>40</v>
      </c>
      <c r="E2147" t="s">
        <v>41</v>
      </c>
      <c r="G2147" t="s">
        <v>352</v>
      </c>
      <c r="H2147" t="s">
        <v>9980</v>
      </c>
      <c r="J2147" t="s">
        <v>497</v>
      </c>
      <c r="K2147" t="s">
        <v>498</v>
      </c>
      <c r="L2147">
        <v>4</v>
      </c>
      <c r="M2147" t="s">
        <v>9981</v>
      </c>
      <c r="N2147" t="s">
        <v>685</v>
      </c>
      <c r="O2147" t="s">
        <v>48</v>
      </c>
      <c r="P2147" t="s">
        <v>48</v>
      </c>
      <c r="Y2147" t="s">
        <v>9982</v>
      </c>
    </row>
    <row r="2148" spans="1:25">
      <c r="A2148" t="s">
        <v>9983</v>
      </c>
      <c r="B2148" t="s">
        <v>9984</v>
      </c>
      <c r="D2148" t="s">
        <v>40</v>
      </c>
      <c r="E2148" t="s">
        <v>41</v>
      </c>
      <c r="G2148" t="s">
        <v>9985</v>
      </c>
      <c r="H2148" t="s">
        <v>9986</v>
      </c>
      <c r="J2148" t="s">
        <v>765</v>
      </c>
      <c r="K2148" t="s">
        <v>766</v>
      </c>
      <c r="L2148">
        <v>4</v>
      </c>
      <c r="M2148" t="s">
        <v>9987</v>
      </c>
      <c r="N2148" t="s">
        <v>685</v>
      </c>
      <c r="O2148" t="s">
        <v>48</v>
      </c>
      <c r="P2148" t="s">
        <v>48</v>
      </c>
      <c r="Y2148" t="s">
        <v>9988</v>
      </c>
    </row>
    <row r="2149" spans="1:25">
      <c r="A2149" t="s">
        <v>9989</v>
      </c>
      <c r="B2149" t="s">
        <v>9990</v>
      </c>
      <c r="D2149" t="s">
        <v>40</v>
      </c>
      <c r="E2149" t="s">
        <v>41</v>
      </c>
      <c r="G2149" t="s">
        <v>9991</v>
      </c>
      <c r="H2149" t="s">
        <v>1595</v>
      </c>
      <c r="J2149" t="s">
        <v>9759</v>
      </c>
      <c r="K2149" t="s">
        <v>9760</v>
      </c>
      <c r="L2149">
        <v>5</v>
      </c>
      <c r="M2149" t="s">
        <v>9992</v>
      </c>
      <c r="N2149" t="s">
        <v>47</v>
      </c>
      <c r="O2149" t="s">
        <v>48</v>
      </c>
      <c r="P2149" t="s">
        <v>48</v>
      </c>
      <c r="Y2149" t="s">
        <v>9993</v>
      </c>
    </row>
    <row r="2150" spans="1:25">
      <c r="A2150" t="s">
        <v>9994</v>
      </c>
      <c r="B2150" t="s">
        <v>9995</v>
      </c>
      <c r="D2150" t="s">
        <v>40</v>
      </c>
      <c r="E2150" t="s">
        <v>41</v>
      </c>
      <c r="G2150" t="s">
        <v>9996</v>
      </c>
      <c r="H2150" t="s">
        <v>9997</v>
      </c>
      <c r="J2150" t="s">
        <v>287</v>
      </c>
      <c r="K2150" t="s">
        <v>288</v>
      </c>
      <c r="L2150">
        <v>7</v>
      </c>
      <c r="M2150" t="s">
        <v>9998</v>
      </c>
      <c r="N2150" t="s">
        <v>135</v>
      </c>
      <c r="O2150" t="s">
        <v>48</v>
      </c>
      <c r="P2150" t="s">
        <v>48</v>
      </c>
      <c r="Y2150" t="s">
        <v>9999</v>
      </c>
    </row>
    <row r="2151" spans="1:25">
      <c r="A2151" t="s">
        <v>10000</v>
      </c>
      <c r="B2151" t="s">
        <v>10001</v>
      </c>
      <c r="D2151" t="s">
        <v>40</v>
      </c>
      <c r="E2151" t="s">
        <v>41</v>
      </c>
      <c r="G2151" t="s">
        <v>10002</v>
      </c>
      <c r="H2151" t="s">
        <v>10003</v>
      </c>
      <c r="J2151" t="s">
        <v>2328</v>
      </c>
      <c r="K2151" t="s">
        <v>2329</v>
      </c>
      <c r="L2151">
        <v>4</v>
      </c>
      <c r="M2151" t="s">
        <v>10004</v>
      </c>
      <c r="N2151" t="s">
        <v>135</v>
      </c>
      <c r="O2151" t="s">
        <v>48</v>
      </c>
      <c r="P2151" t="s">
        <v>48</v>
      </c>
      <c r="Y2151" t="s">
        <v>10005</v>
      </c>
    </row>
    <row r="2152" spans="1:25">
      <c r="A2152" t="s">
        <v>10006</v>
      </c>
      <c r="B2152" t="s">
        <v>10007</v>
      </c>
      <c r="D2152" t="s">
        <v>40</v>
      </c>
      <c r="E2152" t="s">
        <v>41</v>
      </c>
      <c r="G2152" t="s">
        <v>804</v>
      </c>
      <c r="H2152" t="s">
        <v>10008</v>
      </c>
      <c r="J2152" t="s">
        <v>5844</v>
      </c>
      <c r="K2152" t="s">
        <v>5845</v>
      </c>
      <c r="L2152">
        <v>4</v>
      </c>
      <c r="M2152" t="s">
        <v>10009</v>
      </c>
      <c r="N2152" t="s">
        <v>135</v>
      </c>
      <c r="O2152" t="s">
        <v>48</v>
      </c>
      <c r="P2152" t="s">
        <v>48</v>
      </c>
      <c r="Y2152" t="s">
        <v>10010</v>
      </c>
    </row>
    <row r="2153" spans="1:25">
      <c r="A2153" t="s">
        <v>10011</v>
      </c>
      <c r="B2153" t="s">
        <v>10012</v>
      </c>
      <c r="D2153" t="s">
        <v>40</v>
      </c>
      <c r="E2153" t="s">
        <v>41</v>
      </c>
      <c r="G2153" t="s">
        <v>10013</v>
      </c>
      <c r="H2153" t="s">
        <v>3935</v>
      </c>
      <c r="J2153" t="s">
        <v>497</v>
      </c>
      <c r="K2153" t="s">
        <v>498</v>
      </c>
      <c r="L2153">
        <v>4</v>
      </c>
      <c r="M2153" t="s">
        <v>10014</v>
      </c>
      <c r="N2153" t="s">
        <v>135</v>
      </c>
      <c r="O2153" t="s">
        <v>48</v>
      </c>
      <c r="P2153" t="s">
        <v>48</v>
      </c>
      <c r="Y2153" t="s">
        <v>10015</v>
      </c>
    </row>
    <row r="2154" spans="1:25">
      <c r="A2154" t="s">
        <v>10016</v>
      </c>
      <c r="B2154" t="s">
        <v>10017</v>
      </c>
      <c r="D2154" t="s">
        <v>40</v>
      </c>
      <c r="E2154" t="s">
        <v>41</v>
      </c>
      <c r="G2154" t="s">
        <v>10018</v>
      </c>
      <c r="H2154" t="s">
        <v>10019</v>
      </c>
      <c r="J2154" t="s">
        <v>133</v>
      </c>
      <c r="K2154" t="s">
        <v>134</v>
      </c>
      <c r="L2154">
        <v>5</v>
      </c>
      <c r="M2154" t="s">
        <v>10020</v>
      </c>
      <c r="N2154" t="s">
        <v>135</v>
      </c>
      <c r="O2154" t="s">
        <v>48</v>
      </c>
      <c r="P2154" t="s">
        <v>48</v>
      </c>
      <c r="Y2154" t="s">
        <v>10021</v>
      </c>
    </row>
    <row r="2155" spans="1:25">
      <c r="A2155" t="s">
        <v>10022</v>
      </c>
      <c r="B2155" t="s">
        <v>10023</v>
      </c>
      <c r="D2155" t="s">
        <v>40</v>
      </c>
      <c r="E2155" t="s">
        <v>41</v>
      </c>
      <c r="G2155" t="s">
        <v>10024</v>
      </c>
      <c r="H2155" t="s">
        <v>10025</v>
      </c>
      <c r="J2155" t="s">
        <v>9759</v>
      </c>
      <c r="K2155" t="s">
        <v>9760</v>
      </c>
      <c r="L2155">
        <v>5</v>
      </c>
      <c r="M2155" t="s">
        <v>10026</v>
      </c>
      <c r="N2155" t="s">
        <v>47</v>
      </c>
      <c r="O2155" t="s">
        <v>48</v>
      </c>
      <c r="P2155" t="s">
        <v>48</v>
      </c>
      <c r="Y2155" t="s">
        <v>10027</v>
      </c>
    </row>
    <row r="2156" spans="1:25">
      <c r="A2156" t="s">
        <v>10028</v>
      </c>
      <c r="B2156" t="s">
        <v>10029</v>
      </c>
      <c r="D2156" t="s">
        <v>40</v>
      </c>
      <c r="E2156" t="s">
        <v>41</v>
      </c>
      <c r="G2156" t="s">
        <v>5012</v>
      </c>
      <c r="H2156" t="s">
        <v>10030</v>
      </c>
      <c r="J2156" t="s">
        <v>497</v>
      </c>
      <c r="K2156" t="s">
        <v>498</v>
      </c>
      <c r="L2156">
        <v>4</v>
      </c>
      <c r="M2156" t="s">
        <v>10031</v>
      </c>
      <c r="N2156" t="s">
        <v>135</v>
      </c>
      <c r="O2156" t="s">
        <v>48</v>
      </c>
      <c r="P2156" t="s">
        <v>48</v>
      </c>
      <c r="Y2156" t="s">
        <v>10032</v>
      </c>
    </row>
    <row r="2157" spans="1:25">
      <c r="A2157" t="s">
        <v>10033</v>
      </c>
      <c r="B2157" t="s">
        <v>10034</v>
      </c>
      <c r="D2157" t="s">
        <v>40</v>
      </c>
      <c r="E2157" t="s">
        <v>41</v>
      </c>
      <c r="G2157" t="s">
        <v>10035</v>
      </c>
      <c r="H2157" t="s">
        <v>10036</v>
      </c>
      <c r="J2157" t="s">
        <v>5964</v>
      </c>
      <c r="K2157" t="s">
        <v>5965</v>
      </c>
      <c r="L2157">
        <v>4</v>
      </c>
      <c r="M2157" t="s">
        <v>10037</v>
      </c>
      <c r="N2157" t="s">
        <v>685</v>
      </c>
      <c r="O2157" t="s">
        <v>48</v>
      </c>
      <c r="P2157" t="s">
        <v>48</v>
      </c>
      <c r="Y2157" t="s">
        <v>10038</v>
      </c>
    </row>
    <row r="2158" spans="1:25">
      <c r="A2158" t="s">
        <v>10039</v>
      </c>
      <c r="B2158" t="s">
        <v>10040</v>
      </c>
      <c r="D2158" t="s">
        <v>40</v>
      </c>
      <c r="E2158" t="s">
        <v>41</v>
      </c>
      <c r="G2158" t="s">
        <v>10041</v>
      </c>
      <c r="H2158" t="s">
        <v>10042</v>
      </c>
      <c r="J2158" t="s">
        <v>497</v>
      </c>
      <c r="K2158" t="s">
        <v>498</v>
      </c>
      <c r="L2158">
        <v>4</v>
      </c>
      <c r="M2158" t="s">
        <v>10043</v>
      </c>
      <c r="N2158" t="s">
        <v>685</v>
      </c>
      <c r="O2158" t="s">
        <v>48</v>
      </c>
      <c r="P2158" t="s">
        <v>48</v>
      </c>
      <c r="Y2158" t="s">
        <v>10044</v>
      </c>
    </row>
    <row r="2159" spans="1:25">
      <c r="A2159" t="s">
        <v>10045</v>
      </c>
      <c r="B2159" t="s">
        <v>10046</v>
      </c>
      <c r="D2159" t="s">
        <v>40</v>
      </c>
      <c r="E2159" t="s">
        <v>41</v>
      </c>
      <c r="G2159" t="s">
        <v>10047</v>
      </c>
      <c r="H2159" t="s">
        <v>2938</v>
      </c>
      <c r="J2159" t="s">
        <v>497</v>
      </c>
      <c r="K2159" t="s">
        <v>498</v>
      </c>
      <c r="L2159">
        <v>4</v>
      </c>
      <c r="M2159" t="s">
        <v>10048</v>
      </c>
      <c r="N2159" t="s">
        <v>135</v>
      </c>
      <c r="O2159" t="s">
        <v>48</v>
      </c>
      <c r="P2159" t="s">
        <v>48</v>
      </c>
      <c r="Y2159" t="s">
        <v>10049</v>
      </c>
    </row>
    <row r="2160" spans="1:25">
      <c r="A2160" t="s">
        <v>10050</v>
      </c>
      <c r="B2160" t="s">
        <v>10051</v>
      </c>
      <c r="D2160" t="s">
        <v>40</v>
      </c>
      <c r="E2160" t="s">
        <v>41</v>
      </c>
      <c r="G2160" t="s">
        <v>10052</v>
      </c>
      <c r="H2160" t="s">
        <v>5142</v>
      </c>
      <c r="J2160" t="s">
        <v>927</v>
      </c>
      <c r="K2160" t="s">
        <v>928</v>
      </c>
      <c r="L2160">
        <v>4</v>
      </c>
      <c r="M2160" t="s">
        <v>10053</v>
      </c>
      <c r="N2160" t="s">
        <v>135</v>
      </c>
      <c r="O2160" t="s">
        <v>48</v>
      </c>
      <c r="P2160" t="s">
        <v>48</v>
      </c>
      <c r="Y2160" t="s">
        <v>10054</v>
      </c>
    </row>
    <row r="2161" spans="1:25">
      <c r="A2161" t="s">
        <v>10055</v>
      </c>
      <c r="B2161" t="s">
        <v>10056</v>
      </c>
      <c r="D2161" t="s">
        <v>40</v>
      </c>
      <c r="E2161" t="s">
        <v>41</v>
      </c>
      <c r="G2161" t="s">
        <v>10057</v>
      </c>
      <c r="H2161" t="s">
        <v>9942</v>
      </c>
      <c r="J2161" t="s">
        <v>9759</v>
      </c>
      <c r="K2161" t="s">
        <v>9760</v>
      </c>
      <c r="L2161">
        <v>5</v>
      </c>
      <c r="M2161" t="s">
        <v>10058</v>
      </c>
      <c r="N2161" t="s">
        <v>47</v>
      </c>
      <c r="O2161" t="s">
        <v>48</v>
      </c>
      <c r="P2161" t="s">
        <v>48</v>
      </c>
      <c r="Y2161" t="s">
        <v>10059</v>
      </c>
    </row>
    <row r="2162" spans="1:25">
      <c r="A2162" t="s">
        <v>10060</v>
      </c>
      <c r="B2162" t="s">
        <v>10061</v>
      </c>
      <c r="D2162" t="s">
        <v>40</v>
      </c>
      <c r="E2162" t="s">
        <v>41</v>
      </c>
      <c r="G2162" t="s">
        <v>503</v>
      </c>
      <c r="H2162" t="s">
        <v>10062</v>
      </c>
      <c r="J2162" t="s">
        <v>497</v>
      </c>
      <c r="K2162" t="s">
        <v>498</v>
      </c>
      <c r="L2162">
        <v>4</v>
      </c>
      <c r="M2162" t="s">
        <v>10063</v>
      </c>
      <c r="N2162" t="s">
        <v>135</v>
      </c>
      <c r="O2162" t="s">
        <v>48</v>
      </c>
      <c r="P2162" t="s">
        <v>48</v>
      </c>
      <c r="Y2162" t="s">
        <v>10064</v>
      </c>
    </row>
    <row r="2163" spans="1:25">
      <c r="A2163" t="s">
        <v>10065</v>
      </c>
      <c r="B2163" t="s">
        <v>10066</v>
      </c>
      <c r="D2163" t="s">
        <v>40</v>
      </c>
      <c r="E2163" t="s">
        <v>41</v>
      </c>
      <c r="G2163" t="s">
        <v>1435</v>
      </c>
      <c r="H2163" t="s">
        <v>10067</v>
      </c>
      <c r="J2163" t="s">
        <v>133</v>
      </c>
      <c r="K2163" t="s">
        <v>134</v>
      </c>
      <c r="L2163">
        <v>5</v>
      </c>
      <c r="M2163" t="s">
        <v>10068</v>
      </c>
      <c r="N2163" t="s">
        <v>135</v>
      </c>
      <c r="O2163" t="s">
        <v>48</v>
      </c>
      <c r="P2163" t="s">
        <v>48</v>
      </c>
      <c r="Y2163" t="s">
        <v>10069</v>
      </c>
    </row>
    <row r="2164" spans="1:25">
      <c r="A2164" t="s">
        <v>10070</v>
      </c>
      <c r="B2164" t="s">
        <v>10071</v>
      </c>
      <c r="D2164" t="s">
        <v>40</v>
      </c>
      <c r="E2164" t="s">
        <v>41</v>
      </c>
      <c r="G2164" t="s">
        <v>1435</v>
      </c>
      <c r="H2164" t="s">
        <v>10072</v>
      </c>
      <c r="J2164" t="s">
        <v>497</v>
      </c>
      <c r="K2164" t="s">
        <v>498</v>
      </c>
      <c r="L2164">
        <v>4</v>
      </c>
      <c r="M2164" t="s">
        <v>10073</v>
      </c>
      <c r="N2164" t="s">
        <v>290</v>
      </c>
      <c r="O2164" t="s">
        <v>48</v>
      </c>
      <c r="P2164" t="s">
        <v>48</v>
      </c>
      <c r="Y2164" t="s">
        <v>10074</v>
      </c>
    </row>
    <row r="2165" spans="1:25">
      <c r="A2165" t="s">
        <v>10075</v>
      </c>
      <c r="B2165" t="s">
        <v>10076</v>
      </c>
      <c r="D2165" t="s">
        <v>9473</v>
      </c>
      <c r="E2165" t="s">
        <v>9474</v>
      </c>
      <c r="H2165" t="s">
        <v>10077</v>
      </c>
      <c r="J2165" t="s">
        <v>234</v>
      </c>
      <c r="K2165" t="s">
        <v>235</v>
      </c>
      <c r="L2165">
        <v>6</v>
      </c>
      <c r="M2165" t="s">
        <v>10078</v>
      </c>
      <c r="N2165" t="s">
        <v>47</v>
      </c>
      <c r="O2165" t="s">
        <v>9477</v>
      </c>
      <c r="P2165" t="s">
        <v>9477</v>
      </c>
      <c r="Y2165" t="s">
        <v>10077</v>
      </c>
    </row>
    <row r="2166" spans="1:25">
      <c r="A2166" t="s">
        <v>10079</v>
      </c>
      <c r="B2166" t="s">
        <v>10080</v>
      </c>
      <c r="D2166" t="s">
        <v>40</v>
      </c>
      <c r="E2166" t="s">
        <v>41</v>
      </c>
      <c r="G2166" t="s">
        <v>10081</v>
      </c>
      <c r="H2166" t="s">
        <v>10082</v>
      </c>
      <c r="J2166" t="s">
        <v>10083</v>
      </c>
      <c r="K2166" t="s">
        <v>10084</v>
      </c>
      <c r="L2166">
        <v>5</v>
      </c>
      <c r="M2166" t="s">
        <v>10085</v>
      </c>
      <c r="N2166" t="s">
        <v>290</v>
      </c>
      <c r="O2166" t="s">
        <v>48</v>
      </c>
      <c r="P2166" t="s">
        <v>48</v>
      </c>
      <c r="Y2166" t="s">
        <v>10086</v>
      </c>
    </row>
    <row r="2167" spans="1:25">
      <c r="A2167" t="s">
        <v>10087</v>
      </c>
      <c r="B2167" t="s">
        <v>10088</v>
      </c>
      <c r="D2167" t="s">
        <v>40</v>
      </c>
      <c r="E2167" t="s">
        <v>41</v>
      </c>
      <c r="G2167" t="s">
        <v>10089</v>
      </c>
      <c r="H2167" t="s">
        <v>10090</v>
      </c>
      <c r="J2167" t="s">
        <v>1571</v>
      </c>
      <c r="K2167" t="s">
        <v>1572</v>
      </c>
      <c r="L2167">
        <v>5</v>
      </c>
      <c r="M2167" t="s">
        <v>10091</v>
      </c>
      <c r="N2167" t="s">
        <v>685</v>
      </c>
      <c r="O2167" t="s">
        <v>48</v>
      </c>
      <c r="P2167" t="s">
        <v>48</v>
      </c>
      <c r="Y2167" t="s">
        <v>10092</v>
      </c>
    </row>
    <row r="2168" spans="1:25">
      <c r="A2168" t="s">
        <v>10093</v>
      </c>
      <c r="B2168" t="s">
        <v>10094</v>
      </c>
      <c r="D2168" t="s">
        <v>40</v>
      </c>
      <c r="E2168" t="s">
        <v>41</v>
      </c>
      <c r="G2168" t="s">
        <v>4625</v>
      </c>
      <c r="H2168" t="s">
        <v>2346</v>
      </c>
      <c r="J2168" t="s">
        <v>353</v>
      </c>
      <c r="K2168" t="s">
        <v>354</v>
      </c>
      <c r="L2168">
        <v>5</v>
      </c>
      <c r="M2168" t="s">
        <v>10095</v>
      </c>
      <c r="N2168" t="s">
        <v>135</v>
      </c>
      <c r="O2168" t="s">
        <v>48</v>
      </c>
      <c r="P2168" t="s">
        <v>48</v>
      </c>
      <c r="Y2168" t="s">
        <v>10096</v>
      </c>
    </row>
    <row r="2169" spans="1:25">
      <c r="A2169" t="s">
        <v>10097</v>
      </c>
      <c r="B2169" t="s">
        <v>10098</v>
      </c>
      <c r="D2169" t="s">
        <v>40</v>
      </c>
      <c r="E2169" t="s">
        <v>41</v>
      </c>
      <c r="G2169" t="s">
        <v>10099</v>
      </c>
      <c r="H2169" t="s">
        <v>10100</v>
      </c>
      <c r="J2169" t="s">
        <v>497</v>
      </c>
      <c r="K2169" t="s">
        <v>498</v>
      </c>
      <c r="L2169">
        <v>4</v>
      </c>
      <c r="M2169" t="s">
        <v>10101</v>
      </c>
      <c r="N2169" t="s">
        <v>685</v>
      </c>
      <c r="O2169" t="s">
        <v>48</v>
      </c>
      <c r="P2169" t="s">
        <v>48</v>
      </c>
      <c r="Y2169" t="s">
        <v>10102</v>
      </c>
    </row>
    <row r="2170" spans="1:25">
      <c r="A2170" t="s">
        <v>10103</v>
      </c>
      <c r="B2170" t="s">
        <v>10104</v>
      </c>
      <c r="D2170" t="s">
        <v>40</v>
      </c>
      <c r="E2170" t="s">
        <v>41</v>
      </c>
      <c r="G2170" t="s">
        <v>4693</v>
      </c>
      <c r="H2170" t="s">
        <v>10105</v>
      </c>
      <c r="J2170" t="s">
        <v>497</v>
      </c>
      <c r="K2170" t="s">
        <v>498</v>
      </c>
      <c r="L2170">
        <v>4</v>
      </c>
      <c r="M2170" t="s">
        <v>10106</v>
      </c>
      <c r="N2170" t="s">
        <v>290</v>
      </c>
      <c r="O2170" t="s">
        <v>48</v>
      </c>
      <c r="P2170" t="s">
        <v>48</v>
      </c>
      <c r="Y2170" t="s">
        <v>10107</v>
      </c>
    </row>
    <row r="2171" spans="1:25">
      <c r="A2171" t="s">
        <v>10108</v>
      </c>
      <c r="B2171" t="s">
        <v>10109</v>
      </c>
      <c r="D2171" t="s">
        <v>40</v>
      </c>
      <c r="E2171" t="s">
        <v>41</v>
      </c>
      <c r="G2171" t="s">
        <v>10110</v>
      </c>
      <c r="H2171" t="s">
        <v>10111</v>
      </c>
      <c r="J2171" t="s">
        <v>497</v>
      </c>
      <c r="K2171" t="s">
        <v>498</v>
      </c>
      <c r="L2171">
        <v>4</v>
      </c>
      <c r="M2171" t="s">
        <v>10112</v>
      </c>
      <c r="N2171" t="s">
        <v>685</v>
      </c>
      <c r="O2171" t="s">
        <v>48</v>
      </c>
      <c r="P2171" t="s">
        <v>48</v>
      </c>
      <c r="Y2171" t="s">
        <v>10113</v>
      </c>
    </row>
    <row r="2172" spans="1:25">
      <c r="A2172" t="s">
        <v>10114</v>
      </c>
      <c r="B2172" t="s">
        <v>10115</v>
      </c>
      <c r="D2172" t="s">
        <v>40</v>
      </c>
      <c r="E2172" t="s">
        <v>41</v>
      </c>
      <c r="G2172" t="s">
        <v>2069</v>
      </c>
      <c r="H2172" t="s">
        <v>191</v>
      </c>
      <c r="J2172" t="s">
        <v>5844</v>
      </c>
      <c r="K2172" t="s">
        <v>5845</v>
      </c>
      <c r="L2172">
        <v>4</v>
      </c>
      <c r="M2172" t="s">
        <v>10116</v>
      </c>
      <c r="N2172" t="s">
        <v>290</v>
      </c>
      <c r="O2172" t="s">
        <v>48</v>
      </c>
      <c r="P2172" t="s">
        <v>48</v>
      </c>
      <c r="Y2172" t="s">
        <v>10117</v>
      </c>
    </row>
    <row r="2173" spans="1:25">
      <c r="A2173" t="s">
        <v>10118</v>
      </c>
      <c r="B2173" t="s">
        <v>10119</v>
      </c>
      <c r="D2173" t="s">
        <v>40</v>
      </c>
      <c r="E2173" t="s">
        <v>41</v>
      </c>
      <c r="G2173" t="s">
        <v>1261</v>
      </c>
      <c r="H2173" t="s">
        <v>10120</v>
      </c>
      <c r="J2173" t="s">
        <v>2605</v>
      </c>
      <c r="K2173" t="s">
        <v>2606</v>
      </c>
      <c r="L2173">
        <v>4</v>
      </c>
      <c r="M2173" t="s">
        <v>10121</v>
      </c>
      <c r="N2173" t="s">
        <v>685</v>
      </c>
      <c r="O2173" t="s">
        <v>48</v>
      </c>
      <c r="P2173" t="s">
        <v>48</v>
      </c>
      <c r="Y2173" t="s">
        <v>10122</v>
      </c>
    </row>
    <row r="2174" spans="1:25">
      <c r="A2174" t="s">
        <v>10123</v>
      </c>
      <c r="B2174" t="s">
        <v>10124</v>
      </c>
      <c r="D2174" t="s">
        <v>40</v>
      </c>
      <c r="E2174" t="s">
        <v>41</v>
      </c>
      <c r="G2174" t="s">
        <v>2960</v>
      </c>
      <c r="H2174" t="s">
        <v>10125</v>
      </c>
      <c r="J2174" t="s">
        <v>287</v>
      </c>
      <c r="K2174" t="s">
        <v>288</v>
      </c>
      <c r="L2174">
        <v>5</v>
      </c>
      <c r="M2174" t="s">
        <v>10126</v>
      </c>
      <c r="N2174" t="s">
        <v>290</v>
      </c>
      <c r="O2174" t="s">
        <v>48</v>
      </c>
      <c r="P2174" t="s">
        <v>48</v>
      </c>
      <c r="Y2174" t="s">
        <v>10127</v>
      </c>
    </row>
    <row r="2175" spans="1:25">
      <c r="A2175" t="s">
        <v>10128</v>
      </c>
      <c r="B2175" t="s">
        <v>10129</v>
      </c>
      <c r="D2175" t="s">
        <v>40</v>
      </c>
      <c r="E2175" t="s">
        <v>41</v>
      </c>
      <c r="G2175" t="s">
        <v>10130</v>
      </c>
      <c r="H2175" t="s">
        <v>10131</v>
      </c>
      <c r="J2175" t="s">
        <v>497</v>
      </c>
      <c r="K2175" t="s">
        <v>498</v>
      </c>
      <c r="L2175">
        <v>4</v>
      </c>
      <c r="M2175" t="s">
        <v>10132</v>
      </c>
      <c r="N2175" t="s">
        <v>290</v>
      </c>
      <c r="O2175" t="s">
        <v>48</v>
      </c>
      <c r="P2175" t="s">
        <v>48</v>
      </c>
      <c r="Y2175" t="s">
        <v>10133</v>
      </c>
    </row>
    <row r="2176" spans="1:25">
      <c r="A2176" t="s">
        <v>10134</v>
      </c>
      <c r="B2176" t="s">
        <v>10135</v>
      </c>
      <c r="D2176" t="s">
        <v>40</v>
      </c>
      <c r="E2176" t="s">
        <v>41</v>
      </c>
      <c r="G2176" t="s">
        <v>1462</v>
      </c>
      <c r="H2176" t="s">
        <v>10136</v>
      </c>
      <c r="J2176" t="s">
        <v>497</v>
      </c>
      <c r="K2176" t="s">
        <v>498</v>
      </c>
      <c r="L2176">
        <v>4</v>
      </c>
      <c r="M2176" t="s">
        <v>10137</v>
      </c>
      <c r="N2176" t="s">
        <v>685</v>
      </c>
      <c r="O2176" t="s">
        <v>48</v>
      </c>
      <c r="P2176" t="s">
        <v>48</v>
      </c>
      <c r="Y2176" t="s">
        <v>10138</v>
      </c>
    </row>
    <row r="2177" spans="1:25">
      <c r="A2177" t="s">
        <v>10139</v>
      </c>
      <c r="B2177" t="s">
        <v>10140</v>
      </c>
      <c r="D2177" t="s">
        <v>1832</v>
      </c>
      <c r="E2177" t="s">
        <v>41</v>
      </c>
      <c r="H2177" t="s">
        <v>10141</v>
      </c>
      <c r="J2177" t="s">
        <v>497</v>
      </c>
      <c r="K2177" t="s">
        <v>498</v>
      </c>
      <c r="L2177">
        <v>4</v>
      </c>
      <c r="M2177" t="s">
        <v>10142</v>
      </c>
      <c r="N2177" t="s">
        <v>290</v>
      </c>
      <c r="O2177" t="s">
        <v>1835</v>
      </c>
      <c r="P2177" t="s">
        <v>1835</v>
      </c>
      <c r="Y2177" t="s">
        <v>10141</v>
      </c>
    </row>
    <row r="2178" spans="1:25">
      <c r="A2178" t="s">
        <v>10143</v>
      </c>
      <c r="B2178" t="s">
        <v>10144</v>
      </c>
      <c r="D2178" t="s">
        <v>1832</v>
      </c>
      <c r="E2178" t="s">
        <v>41</v>
      </c>
      <c r="H2178" t="s">
        <v>10145</v>
      </c>
      <c r="J2178" t="s">
        <v>497</v>
      </c>
      <c r="K2178" t="s">
        <v>498</v>
      </c>
      <c r="L2178">
        <v>4</v>
      </c>
      <c r="M2178" t="s">
        <v>10146</v>
      </c>
      <c r="N2178" t="s">
        <v>290</v>
      </c>
      <c r="O2178" t="s">
        <v>1835</v>
      </c>
      <c r="P2178" t="s">
        <v>1835</v>
      </c>
      <c r="Y2178" t="s">
        <v>10145</v>
      </c>
    </row>
    <row r="2179" spans="1:25">
      <c r="A2179" t="s">
        <v>10147</v>
      </c>
      <c r="B2179" t="s">
        <v>10148</v>
      </c>
      <c r="D2179" t="s">
        <v>1832</v>
      </c>
      <c r="E2179" t="s">
        <v>41</v>
      </c>
      <c r="J2179" t="s">
        <v>927</v>
      </c>
      <c r="K2179" t="s">
        <v>928</v>
      </c>
      <c r="L2179">
        <v>4</v>
      </c>
      <c r="M2179" t="s">
        <v>10149</v>
      </c>
      <c r="N2179" t="s">
        <v>135</v>
      </c>
      <c r="O2179" t="s">
        <v>1835</v>
      </c>
      <c r="P2179" t="s">
        <v>1835</v>
      </c>
      <c r="Y2179" t="s">
        <v>10150</v>
      </c>
    </row>
    <row r="2180" spans="1:25">
      <c r="A2180" t="s">
        <v>10151</v>
      </c>
      <c r="B2180" t="s">
        <v>10152</v>
      </c>
      <c r="D2180" t="s">
        <v>1832</v>
      </c>
      <c r="E2180" t="s">
        <v>41</v>
      </c>
      <c r="J2180" t="s">
        <v>765</v>
      </c>
      <c r="K2180" t="s">
        <v>766</v>
      </c>
      <c r="L2180">
        <v>4</v>
      </c>
      <c r="M2180" t="s">
        <v>10153</v>
      </c>
      <c r="N2180" t="s">
        <v>290</v>
      </c>
      <c r="O2180" t="s">
        <v>1835</v>
      </c>
      <c r="P2180" t="s">
        <v>1835</v>
      </c>
      <c r="Y2180" t="s">
        <v>10154</v>
      </c>
    </row>
    <row r="2181" spans="1:25">
      <c r="A2181" t="s">
        <v>10155</v>
      </c>
      <c r="B2181" t="s">
        <v>10156</v>
      </c>
      <c r="D2181" t="s">
        <v>1832</v>
      </c>
      <c r="E2181" t="s">
        <v>41</v>
      </c>
      <c r="H2181" t="s">
        <v>10157</v>
      </c>
      <c r="J2181" t="s">
        <v>765</v>
      </c>
      <c r="K2181" t="s">
        <v>766</v>
      </c>
      <c r="L2181">
        <v>4</v>
      </c>
      <c r="M2181" t="s">
        <v>10158</v>
      </c>
      <c r="N2181" t="s">
        <v>290</v>
      </c>
      <c r="O2181" t="s">
        <v>1835</v>
      </c>
      <c r="P2181" t="s">
        <v>1835</v>
      </c>
      <c r="Y2181" t="s">
        <v>10157</v>
      </c>
    </row>
    <row r="2182" spans="1:25">
      <c r="A2182" t="s">
        <v>10159</v>
      </c>
      <c r="B2182" t="s">
        <v>10160</v>
      </c>
      <c r="D2182" t="s">
        <v>1832</v>
      </c>
      <c r="E2182" t="s">
        <v>41</v>
      </c>
      <c r="J2182" t="s">
        <v>497</v>
      </c>
      <c r="K2182" t="s">
        <v>498</v>
      </c>
      <c r="L2182">
        <v>4</v>
      </c>
      <c r="M2182" t="s">
        <v>10161</v>
      </c>
      <c r="N2182" t="s">
        <v>685</v>
      </c>
      <c r="O2182" t="s">
        <v>1835</v>
      </c>
      <c r="P2182" t="s">
        <v>1835</v>
      </c>
      <c r="Y2182" t="s">
        <v>10162</v>
      </c>
    </row>
    <row r="2183" spans="1:25">
      <c r="A2183" t="s">
        <v>10163</v>
      </c>
      <c r="B2183" t="s">
        <v>10164</v>
      </c>
      <c r="D2183" t="s">
        <v>1832</v>
      </c>
      <c r="E2183" t="s">
        <v>41</v>
      </c>
      <c r="H2183" t="s">
        <v>10165</v>
      </c>
      <c r="J2183" t="s">
        <v>765</v>
      </c>
      <c r="K2183" t="s">
        <v>766</v>
      </c>
      <c r="L2183">
        <v>5</v>
      </c>
      <c r="M2183" t="s">
        <v>10166</v>
      </c>
      <c r="N2183" t="s">
        <v>290</v>
      </c>
      <c r="O2183" t="s">
        <v>1835</v>
      </c>
      <c r="P2183" t="s">
        <v>1835</v>
      </c>
      <c r="Y2183" t="s">
        <v>10165</v>
      </c>
    </row>
    <row r="2184" spans="1:25">
      <c r="A2184" t="s">
        <v>10167</v>
      </c>
      <c r="B2184" t="s">
        <v>10168</v>
      </c>
      <c r="D2184" t="s">
        <v>1832</v>
      </c>
      <c r="E2184" t="s">
        <v>41</v>
      </c>
      <c r="H2184" t="s">
        <v>10169</v>
      </c>
      <c r="J2184" t="s">
        <v>927</v>
      </c>
      <c r="K2184" t="s">
        <v>928</v>
      </c>
      <c r="L2184">
        <v>4</v>
      </c>
      <c r="M2184" t="s">
        <v>10170</v>
      </c>
      <c r="N2184" t="s">
        <v>685</v>
      </c>
      <c r="O2184" t="s">
        <v>1835</v>
      </c>
      <c r="P2184" t="s">
        <v>1835</v>
      </c>
      <c r="Y2184" t="s">
        <v>10169</v>
      </c>
    </row>
    <row r="2185" spans="1:25">
      <c r="A2185" t="s">
        <v>10171</v>
      </c>
      <c r="B2185" t="s">
        <v>10172</v>
      </c>
      <c r="D2185" t="s">
        <v>9473</v>
      </c>
      <c r="E2185" t="s">
        <v>9474</v>
      </c>
      <c r="H2185" t="s">
        <v>10173</v>
      </c>
      <c r="J2185" t="s">
        <v>133</v>
      </c>
      <c r="K2185" t="s">
        <v>134</v>
      </c>
      <c r="L2185">
        <v>5</v>
      </c>
      <c r="M2185" t="s">
        <v>10174</v>
      </c>
      <c r="N2185" t="s">
        <v>47</v>
      </c>
      <c r="O2185" t="s">
        <v>9477</v>
      </c>
      <c r="P2185" t="s">
        <v>9477</v>
      </c>
      <c r="Y2185" t="s">
        <v>10173</v>
      </c>
    </row>
    <row r="2186" spans="1:25">
      <c r="A2186" t="s">
        <v>10175</v>
      </c>
      <c r="B2186" t="s">
        <v>10176</v>
      </c>
      <c r="D2186" t="s">
        <v>1832</v>
      </c>
      <c r="E2186" t="s">
        <v>41</v>
      </c>
      <c r="H2186" t="s">
        <v>10177</v>
      </c>
      <c r="J2186" t="s">
        <v>287</v>
      </c>
      <c r="K2186" t="s">
        <v>288</v>
      </c>
      <c r="L2186">
        <v>5</v>
      </c>
      <c r="M2186" t="s">
        <v>10178</v>
      </c>
      <c r="N2186" t="s">
        <v>290</v>
      </c>
      <c r="O2186" t="s">
        <v>1835</v>
      </c>
      <c r="P2186" t="s">
        <v>1835</v>
      </c>
      <c r="Y2186" t="s">
        <v>10177</v>
      </c>
    </row>
    <row r="2187" spans="1:25">
      <c r="A2187" t="s">
        <v>10179</v>
      </c>
      <c r="B2187" t="s">
        <v>10180</v>
      </c>
      <c r="D2187" t="s">
        <v>1832</v>
      </c>
      <c r="E2187" t="s">
        <v>41</v>
      </c>
      <c r="H2187" t="s">
        <v>10181</v>
      </c>
      <c r="J2187" t="s">
        <v>2328</v>
      </c>
      <c r="K2187" t="s">
        <v>2329</v>
      </c>
      <c r="L2187">
        <v>4</v>
      </c>
      <c r="M2187" t="s">
        <v>10182</v>
      </c>
      <c r="N2187" t="s">
        <v>685</v>
      </c>
      <c r="O2187" t="s">
        <v>1835</v>
      </c>
      <c r="P2187" t="s">
        <v>1835</v>
      </c>
      <c r="Y2187" t="s">
        <v>10181</v>
      </c>
    </row>
    <row r="2188" spans="1:25">
      <c r="A2188" t="s">
        <v>10183</v>
      </c>
      <c r="B2188" t="s">
        <v>10184</v>
      </c>
      <c r="D2188" t="s">
        <v>1832</v>
      </c>
      <c r="E2188" t="s">
        <v>41</v>
      </c>
      <c r="J2188" t="s">
        <v>497</v>
      </c>
      <c r="K2188" t="s">
        <v>498</v>
      </c>
      <c r="L2188">
        <v>4</v>
      </c>
      <c r="M2188" t="s">
        <v>10185</v>
      </c>
      <c r="N2188" t="s">
        <v>135</v>
      </c>
      <c r="O2188" t="s">
        <v>1835</v>
      </c>
      <c r="P2188" t="s">
        <v>1835</v>
      </c>
      <c r="Y2188" t="s">
        <v>10186</v>
      </c>
    </row>
    <row r="2189" spans="1:25">
      <c r="A2189" t="s">
        <v>10187</v>
      </c>
      <c r="B2189" t="s">
        <v>10188</v>
      </c>
      <c r="D2189" t="s">
        <v>1832</v>
      </c>
      <c r="E2189" t="s">
        <v>41</v>
      </c>
      <c r="J2189" t="s">
        <v>497</v>
      </c>
      <c r="K2189" t="s">
        <v>498</v>
      </c>
      <c r="L2189">
        <v>4</v>
      </c>
      <c r="M2189" t="s">
        <v>10189</v>
      </c>
      <c r="N2189" t="s">
        <v>290</v>
      </c>
      <c r="O2189" t="s">
        <v>1835</v>
      </c>
      <c r="P2189" t="s">
        <v>1835</v>
      </c>
      <c r="Y2189" t="s">
        <v>10190</v>
      </c>
    </row>
    <row r="2190" spans="1:25">
      <c r="A2190" t="s">
        <v>10191</v>
      </c>
      <c r="B2190" t="s">
        <v>10192</v>
      </c>
      <c r="D2190" t="s">
        <v>1832</v>
      </c>
      <c r="E2190" t="s">
        <v>41</v>
      </c>
      <c r="H2190" t="s">
        <v>10193</v>
      </c>
      <c r="J2190" t="s">
        <v>497</v>
      </c>
      <c r="K2190" t="s">
        <v>498</v>
      </c>
      <c r="L2190">
        <v>4</v>
      </c>
      <c r="M2190" t="s">
        <v>10194</v>
      </c>
      <c r="N2190" t="s">
        <v>685</v>
      </c>
      <c r="O2190" t="s">
        <v>1835</v>
      </c>
      <c r="P2190" t="s">
        <v>1835</v>
      </c>
      <c r="Y2190" t="s">
        <v>10193</v>
      </c>
    </row>
    <row r="2191" spans="1:25">
      <c r="A2191" t="s">
        <v>10195</v>
      </c>
      <c r="B2191" t="s">
        <v>10196</v>
      </c>
      <c r="D2191" t="s">
        <v>1832</v>
      </c>
      <c r="E2191" t="s">
        <v>41</v>
      </c>
      <c r="H2191" t="s">
        <v>10197</v>
      </c>
      <c r="J2191" t="s">
        <v>497</v>
      </c>
      <c r="K2191" t="s">
        <v>498</v>
      </c>
      <c r="L2191">
        <v>4</v>
      </c>
      <c r="M2191" t="s">
        <v>10198</v>
      </c>
      <c r="N2191" t="s">
        <v>685</v>
      </c>
      <c r="O2191" t="s">
        <v>1835</v>
      </c>
      <c r="P2191" t="s">
        <v>1835</v>
      </c>
      <c r="Y2191" t="s">
        <v>10197</v>
      </c>
    </row>
    <row r="2192" spans="1:25">
      <c r="A2192" t="s">
        <v>10199</v>
      </c>
      <c r="B2192" t="s">
        <v>10200</v>
      </c>
      <c r="D2192" t="s">
        <v>1832</v>
      </c>
      <c r="E2192" t="s">
        <v>41</v>
      </c>
      <c r="J2192" t="s">
        <v>9759</v>
      </c>
      <c r="K2192" t="s">
        <v>9760</v>
      </c>
      <c r="L2192">
        <v>5</v>
      </c>
      <c r="M2192" t="s">
        <v>10201</v>
      </c>
      <c r="N2192" t="s">
        <v>47</v>
      </c>
      <c r="O2192" t="s">
        <v>1835</v>
      </c>
      <c r="P2192" t="s">
        <v>1835</v>
      </c>
      <c r="Y2192" t="s">
        <v>10202</v>
      </c>
    </row>
    <row r="2193" spans="1:25">
      <c r="A2193" t="s">
        <v>10203</v>
      </c>
      <c r="B2193" t="s">
        <v>10204</v>
      </c>
      <c r="D2193" t="s">
        <v>1832</v>
      </c>
      <c r="E2193" t="s">
        <v>41</v>
      </c>
      <c r="J2193" t="s">
        <v>9759</v>
      </c>
      <c r="K2193" t="s">
        <v>9760</v>
      </c>
      <c r="L2193">
        <v>5</v>
      </c>
      <c r="M2193" t="s">
        <v>10205</v>
      </c>
      <c r="N2193" t="s">
        <v>47</v>
      </c>
      <c r="O2193" t="s">
        <v>1835</v>
      </c>
      <c r="P2193" t="s">
        <v>1835</v>
      </c>
      <c r="Y2193" t="s">
        <v>10206</v>
      </c>
    </row>
    <row r="2194" spans="1:25">
      <c r="A2194" t="s">
        <v>10207</v>
      </c>
      <c r="B2194" t="s">
        <v>10208</v>
      </c>
      <c r="D2194" t="s">
        <v>1832</v>
      </c>
      <c r="E2194" t="s">
        <v>41</v>
      </c>
      <c r="J2194" t="s">
        <v>927</v>
      </c>
      <c r="K2194" t="s">
        <v>928</v>
      </c>
      <c r="L2194">
        <v>4</v>
      </c>
      <c r="M2194" t="s">
        <v>10209</v>
      </c>
      <c r="N2194" t="s">
        <v>135</v>
      </c>
      <c r="O2194" t="s">
        <v>1835</v>
      </c>
      <c r="P2194" t="s">
        <v>1835</v>
      </c>
      <c r="Y2194" t="s">
        <v>10210</v>
      </c>
    </row>
    <row r="2195" spans="1:25">
      <c r="A2195" t="s">
        <v>10211</v>
      </c>
      <c r="B2195" t="s">
        <v>10212</v>
      </c>
      <c r="D2195" t="s">
        <v>1832</v>
      </c>
      <c r="E2195" t="s">
        <v>41</v>
      </c>
      <c r="H2195" t="s">
        <v>10213</v>
      </c>
      <c r="J2195" t="s">
        <v>497</v>
      </c>
      <c r="K2195" t="s">
        <v>498</v>
      </c>
      <c r="L2195">
        <v>4</v>
      </c>
      <c r="M2195" t="s">
        <v>10214</v>
      </c>
      <c r="N2195" t="s">
        <v>135</v>
      </c>
      <c r="O2195" t="s">
        <v>1835</v>
      </c>
      <c r="P2195" t="s">
        <v>1835</v>
      </c>
      <c r="Y2195" t="s">
        <v>10213</v>
      </c>
    </row>
    <row r="2196" spans="1:25">
      <c r="A2196" t="s">
        <v>10215</v>
      </c>
      <c r="B2196" t="s">
        <v>10216</v>
      </c>
      <c r="D2196" t="s">
        <v>1832</v>
      </c>
      <c r="E2196" t="s">
        <v>41</v>
      </c>
      <c r="J2196" t="s">
        <v>2948</v>
      </c>
      <c r="K2196" t="s">
        <v>2949</v>
      </c>
      <c r="L2196">
        <v>4</v>
      </c>
      <c r="M2196" t="s">
        <v>10217</v>
      </c>
      <c r="N2196" t="s">
        <v>135</v>
      </c>
      <c r="O2196" t="s">
        <v>1835</v>
      </c>
      <c r="P2196" t="s">
        <v>1835</v>
      </c>
      <c r="Y2196" t="s">
        <v>10218</v>
      </c>
    </row>
    <row r="2197" spans="1:25">
      <c r="A2197" t="s">
        <v>10219</v>
      </c>
      <c r="B2197" t="s">
        <v>10220</v>
      </c>
      <c r="D2197" t="s">
        <v>1832</v>
      </c>
      <c r="E2197" t="s">
        <v>41</v>
      </c>
      <c r="H2197" t="s">
        <v>10221</v>
      </c>
      <c r="J2197" t="s">
        <v>10222</v>
      </c>
      <c r="K2197" t="s">
        <v>10223</v>
      </c>
      <c r="L2197">
        <v>4</v>
      </c>
      <c r="M2197" t="s">
        <v>10224</v>
      </c>
      <c r="N2197" t="s">
        <v>685</v>
      </c>
      <c r="O2197" t="s">
        <v>1835</v>
      </c>
      <c r="P2197" t="s">
        <v>1835</v>
      </c>
      <c r="Y2197" t="s">
        <v>10221</v>
      </c>
    </row>
    <row r="2198" spans="1:25">
      <c r="A2198" t="s">
        <v>10225</v>
      </c>
      <c r="B2198" t="s">
        <v>10226</v>
      </c>
      <c r="D2198" t="s">
        <v>1832</v>
      </c>
      <c r="E2198" t="s">
        <v>41</v>
      </c>
      <c r="H2198" t="s">
        <v>10227</v>
      </c>
      <c r="J2198" t="s">
        <v>497</v>
      </c>
      <c r="K2198" t="s">
        <v>498</v>
      </c>
      <c r="L2198">
        <v>4</v>
      </c>
      <c r="M2198" t="s">
        <v>10228</v>
      </c>
      <c r="N2198" t="s">
        <v>290</v>
      </c>
      <c r="O2198" t="s">
        <v>1835</v>
      </c>
      <c r="P2198" t="s">
        <v>1835</v>
      </c>
      <c r="Y2198" t="s">
        <v>10227</v>
      </c>
    </row>
    <row r="2199" spans="1:25">
      <c r="A2199" t="s">
        <v>10229</v>
      </c>
      <c r="B2199" t="s">
        <v>10230</v>
      </c>
      <c r="D2199" t="s">
        <v>1832</v>
      </c>
      <c r="E2199" t="s">
        <v>41</v>
      </c>
      <c r="J2199" t="s">
        <v>497</v>
      </c>
      <c r="K2199" t="s">
        <v>498</v>
      </c>
      <c r="L2199">
        <v>4</v>
      </c>
      <c r="M2199" t="s">
        <v>10231</v>
      </c>
      <c r="N2199" t="s">
        <v>290</v>
      </c>
      <c r="O2199" t="s">
        <v>1835</v>
      </c>
      <c r="P2199" t="s">
        <v>1835</v>
      </c>
      <c r="Y2199" t="s">
        <v>10232</v>
      </c>
    </row>
    <row r="2200" spans="1:25">
      <c r="A2200" t="s">
        <v>10233</v>
      </c>
      <c r="B2200" t="s">
        <v>10234</v>
      </c>
      <c r="D2200" t="s">
        <v>1832</v>
      </c>
      <c r="E2200" t="s">
        <v>41</v>
      </c>
      <c r="H2200" t="s">
        <v>10235</v>
      </c>
      <c r="J2200" t="s">
        <v>497</v>
      </c>
      <c r="K2200" t="s">
        <v>498</v>
      </c>
      <c r="L2200">
        <v>4</v>
      </c>
      <c r="M2200" t="s">
        <v>10236</v>
      </c>
      <c r="N2200" t="s">
        <v>685</v>
      </c>
      <c r="O2200" t="s">
        <v>1835</v>
      </c>
      <c r="P2200" t="s">
        <v>1835</v>
      </c>
      <c r="Y2200" t="s">
        <v>10235</v>
      </c>
    </row>
    <row r="2201" spans="1:25">
      <c r="A2201" t="s">
        <v>10237</v>
      </c>
      <c r="B2201" t="s">
        <v>10238</v>
      </c>
      <c r="D2201" t="s">
        <v>1832</v>
      </c>
      <c r="E2201" t="s">
        <v>41</v>
      </c>
      <c r="J2201" t="s">
        <v>497</v>
      </c>
      <c r="K2201" t="s">
        <v>498</v>
      </c>
      <c r="L2201">
        <v>4</v>
      </c>
      <c r="M2201" t="s">
        <v>10239</v>
      </c>
      <c r="N2201" t="s">
        <v>290</v>
      </c>
      <c r="O2201" t="s">
        <v>1835</v>
      </c>
      <c r="P2201" t="s">
        <v>1835</v>
      </c>
      <c r="Y2201" t="s">
        <v>10240</v>
      </c>
    </row>
    <row r="2202" spans="1:25">
      <c r="A2202" t="s">
        <v>10241</v>
      </c>
      <c r="B2202" t="s">
        <v>10242</v>
      </c>
      <c r="D2202" t="s">
        <v>1832</v>
      </c>
      <c r="E2202" t="s">
        <v>41</v>
      </c>
      <c r="J2202" t="s">
        <v>497</v>
      </c>
      <c r="K2202" t="s">
        <v>498</v>
      </c>
      <c r="L2202">
        <v>4</v>
      </c>
      <c r="M2202" t="s">
        <v>10243</v>
      </c>
      <c r="N2202" t="s">
        <v>685</v>
      </c>
      <c r="O2202" t="s">
        <v>1835</v>
      </c>
      <c r="P2202" t="s">
        <v>1835</v>
      </c>
      <c r="Y2202" t="s">
        <v>10244</v>
      </c>
    </row>
    <row r="2203" spans="1:25">
      <c r="A2203" t="s">
        <v>10245</v>
      </c>
      <c r="B2203" t="s">
        <v>10246</v>
      </c>
      <c r="D2203" t="s">
        <v>1832</v>
      </c>
      <c r="E2203" t="s">
        <v>41</v>
      </c>
      <c r="J2203" t="s">
        <v>765</v>
      </c>
      <c r="K2203" t="s">
        <v>766</v>
      </c>
      <c r="L2203">
        <v>3</v>
      </c>
      <c r="M2203" t="s">
        <v>10247</v>
      </c>
      <c r="N2203" t="s">
        <v>685</v>
      </c>
      <c r="O2203" t="s">
        <v>1835</v>
      </c>
      <c r="P2203" t="s">
        <v>1835</v>
      </c>
      <c r="Y2203" t="s">
        <v>10248</v>
      </c>
    </row>
    <row r="2204" spans="1:25">
      <c r="A2204" t="s">
        <v>10249</v>
      </c>
      <c r="B2204" t="s">
        <v>10250</v>
      </c>
      <c r="D2204" t="s">
        <v>1832</v>
      </c>
      <c r="E2204" t="s">
        <v>41</v>
      </c>
      <c r="H2204" t="s">
        <v>10251</v>
      </c>
      <c r="J2204" t="s">
        <v>765</v>
      </c>
      <c r="K2204" t="s">
        <v>766</v>
      </c>
      <c r="L2204">
        <v>4</v>
      </c>
      <c r="M2204" t="s">
        <v>10252</v>
      </c>
      <c r="N2204" t="s">
        <v>290</v>
      </c>
      <c r="O2204" t="s">
        <v>1835</v>
      </c>
      <c r="P2204" t="s">
        <v>1835</v>
      </c>
      <c r="Y2204" t="s">
        <v>10251</v>
      </c>
    </row>
    <row r="2205" spans="1:25">
      <c r="A2205" t="s">
        <v>10253</v>
      </c>
      <c r="B2205" t="s">
        <v>10254</v>
      </c>
      <c r="D2205" t="s">
        <v>1832</v>
      </c>
      <c r="E2205" t="s">
        <v>41</v>
      </c>
      <c r="J2205" t="s">
        <v>497</v>
      </c>
      <c r="K2205" t="s">
        <v>498</v>
      </c>
      <c r="L2205">
        <v>4</v>
      </c>
      <c r="M2205" t="s">
        <v>10255</v>
      </c>
      <c r="N2205" t="s">
        <v>685</v>
      </c>
      <c r="O2205" t="s">
        <v>1835</v>
      </c>
      <c r="P2205" t="s">
        <v>1835</v>
      </c>
      <c r="Y2205" t="s">
        <v>10256</v>
      </c>
    </row>
    <row r="2206" spans="1:25">
      <c r="A2206" t="s">
        <v>10257</v>
      </c>
      <c r="B2206" t="s">
        <v>10258</v>
      </c>
      <c r="D2206" t="s">
        <v>1832</v>
      </c>
      <c r="E2206" t="s">
        <v>41</v>
      </c>
      <c r="J2206" t="s">
        <v>765</v>
      </c>
      <c r="K2206" t="s">
        <v>766</v>
      </c>
      <c r="L2206">
        <v>4</v>
      </c>
      <c r="M2206" t="s">
        <v>10259</v>
      </c>
      <c r="N2206" t="s">
        <v>290</v>
      </c>
      <c r="O2206" t="s">
        <v>1835</v>
      </c>
      <c r="P2206" t="s">
        <v>1835</v>
      </c>
      <c r="Y2206" t="s">
        <v>10260</v>
      </c>
    </row>
    <row r="2207" spans="1:25">
      <c r="A2207" t="s">
        <v>10261</v>
      </c>
      <c r="B2207" t="s">
        <v>10262</v>
      </c>
      <c r="D2207" t="s">
        <v>1832</v>
      </c>
      <c r="E2207" t="s">
        <v>41</v>
      </c>
      <c r="H2207" t="s">
        <v>10263</v>
      </c>
      <c r="J2207" t="s">
        <v>497</v>
      </c>
      <c r="K2207" t="s">
        <v>498</v>
      </c>
      <c r="L2207">
        <v>4</v>
      </c>
      <c r="M2207" t="s">
        <v>10264</v>
      </c>
      <c r="N2207" t="s">
        <v>685</v>
      </c>
      <c r="O2207" t="s">
        <v>1835</v>
      </c>
      <c r="P2207" t="s">
        <v>1835</v>
      </c>
      <c r="Y2207" t="s">
        <v>10263</v>
      </c>
    </row>
    <row r="2208" spans="1:25">
      <c r="A2208" t="s">
        <v>10265</v>
      </c>
      <c r="B2208" t="s">
        <v>10266</v>
      </c>
      <c r="D2208" t="s">
        <v>1832</v>
      </c>
      <c r="E2208" t="s">
        <v>41</v>
      </c>
      <c r="J2208" t="s">
        <v>497</v>
      </c>
      <c r="K2208" t="s">
        <v>498</v>
      </c>
      <c r="L2208">
        <v>4</v>
      </c>
      <c r="M2208" t="s">
        <v>10267</v>
      </c>
      <c r="N2208" t="s">
        <v>685</v>
      </c>
      <c r="O2208" t="s">
        <v>1835</v>
      </c>
      <c r="P2208" t="s">
        <v>1835</v>
      </c>
      <c r="Y2208" t="s">
        <v>10268</v>
      </c>
    </row>
    <row r="2209" spans="1:25">
      <c r="A2209" t="s">
        <v>10269</v>
      </c>
      <c r="B2209" t="s">
        <v>10270</v>
      </c>
      <c r="D2209" t="s">
        <v>1832</v>
      </c>
      <c r="E2209" t="s">
        <v>41</v>
      </c>
      <c r="J2209" t="s">
        <v>9759</v>
      </c>
      <c r="K2209" t="s">
        <v>9760</v>
      </c>
      <c r="L2209">
        <v>5</v>
      </c>
      <c r="M2209" t="s">
        <v>10271</v>
      </c>
      <c r="N2209" t="s">
        <v>47</v>
      </c>
      <c r="O2209" t="s">
        <v>1835</v>
      </c>
      <c r="P2209" t="s">
        <v>1835</v>
      </c>
      <c r="Y2209" t="s">
        <v>10272</v>
      </c>
    </row>
    <row r="2210" spans="1:25">
      <c r="A2210" t="s">
        <v>10273</v>
      </c>
      <c r="B2210" t="s">
        <v>10274</v>
      </c>
      <c r="D2210" t="s">
        <v>1832</v>
      </c>
      <c r="E2210" t="s">
        <v>41</v>
      </c>
      <c r="J2210" t="s">
        <v>6594</v>
      </c>
      <c r="K2210" t="s">
        <v>6595</v>
      </c>
      <c r="L2210">
        <v>5</v>
      </c>
      <c r="M2210" t="s">
        <v>10275</v>
      </c>
      <c r="N2210" t="s">
        <v>685</v>
      </c>
      <c r="O2210" t="s">
        <v>1835</v>
      </c>
      <c r="P2210" t="s">
        <v>1835</v>
      </c>
      <c r="Y2210" t="s">
        <v>10276</v>
      </c>
    </row>
    <row r="2211" spans="1:25">
      <c r="A2211" t="s">
        <v>10277</v>
      </c>
      <c r="B2211" t="s">
        <v>10278</v>
      </c>
      <c r="D2211" t="s">
        <v>1832</v>
      </c>
      <c r="E2211" t="s">
        <v>41</v>
      </c>
      <c r="H2211" t="s">
        <v>10279</v>
      </c>
      <c r="J2211" t="s">
        <v>497</v>
      </c>
      <c r="K2211" t="s">
        <v>498</v>
      </c>
      <c r="L2211">
        <v>4</v>
      </c>
      <c r="M2211" t="s">
        <v>10280</v>
      </c>
      <c r="N2211" t="s">
        <v>290</v>
      </c>
      <c r="O2211" t="s">
        <v>1835</v>
      </c>
      <c r="P2211" t="s">
        <v>1835</v>
      </c>
      <c r="Y2211" t="s">
        <v>10279</v>
      </c>
    </row>
    <row r="2212" spans="1:25">
      <c r="A2212" t="s">
        <v>10281</v>
      </c>
      <c r="B2212" t="s">
        <v>10282</v>
      </c>
      <c r="D2212" t="s">
        <v>1832</v>
      </c>
      <c r="E2212" t="s">
        <v>41</v>
      </c>
      <c r="H2212" t="s">
        <v>10283</v>
      </c>
      <c r="J2212" t="s">
        <v>497</v>
      </c>
      <c r="K2212" t="s">
        <v>498</v>
      </c>
      <c r="L2212">
        <v>4</v>
      </c>
      <c r="M2212" t="s">
        <v>10284</v>
      </c>
      <c r="N2212" t="s">
        <v>135</v>
      </c>
      <c r="O2212" t="s">
        <v>1835</v>
      </c>
      <c r="P2212" t="s">
        <v>1835</v>
      </c>
      <c r="Y2212" t="s">
        <v>10283</v>
      </c>
    </row>
    <row r="2213" spans="1:25">
      <c r="A2213" t="s">
        <v>10285</v>
      </c>
      <c r="B2213" t="s">
        <v>10286</v>
      </c>
      <c r="D2213" t="s">
        <v>1832</v>
      </c>
      <c r="E2213" t="s">
        <v>41</v>
      </c>
      <c r="H2213" t="s">
        <v>10287</v>
      </c>
      <c r="J2213" t="s">
        <v>9719</v>
      </c>
      <c r="K2213" t="s">
        <v>9720</v>
      </c>
      <c r="L2213">
        <v>4</v>
      </c>
      <c r="M2213" t="s">
        <v>10288</v>
      </c>
      <c r="N2213" t="s">
        <v>290</v>
      </c>
      <c r="O2213" t="s">
        <v>1835</v>
      </c>
      <c r="P2213" t="s">
        <v>1835</v>
      </c>
      <c r="Y2213" t="s">
        <v>10287</v>
      </c>
    </row>
    <row r="2214" spans="1:25">
      <c r="A2214" t="s">
        <v>10289</v>
      </c>
      <c r="B2214" t="s">
        <v>10290</v>
      </c>
      <c r="D2214" t="s">
        <v>1832</v>
      </c>
      <c r="E2214" t="s">
        <v>41</v>
      </c>
      <c r="H2214" t="s">
        <v>10291</v>
      </c>
      <c r="J2214" t="s">
        <v>133</v>
      </c>
      <c r="K2214" t="s">
        <v>134</v>
      </c>
      <c r="L2214">
        <v>5</v>
      </c>
      <c r="M2214" t="s">
        <v>10292</v>
      </c>
      <c r="N2214" t="s">
        <v>135</v>
      </c>
      <c r="O2214" t="s">
        <v>1835</v>
      </c>
      <c r="P2214" t="s">
        <v>1835</v>
      </c>
      <c r="Y2214" t="s">
        <v>10291</v>
      </c>
    </row>
    <row r="2215" spans="1:25">
      <c r="A2215" t="s">
        <v>10293</v>
      </c>
      <c r="B2215" t="s">
        <v>10294</v>
      </c>
      <c r="D2215" t="s">
        <v>1832</v>
      </c>
      <c r="E2215" t="s">
        <v>41</v>
      </c>
      <c r="H2215" t="s">
        <v>10295</v>
      </c>
      <c r="J2215" t="s">
        <v>497</v>
      </c>
      <c r="K2215" t="s">
        <v>498</v>
      </c>
      <c r="L2215">
        <v>4</v>
      </c>
      <c r="M2215" t="s">
        <v>10296</v>
      </c>
      <c r="N2215" t="s">
        <v>685</v>
      </c>
      <c r="O2215" t="s">
        <v>1835</v>
      </c>
      <c r="P2215" t="s">
        <v>1835</v>
      </c>
      <c r="Y2215" t="s">
        <v>10295</v>
      </c>
    </row>
    <row r="2216" spans="1:25">
      <c r="A2216" t="s">
        <v>10297</v>
      </c>
      <c r="B2216" t="s">
        <v>10298</v>
      </c>
      <c r="D2216" t="s">
        <v>1832</v>
      </c>
      <c r="E2216" t="s">
        <v>41</v>
      </c>
      <c r="J2216" t="s">
        <v>497</v>
      </c>
      <c r="K2216" t="s">
        <v>498</v>
      </c>
      <c r="L2216">
        <v>4</v>
      </c>
      <c r="M2216" t="s">
        <v>10299</v>
      </c>
      <c r="N2216" t="s">
        <v>290</v>
      </c>
      <c r="O2216" t="s">
        <v>1835</v>
      </c>
      <c r="P2216" t="s">
        <v>1835</v>
      </c>
      <c r="Y2216" t="s">
        <v>10300</v>
      </c>
    </row>
    <row r="2217" spans="1:25">
      <c r="A2217" t="s">
        <v>10301</v>
      </c>
      <c r="B2217" t="s">
        <v>10302</v>
      </c>
      <c r="D2217" t="s">
        <v>1832</v>
      </c>
      <c r="E2217" t="s">
        <v>41</v>
      </c>
      <c r="H2217" t="s">
        <v>10303</v>
      </c>
      <c r="J2217" t="s">
        <v>497</v>
      </c>
      <c r="K2217" t="s">
        <v>498</v>
      </c>
      <c r="L2217">
        <v>4</v>
      </c>
      <c r="M2217" t="s">
        <v>10304</v>
      </c>
      <c r="N2217" t="s">
        <v>135</v>
      </c>
      <c r="O2217" t="s">
        <v>1835</v>
      </c>
      <c r="P2217" t="s">
        <v>1835</v>
      </c>
      <c r="Y2217" t="s">
        <v>10303</v>
      </c>
    </row>
    <row r="2218" spans="1:25">
      <c r="A2218" t="s">
        <v>10305</v>
      </c>
      <c r="B2218" t="s">
        <v>10306</v>
      </c>
      <c r="D2218" t="s">
        <v>1832</v>
      </c>
      <c r="E2218" t="s">
        <v>41</v>
      </c>
      <c r="H2218" t="s">
        <v>10307</v>
      </c>
      <c r="J2218" t="s">
        <v>133</v>
      </c>
      <c r="K2218" t="s">
        <v>134</v>
      </c>
      <c r="L2218">
        <v>5</v>
      </c>
      <c r="M2218" t="s">
        <v>10308</v>
      </c>
      <c r="N2218" t="s">
        <v>135</v>
      </c>
      <c r="O2218" t="s">
        <v>1835</v>
      </c>
      <c r="P2218" t="s">
        <v>1835</v>
      </c>
      <c r="Y2218" t="s">
        <v>10307</v>
      </c>
    </row>
    <row r="2219" spans="1:25">
      <c r="A2219" t="s">
        <v>10309</v>
      </c>
      <c r="B2219" t="s">
        <v>10310</v>
      </c>
      <c r="D2219" t="s">
        <v>1832</v>
      </c>
      <c r="E2219" t="s">
        <v>41</v>
      </c>
      <c r="H2219" t="s">
        <v>10311</v>
      </c>
      <c r="J2219" t="s">
        <v>390</v>
      </c>
      <c r="K2219" t="s">
        <v>390</v>
      </c>
      <c r="L2219">
        <v>4</v>
      </c>
      <c r="M2219" t="s">
        <v>10312</v>
      </c>
      <c r="N2219" t="s">
        <v>685</v>
      </c>
      <c r="O2219" t="s">
        <v>1835</v>
      </c>
      <c r="P2219" t="s">
        <v>1835</v>
      </c>
      <c r="Y2219" t="s">
        <v>10311</v>
      </c>
    </row>
    <row r="2220" spans="1:25">
      <c r="A2220" t="s">
        <v>10313</v>
      </c>
      <c r="B2220" t="s">
        <v>10314</v>
      </c>
      <c r="D2220" t="s">
        <v>1832</v>
      </c>
      <c r="E2220" t="s">
        <v>41</v>
      </c>
      <c r="J2220" t="s">
        <v>497</v>
      </c>
      <c r="K2220" t="s">
        <v>498</v>
      </c>
      <c r="L2220">
        <v>4</v>
      </c>
      <c r="M2220" t="s">
        <v>10315</v>
      </c>
      <c r="N2220" t="s">
        <v>135</v>
      </c>
      <c r="O2220" t="s">
        <v>1835</v>
      </c>
      <c r="P2220" t="s">
        <v>1835</v>
      </c>
      <c r="Y2220" t="s">
        <v>10316</v>
      </c>
    </row>
    <row r="2221" spans="1:25">
      <c r="A2221" t="s">
        <v>10317</v>
      </c>
      <c r="B2221" t="s">
        <v>10318</v>
      </c>
      <c r="D2221" t="s">
        <v>40</v>
      </c>
      <c r="E2221" t="s">
        <v>41</v>
      </c>
      <c r="G2221" t="s">
        <v>10319</v>
      </c>
      <c r="H2221" t="s">
        <v>10320</v>
      </c>
      <c r="J2221" t="s">
        <v>10321</v>
      </c>
      <c r="K2221" t="s">
        <v>10322</v>
      </c>
      <c r="L2221">
        <v>3</v>
      </c>
      <c r="M2221" t="s">
        <v>10323</v>
      </c>
      <c r="N2221" t="s">
        <v>47</v>
      </c>
      <c r="O2221" t="s">
        <v>48</v>
      </c>
      <c r="P2221" t="s">
        <v>48</v>
      </c>
      <c r="Y2221" t="s">
        <v>10324</v>
      </c>
    </row>
    <row r="2222" spans="1:25">
      <c r="A2222" t="s">
        <v>10325</v>
      </c>
      <c r="B2222" t="s">
        <v>10326</v>
      </c>
      <c r="D2222" t="s">
        <v>9473</v>
      </c>
      <c r="E2222" t="s">
        <v>9474</v>
      </c>
      <c r="H2222" t="s">
        <v>10327</v>
      </c>
      <c r="J2222" t="s">
        <v>10321</v>
      </c>
      <c r="K2222" t="s">
        <v>10322</v>
      </c>
      <c r="L2222">
        <v>6</v>
      </c>
      <c r="M2222" t="s">
        <v>10328</v>
      </c>
      <c r="N2222" t="s">
        <v>47</v>
      </c>
      <c r="O2222" t="s">
        <v>9477</v>
      </c>
      <c r="P2222" t="s">
        <v>9477</v>
      </c>
      <c r="Y2222" t="s">
        <v>10327</v>
      </c>
    </row>
    <row r="2223" spans="1:25">
      <c r="A2223" t="s">
        <v>10329</v>
      </c>
      <c r="B2223" t="s">
        <v>10330</v>
      </c>
      <c r="D2223" t="s">
        <v>40</v>
      </c>
      <c r="E2223" t="s">
        <v>41</v>
      </c>
      <c r="G2223" t="s">
        <v>10331</v>
      </c>
      <c r="H2223" t="s">
        <v>10332</v>
      </c>
      <c r="J2223" t="s">
        <v>10321</v>
      </c>
      <c r="K2223" t="s">
        <v>10322</v>
      </c>
      <c r="L2223">
        <v>2</v>
      </c>
      <c r="M2223" t="s">
        <v>10333</v>
      </c>
      <c r="N2223" t="s">
        <v>47</v>
      </c>
      <c r="O2223" t="s">
        <v>48</v>
      </c>
      <c r="P2223" t="s">
        <v>48</v>
      </c>
      <c r="Y2223" t="s">
        <v>10334</v>
      </c>
    </row>
    <row r="2224" spans="1:25">
      <c r="A2224" t="s">
        <v>10335</v>
      </c>
      <c r="B2224" t="s">
        <v>10336</v>
      </c>
      <c r="D2224" t="s">
        <v>9473</v>
      </c>
      <c r="E2224" t="s">
        <v>9474</v>
      </c>
      <c r="H2224" t="s">
        <v>10337</v>
      </c>
      <c r="J2224" t="s">
        <v>10321</v>
      </c>
      <c r="K2224" t="s">
        <v>10322</v>
      </c>
      <c r="L2224">
        <v>6</v>
      </c>
      <c r="M2224" t="s">
        <v>10338</v>
      </c>
      <c r="N2224" t="s">
        <v>47</v>
      </c>
      <c r="O2224" t="s">
        <v>9477</v>
      </c>
      <c r="P2224" t="s">
        <v>9477</v>
      </c>
      <c r="Y2224" t="s">
        <v>10337</v>
      </c>
    </row>
    <row r="2225" spans="1:25">
      <c r="A2225" t="s">
        <v>10339</v>
      </c>
      <c r="B2225" t="s">
        <v>10340</v>
      </c>
      <c r="D2225" t="s">
        <v>9473</v>
      </c>
      <c r="E2225" t="s">
        <v>9474</v>
      </c>
      <c r="H2225" t="s">
        <v>10341</v>
      </c>
      <c r="J2225" t="s">
        <v>10321</v>
      </c>
      <c r="K2225" t="s">
        <v>10322</v>
      </c>
      <c r="L2225">
        <v>6</v>
      </c>
      <c r="M2225" t="s">
        <v>10342</v>
      </c>
      <c r="N2225" t="s">
        <v>47</v>
      </c>
      <c r="O2225" t="s">
        <v>9477</v>
      </c>
      <c r="P2225" t="s">
        <v>9477</v>
      </c>
      <c r="Y2225" t="s">
        <v>10341</v>
      </c>
    </row>
    <row r="2226" spans="1:25">
      <c r="A2226" t="s">
        <v>10343</v>
      </c>
      <c r="B2226" t="s">
        <v>10344</v>
      </c>
      <c r="D2226" t="s">
        <v>9473</v>
      </c>
      <c r="E2226" t="s">
        <v>9474</v>
      </c>
      <c r="H2226" t="s">
        <v>10345</v>
      </c>
      <c r="J2226" t="s">
        <v>234</v>
      </c>
      <c r="K2226" t="s">
        <v>235</v>
      </c>
      <c r="L2226">
        <v>6</v>
      </c>
      <c r="M2226" t="s">
        <v>10346</v>
      </c>
      <c r="N2226" t="s">
        <v>47</v>
      </c>
      <c r="O2226" t="s">
        <v>9477</v>
      </c>
      <c r="P2226" t="s">
        <v>9477</v>
      </c>
      <c r="Y2226" t="s">
        <v>10345</v>
      </c>
    </row>
    <row r="2227" spans="1:25">
      <c r="A2227" t="s">
        <v>10347</v>
      </c>
      <c r="B2227" t="s">
        <v>10348</v>
      </c>
      <c r="D2227" t="s">
        <v>1832</v>
      </c>
      <c r="E2227" t="s">
        <v>41</v>
      </c>
      <c r="H2227" t="s">
        <v>10349</v>
      </c>
      <c r="J2227" t="s">
        <v>497</v>
      </c>
      <c r="K2227" t="s">
        <v>498</v>
      </c>
      <c r="L2227">
        <v>4</v>
      </c>
      <c r="M2227" t="s">
        <v>10350</v>
      </c>
      <c r="N2227" t="s">
        <v>290</v>
      </c>
      <c r="O2227" t="s">
        <v>1835</v>
      </c>
      <c r="P2227" t="s">
        <v>1835</v>
      </c>
      <c r="Y2227" t="s">
        <v>10349</v>
      </c>
    </row>
    <row r="2228" spans="1:25">
      <c r="A2228" t="s">
        <v>10351</v>
      </c>
      <c r="B2228" t="s">
        <v>10352</v>
      </c>
      <c r="D2228" t="s">
        <v>40</v>
      </c>
      <c r="E2228" t="s">
        <v>41</v>
      </c>
      <c r="G2228" t="s">
        <v>1702</v>
      </c>
      <c r="H2228" t="s">
        <v>10353</v>
      </c>
      <c r="J2228" t="s">
        <v>3829</v>
      </c>
      <c r="K2228" t="s">
        <v>3830</v>
      </c>
      <c r="L2228">
        <v>4</v>
      </c>
      <c r="M2228" t="s">
        <v>10354</v>
      </c>
      <c r="N2228" t="s">
        <v>290</v>
      </c>
      <c r="O2228" t="s">
        <v>48</v>
      </c>
      <c r="P2228" t="s">
        <v>48</v>
      </c>
      <c r="Y2228" t="s">
        <v>10355</v>
      </c>
    </row>
    <row r="2229" spans="1:25">
      <c r="A2229" t="s">
        <v>10356</v>
      </c>
      <c r="B2229" t="s">
        <v>10357</v>
      </c>
      <c r="D2229" t="s">
        <v>40</v>
      </c>
      <c r="E2229" t="s">
        <v>41</v>
      </c>
      <c r="G2229" t="s">
        <v>10358</v>
      </c>
      <c r="H2229" t="s">
        <v>10359</v>
      </c>
      <c r="J2229" t="s">
        <v>497</v>
      </c>
      <c r="K2229" t="s">
        <v>498</v>
      </c>
      <c r="L2229">
        <v>3</v>
      </c>
      <c r="M2229" t="s">
        <v>10360</v>
      </c>
      <c r="N2229" t="s">
        <v>135</v>
      </c>
      <c r="O2229" t="s">
        <v>48</v>
      </c>
      <c r="P2229" t="s">
        <v>48</v>
      </c>
      <c r="Y2229" t="s">
        <v>10361</v>
      </c>
    </row>
    <row r="2230" spans="1:25">
      <c r="A2230" t="s">
        <v>10362</v>
      </c>
      <c r="B2230" t="s">
        <v>10363</v>
      </c>
      <c r="D2230" t="s">
        <v>40</v>
      </c>
      <c r="E2230" t="s">
        <v>41</v>
      </c>
      <c r="G2230" t="s">
        <v>10364</v>
      </c>
      <c r="H2230" t="s">
        <v>10365</v>
      </c>
      <c r="J2230" t="s">
        <v>497</v>
      </c>
      <c r="K2230" t="s">
        <v>498</v>
      </c>
      <c r="L2230">
        <v>3</v>
      </c>
      <c r="M2230" t="s">
        <v>10366</v>
      </c>
      <c r="N2230" t="s">
        <v>135</v>
      </c>
      <c r="O2230" t="s">
        <v>48</v>
      </c>
      <c r="P2230" t="s">
        <v>48</v>
      </c>
      <c r="Y2230" t="s">
        <v>10367</v>
      </c>
    </row>
    <row r="2231" spans="1:25">
      <c r="A2231" t="s">
        <v>10368</v>
      </c>
      <c r="B2231" t="s">
        <v>10369</v>
      </c>
      <c r="D2231" t="s">
        <v>40</v>
      </c>
      <c r="E2231" t="s">
        <v>41</v>
      </c>
      <c r="G2231" t="s">
        <v>6440</v>
      </c>
      <c r="H2231" t="s">
        <v>2346</v>
      </c>
      <c r="J2231" t="s">
        <v>9759</v>
      </c>
      <c r="K2231" t="s">
        <v>9760</v>
      </c>
      <c r="L2231">
        <v>4</v>
      </c>
      <c r="M2231" t="s">
        <v>10370</v>
      </c>
      <c r="N2231" t="s">
        <v>135</v>
      </c>
      <c r="O2231" t="s">
        <v>48</v>
      </c>
      <c r="P2231" t="s">
        <v>48</v>
      </c>
      <c r="Y2231" t="s">
        <v>10371</v>
      </c>
    </row>
    <row r="2232" spans="1:25">
      <c r="A2232" t="s">
        <v>10372</v>
      </c>
      <c r="B2232" t="s">
        <v>10373</v>
      </c>
      <c r="D2232" t="s">
        <v>40</v>
      </c>
      <c r="E2232" t="s">
        <v>41</v>
      </c>
      <c r="G2232" t="s">
        <v>10374</v>
      </c>
      <c r="H2232" t="s">
        <v>10375</v>
      </c>
      <c r="J2232" t="s">
        <v>497</v>
      </c>
      <c r="K2232" t="s">
        <v>498</v>
      </c>
      <c r="L2232">
        <v>3</v>
      </c>
      <c r="M2232" t="s">
        <v>10376</v>
      </c>
      <c r="N2232" t="s">
        <v>135</v>
      </c>
      <c r="O2232" t="s">
        <v>48</v>
      </c>
      <c r="P2232" t="s">
        <v>48</v>
      </c>
      <c r="Y2232" t="s">
        <v>10377</v>
      </c>
    </row>
    <row r="2233" spans="1:25">
      <c r="A2233" t="s">
        <v>10378</v>
      </c>
      <c r="B2233" t="s">
        <v>10379</v>
      </c>
      <c r="D2233" t="s">
        <v>40</v>
      </c>
      <c r="E2233" t="s">
        <v>41</v>
      </c>
      <c r="G2233" t="s">
        <v>9717</v>
      </c>
      <c r="H2233" t="s">
        <v>833</v>
      </c>
      <c r="J2233" t="s">
        <v>927</v>
      </c>
      <c r="K2233" t="s">
        <v>928</v>
      </c>
      <c r="L2233">
        <v>3</v>
      </c>
      <c r="M2233" t="s">
        <v>10380</v>
      </c>
      <c r="N2233" t="s">
        <v>135</v>
      </c>
      <c r="O2233" t="s">
        <v>48</v>
      </c>
      <c r="P2233" t="s">
        <v>48</v>
      </c>
      <c r="Y2233" t="s">
        <v>10381</v>
      </c>
    </row>
    <row r="2234" spans="1:25">
      <c r="A2234" t="s">
        <v>10382</v>
      </c>
      <c r="B2234" t="s">
        <v>10383</v>
      </c>
      <c r="D2234" t="s">
        <v>40</v>
      </c>
      <c r="E2234" t="s">
        <v>41</v>
      </c>
      <c r="G2234" t="s">
        <v>10384</v>
      </c>
      <c r="H2234" t="s">
        <v>10385</v>
      </c>
      <c r="J2234" t="s">
        <v>497</v>
      </c>
      <c r="K2234" t="s">
        <v>498</v>
      </c>
      <c r="L2234">
        <v>3</v>
      </c>
      <c r="M2234" t="s">
        <v>10386</v>
      </c>
      <c r="N2234" t="s">
        <v>135</v>
      </c>
      <c r="O2234" t="s">
        <v>48</v>
      </c>
      <c r="P2234" t="s">
        <v>48</v>
      </c>
      <c r="Y2234" t="s">
        <v>10387</v>
      </c>
    </row>
    <row r="2235" spans="1:25">
      <c r="A2235" t="s">
        <v>10388</v>
      </c>
      <c r="B2235" t="s">
        <v>10389</v>
      </c>
      <c r="D2235" t="s">
        <v>40</v>
      </c>
      <c r="E2235" t="s">
        <v>41</v>
      </c>
      <c r="G2235" t="s">
        <v>804</v>
      </c>
      <c r="H2235" t="s">
        <v>1547</v>
      </c>
      <c r="J2235" t="s">
        <v>497</v>
      </c>
      <c r="K2235" t="s">
        <v>498</v>
      </c>
      <c r="L2235">
        <v>3</v>
      </c>
      <c r="M2235" t="s">
        <v>10390</v>
      </c>
      <c r="N2235" t="s">
        <v>290</v>
      </c>
      <c r="O2235" t="s">
        <v>48</v>
      </c>
      <c r="P2235" t="s">
        <v>48</v>
      </c>
      <c r="Y2235" t="s">
        <v>10391</v>
      </c>
    </row>
    <row r="2236" spans="1:25">
      <c r="A2236" t="s">
        <v>10392</v>
      </c>
      <c r="B2236" t="s">
        <v>10393</v>
      </c>
      <c r="D2236" t="s">
        <v>40</v>
      </c>
      <c r="E2236" t="s">
        <v>41</v>
      </c>
      <c r="G2236" t="s">
        <v>10394</v>
      </c>
      <c r="H2236" t="s">
        <v>10395</v>
      </c>
      <c r="J2236" t="s">
        <v>497</v>
      </c>
      <c r="K2236" t="s">
        <v>498</v>
      </c>
      <c r="L2236">
        <v>3</v>
      </c>
      <c r="M2236" t="s">
        <v>10396</v>
      </c>
      <c r="N2236" t="s">
        <v>290</v>
      </c>
      <c r="O2236" t="s">
        <v>48</v>
      </c>
      <c r="P2236" t="s">
        <v>48</v>
      </c>
      <c r="Y2236" t="s">
        <v>10397</v>
      </c>
    </row>
    <row r="2237" spans="1:25">
      <c r="A2237" t="s">
        <v>10398</v>
      </c>
      <c r="B2237" t="s">
        <v>10399</v>
      </c>
      <c r="D2237" t="s">
        <v>40</v>
      </c>
      <c r="E2237" t="s">
        <v>41</v>
      </c>
      <c r="G2237" t="s">
        <v>10400</v>
      </c>
      <c r="H2237" t="s">
        <v>10401</v>
      </c>
      <c r="J2237" t="s">
        <v>5844</v>
      </c>
      <c r="K2237" t="s">
        <v>5845</v>
      </c>
      <c r="L2237">
        <v>3</v>
      </c>
      <c r="M2237" t="s">
        <v>10402</v>
      </c>
      <c r="N2237" t="s">
        <v>135</v>
      </c>
      <c r="O2237" t="s">
        <v>48</v>
      </c>
      <c r="P2237" t="s">
        <v>48</v>
      </c>
      <c r="Y2237" t="s">
        <v>10403</v>
      </c>
    </row>
    <row r="2238" spans="1:25">
      <c r="A2238" t="s">
        <v>10404</v>
      </c>
      <c r="B2238" t="s">
        <v>10405</v>
      </c>
      <c r="D2238" t="s">
        <v>40</v>
      </c>
      <c r="E2238" t="s">
        <v>41</v>
      </c>
      <c r="G2238" t="s">
        <v>1702</v>
      </c>
      <c r="H2238" t="s">
        <v>10406</v>
      </c>
      <c r="J2238" t="s">
        <v>497</v>
      </c>
      <c r="K2238" t="s">
        <v>498</v>
      </c>
      <c r="L2238">
        <v>3</v>
      </c>
      <c r="M2238" t="s">
        <v>10407</v>
      </c>
      <c r="N2238" t="s">
        <v>135</v>
      </c>
      <c r="O2238" t="s">
        <v>48</v>
      </c>
      <c r="P2238" t="s">
        <v>48</v>
      </c>
      <c r="Y2238" t="s">
        <v>10408</v>
      </c>
    </row>
    <row r="2239" spans="1:25">
      <c r="A2239" t="s">
        <v>10409</v>
      </c>
      <c r="B2239" t="s">
        <v>10410</v>
      </c>
      <c r="D2239" t="s">
        <v>40</v>
      </c>
      <c r="E2239" t="s">
        <v>41</v>
      </c>
      <c r="G2239" t="s">
        <v>10411</v>
      </c>
      <c r="H2239" t="s">
        <v>1653</v>
      </c>
      <c r="J2239" t="s">
        <v>497</v>
      </c>
      <c r="K2239" t="s">
        <v>498</v>
      </c>
      <c r="L2239">
        <v>3</v>
      </c>
      <c r="M2239" t="s">
        <v>10412</v>
      </c>
      <c r="N2239" t="s">
        <v>135</v>
      </c>
      <c r="O2239" t="s">
        <v>48</v>
      </c>
      <c r="P2239" t="s">
        <v>48</v>
      </c>
      <c r="Y2239" t="s">
        <v>10413</v>
      </c>
    </row>
    <row r="2240" spans="1:25">
      <c r="A2240" t="s">
        <v>10414</v>
      </c>
      <c r="B2240" t="s">
        <v>10415</v>
      </c>
      <c r="D2240" t="s">
        <v>40</v>
      </c>
      <c r="E2240" t="s">
        <v>41</v>
      </c>
      <c r="G2240" t="s">
        <v>10416</v>
      </c>
      <c r="H2240" t="s">
        <v>10417</v>
      </c>
      <c r="J2240" t="s">
        <v>497</v>
      </c>
      <c r="K2240" t="s">
        <v>498</v>
      </c>
      <c r="L2240">
        <v>3</v>
      </c>
      <c r="M2240" t="s">
        <v>10418</v>
      </c>
      <c r="N2240" t="s">
        <v>135</v>
      </c>
      <c r="O2240" t="s">
        <v>48</v>
      </c>
      <c r="P2240" t="s">
        <v>48</v>
      </c>
      <c r="Y2240" t="s">
        <v>10419</v>
      </c>
    </row>
    <row r="2241" spans="1:25">
      <c r="A2241" t="s">
        <v>10420</v>
      </c>
      <c r="B2241" t="s">
        <v>10421</v>
      </c>
      <c r="D2241" t="s">
        <v>40</v>
      </c>
      <c r="E2241" t="s">
        <v>41</v>
      </c>
      <c r="G2241" t="s">
        <v>6278</v>
      </c>
      <c r="H2241" t="s">
        <v>10422</v>
      </c>
      <c r="J2241" t="s">
        <v>497</v>
      </c>
      <c r="K2241" t="s">
        <v>498</v>
      </c>
      <c r="L2241">
        <v>3</v>
      </c>
      <c r="M2241" t="s">
        <v>10423</v>
      </c>
      <c r="N2241" t="s">
        <v>135</v>
      </c>
      <c r="O2241" t="s">
        <v>48</v>
      </c>
      <c r="P2241" t="s">
        <v>48</v>
      </c>
      <c r="Y2241" t="s">
        <v>10424</v>
      </c>
    </row>
    <row r="2242" spans="1:25">
      <c r="A2242" t="s">
        <v>10425</v>
      </c>
      <c r="B2242" t="s">
        <v>10426</v>
      </c>
      <c r="D2242" t="s">
        <v>40</v>
      </c>
      <c r="E2242" t="s">
        <v>41</v>
      </c>
      <c r="G2242" t="s">
        <v>10427</v>
      </c>
      <c r="H2242" t="s">
        <v>10428</v>
      </c>
      <c r="J2242" t="s">
        <v>497</v>
      </c>
      <c r="K2242" t="s">
        <v>498</v>
      </c>
      <c r="L2242">
        <v>3</v>
      </c>
      <c r="M2242" t="s">
        <v>10429</v>
      </c>
      <c r="N2242" t="s">
        <v>135</v>
      </c>
      <c r="O2242" t="s">
        <v>48</v>
      </c>
      <c r="P2242" t="s">
        <v>48</v>
      </c>
      <c r="Y2242" t="s">
        <v>10430</v>
      </c>
    </row>
    <row r="2243" spans="1:25">
      <c r="A2243" t="s">
        <v>10431</v>
      </c>
      <c r="B2243" t="s">
        <v>10432</v>
      </c>
      <c r="D2243" t="s">
        <v>40</v>
      </c>
      <c r="E2243" t="s">
        <v>41</v>
      </c>
      <c r="G2243" t="s">
        <v>10433</v>
      </c>
      <c r="H2243" t="s">
        <v>10434</v>
      </c>
      <c r="J2243" t="s">
        <v>9719</v>
      </c>
      <c r="K2243" t="s">
        <v>9720</v>
      </c>
      <c r="L2243">
        <v>4</v>
      </c>
      <c r="M2243" t="s">
        <v>10435</v>
      </c>
      <c r="N2243" t="s">
        <v>135</v>
      </c>
      <c r="O2243" t="s">
        <v>48</v>
      </c>
      <c r="P2243" t="s">
        <v>48</v>
      </c>
      <c r="Y2243" t="s">
        <v>10436</v>
      </c>
    </row>
    <row r="2244" spans="1:25">
      <c r="A2244" t="s">
        <v>10437</v>
      </c>
      <c r="B2244" t="s">
        <v>10438</v>
      </c>
      <c r="D2244" t="s">
        <v>40</v>
      </c>
      <c r="E2244" t="s">
        <v>41</v>
      </c>
      <c r="G2244" t="s">
        <v>10439</v>
      </c>
      <c r="H2244" t="s">
        <v>10440</v>
      </c>
      <c r="J2244" t="s">
        <v>497</v>
      </c>
      <c r="K2244" t="s">
        <v>498</v>
      </c>
      <c r="L2244">
        <v>3</v>
      </c>
      <c r="M2244" t="s">
        <v>10441</v>
      </c>
      <c r="N2244" t="s">
        <v>135</v>
      </c>
      <c r="O2244" t="s">
        <v>48</v>
      </c>
      <c r="P2244" t="s">
        <v>48</v>
      </c>
      <c r="Y2244" t="s">
        <v>10442</v>
      </c>
    </row>
    <row r="2245" spans="1:25">
      <c r="A2245" t="s">
        <v>10443</v>
      </c>
      <c r="B2245" t="s">
        <v>10444</v>
      </c>
      <c r="D2245" t="s">
        <v>40</v>
      </c>
      <c r="E2245" t="s">
        <v>41</v>
      </c>
      <c r="G2245" t="s">
        <v>10445</v>
      </c>
      <c r="H2245" t="s">
        <v>10446</v>
      </c>
      <c r="J2245" t="s">
        <v>497</v>
      </c>
      <c r="K2245" t="s">
        <v>498</v>
      </c>
      <c r="L2245">
        <v>3</v>
      </c>
      <c r="M2245" t="s">
        <v>10447</v>
      </c>
      <c r="N2245" t="s">
        <v>135</v>
      </c>
      <c r="O2245" t="s">
        <v>48</v>
      </c>
      <c r="P2245" t="s">
        <v>48</v>
      </c>
      <c r="Y2245" t="s">
        <v>10448</v>
      </c>
    </row>
    <row r="2246" spans="1:25">
      <c r="A2246" t="s">
        <v>10449</v>
      </c>
      <c r="B2246" t="s">
        <v>10450</v>
      </c>
      <c r="D2246" t="s">
        <v>40</v>
      </c>
      <c r="E2246" t="s">
        <v>41</v>
      </c>
      <c r="G2246" t="s">
        <v>10451</v>
      </c>
      <c r="H2246" t="s">
        <v>1133</v>
      </c>
      <c r="J2246" t="s">
        <v>497</v>
      </c>
      <c r="K2246" t="s">
        <v>498</v>
      </c>
      <c r="L2246">
        <v>3</v>
      </c>
      <c r="M2246" t="s">
        <v>10452</v>
      </c>
      <c r="N2246" t="s">
        <v>135</v>
      </c>
      <c r="O2246" t="s">
        <v>48</v>
      </c>
      <c r="P2246" t="s">
        <v>48</v>
      </c>
      <c r="Y2246" t="s">
        <v>10453</v>
      </c>
    </row>
    <row r="2247" spans="1:25">
      <c r="A2247" t="s">
        <v>10454</v>
      </c>
      <c r="B2247" t="s">
        <v>10455</v>
      </c>
      <c r="D2247" t="s">
        <v>40</v>
      </c>
      <c r="E2247" t="s">
        <v>41</v>
      </c>
      <c r="G2247" t="s">
        <v>10456</v>
      </c>
      <c r="H2247" t="s">
        <v>10457</v>
      </c>
      <c r="J2247" t="s">
        <v>9759</v>
      </c>
      <c r="K2247" t="s">
        <v>9760</v>
      </c>
      <c r="L2247">
        <v>4</v>
      </c>
      <c r="M2247" t="s">
        <v>10458</v>
      </c>
      <c r="N2247" t="s">
        <v>135</v>
      </c>
      <c r="O2247" t="s">
        <v>48</v>
      </c>
      <c r="P2247" t="s">
        <v>48</v>
      </c>
      <c r="Y2247" t="s">
        <v>10459</v>
      </c>
    </row>
    <row r="2248" spans="1:25">
      <c r="A2248" t="s">
        <v>10460</v>
      </c>
      <c r="B2248" t="s">
        <v>10461</v>
      </c>
      <c r="D2248" t="s">
        <v>40</v>
      </c>
      <c r="E2248" t="s">
        <v>41</v>
      </c>
      <c r="G2248" t="s">
        <v>10462</v>
      </c>
      <c r="H2248" t="s">
        <v>10463</v>
      </c>
      <c r="J2248" t="s">
        <v>9719</v>
      </c>
      <c r="K2248" t="s">
        <v>9720</v>
      </c>
      <c r="L2248">
        <v>3</v>
      </c>
      <c r="M2248" t="s">
        <v>10464</v>
      </c>
      <c r="N2248" t="s">
        <v>135</v>
      </c>
      <c r="O2248" t="s">
        <v>48</v>
      </c>
      <c r="P2248" t="s">
        <v>48</v>
      </c>
      <c r="Y2248" t="s">
        <v>10465</v>
      </c>
    </row>
    <row r="2249" spans="1:25">
      <c r="A2249" t="s">
        <v>10466</v>
      </c>
      <c r="B2249" t="s">
        <v>10467</v>
      </c>
      <c r="D2249" t="s">
        <v>40</v>
      </c>
      <c r="E2249" t="s">
        <v>41</v>
      </c>
      <c r="G2249" t="s">
        <v>10468</v>
      </c>
      <c r="H2249" t="s">
        <v>10469</v>
      </c>
      <c r="J2249" t="s">
        <v>9719</v>
      </c>
      <c r="K2249" t="s">
        <v>9720</v>
      </c>
      <c r="L2249">
        <v>3</v>
      </c>
      <c r="M2249" t="s">
        <v>10470</v>
      </c>
      <c r="N2249" t="s">
        <v>135</v>
      </c>
      <c r="O2249" t="s">
        <v>48</v>
      </c>
      <c r="P2249" t="s">
        <v>48</v>
      </c>
      <c r="Y2249" t="s">
        <v>10471</v>
      </c>
    </row>
    <row r="2250" spans="1:25">
      <c r="A2250" t="s">
        <v>10472</v>
      </c>
      <c r="B2250" t="s">
        <v>10473</v>
      </c>
      <c r="D2250" t="s">
        <v>40</v>
      </c>
      <c r="E2250" t="s">
        <v>41</v>
      </c>
      <c r="G2250" t="s">
        <v>10474</v>
      </c>
      <c r="H2250" t="s">
        <v>10475</v>
      </c>
      <c r="J2250" t="s">
        <v>9719</v>
      </c>
      <c r="K2250" t="s">
        <v>9720</v>
      </c>
      <c r="L2250">
        <v>3</v>
      </c>
      <c r="M2250" t="s">
        <v>10476</v>
      </c>
      <c r="N2250" t="s">
        <v>135</v>
      </c>
      <c r="O2250" t="s">
        <v>48</v>
      </c>
      <c r="P2250" t="s">
        <v>48</v>
      </c>
      <c r="Y2250" t="s">
        <v>10477</v>
      </c>
    </row>
    <row r="2251" spans="1:25">
      <c r="A2251" t="s">
        <v>10478</v>
      </c>
      <c r="B2251" t="s">
        <v>10479</v>
      </c>
      <c r="D2251" t="s">
        <v>40</v>
      </c>
      <c r="E2251" t="s">
        <v>41</v>
      </c>
      <c r="G2251" t="s">
        <v>10480</v>
      </c>
      <c r="H2251" t="s">
        <v>10481</v>
      </c>
      <c r="J2251" t="s">
        <v>497</v>
      </c>
      <c r="K2251" t="s">
        <v>498</v>
      </c>
      <c r="L2251">
        <v>3</v>
      </c>
      <c r="M2251" t="s">
        <v>10482</v>
      </c>
      <c r="N2251" t="s">
        <v>135</v>
      </c>
      <c r="O2251" t="s">
        <v>48</v>
      </c>
      <c r="P2251" t="s">
        <v>48</v>
      </c>
      <c r="Y2251" t="s">
        <v>10483</v>
      </c>
    </row>
    <row r="2252" spans="1:25">
      <c r="A2252" t="s">
        <v>10484</v>
      </c>
      <c r="B2252" t="s">
        <v>10485</v>
      </c>
      <c r="D2252" t="s">
        <v>40</v>
      </c>
      <c r="E2252" t="s">
        <v>41</v>
      </c>
      <c r="G2252" t="s">
        <v>10486</v>
      </c>
      <c r="H2252" t="s">
        <v>10487</v>
      </c>
      <c r="J2252" t="s">
        <v>927</v>
      </c>
      <c r="K2252" t="s">
        <v>928</v>
      </c>
      <c r="L2252">
        <v>3</v>
      </c>
      <c r="M2252" t="s">
        <v>10488</v>
      </c>
      <c r="N2252" t="s">
        <v>135</v>
      </c>
      <c r="O2252" t="s">
        <v>48</v>
      </c>
      <c r="P2252" t="s">
        <v>48</v>
      </c>
      <c r="Y2252" t="s">
        <v>10489</v>
      </c>
    </row>
    <row r="2253" spans="1:25">
      <c r="A2253" t="s">
        <v>10490</v>
      </c>
      <c r="B2253" t="s">
        <v>10491</v>
      </c>
      <c r="D2253" t="s">
        <v>40</v>
      </c>
      <c r="E2253" t="s">
        <v>41</v>
      </c>
      <c r="G2253" t="s">
        <v>547</v>
      </c>
      <c r="H2253" t="s">
        <v>10492</v>
      </c>
      <c r="J2253" t="s">
        <v>927</v>
      </c>
      <c r="K2253" t="s">
        <v>928</v>
      </c>
      <c r="L2253">
        <v>3</v>
      </c>
      <c r="M2253" t="s">
        <v>10493</v>
      </c>
      <c r="N2253" t="s">
        <v>135</v>
      </c>
      <c r="O2253" t="s">
        <v>48</v>
      </c>
      <c r="P2253" t="s">
        <v>48</v>
      </c>
      <c r="Y2253" t="s">
        <v>10494</v>
      </c>
    </row>
    <row r="2254" spans="1:25">
      <c r="A2254" t="s">
        <v>10495</v>
      </c>
      <c r="B2254" t="s">
        <v>10496</v>
      </c>
      <c r="D2254" t="s">
        <v>40</v>
      </c>
      <c r="E2254" t="s">
        <v>41</v>
      </c>
      <c r="G2254" t="s">
        <v>10497</v>
      </c>
      <c r="H2254" t="s">
        <v>10498</v>
      </c>
      <c r="J2254" t="s">
        <v>497</v>
      </c>
      <c r="K2254" t="s">
        <v>498</v>
      </c>
      <c r="L2254">
        <v>3</v>
      </c>
      <c r="M2254" t="s">
        <v>10499</v>
      </c>
      <c r="N2254" t="s">
        <v>135</v>
      </c>
      <c r="O2254" t="s">
        <v>48</v>
      </c>
      <c r="P2254" t="s">
        <v>48</v>
      </c>
      <c r="Y2254" t="s">
        <v>10500</v>
      </c>
    </row>
    <row r="2255" spans="1:25">
      <c r="A2255" t="s">
        <v>10501</v>
      </c>
      <c r="B2255" t="s">
        <v>10502</v>
      </c>
      <c r="D2255" t="s">
        <v>40</v>
      </c>
      <c r="E2255" t="s">
        <v>41</v>
      </c>
      <c r="G2255" t="s">
        <v>4699</v>
      </c>
      <c r="H2255" t="s">
        <v>1637</v>
      </c>
      <c r="J2255" t="s">
        <v>9759</v>
      </c>
      <c r="K2255" t="s">
        <v>9760</v>
      </c>
      <c r="L2255">
        <v>4</v>
      </c>
      <c r="M2255" t="s">
        <v>10503</v>
      </c>
      <c r="N2255" t="s">
        <v>47</v>
      </c>
      <c r="O2255" t="s">
        <v>48</v>
      </c>
      <c r="P2255" t="s">
        <v>48</v>
      </c>
      <c r="Y2255" t="s">
        <v>10504</v>
      </c>
    </row>
    <row r="2256" spans="1:25">
      <c r="A2256" t="s">
        <v>10505</v>
      </c>
      <c r="B2256" t="s">
        <v>10506</v>
      </c>
      <c r="D2256" t="s">
        <v>40</v>
      </c>
      <c r="E2256" t="s">
        <v>41</v>
      </c>
      <c r="J2256" t="s">
        <v>927</v>
      </c>
      <c r="K2256" t="s">
        <v>928</v>
      </c>
      <c r="L2256">
        <v>3</v>
      </c>
      <c r="M2256" t="s">
        <v>10507</v>
      </c>
      <c r="N2256" t="s">
        <v>135</v>
      </c>
      <c r="O2256" t="s">
        <v>48</v>
      </c>
      <c r="P2256" t="s">
        <v>48</v>
      </c>
      <c r="Y2256" t="s">
        <v>10508</v>
      </c>
    </row>
    <row r="2257" spans="1:25">
      <c r="A2257" t="s">
        <v>10509</v>
      </c>
      <c r="B2257" t="s">
        <v>10510</v>
      </c>
      <c r="D2257" t="s">
        <v>40</v>
      </c>
      <c r="E2257" t="s">
        <v>41</v>
      </c>
      <c r="G2257" t="s">
        <v>10511</v>
      </c>
      <c r="H2257" t="s">
        <v>10512</v>
      </c>
      <c r="J2257" t="s">
        <v>927</v>
      </c>
      <c r="K2257" t="s">
        <v>928</v>
      </c>
      <c r="L2257">
        <v>3</v>
      </c>
      <c r="M2257" t="s">
        <v>10513</v>
      </c>
      <c r="N2257" t="s">
        <v>135</v>
      </c>
      <c r="O2257" t="s">
        <v>48</v>
      </c>
      <c r="P2257" t="s">
        <v>48</v>
      </c>
      <c r="Y2257" t="s">
        <v>10514</v>
      </c>
    </row>
    <row r="2258" spans="1:25">
      <c r="A2258" t="s">
        <v>10515</v>
      </c>
      <c r="B2258" t="s">
        <v>10516</v>
      </c>
      <c r="D2258" t="s">
        <v>1832</v>
      </c>
      <c r="E2258" t="s">
        <v>41</v>
      </c>
      <c r="J2258" t="s">
        <v>765</v>
      </c>
      <c r="K2258" t="s">
        <v>766</v>
      </c>
      <c r="L2258">
        <v>3</v>
      </c>
      <c r="M2258" t="s">
        <v>10517</v>
      </c>
      <c r="N2258" t="s">
        <v>290</v>
      </c>
      <c r="O2258" t="s">
        <v>1835</v>
      </c>
      <c r="P2258" t="s">
        <v>1835</v>
      </c>
      <c r="Y2258" t="s">
        <v>10518</v>
      </c>
    </row>
    <row r="2259" spans="1:25">
      <c r="A2259" t="s">
        <v>10519</v>
      </c>
      <c r="B2259" t="s">
        <v>10520</v>
      </c>
      <c r="D2259" t="s">
        <v>1832</v>
      </c>
      <c r="E2259" t="s">
        <v>41</v>
      </c>
      <c r="J2259" t="s">
        <v>497</v>
      </c>
      <c r="K2259" t="s">
        <v>498</v>
      </c>
      <c r="L2259">
        <v>3</v>
      </c>
      <c r="M2259" t="s">
        <v>10521</v>
      </c>
      <c r="N2259" t="s">
        <v>290</v>
      </c>
      <c r="O2259" t="s">
        <v>1835</v>
      </c>
      <c r="P2259" t="s">
        <v>1835</v>
      </c>
      <c r="Y2259" t="s">
        <v>10522</v>
      </c>
    </row>
    <row r="2260" spans="1:25">
      <c r="A2260" t="s">
        <v>10523</v>
      </c>
      <c r="B2260" t="s">
        <v>10524</v>
      </c>
      <c r="D2260" t="s">
        <v>1832</v>
      </c>
      <c r="E2260" t="s">
        <v>41</v>
      </c>
      <c r="J2260" t="s">
        <v>5964</v>
      </c>
      <c r="K2260" t="s">
        <v>5965</v>
      </c>
      <c r="L2260">
        <v>3</v>
      </c>
      <c r="M2260" t="s">
        <v>10525</v>
      </c>
      <c r="N2260" t="s">
        <v>135</v>
      </c>
      <c r="O2260" t="s">
        <v>1835</v>
      </c>
      <c r="P2260" t="s">
        <v>1835</v>
      </c>
      <c r="Y2260" t="s">
        <v>10526</v>
      </c>
    </row>
    <row r="2261" spans="1:25">
      <c r="A2261" t="s">
        <v>10527</v>
      </c>
      <c r="B2261" t="s">
        <v>10528</v>
      </c>
      <c r="D2261" t="s">
        <v>1832</v>
      </c>
      <c r="E2261" t="s">
        <v>41</v>
      </c>
      <c r="J2261" t="s">
        <v>9759</v>
      </c>
      <c r="K2261" t="s">
        <v>9760</v>
      </c>
      <c r="L2261">
        <v>4</v>
      </c>
      <c r="M2261" t="s">
        <v>10529</v>
      </c>
      <c r="N2261" t="s">
        <v>135</v>
      </c>
      <c r="O2261" t="s">
        <v>1835</v>
      </c>
      <c r="P2261" t="s">
        <v>1835</v>
      </c>
      <c r="Y2261" t="s">
        <v>10530</v>
      </c>
    </row>
    <row r="2262" spans="1:25">
      <c r="A2262" t="s">
        <v>10531</v>
      </c>
      <c r="B2262" t="s">
        <v>10532</v>
      </c>
      <c r="D2262" t="s">
        <v>1832</v>
      </c>
      <c r="E2262" t="s">
        <v>41</v>
      </c>
      <c r="H2262" t="s">
        <v>10533</v>
      </c>
      <c r="J2262" t="s">
        <v>497</v>
      </c>
      <c r="K2262" t="s">
        <v>498</v>
      </c>
      <c r="L2262">
        <v>3</v>
      </c>
      <c r="M2262" t="s">
        <v>10534</v>
      </c>
      <c r="N2262" t="s">
        <v>135</v>
      </c>
      <c r="O2262" t="s">
        <v>1835</v>
      </c>
      <c r="P2262" t="s">
        <v>1835</v>
      </c>
      <c r="Y2262" t="s">
        <v>10533</v>
      </c>
    </row>
    <row r="2263" spans="1:25">
      <c r="A2263" t="s">
        <v>10535</v>
      </c>
      <c r="B2263" t="s">
        <v>10536</v>
      </c>
      <c r="D2263" t="s">
        <v>1832</v>
      </c>
      <c r="E2263" t="s">
        <v>41</v>
      </c>
      <c r="J2263" t="s">
        <v>5844</v>
      </c>
      <c r="K2263" t="s">
        <v>5845</v>
      </c>
      <c r="L2263">
        <v>3</v>
      </c>
      <c r="M2263" t="s">
        <v>10537</v>
      </c>
      <c r="N2263" t="s">
        <v>290</v>
      </c>
      <c r="O2263" t="s">
        <v>1835</v>
      </c>
      <c r="P2263" t="s">
        <v>1835</v>
      </c>
      <c r="Y2263" t="s">
        <v>10538</v>
      </c>
    </row>
    <row r="2264" spans="1:25">
      <c r="A2264" t="s">
        <v>10539</v>
      </c>
      <c r="B2264" t="s">
        <v>10540</v>
      </c>
      <c r="D2264" t="s">
        <v>1832</v>
      </c>
      <c r="E2264" t="s">
        <v>41</v>
      </c>
      <c r="J2264" t="s">
        <v>927</v>
      </c>
      <c r="K2264" t="s">
        <v>928</v>
      </c>
      <c r="L2264">
        <v>3</v>
      </c>
      <c r="M2264" t="s">
        <v>10541</v>
      </c>
      <c r="N2264" t="s">
        <v>135</v>
      </c>
      <c r="O2264" t="s">
        <v>1835</v>
      </c>
      <c r="P2264" t="s">
        <v>1835</v>
      </c>
      <c r="Y2264" t="s">
        <v>10542</v>
      </c>
    </row>
    <row r="2265" spans="1:25">
      <c r="A2265" t="s">
        <v>10543</v>
      </c>
      <c r="B2265" t="s">
        <v>10544</v>
      </c>
      <c r="D2265" t="s">
        <v>1832</v>
      </c>
      <c r="E2265" t="s">
        <v>41</v>
      </c>
      <c r="J2265" t="s">
        <v>2948</v>
      </c>
      <c r="K2265" t="s">
        <v>2949</v>
      </c>
      <c r="L2265">
        <v>3</v>
      </c>
      <c r="M2265" t="s">
        <v>10545</v>
      </c>
      <c r="N2265" t="s">
        <v>685</v>
      </c>
      <c r="O2265" t="s">
        <v>1835</v>
      </c>
      <c r="P2265" t="s">
        <v>1835</v>
      </c>
      <c r="Y2265" t="s">
        <v>10546</v>
      </c>
    </row>
    <row r="2266" spans="1:25">
      <c r="A2266" t="s">
        <v>10547</v>
      </c>
      <c r="B2266" t="s">
        <v>10548</v>
      </c>
      <c r="D2266" t="s">
        <v>1832</v>
      </c>
      <c r="E2266" t="s">
        <v>41</v>
      </c>
      <c r="J2266" t="s">
        <v>927</v>
      </c>
      <c r="K2266" t="s">
        <v>928</v>
      </c>
      <c r="L2266">
        <v>3</v>
      </c>
      <c r="M2266" t="s">
        <v>10549</v>
      </c>
      <c r="N2266" t="s">
        <v>290</v>
      </c>
      <c r="O2266" t="s">
        <v>1835</v>
      </c>
      <c r="P2266" t="s">
        <v>1835</v>
      </c>
      <c r="Y2266" t="s">
        <v>10550</v>
      </c>
    </row>
    <row r="2267" spans="1:25">
      <c r="A2267" t="s">
        <v>10551</v>
      </c>
      <c r="B2267" t="s">
        <v>10552</v>
      </c>
      <c r="D2267" t="s">
        <v>1832</v>
      </c>
      <c r="E2267" t="s">
        <v>41</v>
      </c>
      <c r="J2267" t="s">
        <v>3829</v>
      </c>
      <c r="K2267" t="s">
        <v>3830</v>
      </c>
      <c r="L2267">
        <v>3</v>
      </c>
      <c r="M2267" t="s">
        <v>10553</v>
      </c>
      <c r="N2267" t="s">
        <v>290</v>
      </c>
      <c r="O2267" t="s">
        <v>1835</v>
      </c>
      <c r="P2267" t="s">
        <v>1835</v>
      </c>
      <c r="Y2267" t="s">
        <v>10554</v>
      </c>
    </row>
    <row r="2268" spans="1:25">
      <c r="A2268" t="s">
        <v>10555</v>
      </c>
      <c r="B2268" t="s">
        <v>10556</v>
      </c>
      <c r="D2268" t="s">
        <v>1832</v>
      </c>
      <c r="E2268" t="s">
        <v>41</v>
      </c>
      <c r="J2268" t="s">
        <v>765</v>
      </c>
      <c r="K2268" t="s">
        <v>766</v>
      </c>
      <c r="L2268">
        <v>3</v>
      </c>
      <c r="M2268" t="s">
        <v>10557</v>
      </c>
      <c r="N2268" t="s">
        <v>685</v>
      </c>
      <c r="O2268" t="s">
        <v>1835</v>
      </c>
      <c r="P2268" t="s">
        <v>1835</v>
      </c>
      <c r="Y2268" t="s">
        <v>10558</v>
      </c>
    </row>
    <row r="2269" spans="1:25">
      <c r="A2269" t="s">
        <v>10559</v>
      </c>
      <c r="B2269" t="s">
        <v>10560</v>
      </c>
      <c r="D2269" t="s">
        <v>9473</v>
      </c>
      <c r="E2269" t="s">
        <v>9474</v>
      </c>
      <c r="J2269" t="s">
        <v>133</v>
      </c>
      <c r="K2269" t="s">
        <v>134</v>
      </c>
      <c r="L2269">
        <v>6</v>
      </c>
      <c r="M2269" t="s">
        <v>10557</v>
      </c>
      <c r="N2269" t="s">
        <v>290</v>
      </c>
      <c r="O2269" t="s">
        <v>9477</v>
      </c>
      <c r="P2269" t="s">
        <v>9477</v>
      </c>
      <c r="Y2269" t="s">
        <v>10561</v>
      </c>
    </row>
    <row r="2270" spans="1:25">
      <c r="A2270" t="s">
        <v>10562</v>
      </c>
      <c r="B2270" t="s">
        <v>10563</v>
      </c>
      <c r="D2270" t="s">
        <v>1832</v>
      </c>
      <c r="E2270" t="s">
        <v>41</v>
      </c>
      <c r="H2270" t="s">
        <v>10564</v>
      </c>
      <c r="J2270" t="s">
        <v>497</v>
      </c>
      <c r="K2270" t="s">
        <v>498</v>
      </c>
      <c r="L2270">
        <v>3</v>
      </c>
      <c r="M2270" t="s">
        <v>10565</v>
      </c>
      <c r="N2270" t="s">
        <v>290</v>
      </c>
      <c r="O2270" t="s">
        <v>1835</v>
      </c>
      <c r="P2270" t="s">
        <v>1835</v>
      </c>
      <c r="Y2270" t="s">
        <v>10564</v>
      </c>
    </row>
    <row r="2271" spans="1:25">
      <c r="A2271" t="s">
        <v>10566</v>
      </c>
      <c r="B2271" t="s">
        <v>10567</v>
      </c>
      <c r="D2271" t="s">
        <v>9473</v>
      </c>
      <c r="E2271" t="s">
        <v>9474</v>
      </c>
      <c r="H2271" t="s">
        <v>10568</v>
      </c>
      <c r="J2271" t="s">
        <v>541</v>
      </c>
      <c r="K2271" t="s">
        <v>542</v>
      </c>
      <c r="L2271">
        <v>7</v>
      </c>
      <c r="M2271" t="s">
        <v>10569</v>
      </c>
      <c r="N2271" t="s">
        <v>290</v>
      </c>
      <c r="O2271" t="s">
        <v>9477</v>
      </c>
      <c r="P2271" t="s">
        <v>9477</v>
      </c>
      <c r="Y2271" t="s">
        <v>10568</v>
      </c>
    </row>
    <row r="2272" spans="1:25">
      <c r="A2272" t="s">
        <v>10570</v>
      </c>
      <c r="B2272" t="s">
        <v>10571</v>
      </c>
      <c r="D2272" t="s">
        <v>1832</v>
      </c>
      <c r="E2272" t="s">
        <v>41</v>
      </c>
      <c r="J2272" t="s">
        <v>765</v>
      </c>
      <c r="K2272" t="s">
        <v>766</v>
      </c>
      <c r="L2272">
        <v>3</v>
      </c>
      <c r="M2272" t="s">
        <v>10572</v>
      </c>
      <c r="N2272" t="s">
        <v>685</v>
      </c>
      <c r="O2272" t="s">
        <v>1835</v>
      </c>
      <c r="P2272" t="s">
        <v>1835</v>
      </c>
      <c r="Y2272" t="s">
        <v>10573</v>
      </c>
    </row>
    <row r="2273" spans="1:25">
      <c r="A2273" t="s">
        <v>10574</v>
      </c>
      <c r="B2273" t="s">
        <v>10575</v>
      </c>
      <c r="D2273" t="s">
        <v>9473</v>
      </c>
      <c r="E2273" t="s">
        <v>9474</v>
      </c>
      <c r="J2273" t="s">
        <v>497</v>
      </c>
      <c r="K2273" t="s">
        <v>498</v>
      </c>
      <c r="L2273">
        <v>7</v>
      </c>
      <c r="M2273" t="s">
        <v>10576</v>
      </c>
      <c r="N2273" t="s">
        <v>290</v>
      </c>
      <c r="O2273" t="s">
        <v>9477</v>
      </c>
      <c r="P2273" t="s">
        <v>9477</v>
      </c>
      <c r="Y2273" t="s">
        <v>10577</v>
      </c>
    </row>
    <row r="2274" spans="1:25">
      <c r="A2274" t="s">
        <v>10578</v>
      </c>
      <c r="B2274" t="s">
        <v>10579</v>
      </c>
      <c r="D2274" t="s">
        <v>9473</v>
      </c>
      <c r="E2274" t="s">
        <v>9474</v>
      </c>
      <c r="H2274" t="s">
        <v>10580</v>
      </c>
      <c r="J2274" t="s">
        <v>765</v>
      </c>
      <c r="K2274" t="s">
        <v>766</v>
      </c>
      <c r="L2274">
        <v>7</v>
      </c>
      <c r="M2274" t="s">
        <v>10581</v>
      </c>
      <c r="N2274" t="s">
        <v>290</v>
      </c>
      <c r="O2274" t="s">
        <v>9477</v>
      </c>
      <c r="P2274" t="s">
        <v>9477</v>
      </c>
      <c r="Y2274" t="s">
        <v>10580</v>
      </c>
    </row>
    <row r="2275" spans="1:25">
      <c r="A2275" t="s">
        <v>10582</v>
      </c>
      <c r="B2275" t="s">
        <v>10583</v>
      </c>
      <c r="D2275" t="s">
        <v>1832</v>
      </c>
      <c r="E2275" t="s">
        <v>41</v>
      </c>
      <c r="J2275" t="s">
        <v>497</v>
      </c>
      <c r="K2275" t="s">
        <v>498</v>
      </c>
      <c r="L2275">
        <v>3</v>
      </c>
      <c r="M2275" t="s">
        <v>10584</v>
      </c>
      <c r="N2275" t="s">
        <v>685</v>
      </c>
      <c r="O2275" t="s">
        <v>1835</v>
      </c>
      <c r="P2275" t="s">
        <v>1835</v>
      </c>
      <c r="Y2275" t="s">
        <v>10585</v>
      </c>
    </row>
    <row r="2276" spans="1:25">
      <c r="A2276" t="s">
        <v>10586</v>
      </c>
      <c r="B2276" t="s">
        <v>10587</v>
      </c>
      <c r="D2276" t="s">
        <v>1832</v>
      </c>
      <c r="E2276" t="s">
        <v>41</v>
      </c>
      <c r="J2276" t="s">
        <v>9759</v>
      </c>
      <c r="K2276" t="s">
        <v>9760</v>
      </c>
      <c r="L2276">
        <v>4</v>
      </c>
      <c r="M2276" t="s">
        <v>10588</v>
      </c>
      <c r="N2276" t="s">
        <v>135</v>
      </c>
      <c r="O2276" t="s">
        <v>1835</v>
      </c>
      <c r="P2276" t="s">
        <v>1835</v>
      </c>
      <c r="Y2276" t="s">
        <v>10589</v>
      </c>
    </row>
    <row r="2277" spans="1:25">
      <c r="A2277" t="s">
        <v>10590</v>
      </c>
      <c r="B2277" t="s">
        <v>10591</v>
      </c>
      <c r="D2277" t="s">
        <v>1832</v>
      </c>
      <c r="E2277" t="s">
        <v>41</v>
      </c>
      <c r="J2277" t="s">
        <v>497</v>
      </c>
      <c r="K2277" t="s">
        <v>498</v>
      </c>
      <c r="L2277">
        <v>3</v>
      </c>
      <c r="M2277" t="s">
        <v>10592</v>
      </c>
      <c r="N2277" t="s">
        <v>135</v>
      </c>
      <c r="O2277" t="s">
        <v>1835</v>
      </c>
      <c r="P2277" t="s">
        <v>1835</v>
      </c>
      <c r="Y2277" t="s">
        <v>10593</v>
      </c>
    </row>
    <row r="2278" spans="1:25">
      <c r="A2278" t="s">
        <v>10594</v>
      </c>
      <c r="B2278" t="s">
        <v>10595</v>
      </c>
      <c r="D2278" t="s">
        <v>1832</v>
      </c>
      <c r="E2278" t="s">
        <v>41</v>
      </c>
      <c r="J2278" t="s">
        <v>497</v>
      </c>
      <c r="K2278" t="s">
        <v>498</v>
      </c>
      <c r="L2278">
        <v>3</v>
      </c>
      <c r="M2278" t="s">
        <v>10596</v>
      </c>
      <c r="N2278" t="s">
        <v>685</v>
      </c>
      <c r="O2278" t="s">
        <v>1835</v>
      </c>
      <c r="P2278" t="s">
        <v>1835</v>
      </c>
      <c r="Y2278" t="s">
        <v>10597</v>
      </c>
    </row>
    <row r="2279" spans="1:25">
      <c r="A2279" t="s">
        <v>10598</v>
      </c>
      <c r="B2279" t="s">
        <v>10599</v>
      </c>
      <c r="D2279" t="s">
        <v>1832</v>
      </c>
      <c r="E2279" t="s">
        <v>41</v>
      </c>
      <c r="J2279" t="s">
        <v>2328</v>
      </c>
      <c r="K2279" t="s">
        <v>2329</v>
      </c>
      <c r="L2279">
        <v>3</v>
      </c>
      <c r="M2279" t="s">
        <v>10600</v>
      </c>
      <c r="N2279" t="s">
        <v>290</v>
      </c>
      <c r="O2279" t="s">
        <v>1835</v>
      </c>
      <c r="P2279" t="s">
        <v>1835</v>
      </c>
      <c r="Y2279" t="s">
        <v>10601</v>
      </c>
    </row>
    <row r="2280" spans="1:25">
      <c r="A2280" t="s">
        <v>10602</v>
      </c>
      <c r="B2280" t="s">
        <v>10603</v>
      </c>
      <c r="D2280" t="s">
        <v>1832</v>
      </c>
      <c r="E2280" t="s">
        <v>41</v>
      </c>
      <c r="H2280" t="s">
        <v>10604</v>
      </c>
      <c r="J2280" t="s">
        <v>497</v>
      </c>
      <c r="K2280" t="s">
        <v>498</v>
      </c>
      <c r="L2280">
        <v>3</v>
      </c>
      <c r="M2280" t="s">
        <v>10605</v>
      </c>
      <c r="N2280" t="s">
        <v>685</v>
      </c>
      <c r="O2280" t="s">
        <v>1835</v>
      </c>
      <c r="P2280" t="s">
        <v>1835</v>
      </c>
      <c r="Y2280" t="s">
        <v>10604</v>
      </c>
    </row>
    <row r="2281" spans="1:25">
      <c r="A2281" t="s">
        <v>10606</v>
      </c>
      <c r="B2281" t="s">
        <v>10607</v>
      </c>
      <c r="D2281" t="s">
        <v>1832</v>
      </c>
      <c r="E2281" t="s">
        <v>41</v>
      </c>
      <c r="H2281" t="s">
        <v>10608</v>
      </c>
      <c r="J2281" t="s">
        <v>2948</v>
      </c>
      <c r="K2281" t="s">
        <v>2949</v>
      </c>
      <c r="L2281">
        <v>3</v>
      </c>
      <c r="M2281" t="s">
        <v>10609</v>
      </c>
      <c r="N2281" t="s">
        <v>135</v>
      </c>
      <c r="O2281" t="s">
        <v>1835</v>
      </c>
      <c r="P2281" t="s">
        <v>1835</v>
      </c>
      <c r="Y2281" t="s">
        <v>10608</v>
      </c>
    </row>
    <row r="2282" spans="1:25">
      <c r="A2282" t="s">
        <v>10610</v>
      </c>
      <c r="B2282" t="s">
        <v>10611</v>
      </c>
      <c r="D2282" t="s">
        <v>1832</v>
      </c>
      <c r="E2282" t="s">
        <v>41</v>
      </c>
      <c r="H2282" t="s">
        <v>10612</v>
      </c>
      <c r="J2282" t="s">
        <v>2605</v>
      </c>
      <c r="K2282" t="s">
        <v>2606</v>
      </c>
      <c r="L2282">
        <v>3</v>
      </c>
      <c r="M2282" t="s">
        <v>10613</v>
      </c>
      <c r="N2282" t="s">
        <v>290</v>
      </c>
      <c r="O2282" t="s">
        <v>1835</v>
      </c>
      <c r="P2282" t="s">
        <v>1835</v>
      </c>
      <c r="Y2282" t="s">
        <v>10612</v>
      </c>
    </row>
    <row r="2283" spans="1:25">
      <c r="A2283" t="s">
        <v>10614</v>
      </c>
      <c r="B2283" t="s">
        <v>10615</v>
      </c>
      <c r="D2283" t="s">
        <v>1832</v>
      </c>
      <c r="E2283" t="s">
        <v>41</v>
      </c>
      <c r="J2283" t="s">
        <v>9759</v>
      </c>
      <c r="K2283" t="s">
        <v>9760</v>
      </c>
      <c r="L2283">
        <v>4</v>
      </c>
      <c r="M2283" t="s">
        <v>10616</v>
      </c>
      <c r="N2283" t="s">
        <v>47</v>
      </c>
      <c r="O2283" t="s">
        <v>1835</v>
      </c>
      <c r="P2283" t="s">
        <v>1835</v>
      </c>
      <c r="Y2283" t="s">
        <v>10617</v>
      </c>
    </row>
    <row r="2284" spans="1:25">
      <c r="A2284" t="s">
        <v>10618</v>
      </c>
      <c r="B2284" t="s">
        <v>10619</v>
      </c>
      <c r="D2284" t="s">
        <v>1832</v>
      </c>
      <c r="E2284" t="s">
        <v>41</v>
      </c>
      <c r="H2284" t="s">
        <v>10620</v>
      </c>
      <c r="J2284" t="s">
        <v>497</v>
      </c>
      <c r="K2284" t="s">
        <v>498</v>
      </c>
      <c r="L2284">
        <v>3</v>
      </c>
      <c r="M2284" t="s">
        <v>10621</v>
      </c>
      <c r="N2284" t="s">
        <v>135</v>
      </c>
      <c r="O2284" t="s">
        <v>1835</v>
      </c>
      <c r="P2284" t="s">
        <v>1835</v>
      </c>
      <c r="Y2284" t="s">
        <v>10620</v>
      </c>
    </row>
    <row r="2285" spans="1:25">
      <c r="A2285" t="s">
        <v>10622</v>
      </c>
      <c r="B2285" t="s">
        <v>10623</v>
      </c>
      <c r="D2285" t="s">
        <v>1832</v>
      </c>
      <c r="E2285" t="s">
        <v>41</v>
      </c>
      <c r="J2285" t="s">
        <v>497</v>
      </c>
      <c r="K2285" t="s">
        <v>498</v>
      </c>
      <c r="L2285">
        <v>3</v>
      </c>
      <c r="M2285" t="s">
        <v>10624</v>
      </c>
      <c r="N2285" t="s">
        <v>135</v>
      </c>
      <c r="O2285" t="s">
        <v>1835</v>
      </c>
      <c r="P2285" t="s">
        <v>1835</v>
      </c>
      <c r="Y2285" t="s">
        <v>10625</v>
      </c>
    </row>
    <row r="2286" spans="1:25">
      <c r="A2286" t="s">
        <v>10626</v>
      </c>
      <c r="B2286" t="s">
        <v>10627</v>
      </c>
      <c r="D2286" t="s">
        <v>40</v>
      </c>
      <c r="E2286" t="s">
        <v>41</v>
      </c>
      <c r="G2286" t="s">
        <v>10628</v>
      </c>
      <c r="H2286" t="s">
        <v>10629</v>
      </c>
      <c r="J2286" t="s">
        <v>497</v>
      </c>
      <c r="K2286" t="s">
        <v>498</v>
      </c>
      <c r="L2286">
        <v>2</v>
      </c>
      <c r="M2286" t="s">
        <v>10630</v>
      </c>
      <c r="N2286" t="s">
        <v>685</v>
      </c>
      <c r="O2286" t="s">
        <v>48</v>
      </c>
      <c r="P2286" t="s">
        <v>48</v>
      </c>
      <c r="Y2286" t="s">
        <v>10631</v>
      </c>
    </row>
    <row r="2287" spans="1:25">
      <c r="A2287" t="s">
        <v>10632</v>
      </c>
      <c r="B2287" t="s">
        <v>10633</v>
      </c>
      <c r="D2287" t="s">
        <v>1832</v>
      </c>
      <c r="E2287" t="s">
        <v>41</v>
      </c>
      <c r="J2287" t="s">
        <v>497</v>
      </c>
      <c r="K2287" t="s">
        <v>498</v>
      </c>
      <c r="L2287">
        <v>3</v>
      </c>
      <c r="M2287" t="s">
        <v>10634</v>
      </c>
      <c r="N2287" t="s">
        <v>685</v>
      </c>
      <c r="O2287" t="s">
        <v>1835</v>
      </c>
      <c r="P2287" t="s">
        <v>1835</v>
      </c>
      <c r="Y2287" t="s">
        <v>10635</v>
      </c>
    </row>
    <row r="2288" spans="1:25">
      <c r="A2288" t="s">
        <v>10636</v>
      </c>
      <c r="B2288" t="s">
        <v>10637</v>
      </c>
      <c r="D2288" t="s">
        <v>1832</v>
      </c>
      <c r="E2288" t="s">
        <v>41</v>
      </c>
      <c r="H2288" t="s">
        <v>10638</v>
      </c>
      <c r="J2288" t="s">
        <v>497</v>
      </c>
      <c r="K2288" t="s">
        <v>498</v>
      </c>
      <c r="L2288">
        <v>3</v>
      </c>
      <c r="M2288" t="s">
        <v>10639</v>
      </c>
      <c r="N2288" t="s">
        <v>290</v>
      </c>
      <c r="O2288" t="s">
        <v>1835</v>
      </c>
      <c r="P2288" t="s">
        <v>1835</v>
      </c>
      <c r="Y2288" t="s">
        <v>10638</v>
      </c>
    </row>
    <row r="2289" spans="1:25">
      <c r="A2289" t="s">
        <v>10640</v>
      </c>
      <c r="B2289" t="s">
        <v>10641</v>
      </c>
      <c r="D2289" t="s">
        <v>40</v>
      </c>
      <c r="E2289" t="s">
        <v>41</v>
      </c>
      <c r="G2289" t="s">
        <v>10642</v>
      </c>
      <c r="H2289" t="s">
        <v>10643</v>
      </c>
      <c r="J2289" t="s">
        <v>497</v>
      </c>
      <c r="K2289" t="s">
        <v>498</v>
      </c>
      <c r="L2289">
        <v>3</v>
      </c>
      <c r="M2289" t="s">
        <v>10644</v>
      </c>
      <c r="N2289" t="s">
        <v>685</v>
      </c>
      <c r="O2289" t="s">
        <v>48</v>
      </c>
      <c r="P2289" t="s">
        <v>48</v>
      </c>
      <c r="Y2289" t="s">
        <v>10645</v>
      </c>
    </row>
    <row r="2290" spans="1:25">
      <c r="A2290" t="s">
        <v>10646</v>
      </c>
      <c r="B2290" t="s">
        <v>10647</v>
      </c>
      <c r="D2290" t="s">
        <v>1832</v>
      </c>
      <c r="E2290" t="s">
        <v>41</v>
      </c>
      <c r="J2290" t="s">
        <v>9759</v>
      </c>
      <c r="K2290" t="s">
        <v>9760</v>
      </c>
      <c r="L2290">
        <v>4</v>
      </c>
      <c r="M2290" t="s">
        <v>10648</v>
      </c>
      <c r="N2290" t="s">
        <v>47</v>
      </c>
      <c r="O2290" t="s">
        <v>1835</v>
      </c>
      <c r="P2290" t="s">
        <v>1835</v>
      </c>
      <c r="Y2290" t="s">
        <v>10649</v>
      </c>
    </row>
    <row r="2291" spans="1:25">
      <c r="A2291" t="s">
        <v>10650</v>
      </c>
      <c r="B2291" t="s">
        <v>10651</v>
      </c>
      <c r="D2291" t="s">
        <v>1832</v>
      </c>
      <c r="E2291" t="s">
        <v>41</v>
      </c>
      <c r="H2291" t="s">
        <v>10652</v>
      </c>
      <c r="J2291" t="s">
        <v>497</v>
      </c>
      <c r="K2291" t="s">
        <v>498</v>
      </c>
      <c r="L2291">
        <v>3</v>
      </c>
      <c r="M2291" t="s">
        <v>10653</v>
      </c>
      <c r="N2291" t="s">
        <v>685</v>
      </c>
      <c r="O2291" t="s">
        <v>1835</v>
      </c>
      <c r="P2291" t="s">
        <v>1835</v>
      </c>
      <c r="Y2291" t="s">
        <v>10652</v>
      </c>
    </row>
    <row r="2292" spans="1:25">
      <c r="A2292" t="s">
        <v>10654</v>
      </c>
      <c r="B2292" t="s">
        <v>10655</v>
      </c>
      <c r="D2292" t="s">
        <v>1832</v>
      </c>
      <c r="E2292" t="s">
        <v>41</v>
      </c>
      <c r="J2292" t="s">
        <v>497</v>
      </c>
      <c r="K2292" t="s">
        <v>498</v>
      </c>
      <c r="L2292">
        <v>3</v>
      </c>
      <c r="M2292" t="s">
        <v>10656</v>
      </c>
      <c r="N2292" t="s">
        <v>135</v>
      </c>
      <c r="O2292" t="s">
        <v>1835</v>
      </c>
      <c r="P2292" t="s">
        <v>1835</v>
      </c>
      <c r="Y2292" t="s">
        <v>10657</v>
      </c>
    </row>
    <row r="2293" spans="1:25">
      <c r="A2293" t="s">
        <v>10658</v>
      </c>
      <c r="B2293" t="s">
        <v>10659</v>
      </c>
      <c r="D2293" t="s">
        <v>1832</v>
      </c>
      <c r="E2293" t="s">
        <v>41</v>
      </c>
      <c r="H2293" t="s">
        <v>10660</v>
      </c>
      <c r="J2293" t="s">
        <v>133</v>
      </c>
      <c r="K2293" t="s">
        <v>134</v>
      </c>
      <c r="L2293">
        <v>6</v>
      </c>
      <c r="M2293" t="s">
        <v>10661</v>
      </c>
      <c r="N2293" t="s">
        <v>135</v>
      </c>
      <c r="O2293" t="s">
        <v>1835</v>
      </c>
      <c r="P2293" t="s">
        <v>1835</v>
      </c>
      <c r="Y2293" t="s">
        <v>10660</v>
      </c>
    </row>
    <row r="2294" spans="1:25">
      <c r="A2294" t="s">
        <v>10662</v>
      </c>
      <c r="B2294" t="s">
        <v>10663</v>
      </c>
      <c r="D2294" t="s">
        <v>40</v>
      </c>
      <c r="E2294" t="s">
        <v>41</v>
      </c>
      <c r="G2294" t="s">
        <v>10664</v>
      </c>
      <c r="H2294" t="s">
        <v>10665</v>
      </c>
      <c r="J2294" t="s">
        <v>5844</v>
      </c>
      <c r="K2294" t="s">
        <v>5845</v>
      </c>
      <c r="L2294">
        <v>2</v>
      </c>
      <c r="M2294" t="s">
        <v>10666</v>
      </c>
      <c r="N2294" t="s">
        <v>135</v>
      </c>
      <c r="O2294" t="s">
        <v>48</v>
      </c>
      <c r="P2294" t="s">
        <v>48</v>
      </c>
      <c r="Y2294" t="s">
        <v>10667</v>
      </c>
    </row>
    <row r="2295" spans="1:25">
      <c r="A2295" t="s">
        <v>10668</v>
      </c>
      <c r="B2295" t="s">
        <v>10669</v>
      </c>
      <c r="D2295" t="s">
        <v>40</v>
      </c>
      <c r="E2295" t="s">
        <v>41</v>
      </c>
      <c r="G2295" t="s">
        <v>4813</v>
      </c>
      <c r="H2295" t="s">
        <v>10670</v>
      </c>
      <c r="J2295" t="s">
        <v>2948</v>
      </c>
      <c r="K2295" t="s">
        <v>2949</v>
      </c>
      <c r="L2295">
        <v>2</v>
      </c>
      <c r="M2295" t="s">
        <v>10671</v>
      </c>
      <c r="N2295" t="s">
        <v>685</v>
      </c>
      <c r="O2295" t="s">
        <v>48</v>
      </c>
      <c r="P2295" t="s">
        <v>48</v>
      </c>
      <c r="Y2295" t="s">
        <v>10672</v>
      </c>
    </row>
    <row r="2296" spans="1:25">
      <c r="A2296" t="s">
        <v>10673</v>
      </c>
      <c r="B2296" t="s">
        <v>10674</v>
      </c>
      <c r="D2296" t="s">
        <v>40</v>
      </c>
      <c r="E2296" t="s">
        <v>41</v>
      </c>
      <c r="G2296" t="s">
        <v>10675</v>
      </c>
      <c r="H2296" t="s">
        <v>10676</v>
      </c>
      <c r="J2296" t="s">
        <v>353</v>
      </c>
      <c r="K2296" t="s">
        <v>354</v>
      </c>
      <c r="L2296">
        <v>5</v>
      </c>
      <c r="M2296" t="s">
        <v>10677</v>
      </c>
      <c r="N2296" t="s">
        <v>685</v>
      </c>
      <c r="O2296" t="s">
        <v>48</v>
      </c>
      <c r="P2296" t="s">
        <v>48</v>
      </c>
      <c r="Y2296" t="s">
        <v>10678</v>
      </c>
    </row>
    <row r="2297" spans="1:25">
      <c r="A2297" t="s">
        <v>10679</v>
      </c>
      <c r="B2297" t="s">
        <v>10680</v>
      </c>
      <c r="D2297" t="s">
        <v>9473</v>
      </c>
      <c r="E2297" t="s">
        <v>9474</v>
      </c>
      <c r="H2297" t="s">
        <v>10681</v>
      </c>
      <c r="J2297" t="s">
        <v>287</v>
      </c>
      <c r="K2297" t="s">
        <v>288</v>
      </c>
      <c r="L2297">
        <v>12</v>
      </c>
      <c r="M2297" t="s">
        <v>10682</v>
      </c>
      <c r="N2297" t="s">
        <v>685</v>
      </c>
      <c r="O2297" t="s">
        <v>9477</v>
      </c>
      <c r="P2297" t="s">
        <v>9477</v>
      </c>
      <c r="Y2297" t="s">
        <v>10681</v>
      </c>
    </row>
    <row r="2298" spans="1:25">
      <c r="A2298" t="s">
        <v>10683</v>
      </c>
      <c r="B2298" t="s">
        <v>10684</v>
      </c>
      <c r="D2298" t="s">
        <v>40</v>
      </c>
      <c r="E2298" t="s">
        <v>41</v>
      </c>
      <c r="G2298" t="s">
        <v>10685</v>
      </c>
      <c r="H2298" t="s">
        <v>10686</v>
      </c>
      <c r="J2298" t="s">
        <v>497</v>
      </c>
      <c r="K2298" t="s">
        <v>498</v>
      </c>
      <c r="L2298">
        <v>2</v>
      </c>
      <c r="M2298" t="s">
        <v>10687</v>
      </c>
      <c r="N2298" t="s">
        <v>135</v>
      </c>
      <c r="O2298" t="s">
        <v>48</v>
      </c>
      <c r="P2298" t="s">
        <v>48</v>
      </c>
      <c r="Y2298" t="s">
        <v>10688</v>
      </c>
    </row>
    <row r="2299" spans="1:25">
      <c r="A2299" t="s">
        <v>10689</v>
      </c>
      <c r="B2299" t="s">
        <v>10690</v>
      </c>
      <c r="D2299" t="s">
        <v>40</v>
      </c>
      <c r="E2299" t="s">
        <v>41</v>
      </c>
      <c r="G2299" t="s">
        <v>10691</v>
      </c>
      <c r="H2299" t="s">
        <v>10692</v>
      </c>
      <c r="J2299" t="s">
        <v>5844</v>
      </c>
      <c r="K2299" t="s">
        <v>5845</v>
      </c>
      <c r="L2299">
        <v>2</v>
      </c>
      <c r="M2299" t="s">
        <v>10693</v>
      </c>
      <c r="N2299" t="s">
        <v>135</v>
      </c>
      <c r="O2299" t="s">
        <v>48</v>
      </c>
      <c r="P2299" t="s">
        <v>48</v>
      </c>
      <c r="Y2299" t="s">
        <v>10694</v>
      </c>
    </row>
    <row r="2300" spans="1:25">
      <c r="A2300" t="s">
        <v>10695</v>
      </c>
      <c r="B2300" t="s">
        <v>10696</v>
      </c>
      <c r="D2300" t="s">
        <v>40</v>
      </c>
      <c r="E2300" t="s">
        <v>41</v>
      </c>
      <c r="G2300" t="s">
        <v>10697</v>
      </c>
      <c r="H2300" t="s">
        <v>10698</v>
      </c>
      <c r="J2300" t="s">
        <v>765</v>
      </c>
      <c r="K2300" t="s">
        <v>766</v>
      </c>
      <c r="L2300">
        <v>2</v>
      </c>
      <c r="M2300" t="s">
        <v>10699</v>
      </c>
      <c r="N2300" t="s">
        <v>290</v>
      </c>
      <c r="O2300" t="s">
        <v>48</v>
      </c>
      <c r="P2300" t="s">
        <v>48</v>
      </c>
      <c r="Y2300" t="s">
        <v>10700</v>
      </c>
    </row>
    <row r="2301" spans="1:25">
      <c r="A2301" t="s">
        <v>10701</v>
      </c>
      <c r="B2301" t="s">
        <v>10702</v>
      </c>
      <c r="D2301" t="s">
        <v>40</v>
      </c>
      <c r="E2301" t="s">
        <v>41</v>
      </c>
      <c r="G2301" t="s">
        <v>1132</v>
      </c>
      <c r="H2301" t="s">
        <v>89</v>
      </c>
      <c r="J2301" t="s">
        <v>765</v>
      </c>
      <c r="K2301" t="s">
        <v>766</v>
      </c>
      <c r="L2301">
        <v>2</v>
      </c>
      <c r="M2301" t="s">
        <v>10703</v>
      </c>
      <c r="N2301" t="s">
        <v>290</v>
      </c>
      <c r="O2301" t="s">
        <v>48</v>
      </c>
      <c r="P2301" t="s">
        <v>48</v>
      </c>
      <c r="Y2301" t="s">
        <v>10704</v>
      </c>
    </row>
    <row r="2302" spans="1:25">
      <c r="A2302" t="s">
        <v>10705</v>
      </c>
      <c r="B2302" t="s">
        <v>10706</v>
      </c>
      <c r="D2302" t="s">
        <v>40</v>
      </c>
      <c r="E2302" t="s">
        <v>41</v>
      </c>
      <c r="G2302" t="s">
        <v>10707</v>
      </c>
      <c r="H2302" t="s">
        <v>10708</v>
      </c>
      <c r="J2302" t="s">
        <v>497</v>
      </c>
      <c r="K2302" t="s">
        <v>498</v>
      </c>
      <c r="L2302">
        <v>2</v>
      </c>
      <c r="M2302" t="s">
        <v>10709</v>
      </c>
      <c r="N2302" t="s">
        <v>685</v>
      </c>
      <c r="O2302" t="s">
        <v>48</v>
      </c>
      <c r="P2302" t="s">
        <v>48</v>
      </c>
      <c r="Y2302" t="s">
        <v>10710</v>
      </c>
    </row>
    <row r="2303" spans="1:25">
      <c r="A2303" t="s">
        <v>10711</v>
      </c>
      <c r="B2303" t="s">
        <v>10712</v>
      </c>
      <c r="D2303" t="s">
        <v>40</v>
      </c>
      <c r="E2303" t="s">
        <v>41</v>
      </c>
      <c r="G2303" t="s">
        <v>10713</v>
      </c>
      <c r="H2303" t="s">
        <v>10714</v>
      </c>
      <c r="J2303" t="s">
        <v>765</v>
      </c>
      <c r="K2303" t="s">
        <v>766</v>
      </c>
      <c r="L2303">
        <v>2</v>
      </c>
      <c r="M2303" t="s">
        <v>10715</v>
      </c>
      <c r="N2303" t="s">
        <v>290</v>
      </c>
      <c r="O2303" t="s">
        <v>48</v>
      </c>
      <c r="P2303" t="s">
        <v>48</v>
      </c>
      <c r="Y2303" t="s">
        <v>10716</v>
      </c>
    </row>
    <row r="2304" spans="1:25">
      <c r="A2304" t="s">
        <v>10717</v>
      </c>
      <c r="B2304" t="s">
        <v>10718</v>
      </c>
      <c r="D2304" t="s">
        <v>40</v>
      </c>
      <c r="E2304" t="s">
        <v>41</v>
      </c>
      <c r="G2304" t="s">
        <v>10719</v>
      </c>
      <c r="H2304" t="s">
        <v>1547</v>
      </c>
      <c r="J2304" t="s">
        <v>2605</v>
      </c>
      <c r="K2304" t="s">
        <v>2606</v>
      </c>
      <c r="L2304">
        <v>2</v>
      </c>
      <c r="M2304" t="s">
        <v>10720</v>
      </c>
      <c r="N2304" t="s">
        <v>685</v>
      </c>
      <c r="O2304" t="s">
        <v>48</v>
      </c>
      <c r="P2304" t="s">
        <v>48</v>
      </c>
      <c r="Y2304" t="s">
        <v>10721</v>
      </c>
    </row>
    <row r="2305" spans="1:25">
      <c r="A2305" t="s">
        <v>10722</v>
      </c>
      <c r="B2305" t="s">
        <v>10723</v>
      </c>
      <c r="D2305" t="s">
        <v>40</v>
      </c>
      <c r="E2305" t="s">
        <v>41</v>
      </c>
      <c r="G2305" t="s">
        <v>9717</v>
      </c>
      <c r="H2305" t="s">
        <v>10724</v>
      </c>
      <c r="J2305" t="s">
        <v>497</v>
      </c>
      <c r="K2305" t="s">
        <v>498</v>
      </c>
      <c r="L2305">
        <v>2</v>
      </c>
      <c r="M2305" t="s">
        <v>10725</v>
      </c>
      <c r="N2305" t="s">
        <v>290</v>
      </c>
      <c r="O2305" t="s">
        <v>48</v>
      </c>
      <c r="P2305" t="s">
        <v>48</v>
      </c>
      <c r="Y2305" t="s">
        <v>10726</v>
      </c>
    </row>
    <row r="2306" spans="1:25">
      <c r="A2306" t="s">
        <v>10727</v>
      </c>
      <c r="B2306" t="s">
        <v>10728</v>
      </c>
      <c r="D2306" t="s">
        <v>40</v>
      </c>
      <c r="E2306" t="s">
        <v>41</v>
      </c>
      <c r="G2306" t="s">
        <v>10729</v>
      </c>
      <c r="H2306" t="s">
        <v>10730</v>
      </c>
      <c r="J2306" t="s">
        <v>497</v>
      </c>
      <c r="K2306" t="s">
        <v>498</v>
      </c>
      <c r="L2306">
        <v>2</v>
      </c>
      <c r="M2306" t="s">
        <v>10731</v>
      </c>
      <c r="N2306" t="s">
        <v>685</v>
      </c>
      <c r="O2306" t="s">
        <v>48</v>
      </c>
      <c r="P2306" t="s">
        <v>48</v>
      </c>
      <c r="Y2306" t="s">
        <v>10732</v>
      </c>
    </row>
    <row r="2307" spans="1:25">
      <c r="A2307" t="s">
        <v>10733</v>
      </c>
      <c r="B2307" t="s">
        <v>10734</v>
      </c>
      <c r="D2307" t="s">
        <v>40</v>
      </c>
      <c r="E2307" t="s">
        <v>41</v>
      </c>
      <c r="G2307" t="s">
        <v>1312</v>
      </c>
      <c r="H2307" t="s">
        <v>10735</v>
      </c>
      <c r="J2307" t="s">
        <v>765</v>
      </c>
      <c r="K2307" t="s">
        <v>766</v>
      </c>
      <c r="L2307">
        <v>2</v>
      </c>
      <c r="M2307" t="s">
        <v>10736</v>
      </c>
      <c r="N2307" t="s">
        <v>290</v>
      </c>
      <c r="O2307" t="s">
        <v>48</v>
      </c>
      <c r="P2307" t="s">
        <v>48</v>
      </c>
      <c r="Y2307" t="s">
        <v>10737</v>
      </c>
    </row>
    <row r="2308" spans="1:25">
      <c r="A2308" t="s">
        <v>10738</v>
      </c>
      <c r="B2308" t="s">
        <v>10739</v>
      </c>
      <c r="D2308" t="s">
        <v>40</v>
      </c>
      <c r="E2308" t="s">
        <v>41</v>
      </c>
      <c r="G2308" t="s">
        <v>4354</v>
      </c>
      <c r="H2308" t="s">
        <v>447</v>
      </c>
      <c r="J2308" t="s">
        <v>765</v>
      </c>
      <c r="K2308" t="s">
        <v>766</v>
      </c>
      <c r="L2308">
        <v>2</v>
      </c>
      <c r="M2308" t="s">
        <v>10740</v>
      </c>
      <c r="N2308" t="s">
        <v>290</v>
      </c>
      <c r="O2308" t="s">
        <v>48</v>
      </c>
      <c r="P2308" t="s">
        <v>48</v>
      </c>
      <c r="Y2308" t="s">
        <v>10741</v>
      </c>
    </row>
    <row r="2309" spans="1:25">
      <c r="A2309" t="s">
        <v>10742</v>
      </c>
      <c r="B2309" t="s">
        <v>10743</v>
      </c>
      <c r="D2309" t="s">
        <v>40</v>
      </c>
      <c r="E2309" t="s">
        <v>41</v>
      </c>
      <c r="G2309" t="s">
        <v>1435</v>
      </c>
      <c r="H2309" t="s">
        <v>10744</v>
      </c>
      <c r="J2309" t="s">
        <v>5844</v>
      </c>
      <c r="K2309" t="s">
        <v>5845</v>
      </c>
      <c r="L2309">
        <v>2</v>
      </c>
      <c r="M2309" t="s">
        <v>10745</v>
      </c>
      <c r="N2309" t="s">
        <v>135</v>
      </c>
      <c r="O2309" t="s">
        <v>48</v>
      </c>
      <c r="P2309" t="s">
        <v>48</v>
      </c>
      <c r="Y2309" t="s">
        <v>10746</v>
      </c>
    </row>
    <row r="2310" spans="1:25">
      <c r="A2310" t="s">
        <v>10747</v>
      </c>
      <c r="B2310" t="s">
        <v>10748</v>
      </c>
      <c r="D2310" t="s">
        <v>40</v>
      </c>
      <c r="E2310" t="s">
        <v>41</v>
      </c>
      <c r="G2310" t="s">
        <v>10749</v>
      </c>
      <c r="H2310" t="s">
        <v>10750</v>
      </c>
      <c r="J2310" t="s">
        <v>765</v>
      </c>
      <c r="K2310" t="s">
        <v>766</v>
      </c>
      <c r="L2310">
        <v>2</v>
      </c>
      <c r="M2310" t="s">
        <v>10751</v>
      </c>
      <c r="N2310" t="s">
        <v>290</v>
      </c>
      <c r="O2310" t="s">
        <v>48</v>
      </c>
      <c r="P2310" t="s">
        <v>48</v>
      </c>
      <c r="Y2310" t="s">
        <v>10752</v>
      </c>
    </row>
    <row r="2311" spans="1:25">
      <c r="A2311" t="s">
        <v>10753</v>
      </c>
      <c r="B2311" t="s">
        <v>10754</v>
      </c>
      <c r="D2311" t="s">
        <v>40</v>
      </c>
      <c r="E2311" t="s">
        <v>41</v>
      </c>
      <c r="G2311" t="s">
        <v>10755</v>
      </c>
      <c r="H2311" t="s">
        <v>435</v>
      </c>
      <c r="J2311" t="s">
        <v>765</v>
      </c>
      <c r="K2311" t="s">
        <v>766</v>
      </c>
      <c r="L2311">
        <v>2</v>
      </c>
      <c r="M2311" t="s">
        <v>10756</v>
      </c>
      <c r="N2311" t="s">
        <v>685</v>
      </c>
      <c r="O2311" t="s">
        <v>48</v>
      </c>
      <c r="P2311" t="s">
        <v>48</v>
      </c>
      <c r="Y2311" t="s">
        <v>10757</v>
      </c>
    </row>
    <row r="2312" spans="1:25">
      <c r="A2312" t="s">
        <v>10758</v>
      </c>
      <c r="B2312" t="s">
        <v>10759</v>
      </c>
      <c r="D2312" t="s">
        <v>40</v>
      </c>
      <c r="E2312" t="s">
        <v>41</v>
      </c>
      <c r="G2312" t="s">
        <v>10760</v>
      </c>
      <c r="H2312" t="s">
        <v>10761</v>
      </c>
      <c r="J2312" t="s">
        <v>927</v>
      </c>
      <c r="K2312" t="s">
        <v>928</v>
      </c>
      <c r="L2312">
        <v>2</v>
      </c>
      <c r="M2312" t="s">
        <v>10762</v>
      </c>
      <c r="N2312" t="s">
        <v>135</v>
      </c>
      <c r="O2312" t="s">
        <v>48</v>
      </c>
      <c r="P2312" t="s">
        <v>48</v>
      </c>
      <c r="Y2312" t="s">
        <v>10763</v>
      </c>
    </row>
    <row r="2313" spans="1:25">
      <c r="A2313" t="s">
        <v>10764</v>
      </c>
      <c r="B2313" t="s">
        <v>10765</v>
      </c>
      <c r="D2313" t="s">
        <v>40</v>
      </c>
      <c r="E2313" t="s">
        <v>41</v>
      </c>
      <c r="G2313" t="s">
        <v>10766</v>
      </c>
      <c r="H2313" t="s">
        <v>10767</v>
      </c>
      <c r="J2313" t="s">
        <v>765</v>
      </c>
      <c r="K2313" t="s">
        <v>766</v>
      </c>
      <c r="L2313">
        <v>2</v>
      </c>
      <c r="M2313" t="s">
        <v>10768</v>
      </c>
      <c r="N2313" t="s">
        <v>685</v>
      </c>
      <c r="O2313" t="s">
        <v>48</v>
      </c>
      <c r="P2313" t="s">
        <v>48</v>
      </c>
      <c r="Y2313" t="s">
        <v>10769</v>
      </c>
    </row>
    <row r="2314" spans="1:25">
      <c r="A2314" t="s">
        <v>10770</v>
      </c>
      <c r="B2314" t="s">
        <v>10771</v>
      </c>
      <c r="D2314" t="s">
        <v>40</v>
      </c>
      <c r="E2314" t="s">
        <v>41</v>
      </c>
      <c r="G2314" t="s">
        <v>2301</v>
      </c>
      <c r="H2314" t="s">
        <v>10772</v>
      </c>
      <c r="J2314" t="s">
        <v>497</v>
      </c>
      <c r="K2314" t="s">
        <v>498</v>
      </c>
      <c r="L2314">
        <v>2</v>
      </c>
      <c r="M2314" t="s">
        <v>10773</v>
      </c>
      <c r="N2314" t="s">
        <v>135</v>
      </c>
      <c r="O2314" t="s">
        <v>48</v>
      </c>
      <c r="P2314" t="s">
        <v>48</v>
      </c>
      <c r="Y2314" t="s">
        <v>10774</v>
      </c>
    </row>
    <row r="2315" spans="1:25">
      <c r="A2315" t="s">
        <v>10775</v>
      </c>
      <c r="B2315" t="s">
        <v>10776</v>
      </c>
      <c r="D2315" t="s">
        <v>40</v>
      </c>
      <c r="E2315" t="s">
        <v>41</v>
      </c>
      <c r="G2315" t="s">
        <v>10777</v>
      </c>
      <c r="H2315" t="s">
        <v>10778</v>
      </c>
      <c r="J2315" t="s">
        <v>927</v>
      </c>
      <c r="K2315" t="s">
        <v>928</v>
      </c>
      <c r="L2315">
        <v>2</v>
      </c>
      <c r="M2315" t="s">
        <v>10779</v>
      </c>
      <c r="N2315" t="s">
        <v>135</v>
      </c>
      <c r="O2315" t="s">
        <v>48</v>
      </c>
      <c r="P2315" t="s">
        <v>48</v>
      </c>
      <c r="Y2315" t="s">
        <v>10780</v>
      </c>
    </row>
    <row r="2316" spans="1:25">
      <c r="A2316" t="s">
        <v>10781</v>
      </c>
      <c r="B2316" t="s">
        <v>10782</v>
      </c>
      <c r="D2316" t="s">
        <v>40</v>
      </c>
      <c r="E2316" t="s">
        <v>41</v>
      </c>
      <c r="G2316" t="s">
        <v>10783</v>
      </c>
      <c r="H2316" t="s">
        <v>10784</v>
      </c>
      <c r="J2316" t="s">
        <v>927</v>
      </c>
      <c r="K2316" t="s">
        <v>928</v>
      </c>
      <c r="L2316">
        <v>2</v>
      </c>
      <c r="M2316" t="s">
        <v>10785</v>
      </c>
      <c r="N2316" t="s">
        <v>290</v>
      </c>
      <c r="O2316" t="s">
        <v>48</v>
      </c>
      <c r="P2316" t="s">
        <v>48</v>
      </c>
      <c r="Y2316" t="s">
        <v>10786</v>
      </c>
    </row>
    <row r="2317" spans="1:25">
      <c r="A2317" t="s">
        <v>10787</v>
      </c>
      <c r="B2317" t="s">
        <v>10788</v>
      </c>
      <c r="D2317" t="s">
        <v>40</v>
      </c>
      <c r="E2317" t="s">
        <v>41</v>
      </c>
      <c r="G2317" t="s">
        <v>10789</v>
      </c>
      <c r="H2317" t="s">
        <v>10790</v>
      </c>
      <c r="J2317" t="s">
        <v>765</v>
      </c>
      <c r="K2317" t="s">
        <v>766</v>
      </c>
      <c r="L2317">
        <v>2</v>
      </c>
      <c r="M2317" t="s">
        <v>10791</v>
      </c>
      <c r="N2317" t="s">
        <v>685</v>
      </c>
      <c r="O2317" t="s">
        <v>48</v>
      </c>
      <c r="P2317" t="s">
        <v>48</v>
      </c>
      <c r="Y2317" t="s">
        <v>10792</v>
      </c>
    </row>
    <row r="2318" spans="1:25">
      <c r="A2318" t="s">
        <v>10793</v>
      </c>
      <c r="B2318" t="s">
        <v>10794</v>
      </c>
      <c r="D2318" t="s">
        <v>40</v>
      </c>
      <c r="E2318" t="s">
        <v>41</v>
      </c>
      <c r="G2318" t="s">
        <v>10795</v>
      </c>
      <c r="H2318" t="s">
        <v>10796</v>
      </c>
      <c r="J2318" t="s">
        <v>765</v>
      </c>
      <c r="K2318" t="s">
        <v>766</v>
      </c>
      <c r="L2318">
        <v>2</v>
      </c>
      <c r="M2318" t="s">
        <v>10797</v>
      </c>
      <c r="N2318" t="s">
        <v>685</v>
      </c>
      <c r="O2318" t="s">
        <v>48</v>
      </c>
      <c r="P2318" t="s">
        <v>48</v>
      </c>
      <c r="Y2318" t="s">
        <v>10798</v>
      </c>
    </row>
    <row r="2319" spans="1:25">
      <c r="A2319" t="s">
        <v>10799</v>
      </c>
      <c r="B2319" t="s">
        <v>10800</v>
      </c>
      <c r="D2319" t="s">
        <v>40</v>
      </c>
      <c r="E2319" t="s">
        <v>41</v>
      </c>
      <c r="G2319" t="s">
        <v>10801</v>
      </c>
      <c r="H2319" t="s">
        <v>5415</v>
      </c>
      <c r="J2319" t="s">
        <v>765</v>
      </c>
      <c r="K2319" t="s">
        <v>766</v>
      </c>
      <c r="L2319">
        <v>2</v>
      </c>
      <c r="M2319" t="s">
        <v>10802</v>
      </c>
      <c r="N2319" t="s">
        <v>290</v>
      </c>
      <c r="O2319" t="s">
        <v>48</v>
      </c>
      <c r="P2319" t="s">
        <v>48</v>
      </c>
      <c r="Y2319" t="s">
        <v>10803</v>
      </c>
    </row>
    <row r="2320" spans="1:25">
      <c r="A2320" t="s">
        <v>10804</v>
      </c>
      <c r="B2320" t="s">
        <v>10805</v>
      </c>
      <c r="D2320" t="s">
        <v>40</v>
      </c>
      <c r="E2320" t="s">
        <v>41</v>
      </c>
      <c r="G2320" t="s">
        <v>4849</v>
      </c>
      <c r="H2320" t="s">
        <v>10806</v>
      </c>
      <c r="J2320" t="s">
        <v>390</v>
      </c>
      <c r="K2320" t="s">
        <v>390</v>
      </c>
      <c r="L2320">
        <v>2</v>
      </c>
      <c r="M2320" t="s">
        <v>10807</v>
      </c>
      <c r="N2320" t="s">
        <v>135</v>
      </c>
      <c r="O2320" t="s">
        <v>48</v>
      </c>
      <c r="P2320" t="s">
        <v>48</v>
      </c>
      <c r="Y2320" t="s">
        <v>10808</v>
      </c>
    </row>
    <row r="2321" spans="1:25">
      <c r="A2321" t="s">
        <v>10809</v>
      </c>
      <c r="B2321" t="s">
        <v>10810</v>
      </c>
      <c r="D2321" t="s">
        <v>40</v>
      </c>
      <c r="E2321" t="s">
        <v>41</v>
      </c>
      <c r="G2321" t="s">
        <v>10811</v>
      </c>
      <c r="H2321" t="s">
        <v>1719</v>
      </c>
      <c r="J2321" t="s">
        <v>765</v>
      </c>
      <c r="K2321" t="s">
        <v>766</v>
      </c>
      <c r="L2321">
        <v>2</v>
      </c>
      <c r="M2321" t="s">
        <v>10812</v>
      </c>
      <c r="N2321" t="s">
        <v>290</v>
      </c>
      <c r="O2321" t="s">
        <v>48</v>
      </c>
      <c r="P2321" t="s">
        <v>48</v>
      </c>
      <c r="Y2321" t="s">
        <v>10813</v>
      </c>
    </row>
    <row r="2322" spans="1:25">
      <c r="A2322" t="s">
        <v>10814</v>
      </c>
      <c r="B2322" t="s">
        <v>10815</v>
      </c>
      <c r="D2322" t="s">
        <v>9473</v>
      </c>
      <c r="E2322" t="s">
        <v>9474</v>
      </c>
      <c r="J2322" t="s">
        <v>765</v>
      </c>
      <c r="K2322" t="s">
        <v>766</v>
      </c>
      <c r="L2322">
        <v>7</v>
      </c>
      <c r="M2322" t="s">
        <v>10816</v>
      </c>
      <c r="N2322" t="s">
        <v>290</v>
      </c>
      <c r="O2322" t="s">
        <v>9477</v>
      </c>
      <c r="P2322" t="s">
        <v>9477</v>
      </c>
      <c r="Y2322" t="s">
        <v>10817</v>
      </c>
    </row>
    <row r="2323" spans="1:25">
      <c r="A2323" t="s">
        <v>10818</v>
      </c>
      <c r="B2323" t="s">
        <v>10819</v>
      </c>
      <c r="D2323" t="s">
        <v>40</v>
      </c>
      <c r="E2323" t="s">
        <v>41</v>
      </c>
      <c r="G2323" t="s">
        <v>10820</v>
      </c>
      <c r="H2323" t="s">
        <v>10821</v>
      </c>
      <c r="J2323" t="s">
        <v>765</v>
      </c>
      <c r="K2323" t="s">
        <v>766</v>
      </c>
      <c r="L2323">
        <v>2</v>
      </c>
      <c r="M2323" t="s">
        <v>10822</v>
      </c>
      <c r="N2323" t="s">
        <v>290</v>
      </c>
      <c r="O2323" t="s">
        <v>48</v>
      </c>
      <c r="P2323" t="s">
        <v>48</v>
      </c>
      <c r="Y2323" t="s">
        <v>10823</v>
      </c>
    </row>
    <row r="2324" spans="1:25">
      <c r="A2324" t="s">
        <v>10824</v>
      </c>
      <c r="B2324" t="s">
        <v>10825</v>
      </c>
      <c r="D2324" t="s">
        <v>9473</v>
      </c>
      <c r="E2324" t="s">
        <v>9474</v>
      </c>
      <c r="H2324" t="s">
        <v>10826</v>
      </c>
      <c r="J2324" t="s">
        <v>353</v>
      </c>
      <c r="K2324" t="s">
        <v>354</v>
      </c>
      <c r="L2324">
        <v>7</v>
      </c>
      <c r="M2324" t="s">
        <v>10827</v>
      </c>
      <c r="N2324" t="s">
        <v>290</v>
      </c>
      <c r="O2324" t="s">
        <v>9477</v>
      </c>
      <c r="P2324" t="s">
        <v>9477</v>
      </c>
      <c r="Y2324" t="s">
        <v>10826</v>
      </c>
    </row>
    <row r="2325" spans="1:25">
      <c r="A2325" t="s">
        <v>10828</v>
      </c>
      <c r="B2325" t="s">
        <v>10829</v>
      </c>
      <c r="D2325" t="s">
        <v>40</v>
      </c>
      <c r="E2325" t="s">
        <v>41</v>
      </c>
      <c r="G2325" t="s">
        <v>10830</v>
      </c>
      <c r="H2325" t="s">
        <v>10831</v>
      </c>
      <c r="J2325" t="s">
        <v>765</v>
      </c>
      <c r="K2325" t="s">
        <v>766</v>
      </c>
      <c r="L2325">
        <v>2</v>
      </c>
      <c r="M2325" t="s">
        <v>10832</v>
      </c>
      <c r="N2325" t="s">
        <v>685</v>
      </c>
      <c r="O2325" t="s">
        <v>48</v>
      </c>
      <c r="P2325" t="s">
        <v>48</v>
      </c>
      <c r="Y2325" t="s">
        <v>10833</v>
      </c>
    </row>
    <row r="2326" spans="1:25">
      <c r="A2326" t="s">
        <v>10834</v>
      </c>
      <c r="B2326" t="s">
        <v>10835</v>
      </c>
      <c r="D2326" t="s">
        <v>40</v>
      </c>
      <c r="E2326" t="s">
        <v>41</v>
      </c>
      <c r="G2326" t="s">
        <v>10836</v>
      </c>
      <c r="H2326" t="s">
        <v>10837</v>
      </c>
      <c r="J2326" t="s">
        <v>497</v>
      </c>
      <c r="K2326" t="s">
        <v>498</v>
      </c>
      <c r="L2326">
        <v>2</v>
      </c>
      <c r="M2326" t="s">
        <v>10838</v>
      </c>
      <c r="N2326" t="s">
        <v>135</v>
      </c>
      <c r="O2326" t="s">
        <v>48</v>
      </c>
      <c r="P2326" t="s">
        <v>48</v>
      </c>
      <c r="Y2326" t="s">
        <v>10839</v>
      </c>
    </row>
    <row r="2327" spans="1:25">
      <c r="A2327" t="s">
        <v>10840</v>
      </c>
      <c r="B2327" t="s">
        <v>10841</v>
      </c>
      <c r="D2327" t="s">
        <v>40</v>
      </c>
      <c r="E2327" t="s">
        <v>41</v>
      </c>
      <c r="G2327" t="s">
        <v>10842</v>
      </c>
      <c r="H2327" t="s">
        <v>10843</v>
      </c>
      <c r="J2327" t="s">
        <v>765</v>
      </c>
      <c r="K2327" t="s">
        <v>766</v>
      </c>
      <c r="L2327">
        <v>2</v>
      </c>
      <c r="M2327" t="s">
        <v>10844</v>
      </c>
      <c r="N2327" t="s">
        <v>685</v>
      </c>
      <c r="O2327" t="s">
        <v>48</v>
      </c>
      <c r="P2327" t="s">
        <v>48</v>
      </c>
      <c r="Y2327" t="s">
        <v>10845</v>
      </c>
    </row>
    <row r="2328" spans="1:25">
      <c r="A2328" t="s">
        <v>10846</v>
      </c>
      <c r="B2328" t="s">
        <v>10847</v>
      </c>
      <c r="D2328" t="s">
        <v>40</v>
      </c>
      <c r="E2328" t="s">
        <v>41</v>
      </c>
      <c r="G2328" t="s">
        <v>2856</v>
      </c>
      <c r="H2328" t="s">
        <v>10848</v>
      </c>
      <c r="J2328" t="s">
        <v>497</v>
      </c>
      <c r="K2328" t="s">
        <v>498</v>
      </c>
      <c r="L2328">
        <v>3</v>
      </c>
      <c r="M2328" t="s">
        <v>10849</v>
      </c>
      <c r="N2328" t="s">
        <v>135</v>
      </c>
      <c r="O2328" t="s">
        <v>48</v>
      </c>
      <c r="P2328" t="s">
        <v>48</v>
      </c>
      <c r="Y2328" t="s">
        <v>10850</v>
      </c>
    </row>
    <row r="2329" spans="1:25">
      <c r="A2329" t="s">
        <v>10851</v>
      </c>
      <c r="B2329" t="s">
        <v>10852</v>
      </c>
      <c r="D2329" t="s">
        <v>40</v>
      </c>
      <c r="E2329" t="s">
        <v>41</v>
      </c>
      <c r="H2329" t="s">
        <v>10853</v>
      </c>
      <c r="J2329" t="s">
        <v>497</v>
      </c>
      <c r="K2329" t="s">
        <v>498</v>
      </c>
      <c r="L2329">
        <v>2</v>
      </c>
      <c r="M2329" t="s">
        <v>10854</v>
      </c>
      <c r="N2329" t="s">
        <v>685</v>
      </c>
      <c r="O2329" t="s">
        <v>48</v>
      </c>
      <c r="P2329" t="s">
        <v>48</v>
      </c>
      <c r="Y2329" t="s">
        <v>10853</v>
      </c>
    </row>
    <row r="2330" spans="1:25">
      <c r="A2330" t="s">
        <v>10855</v>
      </c>
      <c r="B2330" t="s">
        <v>10856</v>
      </c>
      <c r="D2330" t="s">
        <v>40</v>
      </c>
      <c r="E2330" t="s">
        <v>41</v>
      </c>
      <c r="G2330" t="s">
        <v>10857</v>
      </c>
      <c r="H2330" t="s">
        <v>10858</v>
      </c>
      <c r="J2330" t="s">
        <v>497</v>
      </c>
      <c r="K2330" t="s">
        <v>498</v>
      </c>
      <c r="L2330">
        <v>3</v>
      </c>
      <c r="M2330" t="s">
        <v>10859</v>
      </c>
      <c r="N2330" t="s">
        <v>685</v>
      </c>
      <c r="O2330" t="s">
        <v>48</v>
      </c>
      <c r="P2330" t="s">
        <v>48</v>
      </c>
      <c r="Y2330" t="s">
        <v>10860</v>
      </c>
    </row>
    <row r="2331" spans="1:25">
      <c r="A2331" t="s">
        <v>10861</v>
      </c>
      <c r="B2331" t="s">
        <v>10862</v>
      </c>
      <c r="D2331" t="s">
        <v>40</v>
      </c>
      <c r="E2331" t="s">
        <v>41</v>
      </c>
      <c r="G2331" t="s">
        <v>1843</v>
      </c>
      <c r="H2331" t="s">
        <v>10863</v>
      </c>
      <c r="J2331" t="s">
        <v>497</v>
      </c>
      <c r="K2331" t="s">
        <v>498</v>
      </c>
      <c r="L2331">
        <v>2</v>
      </c>
      <c r="M2331" t="s">
        <v>10864</v>
      </c>
      <c r="N2331" t="s">
        <v>290</v>
      </c>
      <c r="O2331" t="s">
        <v>48</v>
      </c>
      <c r="P2331" t="s">
        <v>48</v>
      </c>
      <c r="Y2331" t="s">
        <v>10865</v>
      </c>
    </row>
    <row r="2332" spans="1:25">
      <c r="A2332" t="s">
        <v>10866</v>
      </c>
      <c r="B2332" t="s">
        <v>10867</v>
      </c>
      <c r="D2332" t="s">
        <v>40</v>
      </c>
      <c r="E2332" t="s">
        <v>41</v>
      </c>
      <c r="G2332" t="s">
        <v>10868</v>
      </c>
      <c r="H2332" t="s">
        <v>10869</v>
      </c>
      <c r="J2332" t="s">
        <v>2605</v>
      </c>
      <c r="K2332" t="s">
        <v>2606</v>
      </c>
      <c r="L2332">
        <v>3</v>
      </c>
      <c r="M2332" t="s">
        <v>10870</v>
      </c>
      <c r="N2332" t="s">
        <v>685</v>
      </c>
      <c r="O2332" t="s">
        <v>48</v>
      </c>
      <c r="P2332" t="s">
        <v>48</v>
      </c>
      <c r="Y2332" t="s">
        <v>10871</v>
      </c>
    </row>
    <row r="2333" spans="1:25">
      <c r="A2333" t="s">
        <v>10872</v>
      </c>
      <c r="B2333" t="s">
        <v>10873</v>
      </c>
      <c r="D2333" t="s">
        <v>40</v>
      </c>
      <c r="E2333" t="s">
        <v>41</v>
      </c>
      <c r="G2333" t="s">
        <v>10874</v>
      </c>
      <c r="H2333" t="s">
        <v>10875</v>
      </c>
      <c r="J2333" t="s">
        <v>9759</v>
      </c>
      <c r="K2333" t="s">
        <v>9760</v>
      </c>
      <c r="L2333">
        <v>3</v>
      </c>
      <c r="M2333" t="s">
        <v>10876</v>
      </c>
      <c r="N2333" t="s">
        <v>47</v>
      </c>
      <c r="O2333" t="s">
        <v>48</v>
      </c>
      <c r="P2333" t="s">
        <v>48</v>
      </c>
      <c r="Y2333" t="s">
        <v>10877</v>
      </c>
    </row>
    <row r="2334" spans="1:25">
      <c r="A2334" t="s">
        <v>10878</v>
      </c>
      <c r="B2334" t="s">
        <v>10879</v>
      </c>
      <c r="D2334" t="s">
        <v>40</v>
      </c>
      <c r="E2334" t="s">
        <v>41</v>
      </c>
      <c r="G2334" t="s">
        <v>10880</v>
      </c>
      <c r="H2334" t="s">
        <v>10881</v>
      </c>
      <c r="J2334" t="s">
        <v>497</v>
      </c>
      <c r="K2334" t="s">
        <v>498</v>
      </c>
      <c r="L2334">
        <v>3</v>
      </c>
      <c r="M2334" t="s">
        <v>10882</v>
      </c>
      <c r="N2334" t="s">
        <v>685</v>
      </c>
      <c r="O2334" t="s">
        <v>48</v>
      </c>
      <c r="P2334" t="s">
        <v>48</v>
      </c>
      <c r="Y2334" t="s">
        <v>10883</v>
      </c>
    </row>
    <row r="2335" spans="1:25">
      <c r="A2335" t="s">
        <v>10884</v>
      </c>
      <c r="B2335" t="s">
        <v>10885</v>
      </c>
      <c r="D2335" t="s">
        <v>40</v>
      </c>
      <c r="E2335" t="s">
        <v>41</v>
      </c>
      <c r="G2335" t="s">
        <v>2493</v>
      </c>
      <c r="H2335" t="s">
        <v>10886</v>
      </c>
      <c r="J2335" t="s">
        <v>765</v>
      </c>
      <c r="K2335" t="s">
        <v>766</v>
      </c>
      <c r="L2335">
        <v>2</v>
      </c>
      <c r="M2335" t="s">
        <v>10887</v>
      </c>
      <c r="N2335" t="s">
        <v>685</v>
      </c>
      <c r="O2335" t="s">
        <v>48</v>
      </c>
      <c r="P2335" t="s">
        <v>48</v>
      </c>
      <c r="Y2335" t="s">
        <v>10888</v>
      </c>
    </row>
    <row r="2336" spans="1:25">
      <c r="A2336" t="s">
        <v>10889</v>
      </c>
      <c r="B2336" t="s">
        <v>10890</v>
      </c>
      <c r="D2336" t="s">
        <v>9473</v>
      </c>
      <c r="E2336" t="s">
        <v>9474</v>
      </c>
      <c r="H2336" t="s">
        <v>10891</v>
      </c>
      <c r="J2336" t="s">
        <v>234</v>
      </c>
      <c r="K2336" t="s">
        <v>235</v>
      </c>
      <c r="L2336">
        <v>6</v>
      </c>
      <c r="M2336" t="s">
        <v>10892</v>
      </c>
      <c r="N2336" t="s">
        <v>47</v>
      </c>
      <c r="O2336" t="s">
        <v>9477</v>
      </c>
      <c r="P2336" t="s">
        <v>9477</v>
      </c>
      <c r="Y2336" t="s">
        <v>10891</v>
      </c>
    </row>
    <row r="2337" spans="1:25">
      <c r="A2337" t="s">
        <v>10893</v>
      </c>
      <c r="B2337" t="s">
        <v>10894</v>
      </c>
      <c r="D2337" t="s">
        <v>40</v>
      </c>
      <c r="E2337" t="s">
        <v>41</v>
      </c>
      <c r="G2337" t="s">
        <v>10895</v>
      </c>
      <c r="H2337" t="s">
        <v>10896</v>
      </c>
      <c r="J2337" t="s">
        <v>927</v>
      </c>
      <c r="K2337" t="s">
        <v>928</v>
      </c>
      <c r="L2337">
        <v>2</v>
      </c>
      <c r="M2337" t="s">
        <v>10897</v>
      </c>
      <c r="N2337" t="s">
        <v>135</v>
      </c>
      <c r="O2337" t="s">
        <v>48</v>
      </c>
      <c r="P2337" t="s">
        <v>48</v>
      </c>
      <c r="Y2337" t="s">
        <v>10898</v>
      </c>
    </row>
    <row r="2338" spans="1:25">
      <c r="A2338" t="s">
        <v>10899</v>
      </c>
      <c r="B2338" t="s">
        <v>10900</v>
      </c>
      <c r="D2338" t="s">
        <v>40</v>
      </c>
      <c r="E2338" t="s">
        <v>41</v>
      </c>
      <c r="G2338" t="s">
        <v>10901</v>
      </c>
      <c r="H2338" t="s">
        <v>10902</v>
      </c>
      <c r="J2338" t="s">
        <v>2605</v>
      </c>
      <c r="K2338" t="s">
        <v>2606</v>
      </c>
      <c r="L2338">
        <v>2</v>
      </c>
      <c r="M2338" t="s">
        <v>10903</v>
      </c>
      <c r="N2338" t="s">
        <v>685</v>
      </c>
      <c r="O2338" t="s">
        <v>48</v>
      </c>
      <c r="P2338" t="s">
        <v>48</v>
      </c>
      <c r="Y2338" t="s">
        <v>10904</v>
      </c>
    </row>
    <row r="2339" spans="1:25">
      <c r="A2339" t="s">
        <v>10905</v>
      </c>
      <c r="B2339" t="s">
        <v>10906</v>
      </c>
      <c r="D2339" t="s">
        <v>40</v>
      </c>
      <c r="E2339" t="s">
        <v>41</v>
      </c>
      <c r="G2339" t="s">
        <v>10907</v>
      </c>
      <c r="H2339" t="s">
        <v>1547</v>
      </c>
      <c r="J2339" t="s">
        <v>9759</v>
      </c>
      <c r="K2339" t="s">
        <v>9760</v>
      </c>
      <c r="L2339">
        <v>3</v>
      </c>
      <c r="M2339" t="s">
        <v>10908</v>
      </c>
      <c r="N2339" t="s">
        <v>47</v>
      </c>
      <c r="O2339" t="s">
        <v>48</v>
      </c>
      <c r="P2339" t="s">
        <v>48</v>
      </c>
      <c r="Y2339" t="s">
        <v>10909</v>
      </c>
    </row>
    <row r="2340" spans="1:25">
      <c r="A2340" t="s">
        <v>10910</v>
      </c>
      <c r="B2340" t="s">
        <v>10911</v>
      </c>
      <c r="D2340" t="s">
        <v>40</v>
      </c>
      <c r="E2340" t="s">
        <v>41</v>
      </c>
      <c r="G2340" t="s">
        <v>2345</v>
      </c>
      <c r="H2340" t="s">
        <v>672</v>
      </c>
      <c r="J2340" t="s">
        <v>5844</v>
      </c>
      <c r="K2340" t="s">
        <v>5845</v>
      </c>
      <c r="L2340">
        <v>2</v>
      </c>
      <c r="M2340" t="s">
        <v>10908</v>
      </c>
      <c r="N2340" t="s">
        <v>135</v>
      </c>
      <c r="O2340" t="s">
        <v>48</v>
      </c>
      <c r="P2340" t="s">
        <v>48</v>
      </c>
      <c r="Y2340" t="s">
        <v>10912</v>
      </c>
    </row>
    <row r="2341" spans="1:25">
      <c r="A2341" t="s">
        <v>10913</v>
      </c>
      <c r="B2341" t="s">
        <v>10914</v>
      </c>
      <c r="D2341" t="s">
        <v>40</v>
      </c>
      <c r="E2341" t="s">
        <v>41</v>
      </c>
      <c r="G2341" t="s">
        <v>10915</v>
      </c>
      <c r="H2341" t="s">
        <v>10916</v>
      </c>
      <c r="J2341" t="s">
        <v>5844</v>
      </c>
      <c r="K2341" t="s">
        <v>5845</v>
      </c>
      <c r="L2341">
        <v>2</v>
      </c>
      <c r="M2341" t="s">
        <v>10917</v>
      </c>
      <c r="N2341" t="s">
        <v>135</v>
      </c>
      <c r="O2341" t="s">
        <v>48</v>
      </c>
      <c r="P2341" t="s">
        <v>48</v>
      </c>
      <c r="Y2341" t="s">
        <v>10918</v>
      </c>
    </row>
    <row r="2342" spans="1:25">
      <c r="A2342" t="s">
        <v>10919</v>
      </c>
      <c r="B2342" t="s">
        <v>10920</v>
      </c>
      <c r="D2342" t="s">
        <v>40</v>
      </c>
      <c r="E2342" t="s">
        <v>41</v>
      </c>
      <c r="G2342" t="s">
        <v>10921</v>
      </c>
      <c r="H2342" t="s">
        <v>10922</v>
      </c>
      <c r="J2342" t="s">
        <v>497</v>
      </c>
      <c r="K2342" t="s">
        <v>498</v>
      </c>
      <c r="L2342">
        <v>2</v>
      </c>
      <c r="M2342" t="s">
        <v>10923</v>
      </c>
      <c r="N2342" t="s">
        <v>135</v>
      </c>
      <c r="O2342" t="s">
        <v>48</v>
      </c>
      <c r="P2342" t="s">
        <v>48</v>
      </c>
      <c r="Y2342" t="s">
        <v>10924</v>
      </c>
    </row>
    <row r="2343" spans="1:25">
      <c r="A2343" t="s">
        <v>10925</v>
      </c>
      <c r="B2343" t="s">
        <v>10926</v>
      </c>
      <c r="D2343" t="s">
        <v>40</v>
      </c>
      <c r="E2343" t="s">
        <v>41</v>
      </c>
      <c r="G2343" t="s">
        <v>10927</v>
      </c>
      <c r="H2343" t="s">
        <v>10928</v>
      </c>
      <c r="J2343" t="s">
        <v>2605</v>
      </c>
      <c r="K2343" t="s">
        <v>2606</v>
      </c>
      <c r="L2343">
        <v>2</v>
      </c>
      <c r="M2343" t="s">
        <v>10929</v>
      </c>
      <c r="N2343" t="s">
        <v>685</v>
      </c>
      <c r="O2343" t="s">
        <v>48</v>
      </c>
      <c r="P2343" t="s">
        <v>48</v>
      </c>
      <c r="Y2343" t="s">
        <v>10930</v>
      </c>
    </row>
    <row r="2344" spans="1:25">
      <c r="A2344" t="s">
        <v>10931</v>
      </c>
      <c r="B2344" t="s">
        <v>10932</v>
      </c>
      <c r="D2344" t="s">
        <v>40</v>
      </c>
      <c r="E2344" t="s">
        <v>41</v>
      </c>
      <c r="G2344" t="s">
        <v>10933</v>
      </c>
      <c r="H2344" t="s">
        <v>10934</v>
      </c>
      <c r="J2344" t="s">
        <v>765</v>
      </c>
      <c r="K2344" t="s">
        <v>766</v>
      </c>
      <c r="L2344">
        <v>2</v>
      </c>
      <c r="M2344" t="s">
        <v>10935</v>
      </c>
      <c r="N2344" t="s">
        <v>290</v>
      </c>
      <c r="O2344" t="s">
        <v>48</v>
      </c>
      <c r="P2344" t="s">
        <v>48</v>
      </c>
      <c r="Y2344" t="s">
        <v>10936</v>
      </c>
    </row>
    <row r="2345" spans="1:25">
      <c r="A2345" t="s">
        <v>10937</v>
      </c>
      <c r="B2345" t="s">
        <v>10938</v>
      </c>
      <c r="D2345" t="s">
        <v>40</v>
      </c>
      <c r="E2345" t="s">
        <v>41</v>
      </c>
      <c r="G2345" t="s">
        <v>5635</v>
      </c>
      <c r="H2345" t="s">
        <v>10939</v>
      </c>
      <c r="J2345" t="s">
        <v>497</v>
      </c>
      <c r="K2345" t="s">
        <v>498</v>
      </c>
      <c r="L2345">
        <v>2</v>
      </c>
      <c r="M2345" t="s">
        <v>10940</v>
      </c>
      <c r="N2345" t="s">
        <v>135</v>
      </c>
      <c r="O2345" t="s">
        <v>48</v>
      </c>
      <c r="P2345" t="s">
        <v>48</v>
      </c>
      <c r="Y2345" t="s">
        <v>10941</v>
      </c>
    </row>
    <row r="2346" spans="1:25">
      <c r="A2346" t="s">
        <v>10942</v>
      </c>
      <c r="B2346" t="s">
        <v>10943</v>
      </c>
      <c r="D2346" t="s">
        <v>40</v>
      </c>
      <c r="E2346" t="s">
        <v>41</v>
      </c>
      <c r="G2346" t="s">
        <v>10944</v>
      </c>
      <c r="H2346" t="s">
        <v>10945</v>
      </c>
      <c r="J2346" t="s">
        <v>765</v>
      </c>
      <c r="K2346" t="s">
        <v>766</v>
      </c>
      <c r="L2346">
        <v>2</v>
      </c>
      <c r="M2346" t="s">
        <v>10946</v>
      </c>
      <c r="N2346" t="s">
        <v>685</v>
      </c>
      <c r="O2346" t="s">
        <v>48</v>
      </c>
      <c r="P2346" t="s">
        <v>48</v>
      </c>
      <c r="Y2346" t="s">
        <v>10947</v>
      </c>
    </row>
    <row r="2347" spans="1:25">
      <c r="A2347" t="s">
        <v>10948</v>
      </c>
      <c r="B2347" t="s">
        <v>10949</v>
      </c>
      <c r="D2347" t="s">
        <v>40</v>
      </c>
      <c r="E2347" t="s">
        <v>41</v>
      </c>
      <c r="G2347" t="s">
        <v>10950</v>
      </c>
      <c r="H2347" t="s">
        <v>10951</v>
      </c>
      <c r="J2347" t="s">
        <v>765</v>
      </c>
      <c r="K2347" t="s">
        <v>766</v>
      </c>
      <c r="L2347">
        <v>2</v>
      </c>
      <c r="M2347" t="s">
        <v>10952</v>
      </c>
      <c r="N2347" t="s">
        <v>685</v>
      </c>
      <c r="O2347" t="s">
        <v>48</v>
      </c>
      <c r="P2347" t="s">
        <v>48</v>
      </c>
      <c r="Y2347" t="s">
        <v>10953</v>
      </c>
    </row>
    <row r="2348" spans="1:25">
      <c r="A2348" t="s">
        <v>10954</v>
      </c>
      <c r="B2348" t="s">
        <v>10955</v>
      </c>
      <c r="D2348" t="s">
        <v>1832</v>
      </c>
      <c r="E2348" t="s">
        <v>41</v>
      </c>
      <c r="J2348" t="s">
        <v>497</v>
      </c>
      <c r="K2348" t="s">
        <v>498</v>
      </c>
      <c r="L2348">
        <v>3</v>
      </c>
      <c r="M2348" t="s">
        <v>10956</v>
      </c>
      <c r="N2348" t="s">
        <v>685</v>
      </c>
      <c r="O2348" t="s">
        <v>1835</v>
      </c>
      <c r="P2348" t="s">
        <v>1835</v>
      </c>
      <c r="Y2348" t="s">
        <v>10957</v>
      </c>
    </row>
    <row r="2349" spans="1:25">
      <c r="A2349" t="s">
        <v>10958</v>
      </c>
      <c r="B2349" t="s">
        <v>10959</v>
      </c>
      <c r="D2349" t="s">
        <v>40</v>
      </c>
      <c r="E2349" t="s">
        <v>41</v>
      </c>
      <c r="G2349" t="s">
        <v>3840</v>
      </c>
      <c r="H2349" t="s">
        <v>10960</v>
      </c>
      <c r="J2349" t="s">
        <v>3829</v>
      </c>
      <c r="K2349" t="s">
        <v>3830</v>
      </c>
      <c r="L2349">
        <v>2</v>
      </c>
      <c r="M2349" t="s">
        <v>10961</v>
      </c>
      <c r="N2349" t="s">
        <v>290</v>
      </c>
      <c r="O2349" t="s">
        <v>48</v>
      </c>
      <c r="P2349" t="s">
        <v>48</v>
      </c>
      <c r="Y2349" t="s">
        <v>10962</v>
      </c>
    </row>
    <row r="2350" spans="1:25">
      <c r="A2350" t="s">
        <v>10963</v>
      </c>
      <c r="B2350" t="s">
        <v>10964</v>
      </c>
      <c r="D2350" t="s">
        <v>40</v>
      </c>
      <c r="E2350" t="s">
        <v>41</v>
      </c>
      <c r="G2350" t="s">
        <v>10965</v>
      </c>
      <c r="H2350" t="s">
        <v>10966</v>
      </c>
      <c r="J2350" t="s">
        <v>2948</v>
      </c>
      <c r="K2350" t="s">
        <v>2949</v>
      </c>
      <c r="L2350">
        <v>2</v>
      </c>
      <c r="M2350" t="s">
        <v>10967</v>
      </c>
      <c r="N2350" t="s">
        <v>685</v>
      </c>
      <c r="O2350" t="s">
        <v>48</v>
      </c>
      <c r="P2350" t="s">
        <v>48</v>
      </c>
      <c r="Y2350" t="s">
        <v>10968</v>
      </c>
    </row>
    <row r="2351" spans="1:25">
      <c r="A2351" t="s">
        <v>10969</v>
      </c>
      <c r="B2351" t="s">
        <v>10970</v>
      </c>
      <c r="D2351" t="s">
        <v>40</v>
      </c>
      <c r="E2351" t="s">
        <v>41</v>
      </c>
      <c r="G2351" t="s">
        <v>10971</v>
      </c>
      <c r="H2351" t="s">
        <v>10972</v>
      </c>
      <c r="J2351" t="s">
        <v>497</v>
      </c>
      <c r="K2351" t="s">
        <v>498</v>
      </c>
      <c r="L2351">
        <v>4</v>
      </c>
      <c r="M2351" t="s">
        <v>10973</v>
      </c>
      <c r="N2351" t="s">
        <v>685</v>
      </c>
      <c r="O2351" t="s">
        <v>48</v>
      </c>
      <c r="P2351" t="s">
        <v>48</v>
      </c>
      <c r="Y2351" t="s">
        <v>10974</v>
      </c>
    </row>
    <row r="2352" spans="1:25">
      <c r="A2352" t="s">
        <v>10975</v>
      </c>
      <c r="B2352" t="s">
        <v>10976</v>
      </c>
      <c r="D2352" t="s">
        <v>40</v>
      </c>
      <c r="E2352" t="s">
        <v>41</v>
      </c>
      <c r="G2352" t="s">
        <v>10977</v>
      </c>
      <c r="H2352" t="s">
        <v>10978</v>
      </c>
      <c r="J2352" t="s">
        <v>497</v>
      </c>
      <c r="K2352" t="s">
        <v>498</v>
      </c>
      <c r="L2352">
        <v>2</v>
      </c>
      <c r="M2352" t="s">
        <v>10979</v>
      </c>
      <c r="N2352" t="s">
        <v>135</v>
      </c>
      <c r="O2352" t="s">
        <v>48</v>
      </c>
      <c r="P2352" t="s">
        <v>48</v>
      </c>
      <c r="Y2352" t="s">
        <v>10980</v>
      </c>
    </row>
    <row r="2353" spans="1:25">
      <c r="A2353" t="s">
        <v>10981</v>
      </c>
      <c r="B2353" t="s">
        <v>10982</v>
      </c>
      <c r="D2353" t="s">
        <v>40</v>
      </c>
      <c r="E2353" t="s">
        <v>41</v>
      </c>
      <c r="J2353" t="s">
        <v>9759</v>
      </c>
      <c r="K2353" t="s">
        <v>9760</v>
      </c>
      <c r="L2353">
        <v>4</v>
      </c>
      <c r="M2353" t="s">
        <v>10983</v>
      </c>
      <c r="N2353" t="s">
        <v>685</v>
      </c>
      <c r="O2353" t="s">
        <v>48</v>
      </c>
      <c r="P2353" t="s">
        <v>48</v>
      </c>
      <c r="Y2353" t="s">
        <v>10984</v>
      </c>
    </row>
    <row r="2354" spans="1:25">
      <c r="A2354" t="s">
        <v>10985</v>
      </c>
      <c r="B2354" t="s">
        <v>10986</v>
      </c>
      <c r="D2354" t="s">
        <v>40</v>
      </c>
      <c r="E2354" t="s">
        <v>41</v>
      </c>
      <c r="G2354" t="s">
        <v>10987</v>
      </c>
      <c r="H2354" t="s">
        <v>2499</v>
      </c>
      <c r="J2354" t="s">
        <v>390</v>
      </c>
      <c r="K2354" t="s">
        <v>390</v>
      </c>
      <c r="L2354">
        <v>2</v>
      </c>
      <c r="M2354" t="s">
        <v>10988</v>
      </c>
      <c r="N2354" t="s">
        <v>290</v>
      </c>
      <c r="O2354" t="s">
        <v>48</v>
      </c>
      <c r="P2354" t="s">
        <v>48</v>
      </c>
      <c r="Y2354" t="s">
        <v>10989</v>
      </c>
    </row>
    <row r="2355" spans="1:25">
      <c r="A2355" t="s">
        <v>10990</v>
      </c>
      <c r="B2355" t="s">
        <v>10991</v>
      </c>
      <c r="D2355" t="s">
        <v>40</v>
      </c>
      <c r="E2355" t="s">
        <v>41</v>
      </c>
      <c r="G2355" t="s">
        <v>770</v>
      </c>
      <c r="H2355" t="s">
        <v>10992</v>
      </c>
      <c r="J2355" t="s">
        <v>765</v>
      </c>
      <c r="K2355" t="s">
        <v>766</v>
      </c>
      <c r="L2355">
        <v>2</v>
      </c>
      <c r="M2355" t="s">
        <v>10993</v>
      </c>
      <c r="N2355" t="s">
        <v>685</v>
      </c>
      <c r="O2355" t="s">
        <v>48</v>
      </c>
      <c r="P2355" t="s">
        <v>48</v>
      </c>
      <c r="Y2355" t="s">
        <v>10994</v>
      </c>
    </row>
    <row r="2356" spans="1:25">
      <c r="A2356" t="s">
        <v>10995</v>
      </c>
      <c r="B2356" t="s">
        <v>10996</v>
      </c>
      <c r="D2356" t="s">
        <v>40</v>
      </c>
      <c r="E2356" t="s">
        <v>41</v>
      </c>
      <c r="G2356" t="s">
        <v>10997</v>
      </c>
      <c r="H2356" t="s">
        <v>6063</v>
      </c>
      <c r="J2356" t="s">
        <v>765</v>
      </c>
      <c r="K2356" t="s">
        <v>766</v>
      </c>
      <c r="L2356">
        <v>2</v>
      </c>
      <c r="M2356" t="s">
        <v>10998</v>
      </c>
      <c r="N2356" t="s">
        <v>685</v>
      </c>
      <c r="O2356" t="s">
        <v>48</v>
      </c>
      <c r="P2356" t="s">
        <v>48</v>
      </c>
      <c r="Y2356" t="s">
        <v>10999</v>
      </c>
    </row>
    <row r="2357" spans="1:25">
      <c r="A2357" t="s">
        <v>11000</v>
      </c>
      <c r="B2357" t="s">
        <v>11001</v>
      </c>
      <c r="D2357" t="s">
        <v>40</v>
      </c>
      <c r="E2357" t="s">
        <v>41</v>
      </c>
      <c r="G2357" t="s">
        <v>10035</v>
      </c>
      <c r="H2357" t="s">
        <v>11002</v>
      </c>
      <c r="J2357" t="s">
        <v>9719</v>
      </c>
      <c r="K2357" t="s">
        <v>9720</v>
      </c>
      <c r="L2357">
        <v>2</v>
      </c>
      <c r="M2357" t="s">
        <v>11003</v>
      </c>
      <c r="N2357" t="s">
        <v>685</v>
      </c>
      <c r="O2357" t="s">
        <v>48</v>
      </c>
      <c r="P2357" t="s">
        <v>48</v>
      </c>
      <c r="Y2357" t="s">
        <v>11004</v>
      </c>
    </row>
    <row r="2358" spans="1:25">
      <c r="A2358" t="s">
        <v>11005</v>
      </c>
      <c r="B2358" t="s">
        <v>11006</v>
      </c>
      <c r="D2358" t="s">
        <v>40</v>
      </c>
      <c r="E2358" t="s">
        <v>41</v>
      </c>
      <c r="G2358" t="s">
        <v>11007</v>
      </c>
      <c r="H2358" t="s">
        <v>2311</v>
      </c>
      <c r="J2358" t="s">
        <v>497</v>
      </c>
      <c r="K2358" t="s">
        <v>498</v>
      </c>
      <c r="L2358">
        <v>2</v>
      </c>
      <c r="M2358" t="s">
        <v>11008</v>
      </c>
      <c r="N2358" t="s">
        <v>135</v>
      </c>
      <c r="O2358" t="s">
        <v>48</v>
      </c>
      <c r="P2358" t="s">
        <v>48</v>
      </c>
      <c r="Y2358" t="s">
        <v>11009</v>
      </c>
    </row>
    <row r="2359" spans="1:25">
      <c r="A2359" t="s">
        <v>11010</v>
      </c>
      <c r="B2359" t="s">
        <v>11011</v>
      </c>
      <c r="D2359" t="s">
        <v>40</v>
      </c>
      <c r="E2359" t="s">
        <v>41</v>
      </c>
      <c r="G2359" t="s">
        <v>11012</v>
      </c>
      <c r="H2359" t="s">
        <v>11013</v>
      </c>
      <c r="J2359" t="s">
        <v>765</v>
      </c>
      <c r="K2359" t="s">
        <v>766</v>
      </c>
      <c r="L2359">
        <v>2</v>
      </c>
      <c r="M2359" t="s">
        <v>11014</v>
      </c>
      <c r="N2359" t="s">
        <v>290</v>
      </c>
      <c r="O2359" t="s">
        <v>48</v>
      </c>
      <c r="P2359" t="s">
        <v>48</v>
      </c>
      <c r="Y2359" t="s">
        <v>11015</v>
      </c>
    </row>
    <row r="2360" spans="1:25">
      <c r="A2360" t="s">
        <v>11016</v>
      </c>
      <c r="B2360" t="s">
        <v>11017</v>
      </c>
      <c r="D2360" t="s">
        <v>9473</v>
      </c>
      <c r="E2360" t="s">
        <v>9474</v>
      </c>
      <c r="H2360" t="s">
        <v>11018</v>
      </c>
      <c r="J2360" t="s">
        <v>765</v>
      </c>
      <c r="K2360" t="s">
        <v>766</v>
      </c>
      <c r="L2360">
        <v>7</v>
      </c>
      <c r="M2360" t="s">
        <v>11019</v>
      </c>
      <c r="N2360" t="s">
        <v>290</v>
      </c>
      <c r="O2360" t="s">
        <v>9477</v>
      </c>
      <c r="P2360" t="s">
        <v>9477</v>
      </c>
      <c r="Y2360" t="s">
        <v>11018</v>
      </c>
    </row>
    <row r="2361" spans="1:25">
      <c r="A2361" t="s">
        <v>11020</v>
      </c>
      <c r="B2361" t="s">
        <v>11021</v>
      </c>
      <c r="D2361" t="s">
        <v>9473</v>
      </c>
      <c r="E2361" t="s">
        <v>9474</v>
      </c>
      <c r="H2361" t="s">
        <v>11022</v>
      </c>
      <c r="J2361" t="s">
        <v>133</v>
      </c>
      <c r="K2361" t="s">
        <v>134</v>
      </c>
      <c r="L2361">
        <v>7</v>
      </c>
      <c r="M2361" t="s">
        <v>11023</v>
      </c>
      <c r="N2361" t="s">
        <v>290</v>
      </c>
      <c r="O2361" t="s">
        <v>9477</v>
      </c>
      <c r="P2361" t="s">
        <v>9477</v>
      </c>
      <c r="Y2361" t="s">
        <v>11022</v>
      </c>
    </row>
    <row r="2362" spans="1:25">
      <c r="A2362" t="s">
        <v>11024</v>
      </c>
      <c r="B2362" t="s">
        <v>11025</v>
      </c>
      <c r="D2362" t="s">
        <v>40</v>
      </c>
      <c r="E2362" t="s">
        <v>41</v>
      </c>
      <c r="G2362" t="s">
        <v>11026</v>
      </c>
      <c r="H2362" t="s">
        <v>1193</v>
      </c>
      <c r="J2362" t="s">
        <v>497</v>
      </c>
      <c r="K2362" t="s">
        <v>498</v>
      </c>
      <c r="L2362">
        <v>2</v>
      </c>
      <c r="M2362" t="s">
        <v>11027</v>
      </c>
      <c r="N2362" t="s">
        <v>135</v>
      </c>
      <c r="O2362" t="s">
        <v>48</v>
      </c>
      <c r="P2362" t="s">
        <v>48</v>
      </c>
      <c r="Y2362" t="s">
        <v>11028</v>
      </c>
    </row>
    <row r="2363" spans="1:25">
      <c r="A2363" t="s">
        <v>11029</v>
      </c>
      <c r="B2363" t="s">
        <v>11030</v>
      </c>
      <c r="D2363" t="s">
        <v>40</v>
      </c>
      <c r="E2363" t="s">
        <v>41</v>
      </c>
      <c r="G2363" t="s">
        <v>11031</v>
      </c>
      <c r="H2363" t="s">
        <v>435</v>
      </c>
      <c r="J2363" t="s">
        <v>497</v>
      </c>
      <c r="K2363" t="s">
        <v>498</v>
      </c>
      <c r="L2363">
        <v>2</v>
      </c>
      <c r="M2363" t="s">
        <v>11032</v>
      </c>
      <c r="N2363" t="s">
        <v>290</v>
      </c>
      <c r="O2363" t="s">
        <v>48</v>
      </c>
      <c r="P2363" t="s">
        <v>48</v>
      </c>
      <c r="Y2363" t="s">
        <v>11033</v>
      </c>
    </row>
    <row r="2364" spans="1:25">
      <c r="A2364" t="s">
        <v>11034</v>
      </c>
      <c r="B2364" t="s">
        <v>11035</v>
      </c>
      <c r="D2364" t="s">
        <v>40</v>
      </c>
      <c r="E2364" t="s">
        <v>41</v>
      </c>
      <c r="G2364" t="s">
        <v>4225</v>
      </c>
      <c r="H2364" t="s">
        <v>11036</v>
      </c>
      <c r="J2364" t="s">
        <v>765</v>
      </c>
      <c r="K2364" t="s">
        <v>766</v>
      </c>
      <c r="L2364">
        <v>2</v>
      </c>
      <c r="M2364" t="s">
        <v>11037</v>
      </c>
      <c r="N2364" t="s">
        <v>685</v>
      </c>
      <c r="O2364" t="s">
        <v>48</v>
      </c>
      <c r="P2364" t="s">
        <v>48</v>
      </c>
      <c r="Y2364" t="s">
        <v>11038</v>
      </c>
    </row>
    <row r="2365" spans="1:25">
      <c r="A2365" t="s">
        <v>11039</v>
      </c>
      <c r="B2365" t="s">
        <v>11040</v>
      </c>
      <c r="D2365" t="s">
        <v>40</v>
      </c>
      <c r="E2365" t="s">
        <v>41</v>
      </c>
      <c r="G2365" t="s">
        <v>3178</v>
      </c>
      <c r="H2365" t="s">
        <v>11041</v>
      </c>
      <c r="J2365" t="s">
        <v>765</v>
      </c>
      <c r="K2365" t="s">
        <v>766</v>
      </c>
      <c r="L2365">
        <v>2</v>
      </c>
      <c r="M2365" t="s">
        <v>11042</v>
      </c>
      <c r="N2365" t="s">
        <v>685</v>
      </c>
      <c r="O2365" t="s">
        <v>48</v>
      </c>
      <c r="P2365" t="s">
        <v>48</v>
      </c>
      <c r="Y2365" t="s">
        <v>11043</v>
      </c>
    </row>
    <row r="2366" spans="1:25">
      <c r="A2366" t="s">
        <v>11044</v>
      </c>
      <c r="B2366" t="s">
        <v>11045</v>
      </c>
      <c r="D2366" t="s">
        <v>40</v>
      </c>
      <c r="E2366" t="s">
        <v>41</v>
      </c>
      <c r="G2366" t="s">
        <v>11046</v>
      </c>
      <c r="H2366" t="s">
        <v>11047</v>
      </c>
      <c r="J2366" t="s">
        <v>5844</v>
      </c>
      <c r="K2366" t="s">
        <v>5845</v>
      </c>
      <c r="L2366">
        <v>2</v>
      </c>
      <c r="M2366" t="s">
        <v>11048</v>
      </c>
      <c r="N2366" t="s">
        <v>135</v>
      </c>
      <c r="O2366" t="s">
        <v>48</v>
      </c>
      <c r="P2366" t="s">
        <v>48</v>
      </c>
      <c r="Y2366" t="s">
        <v>11049</v>
      </c>
    </row>
    <row r="2367" spans="1:25">
      <c r="A2367" t="s">
        <v>11050</v>
      </c>
      <c r="B2367" t="s">
        <v>11051</v>
      </c>
      <c r="D2367" t="s">
        <v>40</v>
      </c>
      <c r="E2367" t="s">
        <v>41</v>
      </c>
      <c r="G2367" t="s">
        <v>11052</v>
      </c>
      <c r="H2367" t="s">
        <v>11053</v>
      </c>
      <c r="J2367" t="s">
        <v>9719</v>
      </c>
      <c r="K2367" t="s">
        <v>9720</v>
      </c>
      <c r="L2367">
        <v>2</v>
      </c>
      <c r="M2367" t="s">
        <v>11054</v>
      </c>
      <c r="N2367" t="s">
        <v>685</v>
      </c>
      <c r="O2367" t="s">
        <v>48</v>
      </c>
      <c r="P2367" t="s">
        <v>48</v>
      </c>
      <c r="Y2367" t="s">
        <v>11055</v>
      </c>
    </row>
    <row r="2368" spans="1:25">
      <c r="A2368" t="s">
        <v>11056</v>
      </c>
      <c r="B2368" t="s">
        <v>11057</v>
      </c>
      <c r="D2368" t="s">
        <v>40</v>
      </c>
      <c r="E2368" t="s">
        <v>41</v>
      </c>
      <c r="G2368" t="s">
        <v>11058</v>
      </c>
      <c r="H2368" t="s">
        <v>5284</v>
      </c>
      <c r="J2368" t="s">
        <v>497</v>
      </c>
      <c r="K2368" t="s">
        <v>498</v>
      </c>
      <c r="L2368">
        <v>2</v>
      </c>
      <c r="M2368" t="s">
        <v>11059</v>
      </c>
      <c r="N2368" t="s">
        <v>685</v>
      </c>
      <c r="O2368" t="s">
        <v>48</v>
      </c>
      <c r="P2368" t="s">
        <v>48</v>
      </c>
      <c r="Y2368" t="s">
        <v>11060</v>
      </c>
    </row>
    <row r="2369" spans="1:25">
      <c r="A2369" t="s">
        <v>11061</v>
      </c>
      <c r="B2369" t="s">
        <v>11062</v>
      </c>
      <c r="D2369" t="s">
        <v>40</v>
      </c>
      <c r="E2369" t="s">
        <v>41</v>
      </c>
      <c r="G2369" t="s">
        <v>258</v>
      </c>
      <c r="H2369" t="s">
        <v>11063</v>
      </c>
      <c r="J2369" t="s">
        <v>927</v>
      </c>
      <c r="K2369" t="s">
        <v>928</v>
      </c>
      <c r="L2369">
        <v>2</v>
      </c>
      <c r="M2369" t="s">
        <v>11064</v>
      </c>
      <c r="N2369" t="s">
        <v>135</v>
      </c>
      <c r="O2369" t="s">
        <v>48</v>
      </c>
      <c r="P2369" t="s">
        <v>48</v>
      </c>
      <c r="Y2369" t="s">
        <v>11065</v>
      </c>
    </row>
    <row r="2370" spans="1:25">
      <c r="A2370" t="s">
        <v>11066</v>
      </c>
      <c r="B2370" t="s">
        <v>11067</v>
      </c>
      <c r="D2370" t="s">
        <v>40</v>
      </c>
      <c r="E2370" t="s">
        <v>41</v>
      </c>
      <c r="G2370" t="s">
        <v>11068</v>
      </c>
      <c r="H2370" t="s">
        <v>11069</v>
      </c>
      <c r="J2370" t="s">
        <v>5844</v>
      </c>
      <c r="K2370" t="s">
        <v>5845</v>
      </c>
      <c r="L2370">
        <v>2</v>
      </c>
      <c r="M2370" t="s">
        <v>11070</v>
      </c>
      <c r="N2370" t="s">
        <v>290</v>
      </c>
      <c r="O2370" t="s">
        <v>48</v>
      </c>
      <c r="P2370" t="s">
        <v>48</v>
      </c>
      <c r="Y2370" t="s">
        <v>11071</v>
      </c>
    </row>
    <row r="2371" spans="1:25">
      <c r="A2371" t="s">
        <v>11072</v>
      </c>
      <c r="B2371" t="s">
        <v>11073</v>
      </c>
      <c r="D2371" t="s">
        <v>40</v>
      </c>
      <c r="E2371" t="s">
        <v>41</v>
      </c>
      <c r="G2371" t="s">
        <v>11074</v>
      </c>
      <c r="H2371" t="s">
        <v>1596</v>
      </c>
      <c r="J2371" t="s">
        <v>9759</v>
      </c>
      <c r="K2371" t="s">
        <v>9760</v>
      </c>
      <c r="L2371">
        <v>3</v>
      </c>
      <c r="M2371" t="s">
        <v>11075</v>
      </c>
      <c r="N2371" t="s">
        <v>47</v>
      </c>
      <c r="O2371" t="s">
        <v>48</v>
      </c>
      <c r="P2371" t="s">
        <v>48</v>
      </c>
      <c r="Y2371" t="s">
        <v>11076</v>
      </c>
    </row>
    <row r="2372" spans="1:25">
      <c r="A2372" t="s">
        <v>11077</v>
      </c>
      <c r="B2372" t="s">
        <v>11078</v>
      </c>
      <c r="D2372" t="s">
        <v>40</v>
      </c>
      <c r="E2372" t="s">
        <v>41</v>
      </c>
      <c r="G2372" t="s">
        <v>11079</v>
      </c>
      <c r="H2372" t="s">
        <v>11080</v>
      </c>
      <c r="J2372" t="s">
        <v>765</v>
      </c>
      <c r="K2372" t="s">
        <v>766</v>
      </c>
      <c r="L2372">
        <v>2</v>
      </c>
      <c r="M2372" t="s">
        <v>11081</v>
      </c>
      <c r="N2372" t="s">
        <v>685</v>
      </c>
      <c r="O2372" t="s">
        <v>48</v>
      </c>
      <c r="P2372" t="s">
        <v>48</v>
      </c>
      <c r="Y2372" t="s">
        <v>11082</v>
      </c>
    </row>
    <row r="2373" spans="1:25">
      <c r="A2373" t="s">
        <v>11083</v>
      </c>
      <c r="B2373" t="s">
        <v>11084</v>
      </c>
      <c r="D2373" t="s">
        <v>40</v>
      </c>
      <c r="E2373" t="s">
        <v>41</v>
      </c>
      <c r="G2373" t="s">
        <v>11085</v>
      </c>
      <c r="H2373" t="s">
        <v>11086</v>
      </c>
      <c r="J2373" t="s">
        <v>765</v>
      </c>
      <c r="K2373" t="s">
        <v>766</v>
      </c>
      <c r="L2373">
        <v>2</v>
      </c>
      <c r="M2373" t="s">
        <v>11087</v>
      </c>
      <c r="N2373" t="s">
        <v>290</v>
      </c>
      <c r="O2373" t="s">
        <v>48</v>
      </c>
      <c r="P2373" t="s">
        <v>48</v>
      </c>
      <c r="Y2373" t="s">
        <v>11088</v>
      </c>
    </row>
    <row r="2374" spans="1:25">
      <c r="A2374" t="s">
        <v>11089</v>
      </c>
      <c r="B2374" t="s">
        <v>11090</v>
      </c>
      <c r="D2374" t="s">
        <v>40</v>
      </c>
      <c r="E2374" t="s">
        <v>41</v>
      </c>
      <c r="G2374" t="s">
        <v>11091</v>
      </c>
      <c r="H2374" t="s">
        <v>11092</v>
      </c>
      <c r="J2374" t="s">
        <v>765</v>
      </c>
      <c r="K2374" t="s">
        <v>766</v>
      </c>
      <c r="L2374">
        <v>2</v>
      </c>
      <c r="M2374" t="s">
        <v>11093</v>
      </c>
      <c r="N2374" t="s">
        <v>685</v>
      </c>
      <c r="O2374" t="s">
        <v>48</v>
      </c>
      <c r="P2374" t="s">
        <v>48</v>
      </c>
      <c r="Y2374" t="s">
        <v>11094</v>
      </c>
    </row>
    <row r="2375" spans="1:25">
      <c r="A2375" t="s">
        <v>11095</v>
      </c>
      <c r="B2375" t="s">
        <v>11096</v>
      </c>
      <c r="D2375" t="s">
        <v>40</v>
      </c>
      <c r="E2375" t="s">
        <v>41</v>
      </c>
      <c r="G2375" t="s">
        <v>11097</v>
      </c>
      <c r="H2375" t="s">
        <v>11098</v>
      </c>
      <c r="J2375" t="s">
        <v>765</v>
      </c>
      <c r="K2375" t="s">
        <v>766</v>
      </c>
      <c r="L2375">
        <v>2</v>
      </c>
      <c r="M2375" t="s">
        <v>11099</v>
      </c>
      <c r="N2375" t="s">
        <v>290</v>
      </c>
      <c r="O2375" t="s">
        <v>48</v>
      </c>
      <c r="P2375" t="s">
        <v>48</v>
      </c>
      <c r="Y2375" t="s">
        <v>11100</v>
      </c>
    </row>
    <row r="2376" spans="1:25">
      <c r="A2376" t="s">
        <v>11101</v>
      </c>
      <c r="B2376" t="s">
        <v>11102</v>
      </c>
      <c r="D2376" t="s">
        <v>40</v>
      </c>
      <c r="E2376" t="s">
        <v>41</v>
      </c>
      <c r="J2376" t="s">
        <v>390</v>
      </c>
      <c r="K2376" t="s">
        <v>390</v>
      </c>
      <c r="L2376">
        <v>2</v>
      </c>
      <c r="M2376" t="s">
        <v>11103</v>
      </c>
      <c r="N2376" t="s">
        <v>135</v>
      </c>
      <c r="O2376" t="s">
        <v>48</v>
      </c>
      <c r="P2376" t="s">
        <v>48</v>
      </c>
      <c r="Y2376" t="s">
        <v>11104</v>
      </c>
    </row>
    <row r="2377" spans="1:25">
      <c r="A2377" t="s">
        <v>11105</v>
      </c>
      <c r="B2377" t="s">
        <v>11106</v>
      </c>
      <c r="D2377" t="s">
        <v>40</v>
      </c>
      <c r="E2377" t="s">
        <v>41</v>
      </c>
      <c r="G2377" t="s">
        <v>11107</v>
      </c>
      <c r="H2377" t="s">
        <v>11108</v>
      </c>
      <c r="J2377" t="s">
        <v>9719</v>
      </c>
      <c r="K2377" t="s">
        <v>9720</v>
      </c>
      <c r="L2377">
        <v>2</v>
      </c>
      <c r="M2377" t="s">
        <v>11109</v>
      </c>
      <c r="N2377" t="s">
        <v>685</v>
      </c>
      <c r="O2377" t="s">
        <v>48</v>
      </c>
      <c r="P2377" t="s">
        <v>48</v>
      </c>
      <c r="Y2377" t="s">
        <v>11110</v>
      </c>
    </row>
    <row r="2378" spans="1:25">
      <c r="A2378" t="s">
        <v>11111</v>
      </c>
      <c r="B2378" t="s">
        <v>11112</v>
      </c>
      <c r="D2378" t="s">
        <v>1832</v>
      </c>
      <c r="E2378" t="s">
        <v>41</v>
      </c>
      <c r="J2378" t="s">
        <v>497</v>
      </c>
      <c r="K2378" t="s">
        <v>498</v>
      </c>
      <c r="L2378">
        <v>2</v>
      </c>
      <c r="M2378" t="s">
        <v>11113</v>
      </c>
      <c r="N2378" t="s">
        <v>290</v>
      </c>
      <c r="O2378" t="s">
        <v>1835</v>
      </c>
      <c r="P2378" t="s">
        <v>1835</v>
      </c>
      <c r="Y2378" t="s">
        <v>11114</v>
      </c>
    </row>
    <row r="2379" spans="1:25">
      <c r="A2379" t="s">
        <v>11115</v>
      </c>
      <c r="B2379" t="s">
        <v>11116</v>
      </c>
      <c r="D2379" t="s">
        <v>1832</v>
      </c>
      <c r="E2379" t="s">
        <v>41</v>
      </c>
      <c r="J2379" t="s">
        <v>2328</v>
      </c>
      <c r="K2379" t="s">
        <v>2329</v>
      </c>
      <c r="L2379">
        <v>2</v>
      </c>
      <c r="M2379" t="s">
        <v>11117</v>
      </c>
      <c r="N2379" t="s">
        <v>290</v>
      </c>
      <c r="O2379" t="s">
        <v>1835</v>
      </c>
      <c r="P2379" t="s">
        <v>1835</v>
      </c>
      <c r="Y2379" t="s">
        <v>11118</v>
      </c>
    </row>
    <row r="2380" spans="1:25">
      <c r="A2380" t="s">
        <v>11119</v>
      </c>
      <c r="B2380" t="s">
        <v>11120</v>
      </c>
      <c r="D2380" t="s">
        <v>1832</v>
      </c>
      <c r="E2380" t="s">
        <v>41</v>
      </c>
      <c r="J2380" t="s">
        <v>765</v>
      </c>
      <c r="K2380" t="s">
        <v>766</v>
      </c>
      <c r="L2380">
        <v>2</v>
      </c>
      <c r="M2380" t="s">
        <v>11121</v>
      </c>
      <c r="N2380" t="s">
        <v>290</v>
      </c>
      <c r="O2380" t="s">
        <v>1835</v>
      </c>
      <c r="P2380" t="s">
        <v>1835</v>
      </c>
      <c r="Y2380" t="s">
        <v>11122</v>
      </c>
    </row>
    <row r="2381" spans="1:25">
      <c r="A2381" t="s">
        <v>11123</v>
      </c>
      <c r="B2381" t="s">
        <v>11124</v>
      </c>
      <c r="D2381" t="s">
        <v>9473</v>
      </c>
      <c r="E2381" t="s">
        <v>9474</v>
      </c>
      <c r="H2381" t="s">
        <v>11125</v>
      </c>
      <c r="J2381" t="s">
        <v>234</v>
      </c>
      <c r="K2381" t="s">
        <v>235</v>
      </c>
      <c r="L2381">
        <v>6</v>
      </c>
      <c r="M2381" t="s">
        <v>11126</v>
      </c>
      <c r="N2381" t="s">
        <v>47</v>
      </c>
      <c r="O2381" t="s">
        <v>9477</v>
      </c>
      <c r="P2381" t="s">
        <v>9477</v>
      </c>
      <c r="Y2381" t="s">
        <v>11125</v>
      </c>
    </row>
    <row r="2382" spans="1:25">
      <c r="A2382" t="s">
        <v>11127</v>
      </c>
      <c r="B2382" t="s">
        <v>11128</v>
      </c>
      <c r="D2382" t="s">
        <v>1832</v>
      </c>
      <c r="E2382" t="s">
        <v>41</v>
      </c>
      <c r="J2382" t="s">
        <v>765</v>
      </c>
      <c r="K2382" t="s">
        <v>766</v>
      </c>
      <c r="L2382">
        <v>2</v>
      </c>
      <c r="M2382" t="s">
        <v>11129</v>
      </c>
      <c r="N2382" t="s">
        <v>290</v>
      </c>
      <c r="O2382" t="s">
        <v>1835</v>
      </c>
      <c r="P2382" t="s">
        <v>1835</v>
      </c>
      <c r="Y2382" t="s">
        <v>11130</v>
      </c>
    </row>
    <row r="2383" spans="1:25">
      <c r="A2383" t="s">
        <v>11131</v>
      </c>
      <c r="B2383" t="s">
        <v>11132</v>
      </c>
      <c r="D2383" t="s">
        <v>1832</v>
      </c>
      <c r="E2383" t="s">
        <v>41</v>
      </c>
      <c r="J2383" t="s">
        <v>497</v>
      </c>
      <c r="K2383" t="s">
        <v>498</v>
      </c>
      <c r="L2383">
        <v>2</v>
      </c>
      <c r="M2383" t="s">
        <v>11133</v>
      </c>
      <c r="N2383" t="s">
        <v>135</v>
      </c>
      <c r="O2383" t="s">
        <v>1835</v>
      </c>
      <c r="P2383" t="s">
        <v>1835</v>
      </c>
      <c r="Y2383" t="s">
        <v>11134</v>
      </c>
    </row>
    <row r="2384" spans="1:25">
      <c r="A2384" t="s">
        <v>11135</v>
      </c>
      <c r="B2384" t="s">
        <v>11136</v>
      </c>
      <c r="D2384" t="s">
        <v>1832</v>
      </c>
      <c r="E2384" t="s">
        <v>41</v>
      </c>
      <c r="J2384" t="s">
        <v>927</v>
      </c>
      <c r="K2384" t="s">
        <v>928</v>
      </c>
      <c r="L2384">
        <v>2</v>
      </c>
      <c r="M2384" t="s">
        <v>11137</v>
      </c>
      <c r="N2384" t="s">
        <v>290</v>
      </c>
      <c r="O2384" t="s">
        <v>1835</v>
      </c>
      <c r="P2384" t="s">
        <v>1835</v>
      </c>
      <c r="Y2384" t="s">
        <v>11138</v>
      </c>
    </row>
    <row r="2385" spans="1:25">
      <c r="A2385" t="s">
        <v>11139</v>
      </c>
      <c r="B2385" t="s">
        <v>11140</v>
      </c>
      <c r="D2385" t="s">
        <v>1832</v>
      </c>
      <c r="E2385" t="s">
        <v>41</v>
      </c>
      <c r="H2385" t="s">
        <v>11141</v>
      </c>
      <c r="J2385" t="s">
        <v>765</v>
      </c>
      <c r="K2385" t="s">
        <v>766</v>
      </c>
      <c r="L2385">
        <v>2</v>
      </c>
      <c r="M2385" t="s">
        <v>11142</v>
      </c>
      <c r="N2385" t="s">
        <v>685</v>
      </c>
      <c r="O2385" t="s">
        <v>1835</v>
      </c>
      <c r="P2385" t="s">
        <v>1835</v>
      </c>
      <c r="Y2385" t="s">
        <v>11141</v>
      </c>
    </row>
    <row r="2386" spans="1:25">
      <c r="A2386" t="s">
        <v>11143</v>
      </c>
      <c r="B2386" t="s">
        <v>11144</v>
      </c>
      <c r="D2386" t="s">
        <v>1832</v>
      </c>
      <c r="E2386" t="s">
        <v>41</v>
      </c>
      <c r="J2386" t="s">
        <v>497</v>
      </c>
      <c r="K2386" t="s">
        <v>498</v>
      </c>
      <c r="L2386">
        <v>2</v>
      </c>
      <c r="M2386" t="s">
        <v>11145</v>
      </c>
      <c r="N2386" t="s">
        <v>685</v>
      </c>
      <c r="O2386" t="s">
        <v>1835</v>
      </c>
      <c r="P2386" t="s">
        <v>1835</v>
      </c>
      <c r="Y2386" t="s">
        <v>11146</v>
      </c>
    </row>
    <row r="2387" spans="1:25">
      <c r="A2387" t="s">
        <v>11147</v>
      </c>
      <c r="B2387" t="s">
        <v>11148</v>
      </c>
      <c r="D2387" t="s">
        <v>1832</v>
      </c>
      <c r="E2387" t="s">
        <v>41</v>
      </c>
      <c r="H2387" t="s">
        <v>11149</v>
      </c>
      <c r="J2387" t="s">
        <v>765</v>
      </c>
      <c r="K2387" t="s">
        <v>766</v>
      </c>
      <c r="L2387">
        <v>2</v>
      </c>
      <c r="M2387" t="s">
        <v>11150</v>
      </c>
      <c r="N2387" t="s">
        <v>685</v>
      </c>
      <c r="O2387" t="s">
        <v>1835</v>
      </c>
      <c r="P2387" t="s">
        <v>1835</v>
      </c>
      <c r="Y2387" t="s">
        <v>11149</v>
      </c>
    </row>
    <row r="2388" spans="1:25">
      <c r="A2388" t="s">
        <v>11151</v>
      </c>
      <c r="B2388" t="s">
        <v>11152</v>
      </c>
      <c r="D2388" t="s">
        <v>1832</v>
      </c>
      <c r="E2388" t="s">
        <v>41</v>
      </c>
      <c r="J2388" t="s">
        <v>497</v>
      </c>
      <c r="K2388" t="s">
        <v>498</v>
      </c>
      <c r="L2388">
        <v>2</v>
      </c>
      <c r="M2388" t="s">
        <v>11153</v>
      </c>
      <c r="N2388" t="s">
        <v>685</v>
      </c>
      <c r="O2388" t="s">
        <v>1835</v>
      </c>
      <c r="P2388" t="s">
        <v>1835</v>
      </c>
      <c r="Y2388" t="s">
        <v>11154</v>
      </c>
    </row>
    <row r="2389" spans="1:25">
      <c r="A2389" t="s">
        <v>11155</v>
      </c>
      <c r="B2389" t="s">
        <v>11156</v>
      </c>
      <c r="D2389" t="s">
        <v>1832</v>
      </c>
      <c r="E2389" t="s">
        <v>41</v>
      </c>
      <c r="J2389" t="s">
        <v>927</v>
      </c>
      <c r="K2389" t="s">
        <v>928</v>
      </c>
      <c r="L2389">
        <v>2</v>
      </c>
      <c r="M2389" t="s">
        <v>11157</v>
      </c>
      <c r="N2389" t="s">
        <v>135</v>
      </c>
      <c r="O2389" t="s">
        <v>1835</v>
      </c>
      <c r="P2389" t="s">
        <v>1835</v>
      </c>
      <c r="Y2389" t="s">
        <v>11158</v>
      </c>
    </row>
    <row r="2390" spans="1:25">
      <c r="A2390" t="s">
        <v>11159</v>
      </c>
      <c r="B2390" t="s">
        <v>11160</v>
      </c>
      <c r="D2390" t="s">
        <v>1832</v>
      </c>
      <c r="E2390" t="s">
        <v>41</v>
      </c>
      <c r="J2390" t="s">
        <v>497</v>
      </c>
      <c r="K2390" t="s">
        <v>498</v>
      </c>
      <c r="L2390">
        <v>2</v>
      </c>
      <c r="M2390" t="s">
        <v>11161</v>
      </c>
      <c r="N2390" t="s">
        <v>135</v>
      </c>
      <c r="O2390" t="s">
        <v>1835</v>
      </c>
      <c r="P2390" t="s">
        <v>1835</v>
      </c>
      <c r="Y2390" t="s">
        <v>11162</v>
      </c>
    </row>
    <row r="2391" spans="1:25">
      <c r="A2391" t="s">
        <v>11163</v>
      </c>
      <c r="B2391" t="s">
        <v>11164</v>
      </c>
      <c r="D2391" t="s">
        <v>1832</v>
      </c>
      <c r="E2391" t="s">
        <v>41</v>
      </c>
      <c r="H2391" t="s">
        <v>11165</v>
      </c>
      <c r="J2391" t="s">
        <v>9719</v>
      </c>
      <c r="K2391" t="s">
        <v>9720</v>
      </c>
      <c r="L2391">
        <v>2</v>
      </c>
      <c r="M2391" t="s">
        <v>11166</v>
      </c>
      <c r="N2391" t="s">
        <v>135</v>
      </c>
      <c r="O2391" t="s">
        <v>1835</v>
      </c>
      <c r="P2391" t="s">
        <v>1835</v>
      </c>
      <c r="Y2391" t="s">
        <v>11165</v>
      </c>
    </row>
    <row r="2392" spans="1:25">
      <c r="A2392" t="s">
        <v>11167</v>
      </c>
      <c r="B2392" t="s">
        <v>11168</v>
      </c>
      <c r="D2392" t="s">
        <v>1832</v>
      </c>
      <c r="E2392" t="s">
        <v>41</v>
      </c>
      <c r="J2392" t="s">
        <v>9759</v>
      </c>
      <c r="K2392" t="s">
        <v>9760</v>
      </c>
      <c r="L2392">
        <v>3</v>
      </c>
      <c r="M2392" t="s">
        <v>11169</v>
      </c>
      <c r="N2392" t="s">
        <v>135</v>
      </c>
      <c r="O2392" t="s">
        <v>1835</v>
      </c>
      <c r="P2392" t="s">
        <v>1835</v>
      </c>
      <c r="Y2392" t="s">
        <v>11170</v>
      </c>
    </row>
    <row r="2393" spans="1:25">
      <c r="A2393" t="s">
        <v>11171</v>
      </c>
      <c r="B2393" t="s">
        <v>11172</v>
      </c>
      <c r="D2393" t="s">
        <v>1832</v>
      </c>
      <c r="E2393" t="s">
        <v>41</v>
      </c>
      <c r="J2393" t="s">
        <v>9759</v>
      </c>
      <c r="K2393" t="s">
        <v>9760</v>
      </c>
      <c r="L2393">
        <v>3</v>
      </c>
      <c r="M2393" t="s">
        <v>11173</v>
      </c>
      <c r="N2393" t="s">
        <v>47</v>
      </c>
      <c r="O2393" t="s">
        <v>1835</v>
      </c>
      <c r="P2393" t="s">
        <v>1835</v>
      </c>
      <c r="Y2393" t="s">
        <v>11174</v>
      </c>
    </row>
    <row r="2394" spans="1:25">
      <c r="A2394" t="s">
        <v>11175</v>
      </c>
      <c r="B2394" t="s">
        <v>11176</v>
      </c>
      <c r="D2394" t="s">
        <v>1832</v>
      </c>
      <c r="E2394" t="s">
        <v>41</v>
      </c>
      <c r="J2394" t="s">
        <v>5964</v>
      </c>
      <c r="K2394" t="s">
        <v>5965</v>
      </c>
      <c r="L2394">
        <v>2</v>
      </c>
      <c r="M2394" t="s">
        <v>11177</v>
      </c>
      <c r="N2394" t="s">
        <v>685</v>
      </c>
      <c r="O2394" t="s">
        <v>1835</v>
      </c>
      <c r="P2394" t="s">
        <v>1835</v>
      </c>
      <c r="Y2394" t="s">
        <v>11178</v>
      </c>
    </row>
    <row r="2395" spans="1:25">
      <c r="A2395" t="s">
        <v>11179</v>
      </c>
      <c r="B2395" t="s">
        <v>11180</v>
      </c>
      <c r="D2395" t="s">
        <v>1832</v>
      </c>
      <c r="E2395" t="s">
        <v>41</v>
      </c>
      <c r="J2395" t="s">
        <v>497</v>
      </c>
      <c r="K2395" t="s">
        <v>498</v>
      </c>
      <c r="L2395">
        <v>2</v>
      </c>
      <c r="M2395" t="s">
        <v>11181</v>
      </c>
      <c r="N2395" t="s">
        <v>685</v>
      </c>
      <c r="O2395" t="s">
        <v>1835</v>
      </c>
      <c r="P2395" t="s">
        <v>1835</v>
      </c>
      <c r="Y2395" t="s">
        <v>11182</v>
      </c>
    </row>
    <row r="2396" spans="1:25">
      <c r="A2396" t="s">
        <v>11183</v>
      </c>
      <c r="B2396" t="s">
        <v>11184</v>
      </c>
      <c r="D2396" t="s">
        <v>1832</v>
      </c>
      <c r="E2396" t="s">
        <v>41</v>
      </c>
      <c r="J2396" t="s">
        <v>927</v>
      </c>
      <c r="K2396" t="s">
        <v>928</v>
      </c>
      <c r="L2396">
        <v>2</v>
      </c>
      <c r="M2396" t="s">
        <v>11185</v>
      </c>
      <c r="N2396" t="s">
        <v>290</v>
      </c>
      <c r="O2396" t="s">
        <v>1835</v>
      </c>
      <c r="P2396" t="s">
        <v>1835</v>
      </c>
      <c r="Y2396" t="s">
        <v>11186</v>
      </c>
    </row>
    <row r="2397" spans="1:25">
      <c r="A2397" t="s">
        <v>11187</v>
      </c>
      <c r="B2397" t="s">
        <v>11188</v>
      </c>
      <c r="D2397" t="s">
        <v>1832</v>
      </c>
      <c r="E2397" t="s">
        <v>41</v>
      </c>
      <c r="J2397" t="s">
        <v>927</v>
      </c>
      <c r="K2397" t="s">
        <v>928</v>
      </c>
      <c r="L2397">
        <v>2</v>
      </c>
      <c r="M2397" t="s">
        <v>11189</v>
      </c>
      <c r="N2397" t="s">
        <v>135</v>
      </c>
      <c r="O2397" t="s">
        <v>1835</v>
      </c>
      <c r="P2397" t="s">
        <v>1835</v>
      </c>
      <c r="Y2397" t="s">
        <v>11190</v>
      </c>
    </row>
    <row r="2398" spans="1:25">
      <c r="A2398" t="s">
        <v>11191</v>
      </c>
      <c r="B2398" t="s">
        <v>11192</v>
      </c>
      <c r="D2398" t="s">
        <v>1832</v>
      </c>
      <c r="E2398" t="s">
        <v>41</v>
      </c>
      <c r="J2398" t="s">
        <v>5964</v>
      </c>
      <c r="K2398" t="s">
        <v>5965</v>
      </c>
      <c r="L2398">
        <v>2</v>
      </c>
      <c r="M2398" t="s">
        <v>11193</v>
      </c>
      <c r="N2398" t="s">
        <v>290</v>
      </c>
      <c r="O2398" t="s">
        <v>1835</v>
      </c>
      <c r="P2398" t="s">
        <v>1835</v>
      </c>
      <c r="Y2398" t="s">
        <v>11194</v>
      </c>
    </row>
    <row r="2399" spans="1:25">
      <c r="A2399" t="s">
        <v>11195</v>
      </c>
      <c r="B2399" t="s">
        <v>11196</v>
      </c>
      <c r="D2399" t="s">
        <v>1832</v>
      </c>
      <c r="E2399" t="s">
        <v>41</v>
      </c>
      <c r="J2399" t="s">
        <v>497</v>
      </c>
      <c r="K2399" t="s">
        <v>498</v>
      </c>
      <c r="L2399">
        <v>2</v>
      </c>
      <c r="M2399" t="s">
        <v>11197</v>
      </c>
      <c r="N2399" t="s">
        <v>135</v>
      </c>
      <c r="O2399" t="s">
        <v>1835</v>
      </c>
      <c r="P2399" t="s">
        <v>1835</v>
      </c>
      <c r="Y2399" t="s">
        <v>11198</v>
      </c>
    </row>
    <row r="2400" spans="1:25">
      <c r="A2400" t="s">
        <v>11199</v>
      </c>
      <c r="B2400" t="s">
        <v>11200</v>
      </c>
      <c r="D2400" t="s">
        <v>1832</v>
      </c>
      <c r="E2400" t="s">
        <v>41</v>
      </c>
      <c r="J2400" t="s">
        <v>497</v>
      </c>
      <c r="K2400" t="s">
        <v>498</v>
      </c>
      <c r="L2400">
        <v>2</v>
      </c>
      <c r="M2400" t="s">
        <v>11201</v>
      </c>
      <c r="N2400" t="s">
        <v>135</v>
      </c>
      <c r="O2400" t="s">
        <v>1835</v>
      </c>
      <c r="P2400" t="s">
        <v>1835</v>
      </c>
      <c r="Y2400" t="s">
        <v>11202</v>
      </c>
    </row>
    <row r="2401" spans="1:25">
      <c r="A2401" t="s">
        <v>11203</v>
      </c>
      <c r="B2401" t="s">
        <v>11204</v>
      </c>
      <c r="D2401" t="s">
        <v>1832</v>
      </c>
      <c r="E2401" t="s">
        <v>41</v>
      </c>
      <c r="J2401" t="s">
        <v>497</v>
      </c>
      <c r="K2401" t="s">
        <v>498</v>
      </c>
      <c r="L2401">
        <v>2</v>
      </c>
      <c r="M2401" t="s">
        <v>11205</v>
      </c>
      <c r="N2401" t="s">
        <v>290</v>
      </c>
      <c r="O2401" t="s">
        <v>1835</v>
      </c>
      <c r="P2401" t="s">
        <v>1835</v>
      </c>
      <c r="Y2401" t="s">
        <v>11206</v>
      </c>
    </row>
    <row r="2402" spans="1:25">
      <c r="A2402" t="s">
        <v>11207</v>
      </c>
      <c r="B2402" t="s">
        <v>11208</v>
      </c>
      <c r="D2402" t="s">
        <v>1832</v>
      </c>
      <c r="E2402" t="s">
        <v>41</v>
      </c>
      <c r="H2402" t="s">
        <v>11209</v>
      </c>
      <c r="J2402" t="s">
        <v>927</v>
      </c>
      <c r="K2402" t="s">
        <v>928</v>
      </c>
      <c r="L2402">
        <v>3</v>
      </c>
      <c r="M2402" t="s">
        <v>11210</v>
      </c>
      <c r="N2402" t="s">
        <v>135</v>
      </c>
      <c r="O2402" t="s">
        <v>1835</v>
      </c>
      <c r="P2402" t="s">
        <v>1835</v>
      </c>
      <c r="Y2402" t="s">
        <v>11209</v>
      </c>
    </row>
    <row r="2403" spans="1:25">
      <c r="A2403" t="s">
        <v>11211</v>
      </c>
      <c r="B2403" t="s">
        <v>11212</v>
      </c>
      <c r="D2403" t="s">
        <v>1832</v>
      </c>
      <c r="E2403" t="s">
        <v>41</v>
      </c>
      <c r="J2403" t="s">
        <v>9719</v>
      </c>
      <c r="K2403" t="s">
        <v>9720</v>
      </c>
      <c r="L2403">
        <v>2</v>
      </c>
      <c r="M2403" t="s">
        <v>11213</v>
      </c>
      <c r="N2403" t="s">
        <v>685</v>
      </c>
      <c r="O2403" t="s">
        <v>1835</v>
      </c>
      <c r="P2403" t="s">
        <v>1835</v>
      </c>
      <c r="Y2403" t="s">
        <v>11214</v>
      </c>
    </row>
    <row r="2404" spans="1:25">
      <c r="A2404" t="s">
        <v>11215</v>
      </c>
      <c r="B2404" t="s">
        <v>11216</v>
      </c>
      <c r="D2404" t="s">
        <v>1832</v>
      </c>
      <c r="E2404" t="s">
        <v>41</v>
      </c>
      <c r="J2404" t="s">
        <v>927</v>
      </c>
      <c r="K2404" t="s">
        <v>928</v>
      </c>
      <c r="L2404">
        <v>2</v>
      </c>
      <c r="M2404" t="s">
        <v>11217</v>
      </c>
      <c r="N2404" t="s">
        <v>290</v>
      </c>
      <c r="O2404" t="s">
        <v>1835</v>
      </c>
      <c r="P2404" t="s">
        <v>1835</v>
      </c>
      <c r="Y2404" t="s">
        <v>11218</v>
      </c>
    </row>
    <row r="2405" spans="1:25">
      <c r="A2405" t="s">
        <v>11219</v>
      </c>
      <c r="B2405" t="s">
        <v>11220</v>
      </c>
      <c r="D2405" t="s">
        <v>1832</v>
      </c>
      <c r="E2405" t="s">
        <v>41</v>
      </c>
      <c r="J2405" t="s">
        <v>9759</v>
      </c>
      <c r="K2405" t="s">
        <v>9760</v>
      </c>
      <c r="L2405">
        <v>3</v>
      </c>
      <c r="M2405" t="s">
        <v>11217</v>
      </c>
      <c r="N2405" t="s">
        <v>47</v>
      </c>
      <c r="O2405" t="s">
        <v>1835</v>
      </c>
      <c r="P2405" t="s">
        <v>1835</v>
      </c>
      <c r="Y2405" t="s">
        <v>11221</v>
      </c>
    </row>
    <row r="2406" spans="1:25">
      <c r="A2406" t="s">
        <v>11222</v>
      </c>
      <c r="B2406" t="s">
        <v>11223</v>
      </c>
      <c r="D2406" t="s">
        <v>1832</v>
      </c>
      <c r="E2406" t="s">
        <v>41</v>
      </c>
      <c r="J2406" t="s">
        <v>9759</v>
      </c>
      <c r="K2406" t="s">
        <v>9760</v>
      </c>
      <c r="L2406">
        <v>3</v>
      </c>
      <c r="M2406" t="s">
        <v>11224</v>
      </c>
      <c r="N2406" t="s">
        <v>47</v>
      </c>
      <c r="O2406" t="s">
        <v>1835</v>
      </c>
      <c r="P2406" t="s">
        <v>1835</v>
      </c>
      <c r="Y2406" t="s">
        <v>11225</v>
      </c>
    </row>
    <row r="2407" spans="1:25">
      <c r="A2407" t="s">
        <v>11226</v>
      </c>
      <c r="B2407" t="s">
        <v>11227</v>
      </c>
      <c r="D2407" t="s">
        <v>40</v>
      </c>
      <c r="E2407" t="s">
        <v>41</v>
      </c>
      <c r="G2407" t="s">
        <v>11228</v>
      </c>
      <c r="H2407" t="s">
        <v>11229</v>
      </c>
      <c r="J2407" t="s">
        <v>497</v>
      </c>
      <c r="K2407" t="s">
        <v>498</v>
      </c>
      <c r="L2407">
        <v>3</v>
      </c>
      <c r="M2407" t="s">
        <v>11230</v>
      </c>
      <c r="N2407" t="s">
        <v>685</v>
      </c>
      <c r="O2407" t="s">
        <v>48</v>
      </c>
      <c r="P2407" t="s">
        <v>48</v>
      </c>
      <c r="Y2407" t="s">
        <v>11231</v>
      </c>
    </row>
    <row r="2408" spans="1:25">
      <c r="A2408" t="s">
        <v>11232</v>
      </c>
      <c r="B2408" t="s">
        <v>11233</v>
      </c>
      <c r="D2408" t="s">
        <v>9473</v>
      </c>
      <c r="E2408" t="s">
        <v>9474</v>
      </c>
      <c r="H2408" t="s">
        <v>11234</v>
      </c>
      <c r="J2408" t="s">
        <v>10321</v>
      </c>
      <c r="K2408" t="s">
        <v>10322</v>
      </c>
      <c r="L2408">
        <v>6</v>
      </c>
      <c r="M2408" t="s">
        <v>11235</v>
      </c>
      <c r="N2408" t="s">
        <v>47</v>
      </c>
      <c r="O2408" t="s">
        <v>9477</v>
      </c>
      <c r="P2408" t="s">
        <v>9477</v>
      </c>
      <c r="Y2408" t="s">
        <v>11234</v>
      </c>
    </row>
    <row r="2409" spans="1:25">
      <c r="A2409" t="s">
        <v>11236</v>
      </c>
      <c r="B2409" t="s">
        <v>11237</v>
      </c>
      <c r="D2409" t="s">
        <v>9473</v>
      </c>
      <c r="E2409" t="s">
        <v>9474</v>
      </c>
      <c r="H2409" t="s">
        <v>11238</v>
      </c>
      <c r="J2409" t="s">
        <v>497</v>
      </c>
      <c r="K2409" t="s">
        <v>498</v>
      </c>
      <c r="L2409">
        <v>8</v>
      </c>
      <c r="M2409" t="s">
        <v>11239</v>
      </c>
      <c r="N2409" t="s">
        <v>685</v>
      </c>
      <c r="O2409" t="s">
        <v>9477</v>
      </c>
      <c r="P2409" t="s">
        <v>9477</v>
      </c>
      <c r="Y2409" t="s">
        <v>11238</v>
      </c>
    </row>
    <row r="2410" spans="1:25">
      <c r="A2410" t="s">
        <v>11240</v>
      </c>
      <c r="B2410" t="s">
        <v>11241</v>
      </c>
      <c r="D2410" t="s">
        <v>9473</v>
      </c>
      <c r="E2410" t="s">
        <v>9474</v>
      </c>
      <c r="H2410" t="s">
        <v>11242</v>
      </c>
      <c r="J2410" t="s">
        <v>353</v>
      </c>
      <c r="K2410" t="s">
        <v>354</v>
      </c>
      <c r="L2410">
        <v>7</v>
      </c>
      <c r="M2410" t="s">
        <v>11243</v>
      </c>
      <c r="N2410" t="s">
        <v>135</v>
      </c>
      <c r="O2410" t="s">
        <v>9477</v>
      </c>
      <c r="P2410" t="s">
        <v>9477</v>
      </c>
      <c r="Y2410" t="s">
        <v>11242</v>
      </c>
    </row>
    <row r="2411" spans="1:25">
      <c r="A2411" t="s">
        <v>11244</v>
      </c>
      <c r="B2411" t="s">
        <v>11245</v>
      </c>
      <c r="D2411" t="s">
        <v>1832</v>
      </c>
      <c r="E2411" t="s">
        <v>41</v>
      </c>
      <c r="J2411" t="s">
        <v>497</v>
      </c>
      <c r="K2411" t="s">
        <v>498</v>
      </c>
      <c r="L2411">
        <v>2</v>
      </c>
      <c r="M2411" t="s">
        <v>11246</v>
      </c>
      <c r="N2411" t="s">
        <v>685</v>
      </c>
      <c r="O2411" t="s">
        <v>1835</v>
      </c>
      <c r="P2411" t="s">
        <v>1835</v>
      </c>
      <c r="Y2411" t="s">
        <v>11247</v>
      </c>
    </row>
    <row r="2412" spans="1:25">
      <c r="A2412" t="s">
        <v>11248</v>
      </c>
      <c r="B2412" t="s">
        <v>11249</v>
      </c>
      <c r="D2412" t="s">
        <v>9473</v>
      </c>
      <c r="E2412" t="s">
        <v>9474</v>
      </c>
      <c r="H2412" t="s">
        <v>11250</v>
      </c>
      <c r="J2412" t="s">
        <v>234</v>
      </c>
      <c r="K2412" t="s">
        <v>235</v>
      </c>
      <c r="L2412">
        <v>8</v>
      </c>
      <c r="M2412" t="s">
        <v>11251</v>
      </c>
      <c r="N2412" t="s">
        <v>47</v>
      </c>
      <c r="O2412" t="s">
        <v>9477</v>
      </c>
      <c r="P2412" t="s">
        <v>9477</v>
      </c>
      <c r="Y2412" t="s">
        <v>11250</v>
      </c>
    </row>
    <row r="2413" spans="1:25">
      <c r="A2413" t="s">
        <v>11252</v>
      </c>
      <c r="B2413" t="s">
        <v>11253</v>
      </c>
      <c r="D2413" t="s">
        <v>9473</v>
      </c>
      <c r="E2413" t="s">
        <v>9474</v>
      </c>
      <c r="J2413" t="s">
        <v>353</v>
      </c>
      <c r="K2413" t="s">
        <v>354</v>
      </c>
      <c r="L2413">
        <v>7</v>
      </c>
      <c r="M2413" t="s">
        <v>11254</v>
      </c>
      <c r="N2413" t="s">
        <v>685</v>
      </c>
      <c r="O2413" t="s">
        <v>9477</v>
      </c>
      <c r="P2413" t="s">
        <v>9477</v>
      </c>
      <c r="Y2413" t="s">
        <v>11255</v>
      </c>
    </row>
    <row r="2414" spans="1:25">
      <c r="A2414" t="s">
        <v>11256</v>
      </c>
      <c r="B2414" t="s">
        <v>11257</v>
      </c>
      <c r="D2414" t="s">
        <v>9473</v>
      </c>
      <c r="E2414" t="s">
        <v>9474</v>
      </c>
      <c r="J2414" t="s">
        <v>133</v>
      </c>
      <c r="K2414" t="s">
        <v>134</v>
      </c>
      <c r="L2414">
        <v>11</v>
      </c>
      <c r="M2414" t="s">
        <v>11258</v>
      </c>
      <c r="N2414" t="s">
        <v>685</v>
      </c>
      <c r="O2414" t="s">
        <v>9477</v>
      </c>
      <c r="P2414" t="s">
        <v>9477</v>
      </c>
      <c r="Y2414" t="s">
        <v>11259</v>
      </c>
    </row>
    <row r="2415" spans="1:25">
      <c r="A2415" t="s">
        <v>11260</v>
      </c>
      <c r="B2415" t="s">
        <v>11261</v>
      </c>
      <c r="D2415" t="s">
        <v>9473</v>
      </c>
      <c r="E2415" t="s">
        <v>9474</v>
      </c>
      <c r="J2415" t="s">
        <v>497</v>
      </c>
      <c r="K2415" t="s">
        <v>498</v>
      </c>
      <c r="L2415">
        <v>7</v>
      </c>
      <c r="M2415" t="s">
        <v>11262</v>
      </c>
      <c r="N2415" t="s">
        <v>685</v>
      </c>
      <c r="O2415" t="s">
        <v>9477</v>
      </c>
      <c r="P2415" t="s">
        <v>9477</v>
      </c>
      <c r="Y2415" t="s">
        <v>11263</v>
      </c>
    </row>
    <row r="2416" spans="1:25">
      <c r="A2416" t="s">
        <v>11264</v>
      </c>
      <c r="B2416" t="s">
        <v>11265</v>
      </c>
      <c r="D2416" t="s">
        <v>40</v>
      </c>
      <c r="E2416" t="s">
        <v>41</v>
      </c>
      <c r="G2416" t="s">
        <v>11266</v>
      </c>
      <c r="H2416" t="s">
        <v>11267</v>
      </c>
      <c r="J2416" t="s">
        <v>2948</v>
      </c>
      <c r="K2416" t="s">
        <v>2949</v>
      </c>
      <c r="L2416">
        <v>2</v>
      </c>
      <c r="M2416" t="s">
        <v>11268</v>
      </c>
      <c r="N2416" t="s">
        <v>685</v>
      </c>
      <c r="O2416" t="s">
        <v>48</v>
      </c>
      <c r="P2416" t="s">
        <v>48</v>
      </c>
      <c r="Y2416" t="s">
        <v>11269</v>
      </c>
    </row>
    <row r="2417" spans="1:25">
      <c r="A2417" t="s">
        <v>11270</v>
      </c>
      <c r="B2417" t="s">
        <v>11271</v>
      </c>
      <c r="D2417" t="s">
        <v>1832</v>
      </c>
      <c r="E2417" t="s">
        <v>41</v>
      </c>
      <c r="J2417" t="s">
        <v>287</v>
      </c>
      <c r="K2417" t="s">
        <v>288</v>
      </c>
      <c r="L2417">
        <v>8</v>
      </c>
      <c r="M2417" t="s">
        <v>11272</v>
      </c>
      <c r="N2417" t="s">
        <v>290</v>
      </c>
      <c r="O2417" t="s">
        <v>1835</v>
      </c>
      <c r="P2417" t="s">
        <v>1835</v>
      </c>
      <c r="Y2417" t="s">
        <v>11273</v>
      </c>
    </row>
    <row r="2418" spans="1:25">
      <c r="A2418" t="s">
        <v>11274</v>
      </c>
      <c r="B2418" t="s">
        <v>11275</v>
      </c>
      <c r="D2418" t="s">
        <v>40</v>
      </c>
      <c r="E2418" t="s">
        <v>41</v>
      </c>
      <c r="G2418" t="s">
        <v>11276</v>
      </c>
      <c r="H2418" t="s">
        <v>11277</v>
      </c>
      <c r="J2418" t="s">
        <v>765</v>
      </c>
      <c r="K2418" t="s">
        <v>766</v>
      </c>
      <c r="L2418">
        <v>2</v>
      </c>
      <c r="M2418" t="s">
        <v>11278</v>
      </c>
      <c r="N2418" t="s">
        <v>685</v>
      </c>
      <c r="O2418" t="s">
        <v>48</v>
      </c>
      <c r="P2418" t="s">
        <v>48</v>
      </c>
      <c r="Y2418" t="s">
        <v>11279</v>
      </c>
    </row>
    <row r="2419" spans="1:25">
      <c r="A2419" t="s">
        <v>11280</v>
      </c>
      <c r="B2419" t="s">
        <v>11281</v>
      </c>
      <c r="D2419" t="s">
        <v>40</v>
      </c>
      <c r="E2419" t="s">
        <v>41</v>
      </c>
      <c r="G2419" t="s">
        <v>4871</v>
      </c>
      <c r="H2419" t="s">
        <v>11282</v>
      </c>
      <c r="J2419" t="s">
        <v>497</v>
      </c>
      <c r="K2419" t="s">
        <v>498</v>
      </c>
      <c r="L2419">
        <v>1</v>
      </c>
      <c r="M2419" t="s">
        <v>11283</v>
      </c>
      <c r="N2419" t="s">
        <v>290</v>
      </c>
      <c r="O2419" t="s">
        <v>48</v>
      </c>
      <c r="P2419" t="s">
        <v>48</v>
      </c>
      <c r="Y2419" t="s">
        <v>11284</v>
      </c>
    </row>
    <row r="2420" spans="1:25">
      <c r="A2420" t="s">
        <v>11285</v>
      </c>
      <c r="B2420" t="s">
        <v>11286</v>
      </c>
      <c r="D2420" t="s">
        <v>40</v>
      </c>
      <c r="E2420" t="s">
        <v>41</v>
      </c>
      <c r="G2420" t="s">
        <v>490</v>
      </c>
      <c r="H2420" t="s">
        <v>11287</v>
      </c>
      <c r="J2420" t="s">
        <v>2605</v>
      </c>
      <c r="K2420" t="s">
        <v>2606</v>
      </c>
      <c r="L2420">
        <v>1</v>
      </c>
      <c r="M2420" t="s">
        <v>11288</v>
      </c>
      <c r="N2420" t="s">
        <v>685</v>
      </c>
      <c r="O2420" t="s">
        <v>48</v>
      </c>
      <c r="P2420" t="s">
        <v>48</v>
      </c>
      <c r="Y2420" t="s">
        <v>11289</v>
      </c>
    </row>
    <row r="2421" spans="1:25">
      <c r="A2421" t="s">
        <v>11290</v>
      </c>
      <c r="B2421" t="s">
        <v>11291</v>
      </c>
      <c r="D2421" t="s">
        <v>40</v>
      </c>
      <c r="E2421" t="s">
        <v>41</v>
      </c>
      <c r="G2421" t="s">
        <v>11292</v>
      </c>
      <c r="H2421" t="s">
        <v>4371</v>
      </c>
      <c r="J2421" t="s">
        <v>2605</v>
      </c>
      <c r="K2421" t="s">
        <v>2606</v>
      </c>
      <c r="L2421">
        <v>1</v>
      </c>
      <c r="M2421" t="s">
        <v>11293</v>
      </c>
      <c r="N2421" t="s">
        <v>685</v>
      </c>
      <c r="O2421" t="s">
        <v>48</v>
      </c>
      <c r="P2421" t="s">
        <v>48</v>
      </c>
      <c r="Y2421" t="s">
        <v>11294</v>
      </c>
    </row>
    <row r="2422" spans="1:25">
      <c r="A2422" t="s">
        <v>11295</v>
      </c>
      <c r="B2422" t="s">
        <v>11296</v>
      </c>
      <c r="D2422" t="s">
        <v>40</v>
      </c>
      <c r="E2422" t="s">
        <v>41</v>
      </c>
      <c r="G2422" t="s">
        <v>6006</v>
      </c>
      <c r="H2422" t="s">
        <v>11297</v>
      </c>
      <c r="J2422" t="s">
        <v>765</v>
      </c>
      <c r="K2422" t="s">
        <v>766</v>
      </c>
      <c r="L2422">
        <v>1</v>
      </c>
      <c r="M2422" t="s">
        <v>11298</v>
      </c>
      <c r="N2422" t="s">
        <v>290</v>
      </c>
      <c r="O2422" t="s">
        <v>48</v>
      </c>
      <c r="P2422" t="s">
        <v>48</v>
      </c>
      <c r="Y2422" t="s">
        <v>11299</v>
      </c>
    </row>
    <row r="2423" spans="1:25">
      <c r="A2423" t="s">
        <v>11300</v>
      </c>
      <c r="B2423" t="s">
        <v>11301</v>
      </c>
      <c r="D2423" t="s">
        <v>40</v>
      </c>
      <c r="E2423" t="s">
        <v>41</v>
      </c>
      <c r="G2423" t="s">
        <v>3670</v>
      </c>
      <c r="H2423" t="s">
        <v>11302</v>
      </c>
      <c r="J2423" t="s">
        <v>5844</v>
      </c>
      <c r="K2423" t="s">
        <v>5845</v>
      </c>
      <c r="L2423">
        <v>1</v>
      </c>
      <c r="M2423" t="s">
        <v>11303</v>
      </c>
      <c r="N2423" t="s">
        <v>135</v>
      </c>
      <c r="O2423" t="s">
        <v>48</v>
      </c>
      <c r="P2423" t="s">
        <v>48</v>
      </c>
      <c r="Y2423" t="s">
        <v>11304</v>
      </c>
    </row>
    <row r="2424" spans="1:25">
      <c r="A2424" t="s">
        <v>11305</v>
      </c>
      <c r="B2424" t="s">
        <v>11306</v>
      </c>
      <c r="D2424" t="s">
        <v>40</v>
      </c>
      <c r="E2424" t="s">
        <v>41</v>
      </c>
      <c r="G2424" t="s">
        <v>168</v>
      </c>
      <c r="H2424" t="s">
        <v>11307</v>
      </c>
      <c r="J2424" t="s">
        <v>2605</v>
      </c>
      <c r="K2424" t="s">
        <v>2606</v>
      </c>
      <c r="L2424">
        <v>1</v>
      </c>
      <c r="M2424" t="s">
        <v>11308</v>
      </c>
      <c r="N2424" t="s">
        <v>685</v>
      </c>
      <c r="O2424" t="s">
        <v>48</v>
      </c>
      <c r="P2424" t="s">
        <v>48</v>
      </c>
      <c r="Y2424" t="s">
        <v>11309</v>
      </c>
    </row>
    <row r="2425" spans="1:25">
      <c r="A2425" t="s">
        <v>11310</v>
      </c>
      <c r="B2425" t="s">
        <v>11311</v>
      </c>
      <c r="D2425" t="s">
        <v>40</v>
      </c>
      <c r="E2425" t="s">
        <v>41</v>
      </c>
      <c r="G2425" t="s">
        <v>11312</v>
      </c>
      <c r="H2425" t="s">
        <v>11313</v>
      </c>
      <c r="J2425" t="s">
        <v>497</v>
      </c>
      <c r="K2425" t="s">
        <v>498</v>
      </c>
      <c r="L2425">
        <v>1</v>
      </c>
      <c r="M2425" t="s">
        <v>11314</v>
      </c>
      <c r="N2425" t="s">
        <v>685</v>
      </c>
      <c r="O2425" t="s">
        <v>48</v>
      </c>
      <c r="P2425" t="s">
        <v>48</v>
      </c>
      <c r="Y2425" t="s">
        <v>11315</v>
      </c>
    </row>
    <row r="2426" spans="1:25">
      <c r="A2426" t="s">
        <v>11316</v>
      </c>
      <c r="B2426" t="s">
        <v>11317</v>
      </c>
      <c r="D2426" t="s">
        <v>40</v>
      </c>
      <c r="E2426" t="s">
        <v>41</v>
      </c>
      <c r="G2426" t="s">
        <v>11318</v>
      </c>
      <c r="H2426" t="s">
        <v>143</v>
      </c>
      <c r="J2426" t="s">
        <v>497</v>
      </c>
      <c r="K2426" t="s">
        <v>498</v>
      </c>
      <c r="L2426">
        <v>1</v>
      </c>
      <c r="M2426" t="s">
        <v>11319</v>
      </c>
      <c r="N2426" t="s">
        <v>685</v>
      </c>
      <c r="O2426" t="s">
        <v>48</v>
      </c>
      <c r="P2426" t="s">
        <v>48</v>
      </c>
      <c r="Y2426" t="s">
        <v>11320</v>
      </c>
    </row>
    <row r="2427" spans="1:25">
      <c r="A2427" t="s">
        <v>11321</v>
      </c>
      <c r="B2427" t="s">
        <v>11322</v>
      </c>
      <c r="D2427" t="s">
        <v>40</v>
      </c>
      <c r="E2427" t="s">
        <v>41</v>
      </c>
      <c r="G2427" t="s">
        <v>1192</v>
      </c>
      <c r="H2427" t="s">
        <v>11323</v>
      </c>
      <c r="J2427" t="s">
        <v>497</v>
      </c>
      <c r="K2427" t="s">
        <v>498</v>
      </c>
      <c r="L2427">
        <v>1</v>
      </c>
      <c r="M2427" t="s">
        <v>11324</v>
      </c>
      <c r="N2427" t="s">
        <v>685</v>
      </c>
      <c r="O2427" t="s">
        <v>48</v>
      </c>
      <c r="P2427" t="s">
        <v>48</v>
      </c>
      <c r="Y2427" t="s">
        <v>11325</v>
      </c>
    </row>
    <row r="2428" spans="1:25">
      <c r="A2428" t="s">
        <v>11326</v>
      </c>
      <c r="B2428" t="s">
        <v>11327</v>
      </c>
      <c r="D2428" t="s">
        <v>1832</v>
      </c>
      <c r="E2428" t="s">
        <v>41</v>
      </c>
      <c r="J2428" t="s">
        <v>497</v>
      </c>
      <c r="K2428" t="s">
        <v>498</v>
      </c>
      <c r="L2428">
        <v>2</v>
      </c>
      <c r="M2428" t="s">
        <v>11328</v>
      </c>
      <c r="N2428" t="s">
        <v>685</v>
      </c>
      <c r="O2428" t="s">
        <v>1835</v>
      </c>
      <c r="P2428" t="s">
        <v>1835</v>
      </c>
      <c r="Y2428" t="s">
        <v>11329</v>
      </c>
    </row>
    <row r="2429" spans="1:25">
      <c r="A2429" t="s">
        <v>11330</v>
      </c>
      <c r="B2429" t="s">
        <v>11331</v>
      </c>
      <c r="D2429" t="s">
        <v>40</v>
      </c>
      <c r="E2429" t="s">
        <v>41</v>
      </c>
      <c r="G2429" t="s">
        <v>3491</v>
      </c>
      <c r="H2429" t="s">
        <v>2494</v>
      </c>
      <c r="J2429" t="s">
        <v>9759</v>
      </c>
      <c r="K2429" t="s">
        <v>9760</v>
      </c>
      <c r="L2429">
        <v>2</v>
      </c>
      <c r="M2429" t="s">
        <v>11332</v>
      </c>
      <c r="N2429" t="s">
        <v>47</v>
      </c>
      <c r="O2429" t="s">
        <v>48</v>
      </c>
      <c r="P2429" t="s">
        <v>48</v>
      </c>
      <c r="Y2429" t="s">
        <v>11333</v>
      </c>
    </row>
    <row r="2430" spans="1:25">
      <c r="A2430" t="s">
        <v>11334</v>
      </c>
      <c r="B2430" t="s">
        <v>11335</v>
      </c>
      <c r="D2430" t="s">
        <v>40</v>
      </c>
      <c r="E2430" t="s">
        <v>41</v>
      </c>
      <c r="G2430" t="s">
        <v>11336</v>
      </c>
      <c r="H2430" t="s">
        <v>11337</v>
      </c>
      <c r="J2430" t="s">
        <v>497</v>
      </c>
      <c r="K2430" t="s">
        <v>498</v>
      </c>
      <c r="L2430">
        <v>2</v>
      </c>
      <c r="M2430" t="s">
        <v>11338</v>
      </c>
      <c r="N2430" t="s">
        <v>685</v>
      </c>
      <c r="O2430" t="s">
        <v>48</v>
      </c>
      <c r="P2430" t="s">
        <v>48</v>
      </c>
      <c r="Y2430" t="s">
        <v>11339</v>
      </c>
    </row>
    <row r="2431" spans="1:25">
      <c r="A2431" t="s">
        <v>11340</v>
      </c>
      <c r="B2431" t="s">
        <v>11341</v>
      </c>
      <c r="D2431" t="s">
        <v>40</v>
      </c>
      <c r="E2431" t="s">
        <v>41</v>
      </c>
      <c r="G2431" t="s">
        <v>11342</v>
      </c>
      <c r="H2431" t="s">
        <v>11343</v>
      </c>
      <c r="J2431" t="s">
        <v>765</v>
      </c>
      <c r="K2431" t="s">
        <v>766</v>
      </c>
      <c r="L2431">
        <v>1</v>
      </c>
      <c r="M2431" t="s">
        <v>11344</v>
      </c>
      <c r="N2431" t="s">
        <v>135</v>
      </c>
      <c r="O2431" t="s">
        <v>48</v>
      </c>
      <c r="P2431" t="s">
        <v>48</v>
      </c>
      <c r="Y2431" t="s">
        <v>11345</v>
      </c>
    </row>
    <row r="2432" spans="1:25">
      <c r="A2432" t="s">
        <v>11346</v>
      </c>
      <c r="B2432" t="s">
        <v>11347</v>
      </c>
      <c r="D2432" t="s">
        <v>40</v>
      </c>
      <c r="E2432" t="s">
        <v>41</v>
      </c>
      <c r="G2432" t="s">
        <v>11348</v>
      </c>
      <c r="H2432" t="s">
        <v>11349</v>
      </c>
      <c r="J2432" t="s">
        <v>2948</v>
      </c>
      <c r="K2432" t="s">
        <v>2949</v>
      </c>
      <c r="L2432">
        <v>1</v>
      </c>
      <c r="M2432" t="s">
        <v>11350</v>
      </c>
      <c r="N2432" t="s">
        <v>290</v>
      </c>
      <c r="O2432" t="s">
        <v>48</v>
      </c>
      <c r="P2432" t="s">
        <v>48</v>
      </c>
      <c r="Y2432" t="s">
        <v>11351</v>
      </c>
    </row>
    <row r="2433" spans="1:25">
      <c r="A2433" t="s">
        <v>11352</v>
      </c>
      <c r="B2433" t="s">
        <v>11353</v>
      </c>
      <c r="D2433" t="s">
        <v>40</v>
      </c>
      <c r="E2433" t="s">
        <v>41</v>
      </c>
      <c r="G2433" t="s">
        <v>11354</v>
      </c>
      <c r="H2433" t="s">
        <v>1308</v>
      </c>
      <c r="J2433" t="s">
        <v>497</v>
      </c>
      <c r="K2433" t="s">
        <v>498</v>
      </c>
      <c r="L2433">
        <v>1</v>
      </c>
      <c r="M2433" t="s">
        <v>11355</v>
      </c>
      <c r="N2433" t="s">
        <v>685</v>
      </c>
      <c r="O2433" t="s">
        <v>48</v>
      </c>
      <c r="P2433" t="s">
        <v>48</v>
      </c>
      <c r="Y2433" t="s">
        <v>11356</v>
      </c>
    </row>
    <row r="2434" spans="1:25">
      <c r="A2434" t="s">
        <v>11357</v>
      </c>
      <c r="B2434" t="s">
        <v>11358</v>
      </c>
      <c r="D2434" t="s">
        <v>40</v>
      </c>
      <c r="E2434" t="s">
        <v>41</v>
      </c>
      <c r="G2434" t="s">
        <v>11359</v>
      </c>
      <c r="H2434" t="s">
        <v>11360</v>
      </c>
      <c r="J2434" t="s">
        <v>497</v>
      </c>
      <c r="K2434" t="s">
        <v>498</v>
      </c>
      <c r="L2434">
        <v>2</v>
      </c>
      <c r="M2434" t="s">
        <v>11361</v>
      </c>
      <c r="N2434" t="s">
        <v>685</v>
      </c>
      <c r="O2434" t="s">
        <v>48</v>
      </c>
      <c r="P2434" t="s">
        <v>48</v>
      </c>
      <c r="Y2434" t="s">
        <v>11362</v>
      </c>
    </row>
    <row r="2435" spans="1:25">
      <c r="A2435" t="s">
        <v>11363</v>
      </c>
      <c r="B2435" t="s">
        <v>11364</v>
      </c>
      <c r="D2435" t="s">
        <v>40</v>
      </c>
      <c r="E2435" t="s">
        <v>41</v>
      </c>
      <c r="G2435" t="s">
        <v>11365</v>
      </c>
      <c r="H2435" t="s">
        <v>11366</v>
      </c>
      <c r="J2435" t="s">
        <v>497</v>
      </c>
      <c r="K2435" t="s">
        <v>498</v>
      </c>
      <c r="L2435">
        <v>1</v>
      </c>
      <c r="M2435" t="s">
        <v>11367</v>
      </c>
      <c r="N2435" t="s">
        <v>290</v>
      </c>
      <c r="O2435" t="s">
        <v>48</v>
      </c>
      <c r="P2435" t="s">
        <v>48</v>
      </c>
      <c r="Y2435" t="s">
        <v>11368</v>
      </c>
    </row>
    <row r="2436" spans="1:25">
      <c r="A2436" t="s">
        <v>11369</v>
      </c>
      <c r="B2436" t="s">
        <v>11370</v>
      </c>
      <c r="D2436" t="s">
        <v>1832</v>
      </c>
      <c r="E2436" t="s">
        <v>41</v>
      </c>
      <c r="J2436" t="s">
        <v>497</v>
      </c>
      <c r="K2436" t="s">
        <v>498</v>
      </c>
      <c r="L2436">
        <v>2</v>
      </c>
      <c r="M2436" t="s">
        <v>11371</v>
      </c>
      <c r="N2436" t="s">
        <v>685</v>
      </c>
      <c r="O2436" t="s">
        <v>1835</v>
      </c>
      <c r="P2436" t="s">
        <v>1835</v>
      </c>
      <c r="Y2436" t="s">
        <v>11372</v>
      </c>
    </row>
    <row r="2437" spans="1:25">
      <c r="A2437" t="s">
        <v>11373</v>
      </c>
      <c r="B2437" t="s">
        <v>11374</v>
      </c>
      <c r="D2437" t="s">
        <v>40</v>
      </c>
      <c r="E2437" t="s">
        <v>41</v>
      </c>
      <c r="G2437" t="s">
        <v>88</v>
      </c>
      <c r="H2437" t="s">
        <v>3846</v>
      </c>
      <c r="J2437" t="s">
        <v>765</v>
      </c>
      <c r="K2437" t="s">
        <v>766</v>
      </c>
      <c r="L2437">
        <v>2</v>
      </c>
      <c r="M2437" t="s">
        <v>11375</v>
      </c>
      <c r="N2437" t="s">
        <v>685</v>
      </c>
      <c r="O2437" t="s">
        <v>48</v>
      </c>
      <c r="P2437" t="s">
        <v>48</v>
      </c>
      <c r="Y2437" t="s">
        <v>11376</v>
      </c>
    </row>
    <row r="2438" spans="1:25">
      <c r="A2438" t="s">
        <v>11377</v>
      </c>
      <c r="B2438" t="s">
        <v>11378</v>
      </c>
      <c r="D2438" t="s">
        <v>40</v>
      </c>
      <c r="E2438" t="s">
        <v>41</v>
      </c>
      <c r="G2438" t="s">
        <v>11379</v>
      </c>
      <c r="H2438" t="s">
        <v>11380</v>
      </c>
      <c r="J2438" t="s">
        <v>10083</v>
      </c>
      <c r="K2438" t="s">
        <v>10084</v>
      </c>
      <c r="L2438">
        <v>1</v>
      </c>
      <c r="M2438" t="s">
        <v>11381</v>
      </c>
      <c r="N2438" t="s">
        <v>685</v>
      </c>
      <c r="O2438" t="s">
        <v>48</v>
      </c>
      <c r="P2438" t="s">
        <v>48</v>
      </c>
      <c r="Y2438" t="s">
        <v>11382</v>
      </c>
    </row>
    <row r="2439" spans="1:25">
      <c r="A2439" t="s">
        <v>11383</v>
      </c>
      <c r="B2439" t="s">
        <v>11384</v>
      </c>
      <c r="D2439" t="s">
        <v>40</v>
      </c>
      <c r="E2439" t="s">
        <v>41</v>
      </c>
      <c r="G2439" t="s">
        <v>11385</v>
      </c>
      <c r="H2439" t="s">
        <v>11386</v>
      </c>
      <c r="J2439" t="s">
        <v>497</v>
      </c>
      <c r="K2439" t="s">
        <v>498</v>
      </c>
      <c r="L2439">
        <v>1</v>
      </c>
      <c r="M2439" t="s">
        <v>11387</v>
      </c>
      <c r="N2439" t="s">
        <v>135</v>
      </c>
      <c r="O2439" t="s">
        <v>48</v>
      </c>
      <c r="P2439" t="s">
        <v>48</v>
      </c>
      <c r="Y2439" t="s">
        <v>11388</v>
      </c>
    </row>
    <row r="2440" spans="1:25">
      <c r="A2440" t="s">
        <v>11389</v>
      </c>
      <c r="B2440" t="s">
        <v>11390</v>
      </c>
      <c r="D2440" t="s">
        <v>40</v>
      </c>
      <c r="E2440" t="s">
        <v>41</v>
      </c>
      <c r="G2440" t="s">
        <v>11391</v>
      </c>
      <c r="H2440" t="s">
        <v>11392</v>
      </c>
      <c r="J2440" t="s">
        <v>497</v>
      </c>
      <c r="K2440" t="s">
        <v>498</v>
      </c>
      <c r="L2440">
        <v>1</v>
      </c>
      <c r="M2440" t="s">
        <v>11393</v>
      </c>
      <c r="N2440" t="s">
        <v>685</v>
      </c>
      <c r="O2440" t="s">
        <v>48</v>
      </c>
      <c r="P2440" t="s">
        <v>48</v>
      </c>
      <c r="Y2440" t="s">
        <v>11394</v>
      </c>
    </row>
    <row r="2441" spans="1:25">
      <c r="A2441" t="s">
        <v>11395</v>
      </c>
      <c r="B2441" t="s">
        <v>11396</v>
      </c>
      <c r="D2441" t="s">
        <v>40</v>
      </c>
      <c r="E2441" t="s">
        <v>41</v>
      </c>
      <c r="G2441" t="s">
        <v>3407</v>
      </c>
      <c r="H2441" t="s">
        <v>11397</v>
      </c>
      <c r="J2441" t="s">
        <v>927</v>
      </c>
      <c r="K2441" t="s">
        <v>928</v>
      </c>
      <c r="L2441">
        <v>1</v>
      </c>
      <c r="M2441" t="s">
        <v>11398</v>
      </c>
      <c r="N2441" t="s">
        <v>290</v>
      </c>
      <c r="O2441" t="s">
        <v>48</v>
      </c>
      <c r="P2441" t="s">
        <v>48</v>
      </c>
      <c r="Y2441" t="s">
        <v>11399</v>
      </c>
    </row>
    <row r="2442" spans="1:25">
      <c r="A2442" t="s">
        <v>11400</v>
      </c>
      <c r="B2442" t="s">
        <v>11401</v>
      </c>
      <c r="D2442" t="s">
        <v>40</v>
      </c>
      <c r="E2442" t="s">
        <v>41</v>
      </c>
      <c r="G2442" t="s">
        <v>11402</v>
      </c>
      <c r="H2442" t="s">
        <v>11403</v>
      </c>
      <c r="J2442" t="s">
        <v>2605</v>
      </c>
      <c r="K2442" t="s">
        <v>2606</v>
      </c>
      <c r="L2442">
        <v>1</v>
      </c>
      <c r="M2442" t="s">
        <v>11404</v>
      </c>
      <c r="N2442" t="s">
        <v>685</v>
      </c>
      <c r="O2442" t="s">
        <v>48</v>
      </c>
      <c r="P2442" t="s">
        <v>48</v>
      </c>
      <c r="Y2442" t="s">
        <v>11405</v>
      </c>
    </row>
    <row r="2443" spans="1:25">
      <c r="A2443" t="s">
        <v>11406</v>
      </c>
      <c r="B2443" t="s">
        <v>11407</v>
      </c>
      <c r="D2443" t="s">
        <v>40</v>
      </c>
      <c r="E2443" t="s">
        <v>41</v>
      </c>
      <c r="G2443" t="s">
        <v>11408</v>
      </c>
      <c r="H2443" t="s">
        <v>2021</v>
      </c>
      <c r="J2443" t="s">
        <v>927</v>
      </c>
      <c r="K2443" t="s">
        <v>928</v>
      </c>
      <c r="L2443">
        <v>2</v>
      </c>
      <c r="M2443" t="s">
        <v>11409</v>
      </c>
      <c r="N2443" t="s">
        <v>135</v>
      </c>
      <c r="O2443" t="s">
        <v>48</v>
      </c>
      <c r="P2443" t="s">
        <v>48</v>
      </c>
      <c r="Y2443" t="s">
        <v>11410</v>
      </c>
    </row>
    <row r="2444" spans="1:25">
      <c r="A2444" t="s">
        <v>11411</v>
      </c>
      <c r="B2444" t="s">
        <v>11412</v>
      </c>
      <c r="D2444" t="s">
        <v>40</v>
      </c>
      <c r="E2444" t="s">
        <v>41</v>
      </c>
      <c r="G2444" t="s">
        <v>4354</v>
      </c>
      <c r="H2444" t="s">
        <v>11413</v>
      </c>
      <c r="J2444" t="s">
        <v>2605</v>
      </c>
      <c r="K2444" t="s">
        <v>2606</v>
      </c>
      <c r="L2444">
        <v>1</v>
      </c>
      <c r="M2444" t="s">
        <v>11414</v>
      </c>
      <c r="N2444" t="s">
        <v>685</v>
      </c>
      <c r="O2444" t="s">
        <v>48</v>
      </c>
      <c r="P2444" t="s">
        <v>48</v>
      </c>
      <c r="Y2444" t="s">
        <v>11415</v>
      </c>
    </row>
    <row r="2445" spans="1:25">
      <c r="A2445" t="s">
        <v>11416</v>
      </c>
      <c r="B2445" t="s">
        <v>11417</v>
      </c>
      <c r="D2445" t="s">
        <v>40</v>
      </c>
      <c r="E2445" t="s">
        <v>41</v>
      </c>
      <c r="G2445" t="s">
        <v>3320</v>
      </c>
      <c r="H2445" t="s">
        <v>11418</v>
      </c>
      <c r="J2445" t="s">
        <v>765</v>
      </c>
      <c r="K2445" t="s">
        <v>766</v>
      </c>
      <c r="L2445">
        <v>1</v>
      </c>
      <c r="M2445" t="s">
        <v>11419</v>
      </c>
      <c r="N2445" t="s">
        <v>685</v>
      </c>
      <c r="O2445" t="s">
        <v>48</v>
      </c>
      <c r="P2445" t="s">
        <v>48</v>
      </c>
      <c r="Y2445" t="s">
        <v>11420</v>
      </c>
    </row>
    <row r="2446" spans="1:25">
      <c r="A2446" t="s">
        <v>11421</v>
      </c>
      <c r="B2446" t="s">
        <v>11422</v>
      </c>
      <c r="D2446" t="s">
        <v>40</v>
      </c>
      <c r="E2446" t="s">
        <v>41</v>
      </c>
      <c r="J2446" t="s">
        <v>9719</v>
      </c>
      <c r="K2446" t="s">
        <v>9720</v>
      </c>
      <c r="L2446">
        <v>1</v>
      </c>
      <c r="M2446" t="s">
        <v>11423</v>
      </c>
      <c r="N2446" t="s">
        <v>135</v>
      </c>
      <c r="O2446" t="s">
        <v>48</v>
      </c>
      <c r="P2446" t="s">
        <v>48</v>
      </c>
      <c r="Y2446" t="s">
        <v>11424</v>
      </c>
    </row>
    <row r="2447" spans="1:25">
      <c r="A2447" t="s">
        <v>11425</v>
      </c>
      <c r="B2447" t="s">
        <v>11426</v>
      </c>
      <c r="D2447" t="s">
        <v>40</v>
      </c>
      <c r="E2447" t="s">
        <v>41</v>
      </c>
      <c r="G2447" t="s">
        <v>11427</v>
      </c>
      <c r="H2447" t="s">
        <v>11428</v>
      </c>
      <c r="J2447" t="s">
        <v>765</v>
      </c>
      <c r="K2447" t="s">
        <v>766</v>
      </c>
      <c r="L2447">
        <v>1</v>
      </c>
      <c r="M2447" t="s">
        <v>11429</v>
      </c>
      <c r="N2447" t="s">
        <v>685</v>
      </c>
      <c r="O2447" t="s">
        <v>48</v>
      </c>
      <c r="P2447" t="s">
        <v>48</v>
      </c>
      <c r="Y2447" t="s">
        <v>11430</v>
      </c>
    </row>
    <row r="2448" spans="1:25">
      <c r="A2448" t="s">
        <v>11431</v>
      </c>
      <c r="B2448" t="s">
        <v>11432</v>
      </c>
      <c r="D2448" t="s">
        <v>9473</v>
      </c>
      <c r="E2448" t="s">
        <v>9474</v>
      </c>
      <c r="J2448" t="s">
        <v>133</v>
      </c>
      <c r="K2448" t="s">
        <v>134</v>
      </c>
      <c r="L2448">
        <v>7</v>
      </c>
      <c r="M2448" t="s">
        <v>11433</v>
      </c>
      <c r="N2448" t="s">
        <v>135</v>
      </c>
      <c r="O2448" t="s">
        <v>9477</v>
      </c>
      <c r="P2448" t="s">
        <v>9477</v>
      </c>
      <c r="Y2448" t="s">
        <v>11434</v>
      </c>
    </row>
    <row r="2449" spans="1:25">
      <c r="A2449" t="s">
        <v>11435</v>
      </c>
      <c r="B2449" t="s">
        <v>11436</v>
      </c>
      <c r="D2449" t="s">
        <v>40</v>
      </c>
      <c r="E2449" t="s">
        <v>41</v>
      </c>
      <c r="G2449" t="s">
        <v>180</v>
      </c>
      <c r="H2449" t="s">
        <v>11437</v>
      </c>
      <c r="J2449" t="s">
        <v>765</v>
      </c>
      <c r="K2449" t="s">
        <v>766</v>
      </c>
      <c r="L2449">
        <v>1</v>
      </c>
      <c r="M2449" t="s">
        <v>11438</v>
      </c>
      <c r="N2449" t="s">
        <v>685</v>
      </c>
      <c r="O2449" t="s">
        <v>48</v>
      </c>
      <c r="P2449" t="s">
        <v>48</v>
      </c>
      <c r="Y2449" t="s">
        <v>11439</v>
      </c>
    </row>
    <row r="2450" spans="1:25">
      <c r="A2450" t="s">
        <v>11440</v>
      </c>
      <c r="B2450" t="s">
        <v>11441</v>
      </c>
      <c r="D2450" t="s">
        <v>40</v>
      </c>
      <c r="E2450" t="s">
        <v>41</v>
      </c>
      <c r="G2450" t="s">
        <v>11442</v>
      </c>
      <c r="H2450" t="s">
        <v>11443</v>
      </c>
      <c r="J2450" t="s">
        <v>765</v>
      </c>
      <c r="K2450" t="s">
        <v>766</v>
      </c>
      <c r="L2450">
        <v>1</v>
      </c>
      <c r="M2450" t="s">
        <v>11444</v>
      </c>
      <c r="N2450" t="s">
        <v>685</v>
      </c>
      <c r="O2450" t="s">
        <v>48</v>
      </c>
      <c r="P2450" t="s">
        <v>48</v>
      </c>
      <c r="Y2450" t="s">
        <v>11445</v>
      </c>
    </row>
    <row r="2451" spans="1:25">
      <c r="A2451" t="s">
        <v>11446</v>
      </c>
      <c r="B2451" t="s">
        <v>11447</v>
      </c>
      <c r="D2451" t="s">
        <v>40</v>
      </c>
      <c r="E2451" t="s">
        <v>41</v>
      </c>
      <c r="G2451" t="s">
        <v>11448</v>
      </c>
      <c r="H2451" t="s">
        <v>11449</v>
      </c>
      <c r="J2451" t="s">
        <v>765</v>
      </c>
      <c r="K2451" t="s">
        <v>766</v>
      </c>
      <c r="L2451">
        <v>1</v>
      </c>
      <c r="M2451" t="s">
        <v>11450</v>
      </c>
      <c r="N2451" t="s">
        <v>685</v>
      </c>
      <c r="O2451" t="s">
        <v>48</v>
      </c>
      <c r="P2451" t="s">
        <v>48</v>
      </c>
      <c r="Y2451" t="s">
        <v>11451</v>
      </c>
    </row>
    <row r="2452" spans="1:25">
      <c r="A2452" t="s">
        <v>11452</v>
      </c>
      <c r="B2452" t="s">
        <v>11453</v>
      </c>
      <c r="D2452" t="s">
        <v>40</v>
      </c>
      <c r="E2452" t="s">
        <v>41</v>
      </c>
      <c r="G2452" t="s">
        <v>11454</v>
      </c>
      <c r="H2452" t="s">
        <v>11455</v>
      </c>
      <c r="J2452" t="s">
        <v>765</v>
      </c>
      <c r="K2452" t="s">
        <v>766</v>
      </c>
      <c r="L2452">
        <v>1</v>
      </c>
      <c r="M2452" t="s">
        <v>11456</v>
      </c>
      <c r="N2452" t="s">
        <v>290</v>
      </c>
      <c r="O2452" t="s">
        <v>48</v>
      </c>
      <c r="P2452" t="s">
        <v>48</v>
      </c>
      <c r="Y2452" t="s">
        <v>11457</v>
      </c>
    </row>
    <row r="2453" spans="1:25">
      <c r="A2453" t="s">
        <v>11458</v>
      </c>
      <c r="B2453" t="s">
        <v>11459</v>
      </c>
      <c r="D2453" t="s">
        <v>40</v>
      </c>
      <c r="E2453" t="s">
        <v>41</v>
      </c>
      <c r="G2453" t="s">
        <v>11460</v>
      </c>
      <c r="H2453" t="s">
        <v>11461</v>
      </c>
      <c r="J2453" t="s">
        <v>765</v>
      </c>
      <c r="K2453" t="s">
        <v>766</v>
      </c>
      <c r="L2453">
        <v>1</v>
      </c>
      <c r="M2453" t="s">
        <v>11462</v>
      </c>
      <c r="N2453" t="s">
        <v>685</v>
      </c>
      <c r="O2453" t="s">
        <v>48</v>
      </c>
      <c r="P2453" t="s">
        <v>48</v>
      </c>
      <c r="Y2453" t="s">
        <v>11463</v>
      </c>
    </row>
    <row r="2454" spans="1:25">
      <c r="A2454" t="s">
        <v>11464</v>
      </c>
      <c r="B2454" t="s">
        <v>11465</v>
      </c>
      <c r="D2454" t="s">
        <v>9473</v>
      </c>
      <c r="E2454" t="s">
        <v>9474</v>
      </c>
      <c r="J2454" t="s">
        <v>497</v>
      </c>
      <c r="K2454" t="s">
        <v>498</v>
      </c>
      <c r="L2454">
        <v>8</v>
      </c>
      <c r="M2454" t="s">
        <v>11466</v>
      </c>
      <c r="N2454" t="s">
        <v>685</v>
      </c>
      <c r="O2454" t="s">
        <v>9477</v>
      </c>
      <c r="P2454" t="s">
        <v>9477</v>
      </c>
      <c r="Y2454" t="s">
        <v>11467</v>
      </c>
    </row>
    <row r="2455" spans="1:25">
      <c r="A2455" t="s">
        <v>11468</v>
      </c>
      <c r="B2455" t="s">
        <v>11469</v>
      </c>
      <c r="D2455" t="s">
        <v>40</v>
      </c>
      <c r="E2455" t="s">
        <v>41</v>
      </c>
      <c r="J2455" t="s">
        <v>9759</v>
      </c>
      <c r="K2455" t="s">
        <v>9760</v>
      </c>
      <c r="L2455">
        <v>2</v>
      </c>
      <c r="M2455" t="s">
        <v>11470</v>
      </c>
      <c r="N2455" t="s">
        <v>47</v>
      </c>
      <c r="O2455" t="s">
        <v>48</v>
      </c>
      <c r="P2455" t="s">
        <v>48</v>
      </c>
      <c r="Y2455" t="s">
        <v>11471</v>
      </c>
    </row>
    <row r="2456" spans="1:25">
      <c r="A2456" t="s">
        <v>11472</v>
      </c>
      <c r="B2456" t="s">
        <v>11473</v>
      </c>
      <c r="D2456" t="s">
        <v>40</v>
      </c>
      <c r="E2456" t="s">
        <v>41</v>
      </c>
      <c r="G2456" t="s">
        <v>11474</v>
      </c>
      <c r="H2456" t="s">
        <v>11475</v>
      </c>
      <c r="J2456" t="s">
        <v>2605</v>
      </c>
      <c r="K2456" t="s">
        <v>2606</v>
      </c>
      <c r="L2456">
        <v>1</v>
      </c>
      <c r="M2456" t="s">
        <v>11476</v>
      </c>
      <c r="N2456" t="s">
        <v>685</v>
      </c>
      <c r="O2456" t="s">
        <v>48</v>
      </c>
      <c r="P2456" t="s">
        <v>48</v>
      </c>
      <c r="Y2456" t="s">
        <v>11477</v>
      </c>
    </row>
    <row r="2457" spans="1:25">
      <c r="A2457" t="s">
        <v>11478</v>
      </c>
      <c r="B2457" t="s">
        <v>11479</v>
      </c>
      <c r="D2457" t="s">
        <v>9473</v>
      </c>
      <c r="E2457" t="s">
        <v>9474</v>
      </c>
      <c r="J2457" t="s">
        <v>353</v>
      </c>
      <c r="K2457" t="s">
        <v>354</v>
      </c>
      <c r="L2457">
        <v>7</v>
      </c>
      <c r="M2457" t="s">
        <v>11480</v>
      </c>
      <c r="N2457" t="s">
        <v>685</v>
      </c>
      <c r="O2457" t="s">
        <v>9477</v>
      </c>
      <c r="P2457" t="s">
        <v>9477</v>
      </c>
      <c r="Y2457" t="s">
        <v>11481</v>
      </c>
    </row>
    <row r="2458" spans="1:25">
      <c r="A2458" t="s">
        <v>11482</v>
      </c>
      <c r="B2458" t="s">
        <v>11483</v>
      </c>
      <c r="D2458" t="s">
        <v>40</v>
      </c>
      <c r="E2458" t="s">
        <v>41</v>
      </c>
      <c r="G2458" t="s">
        <v>11484</v>
      </c>
      <c r="H2458" t="s">
        <v>11485</v>
      </c>
      <c r="J2458" t="s">
        <v>2605</v>
      </c>
      <c r="K2458" t="s">
        <v>2606</v>
      </c>
      <c r="L2458">
        <v>1</v>
      </c>
      <c r="M2458" t="s">
        <v>11486</v>
      </c>
      <c r="N2458" t="s">
        <v>685</v>
      </c>
      <c r="O2458" t="s">
        <v>48</v>
      </c>
      <c r="P2458" t="s">
        <v>48</v>
      </c>
      <c r="Y2458" t="s">
        <v>11487</v>
      </c>
    </row>
    <row r="2459" spans="1:25">
      <c r="A2459" t="s">
        <v>11488</v>
      </c>
      <c r="B2459" t="s">
        <v>11489</v>
      </c>
      <c r="D2459" t="s">
        <v>40</v>
      </c>
      <c r="E2459" t="s">
        <v>41</v>
      </c>
      <c r="G2459" t="s">
        <v>11490</v>
      </c>
      <c r="H2459" t="s">
        <v>253</v>
      </c>
      <c r="J2459" t="s">
        <v>2605</v>
      </c>
      <c r="K2459" t="s">
        <v>2606</v>
      </c>
      <c r="L2459">
        <v>1</v>
      </c>
      <c r="M2459" t="s">
        <v>11491</v>
      </c>
      <c r="N2459" t="s">
        <v>685</v>
      </c>
      <c r="O2459" t="s">
        <v>48</v>
      </c>
      <c r="P2459" t="s">
        <v>48</v>
      </c>
      <c r="Y2459" t="s">
        <v>11492</v>
      </c>
    </row>
    <row r="2460" spans="1:25">
      <c r="A2460" t="s">
        <v>11493</v>
      </c>
      <c r="B2460" t="s">
        <v>11494</v>
      </c>
      <c r="D2460" t="s">
        <v>1832</v>
      </c>
      <c r="E2460" t="s">
        <v>41</v>
      </c>
      <c r="J2460" t="s">
        <v>683</v>
      </c>
      <c r="K2460" t="s">
        <v>684</v>
      </c>
      <c r="L2460">
        <v>2</v>
      </c>
      <c r="M2460" t="s">
        <v>11495</v>
      </c>
      <c r="N2460" t="s">
        <v>685</v>
      </c>
      <c r="O2460" t="s">
        <v>1835</v>
      </c>
      <c r="P2460" t="s">
        <v>1835</v>
      </c>
      <c r="Y2460" t="s">
        <v>11496</v>
      </c>
    </row>
    <row r="2461" spans="1:25">
      <c r="A2461" t="s">
        <v>11497</v>
      </c>
      <c r="B2461" t="s">
        <v>11498</v>
      </c>
      <c r="D2461" t="s">
        <v>40</v>
      </c>
      <c r="E2461" t="s">
        <v>41</v>
      </c>
      <c r="G2461" t="s">
        <v>671</v>
      </c>
      <c r="H2461" t="s">
        <v>9942</v>
      </c>
      <c r="J2461" t="s">
        <v>9719</v>
      </c>
      <c r="K2461" t="s">
        <v>9720</v>
      </c>
      <c r="L2461">
        <v>1</v>
      </c>
      <c r="M2461" t="s">
        <v>11499</v>
      </c>
      <c r="N2461" t="s">
        <v>685</v>
      </c>
      <c r="O2461" t="s">
        <v>48</v>
      </c>
      <c r="P2461" t="s">
        <v>48</v>
      </c>
      <c r="Y2461" t="s">
        <v>11500</v>
      </c>
    </row>
    <row r="2462" spans="1:25">
      <c r="A2462" t="s">
        <v>11501</v>
      </c>
      <c r="B2462" t="s">
        <v>11502</v>
      </c>
      <c r="D2462" t="s">
        <v>9473</v>
      </c>
      <c r="E2462" t="s">
        <v>9474</v>
      </c>
      <c r="H2462" t="s">
        <v>11503</v>
      </c>
      <c r="J2462" t="s">
        <v>234</v>
      </c>
      <c r="K2462" t="s">
        <v>235</v>
      </c>
      <c r="L2462">
        <v>6</v>
      </c>
      <c r="M2462" t="s">
        <v>11504</v>
      </c>
      <c r="N2462" t="s">
        <v>47</v>
      </c>
      <c r="O2462" t="s">
        <v>9477</v>
      </c>
      <c r="P2462" t="s">
        <v>9477</v>
      </c>
      <c r="Y2462" t="s">
        <v>11503</v>
      </c>
    </row>
    <row r="2463" spans="1:25">
      <c r="A2463" t="s">
        <v>11505</v>
      </c>
      <c r="B2463" t="s">
        <v>11506</v>
      </c>
      <c r="D2463" t="s">
        <v>40</v>
      </c>
      <c r="E2463" t="s">
        <v>41</v>
      </c>
      <c r="G2463" t="s">
        <v>11507</v>
      </c>
      <c r="H2463" t="s">
        <v>11508</v>
      </c>
      <c r="J2463" t="s">
        <v>765</v>
      </c>
      <c r="K2463" t="s">
        <v>766</v>
      </c>
      <c r="L2463">
        <v>1</v>
      </c>
      <c r="M2463" t="s">
        <v>11509</v>
      </c>
      <c r="N2463" t="s">
        <v>685</v>
      </c>
      <c r="O2463" t="s">
        <v>48</v>
      </c>
      <c r="P2463" t="s">
        <v>48</v>
      </c>
      <c r="Y2463" t="s">
        <v>11510</v>
      </c>
    </row>
    <row r="2464" spans="1:25">
      <c r="A2464" t="s">
        <v>11511</v>
      </c>
      <c r="B2464" t="s">
        <v>11512</v>
      </c>
      <c r="D2464" t="s">
        <v>40</v>
      </c>
      <c r="E2464" t="s">
        <v>41</v>
      </c>
      <c r="G2464" t="s">
        <v>11513</v>
      </c>
      <c r="H2464" t="s">
        <v>11514</v>
      </c>
      <c r="J2464" t="s">
        <v>765</v>
      </c>
      <c r="K2464" t="s">
        <v>766</v>
      </c>
      <c r="L2464">
        <v>2</v>
      </c>
      <c r="M2464" t="s">
        <v>11515</v>
      </c>
      <c r="N2464" t="s">
        <v>685</v>
      </c>
      <c r="O2464" t="s">
        <v>48</v>
      </c>
      <c r="P2464" t="s">
        <v>48</v>
      </c>
      <c r="Y2464" t="s">
        <v>11516</v>
      </c>
    </row>
    <row r="2465" spans="1:25">
      <c r="A2465" t="s">
        <v>11517</v>
      </c>
      <c r="B2465" t="s">
        <v>11518</v>
      </c>
      <c r="D2465" t="s">
        <v>40</v>
      </c>
      <c r="E2465" t="s">
        <v>41</v>
      </c>
      <c r="G2465" t="s">
        <v>1176</v>
      </c>
      <c r="H2465" t="s">
        <v>1653</v>
      </c>
      <c r="J2465" t="s">
        <v>497</v>
      </c>
      <c r="K2465" t="s">
        <v>498</v>
      </c>
      <c r="L2465">
        <v>1</v>
      </c>
      <c r="M2465" t="s">
        <v>11519</v>
      </c>
      <c r="N2465" t="s">
        <v>290</v>
      </c>
      <c r="O2465" t="s">
        <v>48</v>
      </c>
      <c r="P2465" t="s">
        <v>48</v>
      </c>
      <c r="Y2465" t="s">
        <v>11520</v>
      </c>
    </row>
    <row r="2466" spans="1:25">
      <c r="A2466" t="s">
        <v>11521</v>
      </c>
      <c r="B2466" t="s">
        <v>11522</v>
      </c>
      <c r="D2466" t="s">
        <v>1832</v>
      </c>
      <c r="E2466" t="s">
        <v>41</v>
      </c>
      <c r="J2466" t="s">
        <v>497</v>
      </c>
      <c r="K2466" t="s">
        <v>498</v>
      </c>
      <c r="L2466">
        <v>2</v>
      </c>
      <c r="M2466" t="s">
        <v>11523</v>
      </c>
      <c r="N2466" t="s">
        <v>685</v>
      </c>
      <c r="O2466" t="s">
        <v>1835</v>
      </c>
      <c r="P2466" t="s">
        <v>1835</v>
      </c>
      <c r="Y2466" t="s">
        <v>11524</v>
      </c>
    </row>
    <row r="2467" spans="1:25">
      <c r="A2467" t="s">
        <v>11525</v>
      </c>
      <c r="B2467" t="s">
        <v>11526</v>
      </c>
      <c r="D2467" t="s">
        <v>40</v>
      </c>
      <c r="E2467" t="s">
        <v>41</v>
      </c>
      <c r="G2467" t="s">
        <v>2749</v>
      </c>
      <c r="H2467" t="s">
        <v>11527</v>
      </c>
      <c r="J2467" t="s">
        <v>765</v>
      </c>
      <c r="K2467" t="s">
        <v>766</v>
      </c>
      <c r="L2467">
        <v>1</v>
      </c>
      <c r="M2467" t="s">
        <v>11528</v>
      </c>
      <c r="N2467" t="s">
        <v>290</v>
      </c>
      <c r="O2467" t="s">
        <v>48</v>
      </c>
      <c r="P2467" t="s">
        <v>48</v>
      </c>
      <c r="Y2467" t="s">
        <v>11529</v>
      </c>
    </row>
    <row r="2468" spans="1:25">
      <c r="A2468" t="s">
        <v>11530</v>
      </c>
      <c r="B2468" t="s">
        <v>11531</v>
      </c>
      <c r="D2468" t="s">
        <v>40</v>
      </c>
      <c r="E2468" t="s">
        <v>41</v>
      </c>
      <c r="G2468" t="s">
        <v>11532</v>
      </c>
      <c r="H2468" t="s">
        <v>11533</v>
      </c>
      <c r="J2468" t="s">
        <v>2605</v>
      </c>
      <c r="K2468" t="s">
        <v>2606</v>
      </c>
      <c r="L2468">
        <v>1</v>
      </c>
      <c r="M2468" t="s">
        <v>11534</v>
      </c>
      <c r="N2468" t="s">
        <v>290</v>
      </c>
      <c r="O2468" t="s">
        <v>48</v>
      </c>
      <c r="P2468" t="s">
        <v>48</v>
      </c>
      <c r="Y2468" t="s">
        <v>11535</v>
      </c>
    </row>
    <row r="2469" spans="1:25">
      <c r="A2469" t="s">
        <v>11536</v>
      </c>
      <c r="B2469" t="s">
        <v>11537</v>
      </c>
      <c r="D2469" t="s">
        <v>40</v>
      </c>
      <c r="E2469" t="s">
        <v>41</v>
      </c>
      <c r="G2469" t="s">
        <v>11538</v>
      </c>
      <c r="H2469" t="s">
        <v>4387</v>
      </c>
      <c r="J2469" t="s">
        <v>9719</v>
      </c>
      <c r="K2469" t="s">
        <v>9720</v>
      </c>
      <c r="L2469">
        <v>1</v>
      </c>
      <c r="M2469" t="s">
        <v>11539</v>
      </c>
      <c r="N2469" t="s">
        <v>135</v>
      </c>
      <c r="O2469" t="s">
        <v>48</v>
      </c>
      <c r="P2469" t="s">
        <v>48</v>
      </c>
      <c r="Y2469" t="s">
        <v>11540</v>
      </c>
    </row>
    <row r="2470" spans="1:25">
      <c r="A2470" t="s">
        <v>11541</v>
      </c>
      <c r="B2470" t="s">
        <v>11542</v>
      </c>
      <c r="D2470" t="s">
        <v>40</v>
      </c>
      <c r="E2470" t="s">
        <v>41</v>
      </c>
      <c r="G2470" t="s">
        <v>11543</v>
      </c>
      <c r="H2470" t="s">
        <v>11544</v>
      </c>
      <c r="J2470" t="s">
        <v>2605</v>
      </c>
      <c r="K2470" t="s">
        <v>2606</v>
      </c>
      <c r="L2470">
        <v>1</v>
      </c>
      <c r="M2470" t="s">
        <v>11545</v>
      </c>
      <c r="N2470" t="s">
        <v>290</v>
      </c>
      <c r="O2470" t="s">
        <v>48</v>
      </c>
      <c r="P2470" t="s">
        <v>48</v>
      </c>
      <c r="Y2470" t="s">
        <v>11546</v>
      </c>
    </row>
    <row r="2471" spans="1:25">
      <c r="A2471" t="s">
        <v>11547</v>
      </c>
      <c r="B2471" t="s">
        <v>11548</v>
      </c>
      <c r="D2471" t="s">
        <v>40</v>
      </c>
      <c r="E2471" t="s">
        <v>41</v>
      </c>
      <c r="J2471" t="s">
        <v>497</v>
      </c>
      <c r="K2471" t="s">
        <v>498</v>
      </c>
      <c r="L2471">
        <v>1</v>
      </c>
      <c r="M2471" t="s">
        <v>11549</v>
      </c>
      <c r="N2471" t="s">
        <v>135</v>
      </c>
      <c r="O2471" t="s">
        <v>48</v>
      </c>
      <c r="P2471" t="s">
        <v>48</v>
      </c>
      <c r="Y2471" t="s">
        <v>11550</v>
      </c>
    </row>
    <row r="2472" spans="1:25">
      <c r="A2472" t="s">
        <v>11551</v>
      </c>
      <c r="B2472" t="s">
        <v>11552</v>
      </c>
      <c r="D2472" t="s">
        <v>40</v>
      </c>
      <c r="E2472" t="s">
        <v>41</v>
      </c>
      <c r="G2472" t="s">
        <v>547</v>
      </c>
      <c r="H2472" t="s">
        <v>3365</v>
      </c>
      <c r="J2472" t="s">
        <v>497</v>
      </c>
      <c r="K2472" t="s">
        <v>498</v>
      </c>
      <c r="L2472">
        <v>1</v>
      </c>
      <c r="M2472" t="s">
        <v>11553</v>
      </c>
      <c r="N2472" t="s">
        <v>290</v>
      </c>
      <c r="O2472" t="s">
        <v>48</v>
      </c>
      <c r="P2472" t="s">
        <v>48</v>
      </c>
      <c r="Y2472" t="s">
        <v>11554</v>
      </c>
    </row>
    <row r="2473" spans="1:25">
      <c r="A2473" t="s">
        <v>11555</v>
      </c>
      <c r="B2473" t="s">
        <v>11556</v>
      </c>
      <c r="D2473" t="s">
        <v>40</v>
      </c>
      <c r="E2473" t="s">
        <v>41</v>
      </c>
      <c r="G2473" t="s">
        <v>11557</v>
      </c>
      <c r="H2473" t="s">
        <v>11558</v>
      </c>
      <c r="J2473" t="s">
        <v>9719</v>
      </c>
      <c r="K2473" t="s">
        <v>9720</v>
      </c>
      <c r="L2473">
        <v>1</v>
      </c>
      <c r="M2473" t="s">
        <v>11559</v>
      </c>
      <c r="N2473" t="s">
        <v>135</v>
      </c>
      <c r="O2473" t="s">
        <v>48</v>
      </c>
      <c r="P2473" t="s">
        <v>48</v>
      </c>
      <c r="Y2473" t="s">
        <v>11560</v>
      </c>
    </row>
    <row r="2474" spans="1:25">
      <c r="A2474" t="s">
        <v>11561</v>
      </c>
      <c r="B2474" t="s">
        <v>11562</v>
      </c>
      <c r="D2474" t="s">
        <v>40</v>
      </c>
      <c r="E2474" t="s">
        <v>41</v>
      </c>
      <c r="G2474" t="s">
        <v>11563</v>
      </c>
      <c r="H2474" t="s">
        <v>11564</v>
      </c>
      <c r="J2474" t="s">
        <v>497</v>
      </c>
      <c r="K2474" t="s">
        <v>498</v>
      </c>
      <c r="L2474">
        <v>1</v>
      </c>
      <c r="M2474" t="s">
        <v>11565</v>
      </c>
      <c r="N2474" t="s">
        <v>290</v>
      </c>
      <c r="O2474" t="s">
        <v>48</v>
      </c>
      <c r="P2474" t="s">
        <v>48</v>
      </c>
      <c r="Y2474" t="s">
        <v>11566</v>
      </c>
    </row>
    <row r="2475" spans="1:25">
      <c r="A2475" t="s">
        <v>11567</v>
      </c>
      <c r="B2475" t="s">
        <v>11568</v>
      </c>
      <c r="D2475" t="s">
        <v>40</v>
      </c>
      <c r="E2475" t="s">
        <v>41</v>
      </c>
      <c r="G2475" t="s">
        <v>11569</v>
      </c>
      <c r="H2475" t="s">
        <v>11570</v>
      </c>
      <c r="J2475" t="s">
        <v>3829</v>
      </c>
      <c r="K2475" t="s">
        <v>3830</v>
      </c>
      <c r="L2475">
        <v>1</v>
      </c>
      <c r="M2475" t="s">
        <v>11571</v>
      </c>
      <c r="N2475" t="s">
        <v>290</v>
      </c>
      <c r="O2475" t="s">
        <v>48</v>
      </c>
      <c r="P2475" t="s">
        <v>48</v>
      </c>
      <c r="Y2475" t="s">
        <v>11572</v>
      </c>
    </row>
    <row r="2476" spans="1:25">
      <c r="A2476" t="s">
        <v>11573</v>
      </c>
      <c r="B2476" t="s">
        <v>11574</v>
      </c>
      <c r="D2476" t="s">
        <v>40</v>
      </c>
      <c r="E2476" t="s">
        <v>41</v>
      </c>
      <c r="G2476" t="s">
        <v>11575</v>
      </c>
      <c r="H2476" t="s">
        <v>11576</v>
      </c>
      <c r="J2476" t="s">
        <v>2605</v>
      </c>
      <c r="K2476" t="s">
        <v>2606</v>
      </c>
      <c r="L2476">
        <v>1</v>
      </c>
      <c r="M2476" t="s">
        <v>11577</v>
      </c>
      <c r="N2476" t="s">
        <v>290</v>
      </c>
      <c r="O2476" t="s">
        <v>48</v>
      </c>
      <c r="P2476" t="s">
        <v>48</v>
      </c>
      <c r="Y2476" t="s">
        <v>11578</v>
      </c>
    </row>
    <row r="2477" spans="1:25">
      <c r="A2477" t="s">
        <v>11579</v>
      </c>
      <c r="B2477" t="s">
        <v>11580</v>
      </c>
      <c r="D2477" t="s">
        <v>40</v>
      </c>
      <c r="E2477" t="s">
        <v>41</v>
      </c>
      <c r="G2477" t="s">
        <v>11443</v>
      </c>
      <c r="H2477" t="s">
        <v>11581</v>
      </c>
      <c r="J2477" t="s">
        <v>497</v>
      </c>
      <c r="K2477" t="s">
        <v>498</v>
      </c>
      <c r="L2477">
        <v>1</v>
      </c>
      <c r="M2477" t="s">
        <v>11582</v>
      </c>
      <c r="N2477" t="s">
        <v>290</v>
      </c>
      <c r="O2477" t="s">
        <v>48</v>
      </c>
      <c r="P2477" t="s">
        <v>48</v>
      </c>
      <c r="Y2477" t="s">
        <v>11583</v>
      </c>
    </row>
    <row r="2478" spans="1:25">
      <c r="A2478" t="s">
        <v>11584</v>
      </c>
      <c r="B2478" t="s">
        <v>11585</v>
      </c>
      <c r="D2478" t="s">
        <v>9473</v>
      </c>
      <c r="E2478" t="s">
        <v>9474</v>
      </c>
      <c r="H2478" t="s">
        <v>11586</v>
      </c>
      <c r="J2478" t="s">
        <v>234</v>
      </c>
      <c r="K2478" t="s">
        <v>235</v>
      </c>
      <c r="L2478">
        <v>11</v>
      </c>
      <c r="M2478" t="s">
        <v>11587</v>
      </c>
      <c r="N2478" t="s">
        <v>47</v>
      </c>
      <c r="O2478" t="s">
        <v>9477</v>
      </c>
      <c r="P2478" t="s">
        <v>9477</v>
      </c>
      <c r="Y2478" t="s">
        <v>11586</v>
      </c>
    </row>
    <row r="2479" spans="1:25">
      <c r="A2479" t="s">
        <v>11588</v>
      </c>
      <c r="B2479" t="s">
        <v>11589</v>
      </c>
      <c r="D2479" t="s">
        <v>40</v>
      </c>
      <c r="E2479" t="s">
        <v>41</v>
      </c>
      <c r="G2479" t="s">
        <v>11590</v>
      </c>
      <c r="H2479" t="s">
        <v>11591</v>
      </c>
      <c r="J2479" t="s">
        <v>497</v>
      </c>
      <c r="K2479" t="s">
        <v>498</v>
      </c>
      <c r="L2479">
        <v>1</v>
      </c>
      <c r="M2479" t="s">
        <v>11592</v>
      </c>
      <c r="N2479" t="s">
        <v>290</v>
      </c>
      <c r="O2479" t="s">
        <v>48</v>
      </c>
      <c r="P2479" t="s">
        <v>48</v>
      </c>
      <c r="Y2479" t="s">
        <v>11593</v>
      </c>
    </row>
    <row r="2480" spans="1:25">
      <c r="A2480" t="s">
        <v>11594</v>
      </c>
      <c r="B2480" t="s">
        <v>11595</v>
      </c>
      <c r="D2480" t="s">
        <v>40</v>
      </c>
      <c r="E2480" t="s">
        <v>41</v>
      </c>
      <c r="G2480" t="s">
        <v>11596</v>
      </c>
      <c r="H2480" t="s">
        <v>11597</v>
      </c>
      <c r="J2480" t="s">
        <v>497</v>
      </c>
      <c r="K2480" t="s">
        <v>498</v>
      </c>
      <c r="L2480">
        <v>1</v>
      </c>
      <c r="M2480" t="s">
        <v>11598</v>
      </c>
      <c r="N2480" t="s">
        <v>290</v>
      </c>
      <c r="O2480" t="s">
        <v>48</v>
      </c>
      <c r="P2480" t="s">
        <v>48</v>
      </c>
      <c r="Y2480" t="s">
        <v>11599</v>
      </c>
    </row>
    <row r="2481" spans="1:25">
      <c r="A2481" t="s">
        <v>11600</v>
      </c>
      <c r="B2481" t="s">
        <v>11601</v>
      </c>
      <c r="D2481" t="s">
        <v>40</v>
      </c>
      <c r="E2481" t="s">
        <v>41</v>
      </c>
      <c r="G2481" t="s">
        <v>11602</v>
      </c>
      <c r="H2481" t="s">
        <v>2387</v>
      </c>
      <c r="J2481" t="s">
        <v>497</v>
      </c>
      <c r="K2481" t="s">
        <v>498</v>
      </c>
      <c r="L2481">
        <v>1</v>
      </c>
      <c r="M2481" t="s">
        <v>11603</v>
      </c>
      <c r="N2481" t="s">
        <v>135</v>
      </c>
      <c r="O2481" t="s">
        <v>48</v>
      </c>
      <c r="P2481" t="s">
        <v>48</v>
      </c>
      <c r="Y2481" t="s">
        <v>11604</v>
      </c>
    </row>
    <row r="2482" spans="1:25">
      <c r="A2482" t="s">
        <v>11605</v>
      </c>
      <c r="B2482" t="s">
        <v>11606</v>
      </c>
      <c r="D2482" t="s">
        <v>40</v>
      </c>
      <c r="E2482" t="s">
        <v>41</v>
      </c>
      <c r="G2482" t="s">
        <v>11607</v>
      </c>
      <c r="H2482" t="s">
        <v>11608</v>
      </c>
      <c r="J2482" t="s">
        <v>765</v>
      </c>
      <c r="K2482" t="s">
        <v>766</v>
      </c>
      <c r="L2482">
        <v>1</v>
      </c>
      <c r="M2482" t="s">
        <v>11609</v>
      </c>
      <c r="N2482" t="s">
        <v>685</v>
      </c>
      <c r="O2482" t="s">
        <v>48</v>
      </c>
      <c r="P2482" t="s">
        <v>48</v>
      </c>
      <c r="Y2482" t="s">
        <v>11610</v>
      </c>
    </row>
    <row r="2483" spans="1:25">
      <c r="A2483" t="s">
        <v>11611</v>
      </c>
      <c r="B2483" t="s">
        <v>11612</v>
      </c>
      <c r="D2483" t="s">
        <v>40</v>
      </c>
      <c r="E2483" t="s">
        <v>41</v>
      </c>
      <c r="G2483" t="s">
        <v>11613</v>
      </c>
      <c r="H2483" t="s">
        <v>11614</v>
      </c>
      <c r="J2483" t="s">
        <v>765</v>
      </c>
      <c r="K2483" t="s">
        <v>766</v>
      </c>
      <c r="L2483">
        <v>1</v>
      </c>
      <c r="M2483" t="s">
        <v>11615</v>
      </c>
      <c r="N2483" t="s">
        <v>685</v>
      </c>
      <c r="O2483" t="s">
        <v>48</v>
      </c>
      <c r="P2483" t="s">
        <v>48</v>
      </c>
      <c r="Y2483" t="s">
        <v>11616</v>
      </c>
    </row>
    <row r="2484" spans="1:25">
      <c r="A2484" t="s">
        <v>11617</v>
      </c>
      <c r="B2484" t="s">
        <v>11618</v>
      </c>
      <c r="D2484" t="s">
        <v>40</v>
      </c>
      <c r="E2484" t="s">
        <v>41</v>
      </c>
      <c r="G2484" t="s">
        <v>4098</v>
      </c>
      <c r="H2484" t="s">
        <v>11619</v>
      </c>
      <c r="J2484" t="s">
        <v>2948</v>
      </c>
      <c r="K2484" t="s">
        <v>2949</v>
      </c>
      <c r="L2484">
        <v>1</v>
      </c>
      <c r="M2484" t="s">
        <v>11620</v>
      </c>
      <c r="N2484" t="s">
        <v>290</v>
      </c>
      <c r="O2484" t="s">
        <v>48</v>
      </c>
      <c r="P2484" t="s">
        <v>48</v>
      </c>
      <c r="Y2484" t="s">
        <v>11621</v>
      </c>
    </row>
    <row r="2485" spans="1:25">
      <c r="A2485" t="s">
        <v>11622</v>
      </c>
      <c r="B2485" t="s">
        <v>11623</v>
      </c>
      <c r="D2485" t="s">
        <v>40</v>
      </c>
      <c r="E2485" t="s">
        <v>41</v>
      </c>
      <c r="G2485" t="s">
        <v>11624</v>
      </c>
      <c r="H2485" t="s">
        <v>11625</v>
      </c>
      <c r="J2485" t="s">
        <v>497</v>
      </c>
      <c r="K2485" t="s">
        <v>498</v>
      </c>
      <c r="L2485">
        <v>1</v>
      </c>
      <c r="M2485" t="s">
        <v>11626</v>
      </c>
      <c r="N2485" t="s">
        <v>685</v>
      </c>
      <c r="O2485" t="s">
        <v>48</v>
      </c>
      <c r="P2485" t="s">
        <v>48</v>
      </c>
      <c r="Y2485" t="s">
        <v>11627</v>
      </c>
    </row>
    <row r="2486" spans="1:25">
      <c r="A2486" t="s">
        <v>11628</v>
      </c>
      <c r="B2486" t="s">
        <v>11629</v>
      </c>
      <c r="D2486" t="s">
        <v>40</v>
      </c>
      <c r="E2486" t="s">
        <v>41</v>
      </c>
      <c r="G2486" t="s">
        <v>1111</v>
      </c>
      <c r="H2486" t="s">
        <v>11630</v>
      </c>
      <c r="J2486" t="s">
        <v>497</v>
      </c>
      <c r="K2486" t="s">
        <v>498</v>
      </c>
      <c r="L2486">
        <v>1</v>
      </c>
      <c r="M2486" t="s">
        <v>11631</v>
      </c>
      <c r="N2486" t="s">
        <v>135</v>
      </c>
      <c r="O2486" t="s">
        <v>48</v>
      </c>
      <c r="P2486" t="s">
        <v>48</v>
      </c>
      <c r="Y2486" t="s">
        <v>11632</v>
      </c>
    </row>
    <row r="2487" spans="1:25">
      <c r="A2487" t="s">
        <v>11633</v>
      </c>
      <c r="B2487" t="s">
        <v>11634</v>
      </c>
      <c r="D2487" t="s">
        <v>1832</v>
      </c>
      <c r="E2487" t="s">
        <v>41</v>
      </c>
      <c r="J2487" t="s">
        <v>497</v>
      </c>
      <c r="K2487" t="s">
        <v>498</v>
      </c>
      <c r="L2487">
        <v>1</v>
      </c>
      <c r="M2487" t="s">
        <v>11635</v>
      </c>
      <c r="N2487" t="s">
        <v>290</v>
      </c>
      <c r="O2487" t="s">
        <v>1835</v>
      </c>
      <c r="P2487" t="s">
        <v>1835</v>
      </c>
      <c r="Y2487" t="s">
        <v>11636</v>
      </c>
    </row>
    <row r="2488" spans="1:25">
      <c r="A2488" t="s">
        <v>11637</v>
      </c>
      <c r="B2488" t="s">
        <v>11638</v>
      </c>
      <c r="D2488" t="s">
        <v>1832</v>
      </c>
      <c r="E2488" t="s">
        <v>41</v>
      </c>
      <c r="J2488" t="s">
        <v>765</v>
      </c>
      <c r="K2488" t="s">
        <v>766</v>
      </c>
      <c r="L2488">
        <v>1</v>
      </c>
      <c r="M2488" t="s">
        <v>11639</v>
      </c>
      <c r="N2488" t="s">
        <v>685</v>
      </c>
      <c r="O2488" t="s">
        <v>1835</v>
      </c>
      <c r="P2488" t="s">
        <v>1835</v>
      </c>
      <c r="Y2488" t="s">
        <v>11640</v>
      </c>
    </row>
    <row r="2489" spans="1:25">
      <c r="A2489" t="s">
        <v>11641</v>
      </c>
      <c r="B2489" t="s">
        <v>11642</v>
      </c>
      <c r="D2489" t="s">
        <v>1832</v>
      </c>
      <c r="E2489" t="s">
        <v>41</v>
      </c>
      <c r="H2489" t="s">
        <v>11643</v>
      </c>
      <c r="J2489" t="s">
        <v>927</v>
      </c>
      <c r="K2489" t="s">
        <v>928</v>
      </c>
      <c r="L2489">
        <v>2</v>
      </c>
      <c r="M2489" t="s">
        <v>11644</v>
      </c>
      <c r="N2489" t="s">
        <v>135</v>
      </c>
      <c r="O2489" t="s">
        <v>1835</v>
      </c>
      <c r="P2489" t="s">
        <v>1835</v>
      </c>
      <c r="Y2489" t="s">
        <v>11643</v>
      </c>
    </row>
    <row r="2490" spans="1:25">
      <c r="A2490" t="s">
        <v>11645</v>
      </c>
      <c r="B2490" t="s">
        <v>11646</v>
      </c>
      <c r="D2490" t="s">
        <v>1832</v>
      </c>
      <c r="E2490" t="s">
        <v>41</v>
      </c>
      <c r="H2490" t="s">
        <v>11647</v>
      </c>
      <c r="J2490" t="s">
        <v>765</v>
      </c>
      <c r="K2490" t="s">
        <v>766</v>
      </c>
      <c r="L2490">
        <v>2</v>
      </c>
      <c r="M2490" t="s">
        <v>11648</v>
      </c>
      <c r="N2490" t="s">
        <v>685</v>
      </c>
      <c r="O2490" t="s">
        <v>1835</v>
      </c>
      <c r="P2490" t="s">
        <v>1835</v>
      </c>
      <c r="Y2490" t="s">
        <v>11647</v>
      </c>
    </row>
    <row r="2491" spans="1:25">
      <c r="A2491" t="s">
        <v>11649</v>
      </c>
      <c r="B2491" t="s">
        <v>11650</v>
      </c>
      <c r="D2491" t="s">
        <v>1832</v>
      </c>
      <c r="E2491" t="s">
        <v>41</v>
      </c>
      <c r="H2491" t="s">
        <v>11651</v>
      </c>
      <c r="J2491" t="s">
        <v>497</v>
      </c>
      <c r="K2491" t="s">
        <v>498</v>
      </c>
      <c r="L2491">
        <v>1</v>
      </c>
      <c r="M2491" t="s">
        <v>11652</v>
      </c>
      <c r="N2491" t="s">
        <v>290</v>
      </c>
      <c r="O2491" t="s">
        <v>1835</v>
      </c>
      <c r="P2491" t="s">
        <v>1835</v>
      </c>
      <c r="Y2491" t="s">
        <v>11651</v>
      </c>
    </row>
    <row r="2492" spans="1:25">
      <c r="A2492" t="s">
        <v>11653</v>
      </c>
      <c r="B2492" t="s">
        <v>11654</v>
      </c>
      <c r="D2492" t="s">
        <v>1832</v>
      </c>
      <c r="E2492" t="s">
        <v>41</v>
      </c>
      <c r="H2492" t="s">
        <v>11655</v>
      </c>
      <c r="J2492" t="s">
        <v>497</v>
      </c>
      <c r="K2492" t="s">
        <v>498</v>
      </c>
      <c r="L2492">
        <v>1</v>
      </c>
      <c r="M2492" t="s">
        <v>11656</v>
      </c>
      <c r="N2492" t="s">
        <v>290</v>
      </c>
      <c r="O2492" t="s">
        <v>1835</v>
      </c>
      <c r="P2492" t="s">
        <v>1835</v>
      </c>
      <c r="Y2492" t="s">
        <v>11655</v>
      </c>
    </row>
    <row r="2493" spans="1:25">
      <c r="A2493" t="s">
        <v>11657</v>
      </c>
      <c r="B2493" t="s">
        <v>11658</v>
      </c>
      <c r="D2493" t="s">
        <v>1832</v>
      </c>
      <c r="E2493" t="s">
        <v>41</v>
      </c>
      <c r="J2493" t="s">
        <v>765</v>
      </c>
      <c r="K2493" t="s">
        <v>766</v>
      </c>
      <c r="L2493">
        <v>1</v>
      </c>
      <c r="M2493" t="s">
        <v>11659</v>
      </c>
      <c r="N2493" t="s">
        <v>685</v>
      </c>
      <c r="O2493" t="s">
        <v>1835</v>
      </c>
      <c r="P2493" t="s">
        <v>1835</v>
      </c>
      <c r="Y2493" t="s">
        <v>11660</v>
      </c>
    </row>
    <row r="2494" spans="1:25">
      <c r="A2494" t="s">
        <v>11661</v>
      </c>
      <c r="B2494" t="s">
        <v>11662</v>
      </c>
      <c r="D2494" t="s">
        <v>1832</v>
      </c>
      <c r="E2494" t="s">
        <v>41</v>
      </c>
      <c r="J2494" t="s">
        <v>497</v>
      </c>
      <c r="K2494" t="s">
        <v>498</v>
      </c>
      <c r="L2494">
        <v>1</v>
      </c>
      <c r="M2494" t="s">
        <v>11663</v>
      </c>
      <c r="N2494" t="s">
        <v>135</v>
      </c>
      <c r="O2494" t="s">
        <v>1835</v>
      </c>
      <c r="P2494" t="s">
        <v>1835</v>
      </c>
      <c r="Y2494" t="s">
        <v>11664</v>
      </c>
    </row>
    <row r="2495" spans="1:25">
      <c r="A2495" t="s">
        <v>11665</v>
      </c>
      <c r="B2495" t="s">
        <v>11666</v>
      </c>
      <c r="D2495" t="s">
        <v>1832</v>
      </c>
      <c r="E2495" t="s">
        <v>41</v>
      </c>
      <c r="J2495" t="s">
        <v>765</v>
      </c>
      <c r="K2495" t="s">
        <v>766</v>
      </c>
      <c r="L2495">
        <v>1</v>
      </c>
      <c r="M2495" t="s">
        <v>11667</v>
      </c>
      <c r="N2495" t="s">
        <v>685</v>
      </c>
      <c r="O2495" t="s">
        <v>1835</v>
      </c>
      <c r="P2495" t="s">
        <v>1835</v>
      </c>
      <c r="Y2495" t="s">
        <v>11668</v>
      </c>
    </row>
    <row r="2496" spans="1:25">
      <c r="A2496" t="s">
        <v>11669</v>
      </c>
      <c r="B2496" t="s">
        <v>11670</v>
      </c>
      <c r="D2496" t="s">
        <v>1832</v>
      </c>
      <c r="E2496" t="s">
        <v>41</v>
      </c>
      <c r="J2496" t="s">
        <v>497</v>
      </c>
      <c r="K2496" t="s">
        <v>498</v>
      </c>
      <c r="L2496">
        <v>1</v>
      </c>
      <c r="M2496" t="s">
        <v>11671</v>
      </c>
      <c r="N2496" t="s">
        <v>685</v>
      </c>
      <c r="O2496" t="s">
        <v>1835</v>
      </c>
      <c r="P2496" t="s">
        <v>1835</v>
      </c>
      <c r="Y2496" t="s">
        <v>11672</v>
      </c>
    </row>
    <row r="2497" spans="1:25">
      <c r="A2497" t="s">
        <v>11673</v>
      </c>
      <c r="B2497" t="s">
        <v>11674</v>
      </c>
      <c r="D2497" t="s">
        <v>1832</v>
      </c>
      <c r="E2497" t="s">
        <v>41</v>
      </c>
      <c r="J2497" t="s">
        <v>9759</v>
      </c>
      <c r="K2497" t="s">
        <v>9760</v>
      </c>
      <c r="L2497">
        <v>2</v>
      </c>
      <c r="M2497" t="s">
        <v>11675</v>
      </c>
      <c r="N2497" t="s">
        <v>290</v>
      </c>
      <c r="O2497" t="s">
        <v>1835</v>
      </c>
      <c r="P2497" t="s">
        <v>1835</v>
      </c>
      <c r="Y2497" t="s">
        <v>11676</v>
      </c>
    </row>
    <row r="2498" spans="1:25">
      <c r="A2498" t="s">
        <v>11677</v>
      </c>
      <c r="B2498" t="s">
        <v>11678</v>
      </c>
      <c r="D2498" t="s">
        <v>1832</v>
      </c>
      <c r="E2498" t="s">
        <v>41</v>
      </c>
      <c r="J2498" t="s">
        <v>497</v>
      </c>
      <c r="K2498" t="s">
        <v>498</v>
      </c>
      <c r="L2498">
        <v>1</v>
      </c>
      <c r="M2498" t="s">
        <v>11679</v>
      </c>
      <c r="N2498" t="s">
        <v>135</v>
      </c>
      <c r="O2498" t="s">
        <v>1835</v>
      </c>
      <c r="P2498" t="s">
        <v>1835</v>
      </c>
      <c r="Y2498" t="s">
        <v>11680</v>
      </c>
    </row>
    <row r="2499" spans="1:25">
      <c r="A2499" t="s">
        <v>11681</v>
      </c>
      <c r="B2499" t="s">
        <v>11682</v>
      </c>
      <c r="D2499" t="s">
        <v>1832</v>
      </c>
      <c r="E2499" t="s">
        <v>41</v>
      </c>
      <c r="J2499" t="s">
        <v>5964</v>
      </c>
      <c r="K2499" t="s">
        <v>5965</v>
      </c>
      <c r="L2499">
        <v>1</v>
      </c>
      <c r="M2499" t="s">
        <v>11683</v>
      </c>
      <c r="N2499" t="s">
        <v>685</v>
      </c>
      <c r="O2499" t="s">
        <v>1835</v>
      </c>
      <c r="P2499" t="s">
        <v>1835</v>
      </c>
      <c r="Y2499" t="s">
        <v>11684</v>
      </c>
    </row>
    <row r="2500" spans="1:25">
      <c r="A2500" t="s">
        <v>11685</v>
      </c>
      <c r="B2500" t="s">
        <v>11686</v>
      </c>
      <c r="D2500" t="s">
        <v>1832</v>
      </c>
      <c r="E2500" t="s">
        <v>41</v>
      </c>
      <c r="H2500" t="s">
        <v>11687</v>
      </c>
      <c r="J2500" t="s">
        <v>497</v>
      </c>
      <c r="K2500" t="s">
        <v>498</v>
      </c>
      <c r="L2500">
        <v>1</v>
      </c>
      <c r="M2500" t="s">
        <v>11688</v>
      </c>
      <c r="N2500" t="s">
        <v>685</v>
      </c>
      <c r="O2500" t="s">
        <v>1835</v>
      </c>
      <c r="P2500" t="s">
        <v>1835</v>
      </c>
      <c r="Y2500" t="s">
        <v>11687</v>
      </c>
    </row>
    <row r="2501" spans="1:25">
      <c r="A2501" t="s">
        <v>11689</v>
      </c>
      <c r="B2501" t="s">
        <v>11690</v>
      </c>
      <c r="D2501" t="s">
        <v>9473</v>
      </c>
      <c r="E2501" t="s">
        <v>9474</v>
      </c>
      <c r="H2501" t="s">
        <v>11691</v>
      </c>
      <c r="J2501" t="s">
        <v>234</v>
      </c>
      <c r="K2501" t="s">
        <v>235</v>
      </c>
      <c r="L2501">
        <v>6</v>
      </c>
      <c r="M2501" t="s">
        <v>11692</v>
      </c>
      <c r="N2501" t="s">
        <v>47</v>
      </c>
      <c r="O2501" t="s">
        <v>9477</v>
      </c>
      <c r="P2501" t="s">
        <v>9477</v>
      </c>
      <c r="Y2501" t="s">
        <v>11691</v>
      </c>
    </row>
    <row r="2502" spans="1:25">
      <c r="A2502" t="s">
        <v>11693</v>
      </c>
      <c r="B2502" t="s">
        <v>11694</v>
      </c>
      <c r="D2502" t="s">
        <v>1832</v>
      </c>
      <c r="E2502" t="s">
        <v>41</v>
      </c>
      <c r="J2502" t="s">
        <v>765</v>
      </c>
      <c r="K2502" t="s">
        <v>766</v>
      </c>
      <c r="L2502">
        <v>1</v>
      </c>
      <c r="M2502" t="s">
        <v>11695</v>
      </c>
      <c r="N2502" t="s">
        <v>685</v>
      </c>
      <c r="O2502" t="s">
        <v>1835</v>
      </c>
      <c r="P2502" t="s">
        <v>1835</v>
      </c>
      <c r="Y2502" t="s">
        <v>11696</v>
      </c>
    </row>
    <row r="2503" spans="1:25">
      <c r="A2503" t="s">
        <v>11697</v>
      </c>
      <c r="B2503" t="s">
        <v>11698</v>
      </c>
      <c r="D2503" t="s">
        <v>1832</v>
      </c>
      <c r="E2503" t="s">
        <v>41</v>
      </c>
      <c r="H2503" t="s">
        <v>11699</v>
      </c>
      <c r="J2503" t="s">
        <v>497</v>
      </c>
      <c r="K2503" t="s">
        <v>498</v>
      </c>
      <c r="L2503">
        <v>1</v>
      </c>
      <c r="M2503" t="s">
        <v>11700</v>
      </c>
      <c r="N2503" t="s">
        <v>685</v>
      </c>
      <c r="O2503" t="s">
        <v>1835</v>
      </c>
      <c r="P2503" t="s">
        <v>1835</v>
      </c>
      <c r="Y2503" t="s">
        <v>11699</v>
      </c>
    </row>
    <row r="2504" spans="1:25">
      <c r="A2504" t="s">
        <v>11701</v>
      </c>
      <c r="B2504" t="s">
        <v>11702</v>
      </c>
      <c r="D2504" t="s">
        <v>1832</v>
      </c>
      <c r="E2504" t="s">
        <v>41</v>
      </c>
      <c r="J2504" t="s">
        <v>927</v>
      </c>
      <c r="K2504" t="s">
        <v>928</v>
      </c>
      <c r="L2504">
        <v>1</v>
      </c>
      <c r="M2504" t="s">
        <v>11703</v>
      </c>
      <c r="N2504" t="s">
        <v>135</v>
      </c>
      <c r="O2504" t="s">
        <v>1835</v>
      </c>
      <c r="P2504" t="s">
        <v>1835</v>
      </c>
      <c r="Y2504" t="s">
        <v>11704</v>
      </c>
    </row>
    <row r="2505" spans="1:25">
      <c r="A2505" t="s">
        <v>11705</v>
      </c>
      <c r="B2505" t="s">
        <v>11706</v>
      </c>
      <c r="D2505" t="s">
        <v>1832</v>
      </c>
      <c r="E2505" t="s">
        <v>41</v>
      </c>
      <c r="J2505" t="s">
        <v>765</v>
      </c>
      <c r="K2505" t="s">
        <v>766</v>
      </c>
      <c r="L2505">
        <v>1</v>
      </c>
      <c r="M2505" t="s">
        <v>11707</v>
      </c>
      <c r="N2505" t="s">
        <v>685</v>
      </c>
      <c r="O2505" t="s">
        <v>1835</v>
      </c>
      <c r="P2505" t="s">
        <v>1835</v>
      </c>
      <c r="Y2505" t="s">
        <v>11708</v>
      </c>
    </row>
    <row r="2506" spans="1:25">
      <c r="A2506" t="s">
        <v>11709</v>
      </c>
      <c r="B2506" t="s">
        <v>11710</v>
      </c>
      <c r="D2506" t="s">
        <v>1832</v>
      </c>
      <c r="E2506" t="s">
        <v>41</v>
      </c>
      <c r="J2506" t="s">
        <v>497</v>
      </c>
      <c r="K2506" t="s">
        <v>498</v>
      </c>
      <c r="L2506">
        <v>1</v>
      </c>
      <c r="M2506" t="s">
        <v>11711</v>
      </c>
      <c r="N2506" t="s">
        <v>290</v>
      </c>
      <c r="O2506" t="s">
        <v>1835</v>
      </c>
      <c r="P2506" t="s">
        <v>1835</v>
      </c>
      <c r="Y2506" t="s">
        <v>11712</v>
      </c>
    </row>
    <row r="2507" spans="1:25">
      <c r="A2507" t="s">
        <v>11713</v>
      </c>
      <c r="B2507" t="s">
        <v>11714</v>
      </c>
      <c r="D2507" t="s">
        <v>9473</v>
      </c>
      <c r="E2507" t="s">
        <v>9474</v>
      </c>
      <c r="H2507" t="s">
        <v>11715</v>
      </c>
      <c r="J2507" t="s">
        <v>234</v>
      </c>
      <c r="K2507" t="s">
        <v>235</v>
      </c>
      <c r="L2507">
        <v>6</v>
      </c>
      <c r="M2507" t="s">
        <v>11716</v>
      </c>
      <c r="N2507" t="s">
        <v>47</v>
      </c>
      <c r="O2507" t="s">
        <v>9477</v>
      </c>
      <c r="P2507" t="s">
        <v>9477</v>
      </c>
      <c r="Y2507" t="s">
        <v>11715</v>
      </c>
    </row>
    <row r="2508" spans="1:25">
      <c r="A2508" t="s">
        <v>11717</v>
      </c>
      <c r="B2508" t="s">
        <v>11718</v>
      </c>
      <c r="D2508" t="s">
        <v>1832</v>
      </c>
      <c r="E2508" t="s">
        <v>41</v>
      </c>
      <c r="J2508" t="s">
        <v>497</v>
      </c>
      <c r="K2508" t="s">
        <v>498</v>
      </c>
      <c r="L2508">
        <v>1</v>
      </c>
      <c r="M2508" t="s">
        <v>11719</v>
      </c>
      <c r="N2508" t="s">
        <v>135</v>
      </c>
      <c r="O2508" t="s">
        <v>1835</v>
      </c>
      <c r="P2508" t="s">
        <v>1835</v>
      </c>
      <c r="Y2508" t="s">
        <v>11720</v>
      </c>
    </row>
    <row r="2509" spans="1:25">
      <c r="A2509" t="s">
        <v>11721</v>
      </c>
      <c r="B2509" t="s">
        <v>11722</v>
      </c>
      <c r="D2509" t="s">
        <v>1832</v>
      </c>
      <c r="E2509" t="s">
        <v>41</v>
      </c>
      <c r="J2509" t="s">
        <v>765</v>
      </c>
      <c r="K2509" t="s">
        <v>766</v>
      </c>
      <c r="L2509">
        <v>1</v>
      </c>
      <c r="M2509" t="s">
        <v>11723</v>
      </c>
      <c r="N2509" t="s">
        <v>685</v>
      </c>
      <c r="O2509" t="s">
        <v>1835</v>
      </c>
      <c r="P2509" t="s">
        <v>1835</v>
      </c>
      <c r="Y2509" t="s">
        <v>11724</v>
      </c>
    </row>
    <row r="2510" spans="1:25">
      <c r="A2510" t="s">
        <v>11725</v>
      </c>
      <c r="B2510" t="s">
        <v>11726</v>
      </c>
      <c r="D2510" t="s">
        <v>1832</v>
      </c>
      <c r="E2510" t="s">
        <v>41</v>
      </c>
      <c r="J2510" t="s">
        <v>927</v>
      </c>
      <c r="K2510" t="s">
        <v>928</v>
      </c>
      <c r="L2510">
        <v>1</v>
      </c>
      <c r="M2510" t="s">
        <v>11727</v>
      </c>
      <c r="N2510" t="s">
        <v>135</v>
      </c>
      <c r="O2510" t="s">
        <v>1835</v>
      </c>
      <c r="P2510" t="s">
        <v>1835</v>
      </c>
      <c r="Y2510" t="s">
        <v>11728</v>
      </c>
    </row>
    <row r="2511" spans="1:25">
      <c r="A2511" t="s">
        <v>11729</v>
      </c>
      <c r="B2511" t="s">
        <v>11730</v>
      </c>
      <c r="D2511" t="s">
        <v>1832</v>
      </c>
      <c r="E2511" t="s">
        <v>41</v>
      </c>
      <c r="J2511" t="s">
        <v>765</v>
      </c>
      <c r="K2511" t="s">
        <v>766</v>
      </c>
      <c r="L2511">
        <v>1</v>
      </c>
      <c r="M2511" t="s">
        <v>11731</v>
      </c>
      <c r="N2511" t="s">
        <v>685</v>
      </c>
      <c r="O2511" t="s">
        <v>1835</v>
      </c>
      <c r="P2511" t="s">
        <v>1835</v>
      </c>
      <c r="Y2511" t="s">
        <v>11732</v>
      </c>
    </row>
    <row r="2512" spans="1:25">
      <c r="A2512" t="s">
        <v>11733</v>
      </c>
      <c r="B2512" t="s">
        <v>11734</v>
      </c>
      <c r="D2512" t="s">
        <v>1832</v>
      </c>
      <c r="E2512" t="s">
        <v>41</v>
      </c>
      <c r="J2512" t="s">
        <v>927</v>
      </c>
      <c r="K2512" t="s">
        <v>928</v>
      </c>
      <c r="L2512">
        <v>1</v>
      </c>
      <c r="M2512" t="s">
        <v>11735</v>
      </c>
      <c r="N2512" t="s">
        <v>135</v>
      </c>
      <c r="O2512" t="s">
        <v>1835</v>
      </c>
      <c r="P2512" t="s">
        <v>1835</v>
      </c>
      <c r="Y2512" t="s">
        <v>11736</v>
      </c>
    </row>
    <row r="2513" spans="1:25">
      <c r="A2513" t="s">
        <v>11737</v>
      </c>
      <c r="B2513" t="s">
        <v>11738</v>
      </c>
      <c r="D2513" t="s">
        <v>1832</v>
      </c>
      <c r="E2513" t="s">
        <v>41</v>
      </c>
      <c r="J2513" t="s">
        <v>5964</v>
      </c>
      <c r="K2513" t="s">
        <v>5965</v>
      </c>
      <c r="L2513">
        <v>2</v>
      </c>
      <c r="M2513" t="s">
        <v>11739</v>
      </c>
      <c r="N2513" t="s">
        <v>685</v>
      </c>
      <c r="O2513" t="s">
        <v>1835</v>
      </c>
      <c r="P2513" t="s">
        <v>1835</v>
      </c>
      <c r="Y2513" t="s">
        <v>11740</v>
      </c>
    </row>
    <row r="2514" spans="1:25">
      <c r="A2514" t="s">
        <v>11741</v>
      </c>
      <c r="B2514" t="s">
        <v>11742</v>
      </c>
      <c r="D2514" t="s">
        <v>1832</v>
      </c>
      <c r="E2514" t="s">
        <v>41</v>
      </c>
      <c r="J2514" t="s">
        <v>497</v>
      </c>
      <c r="K2514" t="s">
        <v>498</v>
      </c>
      <c r="L2514">
        <v>1</v>
      </c>
      <c r="M2514" t="s">
        <v>11743</v>
      </c>
      <c r="N2514" t="s">
        <v>685</v>
      </c>
      <c r="O2514" t="s">
        <v>1835</v>
      </c>
      <c r="P2514" t="s">
        <v>1835</v>
      </c>
      <c r="Y2514" t="s">
        <v>11744</v>
      </c>
    </row>
    <row r="2515" spans="1:25">
      <c r="A2515" t="s">
        <v>11745</v>
      </c>
      <c r="B2515" t="s">
        <v>11746</v>
      </c>
      <c r="D2515" t="s">
        <v>1832</v>
      </c>
      <c r="E2515" t="s">
        <v>41</v>
      </c>
      <c r="J2515" t="s">
        <v>497</v>
      </c>
      <c r="K2515" t="s">
        <v>498</v>
      </c>
      <c r="L2515">
        <v>1</v>
      </c>
      <c r="M2515" t="s">
        <v>11747</v>
      </c>
      <c r="N2515" t="s">
        <v>685</v>
      </c>
      <c r="O2515" t="s">
        <v>1835</v>
      </c>
      <c r="P2515" t="s">
        <v>1835</v>
      </c>
      <c r="Y2515" t="s">
        <v>11748</v>
      </c>
    </row>
    <row r="2516" spans="1:25">
      <c r="A2516" t="s">
        <v>11749</v>
      </c>
      <c r="B2516" t="s">
        <v>11750</v>
      </c>
      <c r="D2516" t="s">
        <v>9473</v>
      </c>
      <c r="E2516" t="s">
        <v>9474</v>
      </c>
      <c r="H2516" t="s">
        <v>11751</v>
      </c>
      <c r="J2516" t="s">
        <v>133</v>
      </c>
      <c r="K2516" t="s">
        <v>134</v>
      </c>
      <c r="L2516">
        <v>7</v>
      </c>
      <c r="M2516" t="s">
        <v>11752</v>
      </c>
      <c r="N2516" t="s">
        <v>135</v>
      </c>
      <c r="O2516" t="s">
        <v>9477</v>
      </c>
      <c r="P2516" t="s">
        <v>9477</v>
      </c>
      <c r="Y2516" t="s">
        <v>11751</v>
      </c>
    </row>
    <row r="2517" spans="1:25">
      <c r="A2517" t="s">
        <v>11753</v>
      </c>
      <c r="B2517" t="s">
        <v>11754</v>
      </c>
      <c r="D2517" t="s">
        <v>1832</v>
      </c>
      <c r="E2517" t="s">
        <v>41</v>
      </c>
      <c r="J2517" t="s">
        <v>9759</v>
      </c>
      <c r="K2517" t="s">
        <v>9760</v>
      </c>
      <c r="L2517">
        <v>2</v>
      </c>
      <c r="M2517" t="s">
        <v>11755</v>
      </c>
      <c r="N2517" t="s">
        <v>47</v>
      </c>
      <c r="O2517" t="s">
        <v>1835</v>
      </c>
      <c r="P2517" t="s">
        <v>1835</v>
      </c>
      <c r="Y2517" t="s">
        <v>11756</v>
      </c>
    </row>
    <row r="2518" spans="1:25">
      <c r="A2518" t="s">
        <v>11757</v>
      </c>
      <c r="B2518" t="s">
        <v>11758</v>
      </c>
      <c r="D2518" t="s">
        <v>1832</v>
      </c>
      <c r="E2518" t="s">
        <v>41</v>
      </c>
      <c r="J2518" t="s">
        <v>927</v>
      </c>
      <c r="K2518" t="s">
        <v>928</v>
      </c>
      <c r="L2518">
        <v>1</v>
      </c>
      <c r="M2518" t="s">
        <v>11759</v>
      </c>
      <c r="N2518" t="s">
        <v>685</v>
      </c>
      <c r="O2518" t="s">
        <v>1835</v>
      </c>
      <c r="P2518" t="s">
        <v>1835</v>
      </c>
      <c r="Y2518" t="s">
        <v>11760</v>
      </c>
    </row>
    <row r="2519" spans="1:25">
      <c r="A2519" t="s">
        <v>11761</v>
      </c>
      <c r="B2519" t="s">
        <v>11762</v>
      </c>
      <c r="D2519" t="s">
        <v>1832</v>
      </c>
      <c r="E2519" t="s">
        <v>41</v>
      </c>
      <c r="J2519" t="s">
        <v>497</v>
      </c>
      <c r="K2519" t="s">
        <v>498</v>
      </c>
      <c r="L2519">
        <v>1</v>
      </c>
      <c r="M2519" t="s">
        <v>11763</v>
      </c>
      <c r="N2519" t="s">
        <v>685</v>
      </c>
      <c r="O2519" t="s">
        <v>1835</v>
      </c>
      <c r="P2519" t="s">
        <v>1835</v>
      </c>
      <c r="Y2519" t="s">
        <v>11764</v>
      </c>
    </row>
    <row r="2520" spans="1:25">
      <c r="A2520" t="s">
        <v>11765</v>
      </c>
      <c r="B2520" t="s">
        <v>11766</v>
      </c>
      <c r="D2520" t="s">
        <v>1832</v>
      </c>
      <c r="E2520" t="s">
        <v>41</v>
      </c>
      <c r="J2520" t="s">
        <v>765</v>
      </c>
      <c r="K2520" t="s">
        <v>766</v>
      </c>
      <c r="L2520">
        <v>1</v>
      </c>
      <c r="M2520" t="s">
        <v>11767</v>
      </c>
      <c r="N2520" t="s">
        <v>685</v>
      </c>
      <c r="O2520" t="s">
        <v>1835</v>
      </c>
      <c r="P2520" t="s">
        <v>1835</v>
      </c>
      <c r="Y2520" t="s">
        <v>11768</v>
      </c>
    </row>
    <row r="2521" spans="1:25">
      <c r="A2521" t="s">
        <v>11769</v>
      </c>
      <c r="B2521" t="s">
        <v>11770</v>
      </c>
      <c r="D2521" t="s">
        <v>1832</v>
      </c>
      <c r="E2521" t="s">
        <v>41</v>
      </c>
      <c r="J2521" t="s">
        <v>497</v>
      </c>
      <c r="K2521" t="s">
        <v>498</v>
      </c>
      <c r="L2521">
        <v>1</v>
      </c>
      <c r="M2521" t="s">
        <v>11771</v>
      </c>
      <c r="N2521" t="s">
        <v>685</v>
      </c>
      <c r="O2521" t="s">
        <v>1835</v>
      </c>
      <c r="P2521" t="s">
        <v>1835</v>
      </c>
      <c r="Y2521" t="s">
        <v>11772</v>
      </c>
    </row>
    <row r="2522" spans="1:25">
      <c r="A2522" t="s">
        <v>11773</v>
      </c>
      <c r="B2522" t="s">
        <v>11774</v>
      </c>
      <c r="D2522" t="s">
        <v>1832</v>
      </c>
      <c r="E2522" t="s">
        <v>41</v>
      </c>
      <c r="J2522" t="s">
        <v>497</v>
      </c>
      <c r="K2522" t="s">
        <v>498</v>
      </c>
      <c r="L2522">
        <v>1</v>
      </c>
      <c r="M2522" t="s">
        <v>11775</v>
      </c>
      <c r="N2522" t="s">
        <v>685</v>
      </c>
      <c r="O2522" t="s">
        <v>1835</v>
      </c>
      <c r="P2522" t="s">
        <v>1835</v>
      </c>
      <c r="Y2522" t="s">
        <v>11776</v>
      </c>
    </row>
    <row r="2523" spans="1:25">
      <c r="A2523" t="s">
        <v>11777</v>
      </c>
      <c r="B2523" t="s">
        <v>11778</v>
      </c>
      <c r="D2523" t="s">
        <v>1832</v>
      </c>
      <c r="E2523" t="s">
        <v>41</v>
      </c>
      <c r="J2523" t="s">
        <v>927</v>
      </c>
      <c r="K2523" t="s">
        <v>928</v>
      </c>
      <c r="L2523">
        <v>1</v>
      </c>
      <c r="M2523" t="s">
        <v>11779</v>
      </c>
      <c r="N2523" t="s">
        <v>290</v>
      </c>
      <c r="O2523" t="s">
        <v>1835</v>
      </c>
      <c r="P2523" t="s">
        <v>1835</v>
      </c>
      <c r="Y2523" t="s">
        <v>11780</v>
      </c>
    </row>
    <row r="2524" spans="1:25">
      <c r="A2524" t="s">
        <v>11781</v>
      </c>
      <c r="B2524" t="s">
        <v>11782</v>
      </c>
      <c r="D2524" t="s">
        <v>1832</v>
      </c>
      <c r="E2524" t="s">
        <v>41</v>
      </c>
      <c r="H2524" t="s">
        <v>11783</v>
      </c>
      <c r="J2524" t="s">
        <v>765</v>
      </c>
      <c r="K2524" t="s">
        <v>766</v>
      </c>
      <c r="L2524">
        <v>1</v>
      </c>
      <c r="M2524" t="s">
        <v>11784</v>
      </c>
      <c r="N2524" t="s">
        <v>685</v>
      </c>
      <c r="O2524" t="s">
        <v>1835</v>
      </c>
      <c r="P2524" t="s">
        <v>1835</v>
      </c>
      <c r="Y2524" t="s">
        <v>11783</v>
      </c>
    </row>
    <row r="2525" spans="1:25">
      <c r="A2525" t="s">
        <v>11785</v>
      </c>
      <c r="B2525" t="s">
        <v>11786</v>
      </c>
      <c r="D2525" t="s">
        <v>1832</v>
      </c>
      <c r="E2525" t="s">
        <v>41</v>
      </c>
      <c r="J2525" t="s">
        <v>497</v>
      </c>
      <c r="K2525" t="s">
        <v>498</v>
      </c>
      <c r="L2525">
        <v>1</v>
      </c>
      <c r="M2525" t="s">
        <v>11787</v>
      </c>
      <c r="N2525" t="s">
        <v>290</v>
      </c>
      <c r="O2525" t="s">
        <v>1835</v>
      </c>
      <c r="P2525" t="s">
        <v>1835</v>
      </c>
      <c r="Y2525" t="s">
        <v>11788</v>
      </c>
    </row>
    <row r="2526" spans="1:25">
      <c r="A2526" t="s">
        <v>11789</v>
      </c>
      <c r="B2526" t="s">
        <v>11790</v>
      </c>
      <c r="D2526" t="s">
        <v>9473</v>
      </c>
      <c r="E2526" t="s">
        <v>9474</v>
      </c>
      <c r="H2526" t="s">
        <v>11791</v>
      </c>
      <c r="J2526" t="s">
        <v>353</v>
      </c>
      <c r="K2526" t="s">
        <v>354</v>
      </c>
      <c r="L2526">
        <v>7</v>
      </c>
      <c r="M2526" t="s">
        <v>11792</v>
      </c>
      <c r="N2526" t="s">
        <v>685</v>
      </c>
      <c r="O2526" t="s">
        <v>9477</v>
      </c>
      <c r="P2526" t="s">
        <v>9477</v>
      </c>
      <c r="Y2526" t="s">
        <v>11791</v>
      </c>
    </row>
    <row r="2527" spans="1:25">
      <c r="A2527" t="s">
        <v>11793</v>
      </c>
      <c r="B2527" t="s">
        <v>11794</v>
      </c>
      <c r="D2527" t="s">
        <v>1832</v>
      </c>
      <c r="E2527" t="s">
        <v>41</v>
      </c>
      <c r="J2527" t="s">
        <v>497</v>
      </c>
      <c r="K2527" t="s">
        <v>498</v>
      </c>
      <c r="L2527">
        <v>1</v>
      </c>
      <c r="M2527" t="s">
        <v>11795</v>
      </c>
      <c r="N2527" t="s">
        <v>685</v>
      </c>
      <c r="O2527" t="s">
        <v>1835</v>
      </c>
      <c r="P2527" t="s">
        <v>1835</v>
      </c>
      <c r="Y2527" t="s">
        <v>11796</v>
      </c>
    </row>
    <row r="2528" spans="1:25">
      <c r="A2528" t="s">
        <v>11797</v>
      </c>
      <c r="B2528" t="s">
        <v>11798</v>
      </c>
      <c r="D2528" t="s">
        <v>1832</v>
      </c>
      <c r="E2528" t="s">
        <v>41</v>
      </c>
      <c r="J2528" t="s">
        <v>9719</v>
      </c>
      <c r="K2528" t="s">
        <v>9720</v>
      </c>
      <c r="L2528">
        <v>1</v>
      </c>
      <c r="M2528" t="s">
        <v>11799</v>
      </c>
      <c r="N2528" t="s">
        <v>685</v>
      </c>
      <c r="O2528" t="s">
        <v>1835</v>
      </c>
      <c r="P2528" t="s">
        <v>1835</v>
      </c>
      <c r="Y2528" t="s">
        <v>11800</v>
      </c>
    </row>
    <row r="2529" spans="1:25">
      <c r="A2529" t="s">
        <v>11801</v>
      </c>
      <c r="B2529" t="s">
        <v>11802</v>
      </c>
      <c r="D2529" t="s">
        <v>1832</v>
      </c>
      <c r="E2529" t="s">
        <v>41</v>
      </c>
      <c r="J2529" t="s">
        <v>2328</v>
      </c>
      <c r="K2529" t="s">
        <v>2329</v>
      </c>
      <c r="L2529">
        <v>1</v>
      </c>
      <c r="M2529" t="s">
        <v>11803</v>
      </c>
      <c r="N2529" t="s">
        <v>290</v>
      </c>
      <c r="O2529" t="s">
        <v>1835</v>
      </c>
      <c r="P2529" t="s">
        <v>1835</v>
      </c>
      <c r="Y2529" t="s">
        <v>11804</v>
      </c>
    </row>
    <row r="2530" spans="1:25">
      <c r="A2530" t="s">
        <v>11805</v>
      </c>
      <c r="B2530" t="s">
        <v>11806</v>
      </c>
      <c r="D2530" t="s">
        <v>1832</v>
      </c>
      <c r="E2530" t="s">
        <v>41</v>
      </c>
      <c r="J2530" t="s">
        <v>497</v>
      </c>
      <c r="K2530" t="s">
        <v>498</v>
      </c>
      <c r="L2530">
        <v>1</v>
      </c>
      <c r="M2530" t="s">
        <v>11807</v>
      </c>
      <c r="N2530" t="s">
        <v>290</v>
      </c>
      <c r="O2530" t="s">
        <v>1835</v>
      </c>
      <c r="P2530" t="s">
        <v>1835</v>
      </c>
      <c r="Y2530" t="s">
        <v>11808</v>
      </c>
    </row>
    <row r="2531" spans="1:25">
      <c r="A2531" t="s">
        <v>11809</v>
      </c>
      <c r="B2531" t="s">
        <v>11810</v>
      </c>
      <c r="D2531" t="s">
        <v>9473</v>
      </c>
      <c r="E2531" t="s">
        <v>9474</v>
      </c>
      <c r="H2531" t="s">
        <v>11811</v>
      </c>
      <c r="J2531" t="s">
        <v>10321</v>
      </c>
      <c r="K2531" t="s">
        <v>10322</v>
      </c>
      <c r="L2531">
        <v>6</v>
      </c>
      <c r="M2531" t="s">
        <v>11812</v>
      </c>
      <c r="N2531" t="s">
        <v>47</v>
      </c>
      <c r="O2531" t="s">
        <v>9477</v>
      </c>
      <c r="P2531" t="s">
        <v>9477</v>
      </c>
      <c r="Y2531" t="s">
        <v>11811</v>
      </c>
    </row>
    <row r="2532" spans="1:25">
      <c r="A2532" t="s">
        <v>11813</v>
      </c>
      <c r="B2532" t="s">
        <v>11814</v>
      </c>
      <c r="D2532" t="s">
        <v>9473</v>
      </c>
      <c r="E2532" t="s">
        <v>9474</v>
      </c>
      <c r="H2532" t="s">
        <v>11815</v>
      </c>
      <c r="J2532" t="s">
        <v>234</v>
      </c>
      <c r="K2532" t="s">
        <v>235</v>
      </c>
      <c r="L2532">
        <v>6</v>
      </c>
      <c r="M2532" t="s">
        <v>11816</v>
      </c>
      <c r="N2532" t="s">
        <v>47</v>
      </c>
      <c r="O2532" t="s">
        <v>9477</v>
      </c>
      <c r="P2532" t="s">
        <v>9477</v>
      </c>
      <c r="Y2532" t="s">
        <v>11815</v>
      </c>
    </row>
    <row r="2533" spans="1:25">
      <c r="A2533" t="s">
        <v>11817</v>
      </c>
      <c r="B2533" t="s">
        <v>11818</v>
      </c>
      <c r="D2533" t="s">
        <v>9473</v>
      </c>
      <c r="E2533" t="s">
        <v>9474</v>
      </c>
      <c r="H2533" t="s">
        <v>11819</v>
      </c>
      <c r="J2533" t="s">
        <v>234</v>
      </c>
      <c r="K2533" t="s">
        <v>235</v>
      </c>
      <c r="L2533">
        <v>6</v>
      </c>
      <c r="M2533" t="s">
        <v>11820</v>
      </c>
      <c r="N2533" t="s">
        <v>47</v>
      </c>
      <c r="O2533" t="s">
        <v>9477</v>
      </c>
      <c r="P2533" t="s">
        <v>9477</v>
      </c>
      <c r="Y2533" t="s">
        <v>11819</v>
      </c>
    </row>
    <row r="2534" spans="1:25">
      <c r="A2534" t="s">
        <v>11821</v>
      </c>
      <c r="B2534" t="s">
        <v>11822</v>
      </c>
      <c r="D2534" t="s">
        <v>9473</v>
      </c>
      <c r="E2534" t="s">
        <v>9474</v>
      </c>
      <c r="H2534" t="s">
        <v>11823</v>
      </c>
      <c r="J2534" t="s">
        <v>234</v>
      </c>
      <c r="K2534" t="s">
        <v>235</v>
      </c>
      <c r="L2534">
        <v>6</v>
      </c>
      <c r="M2534" t="s">
        <v>11824</v>
      </c>
      <c r="N2534" t="s">
        <v>47</v>
      </c>
      <c r="O2534" t="s">
        <v>9477</v>
      </c>
      <c r="P2534" t="s">
        <v>9477</v>
      </c>
      <c r="Y2534" t="s">
        <v>11823</v>
      </c>
    </row>
    <row r="2535" spans="1:25">
      <c r="A2535" t="s">
        <v>11825</v>
      </c>
      <c r="B2535" t="s">
        <v>11826</v>
      </c>
      <c r="D2535" t="s">
        <v>9473</v>
      </c>
      <c r="E2535" t="s">
        <v>9474</v>
      </c>
      <c r="H2535" t="s">
        <v>11827</v>
      </c>
      <c r="J2535" t="s">
        <v>234</v>
      </c>
      <c r="K2535" t="s">
        <v>235</v>
      </c>
      <c r="L2535">
        <v>6</v>
      </c>
      <c r="M2535" t="s">
        <v>11828</v>
      </c>
      <c r="N2535" t="s">
        <v>47</v>
      </c>
      <c r="O2535" t="s">
        <v>9477</v>
      </c>
      <c r="P2535" t="s">
        <v>9477</v>
      </c>
      <c r="Y2535" t="s">
        <v>11827</v>
      </c>
    </row>
    <row r="2536" spans="1:25">
      <c r="A2536" t="s">
        <v>11829</v>
      </c>
      <c r="B2536" t="s">
        <v>11830</v>
      </c>
      <c r="D2536" t="s">
        <v>9473</v>
      </c>
      <c r="E2536" t="s">
        <v>9474</v>
      </c>
      <c r="H2536" t="s">
        <v>11831</v>
      </c>
      <c r="J2536" t="s">
        <v>234</v>
      </c>
      <c r="K2536" t="s">
        <v>235</v>
      </c>
      <c r="L2536">
        <v>6</v>
      </c>
      <c r="M2536" t="s">
        <v>11832</v>
      </c>
      <c r="N2536" t="s">
        <v>47</v>
      </c>
      <c r="O2536" t="s">
        <v>9477</v>
      </c>
      <c r="P2536" t="s">
        <v>9477</v>
      </c>
      <c r="Y2536" t="s">
        <v>11831</v>
      </c>
    </row>
    <row r="2537" spans="1:25">
      <c r="A2537" t="s">
        <v>11833</v>
      </c>
      <c r="B2537" t="s">
        <v>11834</v>
      </c>
      <c r="D2537" t="s">
        <v>9473</v>
      </c>
      <c r="E2537" t="s">
        <v>9474</v>
      </c>
      <c r="H2537" t="s">
        <v>11835</v>
      </c>
      <c r="J2537" t="s">
        <v>234</v>
      </c>
      <c r="K2537" t="s">
        <v>235</v>
      </c>
      <c r="L2537">
        <v>6</v>
      </c>
      <c r="M2537" t="s">
        <v>11836</v>
      </c>
      <c r="N2537" t="s">
        <v>47</v>
      </c>
      <c r="O2537" t="s">
        <v>9477</v>
      </c>
      <c r="P2537" t="s">
        <v>9477</v>
      </c>
      <c r="Y2537" t="s">
        <v>11835</v>
      </c>
    </row>
    <row r="2538" spans="1:25">
      <c r="A2538" t="s">
        <v>11837</v>
      </c>
      <c r="B2538" t="s">
        <v>11838</v>
      </c>
      <c r="D2538" t="s">
        <v>9473</v>
      </c>
      <c r="E2538" t="s">
        <v>9474</v>
      </c>
      <c r="J2538" t="s">
        <v>90</v>
      </c>
      <c r="K2538" t="s">
        <v>91</v>
      </c>
      <c r="L2538">
        <v>6</v>
      </c>
      <c r="M2538" t="s">
        <v>11839</v>
      </c>
      <c r="N2538" t="s">
        <v>47</v>
      </c>
      <c r="O2538" t="s">
        <v>9477</v>
      </c>
      <c r="P2538" t="s">
        <v>9477</v>
      </c>
      <c r="Y2538" t="s">
        <v>11840</v>
      </c>
    </row>
    <row r="2539" spans="1:25">
      <c r="A2539" t="s">
        <v>11841</v>
      </c>
      <c r="B2539" t="s">
        <v>11842</v>
      </c>
      <c r="D2539" t="s">
        <v>9473</v>
      </c>
      <c r="E2539" t="s">
        <v>9474</v>
      </c>
      <c r="J2539" t="s">
        <v>78</v>
      </c>
      <c r="K2539" t="s">
        <v>79</v>
      </c>
      <c r="L2539">
        <v>6</v>
      </c>
      <c r="M2539" t="s">
        <v>11843</v>
      </c>
      <c r="N2539" t="s">
        <v>47</v>
      </c>
      <c r="O2539" t="s">
        <v>9477</v>
      </c>
      <c r="P2539" t="s">
        <v>9477</v>
      </c>
      <c r="Y2539" t="s">
        <v>11844</v>
      </c>
    </row>
    <row r="2540" spans="1:25">
      <c r="A2540" t="s">
        <v>11845</v>
      </c>
      <c r="B2540" t="s">
        <v>11846</v>
      </c>
      <c r="D2540" t="s">
        <v>9473</v>
      </c>
      <c r="E2540" t="s">
        <v>9474</v>
      </c>
      <c r="J2540" t="s">
        <v>44</v>
      </c>
      <c r="K2540" t="s">
        <v>45</v>
      </c>
      <c r="L2540">
        <v>6</v>
      </c>
      <c r="M2540" t="s">
        <v>11843</v>
      </c>
      <c r="N2540" t="s">
        <v>47</v>
      </c>
      <c r="O2540" t="s">
        <v>9477</v>
      </c>
      <c r="P2540" t="s">
        <v>9477</v>
      </c>
      <c r="Y2540" t="s">
        <v>11847</v>
      </c>
    </row>
    <row r="2541" spans="1:25">
      <c r="A2541" t="s">
        <v>11848</v>
      </c>
      <c r="B2541" t="s">
        <v>11849</v>
      </c>
      <c r="D2541" t="s">
        <v>9473</v>
      </c>
      <c r="E2541" t="s">
        <v>9474</v>
      </c>
      <c r="J2541" t="s">
        <v>90</v>
      </c>
      <c r="K2541" t="s">
        <v>91</v>
      </c>
      <c r="L2541">
        <v>6</v>
      </c>
      <c r="M2541" t="s">
        <v>11843</v>
      </c>
      <c r="N2541" t="s">
        <v>47</v>
      </c>
      <c r="O2541" t="s">
        <v>9477</v>
      </c>
      <c r="P2541" t="s">
        <v>9477</v>
      </c>
      <c r="Y2541" t="s">
        <v>11850</v>
      </c>
    </row>
    <row r="2542" spans="1:25">
      <c r="A2542" t="s">
        <v>11851</v>
      </c>
      <c r="B2542" t="s">
        <v>11852</v>
      </c>
      <c r="D2542" t="s">
        <v>9473</v>
      </c>
      <c r="E2542" t="s">
        <v>9474</v>
      </c>
      <c r="H2542" t="s">
        <v>11853</v>
      </c>
      <c r="J2542" t="s">
        <v>234</v>
      </c>
      <c r="K2542" t="s">
        <v>235</v>
      </c>
      <c r="L2542">
        <v>6</v>
      </c>
      <c r="M2542" t="s">
        <v>11854</v>
      </c>
      <c r="N2542" t="s">
        <v>47</v>
      </c>
      <c r="O2542" t="s">
        <v>9477</v>
      </c>
      <c r="P2542" t="s">
        <v>9477</v>
      </c>
      <c r="Y2542" t="s">
        <v>11853</v>
      </c>
    </row>
    <row r="2543" spans="1:25">
      <c r="A2543" t="s">
        <v>11855</v>
      </c>
      <c r="B2543" t="s">
        <v>11856</v>
      </c>
      <c r="D2543" t="s">
        <v>9473</v>
      </c>
      <c r="E2543" t="s">
        <v>9474</v>
      </c>
      <c r="H2543" t="s">
        <v>11857</v>
      </c>
      <c r="J2543" t="s">
        <v>234</v>
      </c>
      <c r="K2543" t="s">
        <v>235</v>
      </c>
      <c r="L2543">
        <v>6</v>
      </c>
      <c r="M2543" t="s">
        <v>11858</v>
      </c>
      <c r="N2543" t="s">
        <v>47</v>
      </c>
      <c r="O2543" t="s">
        <v>9477</v>
      </c>
      <c r="P2543" t="s">
        <v>9477</v>
      </c>
      <c r="Y2543" t="s">
        <v>11857</v>
      </c>
    </row>
    <row r="2544" spans="1:25">
      <c r="A2544" t="s">
        <v>11859</v>
      </c>
      <c r="B2544" t="s">
        <v>11860</v>
      </c>
      <c r="D2544" t="s">
        <v>9473</v>
      </c>
      <c r="E2544" t="s">
        <v>9474</v>
      </c>
      <c r="J2544" t="s">
        <v>133</v>
      </c>
      <c r="K2544" t="s">
        <v>134</v>
      </c>
      <c r="L2544">
        <v>6</v>
      </c>
      <c r="M2544" t="s">
        <v>11861</v>
      </c>
      <c r="N2544" t="s">
        <v>290</v>
      </c>
      <c r="O2544" t="s">
        <v>9477</v>
      </c>
      <c r="P2544" t="s">
        <v>9477</v>
      </c>
      <c r="Y2544" t="s">
        <v>11862</v>
      </c>
    </row>
    <row r="2545" spans="1:25">
      <c r="A2545" t="s">
        <v>11863</v>
      </c>
      <c r="B2545" t="s">
        <v>11864</v>
      </c>
      <c r="D2545" t="s">
        <v>9473</v>
      </c>
      <c r="E2545" t="s">
        <v>9474</v>
      </c>
      <c r="J2545" t="s">
        <v>54</v>
      </c>
      <c r="K2545" t="s">
        <v>55</v>
      </c>
      <c r="L2545">
        <v>6</v>
      </c>
      <c r="M2545" t="s">
        <v>11865</v>
      </c>
      <c r="N2545" t="s">
        <v>47</v>
      </c>
      <c r="O2545" t="s">
        <v>9477</v>
      </c>
      <c r="P2545" t="s">
        <v>9477</v>
      </c>
      <c r="Y2545" t="s">
        <v>11866</v>
      </c>
    </row>
    <row r="2546" spans="1:25">
      <c r="A2546" t="s">
        <v>11867</v>
      </c>
      <c r="B2546" t="s">
        <v>11868</v>
      </c>
      <c r="D2546" t="s">
        <v>9473</v>
      </c>
      <c r="E2546" t="s">
        <v>9474</v>
      </c>
      <c r="J2546" t="s">
        <v>44</v>
      </c>
      <c r="K2546" t="s">
        <v>45</v>
      </c>
      <c r="L2546">
        <v>6</v>
      </c>
      <c r="M2546" t="s">
        <v>11869</v>
      </c>
      <c r="N2546" t="s">
        <v>47</v>
      </c>
      <c r="O2546" t="s">
        <v>9477</v>
      </c>
      <c r="P2546" t="s">
        <v>9477</v>
      </c>
      <c r="Y2546" t="s">
        <v>11870</v>
      </c>
    </row>
    <row r="2547" spans="1:25">
      <c r="A2547" t="s">
        <v>11871</v>
      </c>
      <c r="B2547" t="s">
        <v>11872</v>
      </c>
      <c r="D2547" t="s">
        <v>9473</v>
      </c>
      <c r="E2547" t="s">
        <v>9474</v>
      </c>
      <c r="J2547" t="s">
        <v>44</v>
      </c>
      <c r="K2547" t="s">
        <v>45</v>
      </c>
      <c r="L2547">
        <v>6</v>
      </c>
      <c r="M2547" t="s">
        <v>11869</v>
      </c>
      <c r="N2547" t="s">
        <v>47</v>
      </c>
      <c r="O2547" t="s">
        <v>9477</v>
      </c>
      <c r="P2547" t="s">
        <v>9477</v>
      </c>
      <c r="Y2547" t="s">
        <v>11873</v>
      </c>
    </row>
    <row r="2548" spans="1:25">
      <c r="A2548" t="s">
        <v>11874</v>
      </c>
      <c r="B2548" t="s">
        <v>11875</v>
      </c>
      <c r="D2548" t="s">
        <v>9473</v>
      </c>
      <c r="E2548" t="s">
        <v>9474</v>
      </c>
      <c r="J2548" t="s">
        <v>44</v>
      </c>
      <c r="K2548" t="s">
        <v>45</v>
      </c>
      <c r="L2548">
        <v>6</v>
      </c>
      <c r="M2548" t="s">
        <v>11869</v>
      </c>
      <c r="N2548" t="s">
        <v>47</v>
      </c>
      <c r="O2548" t="s">
        <v>9477</v>
      </c>
      <c r="P2548" t="s">
        <v>9477</v>
      </c>
      <c r="Y2548" t="s">
        <v>11876</v>
      </c>
    </row>
    <row r="2549" spans="1:25">
      <c r="A2549" t="s">
        <v>11877</v>
      </c>
      <c r="B2549" t="s">
        <v>11878</v>
      </c>
      <c r="D2549" t="s">
        <v>9473</v>
      </c>
      <c r="E2549" t="s">
        <v>9474</v>
      </c>
      <c r="J2549" t="s">
        <v>78</v>
      </c>
      <c r="K2549" t="s">
        <v>79</v>
      </c>
      <c r="L2549">
        <v>6</v>
      </c>
      <c r="M2549" t="s">
        <v>11869</v>
      </c>
      <c r="N2549" t="s">
        <v>47</v>
      </c>
      <c r="O2549" t="s">
        <v>9477</v>
      </c>
      <c r="P2549" t="s">
        <v>9477</v>
      </c>
      <c r="Y2549" t="s">
        <v>11879</v>
      </c>
    </row>
    <row r="2550" spans="1:25">
      <c r="A2550" t="s">
        <v>11880</v>
      </c>
      <c r="B2550" t="s">
        <v>11881</v>
      </c>
      <c r="D2550" t="s">
        <v>9473</v>
      </c>
      <c r="E2550" t="s">
        <v>9474</v>
      </c>
      <c r="H2550" t="s">
        <v>11882</v>
      </c>
      <c r="J2550" t="s">
        <v>234</v>
      </c>
      <c r="K2550" t="s">
        <v>235</v>
      </c>
      <c r="L2550">
        <v>6</v>
      </c>
      <c r="M2550" t="s">
        <v>11883</v>
      </c>
      <c r="N2550" t="s">
        <v>47</v>
      </c>
      <c r="O2550" t="s">
        <v>9477</v>
      </c>
      <c r="P2550" t="s">
        <v>9477</v>
      </c>
      <c r="Y2550" t="s">
        <v>11882</v>
      </c>
    </row>
    <row r="2551" spans="1:25">
      <c r="A2551" t="s">
        <v>11884</v>
      </c>
      <c r="B2551" t="s">
        <v>11885</v>
      </c>
      <c r="D2551" t="s">
        <v>9473</v>
      </c>
      <c r="E2551" t="s">
        <v>9474</v>
      </c>
      <c r="H2551" t="s">
        <v>11886</v>
      </c>
      <c r="J2551" t="s">
        <v>234</v>
      </c>
      <c r="K2551" t="s">
        <v>235</v>
      </c>
      <c r="L2551">
        <v>6</v>
      </c>
      <c r="M2551" t="s">
        <v>11887</v>
      </c>
      <c r="N2551" t="s">
        <v>47</v>
      </c>
      <c r="O2551" t="s">
        <v>9477</v>
      </c>
      <c r="P2551" t="s">
        <v>9477</v>
      </c>
      <c r="Y2551" t="s">
        <v>11886</v>
      </c>
    </row>
    <row r="2552" spans="1:25">
      <c r="A2552" t="s">
        <v>11888</v>
      </c>
      <c r="B2552" t="s">
        <v>11889</v>
      </c>
      <c r="D2552" t="s">
        <v>9473</v>
      </c>
      <c r="E2552" t="s">
        <v>9474</v>
      </c>
      <c r="H2552" t="s">
        <v>11890</v>
      </c>
      <c r="J2552" t="s">
        <v>234</v>
      </c>
      <c r="K2552" t="s">
        <v>235</v>
      </c>
      <c r="L2552">
        <v>6</v>
      </c>
      <c r="M2552" t="s">
        <v>11891</v>
      </c>
      <c r="N2552" t="s">
        <v>47</v>
      </c>
      <c r="O2552" t="s">
        <v>9477</v>
      </c>
      <c r="P2552" t="s">
        <v>9477</v>
      </c>
      <c r="Y2552" t="s">
        <v>11890</v>
      </c>
    </row>
    <row r="2553" spans="1:25">
      <c r="A2553" t="s">
        <v>11892</v>
      </c>
      <c r="B2553" t="s">
        <v>11893</v>
      </c>
      <c r="D2553" t="s">
        <v>9473</v>
      </c>
      <c r="E2553" t="s">
        <v>9474</v>
      </c>
      <c r="H2553" t="s">
        <v>11894</v>
      </c>
      <c r="J2553" t="s">
        <v>234</v>
      </c>
      <c r="K2553" t="s">
        <v>235</v>
      </c>
      <c r="L2553">
        <v>6</v>
      </c>
      <c r="M2553" t="s">
        <v>11895</v>
      </c>
      <c r="N2553" t="s">
        <v>47</v>
      </c>
      <c r="O2553" t="s">
        <v>9477</v>
      </c>
      <c r="P2553" t="s">
        <v>9477</v>
      </c>
      <c r="Y2553" t="s">
        <v>11894</v>
      </c>
    </row>
    <row r="2554" spans="1:25">
      <c r="A2554" t="s">
        <v>11896</v>
      </c>
      <c r="B2554" t="s">
        <v>11897</v>
      </c>
      <c r="D2554" t="s">
        <v>9473</v>
      </c>
      <c r="E2554" t="s">
        <v>9474</v>
      </c>
      <c r="H2554" t="s">
        <v>11898</v>
      </c>
      <c r="J2554" t="s">
        <v>78</v>
      </c>
      <c r="K2554" t="s">
        <v>79</v>
      </c>
      <c r="L2554">
        <v>6</v>
      </c>
      <c r="M2554" t="s">
        <v>11899</v>
      </c>
      <c r="N2554" t="s">
        <v>47</v>
      </c>
      <c r="O2554" t="s">
        <v>9477</v>
      </c>
      <c r="P2554" t="s">
        <v>9477</v>
      </c>
      <c r="Y2554" t="s">
        <v>11898</v>
      </c>
    </row>
    <row r="2555" spans="1:25">
      <c r="A2555" t="s">
        <v>11900</v>
      </c>
      <c r="B2555" t="s">
        <v>11901</v>
      </c>
      <c r="D2555" t="s">
        <v>9473</v>
      </c>
      <c r="E2555" t="s">
        <v>9474</v>
      </c>
      <c r="J2555" t="s">
        <v>90</v>
      </c>
      <c r="K2555" t="s">
        <v>91</v>
      </c>
      <c r="L2555">
        <v>6</v>
      </c>
      <c r="M2555" t="s">
        <v>11899</v>
      </c>
      <c r="N2555" t="s">
        <v>47</v>
      </c>
      <c r="O2555" t="s">
        <v>9477</v>
      </c>
      <c r="P2555" t="s">
        <v>9477</v>
      </c>
      <c r="Y2555" t="s">
        <v>11902</v>
      </c>
    </row>
    <row r="2556" spans="1:25">
      <c r="A2556" t="s">
        <v>11903</v>
      </c>
      <c r="B2556" t="s">
        <v>11904</v>
      </c>
      <c r="D2556" t="s">
        <v>9473</v>
      </c>
      <c r="E2556" t="s">
        <v>9474</v>
      </c>
      <c r="H2556" t="s">
        <v>11905</v>
      </c>
      <c r="J2556" t="s">
        <v>54</v>
      </c>
      <c r="K2556" t="s">
        <v>55</v>
      </c>
      <c r="L2556">
        <v>6</v>
      </c>
      <c r="M2556" t="s">
        <v>11906</v>
      </c>
      <c r="N2556" t="s">
        <v>47</v>
      </c>
      <c r="O2556" t="s">
        <v>9477</v>
      </c>
      <c r="P2556" t="s">
        <v>9477</v>
      </c>
      <c r="Y2556" t="s">
        <v>11905</v>
      </c>
    </row>
    <row r="2557" spans="1:25">
      <c r="A2557" t="s">
        <v>11907</v>
      </c>
      <c r="B2557" t="s">
        <v>11908</v>
      </c>
      <c r="D2557" t="s">
        <v>9473</v>
      </c>
      <c r="E2557" t="s">
        <v>9474</v>
      </c>
      <c r="J2557" t="s">
        <v>90</v>
      </c>
      <c r="K2557" t="s">
        <v>91</v>
      </c>
      <c r="L2557">
        <v>6</v>
      </c>
      <c r="M2557" t="s">
        <v>11909</v>
      </c>
      <c r="N2557" t="s">
        <v>47</v>
      </c>
      <c r="O2557" t="s">
        <v>9477</v>
      </c>
      <c r="P2557" t="s">
        <v>9477</v>
      </c>
      <c r="Y2557" t="s">
        <v>11910</v>
      </c>
    </row>
    <row r="2558" spans="1:25">
      <c r="A2558" t="s">
        <v>11911</v>
      </c>
      <c r="B2558" t="s">
        <v>11912</v>
      </c>
      <c r="D2558" t="s">
        <v>9473</v>
      </c>
      <c r="E2558" t="s">
        <v>9474</v>
      </c>
      <c r="J2558" t="s">
        <v>78</v>
      </c>
      <c r="K2558" t="s">
        <v>79</v>
      </c>
      <c r="L2558">
        <v>6</v>
      </c>
      <c r="M2558" t="s">
        <v>11909</v>
      </c>
      <c r="N2558" t="s">
        <v>47</v>
      </c>
      <c r="O2558" t="s">
        <v>9477</v>
      </c>
      <c r="P2558" t="s">
        <v>9477</v>
      </c>
      <c r="Y2558" t="s">
        <v>11913</v>
      </c>
    </row>
    <row r="2559" spans="1:25">
      <c r="A2559" t="s">
        <v>11914</v>
      </c>
      <c r="B2559" t="s">
        <v>11915</v>
      </c>
      <c r="D2559" t="s">
        <v>9473</v>
      </c>
      <c r="E2559" t="s">
        <v>9474</v>
      </c>
      <c r="J2559" t="s">
        <v>90</v>
      </c>
      <c r="K2559" t="s">
        <v>91</v>
      </c>
      <c r="L2559">
        <v>6</v>
      </c>
      <c r="M2559" t="s">
        <v>11909</v>
      </c>
      <c r="N2559" t="s">
        <v>47</v>
      </c>
      <c r="O2559" t="s">
        <v>9477</v>
      </c>
      <c r="P2559" t="s">
        <v>9477</v>
      </c>
      <c r="Y2559" t="s">
        <v>11916</v>
      </c>
    </row>
    <row r="2560" spans="1:25">
      <c r="A2560" t="s">
        <v>11917</v>
      </c>
      <c r="B2560" t="s">
        <v>11918</v>
      </c>
      <c r="D2560" t="s">
        <v>9473</v>
      </c>
      <c r="E2560" t="s">
        <v>9474</v>
      </c>
      <c r="H2560" t="s">
        <v>11919</v>
      </c>
      <c r="J2560" t="s">
        <v>90</v>
      </c>
      <c r="K2560" t="s">
        <v>91</v>
      </c>
      <c r="L2560">
        <v>6</v>
      </c>
      <c r="M2560" t="s">
        <v>11920</v>
      </c>
      <c r="N2560" t="s">
        <v>47</v>
      </c>
      <c r="O2560" t="s">
        <v>9477</v>
      </c>
      <c r="P2560" t="s">
        <v>9477</v>
      </c>
      <c r="Y2560" t="s">
        <v>11919</v>
      </c>
    </row>
    <row r="2561" spans="1:25">
      <c r="A2561" t="s">
        <v>11921</v>
      </c>
      <c r="B2561" t="s">
        <v>11922</v>
      </c>
      <c r="D2561" t="s">
        <v>9473</v>
      </c>
      <c r="E2561" t="s">
        <v>9474</v>
      </c>
      <c r="J2561" t="s">
        <v>90</v>
      </c>
      <c r="K2561" t="s">
        <v>91</v>
      </c>
      <c r="L2561">
        <v>6</v>
      </c>
      <c r="M2561" t="s">
        <v>11920</v>
      </c>
      <c r="N2561" t="s">
        <v>47</v>
      </c>
      <c r="O2561" t="s">
        <v>9477</v>
      </c>
      <c r="P2561" t="s">
        <v>9477</v>
      </c>
      <c r="Y2561" t="s">
        <v>11923</v>
      </c>
    </row>
    <row r="2562" spans="1:25">
      <c r="A2562" t="s">
        <v>11924</v>
      </c>
      <c r="B2562" t="s">
        <v>11925</v>
      </c>
      <c r="D2562" t="s">
        <v>9473</v>
      </c>
      <c r="E2562" t="s">
        <v>9474</v>
      </c>
      <c r="J2562" t="s">
        <v>54</v>
      </c>
      <c r="K2562" t="s">
        <v>55</v>
      </c>
      <c r="L2562">
        <v>6</v>
      </c>
      <c r="M2562" t="s">
        <v>11926</v>
      </c>
      <c r="N2562" t="s">
        <v>47</v>
      </c>
      <c r="O2562" t="s">
        <v>9477</v>
      </c>
      <c r="P2562" t="s">
        <v>9477</v>
      </c>
      <c r="Y2562" t="s">
        <v>11927</v>
      </c>
    </row>
    <row r="2563" spans="1:25">
      <c r="A2563" t="s">
        <v>11928</v>
      </c>
      <c r="B2563" t="s">
        <v>11929</v>
      </c>
      <c r="D2563" t="s">
        <v>9473</v>
      </c>
      <c r="E2563" t="s">
        <v>9474</v>
      </c>
      <c r="J2563" t="s">
        <v>90</v>
      </c>
      <c r="K2563" t="s">
        <v>91</v>
      </c>
      <c r="L2563">
        <v>6</v>
      </c>
      <c r="M2563" t="s">
        <v>11930</v>
      </c>
      <c r="N2563" t="s">
        <v>47</v>
      </c>
      <c r="O2563" t="s">
        <v>9477</v>
      </c>
      <c r="P2563" t="s">
        <v>9477</v>
      </c>
      <c r="Y2563" t="s">
        <v>11931</v>
      </c>
    </row>
    <row r="2564" spans="1:25">
      <c r="A2564" t="s">
        <v>11932</v>
      </c>
      <c r="B2564" t="s">
        <v>11933</v>
      </c>
      <c r="D2564" t="s">
        <v>9473</v>
      </c>
      <c r="E2564" t="s">
        <v>9474</v>
      </c>
      <c r="J2564" t="s">
        <v>133</v>
      </c>
      <c r="K2564" t="s">
        <v>134</v>
      </c>
      <c r="L2564">
        <v>6</v>
      </c>
      <c r="M2564" t="s">
        <v>11930</v>
      </c>
      <c r="N2564" t="s">
        <v>685</v>
      </c>
      <c r="O2564" t="s">
        <v>9477</v>
      </c>
      <c r="P2564" t="s">
        <v>9477</v>
      </c>
      <c r="Y2564" t="s">
        <v>11934</v>
      </c>
    </row>
    <row r="2565" spans="1:25">
      <c r="A2565" t="s">
        <v>11935</v>
      </c>
      <c r="B2565" t="s">
        <v>11936</v>
      </c>
      <c r="D2565" t="s">
        <v>9473</v>
      </c>
      <c r="E2565" t="s">
        <v>9474</v>
      </c>
      <c r="J2565" t="s">
        <v>90</v>
      </c>
      <c r="K2565" t="s">
        <v>91</v>
      </c>
      <c r="L2565">
        <v>6</v>
      </c>
      <c r="M2565" t="s">
        <v>11937</v>
      </c>
      <c r="N2565" t="s">
        <v>47</v>
      </c>
      <c r="O2565" t="s">
        <v>9477</v>
      </c>
      <c r="P2565" t="s">
        <v>9477</v>
      </c>
      <c r="Y2565" t="s">
        <v>11938</v>
      </c>
    </row>
    <row r="2566" spans="1:25">
      <c r="A2566" t="s">
        <v>11939</v>
      </c>
      <c r="B2566" t="s">
        <v>11940</v>
      </c>
      <c r="D2566" t="s">
        <v>9473</v>
      </c>
      <c r="E2566" t="s">
        <v>9474</v>
      </c>
      <c r="J2566" t="s">
        <v>90</v>
      </c>
      <c r="K2566" t="s">
        <v>91</v>
      </c>
      <c r="L2566">
        <v>6</v>
      </c>
      <c r="M2566" t="s">
        <v>11941</v>
      </c>
      <c r="N2566" t="s">
        <v>47</v>
      </c>
      <c r="O2566" t="s">
        <v>9477</v>
      </c>
      <c r="P2566" t="s">
        <v>9477</v>
      </c>
      <c r="Y2566" t="s">
        <v>11942</v>
      </c>
    </row>
    <row r="2567" spans="1:25">
      <c r="A2567" t="s">
        <v>11943</v>
      </c>
      <c r="B2567" t="s">
        <v>11944</v>
      </c>
      <c r="D2567" t="s">
        <v>9473</v>
      </c>
      <c r="E2567" t="s">
        <v>9474</v>
      </c>
      <c r="J2567" t="s">
        <v>44</v>
      </c>
      <c r="K2567" t="s">
        <v>45</v>
      </c>
      <c r="L2567">
        <v>6</v>
      </c>
      <c r="M2567" t="s">
        <v>11945</v>
      </c>
      <c r="N2567" t="s">
        <v>47</v>
      </c>
      <c r="O2567" t="s">
        <v>9477</v>
      </c>
      <c r="P2567" t="s">
        <v>9477</v>
      </c>
      <c r="Y2567" t="s">
        <v>11946</v>
      </c>
    </row>
    <row r="2568" spans="1:25">
      <c r="A2568" t="s">
        <v>11947</v>
      </c>
      <c r="B2568" t="s">
        <v>11948</v>
      </c>
      <c r="D2568" t="s">
        <v>9473</v>
      </c>
      <c r="E2568" t="s">
        <v>9474</v>
      </c>
      <c r="J2568" t="s">
        <v>353</v>
      </c>
      <c r="K2568" t="s">
        <v>354</v>
      </c>
      <c r="L2568">
        <v>6</v>
      </c>
      <c r="M2568" t="s">
        <v>11945</v>
      </c>
      <c r="N2568" t="s">
        <v>135</v>
      </c>
      <c r="O2568" t="s">
        <v>9477</v>
      </c>
      <c r="P2568" t="s">
        <v>9477</v>
      </c>
      <c r="Y2568" t="s">
        <v>11949</v>
      </c>
    </row>
    <row r="2569" spans="1:25">
      <c r="A2569" t="s">
        <v>11950</v>
      </c>
      <c r="B2569" t="s">
        <v>11951</v>
      </c>
      <c r="D2569" t="s">
        <v>9473</v>
      </c>
      <c r="E2569" t="s">
        <v>9474</v>
      </c>
      <c r="J2569" t="s">
        <v>90</v>
      </c>
      <c r="K2569" t="s">
        <v>91</v>
      </c>
      <c r="L2569">
        <v>6</v>
      </c>
      <c r="M2569" t="s">
        <v>11945</v>
      </c>
      <c r="N2569" t="s">
        <v>47</v>
      </c>
      <c r="O2569" t="s">
        <v>9477</v>
      </c>
      <c r="P2569" t="s">
        <v>9477</v>
      </c>
      <c r="Y2569" t="s">
        <v>11952</v>
      </c>
    </row>
    <row r="2570" spans="1:25">
      <c r="A2570" t="s">
        <v>11953</v>
      </c>
      <c r="B2570" t="s">
        <v>11954</v>
      </c>
      <c r="D2570" t="s">
        <v>9473</v>
      </c>
      <c r="E2570" t="s">
        <v>9474</v>
      </c>
      <c r="J2570" t="s">
        <v>90</v>
      </c>
      <c r="K2570" t="s">
        <v>91</v>
      </c>
      <c r="L2570">
        <v>6</v>
      </c>
      <c r="M2570" t="s">
        <v>11945</v>
      </c>
      <c r="N2570" t="s">
        <v>47</v>
      </c>
      <c r="O2570" t="s">
        <v>9477</v>
      </c>
      <c r="P2570" t="s">
        <v>9477</v>
      </c>
      <c r="Y2570" t="s">
        <v>11955</v>
      </c>
    </row>
    <row r="2571" spans="1:25">
      <c r="A2571" t="s">
        <v>11956</v>
      </c>
      <c r="B2571" t="s">
        <v>11957</v>
      </c>
      <c r="D2571" t="s">
        <v>9473</v>
      </c>
      <c r="E2571" t="s">
        <v>9474</v>
      </c>
      <c r="H2571" t="s">
        <v>11958</v>
      </c>
      <c r="J2571" t="s">
        <v>234</v>
      </c>
      <c r="K2571" t="s">
        <v>235</v>
      </c>
      <c r="L2571">
        <v>6</v>
      </c>
      <c r="M2571" t="s">
        <v>11959</v>
      </c>
      <c r="N2571" t="s">
        <v>47</v>
      </c>
      <c r="O2571" t="s">
        <v>9477</v>
      </c>
      <c r="P2571" t="s">
        <v>9477</v>
      </c>
      <c r="Y2571" t="s">
        <v>11958</v>
      </c>
    </row>
    <row r="2572" spans="1:25">
      <c r="A2572" t="s">
        <v>11960</v>
      </c>
      <c r="B2572" t="s">
        <v>11961</v>
      </c>
      <c r="D2572" t="s">
        <v>9473</v>
      </c>
      <c r="E2572" t="s">
        <v>9474</v>
      </c>
      <c r="J2572" t="s">
        <v>78</v>
      </c>
      <c r="K2572" t="s">
        <v>79</v>
      </c>
      <c r="L2572">
        <v>6</v>
      </c>
      <c r="M2572" t="s">
        <v>11962</v>
      </c>
      <c r="N2572" t="s">
        <v>47</v>
      </c>
      <c r="O2572" t="s">
        <v>9477</v>
      </c>
      <c r="P2572" t="s">
        <v>9477</v>
      </c>
      <c r="Y2572" t="s">
        <v>11963</v>
      </c>
    </row>
    <row r="2573" spans="1:25">
      <c r="A2573" t="s">
        <v>11964</v>
      </c>
      <c r="B2573" t="s">
        <v>11965</v>
      </c>
      <c r="D2573" t="s">
        <v>9473</v>
      </c>
      <c r="E2573" t="s">
        <v>9474</v>
      </c>
      <c r="J2573" t="s">
        <v>44</v>
      </c>
      <c r="K2573" t="s">
        <v>45</v>
      </c>
      <c r="L2573">
        <v>6</v>
      </c>
      <c r="M2573" t="s">
        <v>11966</v>
      </c>
      <c r="N2573" t="s">
        <v>47</v>
      </c>
      <c r="O2573" t="s">
        <v>9477</v>
      </c>
      <c r="P2573" t="s">
        <v>9477</v>
      </c>
      <c r="Y2573" t="s">
        <v>11967</v>
      </c>
    </row>
    <row r="2574" spans="1:25">
      <c r="A2574" t="s">
        <v>11968</v>
      </c>
      <c r="B2574" t="s">
        <v>11969</v>
      </c>
      <c r="D2574" t="s">
        <v>9473</v>
      </c>
      <c r="E2574" t="s">
        <v>9474</v>
      </c>
      <c r="H2574" t="s">
        <v>11970</v>
      </c>
      <c r="J2574" t="s">
        <v>927</v>
      </c>
      <c r="K2574" t="s">
        <v>928</v>
      </c>
      <c r="L2574">
        <v>6</v>
      </c>
      <c r="M2574" t="s">
        <v>11971</v>
      </c>
      <c r="N2574" t="s">
        <v>685</v>
      </c>
      <c r="O2574" t="s">
        <v>9477</v>
      </c>
      <c r="P2574" t="s">
        <v>9477</v>
      </c>
      <c r="Y2574" t="s">
        <v>11970</v>
      </c>
    </row>
    <row r="2575" spans="1:25">
      <c r="A2575" t="s">
        <v>11972</v>
      </c>
      <c r="B2575" t="s">
        <v>11973</v>
      </c>
      <c r="D2575" t="s">
        <v>9473</v>
      </c>
      <c r="E2575" t="s">
        <v>9474</v>
      </c>
      <c r="H2575" t="s">
        <v>11974</v>
      </c>
      <c r="J2575" t="s">
        <v>90</v>
      </c>
      <c r="K2575" t="s">
        <v>91</v>
      </c>
      <c r="L2575">
        <v>6</v>
      </c>
      <c r="M2575" t="s">
        <v>11975</v>
      </c>
      <c r="N2575" t="s">
        <v>47</v>
      </c>
      <c r="O2575" t="s">
        <v>9477</v>
      </c>
      <c r="P2575" t="s">
        <v>9477</v>
      </c>
      <c r="Y2575" t="s">
        <v>11974</v>
      </c>
    </row>
    <row r="2576" spans="1:25">
      <c r="A2576" t="s">
        <v>11976</v>
      </c>
      <c r="B2576" t="s">
        <v>11977</v>
      </c>
      <c r="D2576" t="s">
        <v>9473</v>
      </c>
      <c r="E2576" t="s">
        <v>9474</v>
      </c>
      <c r="H2576" t="s">
        <v>11978</v>
      </c>
      <c r="J2576" t="s">
        <v>90</v>
      </c>
      <c r="K2576" t="s">
        <v>91</v>
      </c>
      <c r="L2576">
        <v>6</v>
      </c>
      <c r="M2576" t="s">
        <v>11975</v>
      </c>
      <c r="N2576" t="s">
        <v>47</v>
      </c>
      <c r="O2576" t="s">
        <v>9477</v>
      </c>
      <c r="P2576" t="s">
        <v>9477</v>
      </c>
      <c r="Y2576" t="s">
        <v>11978</v>
      </c>
    </row>
    <row r="2577" spans="1:25">
      <c r="A2577" t="s">
        <v>11979</v>
      </c>
      <c r="B2577" t="s">
        <v>11980</v>
      </c>
      <c r="D2577" t="s">
        <v>9473</v>
      </c>
      <c r="E2577" t="s">
        <v>9474</v>
      </c>
      <c r="J2577" t="s">
        <v>90</v>
      </c>
      <c r="K2577" t="s">
        <v>91</v>
      </c>
      <c r="L2577">
        <v>6</v>
      </c>
      <c r="M2577" t="s">
        <v>11975</v>
      </c>
      <c r="N2577" t="s">
        <v>47</v>
      </c>
      <c r="O2577" t="s">
        <v>9477</v>
      </c>
      <c r="P2577" t="s">
        <v>9477</v>
      </c>
      <c r="Y2577" t="s">
        <v>11981</v>
      </c>
    </row>
    <row r="2578" spans="1:25">
      <c r="A2578" t="s">
        <v>11982</v>
      </c>
      <c r="B2578" t="s">
        <v>11983</v>
      </c>
      <c r="D2578" t="s">
        <v>9473</v>
      </c>
      <c r="E2578" t="s">
        <v>9474</v>
      </c>
      <c r="H2578" t="s">
        <v>11984</v>
      </c>
      <c r="J2578" t="s">
        <v>54</v>
      </c>
      <c r="K2578" t="s">
        <v>55</v>
      </c>
      <c r="L2578">
        <v>6</v>
      </c>
      <c r="M2578" t="s">
        <v>11985</v>
      </c>
      <c r="N2578" t="s">
        <v>47</v>
      </c>
      <c r="O2578" t="s">
        <v>9477</v>
      </c>
      <c r="P2578" t="s">
        <v>9477</v>
      </c>
      <c r="Y2578" t="s">
        <v>11984</v>
      </c>
    </row>
    <row r="2579" spans="1:25">
      <c r="A2579" t="s">
        <v>11986</v>
      </c>
      <c r="B2579" t="s">
        <v>11987</v>
      </c>
      <c r="D2579" t="s">
        <v>9473</v>
      </c>
      <c r="E2579" t="s">
        <v>9474</v>
      </c>
      <c r="J2579" t="s">
        <v>78</v>
      </c>
      <c r="K2579" t="s">
        <v>79</v>
      </c>
      <c r="L2579">
        <v>6</v>
      </c>
      <c r="M2579" t="s">
        <v>11988</v>
      </c>
      <c r="N2579" t="s">
        <v>47</v>
      </c>
      <c r="O2579" t="s">
        <v>9477</v>
      </c>
      <c r="P2579" t="s">
        <v>9477</v>
      </c>
      <c r="Y2579" t="s">
        <v>11989</v>
      </c>
    </row>
    <row r="2580" spans="1:25">
      <c r="A2580" t="s">
        <v>11990</v>
      </c>
      <c r="B2580" t="s">
        <v>11991</v>
      </c>
      <c r="D2580" t="s">
        <v>9473</v>
      </c>
      <c r="E2580" t="s">
        <v>9474</v>
      </c>
      <c r="J2580" t="s">
        <v>44</v>
      </c>
      <c r="K2580" t="s">
        <v>45</v>
      </c>
      <c r="L2580">
        <v>6</v>
      </c>
      <c r="M2580" t="s">
        <v>11988</v>
      </c>
      <c r="N2580" t="s">
        <v>47</v>
      </c>
      <c r="O2580" t="s">
        <v>9477</v>
      </c>
      <c r="P2580" t="s">
        <v>9477</v>
      </c>
      <c r="Y2580" t="s">
        <v>11992</v>
      </c>
    </row>
    <row r="2581" spans="1:25">
      <c r="A2581" t="s">
        <v>11993</v>
      </c>
      <c r="B2581" t="s">
        <v>11994</v>
      </c>
      <c r="D2581" t="s">
        <v>9473</v>
      </c>
      <c r="E2581" t="s">
        <v>9474</v>
      </c>
      <c r="J2581" t="s">
        <v>78</v>
      </c>
      <c r="K2581" t="s">
        <v>79</v>
      </c>
      <c r="L2581">
        <v>6</v>
      </c>
      <c r="M2581" t="s">
        <v>11995</v>
      </c>
      <c r="N2581" t="s">
        <v>47</v>
      </c>
      <c r="O2581" t="s">
        <v>9477</v>
      </c>
      <c r="P2581" t="s">
        <v>9477</v>
      </c>
      <c r="Y2581" t="s">
        <v>11996</v>
      </c>
    </row>
    <row r="2582" spans="1:25">
      <c r="A2582" t="s">
        <v>11997</v>
      </c>
      <c r="B2582" t="s">
        <v>11998</v>
      </c>
      <c r="D2582" t="s">
        <v>9473</v>
      </c>
      <c r="E2582" t="s">
        <v>9474</v>
      </c>
      <c r="H2582" t="s">
        <v>11999</v>
      </c>
      <c r="J2582" t="s">
        <v>90</v>
      </c>
      <c r="K2582" t="s">
        <v>91</v>
      </c>
      <c r="L2582">
        <v>6</v>
      </c>
      <c r="M2582" t="s">
        <v>12000</v>
      </c>
      <c r="N2582" t="s">
        <v>47</v>
      </c>
      <c r="O2582" t="s">
        <v>9477</v>
      </c>
      <c r="P2582" t="s">
        <v>9477</v>
      </c>
      <c r="Y2582" t="s">
        <v>11999</v>
      </c>
    </row>
    <row r="2583" spans="1:25">
      <c r="A2583" t="s">
        <v>12001</v>
      </c>
      <c r="B2583" t="s">
        <v>12002</v>
      </c>
      <c r="D2583" t="s">
        <v>9473</v>
      </c>
      <c r="E2583" t="s">
        <v>9474</v>
      </c>
      <c r="H2583" t="s">
        <v>12003</v>
      </c>
      <c r="J2583" t="s">
        <v>90</v>
      </c>
      <c r="K2583" t="s">
        <v>91</v>
      </c>
      <c r="L2583">
        <v>6</v>
      </c>
      <c r="M2583" t="s">
        <v>12004</v>
      </c>
      <c r="N2583" t="s">
        <v>47</v>
      </c>
      <c r="O2583" t="s">
        <v>9477</v>
      </c>
      <c r="P2583" t="s">
        <v>9477</v>
      </c>
      <c r="Y2583" t="s">
        <v>12003</v>
      </c>
    </row>
    <row r="2584" spans="1:25">
      <c r="A2584" t="s">
        <v>12005</v>
      </c>
      <c r="B2584" t="s">
        <v>12006</v>
      </c>
      <c r="D2584" t="s">
        <v>9473</v>
      </c>
      <c r="E2584" t="s">
        <v>9474</v>
      </c>
      <c r="J2584" t="s">
        <v>90</v>
      </c>
      <c r="K2584" t="s">
        <v>91</v>
      </c>
      <c r="L2584">
        <v>6</v>
      </c>
      <c r="M2584" t="s">
        <v>12007</v>
      </c>
      <c r="N2584" t="s">
        <v>47</v>
      </c>
      <c r="O2584" t="s">
        <v>9477</v>
      </c>
      <c r="P2584" t="s">
        <v>9477</v>
      </c>
      <c r="Y2584" t="s">
        <v>12008</v>
      </c>
    </row>
    <row r="2585" spans="1:25">
      <c r="A2585" t="s">
        <v>12009</v>
      </c>
      <c r="B2585" t="s">
        <v>12010</v>
      </c>
      <c r="D2585" t="s">
        <v>9473</v>
      </c>
      <c r="E2585" t="s">
        <v>9474</v>
      </c>
      <c r="H2585" t="s">
        <v>12011</v>
      </c>
      <c r="J2585" t="s">
        <v>90</v>
      </c>
      <c r="K2585" t="s">
        <v>91</v>
      </c>
      <c r="L2585">
        <v>6</v>
      </c>
      <c r="M2585" t="s">
        <v>12007</v>
      </c>
      <c r="N2585" t="s">
        <v>47</v>
      </c>
      <c r="O2585" t="s">
        <v>9477</v>
      </c>
      <c r="P2585" t="s">
        <v>9477</v>
      </c>
      <c r="Y2585" t="s">
        <v>12011</v>
      </c>
    </row>
    <row r="2586" spans="1:25">
      <c r="A2586" t="s">
        <v>12012</v>
      </c>
      <c r="B2586" t="s">
        <v>12013</v>
      </c>
      <c r="D2586" t="s">
        <v>9473</v>
      </c>
      <c r="E2586" t="s">
        <v>9474</v>
      </c>
      <c r="J2586" t="s">
        <v>78</v>
      </c>
      <c r="K2586" t="s">
        <v>79</v>
      </c>
      <c r="L2586">
        <v>6</v>
      </c>
      <c r="M2586" t="s">
        <v>12014</v>
      </c>
      <c r="N2586" t="s">
        <v>47</v>
      </c>
      <c r="O2586" t="s">
        <v>9477</v>
      </c>
      <c r="P2586" t="s">
        <v>9477</v>
      </c>
      <c r="Y2586" t="s">
        <v>12015</v>
      </c>
    </row>
    <row r="2587" spans="1:25">
      <c r="A2587" t="s">
        <v>12016</v>
      </c>
      <c r="B2587" t="s">
        <v>12017</v>
      </c>
      <c r="D2587" t="s">
        <v>9473</v>
      </c>
      <c r="E2587" t="s">
        <v>9474</v>
      </c>
      <c r="H2587" t="s">
        <v>12018</v>
      </c>
      <c r="J2587" t="s">
        <v>44</v>
      </c>
      <c r="K2587" t="s">
        <v>45</v>
      </c>
      <c r="L2587">
        <v>6</v>
      </c>
      <c r="M2587" t="s">
        <v>12014</v>
      </c>
      <c r="N2587" t="s">
        <v>47</v>
      </c>
      <c r="O2587" t="s">
        <v>9477</v>
      </c>
      <c r="P2587" t="s">
        <v>9477</v>
      </c>
      <c r="Y2587" t="s">
        <v>12018</v>
      </c>
    </row>
    <row r="2588" spans="1:25">
      <c r="A2588" t="s">
        <v>12019</v>
      </c>
      <c r="B2588" t="s">
        <v>12020</v>
      </c>
      <c r="D2588" t="s">
        <v>9473</v>
      </c>
      <c r="E2588" t="s">
        <v>9474</v>
      </c>
      <c r="H2588" t="s">
        <v>12021</v>
      </c>
      <c r="J2588" t="s">
        <v>90</v>
      </c>
      <c r="K2588" t="s">
        <v>91</v>
      </c>
      <c r="L2588">
        <v>6</v>
      </c>
      <c r="M2588" t="s">
        <v>12014</v>
      </c>
      <c r="N2588" t="s">
        <v>47</v>
      </c>
      <c r="O2588" t="s">
        <v>9477</v>
      </c>
      <c r="P2588" t="s">
        <v>9477</v>
      </c>
      <c r="Y2588" t="s">
        <v>12021</v>
      </c>
    </row>
    <row r="2589" spans="1:25">
      <c r="A2589" t="s">
        <v>12022</v>
      </c>
      <c r="B2589" t="s">
        <v>12023</v>
      </c>
      <c r="D2589" t="s">
        <v>9473</v>
      </c>
      <c r="E2589" t="s">
        <v>9474</v>
      </c>
      <c r="J2589" t="s">
        <v>78</v>
      </c>
      <c r="K2589" t="s">
        <v>79</v>
      </c>
      <c r="L2589">
        <v>6</v>
      </c>
      <c r="M2589" t="s">
        <v>12014</v>
      </c>
      <c r="N2589" t="s">
        <v>47</v>
      </c>
      <c r="O2589" t="s">
        <v>9477</v>
      </c>
      <c r="P2589" t="s">
        <v>9477</v>
      </c>
      <c r="Y2589" t="s">
        <v>12024</v>
      </c>
    </row>
    <row r="2590" spans="1:25">
      <c r="A2590" t="s">
        <v>12025</v>
      </c>
      <c r="B2590" t="s">
        <v>12026</v>
      </c>
      <c r="D2590" t="s">
        <v>9473</v>
      </c>
      <c r="E2590" t="s">
        <v>9474</v>
      </c>
      <c r="J2590" t="s">
        <v>44</v>
      </c>
      <c r="K2590" t="s">
        <v>45</v>
      </c>
      <c r="L2590">
        <v>6</v>
      </c>
      <c r="M2590" t="s">
        <v>12027</v>
      </c>
      <c r="N2590" t="s">
        <v>47</v>
      </c>
      <c r="O2590" t="s">
        <v>9477</v>
      </c>
      <c r="P2590" t="s">
        <v>9477</v>
      </c>
      <c r="Y2590" t="s">
        <v>12028</v>
      </c>
    </row>
    <row r="2591" spans="1:25">
      <c r="A2591" t="s">
        <v>12029</v>
      </c>
      <c r="B2591" t="s">
        <v>12030</v>
      </c>
      <c r="D2591" t="s">
        <v>9473</v>
      </c>
      <c r="E2591" t="s">
        <v>9474</v>
      </c>
      <c r="J2591" t="s">
        <v>765</v>
      </c>
      <c r="K2591" t="s">
        <v>766</v>
      </c>
      <c r="L2591">
        <v>6</v>
      </c>
      <c r="M2591" t="s">
        <v>12031</v>
      </c>
      <c r="N2591" t="s">
        <v>685</v>
      </c>
      <c r="O2591" t="s">
        <v>9477</v>
      </c>
      <c r="P2591" t="s">
        <v>9477</v>
      </c>
      <c r="Y2591" t="s">
        <v>12032</v>
      </c>
    </row>
    <row r="2592" spans="1:25">
      <c r="A2592" t="s">
        <v>12033</v>
      </c>
      <c r="B2592" t="s">
        <v>12034</v>
      </c>
      <c r="D2592" t="s">
        <v>9473</v>
      </c>
      <c r="E2592" t="s">
        <v>9474</v>
      </c>
      <c r="J2592" t="s">
        <v>133</v>
      </c>
      <c r="K2592" t="s">
        <v>134</v>
      </c>
      <c r="L2592">
        <v>6</v>
      </c>
      <c r="M2592" t="s">
        <v>12035</v>
      </c>
      <c r="N2592" t="s">
        <v>290</v>
      </c>
      <c r="O2592" t="s">
        <v>9477</v>
      </c>
      <c r="P2592" t="s">
        <v>9477</v>
      </c>
      <c r="Y2592" t="s">
        <v>12036</v>
      </c>
    </row>
    <row r="2593" spans="1:25">
      <c r="A2593" t="s">
        <v>12037</v>
      </c>
      <c r="B2593" t="s">
        <v>12038</v>
      </c>
      <c r="D2593" t="s">
        <v>9473</v>
      </c>
      <c r="E2593" t="s">
        <v>9474</v>
      </c>
      <c r="J2593" t="s">
        <v>44</v>
      </c>
      <c r="K2593" t="s">
        <v>45</v>
      </c>
      <c r="L2593">
        <v>6</v>
      </c>
      <c r="M2593" t="s">
        <v>12039</v>
      </c>
      <c r="N2593" t="s">
        <v>47</v>
      </c>
      <c r="O2593" t="s">
        <v>9477</v>
      </c>
      <c r="P2593" t="s">
        <v>9477</v>
      </c>
      <c r="Y2593" t="s">
        <v>12040</v>
      </c>
    </row>
    <row r="2594" spans="1:25">
      <c r="A2594" t="s">
        <v>12041</v>
      </c>
      <c r="B2594" t="s">
        <v>12042</v>
      </c>
      <c r="D2594" t="s">
        <v>9473</v>
      </c>
      <c r="E2594" t="s">
        <v>9474</v>
      </c>
      <c r="J2594" t="s">
        <v>90</v>
      </c>
      <c r="K2594" t="s">
        <v>91</v>
      </c>
      <c r="L2594">
        <v>6</v>
      </c>
      <c r="M2594" t="s">
        <v>12039</v>
      </c>
      <c r="N2594" t="s">
        <v>47</v>
      </c>
      <c r="O2594" t="s">
        <v>9477</v>
      </c>
      <c r="P2594" t="s">
        <v>9477</v>
      </c>
      <c r="Y2594" t="s">
        <v>12043</v>
      </c>
    </row>
    <row r="2595" spans="1:25">
      <c r="A2595" t="s">
        <v>12044</v>
      </c>
      <c r="B2595" t="s">
        <v>12045</v>
      </c>
      <c r="D2595" t="s">
        <v>9473</v>
      </c>
      <c r="E2595" t="s">
        <v>9474</v>
      </c>
      <c r="J2595" t="s">
        <v>90</v>
      </c>
      <c r="K2595" t="s">
        <v>91</v>
      </c>
      <c r="L2595">
        <v>6</v>
      </c>
      <c r="M2595" t="s">
        <v>12039</v>
      </c>
      <c r="N2595" t="s">
        <v>47</v>
      </c>
      <c r="O2595" t="s">
        <v>9477</v>
      </c>
      <c r="P2595" t="s">
        <v>9477</v>
      </c>
      <c r="Y2595" t="s">
        <v>12046</v>
      </c>
    </row>
    <row r="2596" spans="1:25">
      <c r="A2596" t="s">
        <v>12047</v>
      </c>
      <c r="B2596" t="s">
        <v>12048</v>
      </c>
      <c r="D2596" t="s">
        <v>9473</v>
      </c>
      <c r="E2596" t="s">
        <v>9474</v>
      </c>
      <c r="J2596" t="s">
        <v>90</v>
      </c>
      <c r="K2596" t="s">
        <v>91</v>
      </c>
      <c r="L2596">
        <v>6</v>
      </c>
      <c r="M2596" t="s">
        <v>12039</v>
      </c>
      <c r="N2596" t="s">
        <v>47</v>
      </c>
      <c r="O2596" t="s">
        <v>9477</v>
      </c>
      <c r="P2596" t="s">
        <v>9477</v>
      </c>
      <c r="Y2596" t="s">
        <v>12049</v>
      </c>
    </row>
    <row r="2597" spans="1:25">
      <c r="A2597" t="s">
        <v>12050</v>
      </c>
      <c r="B2597" t="s">
        <v>12051</v>
      </c>
      <c r="D2597" t="s">
        <v>9473</v>
      </c>
      <c r="E2597" t="s">
        <v>9474</v>
      </c>
      <c r="H2597" t="s">
        <v>12052</v>
      </c>
      <c r="J2597" t="s">
        <v>133</v>
      </c>
      <c r="K2597" t="s">
        <v>134</v>
      </c>
      <c r="L2597">
        <v>6</v>
      </c>
      <c r="M2597" t="s">
        <v>12053</v>
      </c>
      <c r="N2597" t="s">
        <v>685</v>
      </c>
      <c r="O2597" t="s">
        <v>9477</v>
      </c>
      <c r="P2597" t="s">
        <v>9477</v>
      </c>
      <c r="Y2597" t="s">
        <v>12052</v>
      </c>
    </row>
    <row r="2598" spans="1:25">
      <c r="A2598" t="s">
        <v>12054</v>
      </c>
      <c r="B2598" t="s">
        <v>12055</v>
      </c>
      <c r="D2598" t="s">
        <v>9473</v>
      </c>
      <c r="E2598" t="s">
        <v>9474</v>
      </c>
      <c r="J2598" t="s">
        <v>90</v>
      </c>
      <c r="K2598" t="s">
        <v>91</v>
      </c>
      <c r="L2598">
        <v>6</v>
      </c>
      <c r="M2598" t="s">
        <v>12056</v>
      </c>
      <c r="N2598" t="s">
        <v>47</v>
      </c>
      <c r="O2598" t="s">
        <v>9477</v>
      </c>
      <c r="P2598" t="s">
        <v>9477</v>
      </c>
      <c r="Y2598" t="s">
        <v>12057</v>
      </c>
    </row>
    <row r="2599" spans="1:25">
      <c r="A2599" t="s">
        <v>12058</v>
      </c>
      <c r="B2599" t="s">
        <v>12059</v>
      </c>
      <c r="D2599" t="s">
        <v>9473</v>
      </c>
      <c r="E2599" t="s">
        <v>9474</v>
      </c>
      <c r="J2599" t="s">
        <v>44</v>
      </c>
      <c r="K2599" t="s">
        <v>45</v>
      </c>
      <c r="L2599">
        <v>6</v>
      </c>
      <c r="M2599" t="s">
        <v>12060</v>
      </c>
      <c r="N2599" t="s">
        <v>47</v>
      </c>
      <c r="O2599" t="s">
        <v>9477</v>
      </c>
      <c r="P2599" t="s">
        <v>9477</v>
      </c>
      <c r="Y2599" t="s">
        <v>12061</v>
      </c>
    </row>
    <row r="2600" spans="1:25">
      <c r="A2600" t="s">
        <v>12062</v>
      </c>
      <c r="B2600" t="s">
        <v>12063</v>
      </c>
      <c r="D2600" t="s">
        <v>9473</v>
      </c>
      <c r="E2600" t="s">
        <v>9474</v>
      </c>
      <c r="J2600" t="s">
        <v>44</v>
      </c>
      <c r="K2600" t="s">
        <v>45</v>
      </c>
      <c r="L2600">
        <v>6</v>
      </c>
      <c r="M2600" t="s">
        <v>12064</v>
      </c>
      <c r="N2600" t="s">
        <v>47</v>
      </c>
      <c r="O2600" t="s">
        <v>9477</v>
      </c>
      <c r="P2600" t="s">
        <v>9477</v>
      </c>
      <c r="Y2600" t="s">
        <v>12065</v>
      </c>
    </row>
    <row r="2601" spans="1:25">
      <c r="A2601" t="s">
        <v>12066</v>
      </c>
      <c r="B2601" t="s">
        <v>12067</v>
      </c>
      <c r="D2601" t="s">
        <v>9473</v>
      </c>
      <c r="E2601" t="s">
        <v>9474</v>
      </c>
      <c r="J2601" t="s">
        <v>90</v>
      </c>
      <c r="K2601" t="s">
        <v>91</v>
      </c>
      <c r="L2601">
        <v>6</v>
      </c>
      <c r="M2601" t="s">
        <v>12064</v>
      </c>
      <c r="N2601" t="s">
        <v>47</v>
      </c>
      <c r="O2601" t="s">
        <v>9477</v>
      </c>
      <c r="P2601" t="s">
        <v>9477</v>
      </c>
      <c r="Y2601" t="s">
        <v>12068</v>
      </c>
    </row>
    <row r="2602" spans="1:25">
      <c r="A2602" t="s">
        <v>12069</v>
      </c>
      <c r="B2602" t="s">
        <v>12070</v>
      </c>
      <c r="D2602" t="s">
        <v>9473</v>
      </c>
      <c r="E2602" t="s">
        <v>9474</v>
      </c>
      <c r="J2602" t="s">
        <v>90</v>
      </c>
      <c r="K2602" t="s">
        <v>91</v>
      </c>
      <c r="L2602">
        <v>6</v>
      </c>
      <c r="M2602" t="s">
        <v>12064</v>
      </c>
      <c r="N2602" t="s">
        <v>47</v>
      </c>
      <c r="O2602" t="s">
        <v>9477</v>
      </c>
      <c r="P2602" t="s">
        <v>9477</v>
      </c>
      <c r="Y2602" t="s">
        <v>12071</v>
      </c>
    </row>
    <row r="2603" spans="1:25">
      <c r="A2603" t="s">
        <v>12072</v>
      </c>
      <c r="B2603" t="s">
        <v>12073</v>
      </c>
      <c r="D2603" t="s">
        <v>9473</v>
      </c>
      <c r="E2603" t="s">
        <v>9474</v>
      </c>
      <c r="H2603" t="s">
        <v>12074</v>
      </c>
      <c r="J2603" t="s">
        <v>44</v>
      </c>
      <c r="K2603" t="s">
        <v>45</v>
      </c>
      <c r="L2603">
        <v>6</v>
      </c>
      <c r="M2603" t="s">
        <v>12075</v>
      </c>
      <c r="N2603" t="s">
        <v>47</v>
      </c>
      <c r="O2603" t="s">
        <v>9477</v>
      </c>
      <c r="P2603" t="s">
        <v>9477</v>
      </c>
      <c r="Y2603" t="s">
        <v>12074</v>
      </c>
    </row>
    <row r="2604" spans="1:25">
      <c r="A2604" t="s">
        <v>12076</v>
      </c>
      <c r="B2604" t="s">
        <v>12077</v>
      </c>
      <c r="D2604" t="s">
        <v>9473</v>
      </c>
      <c r="E2604" t="s">
        <v>9474</v>
      </c>
      <c r="J2604" t="s">
        <v>54</v>
      </c>
      <c r="K2604" t="s">
        <v>55</v>
      </c>
      <c r="L2604">
        <v>6</v>
      </c>
      <c r="M2604" t="s">
        <v>12078</v>
      </c>
      <c r="N2604" t="s">
        <v>47</v>
      </c>
      <c r="O2604" t="s">
        <v>9477</v>
      </c>
      <c r="P2604" t="s">
        <v>9477</v>
      </c>
      <c r="Y2604" t="s">
        <v>12079</v>
      </c>
    </row>
    <row r="2605" spans="1:25">
      <c r="A2605" t="s">
        <v>12080</v>
      </c>
      <c r="B2605" t="s">
        <v>12081</v>
      </c>
      <c r="D2605" t="s">
        <v>9473</v>
      </c>
      <c r="E2605" t="s">
        <v>9474</v>
      </c>
      <c r="J2605" t="s">
        <v>371</v>
      </c>
      <c r="K2605" t="s">
        <v>372</v>
      </c>
      <c r="L2605">
        <v>6</v>
      </c>
      <c r="M2605" t="s">
        <v>12082</v>
      </c>
      <c r="N2605" t="s">
        <v>47</v>
      </c>
      <c r="O2605" t="s">
        <v>9477</v>
      </c>
      <c r="P2605" t="s">
        <v>9477</v>
      </c>
      <c r="Y2605" t="s">
        <v>12083</v>
      </c>
    </row>
    <row r="2606" spans="1:25">
      <c r="A2606" t="s">
        <v>12084</v>
      </c>
      <c r="B2606" t="s">
        <v>12085</v>
      </c>
      <c r="D2606" t="s">
        <v>9473</v>
      </c>
      <c r="E2606" t="s">
        <v>9474</v>
      </c>
      <c r="H2606" t="s">
        <v>12086</v>
      </c>
      <c r="J2606" t="s">
        <v>44</v>
      </c>
      <c r="K2606" t="s">
        <v>45</v>
      </c>
      <c r="L2606">
        <v>6</v>
      </c>
      <c r="M2606" t="s">
        <v>12082</v>
      </c>
      <c r="N2606" t="s">
        <v>47</v>
      </c>
      <c r="O2606" t="s">
        <v>9477</v>
      </c>
      <c r="P2606" t="s">
        <v>9477</v>
      </c>
      <c r="Y2606" t="s">
        <v>12086</v>
      </c>
    </row>
    <row r="2607" spans="1:25">
      <c r="A2607" t="s">
        <v>12087</v>
      </c>
      <c r="B2607" t="s">
        <v>12088</v>
      </c>
      <c r="D2607" t="s">
        <v>9473</v>
      </c>
      <c r="E2607" t="s">
        <v>9474</v>
      </c>
      <c r="J2607" t="s">
        <v>44</v>
      </c>
      <c r="K2607" t="s">
        <v>45</v>
      </c>
      <c r="L2607">
        <v>6</v>
      </c>
      <c r="M2607" t="s">
        <v>12082</v>
      </c>
      <c r="N2607" t="s">
        <v>47</v>
      </c>
      <c r="O2607" t="s">
        <v>9477</v>
      </c>
      <c r="P2607" t="s">
        <v>9477</v>
      </c>
      <c r="Y2607" t="s">
        <v>12089</v>
      </c>
    </row>
    <row r="2608" spans="1:25">
      <c r="A2608" t="s">
        <v>12090</v>
      </c>
      <c r="B2608" t="s">
        <v>12091</v>
      </c>
      <c r="D2608" t="s">
        <v>9473</v>
      </c>
      <c r="E2608" t="s">
        <v>9474</v>
      </c>
      <c r="H2608" t="s">
        <v>12092</v>
      </c>
      <c r="J2608" t="s">
        <v>133</v>
      </c>
      <c r="K2608" t="s">
        <v>134</v>
      </c>
      <c r="L2608">
        <v>6</v>
      </c>
      <c r="M2608" t="s">
        <v>12093</v>
      </c>
      <c r="N2608" t="s">
        <v>290</v>
      </c>
      <c r="O2608" t="s">
        <v>9477</v>
      </c>
      <c r="P2608" t="s">
        <v>9477</v>
      </c>
      <c r="Y2608" t="s">
        <v>12092</v>
      </c>
    </row>
    <row r="2609" spans="1:25">
      <c r="A2609" t="s">
        <v>12094</v>
      </c>
      <c r="B2609" t="s">
        <v>12095</v>
      </c>
      <c r="D2609" t="s">
        <v>9473</v>
      </c>
      <c r="E2609" t="s">
        <v>9474</v>
      </c>
      <c r="H2609" t="s">
        <v>12096</v>
      </c>
      <c r="J2609" t="s">
        <v>90</v>
      </c>
      <c r="K2609" t="s">
        <v>91</v>
      </c>
      <c r="L2609">
        <v>6</v>
      </c>
      <c r="M2609" t="s">
        <v>12093</v>
      </c>
      <c r="N2609" t="s">
        <v>47</v>
      </c>
      <c r="O2609" t="s">
        <v>9477</v>
      </c>
      <c r="P2609" t="s">
        <v>9477</v>
      </c>
      <c r="Y2609" t="s">
        <v>12096</v>
      </c>
    </row>
    <row r="2610" spans="1:25">
      <c r="A2610" t="s">
        <v>12097</v>
      </c>
      <c r="B2610" t="s">
        <v>12098</v>
      </c>
      <c r="D2610" t="s">
        <v>9473</v>
      </c>
      <c r="E2610" t="s">
        <v>9474</v>
      </c>
      <c r="J2610" t="s">
        <v>78</v>
      </c>
      <c r="K2610" t="s">
        <v>79</v>
      </c>
      <c r="L2610">
        <v>6</v>
      </c>
      <c r="M2610" t="s">
        <v>12099</v>
      </c>
      <c r="N2610" t="s">
        <v>47</v>
      </c>
      <c r="O2610" t="s">
        <v>9477</v>
      </c>
      <c r="P2610" t="s">
        <v>9477</v>
      </c>
      <c r="Y2610" t="s">
        <v>12100</v>
      </c>
    </row>
    <row r="2611" spans="1:25">
      <c r="A2611" t="s">
        <v>12101</v>
      </c>
      <c r="B2611" t="s">
        <v>12102</v>
      </c>
      <c r="D2611" t="s">
        <v>9473</v>
      </c>
      <c r="E2611" t="s">
        <v>9474</v>
      </c>
      <c r="J2611" t="s">
        <v>371</v>
      </c>
      <c r="K2611" t="s">
        <v>372</v>
      </c>
      <c r="L2611">
        <v>6</v>
      </c>
      <c r="M2611" t="s">
        <v>12103</v>
      </c>
      <c r="N2611" t="s">
        <v>47</v>
      </c>
      <c r="O2611" t="s">
        <v>9477</v>
      </c>
      <c r="P2611" t="s">
        <v>9477</v>
      </c>
      <c r="Y2611" t="s">
        <v>12104</v>
      </c>
    </row>
    <row r="2612" spans="1:25">
      <c r="A2612" t="s">
        <v>12105</v>
      </c>
      <c r="B2612" t="s">
        <v>12106</v>
      </c>
      <c r="D2612" t="s">
        <v>9473</v>
      </c>
      <c r="E2612" t="s">
        <v>9474</v>
      </c>
      <c r="J2612" t="s">
        <v>78</v>
      </c>
      <c r="K2612" t="s">
        <v>79</v>
      </c>
      <c r="L2612">
        <v>6</v>
      </c>
      <c r="M2612" t="s">
        <v>12103</v>
      </c>
      <c r="N2612" t="s">
        <v>47</v>
      </c>
      <c r="O2612" t="s">
        <v>9477</v>
      </c>
      <c r="P2612" t="s">
        <v>9477</v>
      </c>
      <c r="Y2612" t="s">
        <v>12107</v>
      </c>
    </row>
    <row r="2613" spans="1:25">
      <c r="A2613" t="s">
        <v>12108</v>
      </c>
      <c r="B2613" t="s">
        <v>12109</v>
      </c>
      <c r="D2613" t="s">
        <v>9473</v>
      </c>
      <c r="E2613" t="s">
        <v>9474</v>
      </c>
      <c r="J2613" t="s">
        <v>44</v>
      </c>
      <c r="K2613" t="s">
        <v>45</v>
      </c>
      <c r="L2613">
        <v>6</v>
      </c>
      <c r="M2613" t="s">
        <v>12103</v>
      </c>
      <c r="N2613" t="s">
        <v>47</v>
      </c>
      <c r="O2613" t="s">
        <v>9477</v>
      </c>
      <c r="P2613" t="s">
        <v>9477</v>
      </c>
      <c r="Y2613" t="s">
        <v>12110</v>
      </c>
    </row>
    <row r="2614" spans="1:25">
      <c r="A2614" t="s">
        <v>12111</v>
      </c>
      <c r="B2614" t="s">
        <v>12112</v>
      </c>
      <c r="D2614" t="s">
        <v>9473</v>
      </c>
      <c r="E2614" t="s">
        <v>9474</v>
      </c>
      <c r="H2614" t="s">
        <v>12113</v>
      </c>
      <c r="J2614" t="s">
        <v>353</v>
      </c>
      <c r="K2614" t="s">
        <v>354</v>
      </c>
      <c r="L2614">
        <v>6</v>
      </c>
      <c r="M2614" t="s">
        <v>12114</v>
      </c>
      <c r="N2614" t="s">
        <v>135</v>
      </c>
      <c r="O2614" t="s">
        <v>9477</v>
      </c>
      <c r="P2614" t="s">
        <v>9477</v>
      </c>
      <c r="Y2614" t="s">
        <v>12113</v>
      </c>
    </row>
    <row r="2615" spans="1:25">
      <c r="A2615" t="s">
        <v>12115</v>
      </c>
      <c r="B2615" t="s">
        <v>12116</v>
      </c>
      <c r="D2615" t="s">
        <v>9473</v>
      </c>
      <c r="E2615" t="s">
        <v>9474</v>
      </c>
      <c r="J2615" t="s">
        <v>90</v>
      </c>
      <c r="K2615" t="s">
        <v>91</v>
      </c>
      <c r="L2615">
        <v>6</v>
      </c>
      <c r="M2615" t="s">
        <v>12117</v>
      </c>
      <c r="N2615" t="s">
        <v>47</v>
      </c>
      <c r="O2615" t="s">
        <v>9477</v>
      </c>
      <c r="P2615" t="s">
        <v>9477</v>
      </c>
      <c r="Y2615" t="s">
        <v>12118</v>
      </c>
    </row>
    <row r="2616" spans="1:25">
      <c r="A2616" t="s">
        <v>12119</v>
      </c>
      <c r="B2616" t="s">
        <v>12120</v>
      </c>
      <c r="D2616" t="s">
        <v>9473</v>
      </c>
      <c r="E2616" t="s">
        <v>9474</v>
      </c>
      <c r="J2616" t="s">
        <v>54</v>
      </c>
      <c r="K2616" t="s">
        <v>55</v>
      </c>
      <c r="L2616">
        <v>6</v>
      </c>
      <c r="M2616" t="s">
        <v>12121</v>
      </c>
      <c r="N2616" t="s">
        <v>47</v>
      </c>
      <c r="O2616" t="s">
        <v>9477</v>
      </c>
      <c r="P2616" t="s">
        <v>9477</v>
      </c>
      <c r="Y2616" t="s">
        <v>12122</v>
      </c>
    </row>
    <row r="2617" spans="1:25">
      <c r="A2617" t="s">
        <v>12123</v>
      </c>
      <c r="B2617" t="s">
        <v>12124</v>
      </c>
      <c r="D2617" t="s">
        <v>9473</v>
      </c>
      <c r="E2617" t="s">
        <v>9474</v>
      </c>
      <c r="J2617" t="s">
        <v>133</v>
      </c>
      <c r="K2617" t="s">
        <v>134</v>
      </c>
      <c r="L2617">
        <v>6</v>
      </c>
      <c r="M2617" t="s">
        <v>12125</v>
      </c>
      <c r="N2617" t="s">
        <v>685</v>
      </c>
      <c r="O2617" t="s">
        <v>9477</v>
      </c>
      <c r="P2617" t="s">
        <v>9477</v>
      </c>
      <c r="Y2617" t="s">
        <v>12126</v>
      </c>
    </row>
    <row r="2618" spans="1:25">
      <c r="A2618" t="s">
        <v>12127</v>
      </c>
      <c r="B2618" t="s">
        <v>12128</v>
      </c>
      <c r="D2618" t="s">
        <v>9473</v>
      </c>
      <c r="E2618" t="s">
        <v>9474</v>
      </c>
      <c r="J2618" t="s">
        <v>90</v>
      </c>
      <c r="K2618" t="s">
        <v>91</v>
      </c>
      <c r="L2618">
        <v>6</v>
      </c>
      <c r="M2618" t="s">
        <v>12129</v>
      </c>
      <c r="N2618" t="s">
        <v>47</v>
      </c>
      <c r="O2618" t="s">
        <v>9477</v>
      </c>
      <c r="P2618" t="s">
        <v>9477</v>
      </c>
      <c r="Y2618" t="s">
        <v>12130</v>
      </c>
    </row>
    <row r="2619" spans="1:25">
      <c r="A2619" t="s">
        <v>12131</v>
      </c>
      <c r="B2619" t="s">
        <v>12132</v>
      </c>
      <c r="D2619" t="s">
        <v>9473</v>
      </c>
      <c r="E2619" t="s">
        <v>9474</v>
      </c>
      <c r="J2619" t="s">
        <v>44</v>
      </c>
      <c r="K2619" t="s">
        <v>45</v>
      </c>
      <c r="L2619">
        <v>6</v>
      </c>
      <c r="M2619" t="s">
        <v>12133</v>
      </c>
      <c r="N2619" t="s">
        <v>47</v>
      </c>
      <c r="O2619" t="s">
        <v>9477</v>
      </c>
      <c r="P2619" t="s">
        <v>9477</v>
      </c>
      <c r="Y2619" t="s">
        <v>12134</v>
      </c>
    </row>
    <row r="2620" spans="1:25">
      <c r="A2620" t="s">
        <v>12135</v>
      </c>
      <c r="B2620" t="s">
        <v>12136</v>
      </c>
      <c r="D2620" t="s">
        <v>9473</v>
      </c>
      <c r="E2620" t="s">
        <v>9474</v>
      </c>
      <c r="H2620" t="s">
        <v>12137</v>
      </c>
      <c r="J2620" t="s">
        <v>90</v>
      </c>
      <c r="K2620" t="s">
        <v>91</v>
      </c>
      <c r="L2620">
        <v>6</v>
      </c>
      <c r="M2620" t="s">
        <v>12133</v>
      </c>
      <c r="N2620" t="s">
        <v>47</v>
      </c>
      <c r="O2620" t="s">
        <v>9477</v>
      </c>
      <c r="P2620" t="s">
        <v>9477</v>
      </c>
      <c r="Y2620" t="s">
        <v>12137</v>
      </c>
    </row>
    <row r="2621" spans="1:25">
      <c r="A2621" t="s">
        <v>12138</v>
      </c>
      <c r="B2621" t="s">
        <v>12139</v>
      </c>
      <c r="D2621" t="s">
        <v>9473</v>
      </c>
      <c r="E2621" t="s">
        <v>9474</v>
      </c>
      <c r="J2621" t="s">
        <v>44</v>
      </c>
      <c r="K2621" t="s">
        <v>45</v>
      </c>
      <c r="L2621">
        <v>6</v>
      </c>
      <c r="M2621" t="s">
        <v>12133</v>
      </c>
      <c r="N2621" t="s">
        <v>47</v>
      </c>
      <c r="O2621" t="s">
        <v>9477</v>
      </c>
      <c r="P2621" t="s">
        <v>9477</v>
      </c>
      <c r="Y2621" t="s">
        <v>12140</v>
      </c>
    </row>
    <row r="2622" spans="1:25">
      <c r="A2622" t="s">
        <v>12141</v>
      </c>
      <c r="B2622" t="s">
        <v>12142</v>
      </c>
      <c r="D2622" t="s">
        <v>9473</v>
      </c>
      <c r="E2622" t="s">
        <v>9474</v>
      </c>
      <c r="J2622" t="s">
        <v>54</v>
      </c>
      <c r="K2622" t="s">
        <v>55</v>
      </c>
      <c r="L2622">
        <v>6</v>
      </c>
      <c r="M2622" t="s">
        <v>12143</v>
      </c>
      <c r="N2622" t="s">
        <v>47</v>
      </c>
      <c r="O2622" t="s">
        <v>9477</v>
      </c>
      <c r="P2622" t="s">
        <v>9477</v>
      </c>
      <c r="Y2622" t="s">
        <v>12144</v>
      </c>
    </row>
    <row r="2623" spans="1:25">
      <c r="A2623" t="s">
        <v>12145</v>
      </c>
      <c r="B2623" t="s">
        <v>12146</v>
      </c>
      <c r="D2623" t="s">
        <v>9473</v>
      </c>
      <c r="E2623" t="s">
        <v>9474</v>
      </c>
      <c r="J2623" t="s">
        <v>54</v>
      </c>
      <c r="K2623" t="s">
        <v>55</v>
      </c>
      <c r="L2623">
        <v>6</v>
      </c>
      <c r="M2623" t="s">
        <v>12147</v>
      </c>
      <c r="N2623" t="s">
        <v>47</v>
      </c>
      <c r="O2623" t="s">
        <v>9477</v>
      </c>
      <c r="P2623" t="s">
        <v>9477</v>
      </c>
      <c r="Y2623" t="s">
        <v>12148</v>
      </c>
    </row>
    <row r="2624" spans="1:25">
      <c r="A2624" t="s">
        <v>12149</v>
      </c>
      <c r="B2624" t="s">
        <v>12150</v>
      </c>
      <c r="D2624" t="s">
        <v>9473</v>
      </c>
      <c r="E2624" t="s">
        <v>9474</v>
      </c>
      <c r="J2624" t="s">
        <v>90</v>
      </c>
      <c r="K2624" t="s">
        <v>91</v>
      </c>
      <c r="L2624">
        <v>6</v>
      </c>
      <c r="M2624" t="s">
        <v>12151</v>
      </c>
      <c r="N2624" t="s">
        <v>47</v>
      </c>
      <c r="O2624" t="s">
        <v>9477</v>
      </c>
      <c r="P2624" t="s">
        <v>9477</v>
      </c>
      <c r="Y2624" t="s">
        <v>12152</v>
      </c>
    </row>
    <row r="2625" spans="1:25">
      <c r="A2625" t="s">
        <v>12153</v>
      </c>
      <c r="B2625" t="s">
        <v>12154</v>
      </c>
      <c r="D2625" t="s">
        <v>9473</v>
      </c>
      <c r="E2625" t="s">
        <v>9474</v>
      </c>
      <c r="J2625" t="s">
        <v>133</v>
      </c>
      <c r="K2625" t="s">
        <v>134</v>
      </c>
      <c r="L2625">
        <v>6</v>
      </c>
      <c r="M2625" t="s">
        <v>12155</v>
      </c>
      <c r="N2625" t="s">
        <v>685</v>
      </c>
      <c r="O2625" t="s">
        <v>9477</v>
      </c>
      <c r="P2625" t="s">
        <v>9477</v>
      </c>
      <c r="Y2625" t="s">
        <v>12156</v>
      </c>
    </row>
    <row r="2626" spans="1:25">
      <c r="A2626" t="s">
        <v>12157</v>
      </c>
      <c r="B2626" t="s">
        <v>12158</v>
      </c>
      <c r="D2626" t="s">
        <v>9473</v>
      </c>
      <c r="E2626" t="s">
        <v>9474</v>
      </c>
      <c r="J2626" t="s">
        <v>78</v>
      </c>
      <c r="K2626" t="s">
        <v>79</v>
      </c>
      <c r="L2626">
        <v>6</v>
      </c>
      <c r="M2626" t="s">
        <v>12159</v>
      </c>
      <c r="N2626" t="s">
        <v>47</v>
      </c>
      <c r="O2626" t="s">
        <v>9477</v>
      </c>
      <c r="P2626" t="s">
        <v>9477</v>
      </c>
      <c r="Y2626" t="s">
        <v>12160</v>
      </c>
    </row>
    <row r="2627" spans="1:25">
      <c r="A2627" t="s">
        <v>12161</v>
      </c>
      <c r="B2627" t="s">
        <v>12162</v>
      </c>
      <c r="D2627" t="s">
        <v>9473</v>
      </c>
      <c r="E2627" t="s">
        <v>9474</v>
      </c>
      <c r="J2627" t="s">
        <v>78</v>
      </c>
      <c r="K2627" t="s">
        <v>79</v>
      </c>
      <c r="L2627">
        <v>6</v>
      </c>
      <c r="M2627" t="s">
        <v>12159</v>
      </c>
      <c r="N2627" t="s">
        <v>47</v>
      </c>
      <c r="O2627" t="s">
        <v>9477</v>
      </c>
      <c r="P2627" t="s">
        <v>9477</v>
      </c>
      <c r="Y2627" t="s">
        <v>12163</v>
      </c>
    </row>
    <row r="2628" spans="1:25">
      <c r="A2628" t="s">
        <v>12164</v>
      </c>
      <c r="B2628" t="s">
        <v>12165</v>
      </c>
      <c r="D2628" t="s">
        <v>9473</v>
      </c>
      <c r="E2628" t="s">
        <v>9474</v>
      </c>
      <c r="H2628" t="s">
        <v>12166</v>
      </c>
      <c r="J2628" t="s">
        <v>90</v>
      </c>
      <c r="K2628" t="s">
        <v>91</v>
      </c>
      <c r="L2628">
        <v>6</v>
      </c>
      <c r="M2628" t="s">
        <v>12167</v>
      </c>
      <c r="N2628" t="s">
        <v>47</v>
      </c>
      <c r="O2628" t="s">
        <v>9477</v>
      </c>
      <c r="P2628" t="s">
        <v>9477</v>
      </c>
      <c r="Y2628" t="s">
        <v>12166</v>
      </c>
    </row>
    <row r="2629" spans="1:25">
      <c r="A2629" t="s">
        <v>12168</v>
      </c>
      <c r="B2629" t="s">
        <v>12169</v>
      </c>
      <c r="D2629" t="s">
        <v>9473</v>
      </c>
      <c r="E2629" t="s">
        <v>9474</v>
      </c>
      <c r="J2629" t="s">
        <v>44</v>
      </c>
      <c r="K2629" t="s">
        <v>45</v>
      </c>
      <c r="L2629">
        <v>6</v>
      </c>
      <c r="M2629" t="s">
        <v>12170</v>
      </c>
      <c r="N2629" t="s">
        <v>47</v>
      </c>
      <c r="O2629" t="s">
        <v>9477</v>
      </c>
      <c r="P2629" t="s">
        <v>9477</v>
      </c>
      <c r="Y2629" t="s">
        <v>12171</v>
      </c>
    </row>
    <row r="2630" spans="1:25">
      <c r="A2630" t="s">
        <v>12172</v>
      </c>
      <c r="B2630" t="s">
        <v>12173</v>
      </c>
      <c r="D2630" t="s">
        <v>9473</v>
      </c>
      <c r="E2630" t="s">
        <v>9474</v>
      </c>
      <c r="J2630" t="s">
        <v>44</v>
      </c>
      <c r="K2630" t="s">
        <v>45</v>
      </c>
      <c r="L2630">
        <v>6</v>
      </c>
      <c r="M2630" t="s">
        <v>12170</v>
      </c>
      <c r="N2630" t="s">
        <v>47</v>
      </c>
      <c r="O2630" t="s">
        <v>9477</v>
      </c>
      <c r="P2630" t="s">
        <v>9477</v>
      </c>
      <c r="Y2630" t="s">
        <v>12174</v>
      </c>
    </row>
    <row r="2631" spans="1:25">
      <c r="A2631" t="s">
        <v>12175</v>
      </c>
      <c r="B2631" t="s">
        <v>12176</v>
      </c>
      <c r="D2631" t="s">
        <v>9473</v>
      </c>
      <c r="E2631" t="s">
        <v>9474</v>
      </c>
      <c r="H2631" t="s">
        <v>12177</v>
      </c>
      <c r="J2631" t="s">
        <v>90</v>
      </c>
      <c r="K2631" t="s">
        <v>91</v>
      </c>
      <c r="L2631">
        <v>6</v>
      </c>
      <c r="M2631" t="s">
        <v>12178</v>
      </c>
      <c r="N2631" t="s">
        <v>47</v>
      </c>
      <c r="O2631" t="s">
        <v>9477</v>
      </c>
      <c r="P2631" t="s">
        <v>9477</v>
      </c>
      <c r="Y2631" t="s">
        <v>12177</v>
      </c>
    </row>
    <row r="2632" spans="1:25">
      <c r="A2632" t="s">
        <v>12179</v>
      </c>
      <c r="B2632" t="s">
        <v>12180</v>
      </c>
      <c r="D2632" t="s">
        <v>9473</v>
      </c>
      <c r="E2632" t="s">
        <v>9474</v>
      </c>
      <c r="J2632" t="s">
        <v>44</v>
      </c>
      <c r="K2632" t="s">
        <v>45</v>
      </c>
      <c r="L2632">
        <v>6</v>
      </c>
      <c r="M2632" t="s">
        <v>12178</v>
      </c>
      <c r="N2632" t="s">
        <v>47</v>
      </c>
      <c r="O2632" t="s">
        <v>9477</v>
      </c>
      <c r="P2632" t="s">
        <v>9477</v>
      </c>
      <c r="Y2632" t="s">
        <v>12181</v>
      </c>
    </row>
    <row r="2633" spans="1:25">
      <c r="A2633" t="s">
        <v>12182</v>
      </c>
      <c r="B2633" t="s">
        <v>12183</v>
      </c>
      <c r="D2633" t="s">
        <v>9473</v>
      </c>
      <c r="E2633" t="s">
        <v>9474</v>
      </c>
      <c r="H2633" t="s">
        <v>12184</v>
      </c>
      <c r="J2633" t="s">
        <v>234</v>
      </c>
      <c r="K2633" t="s">
        <v>235</v>
      </c>
      <c r="L2633">
        <v>6</v>
      </c>
      <c r="M2633" t="s">
        <v>12185</v>
      </c>
      <c r="N2633" t="s">
        <v>47</v>
      </c>
      <c r="O2633" t="s">
        <v>9477</v>
      </c>
      <c r="P2633" t="s">
        <v>9477</v>
      </c>
      <c r="Y2633" t="s">
        <v>12184</v>
      </c>
    </row>
    <row r="2634" spans="1:25">
      <c r="A2634" t="s">
        <v>12186</v>
      </c>
      <c r="B2634" t="s">
        <v>12187</v>
      </c>
      <c r="D2634" t="s">
        <v>9473</v>
      </c>
      <c r="E2634" t="s">
        <v>9474</v>
      </c>
      <c r="J2634" t="s">
        <v>90</v>
      </c>
      <c r="K2634" t="s">
        <v>91</v>
      </c>
      <c r="L2634">
        <v>6</v>
      </c>
      <c r="M2634" t="s">
        <v>12188</v>
      </c>
      <c r="N2634" t="s">
        <v>47</v>
      </c>
      <c r="O2634" t="s">
        <v>9477</v>
      </c>
      <c r="P2634" t="s">
        <v>9477</v>
      </c>
      <c r="Y2634" t="s">
        <v>12189</v>
      </c>
    </row>
    <row r="2635" spans="1:25">
      <c r="A2635" t="s">
        <v>12190</v>
      </c>
      <c r="B2635" t="s">
        <v>12191</v>
      </c>
      <c r="D2635" t="s">
        <v>9473</v>
      </c>
      <c r="E2635" t="s">
        <v>9474</v>
      </c>
      <c r="J2635" t="s">
        <v>90</v>
      </c>
      <c r="K2635" t="s">
        <v>91</v>
      </c>
      <c r="L2635">
        <v>6</v>
      </c>
      <c r="M2635" t="s">
        <v>12192</v>
      </c>
      <c r="N2635" t="s">
        <v>47</v>
      </c>
      <c r="O2635" t="s">
        <v>9477</v>
      </c>
      <c r="P2635" t="s">
        <v>9477</v>
      </c>
      <c r="Y2635" t="s">
        <v>12193</v>
      </c>
    </row>
    <row r="2636" spans="1:25">
      <c r="A2636" t="s">
        <v>12194</v>
      </c>
      <c r="B2636" t="s">
        <v>12195</v>
      </c>
      <c r="D2636" t="s">
        <v>9473</v>
      </c>
      <c r="E2636" t="s">
        <v>9474</v>
      </c>
      <c r="J2636" t="s">
        <v>133</v>
      </c>
      <c r="K2636" t="s">
        <v>134</v>
      </c>
      <c r="L2636">
        <v>6</v>
      </c>
      <c r="M2636" t="s">
        <v>12196</v>
      </c>
      <c r="N2636" t="s">
        <v>290</v>
      </c>
      <c r="O2636" t="s">
        <v>9477</v>
      </c>
      <c r="P2636" t="s">
        <v>9477</v>
      </c>
      <c r="Y2636" t="s">
        <v>12197</v>
      </c>
    </row>
    <row r="2637" spans="1:25">
      <c r="A2637" t="s">
        <v>12198</v>
      </c>
      <c r="B2637" t="s">
        <v>12199</v>
      </c>
      <c r="D2637" t="s">
        <v>9473</v>
      </c>
      <c r="E2637" t="s">
        <v>9474</v>
      </c>
      <c r="H2637" t="s">
        <v>12200</v>
      </c>
      <c r="J2637" t="s">
        <v>78</v>
      </c>
      <c r="K2637" t="s">
        <v>79</v>
      </c>
      <c r="L2637">
        <v>6</v>
      </c>
      <c r="M2637" t="s">
        <v>12196</v>
      </c>
      <c r="N2637" t="s">
        <v>47</v>
      </c>
      <c r="O2637" t="s">
        <v>9477</v>
      </c>
      <c r="P2637" t="s">
        <v>9477</v>
      </c>
      <c r="Y2637" t="s">
        <v>12200</v>
      </c>
    </row>
    <row r="2638" spans="1:25">
      <c r="A2638" t="s">
        <v>12201</v>
      </c>
      <c r="B2638" t="s">
        <v>12202</v>
      </c>
      <c r="D2638" t="s">
        <v>9473</v>
      </c>
      <c r="E2638" t="s">
        <v>9474</v>
      </c>
      <c r="J2638" t="s">
        <v>44</v>
      </c>
      <c r="K2638" t="s">
        <v>45</v>
      </c>
      <c r="L2638">
        <v>6</v>
      </c>
      <c r="M2638" t="s">
        <v>12196</v>
      </c>
      <c r="N2638" t="s">
        <v>47</v>
      </c>
      <c r="O2638" t="s">
        <v>9477</v>
      </c>
      <c r="P2638" t="s">
        <v>9477</v>
      </c>
      <c r="Y2638" t="s">
        <v>12203</v>
      </c>
    </row>
    <row r="2639" spans="1:25">
      <c r="A2639" t="s">
        <v>12204</v>
      </c>
      <c r="B2639" t="s">
        <v>12205</v>
      </c>
      <c r="D2639" t="s">
        <v>9473</v>
      </c>
      <c r="E2639" t="s">
        <v>9474</v>
      </c>
      <c r="J2639" t="s">
        <v>54</v>
      </c>
      <c r="K2639" t="s">
        <v>55</v>
      </c>
      <c r="L2639">
        <v>6</v>
      </c>
      <c r="M2639" t="s">
        <v>12206</v>
      </c>
      <c r="N2639" t="s">
        <v>47</v>
      </c>
      <c r="O2639" t="s">
        <v>9477</v>
      </c>
      <c r="P2639" t="s">
        <v>9477</v>
      </c>
      <c r="Y2639" t="s">
        <v>12207</v>
      </c>
    </row>
    <row r="2640" spans="1:25">
      <c r="A2640" t="s">
        <v>12208</v>
      </c>
      <c r="B2640" t="s">
        <v>12209</v>
      </c>
      <c r="D2640" t="s">
        <v>9473</v>
      </c>
      <c r="E2640" t="s">
        <v>9474</v>
      </c>
      <c r="J2640" t="s">
        <v>133</v>
      </c>
      <c r="K2640" t="s">
        <v>134</v>
      </c>
      <c r="L2640">
        <v>6</v>
      </c>
      <c r="M2640" t="s">
        <v>12210</v>
      </c>
      <c r="N2640" t="s">
        <v>290</v>
      </c>
      <c r="O2640" t="s">
        <v>9477</v>
      </c>
      <c r="P2640" t="s">
        <v>9477</v>
      </c>
      <c r="Y2640" t="s">
        <v>12211</v>
      </c>
    </row>
    <row r="2641" spans="1:25">
      <c r="A2641" t="s">
        <v>12212</v>
      </c>
      <c r="B2641" t="s">
        <v>12213</v>
      </c>
      <c r="D2641" t="s">
        <v>9473</v>
      </c>
      <c r="E2641" t="s">
        <v>9474</v>
      </c>
      <c r="H2641" t="s">
        <v>12214</v>
      </c>
      <c r="J2641" t="s">
        <v>78</v>
      </c>
      <c r="K2641" t="s">
        <v>79</v>
      </c>
      <c r="L2641">
        <v>6</v>
      </c>
      <c r="M2641" t="s">
        <v>12215</v>
      </c>
      <c r="N2641" t="s">
        <v>47</v>
      </c>
      <c r="O2641" t="s">
        <v>9477</v>
      </c>
      <c r="P2641" t="s">
        <v>9477</v>
      </c>
      <c r="Y2641" t="s">
        <v>12214</v>
      </c>
    </row>
    <row r="2642" spans="1:25">
      <c r="A2642" t="s">
        <v>12216</v>
      </c>
      <c r="B2642" t="s">
        <v>12217</v>
      </c>
      <c r="D2642" t="s">
        <v>9473</v>
      </c>
      <c r="E2642" t="s">
        <v>9474</v>
      </c>
      <c r="J2642" t="s">
        <v>44</v>
      </c>
      <c r="K2642" t="s">
        <v>45</v>
      </c>
      <c r="L2642">
        <v>6</v>
      </c>
      <c r="M2642" t="s">
        <v>12218</v>
      </c>
      <c r="N2642" t="s">
        <v>47</v>
      </c>
      <c r="O2642" t="s">
        <v>9477</v>
      </c>
      <c r="P2642" t="s">
        <v>9477</v>
      </c>
      <c r="Y2642" t="s">
        <v>12219</v>
      </c>
    </row>
    <row r="2643" spans="1:25">
      <c r="A2643" t="s">
        <v>12220</v>
      </c>
      <c r="B2643" t="s">
        <v>12221</v>
      </c>
      <c r="D2643" t="s">
        <v>9473</v>
      </c>
      <c r="E2643" t="s">
        <v>9474</v>
      </c>
      <c r="H2643" t="s">
        <v>12222</v>
      </c>
      <c r="J2643" t="s">
        <v>54</v>
      </c>
      <c r="K2643" t="s">
        <v>55</v>
      </c>
      <c r="L2643">
        <v>6</v>
      </c>
      <c r="M2643" t="s">
        <v>12218</v>
      </c>
      <c r="N2643" t="s">
        <v>47</v>
      </c>
      <c r="O2643" t="s">
        <v>9477</v>
      </c>
      <c r="P2643" t="s">
        <v>9477</v>
      </c>
      <c r="Y2643" t="s">
        <v>12222</v>
      </c>
    </row>
    <row r="2644" spans="1:25">
      <c r="A2644" t="s">
        <v>12223</v>
      </c>
      <c r="B2644" t="s">
        <v>12224</v>
      </c>
      <c r="D2644" t="s">
        <v>9473</v>
      </c>
      <c r="E2644" t="s">
        <v>9474</v>
      </c>
      <c r="J2644" t="s">
        <v>54</v>
      </c>
      <c r="K2644" t="s">
        <v>55</v>
      </c>
      <c r="L2644">
        <v>6</v>
      </c>
      <c r="M2644" t="s">
        <v>12218</v>
      </c>
      <c r="N2644" t="s">
        <v>47</v>
      </c>
      <c r="O2644" t="s">
        <v>9477</v>
      </c>
      <c r="P2644" t="s">
        <v>9477</v>
      </c>
      <c r="Y2644" t="s">
        <v>12225</v>
      </c>
    </row>
    <row r="2645" spans="1:25">
      <c r="A2645" t="s">
        <v>12226</v>
      </c>
      <c r="B2645" t="s">
        <v>12227</v>
      </c>
      <c r="D2645" t="s">
        <v>9473</v>
      </c>
      <c r="E2645" t="s">
        <v>9474</v>
      </c>
      <c r="J2645" t="s">
        <v>90</v>
      </c>
      <c r="K2645" t="s">
        <v>91</v>
      </c>
      <c r="L2645">
        <v>6</v>
      </c>
      <c r="M2645" t="s">
        <v>12218</v>
      </c>
      <c r="N2645" t="s">
        <v>47</v>
      </c>
      <c r="O2645" t="s">
        <v>9477</v>
      </c>
      <c r="P2645" t="s">
        <v>9477</v>
      </c>
      <c r="Y2645" t="s">
        <v>12228</v>
      </c>
    </row>
    <row r="2646" spans="1:25">
      <c r="A2646" t="s">
        <v>12229</v>
      </c>
      <c r="B2646" t="s">
        <v>12230</v>
      </c>
      <c r="D2646" t="s">
        <v>9473</v>
      </c>
      <c r="E2646" t="s">
        <v>9474</v>
      </c>
      <c r="J2646" t="s">
        <v>765</v>
      </c>
      <c r="K2646" t="s">
        <v>766</v>
      </c>
      <c r="L2646">
        <v>6</v>
      </c>
      <c r="M2646" t="s">
        <v>12231</v>
      </c>
      <c r="N2646" t="s">
        <v>685</v>
      </c>
      <c r="O2646" t="s">
        <v>9477</v>
      </c>
      <c r="P2646" t="s">
        <v>9477</v>
      </c>
      <c r="Y2646" t="s">
        <v>12232</v>
      </c>
    </row>
    <row r="2647" spans="1:25">
      <c r="A2647" t="s">
        <v>12233</v>
      </c>
      <c r="B2647" t="s">
        <v>12234</v>
      </c>
      <c r="D2647" t="s">
        <v>9473</v>
      </c>
      <c r="E2647" t="s">
        <v>9474</v>
      </c>
      <c r="J2647" t="s">
        <v>90</v>
      </c>
      <c r="K2647" t="s">
        <v>91</v>
      </c>
      <c r="L2647">
        <v>6</v>
      </c>
      <c r="M2647" t="s">
        <v>12231</v>
      </c>
      <c r="N2647" t="s">
        <v>47</v>
      </c>
      <c r="O2647" t="s">
        <v>9477</v>
      </c>
      <c r="P2647" t="s">
        <v>9477</v>
      </c>
      <c r="Y2647" t="s">
        <v>12235</v>
      </c>
    </row>
    <row r="2648" spans="1:25">
      <c r="A2648" t="s">
        <v>12236</v>
      </c>
      <c r="B2648" t="s">
        <v>12237</v>
      </c>
      <c r="D2648" t="s">
        <v>9473</v>
      </c>
      <c r="E2648" t="s">
        <v>9474</v>
      </c>
      <c r="H2648" t="s">
        <v>12238</v>
      </c>
      <c r="J2648" t="s">
        <v>133</v>
      </c>
      <c r="K2648" t="s">
        <v>134</v>
      </c>
      <c r="L2648">
        <v>6</v>
      </c>
      <c r="M2648" t="s">
        <v>12231</v>
      </c>
      <c r="N2648" t="s">
        <v>135</v>
      </c>
      <c r="O2648" t="s">
        <v>9477</v>
      </c>
      <c r="P2648" t="s">
        <v>9477</v>
      </c>
      <c r="Y2648" t="s">
        <v>12238</v>
      </c>
    </row>
    <row r="2649" spans="1:25">
      <c r="A2649" t="s">
        <v>12239</v>
      </c>
      <c r="B2649" t="s">
        <v>12240</v>
      </c>
      <c r="D2649" t="s">
        <v>9473</v>
      </c>
      <c r="E2649" t="s">
        <v>9474</v>
      </c>
      <c r="H2649" t="s">
        <v>12241</v>
      </c>
      <c r="J2649" t="s">
        <v>54</v>
      </c>
      <c r="K2649" t="s">
        <v>55</v>
      </c>
      <c r="L2649">
        <v>6</v>
      </c>
      <c r="M2649" t="s">
        <v>12242</v>
      </c>
      <c r="N2649" t="s">
        <v>47</v>
      </c>
      <c r="O2649" t="s">
        <v>9477</v>
      </c>
      <c r="P2649" t="s">
        <v>9477</v>
      </c>
      <c r="Y2649" t="s">
        <v>12241</v>
      </c>
    </row>
    <row r="2650" spans="1:25">
      <c r="A2650" t="s">
        <v>12243</v>
      </c>
      <c r="B2650" t="s">
        <v>12244</v>
      </c>
      <c r="D2650" t="s">
        <v>9473</v>
      </c>
      <c r="E2650" t="s">
        <v>9474</v>
      </c>
      <c r="J2650" t="s">
        <v>54</v>
      </c>
      <c r="K2650" t="s">
        <v>55</v>
      </c>
      <c r="L2650">
        <v>6</v>
      </c>
      <c r="M2650" t="s">
        <v>12245</v>
      </c>
      <c r="N2650" t="s">
        <v>47</v>
      </c>
      <c r="O2650" t="s">
        <v>9477</v>
      </c>
      <c r="P2650" t="s">
        <v>9477</v>
      </c>
      <c r="Y2650" t="s">
        <v>12246</v>
      </c>
    </row>
    <row r="2651" spans="1:25">
      <c r="A2651" t="s">
        <v>12247</v>
      </c>
      <c r="B2651" t="s">
        <v>12248</v>
      </c>
      <c r="D2651" t="s">
        <v>9473</v>
      </c>
      <c r="E2651" t="s">
        <v>9474</v>
      </c>
      <c r="J2651" t="s">
        <v>90</v>
      </c>
      <c r="K2651" t="s">
        <v>91</v>
      </c>
      <c r="L2651">
        <v>6</v>
      </c>
      <c r="M2651" t="s">
        <v>12245</v>
      </c>
      <c r="N2651" t="s">
        <v>47</v>
      </c>
      <c r="O2651" t="s">
        <v>9477</v>
      </c>
      <c r="P2651" t="s">
        <v>9477</v>
      </c>
      <c r="Y2651" t="s">
        <v>12249</v>
      </c>
    </row>
    <row r="2652" spans="1:25">
      <c r="A2652" t="s">
        <v>12250</v>
      </c>
      <c r="B2652" t="s">
        <v>12251</v>
      </c>
      <c r="D2652" t="s">
        <v>9473</v>
      </c>
      <c r="E2652" t="s">
        <v>9474</v>
      </c>
      <c r="J2652" t="s">
        <v>78</v>
      </c>
      <c r="K2652" t="s">
        <v>79</v>
      </c>
      <c r="L2652">
        <v>6</v>
      </c>
      <c r="M2652" t="s">
        <v>12245</v>
      </c>
      <c r="N2652" t="s">
        <v>47</v>
      </c>
      <c r="O2652" t="s">
        <v>9477</v>
      </c>
      <c r="P2652" t="s">
        <v>9477</v>
      </c>
      <c r="Y2652" t="s">
        <v>12252</v>
      </c>
    </row>
    <row r="2653" spans="1:25">
      <c r="A2653" t="s">
        <v>12253</v>
      </c>
      <c r="B2653" t="s">
        <v>12254</v>
      </c>
      <c r="D2653" t="s">
        <v>9473</v>
      </c>
      <c r="E2653" t="s">
        <v>9474</v>
      </c>
      <c r="J2653" t="s">
        <v>78</v>
      </c>
      <c r="K2653" t="s">
        <v>79</v>
      </c>
      <c r="L2653">
        <v>6</v>
      </c>
      <c r="M2653" t="s">
        <v>12255</v>
      </c>
      <c r="N2653" t="s">
        <v>47</v>
      </c>
      <c r="O2653" t="s">
        <v>9477</v>
      </c>
      <c r="P2653" t="s">
        <v>9477</v>
      </c>
      <c r="Y2653" t="s">
        <v>12256</v>
      </c>
    </row>
    <row r="2654" spans="1:25">
      <c r="A2654" t="s">
        <v>12257</v>
      </c>
      <c r="B2654" t="s">
        <v>12258</v>
      </c>
      <c r="D2654" t="s">
        <v>9473</v>
      </c>
      <c r="E2654" t="s">
        <v>9474</v>
      </c>
      <c r="J2654" t="s">
        <v>90</v>
      </c>
      <c r="K2654" t="s">
        <v>91</v>
      </c>
      <c r="L2654">
        <v>6</v>
      </c>
      <c r="M2654" t="s">
        <v>12259</v>
      </c>
      <c r="N2654" t="s">
        <v>47</v>
      </c>
      <c r="O2654" t="s">
        <v>9477</v>
      </c>
      <c r="P2654" t="s">
        <v>9477</v>
      </c>
      <c r="Y2654" t="s">
        <v>12260</v>
      </c>
    </row>
    <row r="2655" spans="1:25">
      <c r="A2655" t="s">
        <v>12261</v>
      </c>
      <c r="B2655" t="s">
        <v>12262</v>
      </c>
      <c r="D2655" t="s">
        <v>9473</v>
      </c>
      <c r="E2655" t="s">
        <v>9474</v>
      </c>
      <c r="J2655" t="s">
        <v>44</v>
      </c>
      <c r="K2655" t="s">
        <v>45</v>
      </c>
      <c r="L2655">
        <v>6</v>
      </c>
      <c r="M2655" t="s">
        <v>12263</v>
      </c>
      <c r="N2655" t="s">
        <v>47</v>
      </c>
      <c r="O2655" t="s">
        <v>9477</v>
      </c>
      <c r="P2655" t="s">
        <v>9477</v>
      </c>
      <c r="Y2655" t="s">
        <v>12264</v>
      </c>
    </row>
    <row r="2656" spans="1:25">
      <c r="A2656" t="s">
        <v>12265</v>
      </c>
      <c r="B2656" t="s">
        <v>12266</v>
      </c>
      <c r="D2656" t="s">
        <v>9473</v>
      </c>
      <c r="E2656" t="s">
        <v>9474</v>
      </c>
      <c r="J2656" t="s">
        <v>541</v>
      </c>
      <c r="K2656" t="s">
        <v>542</v>
      </c>
      <c r="L2656">
        <v>6</v>
      </c>
      <c r="M2656" t="s">
        <v>12263</v>
      </c>
      <c r="N2656" t="s">
        <v>290</v>
      </c>
      <c r="O2656" t="s">
        <v>9477</v>
      </c>
      <c r="P2656" t="s">
        <v>9477</v>
      </c>
      <c r="Y2656" t="s">
        <v>12267</v>
      </c>
    </row>
    <row r="2657" spans="1:25">
      <c r="A2657" t="s">
        <v>12268</v>
      </c>
      <c r="B2657" t="s">
        <v>12269</v>
      </c>
      <c r="D2657" t="s">
        <v>9473</v>
      </c>
      <c r="E2657" t="s">
        <v>9474</v>
      </c>
      <c r="J2657" t="s">
        <v>44</v>
      </c>
      <c r="K2657" t="s">
        <v>45</v>
      </c>
      <c r="L2657">
        <v>6</v>
      </c>
      <c r="M2657" t="s">
        <v>12263</v>
      </c>
      <c r="N2657" t="s">
        <v>47</v>
      </c>
      <c r="O2657" t="s">
        <v>9477</v>
      </c>
      <c r="P2657" t="s">
        <v>9477</v>
      </c>
      <c r="Y2657" t="s">
        <v>12270</v>
      </c>
    </row>
    <row r="2658" spans="1:25">
      <c r="A2658" t="s">
        <v>12271</v>
      </c>
      <c r="B2658" t="s">
        <v>12272</v>
      </c>
      <c r="D2658" t="s">
        <v>9473</v>
      </c>
      <c r="E2658" t="s">
        <v>9474</v>
      </c>
      <c r="J2658" t="s">
        <v>90</v>
      </c>
      <c r="K2658" t="s">
        <v>91</v>
      </c>
      <c r="L2658">
        <v>6</v>
      </c>
      <c r="M2658" t="s">
        <v>12273</v>
      </c>
      <c r="N2658" t="s">
        <v>47</v>
      </c>
      <c r="O2658" t="s">
        <v>9477</v>
      </c>
      <c r="P2658" t="s">
        <v>9477</v>
      </c>
      <c r="Y2658" t="s">
        <v>12274</v>
      </c>
    </row>
    <row r="2659" spans="1:25">
      <c r="A2659" t="s">
        <v>12275</v>
      </c>
      <c r="B2659" t="s">
        <v>12276</v>
      </c>
      <c r="D2659" t="s">
        <v>9473</v>
      </c>
      <c r="E2659" t="s">
        <v>9474</v>
      </c>
      <c r="H2659" t="s">
        <v>12277</v>
      </c>
      <c r="J2659" t="s">
        <v>234</v>
      </c>
      <c r="K2659" t="s">
        <v>235</v>
      </c>
      <c r="L2659">
        <v>6</v>
      </c>
      <c r="M2659" t="s">
        <v>12278</v>
      </c>
      <c r="N2659" t="s">
        <v>685</v>
      </c>
      <c r="O2659" t="s">
        <v>9477</v>
      </c>
      <c r="P2659" t="s">
        <v>9477</v>
      </c>
      <c r="Y2659" t="s">
        <v>12277</v>
      </c>
    </row>
    <row r="2660" spans="1:25">
      <c r="A2660" t="s">
        <v>12279</v>
      </c>
      <c r="B2660" t="s">
        <v>12280</v>
      </c>
      <c r="D2660" t="s">
        <v>9473</v>
      </c>
      <c r="E2660" t="s">
        <v>9474</v>
      </c>
      <c r="J2660" t="s">
        <v>353</v>
      </c>
      <c r="K2660" t="s">
        <v>354</v>
      </c>
      <c r="L2660">
        <v>6</v>
      </c>
      <c r="M2660" t="s">
        <v>12281</v>
      </c>
      <c r="N2660" t="s">
        <v>685</v>
      </c>
      <c r="O2660" t="s">
        <v>9477</v>
      </c>
      <c r="P2660" t="s">
        <v>9477</v>
      </c>
      <c r="Y2660" t="s">
        <v>12282</v>
      </c>
    </row>
    <row r="2661" spans="1:25">
      <c r="A2661" t="s">
        <v>12283</v>
      </c>
      <c r="B2661" t="s">
        <v>12284</v>
      </c>
      <c r="D2661" t="s">
        <v>9473</v>
      </c>
      <c r="E2661" t="s">
        <v>9474</v>
      </c>
      <c r="J2661" t="s">
        <v>44</v>
      </c>
      <c r="K2661" t="s">
        <v>45</v>
      </c>
      <c r="L2661">
        <v>6</v>
      </c>
      <c r="M2661" t="s">
        <v>12285</v>
      </c>
      <c r="N2661" t="s">
        <v>47</v>
      </c>
      <c r="O2661" t="s">
        <v>9477</v>
      </c>
      <c r="P2661" t="s">
        <v>9477</v>
      </c>
      <c r="Y2661" t="s">
        <v>12286</v>
      </c>
    </row>
    <row r="2662" spans="1:25">
      <c r="A2662" t="s">
        <v>12287</v>
      </c>
      <c r="B2662" t="s">
        <v>12288</v>
      </c>
      <c r="D2662" t="s">
        <v>9473</v>
      </c>
      <c r="E2662" t="s">
        <v>9474</v>
      </c>
      <c r="J2662" t="s">
        <v>44</v>
      </c>
      <c r="K2662" t="s">
        <v>45</v>
      </c>
      <c r="L2662">
        <v>6</v>
      </c>
      <c r="M2662" t="s">
        <v>12285</v>
      </c>
      <c r="N2662" t="s">
        <v>47</v>
      </c>
      <c r="O2662" t="s">
        <v>9477</v>
      </c>
      <c r="P2662" t="s">
        <v>9477</v>
      </c>
      <c r="Y2662" t="s">
        <v>12289</v>
      </c>
    </row>
    <row r="2663" spans="1:25">
      <c r="A2663" t="s">
        <v>12290</v>
      </c>
      <c r="B2663" t="s">
        <v>12291</v>
      </c>
      <c r="D2663" t="s">
        <v>9473</v>
      </c>
      <c r="E2663" t="s">
        <v>9474</v>
      </c>
      <c r="H2663" t="s">
        <v>12292</v>
      </c>
      <c r="J2663" t="s">
        <v>44</v>
      </c>
      <c r="K2663" t="s">
        <v>45</v>
      </c>
      <c r="L2663">
        <v>6</v>
      </c>
      <c r="M2663" t="s">
        <v>12293</v>
      </c>
      <c r="N2663" t="s">
        <v>47</v>
      </c>
      <c r="O2663" t="s">
        <v>9477</v>
      </c>
      <c r="P2663" t="s">
        <v>9477</v>
      </c>
      <c r="Y2663" t="s">
        <v>12292</v>
      </c>
    </row>
    <row r="2664" spans="1:25">
      <c r="A2664" t="s">
        <v>12294</v>
      </c>
      <c r="B2664" t="s">
        <v>12295</v>
      </c>
      <c r="D2664" t="s">
        <v>9473</v>
      </c>
      <c r="E2664" t="s">
        <v>9474</v>
      </c>
      <c r="J2664" t="s">
        <v>133</v>
      </c>
      <c r="K2664" t="s">
        <v>134</v>
      </c>
      <c r="L2664">
        <v>6</v>
      </c>
      <c r="M2664" t="s">
        <v>12293</v>
      </c>
      <c r="N2664" t="s">
        <v>135</v>
      </c>
      <c r="O2664" t="s">
        <v>9477</v>
      </c>
      <c r="P2664" t="s">
        <v>9477</v>
      </c>
      <c r="Y2664" t="s">
        <v>12296</v>
      </c>
    </row>
    <row r="2665" spans="1:25">
      <c r="A2665" t="s">
        <v>12297</v>
      </c>
      <c r="B2665" t="s">
        <v>12298</v>
      </c>
      <c r="D2665" t="s">
        <v>9473</v>
      </c>
      <c r="E2665" t="s">
        <v>9474</v>
      </c>
      <c r="J2665" t="s">
        <v>54</v>
      </c>
      <c r="K2665" t="s">
        <v>55</v>
      </c>
      <c r="L2665">
        <v>6</v>
      </c>
      <c r="M2665" t="s">
        <v>12293</v>
      </c>
      <c r="N2665" t="s">
        <v>47</v>
      </c>
      <c r="O2665" t="s">
        <v>9477</v>
      </c>
      <c r="P2665" t="s">
        <v>9477</v>
      </c>
      <c r="Y2665" t="s">
        <v>12299</v>
      </c>
    </row>
    <row r="2666" spans="1:25">
      <c r="A2666" t="s">
        <v>12300</v>
      </c>
      <c r="B2666" t="s">
        <v>12301</v>
      </c>
      <c r="D2666" t="s">
        <v>9473</v>
      </c>
      <c r="E2666" t="s">
        <v>9474</v>
      </c>
      <c r="J2666" t="s">
        <v>44</v>
      </c>
      <c r="K2666" t="s">
        <v>45</v>
      </c>
      <c r="L2666">
        <v>6</v>
      </c>
      <c r="M2666" t="s">
        <v>12293</v>
      </c>
      <c r="N2666" t="s">
        <v>47</v>
      </c>
      <c r="O2666" t="s">
        <v>9477</v>
      </c>
      <c r="P2666" t="s">
        <v>9477</v>
      </c>
      <c r="Y2666" t="s">
        <v>12302</v>
      </c>
    </row>
    <row r="2667" spans="1:25">
      <c r="A2667" t="s">
        <v>12303</v>
      </c>
      <c r="B2667" t="s">
        <v>12304</v>
      </c>
      <c r="D2667" t="s">
        <v>9473</v>
      </c>
      <c r="E2667" t="s">
        <v>9474</v>
      </c>
      <c r="J2667" t="s">
        <v>90</v>
      </c>
      <c r="K2667" t="s">
        <v>91</v>
      </c>
      <c r="L2667">
        <v>6</v>
      </c>
      <c r="M2667" t="s">
        <v>12305</v>
      </c>
      <c r="N2667" t="s">
        <v>47</v>
      </c>
      <c r="O2667" t="s">
        <v>9477</v>
      </c>
      <c r="P2667" t="s">
        <v>9477</v>
      </c>
      <c r="Y2667" t="s">
        <v>12306</v>
      </c>
    </row>
    <row r="2668" spans="1:25">
      <c r="A2668" t="s">
        <v>12307</v>
      </c>
      <c r="B2668" t="s">
        <v>12308</v>
      </c>
      <c r="D2668" t="s">
        <v>9473</v>
      </c>
      <c r="E2668" t="s">
        <v>9474</v>
      </c>
      <c r="J2668" t="s">
        <v>54</v>
      </c>
      <c r="K2668" t="s">
        <v>55</v>
      </c>
      <c r="L2668">
        <v>6</v>
      </c>
      <c r="M2668" t="s">
        <v>12309</v>
      </c>
      <c r="N2668" t="s">
        <v>47</v>
      </c>
      <c r="O2668" t="s">
        <v>9477</v>
      </c>
      <c r="P2668" t="s">
        <v>9477</v>
      </c>
      <c r="Y2668" t="s">
        <v>12310</v>
      </c>
    </row>
    <row r="2669" spans="1:25">
      <c r="A2669" t="s">
        <v>12311</v>
      </c>
      <c r="B2669" t="s">
        <v>12312</v>
      </c>
      <c r="D2669" t="s">
        <v>9473</v>
      </c>
      <c r="E2669" t="s">
        <v>9474</v>
      </c>
      <c r="J2669" t="s">
        <v>54</v>
      </c>
      <c r="K2669" t="s">
        <v>55</v>
      </c>
      <c r="L2669">
        <v>6</v>
      </c>
      <c r="M2669" t="s">
        <v>12313</v>
      </c>
      <c r="N2669" t="s">
        <v>47</v>
      </c>
      <c r="O2669" t="s">
        <v>9477</v>
      </c>
      <c r="P2669" t="s">
        <v>9477</v>
      </c>
      <c r="Y2669" t="s">
        <v>12314</v>
      </c>
    </row>
    <row r="2670" spans="1:25">
      <c r="A2670" t="s">
        <v>12315</v>
      </c>
      <c r="B2670" t="s">
        <v>12316</v>
      </c>
      <c r="D2670" t="s">
        <v>9473</v>
      </c>
      <c r="E2670" t="s">
        <v>9474</v>
      </c>
      <c r="J2670" t="s">
        <v>44</v>
      </c>
      <c r="K2670" t="s">
        <v>45</v>
      </c>
      <c r="L2670">
        <v>6</v>
      </c>
      <c r="M2670" t="s">
        <v>12317</v>
      </c>
      <c r="N2670" t="s">
        <v>47</v>
      </c>
      <c r="O2670" t="s">
        <v>9477</v>
      </c>
      <c r="P2670" t="s">
        <v>9477</v>
      </c>
      <c r="Y2670" t="s">
        <v>12318</v>
      </c>
    </row>
    <row r="2671" spans="1:25">
      <c r="A2671" t="s">
        <v>12319</v>
      </c>
      <c r="B2671" t="s">
        <v>12320</v>
      </c>
      <c r="D2671" t="s">
        <v>9473</v>
      </c>
      <c r="E2671" t="s">
        <v>9474</v>
      </c>
      <c r="J2671" t="s">
        <v>90</v>
      </c>
      <c r="K2671" t="s">
        <v>91</v>
      </c>
      <c r="L2671">
        <v>6</v>
      </c>
      <c r="M2671" t="s">
        <v>12321</v>
      </c>
      <c r="N2671" t="s">
        <v>47</v>
      </c>
      <c r="O2671" t="s">
        <v>9477</v>
      </c>
      <c r="P2671" t="s">
        <v>9477</v>
      </c>
      <c r="Y2671" t="s">
        <v>12322</v>
      </c>
    </row>
    <row r="2672" spans="1:25">
      <c r="A2672" t="s">
        <v>12323</v>
      </c>
      <c r="B2672" t="s">
        <v>12324</v>
      </c>
      <c r="D2672" t="s">
        <v>9473</v>
      </c>
      <c r="E2672" t="s">
        <v>9474</v>
      </c>
      <c r="H2672" t="s">
        <v>12325</v>
      </c>
      <c r="J2672" t="s">
        <v>90</v>
      </c>
      <c r="K2672" t="s">
        <v>91</v>
      </c>
      <c r="L2672">
        <v>6</v>
      </c>
      <c r="M2672" t="s">
        <v>12326</v>
      </c>
      <c r="N2672" t="s">
        <v>47</v>
      </c>
      <c r="O2672" t="s">
        <v>9477</v>
      </c>
      <c r="P2672" t="s">
        <v>9477</v>
      </c>
      <c r="Y2672" t="s">
        <v>12325</v>
      </c>
    </row>
    <row r="2673" spans="1:25">
      <c r="A2673" t="s">
        <v>12327</v>
      </c>
      <c r="B2673" t="s">
        <v>12328</v>
      </c>
      <c r="D2673" t="s">
        <v>9473</v>
      </c>
      <c r="E2673" t="s">
        <v>9474</v>
      </c>
      <c r="J2673" t="s">
        <v>371</v>
      </c>
      <c r="K2673" t="s">
        <v>372</v>
      </c>
      <c r="L2673">
        <v>6</v>
      </c>
      <c r="M2673" t="s">
        <v>12326</v>
      </c>
      <c r="N2673" t="s">
        <v>47</v>
      </c>
      <c r="O2673" t="s">
        <v>9477</v>
      </c>
      <c r="P2673" t="s">
        <v>9477</v>
      </c>
      <c r="Y2673" t="s">
        <v>12329</v>
      </c>
    </row>
    <row r="2674" spans="1:25">
      <c r="A2674" t="s">
        <v>12330</v>
      </c>
      <c r="B2674" t="s">
        <v>12331</v>
      </c>
      <c r="D2674" t="s">
        <v>9473</v>
      </c>
      <c r="E2674" t="s">
        <v>9474</v>
      </c>
      <c r="J2674" t="s">
        <v>90</v>
      </c>
      <c r="K2674" t="s">
        <v>91</v>
      </c>
      <c r="L2674">
        <v>6</v>
      </c>
      <c r="M2674" t="s">
        <v>12326</v>
      </c>
      <c r="N2674" t="s">
        <v>47</v>
      </c>
      <c r="O2674" t="s">
        <v>9477</v>
      </c>
      <c r="P2674" t="s">
        <v>9477</v>
      </c>
      <c r="Y2674" t="s">
        <v>12332</v>
      </c>
    </row>
    <row r="2675" spans="1:25">
      <c r="A2675" t="s">
        <v>12333</v>
      </c>
      <c r="B2675" t="s">
        <v>12334</v>
      </c>
      <c r="D2675" t="s">
        <v>9473</v>
      </c>
      <c r="E2675" t="s">
        <v>9474</v>
      </c>
      <c r="J2675" t="s">
        <v>54</v>
      </c>
      <c r="K2675" t="s">
        <v>55</v>
      </c>
      <c r="L2675">
        <v>6</v>
      </c>
      <c r="M2675" t="s">
        <v>12335</v>
      </c>
      <c r="N2675" t="s">
        <v>47</v>
      </c>
      <c r="O2675" t="s">
        <v>9477</v>
      </c>
      <c r="P2675" t="s">
        <v>9477</v>
      </c>
      <c r="Y2675" t="s">
        <v>12336</v>
      </c>
    </row>
    <row r="2676" spans="1:25">
      <c r="A2676" t="s">
        <v>12337</v>
      </c>
      <c r="B2676" t="s">
        <v>12338</v>
      </c>
      <c r="D2676" t="s">
        <v>9473</v>
      </c>
      <c r="E2676" t="s">
        <v>9474</v>
      </c>
      <c r="J2676" t="s">
        <v>90</v>
      </c>
      <c r="K2676" t="s">
        <v>91</v>
      </c>
      <c r="L2676">
        <v>6</v>
      </c>
      <c r="M2676" t="s">
        <v>12339</v>
      </c>
      <c r="N2676" t="s">
        <v>47</v>
      </c>
      <c r="O2676" t="s">
        <v>9477</v>
      </c>
      <c r="P2676" t="s">
        <v>9477</v>
      </c>
      <c r="Y2676" t="s">
        <v>12340</v>
      </c>
    </row>
    <row r="2677" spans="1:25">
      <c r="A2677" t="s">
        <v>12341</v>
      </c>
      <c r="B2677" t="s">
        <v>12342</v>
      </c>
      <c r="D2677" t="s">
        <v>9473</v>
      </c>
      <c r="E2677" t="s">
        <v>9474</v>
      </c>
      <c r="J2677" t="s">
        <v>90</v>
      </c>
      <c r="K2677" t="s">
        <v>91</v>
      </c>
      <c r="L2677">
        <v>6</v>
      </c>
      <c r="M2677" t="s">
        <v>12339</v>
      </c>
      <c r="N2677" t="s">
        <v>47</v>
      </c>
      <c r="O2677" t="s">
        <v>9477</v>
      </c>
      <c r="P2677" t="s">
        <v>9477</v>
      </c>
      <c r="Y2677" t="s">
        <v>12343</v>
      </c>
    </row>
    <row r="2678" spans="1:25">
      <c r="A2678" t="s">
        <v>12344</v>
      </c>
      <c r="B2678" t="s">
        <v>12345</v>
      </c>
      <c r="D2678" t="s">
        <v>9473</v>
      </c>
      <c r="E2678" t="s">
        <v>9474</v>
      </c>
      <c r="H2678" t="s">
        <v>12346</v>
      </c>
      <c r="J2678" t="s">
        <v>234</v>
      </c>
      <c r="K2678" t="s">
        <v>235</v>
      </c>
      <c r="L2678">
        <v>6</v>
      </c>
      <c r="M2678" t="s">
        <v>12347</v>
      </c>
      <c r="N2678" t="s">
        <v>47</v>
      </c>
      <c r="O2678" t="s">
        <v>9477</v>
      </c>
      <c r="P2678" t="s">
        <v>9477</v>
      </c>
      <c r="Y2678" t="s">
        <v>12346</v>
      </c>
    </row>
    <row r="2679" spans="1:25">
      <c r="A2679" t="s">
        <v>12348</v>
      </c>
      <c r="B2679" t="s">
        <v>12349</v>
      </c>
      <c r="D2679" t="s">
        <v>9473</v>
      </c>
      <c r="E2679" t="s">
        <v>9474</v>
      </c>
      <c r="H2679" t="s">
        <v>12350</v>
      </c>
      <c r="J2679" t="s">
        <v>234</v>
      </c>
      <c r="K2679" t="s">
        <v>235</v>
      </c>
      <c r="L2679">
        <v>6</v>
      </c>
      <c r="M2679" t="s">
        <v>12351</v>
      </c>
      <c r="N2679" t="s">
        <v>47</v>
      </c>
      <c r="O2679" t="s">
        <v>9477</v>
      </c>
      <c r="P2679" t="s">
        <v>9477</v>
      </c>
      <c r="Y2679" t="s">
        <v>12350</v>
      </c>
    </row>
    <row r="2680" spans="1:25">
      <c r="A2680" t="s">
        <v>12352</v>
      </c>
      <c r="B2680" t="s">
        <v>12353</v>
      </c>
      <c r="D2680" t="s">
        <v>9473</v>
      </c>
      <c r="E2680" t="s">
        <v>9474</v>
      </c>
      <c r="J2680" t="s">
        <v>54</v>
      </c>
      <c r="K2680" t="s">
        <v>55</v>
      </c>
      <c r="L2680">
        <v>6</v>
      </c>
      <c r="M2680" t="s">
        <v>12354</v>
      </c>
      <c r="N2680" t="s">
        <v>47</v>
      </c>
      <c r="O2680" t="s">
        <v>9477</v>
      </c>
      <c r="P2680" t="s">
        <v>9477</v>
      </c>
      <c r="Y2680" t="s">
        <v>12355</v>
      </c>
    </row>
    <row r="2681" spans="1:25">
      <c r="A2681" t="s">
        <v>12356</v>
      </c>
      <c r="B2681" t="s">
        <v>12357</v>
      </c>
      <c r="D2681" t="s">
        <v>9473</v>
      </c>
      <c r="E2681" t="s">
        <v>9474</v>
      </c>
      <c r="J2681" t="s">
        <v>78</v>
      </c>
      <c r="K2681" t="s">
        <v>79</v>
      </c>
      <c r="L2681">
        <v>6</v>
      </c>
      <c r="M2681" t="s">
        <v>12358</v>
      </c>
      <c r="N2681" t="s">
        <v>47</v>
      </c>
      <c r="O2681" t="s">
        <v>9477</v>
      </c>
      <c r="P2681" t="s">
        <v>9477</v>
      </c>
      <c r="Y2681" t="s">
        <v>12359</v>
      </c>
    </row>
    <row r="2682" spans="1:25">
      <c r="A2682" t="s">
        <v>12360</v>
      </c>
      <c r="B2682" t="s">
        <v>12361</v>
      </c>
      <c r="D2682" t="s">
        <v>9473</v>
      </c>
      <c r="E2682" t="s">
        <v>9474</v>
      </c>
      <c r="J2682" t="s">
        <v>54</v>
      </c>
      <c r="K2682" t="s">
        <v>55</v>
      </c>
      <c r="L2682">
        <v>6</v>
      </c>
      <c r="M2682" t="s">
        <v>12358</v>
      </c>
      <c r="N2682" t="s">
        <v>47</v>
      </c>
      <c r="O2682" t="s">
        <v>9477</v>
      </c>
      <c r="P2682" t="s">
        <v>9477</v>
      </c>
      <c r="Y2682" t="s">
        <v>12362</v>
      </c>
    </row>
    <row r="2683" spans="1:25">
      <c r="A2683" t="s">
        <v>12363</v>
      </c>
      <c r="B2683" t="s">
        <v>12364</v>
      </c>
      <c r="D2683" t="s">
        <v>9473</v>
      </c>
      <c r="E2683" t="s">
        <v>9474</v>
      </c>
      <c r="J2683" t="s">
        <v>90</v>
      </c>
      <c r="K2683" t="s">
        <v>91</v>
      </c>
      <c r="L2683">
        <v>6</v>
      </c>
      <c r="M2683" t="s">
        <v>12365</v>
      </c>
      <c r="N2683" t="s">
        <v>47</v>
      </c>
      <c r="O2683" t="s">
        <v>9477</v>
      </c>
      <c r="P2683" t="s">
        <v>9477</v>
      </c>
      <c r="Y2683" t="s">
        <v>12366</v>
      </c>
    </row>
    <row r="2684" spans="1:25">
      <c r="A2684" t="s">
        <v>12367</v>
      </c>
      <c r="B2684" t="s">
        <v>12368</v>
      </c>
      <c r="D2684" t="s">
        <v>9473</v>
      </c>
      <c r="E2684" t="s">
        <v>9474</v>
      </c>
      <c r="J2684" t="s">
        <v>78</v>
      </c>
      <c r="K2684" t="s">
        <v>79</v>
      </c>
      <c r="L2684">
        <v>6</v>
      </c>
      <c r="M2684" t="s">
        <v>12365</v>
      </c>
      <c r="N2684" t="s">
        <v>47</v>
      </c>
      <c r="O2684" t="s">
        <v>9477</v>
      </c>
      <c r="P2684" t="s">
        <v>9477</v>
      </c>
      <c r="Y2684" t="s">
        <v>12369</v>
      </c>
    </row>
    <row r="2685" spans="1:25">
      <c r="A2685" t="s">
        <v>12370</v>
      </c>
      <c r="B2685" t="s">
        <v>12371</v>
      </c>
      <c r="D2685" t="s">
        <v>9473</v>
      </c>
      <c r="E2685" t="s">
        <v>9474</v>
      </c>
      <c r="J2685" t="s">
        <v>133</v>
      </c>
      <c r="K2685" t="s">
        <v>134</v>
      </c>
      <c r="L2685">
        <v>6</v>
      </c>
      <c r="M2685" t="s">
        <v>12365</v>
      </c>
      <c r="N2685" t="s">
        <v>135</v>
      </c>
      <c r="O2685" t="s">
        <v>9477</v>
      </c>
      <c r="P2685" t="s">
        <v>9477</v>
      </c>
      <c r="Y2685" t="s">
        <v>12372</v>
      </c>
    </row>
    <row r="2686" spans="1:25">
      <c r="A2686" t="s">
        <v>12373</v>
      </c>
      <c r="B2686" t="s">
        <v>12374</v>
      </c>
      <c r="D2686" t="s">
        <v>9473</v>
      </c>
      <c r="E2686" t="s">
        <v>9474</v>
      </c>
      <c r="J2686" t="s">
        <v>78</v>
      </c>
      <c r="K2686" t="s">
        <v>79</v>
      </c>
      <c r="L2686">
        <v>6</v>
      </c>
      <c r="M2686" t="s">
        <v>12365</v>
      </c>
      <c r="N2686" t="s">
        <v>47</v>
      </c>
      <c r="O2686" t="s">
        <v>9477</v>
      </c>
      <c r="P2686" t="s">
        <v>9477</v>
      </c>
      <c r="Y2686" t="s">
        <v>12375</v>
      </c>
    </row>
    <row r="2687" spans="1:25">
      <c r="A2687" t="s">
        <v>12376</v>
      </c>
      <c r="B2687" t="s">
        <v>12377</v>
      </c>
      <c r="D2687" t="s">
        <v>9473</v>
      </c>
      <c r="E2687" t="s">
        <v>9474</v>
      </c>
      <c r="J2687" t="s">
        <v>90</v>
      </c>
      <c r="K2687" t="s">
        <v>91</v>
      </c>
      <c r="L2687">
        <v>6</v>
      </c>
      <c r="M2687" t="s">
        <v>12378</v>
      </c>
      <c r="N2687" t="s">
        <v>47</v>
      </c>
      <c r="O2687" t="s">
        <v>9477</v>
      </c>
      <c r="P2687" t="s">
        <v>9477</v>
      </c>
      <c r="Y2687" t="s">
        <v>12379</v>
      </c>
    </row>
    <row r="2688" spans="1:25">
      <c r="A2688" t="s">
        <v>12380</v>
      </c>
      <c r="B2688" t="s">
        <v>12381</v>
      </c>
      <c r="D2688" t="s">
        <v>9473</v>
      </c>
      <c r="E2688" t="s">
        <v>9474</v>
      </c>
      <c r="J2688" t="s">
        <v>90</v>
      </c>
      <c r="K2688" t="s">
        <v>91</v>
      </c>
      <c r="L2688">
        <v>6</v>
      </c>
      <c r="M2688" t="s">
        <v>12382</v>
      </c>
      <c r="N2688" t="s">
        <v>47</v>
      </c>
      <c r="O2688" t="s">
        <v>9477</v>
      </c>
      <c r="P2688" t="s">
        <v>9477</v>
      </c>
      <c r="Y2688" t="s">
        <v>12383</v>
      </c>
    </row>
    <row r="2689" spans="1:25">
      <c r="A2689" t="s">
        <v>12384</v>
      </c>
      <c r="B2689" t="s">
        <v>12385</v>
      </c>
      <c r="D2689" t="s">
        <v>9473</v>
      </c>
      <c r="E2689" t="s">
        <v>9474</v>
      </c>
      <c r="J2689" t="s">
        <v>44</v>
      </c>
      <c r="K2689" t="s">
        <v>45</v>
      </c>
      <c r="L2689">
        <v>6</v>
      </c>
      <c r="M2689" t="s">
        <v>12382</v>
      </c>
      <c r="N2689" t="s">
        <v>47</v>
      </c>
      <c r="O2689" t="s">
        <v>9477</v>
      </c>
      <c r="P2689" t="s">
        <v>9477</v>
      </c>
      <c r="Y2689" t="s">
        <v>12386</v>
      </c>
    </row>
    <row r="2690" spans="1:25">
      <c r="A2690" t="s">
        <v>12387</v>
      </c>
      <c r="B2690" t="s">
        <v>12388</v>
      </c>
      <c r="D2690" t="s">
        <v>9473</v>
      </c>
      <c r="E2690" t="s">
        <v>9474</v>
      </c>
      <c r="J2690" t="s">
        <v>133</v>
      </c>
      <c r="K2690" t="s">
        <v>134</v>
      </c>
      <c r="L2690">
        <v>6</v>
      </c>
      <c r="M2690" t="s">
        <v>12382</v>
      </c>
      <c r="N2690" t="s">
        <v>135</v>
      </c>
      <c r="O2690" t="s">
        <v>9477</v>
      </c>
      <c r="P2690" t="s">
        <v>9477</v>
      </c>
      <c r="Y2690" t="s">
        <v>12389</v>
      </c>
    </row>
    <row r="2691" spans="1:25">
      <c r="A2691" t="s">
        <v>12390</v>
      </c>
      <c r="B2691" t="s">
        <v>12391</v>
      </c>
      <c r="D2691" t="s">
        <v>9473</v>
      </c>
      <c r="E2691" t="s">
        <v>9474</v>
      </c>
      <c r="H2691" t="s">
        <v>12392</v>
      </c>
      <c r="J2691" t="s">
        <v>234</v>
      </c>
      <c r="K2691" t="s">
        <v>235</v>
      </c>
      <c r="L2691">
        <v>6</v>
      </c>
      <c r="M2691" t="s">
        <v>12393</v>
      </c>
      <c r="N2691" t="s">
        <v>47</v>
      </c>
      <c r="O2691" t="s">
        <v>9477</v>
      </c>
      <c r="P2691" t="s">
        <v>9477</v>
      </c>
      <c r="Y2691" t="s">
        <v>12392</v>
      </c>
    </row>
    <row r="2692" spans="1:25">
      <c r="A2692" t="s">
        <v>12394</v>
      </c>
      <c r="B2692" t="s">
        <v>12395</v>
      </c>
      <c r="D2692" t="s">
        <v>9473</v>
      </c>
      <c r="E2692" t="s">
        <v>9474</v>
      </c>
      <c r="H2692" t="s">
        <v>12396</v>
      </c>
      <c r="J2692" t="s">
        <v>371</v>
      </c>
      <c r="K2692" t="s">
        <v>372</v>
      </c>
      <c r="L2692">
        <v>6</v>
      </c>
      <c r="M2692" t="s">
        <v>12397</v>
      </c>
      <c r="N2692" t="s">
        <v>47</v>
      </c>
      <c r="O2692" t="s">
        <v>9477</v>
      </c>
      <c r="P2692" t="s">
        <v>9477</v>
      </c>
      <c r="Y2692" t="s">
        <v>12396</v>
      </c>
    </row>
    <row r="2693" spans="1:25">
      <c r="A2693" t="s">
        <v>12398</v>
      </c>
      <c r="B2693" t="s">
        <v>12399</v>
      </c>
      <c r="D2693" t="s">
        <v>9473</v>
      </c>
      <c r="E2693" t="s">
        <v>9474</v>
      </c>
      <c r="J2693" t="s">
        <v>54</v>
      </c>
      <c r="K2693" t="s">
        <v>55</v>
      </c>
      <c r="L2693">
        <v>6</v>
      </c>
      <c r="M2693" t="s">
        <v>12400</v>
      </c>
      <c r="N2693" t="s">
        <v>47</v>
      </c>
      <c r="O2693" t="s">
        <v>9477</v>
      </c>
      <c r="P2693" t="s">
        <v>9477</v>
      </c>
      <c r="Y2693" t="s">
        <v>12401</v>
      </c>
    </row>
    <row r="2694" spans="1:25">
      <c r="A2694" t="s">
        <v>12402</v>
      </c>
      <c r="B2694" t="s">
        <v>12403</v>
      </c>
      <c r="D2694" t="s">
        <v>9473</v>
      </c>
      <c r="E2694" t="s">
        <v>9474</v>
      </c>
      <c r="J2694" t="s">
        <v>90</v>
      </c>
      <c r="K2694" t="s">
        <v>91</v>
      </c>
      <c r="L2694">
        <v>6</v>
      </c>
      <c r="M2694" t="s">
        <v>12400</v>
      </c>
      <c r="N2694" t="s">
        <v>47</v>
      </c>
      <c r="O2694" t="s">
        <v>9477</v>
      </c>
      <c r="P2694" t="s">
        <v>9477</v>
      </c>
      <c r="Y2694" t="s">
        <v>12404</v>
      </c>
    </row>
    <row r="2695" spans="1:25">
      <c r="A2695" t="s">
        <v>12405</v>
      </c>
      <c r="B2695" t="s">
        <v>12406</v>
      </c>
      <c r="D2695" t="s">
        <v>9473</v>
      </c>
      <c r="E2695" t="s">
        <v>9474</v>
      </c>
      <c r="H2695" t="s">
        <v>12407</v>
      </c>
      <c r="J2695" t="s">
        <v>133</v>
      </c>
      <c r="K2695" t="s">
        <v>134</v>
      </c>
      <c r="L2695">
        <v>6</v>
      </c>
      <c r="M2695" t="s">
        <v>12400</v>
      </c>
      <c r="N2695" t="s">
        <v>135</v>
      </c>
      <c r="O2695" t="s">
        <v>9477</v>
      </c>
      <c r="P2695" t="s">
        <v>9477</v>
      </c>
      <c r="Y2695" t="s">
        <v>12407</v>
      </c>
    </row>
    <row r="2696" spans="1:25">
      <c r="A2696" t="s">
        <v>12408</v>
      </c>
      <c r="B2696" t="s">
        <v>12409</v>
      </c>
      <c r="D2696" t="s">
        <v>9473</v>
      </c>
      <c r="E2696" t="s">
        <v>9474</v>
      </c>
      <c r="H2696" t="s">
        <v>12410</v>
      </c>
      <c r="J2696" t="s">
        <v>44</v>
      </c>
      <c r="K2696" t="s">
        <v>45</v>
      </c>
      <c r="L2696">
        <v>6</v>
      </c>
      <c r="M2696" t="s">
        <v>12400</v>
      </c>
      <c r="N2696" t="s">
        <v>47</v>
      </c>
      <c r="O2696" t="s">
        <v>9477</v>
      </c>
      <c r="P2696" t="s">
        <v>9477</v>
      </c>
      <c r="Y2696" t="s">
        <v>12410</v>
      </c>
    </row>
    <row r="2697" spans="1:25">
      <c r="A2697" t="s">
        <v>12411</v>
      </c>
      <c r="B2697" t="s">
        <v>12412</v>
      </c>
      <c r="D2697" t="s">
        <v>9473</v>
      </c>
      <c r="E2697" t="s">
        <v>9474</v>
      </c>
      <c r="H2697" t="s">
        <v>12413</v>
      </c>
      <c r="J2697" t="s">
        <v>234</v>
      </c>
      <c r="K2697" t="s">
        <v>235</v>
      </c>
      <c r="L2697">
        <v>6</v>
      </c>
      <c r="M2697" t="s">
        <v>12414</v>
      </c>
      <c r="N2697" t="s">
        <v>47</v>
      </c>
      <c r="O2697" t="s">
        <v>9477</v>
      </c>
      <c r="P2697" t="s">
        <v>9477</v>
      </c>
      <c r="Y2697" t="s">
        <v>12413</v>
      </c>
    </row>
    <row r="2698" spans="1:25">
      <c r="A2698" t="s">
        <v>12415</v>
      </c>
      <c r="B2698" t="s">
        <v>12416</v>
      </c>
      <c r="D2698" t="s">
        <v>9473</v>
      </c>
      <c r="E2698" t="s">
        <v>9474</v>
      </c>
      <c r="J2698" t="s">
        <v>78</v>
      </c>
      <c r="K2698" t="s">
        <v>79</v>
      </c>
      <c r="L2698">
        <v>6</v>
      </c>
      <c r="M2698" t="s">
        <v>12417</v>
      </c>
      <c r="N2698" t="s">
        <v>47</v>
      </c>
      <c r="O2698" t="s">
        <v>9477</v>
      </c>
      <c r="P2698" t="s">
        <v>9477</v>
      </c>
      <c r="Y2698" t="s">
        <v>12418</v>
      </c>
    </row>
    <row r="2699" spans="1:25">
      <c r="A2699" t="s">
        <v>12419</v>
      </c>
      <c r="B2699" t="s">
        <v>12420</v>
      </c>
      <c r="D2699" t="s">
        <v>9473</v>
      </c>
      <c r="E2699" t="s">
        <v>9474</v>
      </c>
      <c r="J2699" t="s">
        <v>78</v>
      </c>
      <c r="K2699" t="s">
        <v>79</v>
      </c>
      <c r="L2699">
        <v>6</v>
      </c>
      <c r="M2699" t="s">
        <v>12417</v>
      </c>
      <c r="N2699" t="s">
        <v>47</v>
      </c>
      <c r="O2699" t="s">
        <v>9477</v>
      </c>
      <c r="P2699" t="s">
        <v>9477</v>
      </c>
      <c r="Y2699" t="s">
        <v>12421</v>
      </c>
    </row>
    <row r="2700" spans="1:25">
      <c r="A2700" t="s">
        <v>12422</v>
      </c>
      <c r="B2700" t="s">
        <v>12423</v>
      </c>
      <c r="D2700" t="s">
        <v>9473</v>
      </c>
      <c r="E2700" t="s">
        <v>9474</v>
      </c>
      <c r="J2700" t="s">
        <v>54</v>
      </c>
      <c r="K2700" t="s">
        <v>55</v>
      </c>
      <c r="L2700">
        <v>6</v>
      </c>
      <c r="M2700" t="s">
        <v>12424</v>
      </c>
      <c r="N2700" t="s">
        <v>47</v>
      </c>
      <c r="O2700" t="s">
        <v>9477</v>
      </c>
      <c r="P2700" t="s">
        <v>9477</v>
      </c>
      <c r="Y2700" t="s">
        <v>12425</v>
      </c>
    </row>
    <row r="2701" spans="1:25">
      <c r="A2701" t="s">
        <v>12426</v>
      </c>
      <c r="B2701" t="s">
        <v>12427</v>
      </c>
      <c r="D2701" t="s">
        <v>9473</v>
      </c>
      <c r="E2701" t="s">
        <v>9474</v>
      </c>
      <c r="J2701" t="s">
        <v>90</v>
      </c>
      <c r="K2701" t="s">
        <v>91</v>
      </c>
      <c r="L2701">
        <v>6</v>
      </c>
      <c r="M2701" t="s">
        <v>12428</v>
      </c>
      <c r="N2701" t="s">
        <v>47</v>
      </c>
      <c r="O2701" t="s">
        <v>9477</v>
      </c>
      <c r="P2701" t="s">
        <v>9477</v>
      </c>
      <c r="Y2701" t="s">
        <v>12429</v>
      </c>
    </row>
    <row r="2702" spans="1:25">
      <c r="A2702" t="s">
        <v>12430</v>
      </c>
      <c r="B2702" t="s">
        <v>12431</v>
      </c>
      <c r="D2702" t="s">
        <v>9473</v>
      </c>
      <c r="E2702" t="s">
        <v>9474</v>
      </c>
      <c r="H2702" t="s">
        <v>12432</v>
      </c>
      <c r="J2702" t="s">
        <v>90</v>
      </c>
      <c r="K2702" t="s">
        <v>91</v>
      </c>
      <c r="L2702">
        <v>6</v>
      </c>
      <c r="M2702" t="s">
        <v>12428</v>
      </c>
      <c r="N2702" t="s">
        <v>47</v>
      </c>
      <c r="O2702" t="s">
        <v>9477</v>
      </c>
      <c r="P2702" t="s">
        <v>9477</v>
      </c>
      <c r="Y2702" t="s">
        <v>12432</v>
      </c>
    </row>
    <row r="2703" spans="1:25">
      <c r="A2703" t="s">
        <v>12433</v>
      </c>
      <c r="B2703" t="s">
        <v>12434</v>
      </c>
      <c r="D2703" t="s">
        <v>9473</v>
      </c>
      <c r="E2703" t="s">
        <v>9474</v>
      </c>
      <c r="J2703" t="s">
        <v>133</v>
      </c>
      <c r="K2703" t="s">
        <v>134</v>
      </c>
      <c r="L2703">
        <v>6</v>
      </c>
      <c r="M2703" t="s">
        <v>12435</v>
      </c>
      <c r="N2703" t="s">
        <v>135</v>
      </c>
      <c r="O2703" t="s">
        <v>9477</v>
      </c>
      <c r="P2703" t="s">
        <v>9477</v>
      </c>
      <c r="Y2703" t="s">
        <v>12436</v>
      </c>
    </row>
    <row r="2704" spans="1:25">
      <c r="A2704" t="s">
        <v>12437</v>
      </c>
      <c r="B2704" t="s">
        <v>12438</v>
      </c>
      <c r="D2704" t="s">
        <v>9473</v>
      </c>
      <c r="E2704" t="s">
        <v>9474</v>
      </c>
      <c r="J2704" t="s">
        <v>90</v>
      </c>
      <c r="K2704" t="s">
        <v>91</v>
      </c>
      <c r="L2704">
        <v>6</v>
      </c>
      <c r="M2704" t="s">
        <v>12435</v>
      </c>
      <c r="N2704" t="s">
        <v>47</v>
      </c>
      <c r="O2704" t="s">
        <v>9477</v>
      </c>
      <c r="P2704" t="s">
        <v>9477</v>
      </c>
      <c r="Y2704" t="s">
        <v>12439</v>
      </c>
    </row>
    <row r="2705" spans="1:25">
      <c r="A2705" t="s">
        <v>12440</v>
      </c>
      <c r="B2705" t="s">
        <v>12441</v>
      </c>
      <c r="D2705" t="s">
        <v>9473</v>
      </c>
      <c r="E2705" t="s">
        <v>9474</v>
      </c>
      <c r="J2705" t="s">
        <v>54</v>
      </c>
      <c r="K2705" t="s">
        <v>55</v>
      </c>
      <c r="L2705">
        <v>6</v>
      </c>
      <c r="M2705" t="s">
        <v>12442</v>
      </c>
      <c r="N2705" t="s">
        <v>47</v>
      </c>
      <c r="O2705" t="s">
        <v>9477</v>
      </c>
      <c r="P2705" t="s">
        <v>9477</v>
      </c>
      <c r="Y2705" t="s">
        <v>12443</v>
      </c>
    </row>
    <row r="2706" spans="1:25">
      <c r="A2706" t="s">
        <v>12444</v>
      </c>
      <c r="B2706" t="s">
        <v>12445</v>
      </c>
      <c r="D2706" t="s">
        <v>9473</v>
      </c>
      <c r="E2706" t="s">
        <v>9474</v>
      </c>
      <c r="H2706" t="s">
        <v>12446</v>
      </c>
      <c r="J2706" t="s">
        <v>133</v>
      </c>
      <c r="K2706" t="s">
        <v>134</v>
      </c>
      <c r="L2706">
        <v>6</v>
      </c>
      <c r="M2706" t="s">
        <v>12447</v>
      </c>
      <c r="N2706" t="s">
        <v>685</v>
      </c>
      <c r="O2706" t="s">
        <v>9477</v>
      </c>
      <c r="P2706" t="s">
        <v>9477</v>
      </c>
      <c r="Y2706" t="s">
        <v>12446</v>
      </c>
    </row>
    <row r="2707" spans="1:25">
      <c r="A2707" t="s">
        <v>12448</v>
      </c>
      <c r="B2707" t="s">
        <v>12449</v>
      </c>
      <c r="D2707" t="s">
        <v>9473</v>
      </c>
      <c r="E2707" t="s">
        <v>9474</v>
      </c>
      <c r="J2707" t="s">
        <v>44</v>
      </c>
      <c r="K2707" t="s">
        <v>45</v>
      </c>
      <c r="L2707">
        <v>6</v>
      </c>
      <c r="M2707" t="s">
        <v>12450</v>
      </c>
      <c r="N2707" t="s">
        <v>47</v>
      </c>
      <c r="O2707" t="s">
        <v>9477</v>
      </c>
      <c r="P2707" t="s">
        <v>9477</v>
      </c>
      <c r="Y2707" t="s">
        <v>12451</v>
      </c>
    </row>
    <row r="2708" spans="1:25">
      <c r="A2708" t="s">
        <v>12452</v>
      </c>
      <c r="B2708" t="s">
        <v>12453</v>
      </c>
      <c r="D2708" t="s">
        <v>9473</v>
      </c>
      <c r="E2708" t="s">
        <v>9474</v>
      </c>
      <c r="J2708" t="s">
        <v>54</v>
      </c>
      <c r="K2708" t="s">
        <v>55</v>
      </c>
      <c r="L2708">
        <v>6</v>
      </c>
      <c r="M2708" t="s">
        <v>12450</v>
      </c>
      <c r="N2708" t="s">
        <v>47</v>
      </c>
      <c r="O2708" t="s">
        <v>9477</v>
      </c>
      <c r="P2708" t="s">
        <v>9477</v>
      </c>
      <c r="Y2708" t="s">
        <v>12454</v>
      </c>
    </row>
    <row r="2709" spans="1:25">
      <c r="A2709" t="s">
        <v>12455</v>
      </c>
      <c r="B2709" t="s">
        <v>12456</v>
      </c>
      <c r="D2709" t="s">
        <v>9473</v>
      </c>
      <c r="E2709" t="s">
        <v>9474</v>
      </c>
      <c r="H2709" t="s">
        <v>12457</v>
      </c>
      <c r="J2709" t="s">
        <v>78</v>
      </c>
      <c r="K2709" t="s">
        <v>79</v>
      </c>
      <c r="L2709">
        <v>6</v>
      </c>
      <c r="M2709" t="s">
        <v>12458</v>
      </c>
      <c r="N2709" t="s">
        <v>47</v>
      </c>
      <c r="O2709" t="s">
        <v>9477</v>
      </c>
      <c r="P2709" t="s">
        <v>9477</v>
      </c>
      <c r="Y2709" t="s">
        <v>12457</v>
      </c>
    </row>
    <row r="2710" spans="1:25">
      <c r="A2710" t="s">
        <v>12459</v>
      </c>
      <c r="B2710" t="s">
        <v>12460</v>
      </c>
      <c r="D2710" t="s">
        <v>9473</v>
      </c>
      <c r="E2710" t="s">
        <v>9474</v>
      </c>
      <c r="J2710" t="s">
        <v>44</v>
      </c>
      <c r="K2710" t="s">
        <v>45</v>
      </c>
      <c r="L2710">
        <v>6</v>
      </c>
      <c r="M2710" t="s">
        <v>12458</v>
      </c>
      <c r="N2710" t="s">
        <v>47</v>
      </c>
      <c r="O2710" t="s">
        <v>9477</v>
      </c>
      <c r="P2710" t="s">
        <v>9477</v>
      </c>
      <c r="Y2710" t="s">
        <v>12461</v>
      </c>
    </row>
    <row r="2711" spans="1:25">
      <c r="A2711" t="s">
        <v>12462</v>
      </c>
      <c r="B2711" t="s">
        <v>12463</v>
      </c>
      <c r="D2711" t="s">
        <v>9473</v>
      </c>
      <c r="E2711" t="s">
        <v>9474</v>
      </c>
      <c r="J2711" t="s">
        <v>78</v>
      </c>
      <c r="K2711" t="s">
        <v>79</v>
      </c>
      <c r="L2711">
        <v>6</v>
      </c>
      <c r="M2711" t="s">
        <v>12458</v>
      </c>
      <c r="N2711" t="s">
        <v>47</v>
      </c>
      <c r="O2711" t="s">
        <v>9477</v>
      </c>
      <c r="P2711" t="s">
        <v>9477</v>
      </c>
      <c r="Y2711" t="s">
        <v>12464</v>
      </c>
    </row>
    <row r="2712" spans="1:25">
      <c r="A2712" t="s">
        <v>12465</v>
      </c>
      <c r="B2712" t="s">
        <v>12466</v>
      </c>
      <c r="D2712" t="s">
        <v>9473</v>
      </c>
      <c r="E2712" t="s">
        <v>9474</v>
      </c>
      <c r="J2712" t="s">
        <v>90</v>
      </c>
      <c r="K2712" t="s">
        <v>91</v>
      </c>
      <c r="L2712">
        <v>6</v>
      </c>
      <c r="M2712" t="s">
        <v>12467</v>
      </c>
      <c r="N2712" t="s">
        <v>47</v>
      </c>
      <c r="O2712" t="s">
        <v>9477</v>
      </c>
      <c r="P2712" t="s">
        <v>9477</v>
      </c>
      <c r="Y2712" t="s">
        <v>12468</v>
      </c>
    </row>
    <row r="2713" spans="1:25">
      <c r="A2713" t="s">
        <v>12469</v>
      </c>
      <c r="B2713" t="s">
        <v>12470</v>
      </c>
      <c r="D2713" t="s">
        <v>9473</v>
      </c>
      <c r="E2713" t="s">
        <v>9474</v>
      </c>
      <c r="J2713" t="s">
        <v>44</v>
      </c>
      <c r="K2713" t="s">
        <v>45</v>
      </c>
      <c r="L2713">
        <v>6</v>
      </c>
      <c r="M2713" t="s">
        <v>12471</v>
      </c>
      <c r="N2713" t="s">
        <v>47</v>
      </c>
      <c r="O2713" t="s">
        <v>9477</v>
      </c>
      <c r="P2713" t="s">
        <v>9477</v>
      </c>
      <c r="Y2713" t="s">
        <v>12472</v>
      </c>
    </row>
    <row r="2714" spans="1:25">
      <c r="A2714" t="s">
        <v>12473</v>
      </c>
      <c r="B2714" t="s">
        <v>12474</v>
      </c>
      <c r="D2714" t="s">
        <v>9473</v>
      </c>
      <c r="E2714" t="s">
        <v>9474</v>
      </c>
      <c r="H2714" t="s">
        <v>12475</v>
      </c>
      <c r="J2714" t="s">
        <v>44</v>
      </c>
      <c r="K2714" t="s">
        <v>45</v>
      </c>
      <c r="L2714">
        <v>6</v>
      </c>
      <c r="M2714" t="s">
        <v>12471</v>
      </c>
      <c r="N2714" t="s">
        <v>47</v>
      </c>
      <c r="O2714" t="s">
        <v>9477</v>
      </c>
      <c r="P2714" t="s">
        <v>9477</v>
      </c>
      <c r="Y2714" t="s">
        <v>12475</v>
      </c>
    </row>
    <row r="2715" spans="1:25">
      <c r="A2715" t="s">
        <v>12476</v>
      </c>
      <c r="B2715" t="s">
        <v>12477</v>
      </c>
      <c r="D2715" t="s">
        <v>9473</v>
      </c>
      <c r="E2715" t="s">
        <v>9474</v>
      </c>
      <c r="J2715" t="s">
        <v>133</v>
      </c>
      <c r="K2715" t="s">
        <v>134</v>
      </c>
      <c r="L2715">
        <v>6</v>
      </c>
      <c r="M2715" t="s">
        <v>12471</v>
      </c>
      <c r="N2715" t="s">
        <v>135</v>
      </c>
      <c r="O2715" t="s">
        <v>9477</v>
      </c>
      <c r="P2715" t="s">
        <v>9477</v>
      </c>
      <c r="Y2715" t="s">
        <v>12478</v>
      </c>
    </row>
    <row r="2716" spans="1:25">
      <c r="A2716" t="s">
        <v>12479</v>
      </c>
      <c r="B2716" t="s">
        <v>12480</v>
      </c>
      <c r="D2716" t="s">
        <v>9473</v>
      </c>
      <c r="E2716" t="s">
        <v>9474</v>
      </c>
      <c r="H2716" t="s">
        <v>12481</v>
      </c>
      <c r="J2716" t="s">
        <v>133</v>
      </c>
      <c r="K2716" t="s">
        <v>134</v>
      </c>
      <c r="L2716">
        <v>6</v>
      </c>
      <c r="M2716" t="s">
        <v>12471</v>
      </c>
      <c r="N2716" t="s">
        <v>685</v>
      </c>
      <c r="O2716" t="s">
        <v>9477</v>
      </c>
      <c r="P2716" t="s">
        <v>9477</v>
      </c>
      <c r="Y2716" t="s">
        <v>12481</v>
      </c>
    </row>
    <row r="2717" spans="1:25">
      <c r="A2717" t="s">
        <v>12482</v>
      </c>
      <c r="B2717" t="s">
        <v>12483</v>
      </c>
      <c r="D2717" t="s">
        <v>9473</v>
      </c>
      <c r="E2717" t="s">
        <v>9474</v>
      </c>
      <c r="H2717" t="s">
        <v>12484</v>
      </c>
      <c r="J2717" t="s">
        <v>44</v>
      </c>
      <c r="K2717" t="s">
        <v>45</v>
      </c>
      <c r="L2717">
        <v>6</v>
      </c>
      <c r="M2717" t="s">
        <v>12485</v>
      </c>
      <c r="N2717" t="s">
        <v>47</v>
      </c>
      <c r="O2717" t="s">
        <v>9477</v>
      </c>
      <c r="P2717" t="s">
        <v>9477</v>
      </c>
      <c r="Y2717" t="s">
        <v>12484</v>
      </c>
    </row>
    <row r="2718" spans="1:25">
      <c r="A2718" t="s">
        <v>12486</v>
      </c>
      <c r="B2718" t="s">
        <v>12487</v>
      </c>
      <c r="D2718" t="s">
        <v>9473</v>
      </c>
      <c r="E2718" t="s">
        <v>9474</v>
      </c>
      <c r="H2718" t="s">
        <v>12488</v>
      </c>
      <c r="J2718" t="s">
        <v>90</v>
      </c>
      <c r="K2718" t="s">
        <v>91</v>
      </c>
      <c r="L2718">
        <v>6</v>
      </c>
      <c r="M2718" t="s">
        <v>12489</v>
      </c>
      <c r="N2718" t="s">
        <v>47</v>
      </c>
      <c r="O2718" t="s">
        <v>9477</v>
      </c>
      <c r="P2718" t="s">
        <v>9477</v>
      </c>
      <c r="Y2718" t="s">
        <v>12488</v>
      </c>
    </row>
    <row r="2719" spans="1:25">
      <c r="A2719" t="s">
        <v>12490</v>
      </c>
      <c r="B2719" t="s">
        <v>12491</v>
      </c>
      <c r="D2719" t="s">
        <v>9473</v>
      </c>
      <c r="E2719" t="s">
        <v>9474</v>
      </c>
      <c r="H2719" t="s">
        <v>12492</v>
      </c>
      <c r="J2719" t="s">
        <v>234</v>
      </c>
      <c r="K2719" t="s">
        <v>235</v>
      </c>
      <c r="L2719">
        <v>6</v>
      </c>
      <c r="M2719" t="s">
        <v>12493</v>
      </c>
      <c r="N2719" t="s">
        <v>47</v>
      </c>
      <c r="O2719" t="s">
        <v>9477</v>
      </c>
      <c r="P2719" t="s">
        <v>9477</v>
      </c>
      <c r="Y2719" t="s">
        <v>12492</v>
      </c>
    </row>
    <row r="2720" spans="1:25">
      <c r="A2720" t="s">
        <v>12494</v>
      </c>
      <c r="B2720" t="s">
        <v>12495</v>
      </c>
      <c r="D2720" t="s">
        <v>9473</v>
      </c>
      <c r="E2720" t="s">
        <v>9474</v>
      </c>
      <c r="H2720" t="s">
        <v>12496</v>
      </c>
      <c r="J2720" t="s">
        <v>78</v>
      </c>
      <c r="K2720" t="s">
        <v>79</v>
      </c>
      <c r="L2720">
        <v>6</v>
      </c>
      <c r="M2720" t="s">
        <v>12497</v>
      </c>
      <c r="N2720" t="s">
        <v>47</v>
      </c>
      <c r="O2720" t="s">
        <v>9477</v>
      </c>
      <c r="P2720" t="s">
        <v>9477</v>
      </c>
      <c r="Y2720" t="s">
        <v>12496</v>
      </c>
    </row>
    <row r="2721" spans="1:25">
      <c r="A2721" t="s">
        <v>12498</v>
      </c>
      <c r="B2721" t="s">
        <v>12499</v>
      </c>
      <c r="D2721" t="s">
        <v>9473</v>
      </c>
      <c r="E2721" t="s">
        <v>9474</v>
      </c>
      <c r="J2721" t="s">
        <v>78</v>
      </c>
      <c r="K2721" t="s">
        <v>79</v>
      </c>
      <c r="L2721">
        <v>6</v>
      </c>
      <c r="M2721" t="s">
        <v>12500</v>
      </c>
      <c r="N2721" t="s">
        <v>47</v>
      </c>
      <c r="O2721" t="s">
        <v>9477</v>
      </c>
      <c r="P2721" t="s">
        <v>9477</v>
      </c>
      <c r="Y2721" t="s">
        <v>12501</v>
      </c>
    </row>
    <row r="2722" spans="1:25">
      <c r="A2722" t="s">
        <v>12502</v>
      </c>
      <c r="B2722" t="s">
        <v>12503</v>
      </c>
      <c r="D2722" t="s">
        <v>9473</v>
      </c>
      <c r="E2722" t="s">
        <v>9474</v>
      </c>
      <c r="J2722" t="s">
        <v>353</v>
      </c>
      <c r="K2722" t="s">
        <v>354</v>
      </c>
      <c r="L2722">
        <v>6</v>
      </c>
      <c r="M2722" t="s">
        <v>12500</v>
      </c>
      <c r="N2722" t="s">
        <v>135</v>
      </c>
      <c r="O2722" t="s">
        <v>9477</v>
      </c>
      <c r="P2722" t="s">
        <v>9477</v>
      </c>
      <c r="Y2722" t="s">
        <v>12504</v>
      </c>
    </row>
    <row r="2723" spans="1:25">
      <c r="A2723" t="s">
        <v>12505</v>
      </c>
      <c r="B2723" t="s">
        <v>12506</v>
      </c>
      <c r="D2723" t="s">
        <v>9473</v>
      </c>
      <c r="E2723" t="s">
        <v>9474</v>
      </c>
      <c r="J2723" t="s">
        <v>90</v>
      </c>
      <c r="K2723" t="s">
        <v>91</v>
      </c>
      <c r="L2723">
        <v>6</v>
      </c>
      <c r="M2723" t="s">
        <v>12507</v>
      </c>
      <c r="N2723" t="s">
        <v>47</v>
      </c>
      <c r="O2723" t="s">
        <v>9477</v>
      </c>
      <c r="P2723" t="s">
        <v>9477</v>
      </c>
      <c r="Y2723" t="s">
        <v>12508</v>
      </c>
    </row>
    <row r="2724" spans="1:25">
      <c r="A2724" t="s">
        <v>12509</v>
      </c>
      <c r="B2724" t="s">
        <v>12510</v>
      </c>
      <c r="D2724" t="s">
        <v>9473</v>
      </c>
      <c r="E2724" t="s">
        <v>9474</v>
      </c>
      <c r="H2724" t="s">
        <v>12511</v>
      </c>
      <c r="J2724" t="s">
        <v>44</v>
      </c>
      <c r="K2724" t="s">
        <v>45</v>
      </c>
      <c r="L2724">
        <v>6</v>
      </c>
      <c r="M2724" t="s">
        <v>12507</v>
      </c>
      <c r="N2724" t="s">
        <v>47</v>
      </c>
      <c r="O2724" t="s">
        <v>9477</v>
      </c>
      <c r="P2724" t="s">
        <v>9477</v>
      </c>
      <c r="Y2724" t="s">
        <v>12511</v>
      </c>
    </row>
    <row r="2725" spans="1:25">
      <c r="A2725" t="s">
        <v>12512</v>
      </c>
      <c r="B2725" t="s">
        <v>12513</v>
      </c>
      <c r="D2725" t="s">
        <v>9473</v>
      </c>
      <c r="E2725" t="s">
        <v>9474</v>
      </c>
      <c r="J2725" t="s">
        <v>44</v>
      </c>
      <c r="K2725" t="s">
        <v>45</v>
      </c>
      <c r="L2725">
        <v>6</v>
      </c>
      <c r="M2725" t="s">
        <v>12514</v>
      </c>
      <c r="N2725" t="s">
        <v>47</v>
      </c>
      <c r="O2725" t="s">
        <v>9477</v>
      </c>
      <c r="P2725" t="s">
        <v>9477</v>
      </c>
      <c r="Y2725" t="s">
        <v>12515</v>
      </c>
    </row>
    <row r="2726" spans="1:25">
      <c r="A2726" t="s">
        <v>12516</v>
      </c>
      <c r="B2726" t="s">
        <v>12517</v>
      </c>
      <c r="D2726" t="s">
        <v>9473</v>
      </c>
      <c r="E2726" t="s">
        <v>9474</v>
      </c>
      <c r="J2726" t="s">
        <v>90</v>
      </c>
      <c r="K2726" t="s">
        <v>91</v>
      </c>
      <c r="L2726">
        <v>6</v>
      </c>
      <c r="M2726" t="s">
        <v>12518</v>
      </c>
      <c r="N2726" t="s">
        <v>47</v>
      </c>
      <c r="O2726" t="s">
        <v>9477</v>
      </c>
      <c r="P2726" t="s">
        <v>9477</v>
      </c>
      <c r="Y2726" t="s">
        <v>12519</v>
      </c>
    </row>
    <row r="2727" spans="1:25">
      <c r="A2727" t="s">
        <v>12520</v>
      </c>
      <c r="B2727" t="s">
        <v>12521</v>
      </c>
      <c r="D2727" t="s">
        <v>9473</v>
      </c>
      <c r="E2727" t="s">
        <v>9474</v>
      </c>
      <c r="J2727" t="s">
        <v>133</v>
      </c>
      <c r="K2727" t="s">
        <v>134</v>
      </c>
      <c r="L2727">
        <v>6</v>
      </c>
      <c r="M2727" t="s">
        <v>12518</v>
      </c>
      <c r="N2727" t="s">
        <v>290</v>
      </c>
      <c r="O2727" t="s">
        <v>9477</v>
      </c>
      <c r="P2727" t="s">
        <v>9477</v>
      </c>
      <c r="Y2727" t="s">
        <v>12522</v>
      </c>
    </row>
    <row r="2728" spans="1:25">
      <c r="A2728" t="s">
        <v>12523</v>
      </c>
      <c r="B2728" t="s">
        <v>12524</v>
      </c>
      <c r="D2728" t="s">
        <v>9473</v>
      </c>
      <c r="E2728" t="s">
        <v>9474</v>
      </c>
      <c r="H2728" t="s">
        <v>12525</v>
      </c>
      <c r="J2728" t="s">
        <v>90</v>
      </c>
      <c r="K2728" t="s">
        <v>91</v>
      </c>
      <c r="L2728">
        <v>6</v>
      </c>
      <c r="M2728" t="s">
        <v>12526</v>
      </c>
      <c r="N2728" t="s">
        <v>47</v>
      </c>
      <c r="O2728" t="s">
        <v>9477</v>
      </c>
      <c r="P2728" t="s">
        <v>9477</v>
      </c>
      <c r="Y2728" t="s">
        <v>12525</v>
      </c>
    </row>
    <row r="2729" spans="1:25">
      <c r="A2729" t="s">
        <v>12527</v>
      </c>
      <c r="B2729" t="s">
        <v>12528</v>
      </c>
      <c r="D2729" t="s">
        <v>9473</v>
      </c>
      <c r="E2729" t="s">
        <v>9474</v>
      </c>
      <c r="H2729" t="s">
        <v>12529</v>
      </c>
      <c r="J2729" t="s">
        <v>54</v>
      </c>
      <c r="K2729" t="s">
        <v>55</v>
      </c>
      <c r="L2729">
        <v>6</v>
      </c>
      <c r="M2729" t="s">
        <v>12526</v>
      </c>
      <c r="N2729" t="s">
        <v>47</v>
      </c>
      <c r="O2729" t="s">
        <v>9477</v>
      </c>
      <c r="P2729" t="s">
        <v>9477</v>
      </c>
      <c r="Y2729" t="s">
        <v>12529</v>
      </c>
    </row>
    <row r="2730" spans="1:25">
      <c r="A2730" t="s">
        <v>12530</v>
      </c>
      <c r="B2730" t="s">
        <v>12531</v>
      </c>
      <c r="D2730" t="s">
        <v>9473</v>
      </c>
      <c r="E2730" t="s">
        <v>9474</v>
      </c>
      <c r="H2730" t="s">
        <v>12532</v>
      </c>
      <c r="J2730" t="s">
        <v>90</v>
      </c>
      <c r="K2730" t="s">
        <v>91</v>
      </c>
      <c r="L2730">
        <v>6</v>
      </c>
      <c r="M2730" t="s">
        <v>12533</v>
      </c>
      <c r="N2730" t="s">
        <v>47</v>
      </c>
      <c r="O2730" t="s">
        <v>9477</v>
      </c>
      <c r="P2730" t="s">
        <v>9477</v>
      </c>
      <c r="Y2730" t="s">
        <v>12532</v>
      </c>
    </row>
    <row r="2731" spans="1:25">
      <c r="A2731" t="s">
        <v>12534</v>
      </c>
      <c r="B2731" t="s">
        <v>12535</v>
      </c>
      <c r="D2731" t="s">
        <v>9473</v>
      </c>
      <c r="E2731" t="s">
        <v>9474</v>
      </c>
      <c r="J2731" t="s">
        <v>44</v>
      </c>
      <c r="K2731" t="s">
        <v>45</v>
      </c>
      <c r="L2731">
        <v>6</v>
      </c>
      <c r="M2731" t="s">
        <v>12536</v>
      </c>
      <c r="N2731" t="s">
        <v>47</v>
      </c>
      <c r="O2731" t="s">
        <v>9477</v>
      </c>
      <c r="P2731" t="s">
        <v>9477</v>
      </c>
      <c r="Y2731" t="s">
        <v>12537</v>
      </c>
    </row>
    <row r="2732" spans="1:25">
      <c r="A2732" t="s">
        <v>12538</v>
      </c>
      <c r="B2732" t="s">
        <v>12539</v>
      </c>
      <c r="D2732" t="s">
        <v>9473</v>
      </c>
      <c r="E2732" t="s">
        <v>9474</v>
      </c>
      <c r="J2732" t="s">
        <v>90</v>
      </c>
      <c r="K2732" t="s">
        <v>91</v>
      </c>
      <c r="L2732">
        <v>6</v>
      </c>
      <c r="M2732" t="s">
        <v>12536</v>
      </c>
      <c r="N2732" t="s">
        <v>47</v>
      </c>
      <c r="O2732" t="s">
        <v>9477</v>
      </c>
      <c r="P2732" t="s">
        <v>9477</v>
      </c>
      <c r="Y2732" t="s">
        <v>12540</v>
      </c>
    </row>
    <row r="2733" spans="1:25">
      <c r="A2733" t="s">
        <v>12541</v>
      </c>
      <c r="B2733" t="s">
        <v>12542</v>
      </c>
      <c r="D2733" t="s">
        <v>9473</v>
      </c>
      <c r="E2733" t="s">
        <v>9474</v>
      </c>
      <c r="J2733" t="s">
        <v>90</v>
      </c>
      <c r="K2733" t="s">
        <v>91</v>
      </c>
      <c r="L2733">
        <v>6</v>
      </c>
      <c r="M2733" t="s">
        <v>12536</v>
      </c>
      <c r="N2733" t="s">
        <v>47</v>
      </c>
      <c r="O2733" t="s">
        <v>9477</v>
      </c>
      <c r="P2733" t="s">
        <v>9477</v>
      </c>
      <c r="Y2733" t="s">
        <v>12543</v>
      </c>
    </row>
    <row r="2734" spans="1:25">
      <c r="A2734" t="s">
        <v>12544</v>
      </c>
      <c r="B2734" t="s">
        <v>12545</v>
      </c>
      <c r="D2734" t="s">
        <v>9473</v>
      </c>
      <c r="E2734" t="s">
        <v>9474</v>
      </c>
      <c r="J2734" t="s">
        <v>90</v>
      </c>
      <c r="K2734" t="s">
        <v>91</v>
      </c>
      <c r="L2734">
        <v>6</v>
      </c>
      <c r="M2734" t="s">
        <v>12546</v>
      </c>
      <c r="N2734" t="s">
        <v>47</v>
      </c>
      <c r="O2734" t="s">
        <v>9477</v>
      </c>
      <c r="P2734" t="s">
        <v>9477</v>
      </c>
      <c r="Y2734" t="s">
        <v>12547</v>
      </c>
    </row>
    <row r="2735" spans="1:25">
      <c r="A2735" t="s">
        <v>12548</v>
      </c>
      <c r="B2735" t="s">
        <v>12549</v>
      </c>
      <c r="D2735" t="s">
        <v>9473</v>
      </c>
      <c r="E2735" t="s">
        <v>9474</v>
      </c>
      <c r="H2735" t="s">
        <v>12550</v>
      </c>
      <c r="J2735" t="s">
        <v>133</v>
      </c>
      <c r="K2735" t="s">
        <v>134</v>
      </c>
      <c r="L2735">
        <v>6</v>
      </c>
      <c r="M2735" t="s">
        <v>12546</v>
      </c>
      <c r="N2735" t="s">
        <v>685</v>
      </c>
      <c r="O2735" t="s">
        <v>9477</v>
      </c>
      <c r="P2735" t="s">
        <v>9477</v>
      </c>
      <c r="Y2735" t="s">
        <v>12550</v>
      </c>
    </row>
    <row r="2736" spans="1:25">
      <c r="A2736" t="s">
        <v>12551</v>
      </c>
      <c r="B2736" t="s">
        <v>12552</v>
      </c>
      <c r="D2736" t="s">
        <v>9473</v>
      </c>
      <c r="E2736" t="s">
        <v>9474</v>
      </c>
      <c r="J2736" t="s">
        <v>44</v>
      </c>
      <c r="K2736" t="s">
        <v>45</v>
      </c>
      <c r="L2736">
        <v>6</v>
      </c>
      <c r="M2736" t="s">
        <v>12553</v>
      </c>
      <c r="N2736" t="s">
        <v>47</v>
      </c>
      <c r="O2736" t="s">
        <v>9477</v>
      </c>
      <c r="P2736" t="s">
        <v>9477</v>
      </c>
      <c r="Y2736" t="s">
        <v>12554</v>
      </c>
    </row>
    <row r="2737" spans="1:25">
      <c r="A2737" t="s">
        <v>12555</v>
      </c>
      <c r="B2737" t="s">
        <v>12556</v>
      </c>
      <c r="D2737" t="s">
        <v>9473</v>
      </c>
      <c r="E2737" t="s">
        <v>9474</v>
      </c>
      <c r="J2737" t="s">
        <v>44</v>
      </c>
      <c r="K2737" t="s">
        <v>45</v>
      </c>
      <c r="L2737">
        <v>6</v>
      </c>
      <c r="M2737" t="s">
        <v>12557</v>
      </c>
      <c r="N2737" t="s">
        <v>47</v>
      </c>
      <c r="O2737" t="s">
        <v>9477</v>
      </c>
      <c r="P2737" t="s">
        <v>9477</v>
      </c>
      <c r="Y2737" t="s">
        <v>12558</v>
      </c>
    </row>
    <row r="2738" spans="1:25">
      <c r="A2738" t="s">
        <v>12559</v>
      </c>
      <c r="B2738" t="s">
        <v>12560</v>
      </c>
      <c r="D2738" t="s">
        <v>9473</v>
      </c>
      <c r="E2738" t="s">
        <v>9474</v>
      </c>
      <c r="J2738" t="s">
        <v>78</v>
      </c>
      <c r="K2738" t="s">
        <v>79</v>
      </c>
      <c r="L2738">
        <v>6</v>
      </c>
      <c r="M2738" t="s">
        <v>12557</v>
      </c>
      <c r="N2738" t="s">
        <v>47</v>
      </c>
      <c r="O2738" t="s">
        <v>9477</v>
      </c>
      <c r="P2738" t="s">
        <v>9477</v>
      </c>
      <c r="Y2738" t="s">
        <v>12561</v>
      </c>
    </row>
    <row r="2739" spans="1:25">
      <c r="A2739" t="s">
        <v>12562</v>
      </c>
      <c r="B2739" t="s">
        <v>12563</v>
      </c>
      <c r="D2739" t="s">
        <v>9473</v>
      </c>
      <c r="E2739" t="s">
        <v>9474</v>
      </c>
      <c r="H2739" t="s">
        <v>12564</v>
      </c>
      <c r="J2739" t="s">
        <v>90</v>
      </c>
      <c r="K2739" t="s">
        <v>91</v>
      </c>
      <c r="L2739">
        <v>6</v>
      </c>
      <c r="M2739" t="s">
        <v>12565</v>
      </c>
      <c r="N2739" t="s">
        <v>47</v>
      </c>
      <c r="O2739" t="s">
        <v>9477</v>
      </c>
      <c r="P2739" t="s">
        <v>9477</v>
      </c>
      <c r="Y2739" t="s">
        <v>12564</v>
      </c>
    </row>
    <row r="2740" spans="1:25">
      <c r="A2740" t="s">
        <v>12566</v>
      </c>
      <c r="B2740" t="s">
        <v>12567</v>
      </c>
      <c r="D2740" t="s">
        <v>9473</v>
      </c>
      <c r="E2740" t="s">
        <v>9474</v>
      </c>
      <c r="H2740" t="s">
        <v>12568</v>
      </c>
      <c r="J2740" t="s">
        <v>44</v>
      </c>
      <c r="K2740" t="s">
        <v>45</v>
      </c>
      <c r="L2740">
        <v>6</v>
      </c>
      <c r="M2740" t="s">
        <v>12565</v>
      </c>
      <c r="N2740" t="s">
        <v>47</v>
      </c>
      <c r="O2740" t="s">
        <v>9477</v>
      </c>
      <c r="P2740" t="s">
        <v>9477</v>
      </c>
      <c r="Y2740" t="s">
        <v>12568</v>
      </c>
    </row>
    <row r="2741" spans="1:25">
      <c r="A2741" t="s">
        <v>12569</v>
      </c>
      <c r="B2741" t="s">
        <v>12570</v>
      </c>
      <c r="D2741" t="s">
        <v>9473</v>
      </c>
      <c r="E2741" t="s">
        <v>9474</v>
      </c>
      <c r="J2741" t="s">
        <v>44</v>
      </c>
      <c r="K2741" t="s">
        <v>45</v>
      </c>
      <c r="L2741">
        <v>6</v>
      </c>
      <c r="M2741" t="s">
        <v>12565</v>
      </c>
      <c r="N2741" t="s">
        <v>47</v>
      </c>
      <c r="O2741" t="s">
        <v>9477</v>
      </c>
      <c r="P2741" t="s">
        <v>9477</v>
      </c>
      <c r="Y2741" t="s">
        <v>12571</v>
      </c>
    </row>
    <row r="2742" spans="1:25">
      <c r="A2742" t="s">
        <v>12572</v>
      </c>
      <c r="B2742" t="s">
        <v>12573</v>
      </c>
      <c r="D2742" t="s">
        <v>9473</v>
      </c>
      <c r="E2742" t="s">
        <v>9474</v>
      </c>
      <c r="J2742" t="s">
        <v>44</v>
      </c>
      <c r="K2742" t="s">
        <v>45</v>
      </c>
      <c r="L2742">
        <v>6</v>
      </c>
      <c r="M2742" t="s">
        <v>12574</v>
      </c>
      <c r="N2742" t="s">
        <v>47</v>
      </c>
      <c r="O2742" t="s">
        <v>9477</v>
      </c>
      <c r="P2742" t="s">
        <v>9477</v>
      </c>
      <c r="Y2742" t="s">
        <v>12575</v>
      </c>
    </row>
    <row r="2743" spans="1:25">
      <c r="A2743" t="s">
        <v>12576</v>
      </c>
      <c r="B2743" t="s">
        <v>12577</v>
      </c>
      <c r="D2743" t="s">
        <v>9473</v>
      </c>
      <c r="E2743" t="s">
        <v>9474</v>
      </c>
      <c r="J2743" t="s">
        <v>133</v>
      </c>
      <c r="K2743" t="s">
        <v>134</v>
      </c>
      <c r="L2743">
        <v>6</v>
      </c>
      <c r="M2743" t="s">
        <v>12578</v>
      </c>
      <c r="N2743" t="s">
        <v>135</v>
      </c>
      <c r="O2743" t="s">
        <v>9477</v>
      </c>
      <c r="P2743" t="s">
        <v>9477</v>
      </c>
      <c r="Y2743" t="s">
        <v>12579</v>
      </c>
    </row>
    <row r="2744" spans="1:25">
      <c r="A2744" t="s">
        <v>12580</v>
      </c>
      <c r="B2744" t="s">
        <v>12581</v>
      </c>
      <c r="D2744" t="s">
        <v>9473</v>
      </c>
      <c r="E2744" t="s">
        <v>9474</v>
      </c>
      <c r="J2744" t="s">
        <v>54</v>
      </c>
      <c r="K2744" t="s">
        <v>55</v>
      </c>
      <c r="L2744">
        <v>6</v>
      </c>
      <c r="M2744" t="s">
        <v>12582</v>
      </c>
      <c r="N2744" t="s">
        <v>47</v>
      </c>
      <c r="O2744" t="s">
        <v>9477</v>
      </c>
      <c r="P2744" t="s">
        <v>9477</v>
      </c>
      <c r="Y2744" t="s">
        <v>12583</v>
      </c>
    </row>
    <row r="2745" spans="1:25">
      <c r="A2745" t="s">
        <v>12584</v>
      </c>
      <c r="B2745" t="s">
        <v>12585</v>
      </c>
      <c r="D2745" t="s">
        <v>9473</v>
      </c>
      <c r="E2745" t="s">
        <v>9474</v>
      </c>
      <c r="H2745" t="s">
        <v>12586</v>
      </c>
      <c r="J2745" t="s">
        <v>44</v>
      </c>
      <c r="K2745" t="s">
        <v>45</v>
      </c>
      <c r="L2745">
        <v>6</v>
      </c>
      <c r="M2745" t="s">
        <v>12582</v>
      </c>
      <c r="N2745" t="s">
        <v>47</v>
      </c>
      <c r="O2745" t="s">
        <v>9477</v>
      </c>
      <c r="P2745" t="s">
        <v>9477</v>
      </c>
      <c r="Y2745" t="s">
        <v>12586</v>
      </c>
    </row>
    <row r="2746" spans="1:25">
      <c r="A2746" t="s">
        <v>12587</v>
      </c>
      <c r="B2746" t="s">
        <v>12588</v>
      </c>
      <c r="D2746" t="s">
        <v>9473</v>
      </c>
      <c r="E2746" t="s">
        <v>9474</v>
      </c>
      <c r="J2746" t="s">
        <v>44</v>
      </c>
      <c r="K2746" t="s">
        <v>45</v>
      </c>
      <c r="L2746">
        <v>6</v>
      </c>
      <c r="M2746" t="s">
        <v>12589</v>
      </c>
      <c r="N2746" t="s">
        <v>47</v>
      </c>
      <c r="O2746" t="s">
        <v>9477</v>
      </c>
      <c r="P2746" t="s">
        <v>9477</v>
      </c>
      <c r="Y2746" t="s">
        <v>12590</v>
      </c>
    </row>
    <row r="2747" spans="1:25">
      <c r="A2747" t="s">
        <v>12591</v>
      </c>
      <c r="B2747" t="s">
        <v>12592</v>
      </c>
      <c r="D2747" t="s">
        <v>9473</v>
      </c>
      <c r="E2747" t="s">
        <v>9474</v>
      </c>
      <c r="J2747" t="s">
        <v>44</v>
      </c>
      <c r="K2747" t="s">
        <v>45</v>
      </c>
      <c r="L2747">
        <v>6</v>
      </c>
      <c r="M2747" t="s">
        <v>12593</v>
      </c>
      <c r="N2747" t="s">
        <v>47</v>
      </c>
      <c r="O2747" t="s">
        <v>9477</v>
      </c>
      <c r="P2747" t="s">
        <v>9477</v>
      </c>
      <c r="Y2747" t="s">
        <v>12594</v>
      </c>
    </row>
    <row r="2748" spans="1:25">
      <c r="A2748" t="s">
        <v>12595</v>
      </c>
      <c r="B2748" t="s">
        <v>12596</v>
      </c>
      <c r="D2748" t="s">
        <v>9473</v>
      </c>
      <c r="E2748" t="s">
        <v>9474</v>
      </c>
      <c r="H2748" t="s">
        <v>12597</v>
      </c>
      <c r="J2748" t="s">
        <v>90</v>
      </c>
      <c r="K2748" t="s">
        <v>91</v>
      </c>
      <c r="L2748">
        <v>6</v>
      </c>
      <c r="M2748" t="s">
        <v>12598</v>
      </c>
      <c r="N2748" t="s">
        <v>47</v>
      </c>
      <c r="O2748" t="s">
        <v>9477</v>
      </c>
      <c r="P2748" t="s">
        <v>9477</v>
      </c>
      <c r="Y2748" t="s">
        <v>12597</v>
      </c>
    </row>
    <row r="2749" spans="1:25">
      <c r="A2749" t="s">
        <v>12599</v>
      </c>
      <c r="B2749" t="s">
        <v>12600</v>
      </c>
      <c r="D2749" t="s">
        <v>9473</v>
      </c>
      <c r="E2749" t="s">
        <v>9474</v>
      </c>
      <c r="J2749" t="s">
        <v>44</v>
      </c>
      <c r="K2749" t="s">
        <v>45</v>
      </c>
      <c r="L2749">
        <v>6</v>
      </c>
      <c r="M2749" t="s">
        <v>12601</v>
      </c>
      <c r="N2749" t="s">
        <v>47</v>
      </c>
      <c r="O2749" t="s">
        <v>9477</v>
      </c>
      <c r="P2749" t="s">
        <v>9477</v>
      </c>
      <c r="Y2749" t="s">
        <v>12602</v>
      </c>
    </row>
    <row r="2750" spans="1:25">
      <c r="A2750" t="s">
        <v>12603</v>
      </c>
      <c r="B2750" t="s">
        <v>12604</v>
      </c>
      <c r="D2750" t="s">
        <v>9473</v>
      </c>
      <c r="E2750" t="s">
        <v>9474</v>
      </c>
      <c r="H2750" t="s">
        <v>12605</v>
      </c>
      <c r="J2750" t="s">
        <v>234</v>
      </c>
      <c r="K2750" t="s">
        <v>235</v>
      </c>
      <c r="L2750">
        <v>6</v>
      </c>
      <c r="M2750" t="s">
        <v>12606</v>
      </c>
      <c r="N2750" t="s">
        <v>47</v>
      </c>
      <c r="O2750" t="s">
        <v>9477</v>
      </c>
      <c r="P2750" t="s">
        <v>9477</v>
      </c>
      <c r="Y2750" t="s">
        <v>12605</v>
      </c>
    </row>
    <row r="2751" spans="1:25">
      <c r="A2751" t="s">
        <v>12607</v>
      </c>
      <c r="B2751" t="s">
        <v>12608</v>
      </c>
      <c r="D2751" t="s">
        <v>9473</v>
      </c>
      <c r="E2751" t="s">
        <v>9474</v>
      </c>
      <c r="H2751" t="s">
        <v>12609</v>
      </c>
      <c r="J2751" t="s">
        <v>9282</v>
      </c>
      <c r="K2751" t="s">
        <v>9283</v>
      </c>
      <c r="L2751">
        <v>6</v>
      </c>
      <c r="M2751" t="s">
        <v>12610</v>
      </c>
      <c r="N2751" t="s">
        <v>685</v>
      </c>
      <c r="O2751" t="s">
        <v>9477</v>
      </c>
      <c r="P2751" t="s">
        <v>9477</v>
      </c>
      <c r="Y2751" t="s">
        <v>12609</v>
      </c>
    </row>
    <row r="2752" spans="1:25">
      <c r="A2752" t="s">
        <v>12611</v>
      </c>
      <c r="B2752" t="s">
        <v>12612</v>
      </c>
      <c r="D2752" t="s">
        <v>9473</v>
      </c>
      <c r="E2752" t="s">
        <v>9474</v>
      </c>
      <c r="J2752" t="s">
        <v>90</v>
      </c>
      <c r="K2752" t="s">
        <v>91</v>
      </c>
      <c r="L2752">
        <v>6</v>
      </c>
      <c r="M2752" t="s">
        <v>12613</v>
      </c>
      <c r="N2752" t="s">
        <v>47</v>
      </c>
      <c r="O2752" t="s">
        <v>9477</v>
      </c>
      <c r="P2752" t="s">
        <v>9477</v>
      </c>
      <c r="Y2752" t="s">
        <v>12614</v>
      </c>
    </row>
    <row r="2753" spans="1:25">
      <c r="A2753" t="s">
        <v>12615</v>
      </c>
      <c r="B2753" t="s">
        <v>12616</v>
      </c>
      <c r="D2753" t="s">
        <v>9473</v>
      </c>
      <c r="E2753" t="s">
        <v>9474</v>
      </c>
      <c r="J2753" t="s">
        <v>765</v>
      </c>
      <c r="K2753" t="s">
        <v>766</v>
      </c>
      <c r="L2753">
        <v>6</v>
      </c>
      <c r="M2753" t="s">
        <v>12617</v>
      </c>
      <c r="N2753" t="s">
        <v>290</v>
      </c>
      <c r="O2753" t="s">
        <v>9477</v>
      </c>
      <c r="P2753" t="s">
        <v>9477</v>
      </c>
      <c r="Y2753" t="s">
        <v>12618</v>
      </c>
    </row>
    <row r="2754" spans="1:25">
      <c r="A2754" t="s">
        <v>12619</v>
      </c>
      <c r="B2754" t="s">
        <v>12620</v>
      </c>
      <c r="D2754" t="s">
        <v>9473</v>
      </c>
      <c r="E2754" t="s">
        <v>9474</v>
      </c>
      <c r="J2754" t="s">
        <v>90</v>
      </c>
      <c r="K2754" t="s">
        <v>91</v>
      </c>
      <c r="L2754">
        <v>6</v>
      </c>
      <c r="M2754" t="s">
        <v>12621</v>
      </c>
      <c r="N2754" t="s">
        <v>47</v>
      </c>
      <c r="O2754" t="s">
        <v>9477</v>
      </c>
      <c r="P2754" t="s">
        <v>9477</v>
      </c>
      <c r="Y2754" t="s">
        <v>12622</v>
      </c>
    </row>
    <row r="2755" spans="1:25">
      <c r="A2755" t="s">
        <v>12623</v>
      </c>
      <c r="B2755" t="s">
        <v>12624</v>
      </c>
      <c r="D2755" t="s">
        <v>9473</v>
      </c>
      <c r="E2755" t="s">
        <v>9474</v>
      </c>
      <c r="J2755" t="s">
        <v>54</v>
      </c>
      <c r="K2755" t="s">
        <v>55</v>
      </c>
      <c r="L2755">
        <v>6</v>
      </c>
      <c r="M2755" t="s">
        <v>12621</v>
      </c>
      <c r="N2755" t="s">
        <v>47</v>
      </c>
      <c r="O2755" t="s">
        <v>9477</v>
      </c>
      <c r="P2755" t="s">
        <v>9477</v>
      </c>
      <c r="Y2755" t="s">
        <v>12625</v>
      </c>
    </row>
    <row r="2756" spans="1:25">
      <c r="A2756" t="s">
        <v>12626</v>
      </c>
      <c r="B2756" t="s">
        <v>12627</v>
      </c>
      <c r="D2756" t="s">
        <v>9473</v>
      </c>
      <c r="E2756" t="s">
        <v>9474</v>
      </c>
      <c r="H2756" t="s">
        <v>12628</v>
      </c>
      <c r="J2756" t="s">
        <v>54</v>
      </c>
      <c r="K2756" t="s">
        <v>55</v>
      </c>
      <c r="L2756">
        <v>6</v>
      </c>
      <c r="M2756" t="s">
        <v>12629</v>
      </c>
      <c r="N2756" t="s">
        <v>47</v>
      </c>
      <c r="O2756" t="s">
        <v>9477</v>
      </c>
      <c r="P2756" t="s">
        <v>9477</v>
      </c>
      <c r="Y2756" t="s">
        <v>12628</v>
      </c>
    </row>
    <row r="2757" spans="1:25">
      <c r="A2757" t="s">
        <v>12630</v>
      </c>
      <c r="B2757" t="s">
        <v>12631</v>
      </c>
      <c r="D2757" t="s">
        <v>9473</v>
      </c>
      <c r="E2757" t="s">
        <v>9474</v>
      </c>
      <c r="J2757" t="s">
        <v>44</v>
      </c>
      <c r="K2757" t="s">
        <v>45</v>
      </c>
      <c r="L2757">
        <v>6</v>
      </c>
      <c r="M2757" t="s">
        <v>12632</v>
      </c>
      <c r="N2757" t="s">
        <v>47</v>
      </c>
      <c r="O2757" t="s">
        <v>9477</v>
      </c>
      <c r="P2757" t="s">
        <v>9477</v>
      </c>
      <c r="Y2757" t="s">
        <v>12633</v>
      </c>
    </row>
    <row r="2758" spans="1:25">
      <c r="A2758" t="s">
        <v>12634</v>
      </c>
      <c r="B2758" t="s">
        <v>12635</v>
      </c>
      <c r="D2758" t="s">
        <v>9473</v>
      </c>
      <c r="E2758" t="s">
        <v>9474</v>
      </c>
      <c r="J2758" t="s">
        <v>90</v>
      </c>
      <c r="K2758" t="s">
        <v>91</v>
      </c>
      <c r="L2758">
        <v>6</v>
      </c>
      <c r="M2758" t="s">
        <v>12636</v>
      </c>
      <c r="N2758" t="s">
        <v>47</v>
      </c>
      <c r="O2758" t="s">
        <v>9477</v>
      </c>
      <c r="P2758" t="s">
        <v>9477</v>
      </c>
      <c r="Y2758" t="s">
        <v>12637</v>
      </c>
    </row>
    <row r="2759" spans="1:25">
      <c r="A2759" t="s">
        <v>12638</v>
      </c>
      <c r="B2759" t="s">
        <v>12639</v>
      </c>
      <c r="D2759" t="s">
        <v>9473</v>
      </c>
      <c r="E2759" t="s">
        <v>9474</v>
      </c>
      <c r="J2759" t="s">
        <v>44</v>
      </c>
      <c r="K2759" t="s">
        <v>45</v>
      </c>
      <c r="L2759">
        <v>6</v>
      </c>
      <c r="M2759" t="s">
        <v>12636</v>
      </c>
      <c r="N2759" t="s">
        <v>47</v>
      </c>
      <c r="O2759" t="s">
        <v>9477</v>
      </c>
      <c r="P2759" t="s">
        <v>9477</v>
      </c>
      <c r="Y2759" t="s">
        <v>12640</v>
      </c>
    </row>
    <row r="2760" spans="1:25">
      <c r="A2760" t="s">
        <v>12641</v>
      </c>
      <c r="B2760" t="s">
        <v>12642</v>
      </c>
      <c r="D2760" t="s">
        <v>9473</v>
      </c>
      <c r="E2760" t="s">
        <v>9474</v>
      </c>
      <c r="J2760" t="s">
        <v>133</v>
      </c>
      <c r="K2760" t="s">
        <v>134</v>
      </c>
      <c r="L2760">
        <v>6</v>
      </c>
      <c r="M2760" t="s">
        <v>12643</v>
      </c>
      <c r="N2760" t="s">
        <v>135</v>
      </c>
      <c r="O2760" t="s">
        <v>9477</v>
      </c>
      <c r="P2760" t="s">
        <v>9477</v>
      </c>
      <c r="Y2760" t="s">
        <v>12644</v>
      </c>
    </row>
    <row r="2761" spans="1:25">
      <c r="A2761" t="s">
        <v>12645</v>
      </c>
      <c r="B2761" t="s">
        <v>12646</v>
      </c>
      <c r="D2761" t="s">
        <v>9473</v>
      </c>
      <c r="E2761" t="s">
        <v>9474</v>
      </c>
      <c r="J2761" t="s">
        <v>54</v>
      </c>
      <c r="K2761" t="s">
        <v>55</v>
      </c>
      <c r="L2761">
        <v>6</v>
      </c>
      <c r="M2761" t="s">
        <v>12647</v>
      </c>
      <c r="N2761" t="s">
        <v>47</v>
      </c>
      <c r="O2761" t="s">
        <v>9477</v>
      </c>
      <c r="P2761" t="s">
        <v>9477</v>
      </c>
      <c r="Y2761" t="s">
        <v>12648</v>
      </c>
    </row>
    <row r="2762" spans="1:25">
      <c r="A2762" t="s">
        <v>12649</v>
      </c>
      <c r="B2762" t="s">
        <v>12650</v>
      </c>
      <c r="D2762" t="s">
        <v>9473</v>
      </c>
      <c r="E2762" t="s">
        <v>9474</v>
      </c>
      <c r="H2762" t="s">
        <v>12651</v>
      </c>
      <c r="J2762" t="s">
        <v>78</v>
      </c>
      <c r="K2762" t="s">
        <v>79</v>
      </c>
      <c r="L2762">
        <v>6</v>
      </c>
      <c r="M2762" t="s">
        <v>12652</v>
      </c>
      <c r="N2762" t="s">
        <v>47</v>
      </c>
      <c r="O2762" t="s">
        <v>9477</v>
      </c>
      <c r="P2762" t="s">
        <v>9477</v>
      </c>
      <c r="Y2762" t="s">
        <v>12651</v>
      </c>
    </row>
    <row r="2763" spans="1:25">
      <c r="A2763" t="s">
        <v>12653</v>
      </c>
      <c r="B2763" t="s">
        <v>12654</v>
      </c>
      <c r="D2763" t="s">
        <v>9473</v>
      </c>
      <c r="E2763" t="s">
        <v>9474</v>
      </c>
      <c r="H2763" t="s">
        <v>12655</v>
      </c>
      <c r="J2763" t="s">
        <v>44</v>
      </c>
      <c r="K2763" t="s">
        <v>45</v>
      </c>
      <c r="L2763">
        <v>6</v>
      </c>
      <c r="M2763" t="s">
        <v>12652</v>
      </c>
      <c r="N2763" t="s">
        <v>47</v>
      </c>
      <c r="O2763" t="s">
        <v>9477</v>
      </c>
      <c r="P2763" t="s">
        <v>9477</v>
      </c>
      <c r="Y2763" t="s">
        <v>12655</v>
      </c>
    </row>
    <row r="2764" spans="1:25">
      <c r="A2764" t="s">
        <v>12656</v>
      </c>
      <c r="B2764" t="s">
        <v>12657</v>
      </c>
      <c r="D2764" t="s">
        <v>9473</v>
      </c>
      <c r="E2764" t="s">
        <v>9474</v>
      </c>
      <c r="J2764" t="s">
        <v>541</v>
      </c>
      <c r="K2764" t="s">
        <v>542</v>
      </c>
      <c r="L2764">
        <v>6</v>
      </c>
      <c r="M2764" t="s">
        <v>12658</v>
      </c>
      <c r="N2764" t="s">
        <v>290</v>
      </c>
      <c r="O2764" t="s">
        <v>9477</v>
      </c>
      <c r="P2764" t="s">
        <v>9477</v>
      </c>
      <c r="Y2764" t="s">
        <v>12659</v>
      </c>
    </row>
    <row r="2765" spans="1:25">
      <c r="A2765" t="s">
        <v>12660</v>
      </c>
      <c r="B2765" t="s">
        <v>12661</v>
      </c>
      <c r="D2765" t="s">
        <v>9473</v>
      </c>
      <c r="E2765" t="s">
        <v>9474</v>
      </c>
      <c r="H2765" t="s">
        <v>12662</v>
      </c>
      <c r="J2765" t="s">
        <v>90</v>
      </c>
      <c r="K2765" t="s">
        <v>91</v>
      </c>
      <c r="L2765">
        <v>6</v>
      </c>
      <c r="M2765" t="s">
        <v>12658</v>
      </c>
      <c r="N2765" t="s">
        <v>47</v>
      </c>
      <c r="O2765" t="s">
        <v>9477</v>
      </c>
      <c r="P2765" t="s">
        <v>9477</v>
      </c>
      <c r="Y2765" t="s">
        <v>12662</v>
      </c>
    </row>
    <row r="2766" spans="1:25">
      <c r="A2766" t="s">
        <v>12663</v>
      </c>
      <c r="B2766" t="s">
        <v>12664</v>
      </c>
      <c r="D2766" t="s">
        <v>9473</v>
      </c>
      <c r="E2766" t="s">
        <v>9474</v>
      </c>
      <c r="H2766" t="s">
        <v>12665</v>
      </c>
      <c r="J2766" t="s">
        <v>90</v>
      </c>
      <c r="K2766" t="s">
        <v>91</v>
      </c>
      <c r="L2766">
        <v>6</v>
      </c>
      <c r="M2766" t="s">
        <v>12666</v>
      </c>
      <c r="N2766" t="s">
        <v>47</v>
      </c>
      <c r="O2766" t="s">
        <v>9477</v>
      </c>
      <c r="P2766" t="s">
        <v>9477</v>
      </c>
      <c r="Y2766" t="s">
        <v>12665</v>
      </c>
    </row>
    <row r="2767" spans="1:25">
      <c r="A2767" t="s">
        <v>12667</v>
      </c>
      <c r="B2767" t="s">
        <v>12668</v>
      </c>
      <c r="D2767" t="s">
        <v>9473</v>
      </c>
      <c r="E2767" t="s">
        <v>9474</v>
      </c>
      <c r="J2767" t="s">
        <v>44</v>
      </c>
      <c r="K2767" t="s">
        <v>45</v>
      </c>
      <c r="L2767">
        <v>6</v>
      </c>
      <c r="M2767" t="s">
        <v>12669</v>
      </c>
      <c r="N2767" t="s">
        <v>47</v>
      </c>
      <c r="O2767" t="s">
        <v>9477</v>
      </c>
      <c r="P2767" t="s">
        <v>9477</v>
      </c>
      <c r="Y2767" t="s">
        <v>12670</v>
      </c>
    </row>
    <row r="2768" spans="1:25">
      <c r="A2768" t="s">
        <v>12671</v>
      </c>
      <c r="B2768" t="s">
        <v>12672</v>
      </c>
      <c r="D2768" t="s">
        <v>9473</v>
      </c>
      <c r="E2768" t="s">
        <v>9474</v>
      </c>
      <c r="H2768" t="s">
        <v>12673</v>
      </c>
      <c r="J2768" t="s">
        <v>44</v>
      </c>
      <c r="K2768" t="s">
        <v>45</v>
      </c>
      <c r="L2768">
        <v>6</v>
      </c>
      <c r="M2768" t="s">
        <v>12674</v>
      </c>
      <c r="N2768" t="s">
        <v>47</v>
      </c>
      <c r="O2768" t="s">
        <v>9477</v>
      </c>
      <c r="P2768" t="s">
        <v>9477</v>
      </c>
      <c r="Y2768" t="s">
        <v>12673</v>
      </c>
    </row>
    <row r="2769" spans="1:25">
      <c r="A2769" t="s">
        <v>12675</v>
      </c>
      <c r="B2769" t="s">
        <v>12676</v>
      </c>
      <c r="D2769" t="s">
        <v>9473</v>
      </c>
      <c r="E2769" t="s">
        <v>9474</v>
      </c>
      <c r="H2769" t="s">
        <v>12677</v>
      </c>
      <c r="J2769" t="s">
        <v>44</v>
      </c>
      <c r="K2769" t="s">
        <v>45</v>
      </c>
      <c r="L2769">
        <v>6</v>
      </c>
      <c r="M2769" t="s">
        <v>12678</v>
      </c>
      <c r="N2769" t="s">
        <v>47</v>
      </c>
      <c r="O2769" t="s">
        <v>9477</v>
      </c>
      <c r="P2769" t="s">
        <v>9477</v>
      </c>
      <c r="Y2769" t="s">
        <v>12677</v>
      </c>
    </row>
    <row r="2770" spans="1:25">
      <c r="A2770" t="s">
        <v>12679</v>
      </c>
      <c r="B2770" t="s">
        <v>12680</v>
      </c>
      <c r="D2770" t="s">
        <v>9473</v>
      </c>
      <c r="E2770" t="s">
        <v>9474</v>
      </c>
      <c r="J2770" t="s">
        <v>90</v>
      </c>
      <c r="K2770" t="s">
        <v>91</v>
      </c>
      <c r="L2770">
        <v>6</v>
      </c>
      <c r="M2770" t="s">
        <v>12678</v>
      </c>
      <c r="N2770" t="s">
        <v>47</v>
      </c>
      <c r="O2770" t="s">
        <v>9477</v>
      </c>
      <c r="P2770" t="s">
        <v>9477</v>
      </c>
      <c r="Y2770" t="s">
        <v>12681</v>
      </c>
    </row>
    <row r="2771" spans="1:25">
      <c r="A2771" t="s">
        <v>12682</v>
      </c>
      <c r="B2771" t="s">
        <v>12683</v>
      </c>
      <c r="D2771" t="s">
        <v>9473</v>
      </c>
      <c r="E2771" t="s">
        <v>9474</v>
      </c>
      <c r="J2771" t="s">
        <v>353</v>
      </c>
      <c r="K2771" t="s">
        <v>354</v>
      </c>
      <c r="L2771">
        <v>6</v>
      </c>
      <c r="M2771" t="s">
        <v>12684</v>
      </c>
      <c r="N2771" t="s">
        <v>135</v>
      </c>
      <c r="O2771" t="s">
        <v>9477</v>
      </c>
      <c r="P2771" t="s">
        <v>9477</v>
      </c>
      <c r="Y2771" t="s">
        <v>12685</v>
      </c>
    </row>
    <row r="2772" spans="1:25">
      <c r="A2772" t="s">
        <v>12686</v>
      </c>
      <c r="B2772" t="s">
        <v>12687</v>
      </c>
      <c r="D2772" t="s">
        <v>9473</v>
      </c>
      <c r="E2772" t="s">
        <v>9474</v>
      </c>
      <c r="J2772" t="s">
        <v>54</v>
      </c>
      <c r="K2772" t="s">
        <v>55</v>
      </c>
      <c r="L2772">
        <v>6</v>
      </c>
      <c r="M2772" t="s">
        <v>12684</v>
      </c>
      <c r="N2772" t="s">
        <v>47</v>
      </c>
      <c r="O2772" t="s">
        <v>9477</v>
      </c>
      <c r="P2772" t="s">
        <v>9477</v>
      </c>
      <c r="Y2772" t="s">
        <v>12688</v>
      </c>
    </row>
    <row r="2773" spans="1:25">
      <c r="A2773" t="s">
        <v>12689</v>
      </c>
      <c r="B2773" t="s">
        <v>12690</v>
      </c>
      <c r="D2773" t="s">
        <v>9473</v>
      </c>
      <c r="E2773" t="s">
        <v>9474</v>
      </c>
      <c r="H2773" t="s">
        <v>12691</v>
      </c>
      <c r="J2773" t="s">
        <v>234</v>
      </c>
      <c r="K2773" t="s">
        <v>235</v>
      </c>
      <c r="L2773">
        <v>6</v>
      </c>
      <c r="M2773" t="s">
        <v>12692</v>
      </c>
      <c r="N2773" t="s">
        <v>47</v>
      </c>
      <c r="O2773" t="s">
        <v>9477</v>
      </c>
      <c r="P2773" t="s">
        <v>9477</v>
      </c>
      <c r="Y2773" t="s">
        <v>12691</v>
      </c>
    </row>
    <row r="2774" spans="1:25">
      <c r="A2774" t="s">
        <v>12693</v>
      </c>
      <c r="B2774" t="s">
        <v>12694</v>
      </c>
      <c r="D2774" t="s">
        <v>9473</v>
      </c>
      <c r="E2774" t="s">
        <v>9474</v>
      </c>
      <c r="J2774" t="s">
        <v>90</v>
      </c>
      <c r="K2774" t="s">
        <v>91</v>
      </c>
      <c r="L2774">
        <v>6</v>
      </c>
      <c r="M2774" t="s">
        <v>12695</v>
      </c>
      <c r="N2774" t="s">
        <v>47</v>
      </c>
      <c r="O2774" t="s">
        <v>9477</v>
      </c>
      <c r="P2774" t="s">
        <v>9477</v>
      </c>
      <c r="Y2774" t="s">
        <v>12696</v>
      </c>
    </row>
    <row r="2775" spans="1:25">
      <c r="A2775" t="s">
        <v>12697</v>
      </c>
      <c r="B2775" t="s">
        <v>12698</v>
      </c>
      <c r="D2775" t="s">
        <v>9473</v>
      </c>
      <c r="E2775" t="s">
        <v>9474</v>
      </c>
      <c r="J2775" t="s">
        <v>90</v>
      </c>
      <c r="K2775" t="s">
        <v>91</v>
      </c>
      <c r="L2775">
        <v>6</v>
      </c>
      <c r="M2775" t="s">
        <v>12699</v>
      </c>
      <c r="N2775" t="s">
        <v>47</v>
      </c>
      <c r="O2775" t="s">
        <v>9477</v>
      </c>
      <c r="P2775" t="s">
        <v>9477</v>
      </c>
      <c r="Y2775" t="s">
        <v>12700</v>
      </c>
    </row>
    <row r="2776" spans="1:25">
      <c r="A2776" t="s">
        <v>12701</v>
      </c>
      <c r="B2776" t="s">
        <v>12702</v>
      </c>
      <c r="D2776" t="s">
        <v>9473</v>
      </c>
      <c r="E2776" t="s">
        <v>9474</v>
      </c>
      <c r="J2776" t="s">
        <v>78</v>
      </c>
      <c r="K2776" t="s">
        <v>79</v>
      </c>
      <c r="L2776">
        <v>6</v>
      </c>
      <c r="M2776" t="s">
        <v>12699</v>
      </c>
      <c r="N2776" t="s">
        <v>47</v>
      </c>
      <c r="O2776" t="s">
        <v>9477</v>
      </c>
      <c r="P2776" t="s">
        <v>9477</v>
      </c>
      <c r="Y2776" t="s">
        <v>12703</v>
      </c>
    </row>
    <row r="2777" spans="1:25">
      <c r="A2777" t="s">
        <v>12704</v>
      </c>
      <c r="B2777" t="s">
        <v>12705</v>
      </c>
      <c r="D2777" t="s">
        <v>9473</v>
      </c>
      <c r="E2777" t="s">
        <v>9474</v>
      </c>
      <c r="H2777" t="s">
        <v>12706</v>
      </c>
      <c r="J2777" t="s">
        <v>44</v>
      </c>
      <c r="K2777" t="s">
        <v>45</v>
      </c>
      <c r="L2777">
        <v>6</v>
      </c>
      <c r="M2777" t="s">
        <v>12707</v>
      </c>
      <c r="N2777" t="s">
        <v>47</v>
      </c>
      <c r="O2777" t="s">
        <v>9477</v>
      </c>
      <c r="P2777" t="s">
        <v>9477</v>
      </c>
      <c r="Y2777" t="s">
        <v>12706</v>
      </c>
    </row>
    <row r="2778" spans="1:25">
      <c r="A2778" t="s">
        <v>12708</v>
      </c>
      <c r="B2778" t="s">
        <v>12709</v>
      </c>
      <c r="D2778" t="s">
        <v>9473</v>
      </c>
      <c r="E2778" t="s">
        <v>9474</v>
      </c>
      <c r="J2778" t="s">
        <v>10222</v>
      </c>
      <c r="K2778" t="s">
        <v>10223</v>
      </c>
      <c r="L2778">
        <v>6</v>
      </c>
      <c r="M2778" t="s">
        <v>12710</v>
      </c>
      <c r="N2778" t="s">
        <v>135</v>
      </c>
      <c r="O2778" t="s">
        <v>9477</v>
      </c>
      <c r="P2778" t="s">
        <v>9477</v>
      </c>
      <c r="Y2778" t="s">
        <v>12711</v>
      </c>
    </row>
    <row r="2779" spans="1:25">
      <c r="A2779" t="s">
        <v>12712</v>
      </c>
      <c r="B2779" t="s">
        <v>12713</v>
      </c>
      <c r="D2779" t="s">
        <v>9473</v>
      </c>
      <c r="E2779" t="s">
        <v>9474</v>
      </c>
      <c r="J2779" t="s">
        <v>44</v>
      </c>
      <c r="K2779" t="s">
        <v>45</v>
      </c>
      <c r="L2779">
        <v>6</v>
      </c>
      <c r="M2779" t="s">
        <v>12714</v>
      </c>
      <c r="N2779" t="s">
        <v>47</v>
      </c>
      <c r="O2779" t="s">
        <v>9477</v>
      </c>
      <c r="P2779" t="s">
        <v>9477</v>
      </c>
      <c r="Y2779" t="s">
        <v>12715</v>
      </c>
    </row>
    <row r="2780" spans="1:25">
      <c r="A2780" t="s">
        <v>12716</v>
      </c>
      <c r="B2780" t="s">
        <v>12717</v>
      </c>
      <c r="D2780" t="s">
        <v>9473</v>
      </c>
      <c r="E2780" t="s">
        <v>9474</v>
      </c>
      <c r="H2780" t="s">
        <v>12718</v>
      </c>
      <c r="J2780" t="s">
        <v>44</v>
      </c>
      <c r="K2780" t="s">
        <v>45</v>
      </c>
      <c r="L2780">
        <v>6</v>
      </c>
      <c r="M2780" t="s">
        <v>12719</v>
      </c>
      <c r="N2780" t="s">
        <v>47</v>
      </c>
      <c r="O2780" t="s">
        <v>9477</v>
      </c>
      <c r="P2780" t="s">
        <v>9477</v>
      </c>
      <c r="Y2780" t="s">
        <v>12718</v>
      </c>
    </row>
    <row r="2781" spans="1:25">
      <c r="A2781" t="s">
        <v>12720</v>
      </c>
      <c r="B2781" t="s">
        <v>12721</v>
      </c>
      <c r="D2781" t="s">
        <v>9473</v>
      </c>
      <c r="E2781" t="s">
        <v>9474</v>
      </c>
      <c r="H2781" t="s">
        <v>12722</v>
      </c>
      <c r="J2781" t="s">
        <v>497</v>
      </c>
      <c r="K2781" t="s">
        <v>498</v>
      </c>
      <c r="L2781">
        <v>6</v>
      </c>
      <c r="M2781" t="s">
        <v>12723</v>
      </c>
      <c r="N2781" t="s">
        <v>290</v>
      </c>
      <c r="O2781" t="s">
        <v>9477</v>
      </c>
      <c r="P2781" t="s">
        <v>9477</v>
      </c>
      <c r="Y2781" t="s">
        <v>12722</v>
      </c>
    </row>
    <row r="2782" spans="1:25">
      <c r="A2782" t="s">
        <v>12724</v>
      </c>
      <c r="B2782" t="s">
        <v>12725</v>
      </c>
      <c r="D2782" t="s">
        <v>9473</v>
      </c>
      <c r="E2782" t="s">
        <v>9474</v>
      </c>
      <c r="J2782" t="s">
        <v>90</v>
      </c>
      <c r="K2782" t="s">
        <v>91</v>
      </c>
      <c r="L2782">
        <v>6</v>
      </c>
      <c r="M2782" t="s">
        <v>12723</v>
      </c>
      <c r="N2782" t="s">
        <v>47</v>
      </c>
      <c r="O2782" t="s">
        <v>9477</v>
      </c>
      <c r="P2782" t="s">
        <v>9477</v>
      </c>
      <c r="Y2782" t="s">
        <v>12726</v>
      </c>
    </row>
    <row r="2783" spans="1:25">
      <c r="A2783" t="s">
        <v>12727</v>
      </c>
      <c r="B2783" t="s">
        <v>12728</v>
      </c>
      <c r="D2783" t="s">
        <v>9473</v>
      </c>
      <c r="E2783" t="s">
        <v>9474</v>
      </c>
      <c r="J2783" t="s">
        <v>90</v>
      </c>
      <c r="K2783" t="s">
        <v>91</v>
      </c>
      <c r="L2783">
        <v>6</v>
      </c>
      <c r="M2783" t="s">
        <v>12723</v>
      </c>
      <c r="N2783" t="s">
        <v>47</v>
      </c>
      <c r="O2783" t="s">
        <v>9477</v>
      </c>
      <c r="P2783" t="s">
        <v>9477</v>
      </c>
      <c r="Y2783" t="s">
        <v>12729</v>
      </c>
    </row>
    <row r="2784" spans="1:25">
      <c r="A2784" t="s">
        <v>12730</v>
      </c>
      <c r="B2784" t="s">
        <v>12731</v>
      </c>
      <c r="D2784" t="s">
        <v>9473</v>
      </c>
      <c r="E2784" t="s">
        <v>9474</v>
      </c>
      <c r="J2784" t="s">
        <v>78</v>
      </c>
      <c r="K2784" t="s">
        <v>79</v>
      </c>
      <c r="L2784">
        <v>6</v>
      </c>
      <c r="M2784" t="s">
        <v>12732</v>
      </c>
      <c r="N2784" t="s">
        <v>47</v>
      </c>
      <c r="O2784" t="s">
        <v>9477</v>
      </c>
      <c r="P2784" t="s">
        <v>9477</v>
      </c>
      <c r="Y2784" t="s">
        <v>12733</v>
      </c>
    </row>
    <row r="2785" spans="1:25">
      <c r="A2785" t="s">
        <v>12734</v>
      </c>
      <c r="B2785" t="s">
        <v>12735</v>
      </c>
      <c r="D2785" t="s">
        <v>9473</v>
      </c>
      <c r="E2785" t="s">
        <v>9474</v>
      </c>
      <c r="J2785" t="s">
        <v>90</v>
      </c>
      <c r="K2785" t="s">
        <v>91</v>
      </c>
      <c r="L2785">
        <v>6</v>
      </c>
      <c r="M2785" t="s">
        <v>12732</v>
      </c>
      <c r="N2785" t="s">
        <v>47</v>
      </c>
      <c r="O2785" t="s">
        <v>9477</v>
      </c>
      <c r="P2785" t="s">
        <v>9477</v>
      </c>
      <c r="Y2785" t="s">
        <v>12736</v>
      </c>
    </row>
    <row r="2786" spans="1:25">
      <c r="A2786" t="s">
        <v>12737</v>
      </c>
      <c r="B2786" t="s">
        <v>12738</v>
      </c>
      <c r="D2786" t="s">
        <v>9473</v>
      </c>
      <c r="E2786" t="s">
        <v>9474</v>
      </c>
      <c r="H2786" t="s">
        <v>12739</v>
      </c>
      <c r="J2786" t="s">
        <v>78</v>
      </c>
      <c r="K2786" t="s">
        <v>79</v>
      </c>
      <c r="L2786">
        <v>6</v>
      </c>
      <c r="M2786" t="s">
        <v>12732</v>
      </c>
      <c r="N2786" t="s">
        <v>47</v>
      </c>
      <c r="O2786" t="s">
        <v>9477</v>
      </c>
      <c r="P2786" t="s">
        <v>9477</v>
      </c>
      <c r="Y2786" t="s">
        <v>12739</v>
      </c>
    </row>
    <row r="2787" spans="1:25">
      <c r="A2787" t="s">
        <v>12740</v>
      </c>
      <c r="B2787" t="s">
        <v>12741</v>
      </c>
      <c r="D2787" t="s">
        <v>9473</v>
      </c>
      <c r="E2787" t="s">
        <v>9474</v>
      </c>
      <c r="J2787" t="s">
        <v>353</v>
      </c>
      <c r="K2787" t="s">
        <v>354</v>
      </c>
      <c r="L2787">
        <v>6</v>
      </c>
      <c r="M2787" t="s">
        <v>12742</v>
      </c>
      <c r="N2787" t="s">
        <v>135</v>
      </c>
      <c r="O2787" t="s">
        <v>9477</v>
      </c>
      <c r="P2787" t="s">
        <v>9477</v>
      </c>
      <c r="Y2787" t="s">
        <v>12743</v>
      </c>
    </row>
    <row r="2788" spans="1:25">
      <c r="A2788" t="s">
        <v>12744</v>
      </c>
      <c r="B2788" t="s">
        <v>12745</v>
      </c>
      <c r="D2788" t="s">
        <v>9473</v>
      </c>
      <c r="E2788" t="s">
        <v>9474</v>
      </c>
      <c r="J2788" t="s">
        <v>78</v>
      </c>
      <c r="K2788" t="s">
        <v>79</v>
      </c>
      <c r="L2788">
        <v>6</v>
      </c>
      <c r="M2788" t="s">
        <v>12746</v>
      </c>
      <c r="N2788" t="s">
        <v>47</v>
      </c>
      <c r="O2788" t="s">
        <v>9477</v>
      </c>
      <c r="P2788" t="s">
        <v>9477</v>
      </c>
      <c r="Y2788" t="s">
        <v>12747</v>
      </c>
    </row>
    <row r="2789" spans="1:25">
      <c r="A2789" t="s">
        <v>12748</v>
      </c>
      <c r="B2789" t="s">
        <v>12749</v>
      </c>
      <c r="D2789" t="s">
        <v>9473</v>
      </c>
      <c r="E2789" t="s">
        <v>9474</v>
      </c>
      <c r="J2789" t="s">
        <v>78</v>
      </c>
      <c r="K2789" t="s">
        <v>79</v>
      </c>
      <c r="L2789">
        <v>6</v>
      </c>
      <c r="M2789" t="s">
        <v>12750</v>
      </c>
      <c r="N2789" t="s">
        <v>47</v>
      </c>
      <c r="O2789" t="s">
        <v>9477</v>
      </c>
      <c r="P2789" t="s">
        <v>9477</v>
      </c>
      <c r="Y2789" t="s">
        <v>12751</v>
      </c>
    </row>
    <row r="2790" spans="1:25">
      <c r="A2790" t="s">
        <v>12752</v>
      </c>
      <c r="B2790" t="s">
        <v>12753</v>
      </c>
      <c r="D2790" t="s">
        <v>9473</v>
      </c>
      <c r="E2790" t="s">
        <v>9474</v>
      </c>
      <c r="J2790" t="s">
        <v>90</v>
      </c>
      <c r="K2790" t="s">
        <v>91</v>
      </c>
      <c r="L2790">
        <v>6</v>
      </c>
      <c r="M2790" t="s">
        <v>12754</v>
      </c>
      <c r="N2790" t="s">
        <v>47</v>
      </c>
      <c r="O2790" t="s">
        <v>9477</v>
      </c>
      <c r="P2790" t="s">
        <v>9477</v>
      </c>
      <c r="Y2790" t="s">
        <v>12755</v>
      </c>
    </row>
    <row r="2791" spans="1:25">
      <c r="A2791" t="s">
        <v>12756</v>
      </c>
      <c r="B2791" t="s">
        <v>12757</v>
      </c>
      <c r="D2791" t="s">
        <v>9473</v>
      </c>
      <c r="E2791" t="s">
        <v>9474</v>
      </c>
      <c r="J2791" t="s">
        <v>765</v>
      </c>
      <c r="K2791" t="s">
        <v>766</v>
      </c>
      <c r="L2791">
        <v>6</v>
      </c>
      <c r="M2791" t="s">
        <v>12754</v>
      </c>
      <c r="N2791" t="s">
        <v>290</v>
      </c>
      <c r="O2791" t="s">
        <v>9477</v>
      </c>
      <c r="P2791" t="s">
        <v>9477</v>
      </c>
      <c r="Y2791" t="s">
        <v>12758</v>
      </c>
    </row>
    <row r="2792" spans="1:25">
      <c r="A2792" t="s">
        <v>12759</v>
      </c>
      <c r="B2792" t="s">
        <v>12760</v>
      </c>
      <c r="D2792" t="s">
        <v>9473</v>
      </c>
      <c r="E2792" t="s">
        <v>9474</v>
      </c>
      <c r="J2792" t="s">
        <v>44</v>
      </c>
      <c r="K2792" t="s">
        <v>45</v>
      </c>
      <c r="L2792">
        <v>6</v>
      </c>
      <c r="M2792" t="s">
        <v>12754</v>
      </c>
      <c r="N2792" t="s">
        <v>47</v>
      </c>
      <c r="O2792" t="s">
        <v>9477</v>
      </c>
      <c r="P2792" t="s">
        <v>9477</v>
      </c>
      <c r="Y2792" t="s">
        <v>12761</v>
      </c>
    </row>
    <row r="2793" spans="1:25">
      <c r="A2793" t="s">
        <v>12762</v>
      </c>
      <c r="B2793" t="s">
        <v>12763</v>
      </c>
      <c r="D2793" t="s">
        <v>9473</v>
      </c>
      <c r="E2793" t="s">
        <v>9474</v>
      </c>
      <c r="J2793" t="s">
        <v>90</v>
      </c>
      <c r="K2793" t="s">
        <v>91</v>
      </c>
      <c r="L2793">
        <v>6</v>
      </c>
      <c r="M2793" t="s">
        <v>12764</v>
      </c>
      <c r="N2793" t="s">
        <v>47</v>
      </c>
      <c r="O2793" t="s">
        <v>9477</v>
      </c>
      <c r="P2793" t="s">
        <v>9477</v>
      </c>
      <c r="Y2793" t="s">
        <v>12765</v>
      </c>
    </row>
    <row r="2794" spans="1:25">
      <c r="A2794" t="s">
        <v>12766</v>
      </c>
      <c r="B2794" t="s">
        <v>12767</v>
      </c>
      <c r="D2794" t="s">
        <v>9473</v>
      </c>
      <c r="E2794" t="s">
        <v>9474</v>
      </c>
      <c r="H2794" t="s">
        <v>12768</v>
      </c>
      <c r="J2794" t="s">
        <v>44</v>
      </c>
      <c r="K2794" t="s">
        <v>45</v>
      </c>
      <c r="L2794">
        <v>6</v>
      </c>
      <c r="M2794" t="s">
        <v>12769</v>
      </c>
      <c r="N2794" t="s">
        <v>47</v>
      </c>
      <c r="O2794" t="s">
        <v>9477</v>
      </c>
      <c r="P2794" t="s">
        <v>9477</v>
      </c>
      <c r="Y2794" t="s">
        <v>12768</v>
      </c>
    </row>
    <row r="2795" spans="1:25">
      <c r="A2795" t="s">
        <v>12770</v>
      </c>
      <c r="B2795" t="s">
        <v>12771</v>
      </c>
      <c r="D2795" t="s">
        <v>9473</v>
      </c>
      <c r="E2795" t="s">
        <v>9474</v>
      </c>
      <c r="H2795" t="s">
        <v>12772</v>
      </c>
      <c r="J2795" t="s">
        <v>497</v>
      </c>
      <c r="K2795" t="s">
        <v>498</v>
      </c>
      <c r="L2795">
        <v>6</v>
      </c>
      <c r="M2795" t="s">
        <v>12773</v>
      </c>
      <c r="N2795" t="s">
        <v>135</v>
      </c>
      <c r="O2795" t="s">
        <v>9477</v>
      </c>
      <c r="P2795" t="s">
        <v>9477</v>
      </c>
      <c r="Y2795" t="s">
        <v>12772</v>
      </c>
    </row>
    <row r="2796" spans="1:25">
      <c r="A2796" t="s">
        <v>12774</v>
      </c>
      <c r="B2796" t="s">
        <v>12775</v>
      </c>
      <c r="D2796" t="s">
        <v>9473</v>
      </c>
      <c r="E2796" t="s">
        <v>9474</v>
      </c>
      <c r="H2796" t="s">
        <v>12776</v>
      </c>
      <c r="J2796" t="s">
        <v>353</v>
      </c>
      <c r="K2796" t="s">
        <v>354</v>
      </c>
      <c r="L2796">
        <v>6</v>
      </c>
      <c r="M2796" t="s">
        <v>12777</v>
      </c>
      <c r="N2796" t="s">
        <v>135</v>
      </c>
      <c r="O2796" t="s">
        <v>9477</v>
      </c>
      <c r="P2796" t="s">
        <v>9477</v>
      </c>
      <c r="Y2796" t="s">
        <v>12776</v>
      </c>
    </row>
    <row r="2797" spans="1:25">
      <c r="A2797" t="s">
        <v>12778</v>
      </c>
      <c r="B2797" t="s">
        <v>12779</v>
      </c>
      <c r="D2797" t="s">
        <v>9473</v>
      </c>
      <c r="E2797" t="s">
        <v>9474</v>
      </c>
      <c r="J2797" t="s">
        <v>54</v>
      </c>
      <c r="K2797" t="s">
        <v>55</v>
      </c>
      <c r="L2797">
        <v>6</v>
      </c>
      <c r="M2797" t="s">
        <v>12780</v>
      </c>
      <c r="N2797" t="s">
        <v>47</v>
      </c>
      <c r="O2797" t="s">
        <v>9477</v>
      </c>
      <c r="P2797" t="s">
        <v>9477</v>
      </c>
      <c r="Y2797" t="s">
        <v>12781</v>
      </c>
    </row>
    <row r="2798" spans="1:25">
      <c r="A2798" t="s">
        <v>12782</v>
      </c>
      <c r="B2798" t="s">
        <v>12783</v>
      </c>
      <c r="D2798" t="s">
        <v>9473</v>
      </c>
      <c r="E2798" t="s">
        <v>9474</v>
      </c>
      <c r="J2798" t="s">
        <v>133</v>
      </c>
      <c r="K2798" t="s">
        <v>134</v>
      </c>
      <c r="L2798">
        <v>6</v>
      </c>
      <c r="M2798" t="s">
        <v>12784</v>
      </c>
      <c r="N2798" t="s">
        <v>135</v>
      </c>
      <c r="O2798" t="s">
        <v>9477</v>
      </c>
      <c r="P2798" t="s">
        <v>9477</v>
      </c>
      <c r="Y2798" t="s">
        <v>12785</v>
      </c>
    </row>
    <row r="2799" spans="1:25">
      <c r="A2799" t="s">
        <v>12786</v>
      </c>
      <c r="B2799" t="s">
        <v>12787</v>
      </c>
      <c r="D2799" t="s">
        <v>9473</v>
      </c>
      <c r="E2799" t="s">
        <v>9474</v>
      </c>
      <c r="J2799" t="s">
        <v>90</v>
      </c>
      <c r="K2799" t="s">
        <v>91</v>
      </c>
      <c r="L2799">
        <v>6</v>
      </c>
      <c r="M2799" t="s">
        <v>12788</v>
      </c>
      <c r="N2799" t="s">
        <v>47</v>
      </c>
      <c r="O2799" t="s">
        <v>9477</v>
      </c>
      <c r="P2799" t="s">
        <v>9477</v>
      </c>
      <c r="Y2799" t="s">
        <v>12789</v>
      </c>
    </row>
    <row r="2800" spans="1:25">
      <c r="A2800" t="s">
        <v>12790</v>
      </c>
      <c r="B2800" t="s">
        <v>12791</v>
      </c>
      <c r="D2800" t="s">
        <v>9473</v>
      </c>
      <c r="E2800" t="s">
        <v>9474</v>
      </c>
      <c r="J2800" t="s">
        <v>1827</v>
      </c>
      <c r="K2800" t="s">
        <v>1828</v>
      </c>
      <c r="L2800">
        <v>6</v>
      </c>
      <c r="M2800" t="s">
        <v>12792</v>
      </c>
      <c r="N2800" t="s">
        <v>47</v>
      </c>
      <c r="O2800" t="s">
        <v>9477</v>
      </c>
      <c r="P2800" t="s">
        <v>9477</v>
      </c>
      <c r="Y2800" t="s">
        <v>12793</v>
      </c>
    </row>
    <row r="2801" spans="1:25">
      <c r="A2801" t="s">
        <v>12794</v>
      </c>
      <c r="B2801" t="s">
        <v>12795</v>
      </c>
      <c r="D2801" t="s">
        <v>9473</v>
      </c>
      <c r="E2801" t="s">
        <v>9474</v>
      </c>
      <c r="J2801" t="s">
        <v>44</v>
      </c>
      <c r="K2801" t="s">
        <v>45</v>
      </c>
      <c r="L2801">
        <v>6</v>
      </c>
      <c r="M2801" t="s">
        <v>12792</v>
      </c>
      <c r="N2801" t="s">
        <v>47</v>
      </c>
      <c r="O2801" t="s">
        <v>9477</v>
      </c>
      <c r="P2801" t="s">
        <v>9477</v>
      </c>
      <c r="Y2801" t="s">
        <v>12796</v>
      </c>
    </row>
    <row r="2802" spans="1:25">
      <c r="A2802" t="s">
        <v>12797</v>
      </c>
      <c r="B2802" t="s">
        <v>12798</v>
      </c>
      <c r="D2802" t="s">
        <v>9473</v>
      </c>
      <c r="E2802" t="s">
        <v>9474</v>
      </c>
      <c r="J2802" t="s">
        <v>78</v>
      </c>
      <c r="K2802" t="s">
        <v>79</v>
      </c>
      <c r="L2802">
        <v>6</v>
      </c>
      <c r="M2802" t="s">
        <v>12799</v>
      </c>
      <c r="N2802" t="s">
        <v>47</v>
      </c>
      <c r="O2802" t="s">
        <v>9477</v>
      </c>
      <c r="P2802" t="s">
        <v>9477</v>
      </c>
      <c r="Y2802" t="s">
        <v>12800</v>
      </c>
    </row>
    <row r="2803" spans="1:25">
      <c r="A2803" t="s">
        <v>12801</v>
      </c>
      <c r="B2803" t="s">
        <v>12802</v>
      </c>
      <c r="D2803" t="s">
        <v>9473</v>
      </c>
      <c r="E2803" t="s">
        <v>9474</v>
      </c>
      <c r="J2803" t="s">
        <v>44</v>
      </c>
      <c r="K2803" t="s">
        <v>45</v>
      </c>
      <c r="L2803">
        <v>6</v>
      </c>
      <c r="M2803" t="s">
        <v>12803</v>
      </c>
      <c r="N2803" t="s">
        <v>47</v>
      </c>
      <c r="O2803" t="s">
        <v>9477</v>
      </c>
      <c r="P2803" t="s">
        <v>9477</v>
      </c>
      <c r="Y2803" t="s">
        <v>12804</v>
      </c>
    </row>
    <row r="2804" spans="1:25">
      <c r="A2804" t="s">
        <v>12805</v>
      </c>
      <c r="B2804" t="s">
        <v>12806</v>
      </c>
      <c r="D2804" t="s">
        <v>9473</v>
      </c>
      <c r="E2804" t="s">
        <v>9474</v>
      </c>
      <c r="H2804" t="s">
        <v>12807</v>
      </c>
      <c r="J2804" t="s">
        <v>54</v>
      </c>
      <c r="K2804" t="s">
        <v>55</v>
      </c>
      <c r="L2804">
        <v>6</v>
      </c>
      <c r="M2804" t="s">
        <v>12803</v>
      </c>
      <c r="N2804" t="s">
        <v>47</v>
      </c>
      <c r="O2804" t="s">
        <v>9477</v>
      </c>
      <c r="P2804" t="s">
        <v>9477</v>
      </c>
      <c r="Y2804" t="s">
        <v>12807</v>
      </c>
    </row>
    <row r="2805" spans="1:25">
      <c r="A2805" t="s">
        <v>12808</v>
      </c>
      <c r="B2805" t="s">
        <v>12809</v>
      </c>
      <c r="D2805" t="s">
        <v>9473</v>
      </c>
      <c r="E2805" t="s">
        <v>9474</v>
      </c>
      <c r="J2805" t="s">
        <v>44</v>
      </c>
      <c r="K2805" t="s">
        <v>45</v>
      </c>
      <c r="L2805">
        <v>6</v>
      </c>
      <c r="M2805" t="s">
        <v>12803</v>
      </c>
      <c r="N2805" t="s">
        <v>47</v>
      </c>
      <c r="O2805" t="s">
        <v>9477</v>
      </c>
      <c r="P2805" t="s">
        <v>9477</v>
      </c>
      <c r="Y2805" t="s">
        <v>12810</v>
      </c>
    </row>
    <row r="2806" spans="1:25">
      <c r="A2806" t="s">
        <v>12811</v>
      </c>
      <c r="B2806" t="s">
        <v>12812</v>
      </c>
      <c r="D2806" t="s">
        <v>9473</v>
      </c>
      <c r="E2806" t="s">
        <v>9474</v>
      </c>
      <c r="H2806" t="s">
        <v>12813</v>
      </c>
      <c r="J2806" t="s">
        <v>44</v>
      </c>
      <c r="K2806" t="s">
        <v>45</v>
      </c>
      <c r="L2806">
        <v>6</v>
      </c>
      <c r="M2806" t="s">
        <v>12803</v>
      </c>
      <c r="N2806" t="s">
        <v>47</v>
      </c>
      <c r="O2806" t="s">
        <v>9477</v>
      </c>
      <c r="P2806" t="s">
        <v>9477</v>
      </c>
      <c r="Y2806" t="s">
        <v>12813</v>
      </c>
    </row>
    <row r="2807" spans="1:25">
      <c r="A2807" t="s">
        <v>12814</v>
      </c>
      <c r="B2807" t="s">
        <v>12815</v>
      </c>
      <c r="D2807" t="s">
        <v>9473</v>
      </c>
      <c r="E2807" t="s">
        <v>9474</v>
      </c>
      <c r="H2807" t="s">
        <v>12816</v>
      </c>
      <c r="J2807" t="s">
        <v>497</v>
      </c>
      <c r="K2807" t="s">
        <v>498</v>
      </c>
      <c r="L2807">
        <v>6</v>
      </c>
      <c r="M2807" t="s">
        <v>12803</v>
      </c>
      <c r="N2807" t="s">
        <v>685</v>
      </c>
      <c r="O2807" t="s">
        <v>9477</v>
      </c>
      <c r="P2807" t="s">
        <v>9477</v>
      </c>
      <c r="Y2807" t="s">
        <v>12816</v>
      </c>
    </row>
    <row r="2808" spans="1:25">
      <c r="A2808" t="s">
        <v>12817</v>
      </c>
      <c r="B2808" t="s">
        <v>12818</v>
      </c>
      <c r="D2808" t="s">
        <v>9473</v>
      </c>
      <c r="E2808" t="s">
        <v>9474</v>
      </c>
      <c r="J2808" t="s">
        <v>90</v>
      </c>
      <c r="K2808" t="s">
        <v>91</v>
      </c>
      <c r="L2808">
        <v>6</v>
      </c>
      <c r="M2808" t="s">
        <v>12819</v>
      </c>
      <c r="N2808" t="s">
        <v>47</v>
      </c>
      <c r="O2808" t="s">
        <v>9477</v>
      </c>
      <c r="P2808" t="s">
        <v>9477</v>
      </c>
      <c r="Y2808" t="s">
        <v>12820</v>
      </c>
    </row>
    <row r="2809" spans="1:25">
      <c r="A2809" t="s">
        <v>12821</v>
      </c>
      <c r="B2809" t="s">
        <v>12822</v>
      </c>
      <c r="D2809" t="s">
        <v>9473</v>
      </c>
      <c r="E2809" t="s">
        <v>9474</v>
      </c>
      <c r="J2809" t="s">
        <v>90</v>
      </c>
      <c r="K2809" t="s">
        <v>91</v>
      </c>
      <c r="L2809">
        <v>6</v>
      </c>
      <c r="M2809" t="s">
        <v>12823</v>
      </c>
      <c r="N2809" t="s">
        <v>47</v>
      </c>
      <c r="O2809" t="s">
        <v>9477</v>
      </c>
      <c r="P2809" t="s">
        <v>9477</v>
      </c>
      <c r="Y2809" t="s">
        <v>12824</v>
      </c>
    </row>
    <row r="2810" spans="1:25">
      <c r="A2810" t="s">
        <v>12825</v>
      </c>
      <c r="B2810" t="s">
        <v>12826</v>
      </c>
      <c r="D2810" t="s">
        <v>9473</v>
      </c>
      <c r="E2810" t="s">
        <v>9474</v>
      </c>
      <c r="H2810" t="s">
        <v>12827</v>
      </c>
      <c r="J2810" t="s">
        <v>90</v>
      </c>
      <c r="K2810" t="s">
        <v>91</v>
      </c>
      <c r="L2810">
        <v>6</v>
      </c>
      <c r="M2810" t="s">
        <v>12823</v>
      </c>
      <c r="N2810" t="s">
        <v>47</v>
      </c>
      <c r="O2810" t="s">
        <v>9477</v>
      </c>
      <c r="P2810" t="s">
        <v>9477</v>
      </c>
      <c r="Y2810" t="s">
        <v>12827</v>
      </c>
    </row>
    <row r="2811" spans="1:25">
      <c r="A2811" t="s">
        <v>12828</v>
      </c>
      <c r="B2811" t="s">
        <v>12829</v>
      </c>
      <c r="D2811" t="s">
        <v>9473</v>
      </c>
      <c r="E2811" t="s">
        <v>9474</v>
      </c>
      <c r="H2811" t="s">
        <v>12830</v>
      </c>
      <c r="J2811" t="s">
        <v>90</v>
      </c>
      <c r="K2811" t="s">
        <v>91</v>
      </c>
      <c r="L2811">
        <v>6</v>
      </c>
      <c r="M2811" t="s">
        <v>12831</v>
      </c>
      <c r="N2811" t="s">
        <v>47</v>
      </c>
      <c r="O2811" t="s">
        <v>9477</v>
      </c>
      <c r="P2811" t="s">
        <v>9477</v>
      </c>
      <c r="Y2811" t="s">
        <v>12830</v>
      </c>
    </row>
    <row r="2812" spans="1:25">
      <c r="A2812" t="s">
        <v>12832</v>
      </c>
      <c r="B2812" t="s">
        <v>12833</v>
      </c>
      <c r="D2812" t="s">
        <v>9473</v>
      </c>
      <c r="E2812" t="s">
        <v>9474</v>
      </c>
      <c r="H2812" t="s">
        <v>12834</v>
      </c>
      <c r="J2812" t="s">
        <v>90</v>
      </c>
      <c r="K2812" t="s">
        <v>91</v>
      </c>
      <c r="L2812">
        <v>6</v>
      </c>
      <c r="M2812" t="s">
        <v>12835</v>
      </c>
      <c r="N2812" t="s">
        <v>47</v>
      </c>
      <c r="O2812" t="s">
        <v>9477</v>
      </c>
      <c r="P2812" t="s">
        <v>9477</v>
      </c>
      <c r="Y2812" t="s">
        <v>12834</v>
      </c>
    </row>
    <row r="2813" spans="1:25">
      <c r="A2813" t="s">
        <v>12836</v>
      </c>
      <c r="B2813" t="s">
        <v>12837</v>
      </c>
      <c r="D2813" t="s">
        <v>9473</v>
      </c>
      <c r="E2813" t="s">
        <v>9474</v>
      </c>
      <c r="J2813" t="s">
        <v>44</v>
      </c>
      <c r="K2813" t="s">
        <v>45</v>
      </c>
      <c r="L2813">
        <v>6</v>
      </c>
      <c r="M2813" t="s">
        <v>12835</v>
      </c>
      <c r="N2813" t="s">
        <v>47</v>
      </c>
      <c r="O2813" t="s">
        <v>9477</v>
      </c>
      <c r="P2813" t="s">
        <v>9477</v>
      </c>
      <c r="Y2813" t="s">
        <v>12838</v>
      </c>
    </row>
    <row r="2814" spans="1:25">
      <c r="A2814" t="s">
        <v>12839</v>
      </c>
      <c r="B2814" t="s">
        <v>12840</v>
      </c>
      <c r="D2814" t="s">
        <v>9473</v>
      </c>
      <c r="E2814" t="s">
        <v>9474</v>
      </c>
      <c r="J2814" t="s">
        <v>78</v>
      </c>
      <c r="K2814" t="s">
        <v>79</v>
      </c>
      <c r="L2814">
        <v>6</v>
      </c>
      <c r="M2814" t="s">
        <v>12841</v>
      </c>
      <c r="N2814" t="s">
        <v>47</v>
      </c>
      <c r="O2814" t="s">
        <v>9477</v>
      </c>
      <c r="P2814" t="s">
        <v>9477</v>
      </c>
      <c r="Y2814" t="s">
        <v>12842</v>
      </c>
    </row>
    <row r="2815" spans="1:25">
      <c r="A2815" t="s">
        <v>12843</v>
      </c>
      <c r="B2815" t="s">
        <v>12844</v>
      </c>
      <c r="D2815" t="s">
        <v>9473</v>
      </c>
      <c r="E2815" t="s">
        <v>9474</v>
      </c>
      <c r="J2815" t="s">
        <v>133</v>
      </c>
      <c r="K2815" t="s">
        <v>134</v>
      </c>
      <c r="L2815">
        <v>6</v>
      </c>
      <c r="M2815" t="s">
        <v>12845</v>
      </c>
      <c r="N2815" t="s">
        <v>135</v>
      </c>
      <c r="O2815" t="s">
        <v>9477</v>
      </c>
      <c r="P2815" t="s">
        <v>9477</v>
      </c>
      <c r="Y2815" t="s">
        <v>12846</v>
      </c>
    </row>
    <row r="2816" spans="1:25">
      <c r="A2816" t="s">
        <v>12847</v>
      </c>
      <c r="B2816" t="s">
        <v>12848</v>
      </c>
      <c r="D2816" t="s">
        <v>9473</v>
      </c>
      <c r="E2816" t="s">
        <v>9474</v>
      </c>
      <c r="J2816" t="s">
        <v>44</v>
      </c>
      <c r="K2816" t="s">
        <v>45</v>
      </c>
      <c r="L2816">
        <v>6</v>
      </c>
      <c r="M2816" t="s">
        <v>12849</v>
      </c>
      <c r="N2816" t="s">
        <v>47</v>
      </c>
      <c r="O2816" t="s">
        <v>9477</v>
      </c>
      <c r="P2816" t="s">
        <v>9477</v>
      </c>
      <c r="Y2816" t="s">
        <v>12850</v>
      </c>
    </row>
    <row r="2817" spans="1:25">
      <c r="A2817" t="s">
        <v>12851</v>
      </c>
      <c r="B2817" t="s">
        <v>12852</v>
      </c>
      <c r="D2817" t="s">
        <v>9473</v>
      </c>
      <c r="E2817" t="s">
        <v>9474</v>
      </c>
      <c r="J2817" t="s">
        <v>54</v>
      </c>
      <c r="K2817" t="s">
        <v>55</v>
      </c>
      <c r="L2817">
        <v>6</v>
      </c>
      <c r="M2817" t="s">
        <v>12853</v>
      </c>
      <c r="N2817" t="s">
        <v>47</v>
      </c>
      <c r="O2817" t="s">
        <v>9477</v>
      </c>
      <c r="P2817" t="s">
        <v>9477</v>
      </c>
      <c r="Y2817" t="s">
        <v>12854</v>
      </c>
    </row>
    <row r="2818" spans="1:25">
      <c r="A2818" t="s">
        <v>12855</v>
      </c>
      <c r="B2818" t="s">
        <v>12856</v>
      </c>
      <c r="D2818" t="s">
        <v>9473</v>
      </c>
      <c r="E2818" t="s">
        <v>9474</v>
      </c>
      <c r="J2818" t="s">
        <v>90</v>
      </c>
      <c r="K2818" t="s">
        <v>91</v>
      </c>
      <c r="L2818">
        <v>6</v>
      </c>
      <c r="M2818" t="s">
        <v>12853</v>
      </c>
      <c r="N2818" t="s">
        <v>47</v>
      </c>
      <c r="O2818" t="s">
        <v>9477</v>
      </c>
      <c r="P2818" t="s">
        <v>9477</v>
      </c>
      <c r="Y2818" t="s">
        <v>12857</v>
      </c>
    </row>
    <row r="2819" spans="1:25">
      <c r="A2819" t="s">
        <v>12858</v>
      </c>
      <c r="B2819" t="s">
        <v>12859</v>
      </c>
      <c r="D2819" t="s">
        <v>9473</v>
      </c>
      <c r="E2819" t="s">
        <v>9474</v>
      </c>
      <c r="H2819" t="s">
        <v>12860</v>
      </c>
      <c r="J2819" t="s">
        <v>54</v>
      </c>
      <c r="K2819" t="s">
        <v>55</v>
      </c>
      <c r="L2819">
        <v>6</v>
      </c>
      <c r="M2819" t="s">
        <v>12853</v>
      </c>
      <c r="N2819" t="s">
        <v>47</v>
      </c>
      <c r="O2819" t="s">
        <v>9477</v>
      </c>
      <c r="P2819" t="s">
        <v>9477</v>
      </c>
      <c r="Y2819" t="s">
        <v>12860</v>
      </c>
    </row>
    <row r="2820" spans="1:25">
      <c r="A2820" t="s">
        <v>12861</v>
      </c>
      <c r="B2820" t="s">
        <v>12862</v>
      </c>
      <c r="D2820" t="s">
        <v>9473</v>
      </c>
      <c r="E2820" t="s">
        <v>9474</v>
      </c>
      <c r="J2820" t="s">
        <v>133</v>
      </c>
      <c r="K2820" t="s">
        <v>134</v>
      </c>
      <c r="L2820">
        <v>6</v>
      </c>
      <c r="M2820" t="s">
        <v>12863</v>
      </c>
      <c r="N2820" t="s">
        <v>685</v>
      </c>
      <c r="O2820" t="s">
        <v>9477</v>
      </c>
      <c r="P2820" t="s">
        <v>9477</v>
      </c>
      <c r="Y2820" t="s">
        <v>12864</v>
      </c>
    </row>
    <row r="2821" spans="1:25">
      <c r="A2821" t="s">
        <v>12865</v>
      </c>
      <c r="B2821" t="s">
        <v>12866</v>
      </c>
      <c r="D2821" t="s">
        <v>9473</v>
      </c>
      <c r="E2821" t="s">
        <v>9474</v>
      </c>
      <c r="H2821" t="s">
        <v>12867</v>
      </c>
      <c r="J2821" t="s">
        <v>78</v>
      </c>
      <c r="K2821" t="s">
        <v>79</v>
      </c>
      <c r="L2821">
        <v>6</v>
      </c>
      <c r="M2821" t="s">
        <v>12863</v>
      </c>
      <c r="N2821" t="s">
        <v>47</v>
      </c>
      <c r="O2821" t="s">
        <v>9477</v>
      </c>
      <c r="P2821" t="s">
        <v>9477</v>
      </c>
      <c r="Y2821" t="s">
        <v>12867</v>
      </c>
    </row>
    <row r="2822" spans="1:25">
      <c r="A2822" t="s">
        <v>12868</v>
      </c>
      <c r="B2822" t="s">
        <v>12869</v>
      </c>
      <c r="D2822" t="s">
        <v>9473</v>
      </c>
      <c r="E2822" t="s">
        <v>9474</v>
      </c>
      <c r="J2822" t="s">
        <v>54</v>
      </c>
      <c r="K2822" t="s">
        <v>55</v>
      </c>
      <c r="L2822">
        <v>6</v>
      </c>
      <c r="M2822" t="s">
        <v>12870</v>
      </c>
      <c r="N2822" t="s">
        <v>47</v>
      </c>
      <c r="O2822" t="s">
        <v>9477</v>
      </c>
      <c r="P2822" t="s">
        <v>9477</v>
      </c>
      <c r="Y2822" t="s">
        <v>12871</v>
      </c>
    </row>
    <row r="2823" spans="1:25">
      <c r="A2823" t="s">
        <v>12872</v>
      </c>
      <c r="B2823" t="s">
        <v>12873</v>
      </c>
      <c r="D2823" t="s">
        <v>9473</v>
      </c>
      <c r="E2823" t="s">
        <v>9474</v>
      </c>
      <c r="J2823" t="s">
        <v>44</v>
      </c>
      <c r="K2823" t="s">
        <v>45</v>
      </c>
      <c r="L2823">
        <v>6</v>
      </c>
      <c r="M2823" t="s">
        <v>12874</v>
      </c>
      <c r="N2823" t="s">
        <v>47</v>
      </c>
      <c r="O2823" t="s">
        <v>9477</v>
      </c>
      <c r="P2823" t="s">
        <v>9477</v>
      </c>
      <c r="Y2823" t="s">
        <v>12875</v>
      </c>
    </row>
    <row r="2824" spans="1:25">
      <c r="A2824" t="s">
        <v>12876</v>
      </c>
      <c r="B2824" t="s">
        <v>12877</v>
      </c>
      <c r="D2824" t="s">
        <v>9473</v>
      </c>
      <c r="E2824" t="s">
        <v>9474</v>
      </c>
      <c r="J2824" t="s">
        <v>54</v>
      </c>
      <c r="K2824" t="s">
        <v>55</v>
      </c>
      <c r="L2824">
        <v>6</v>
      </c>
      <c r="M2824" t="s">
        <v>12874</v>
      </c>
      <c r="N2824" t="s">
        <v>47</v>
      </c>
      <c r="O2824" t="s">
        <v>9477</v>
      </c>
      <c r="P2824" t="s">
        <v>9477</v>
      </c>
      <c r="Y2824" t="s">
        <v>12878</v>
      </c>
    </row>
    <row r="2825" spans="1:25">
      <c r="A2825" t="s">
        <v>12879</v>
      </c>
      <c r="B2825" t="s">
        <v>12880</v>
      </c>
      <c r="D2825" t="s">
        <v>9473</v>
      </c>
      <c r="E2825" t="s">
        <v>9474</v>
      </c>
      <c r="J2825" t="s">
        <v>133</v>
      </c>
      <c r="K2825" t="s">
        <v>134</v>
      </c>
      <c r="L2825">
        <v>6</v>
      </c>
      <c r="M2825" t="s">
        <v>12881</v>
      </c>
      <c r="N2825" t="s">
        <v>135</v>
      </c>
      <c r="O2825" t="s">
        <v>9477</v>
      </c>
      <c r="P2825" t="s">
        <v>9477</v>
      </c>
      <c r="Y2825" t="s">
        <v>12882</v>
      </c>
    </row>
    <row r="2826" spans="1:25">
      <c r="A2826" t="s">
        <v>12883</v>
      </c>
      <c r="B2826" t="s">
        <v>12884</v>
      </c>
      <c r="D2826" t="s">
        <v>9473</v>
      </c>
      <c r="E2826" t="s">
        <v>9474</v>
      </c>
      <c r="J2826" t="s">
        <v>90</v>
      </c>
      <c r="K2826" t="s">
        <v>91</v>
      </c>
      <c r="L2826">
        <v>6</v>
      </c>
      <c r="M2826" t="s">
        <v>12885</v>
      </c>
      <c r="N2826" t="s">
        <v>47</v>
      </c>
      <c r="O2826" t="s">
        <v>9477</v>
      </c>
      <c r="P2826" t="s">
        <v>9477</v>
      </c>
      <c r="Y2826" t="s">
        <v>12886</v>
      </c>
    </row>
    <row r="2827" spans="1:25">
      <c r="A2827" t="s">
        <v>12887</v>
      </c>
      <c r="B2827" t="s">
        <v>12888</v>
      </c>
      <c r="D2827" t="s">
        <v>9473</v>
      </c>
      <c r="E2827" t="s">
        <v>9474</v>
      </c>
      <c r="J2827" t="s">
        <v>54</v>
      </c>
      <c r="K2827" t="s">
        <v>55</v>
      </c>
      <c r="L2827">
        <v>6</v>
      </c>
      <c r="M2827" t="s">
        <v>12885</v>
      </c>
      <c r="N2827" t="s">
        <v>47</v>
      </c>
      <c r="O2827" t="s">
        <v>9477</v>
      </c>
      <c r="P2827" t="s">
        <v>9477</v>
      </c>
      <c r="Y2827" t="s">
        <v>12889</v>
      </c>
    </row>
    <row r="2828" spans="1:25">
      <c r="A2828" t="s">
        <v>12890</v>
      </c>
      <c r="B2828" t="s">
        <v>12891</v>
      </c>
      <c r="D2828" t="s">
        <v>9473</v>
      </c>
      <c r="E2828" t="s">
        <v>9474</v>
      </c>
      <c r="J2828" t="s">
        <v>133</v>
      </c>
      <c r="K2828" t="s">
        <v>134</v>
      </c>
      <c r="L2828">
        <v>6</v>
      </c>
      <c r="M2828" t="s">
        <v>12892</v>
      </c>
      <c r="N2828" t="s">
        <v>135</v>
      </c>
      <c r="O2828" t="s">
        <v>9477</v>
      </c>
      <c r="P2828" t="s">
        <v>9477</v>
      </c>
      <c r="Y2828" t="s">
        <v>12893</v>
      </c>
    </row>
    <row r="2829" spans="1:25">
      <c r="A2829" t="s">
        <v>12894</v>
      </c>
      <c r="B2829" t="s">
        <v>12895</v>
      </c>
      <c r="D2829" t="s">
        <v>9473</v>
      </c>
      <c r="E2829" t="s">
        <v>9474</v>
      </c>
      <c r="J2829" t="s">
        <v>54</v>
      </c>
      <c r="K2829" t="s">
        <v>55</v>
      </c>
      <c r="L2829">
        <v>6</v>
      </c>
      <c r="M2829" t="s">
        <v>12896</v>
      </c>
      <c r="N2829" t="s">
        <v>47</v>
      </c>
      <c r="O2829" t="s">
        <v>9477</v>
      </c>
      <c r="P2829" t="s">
        <v>9477</v>
      </c>
      <c r="Y2829" t="s">
        <v>12897</v>
      </c>
    </row>
    <row r="2830" spans="1:25">
      <c r="A2830" t="s">
        <v>12898</v>
      </c>
      <c r="B2830" t="s">
        <v>12899</v>
      </c>
      <c r="D2830" t="s">
        <v>9473</v>
      </c>
      <c r="E2830" t="s">
        <v>9474</v>
      </c>
      <c r="H2830" t="s">
        <v>12900</v>
      </c>
      <c r="J2830" t="s">
        <v>133</v>
      </c>
      <c r="K2830" t="s">
        <v>134</v>
      </c>
      <c r="L2830">
        <v>6</v>
      </c>
      <c r="M2830" t="s">
        <v>12901</v>
      </c>
      <c r="N2830" t="s">
        <v>135</v>
      </c>
      <c r="O2830" t="s">
        <v>9477</v>
      </c>
      <c r="P2830" t="s">
        <v>9477</v>
      </c>
      <c r="Y2830" t="s">
        <v>12900</v>
      </c>
    </row>
    <row r="2831" spans="1:25">
      <c r="A2831" t="s">
        <v>12902</v>
      </c>
      <c r="B2831" t="s">
        <v>12903</v>
      </c>
      <c r="D2831" t="s">
        <v>9473</v>
      </c>
      <c r="E2831" t="s">
        <v>9474</v>
      </c>
      <c r="J2831" t="s">
        <v>390</v>
      </c>
      <c r="K2831" t="s">
        <v>390</v>
      </c>
      <c r="L2831">
        <v>6</v>
      </c>
      <c r="M2831" t="s">
        <v>12904</v>
      </c>
      <c r="N2831" t="s">
        <v>685</v>
      </c>
      <c r="O2831" t="s">
        <v>9477</v>
      </c>
      <c r="P2831" t="s">
        <v>9477</v>
      </c>
      <c r="Y2831" t="s">
        <v>12905</v>
      </c>
    </row>
    <row r="2832" spans="1:25">
      <c r="A2832" t="s">
        <v>12906</v>
      </c>
      <c r="B2832" t="s">
        <v>12907</v>
      </c>
      <c r="D2832" t="s">
        <v>9473</v>
      </c>
      <c r="E2832" t="s">
        <v>9474</v>
      </c>
      <c r="J2832" t="s">
        <v>90</v>
      </c>
      <c r="K2832" t="s">
        <v>91</v>
      </c>
      <c r="L2832">
        <v>6</v>
      </c>
      <c r="M2832" t="s">
        <v>12908</v>
      </c>
      <c r="N2832" t="s">
        <v>47</v>
      </c>
      <c r="O2832" t="s">
        <v>9477</v>
      </c>
      <c r="P2832" t="s">
        <v>9477</v>
      </c>
      <c r="Y2832" t="s">
        <v>12909</v>
      </c>
    </row>
    <row r="2833" spans="1:25">
      <c r="A2833" t="s">
        <v>12910</v>
      </c>
      <c r="B2833" t="s">
        <v>12911</v>
      </c>
      <c r="D2833" t="s">
        <v>9473</v>
      </c>
      <c r="E2833" t="s">
        <v>9474</v>
      </c>
      <c r="H2833" t="s">
        <v>12912</v>
      </c>
      <c r="J2833" t="s">
        <v>234</v>
      </c>
      <c r="K2833" t="s">
        <v>235</v>
      </c>
      <c r="L2833">
        <v>6</v>
      </c>
      <c r="M2833" t="s">
        <v>12913</v>
      </c>
      <c r="N2833" t="s">
        <v>47</v>
      </c>
      <c r="O2833" t="s">
        <v>9477</v>
      </c>
      <c r="P2833" t="s">
        <v>9477</v>
      </c>
      <c r="Y2833" t="s">
        <v>12912</v>
      </c>
    </row>
    <row r="2834" spans="1:25">
      <c r="A2834" t="s">
        <v>12914</v>
      </c>
      <c r="B2834" t="s">
        <v>12915</v>
      </c>
      <c r="D2834" t="s">
        <v>9473</v>
      </c>
      <c r="E2834" t="s">
        <v>9474</v>
      </c>
      <c r="J2834" t="s">
        <v>78</v>
      </c>
      <c r="K2834" t="s">
        <v>79</v>
      </c>
      <c r="L2834">
        <v>6</v>
      </c>
      <c r="M2834" t="s">
        <v>12916</v>
      </c>
      <c r="N2834" t="s">
        <v>47</v>
      </c>
      <c r="O2834" t="s">
        <v>9477</v>
      </c>
      <c r="P2834" t="s">
        <v>9477</v>
      </c>
      <c r="Y2834" t="s">
        <v>12917</v>
      </c>
    </row>
    <row r="2835" spans="1:25">
      <c r="A2835" t="s">
        <v>12918</v>
      </c>
      <c r="B2835" t="s">
        <v>12919</v>
      </c>
      <c r="D2835" t="s">
        <v>9473</v>
      </c>
      <c r="E2835" t="s">
        <v>9474</v>
      </c>
      <c r="H2835" t="s">
        <v>12920</v>
      </c>
      <c r="J2835" t="s">
        <v>133</v>
      </c>
      <c r="K2835" t="s">
        <v>134</v>
      </c>
      <c r="L2835">
        <v>6</v>
      </c>
      <c r="M2835" t="s">
        <v>12921</v>
      </c>
      <c r="N2835" t="s">
        <v>135</v>
      </c>
      <c r="O2835" t="s">
        <v>9477</v>
      </c>
      <c r="P2835" t="s">
        <v>9477</v>
      </c>
      <c r="Y2835" t="s">
        <v>12920</v>
      </c>
    </row>
    <row r="2836" spans="1:25">
      <c r="A2836" t="s">
        <v>12922</v>
      </c>
      <c r="B2836" t="s">
        <v>12923</v>
      </c>
      <c r="D2836" t="s">
        <v>9473</v>
      </c>
      <c r="E2836" t="s">
        <v>9474</v>
      </c>
      <c r="H2836" t="s">
        <v>12924</v>
      </c>
      <c r="J2836" t="s">
        <v>78</v>
      </c>
      <c r="K2836" t="s">
        <v>79</v>
      </c>
      <c r="L2836">
        <v>6</v>
      </c>
      <c r="M2836" t="s">
        <v>12925</v>
      </c>
      <c r="N2836" t="s">
        <v>47</v>
      </c>
      <c r="O2836" t="s">
        <v>9477</v>
      </c>
      <c r="P2836" t="s">
        <v>9477</v>
      </c>
      <c r="Y2836" t="s">
        <v>12924</v>
      </c>
    </row>
    <row r="2837" spans="1:25">
      <c r="A2837" t="s">
        <v>12926</v>
      </c>
      <c r="B2837" t="s">
        <v>12927</v>
      </c>
      <c r="D2837" t="s">
        <v>9473</v>
      </c>
      <c r="E2837" t="s">
        <v>9474</v>
      </c>
      <c r="H2837" t="s">
        <v>12928</v>
      </c>
      <c r="J2837" t="s">
        <v>90</v>
      </c>
      <c r="K2837" t="s">
        <v>91</v>
      </c>
      <c r="L2837">
        <v>6</v>
      </c>
      <c r="M2837" t="s">
        <v>12929</v>
      </c>
      <c r="N2837" t="s">
        <v>47</v>
      </c>
      <c r="O2837" t="s">
        <v>9477</v>
      </c>
      <c r="P2837" t="s">
        <v>9477</v>
      </c>
      <c r="Y2837" t="s">
        <v>12928</v>
      </c>
    </row>
    <row r="2838" spans="1:25">
      <c r="A2838" t="s">
        <v>12930</v>
      </c>
      <c r="B2838" t="s">
        <v>12931</v>
      </c>
      <c r="D2838" t="s">
        <v>9473</v>
      </c>
      <c r="E2838" t="s">
        <v>9474</v>
      </c>
      <c r="H2838" t="s">
        <v>12932</v>
      </c>
      <c r="J2838" t="s">
        <v>90</v>
      </c>
      <c r="K2838" t="s">
        <v>91</v>
      </c>
      <c r="L2838">
        <v>6</v>
      </c>
      <c r="M2838" t="s">
        <v>12933</v>
      </c>
      <c r="N2838" t="s">
        <v>47</v>
      </c>
      <c r="O2838" t="s">
        <v>9477</v>
      </c>
      <c r="P2838" t="s">
        <v>9477</v>
      </c>
      <c r="Y2838" t="s">
        <v>12932</v>
      </c>
    </row>
    <row r="2839" spans="1:25">
      <c r="A2839" t="s">
        <v>12934</v>
      </c>
      <c r="B2839" t="s">
        <v>12935</v>
      </c>
      <c r="D2839" t="s">
        <v>9473</v>
      </c>
      <c r="E2839" t="s">
        <v>9474</v>
      </c>
      <c r="J2839" t="s">
        <v>54</v>
      </c>
      <c r="K2839" t="s">
        <v>55</v>
      </c>
      <c r="L2839">
        <v>6</v>
      </c>
      <c r="M2839" t="s">
        <v>12936</v>
      </c>
      <c r="N2839" t="s">
        <v>47</v>
      </c>
      <c r="O2839" t="s">
        <v>9477</v>
      </c>
      <c r="P2839" t="s">
        <v>9477</v>
      </c>
      <c r="Y2839" t="s">
        <v>12937</v>
      </c>
    </row>
    <row r="2840" spans="1:25">
      <c r="A2840" t="s">
        <v>12938</v>
      </c>
      <c r="B2840" t="s">
        <v>12939</v>
      </c>
      <c r="D2840" t="s">
        <v>9473</v>
      </c>
      <c r="E2840" t="s">
        <v>9474</v>
      </c>
      <c r="J2840" t="s">
        <v>90</v>
      </c>
      <c r="K2840" t="s">
        <v>91</v>
      </c>
      <c r="L2840">
        <v>6</v>
      </c>
      <c r="M2840" t="s">
        <v>12940</v>
      </c>
      <c r="N2840" t="s">
        <v>47</v>
      </c>
      <c r="O2840" t="s">
        <v>9477</v>
      </c>
      <c r="P2840" t="s">
        <v>9477</v>
      </c>
      <c r="Y2840" t="s">
        <v>12941</v>
      </c>
    </row>
    <row r="2841" spans="1:25">
      <c r="A2841" t="s">
        <v>12942</v>
      </c>
      <c r="B2841" t="s">
        <v>12943</v>
      </c>
      <c r="D2841" t="s">
        <v>9473</v>
      </c>
      <c r="E2841" t="s">
        <v>9474</v>
      </c>
      <c r="H2841" t="s">
        <v>12944</v>
      </c>
      <c r="J2841" t="s">
        <v>353</v>
      </c>
      <c r="K2841" t="s">
        <v>354</v>
      </c>
      <c r="L2841">
        <v>7</v>
      </c>
      <c r="M2841" t="s">
        <v>12945</v>
      </c>
      <c r="N2841" t="s">
        <v>685</v>
      </c>
      <c r="O2841" t="s">
        <v>9477</v>
      </c>
      <c r="P2841" t="s">
        <v>9477</v>
      </c>
      <c r="Y2841" t="s">
        <v>12944</v>
      </c>
    </row>
    <row r="2842" spans="1:25">
      <c r="A2842" t="s">
        <v>12946</v>
      </c>
      <c r="B2842" t="s">
        <v>12947</v>
      </c>
      <c r="D2842" t="s">
        <v>9473</v>
      </c>
      <c r="E2842" t="s">
        <v>9474</v>
      </c>
      <c r="H2842" t="s">
        <v>12948</v>
      </c>
      <c r="J2842" t="s">
        <v>54</v>
      </c>
      <c r="K2842" t="s">
        <v>55</v>
      </c>
      <c r="L2842">
        <v>6</v>
      </c>
      <c r="M2842" t="s">
        <v>12949</v>
      </c>
      <c r="N2842" t="s">
        <v>47</v>
      </c>
      <c r="O2842" t="s">
        <v>9477</v>
      </c>
      <c r="P2842" t="s">
        <v>9477</v>
      </c>
      <c r="Y2842" t="s">
        <v>12948</v>
      </c>
    </row>
    <row r="2843" spans="1:25">
      <c r="A2843" t="s">
        <v>12950</v>
      </c>
      <c r="B2843" t="s">
        <v>12951</v>
      </c>
      <c r="D2843" t="s">
        <v>9473</v>
      </c>
      <c r="E2843" t="s">
        <v>9474</v>
      </c>
      <c r="J2843" t="s">
        <v>78</v>
      </c>
      <c r="K2843" t="s">
        <v>79</v>
      </c>
      <c r="L2843">
        <v>6</v>
      </c>
      <c r="M2843" t="s">
        <v>12952</v>
      </c>
      <c r="N2843" t="s">
        <v>47</v>
      </c>
      <c r="O2843" t="s">
        <v>9477</v>
      </c>
      <c r="P2843" t="s">
        <v>9477</v>
      </c>
      <c r="Y2843" t="s">
        <v>12953</v>
      </c>
    </row>
    <row r="2844" spans="1:25">
      <c r="A2844" t="s">
        <v>12954</v>
      </c>
      <c r="B2844" t="s">
        <v>12955</v>
      </c>
      <c r="D2844" t="s">
        <v>9473</v>
      </c>
      <c r="E2844" t="s">
        <v>9474</v>
      </c>
      <c r="J2844" t="s">
        <v>78</v>
      </c>
      <c r="K2844" t="s">
        <v>79</v>
      </c>
      <c r="L2844">
        <v>6</v>
      </c>
      <c r="M2844" t="s">
        <v>12956</v>
      </c>
      <c r="N2844" t="s">
        <v>47</v>
      </c>
      <c r="O2844" t="s">
        <v>9477</v>
      </c>
      <c r="P2844" t="s">
        <v>9477</v>
      </c>
      <c r="Y2844" t="s">
        <v>12957</v>
      </c>
    </row>
    <row r="2845" spans="1:25">
      <c r="A2845" t="s">
        <v>12958</v>
      </c>
      <c r="B2845" t="s">
        <v>12959</v>
      </c>
      <c r="D2845" t="s">
        <v>9473</v>
      </c>
      <c r="E2845" t="s">
        <v>9474</v>
      </c>
      <c r="H2845" t="s">
        <v>12960</v>
      </c>
      <c r="J2845" t="s">
        <v>90</v>
      </c>
      <c r="K2845" t="s">
        <v>91</v>
      </c>
      <c r="L2845">
        <v>6</v>
      </c>
      <c r="M2845" t="s">
        <v>12956</v>
      </c>
      <c r="N2845" t="s">
        <v>47</v>
      </c>
      <c r="O2845" t="s">
        <v>9477</v>
      </c>
      <c r="P2845" t="s">
        <v>9477</v>
      </c>
      <c r="Y2845" t="s">
        <v>12960</v>
      </c>
    </row>
    <row r="2846" spans="1:25">
      <c r="A2846" t="s">
        <v>12961</v>
      </c>
      <c r="B2846" t="s">
        <v>12962</v>
      </c>
      <c r="D2846" t="s">
        <v>9473</v>
      </c>
      <c r="E2846" t="s">
        <v>9474</v>
      </c>
      <c r="H2846" t="s">
        <v>12963</v>
      </c>
      <c r="J2846" t="s">
        <v>54</v>
      </c>
      <c r="K2846" t="s">
        <v>55</v>
      </c>
      <c r="L2846">
        <v>6</v>
      </c>
      <c r="M2846" t="s">
        <v>12956</v>
      </c>
      <c r="N2846" t="s">
        <v>47</v>
      </c>
      <c r="O2846" t="s">
        <v>9477</v>
      </c>
      <c r="P2846" t="s">
        <v>9477</v>
      </c>
      <c r="Y2846" t="s">
        <v>12963</v>
      </c>
    </row>
    <row r="2847" spans="1:25">
      <c r="A2847" t="s">
        <v>12964</v>
      </c>
      <c r="B2847" t="s">
        <v>12965</v>
      </c>
      <c r="D2847" t="s">
        <v>9473</v>
      </c>
      <c r="E2847" t="s">
        <v>9474</v>
      </c>
      <c r="H2847" t="s">
        <v>12966</v>
      </c>
      <c r="J2847" t="s">
        <v>234</v>
      </c>
      <c r="K2847" t="s">
        <v>235</v>
      </c>
      <c r="L2847">
        <v>6</v>
      </c>
      <c r="M2847" t="s">
        <v>12967</v>
      </c>
      <c r="N2847" t="s">
        <v>47</v>
      </c>
      <c r="O2847" t="s">
        <v>9477</v>
      </c>
      <c r="P2847" t="s">
        <v>9477</v>
      </c>
      <c r="Y2847" t="s">
        <v>12966</v>
      </c>
    </row>
    <row r="2848" spans="1:25">
      <c r="A2848" t="s">
        <v>12968</v>
      </c>
      <c r="B2848" t="s">
        <v>12969</v>
      </c>
      <c r="D2848" t="s">
        <v>9473</v>
      </c>
      <c r="E2848" t="s">
        <v>9474</v>
      </c>
      <c r="J2848" t="s">
        <v>90</v>
      </c>
      <c r="K2848" t="s">
        <v>91</v>
      </c>
      <c r="L2848">
        <v>6</v>
      </c>
      <c r="M2848" t="s">
        <v>12970</v>
      </c>
      <c r="N2848" t="s">
        <v>47</v>
      </c>
      <c r="O2848" t="s">
        <v>9477</v>
      </c>
      <c r="P2848" t="s">
        <v>9477</v>
      </c>
      <c r="Y2848" t="s">
        <v>12971</v>
      </c>
    </row>
    <row r="2849" spans="1:25">
      <c r="A2849" t="s">
        <v>12972</v>
      </c>
      <c r="B2849" t="s">
        <v>12973</v>
      </c>
      <c r="D2849" t="s">
        <v>9473</v>
      </c>
      <c r="E2849" t="s">
        <v>9474</v>
      </c>
      <c r="H2849" t="s">
        <v>12974</v>
      </c>
      <c r="J2849" t="s">
        <v>133</v>
      </c>
      <c r="K2849" t="s">
        <v>134</v>
      </c>
      <c r="L2849">
        <v>6</v>
      </c>
      <c r="M2849" t="s">
        <v>12975</v>
      </c>
      <c r="N2849" t="s">
        <v>135</v>
      </c>
      <c r="O2849" t="s">
        <v>9477</v>
      </c>
      <c r="P2849" t="s">
        <v>9477</v>
      </c>
      <c r="Y2849" t="s">
        <v>12974</v>
      </c>
    </row>
    <row r="2850" spans="1:25">
      <c r="A2850" t="s">
        <v>12976</v>
      </c>
      <c r="B2850" t="s">
        <v>12977</v>
      </c>
      <c r="D2850" t="s">
        <v>9473</v>
      </c>
      <c r="E2850" t="s">
        <v>9474</v>
      </c>
      <c r="J2850" t="s">
        <v>765</v>
      </c>
      <c r="K2850" t="s">
        <v>766</v>
      </c>
      <c r="L2850">
        <v>6</v>
      </c>
      <c r="M2850" t="s">
        <v>12975</v>
      </c>
      <c r="N2850" t="s">
        <v>685</v>
      </c>
      <c r="O2850" t="s">
        <v>9477</v>
      </c>
      <c r="P2850" t="s">
        <v>9477</v>
      </c>
      <c r="Y2850" t="s">
        <v>12978</v>
      </c>
    </row>
    <row r="2851" spans="1:25">
      <c r="A2851" t="s">
        <v>12979</v>
      </c>
      <c r="B2851" t="s">
        <v>12980</v>
      </c>
      <c r="D2851" t="s">
        <v>9473</v>
      </c>
      <c r="E2851" t="s">
        <v>9474</v>
      </c>
      <c r="J2851" t="s">
        <v>78</v>
      </c>
      <c r="K2851" t="s">
        <v>79</v>
      </c>
      <c r="L2851">
        <v>6</v>
      </c>
      <c r="M2851" t="s">
        <v>12981</v>
      </c>
      <c r="N2851" t="s">
        <v>47</v>
      </c>
      <c r="O2851" t="s">
        <v>9477</v>
      </c>
      <c r="P2851" t="s">
        <v>9477</v>
      </c>
      <c r="Y2851" t="s">
        <v>12982</v>
      </c>
    </row>
    <row r="2852" spans="1:25">
      <c r="A2852" t="s">
        <v>12983</v>
      </c>
      <c r="B2852" t="s">
        <v>12984</v>
      </c>
      <c r="D2852" t="s">
        <v>9473</v>
      </c>
      <c r="E2852" t="s">
        <v>9474</v>
      </c>
      <c r="J2852" t="s">
        <v>353</v>
      </c>
      <c r="K2852" t="s">
        <v>354</v>
      </c>
      <c r="L2852">
        <v>7</v>
      </c>
      <c r="M2852" t="s">
        <v>12985</v>
      </c>
      <c r="N2852" t="s">
        <v>685</v>
      </c>
      <c r="O2852" t="s">
        <v>9477</v>
      </c>
      <c r="P2852" t="s">
        <v>9477</v>
      </c>
      <c r="Y2852" t="s">
        <v>12986</v>
      </c>
    </row>
    <row r="2853" spans="1:25">
      <c r="A2853" t="s">
        <v>12987</v>
      </c>
      <c r="B2853" t="s">
        <v>12988</v>
      </c>
      <c r="D2853" t="s">
        <v>9473</v>
      </c>
      <c r="E2853" t="s">
        <v>9474</v>
      </c>
      <c r="J2853" t="s">
        <v>90</v>
      </c>
      <c r="K2853" t="s">
        <v>91</v>
      </c>
      <c r="L2853">
        <v>6</v>
      </c>
      <c r="M2853" t="s">
        <v>12989</v>
      </c>
      <c r="N2853" t="s">
        <v>47</v>
      </c>
      <c r="O2853" t="s">
        <v>9477</v>
      </c>
      <c r="P2853" t="s">
        <v>9477</v>
      </c>
      <c r="Y2853" t="s">
        <v>12990</v>
      </c>
    </row>
    <row r="2854" spans="1:25">
      <c r="A2854" t="s">
        <v>12991</v>
      </c>
      <c r="B2854" t="s">
        <v>12992</v>
      </c>
      <c r="D2854" t="s">
        <v>9473</v>
      </c>
      <c r="E2854" t="s">
        <v>9474</v>
      </c>
      <c r="J2854" t="s">
        <v>371</v>
      </c>
      <c r="K2854" t="s">
        <v>372</v>
      </c>
      <c r="L2854">
        <v>6</v>
      </c>
      <c r="M2854" t="s">
        <v>12989</v>
      </c>
      <c r="N2854" t="s">
        <v>47</v>
      </c>
      <c r="O2854" t="s">
        <v>9477</v>
      </c>
      <c r="P2854" t="s">
        <v>9477</v>
      </c>
      <c r="Y2854" t="s">
        <v>12993</v>
      </c>
    </row>
    <row r="2855" spans="1:25">
      <c r="A2855" t="s">
        <v>12994</v>
      </c>
      <c r="B2855" t="s">
        <v>12995</v>
      </c>
      <c r="D2855" t="s">
        <v>9473</v>
      </c>
      <c r="E2855" t="s">
        <v>9474</v>
      </c>
      <c r="H2855" t="s">
        <v>12996</v>
      </c>
      <c r="J2855" t="s">
        <v>90</v>
      </c>
      <c r="K2855" t="s">
        <v>91</v>
      </c>
      <c r="L2855">
        <v>6</v>
      </c>
      <c r="M2855" t="s">
        <v>12997</v>
      </c>
      <c r="N2855" t="s">
        <v>47</v>
      </c>
      <c r="O2855" t="s">
        <v>9477</v>
      </c>
      <c r="P2855" t="s">
        <v>9477</v>
      </c>
      <c r="Y2855" t="s">
        <v>12996</v>
      </c>
    </row>
    <row r="2856" spans="1:25">
      <c r="A2856" t="s">
        <v>12998</v>
      </c>
      <c r="B2856" t="s">
        <v>12999</v>
      </c>
      <c r="D2856" t="s">
        <v>9473</v>
      </c>
      <c r="E2856" t="s">
        <v>9474</v>
      </c>
      <c r="H2856" t="s">
        <v>13000</v>
      </c>
      <c r="J2856" t="s">
        <v>133</v>
      </c>
      <c r="K2856" t="s">
        <v>134</v>
      </c>
      <c r="L2856">
        <v>6</v>
      </c>
      <c r="M2856" t="s">
        <v>13001</v>
      </c>
      <c r="N2856" t="s">
        <v>135</v>
      </c>
      <c r="O2856" t="s">
        <v>9477</v>
      </c>
      <c r="P2856" t="s">
        <v>9477</v>
      </c>
      <c r="Y2856" t="s">
        <v>13000</v>
      </c>
    </row>
    <row r="2857" spans="1:25">
      <c r="A2857" t="s">
        <v>13002</v>
      </c>
      <c r="B2857" t="s">
        <v>13003</v>
      </c>
      <c r="D2857" t="s">
        <v>9473</v>
      </c>
      <c r="E2857" t="s">
        <v>9474</v>
      </c>
      <c r="H2857" t="s">
        <v>13004</v>
      </c>
      <c r="J2857" t="s">
        <v>54</v>
      </c>
      <c r="K2857" t="s">
        <v>55</v>
      </c>
      <c r="L2857">
        <v>6</v>
      </c>
      <c r="M2857" t="s">
        <v>13005</v>
      </c>
      <c r="N2857" t="s">
        <v>47</v>
      </c>
      <c r="O2857" t="s">
        <v>9477</v>
      </c>
      <c r="P2857" t="s">
        <v>9477</v>
      </c>
      <c r="Y2857" t="s">
        <v>13004</v>
      </c>
    </row>
    <row r="2858" spans="1:25">
      <c r="A2858" t="s">
        <v>13006</v>
      </c>
      <c r="B2858" t="s">
        <v>13007</v>
      </c>
      <c r="D2858" t="s">
        <v>9473</v>
      </c>
      <c r="E2858" t="s">
        <v>9474</v>
      </c>
      <c r="J2858" t="s">
        <v>90</v>
      </c>
      <c r="K2858" t="s">
        <v>91</v>
      </c>
      <c r="L2858">
        <v>6</v>
      </c>
      <c r="M2858" t="s">
        <v>13005</v>
      </c>
      <c r="N2858" t="s">
        <v>47</v>
      </c>
      <c r="O2858" t="s">
        <v>9477</v>
      </c>
      <c r="P2858" t="s">
        <v>9477</v>
      </c>
      <c r="Y2858" t="s">
        <v>13008</v>
      </c>
    </row>
    <row r="2859" spans="1:25">
      <c r="A2859" t="s">
        <v>13009</v>
      </c>
      <c r="B2859" t="s">
        <v>13010</v>
      </c>
      <c r="D2859" t="s">
        <v>9473</v>
      </c>
      <c r="E2859" t="s">
        <v>9474</v>
      </c>
      <c r="J2859" t="s">
        <v>90</v>
      </c>
      <c r="K2859" t="s">
        <v>91</v>
      </c>
      <c r="L2859">
        <v>6</v>
      </c>
      <c r="M2859" t="s">
        <v>13011</v>
      </c>
      <c r="N2859" t="s">
        <v>47</v>
      </c>
      <c r="O2859" t="s">
        <v>9477</v>
      </c>
      <c r="P2859" t="s">
        <v>9477</v>
      </c>
      <c r="Y2859" t="s">
        <v>13012</v>
      </c>
    </row>
    <row r="2860" spans="1:25">
      <c r="A2860" t="s">
        <v>13013</v>
      </c>
      <c r="B2860" t="s">
        <v>13014</v>
      </c>
      <c r="D2860" t="s">
        <v>9473</v>
      </c>
      <c r="E2860" t="s">
        <v>9474</v>
      </c>
      <c r="J2860" t="s">
        <v>133</v>
      </c>
      <c r="K2860" t="s">
        <v>134</v>
      </c>
      <c r="L2860">
        <v>6</v>
      </c>
      <c r="M2860" t="s">
        <v>13015</v>
      </c>
      <c r="N2860" t="s">
        <v>685</v>
      </c>
      <c r="O2860" t="s">
        <v>9477</v>
      </c>
      <c r="P2860" t="s">
        <v>9477</v>
      </c>
      <c r="Y2860" t="s">
        <v>13016</v>
      </c>
    </row>
    <row r="2861" spans="1:25">
      <c r="A2861" t="s">
        <v>13017</v>
      </c>
      <c r="B2861" t="s">
        <v>13018</v>
      </c>
      <c r="D2861" t="s">
        <v>9473</v>
      </c>
      <c r="E2861" t="s">
        <v>9474</v>
      </c>
      <c r="J2861" t="s">
        <v>90</v>
      </c>
      <c r="K2861" t="s">
        <v>91</v>
      </c>
      <c r="L2861">
        <v>6</v>
      </c>
      <c r="M2861" t="s">
        <v>13019</v>
      </c>
      <c r="N2861" t="s">
        <v>47</v>
      </c>
      <c r="O2861" t="s">
        <v>9477</v>
      </c>
      <c r="P2861" t="s">
        <v>9477</v>
      </c>
      <c r="Y2861" t="s">
        <v>13020</v>
      </c>
    </row>
    <row r="2862" spans="1:25">
      <c r="A2862" t="s">
        <v>13021</v>
      </c>
      <c r="B2862" t="s">
        <v>13022</v>
      </c>
      <c r="D2862" t="s">
        <v>9473</v>
      </c>
      <c r="E2862" t="s">
        <v>9474</v>
      </c>
      <c r="J2862" t="s">
        <v>44</v>
      </c>
      <c r="K2862" t="s">
        <v>45</v>
      </c>
      <c r="L2862">
        <v>6</v>
      </c>
      <c r="M2862" t="s">
        <v>13023</v>
      </c>
      <c r="N2862" t="s">
        <v>47</v>
      </c>
      <c r="O2862" t="s">
        <v>9477</v>
      </c>
      <c r="P2862" t="s">
        <v>9477</v>
      </c>
      <c r="Y2862" t="s">
        <v>13024</v>
      </c>
    </row>
    <row r="2863" spans="1:25">
      <c r="A2863" t="s">
        <v>13025</v>
      </c>
      <c r="B2863" t="s">
        <v>13026</v>
      </c>
      <c r="D2863" t="s">
        <v>9473</v>
      </c>
      <c r="E2863" t="s">
        <v>9474</v>
      </c>
      <c r="J2863" t="s">
        <v>133</v>
      </c>
      <c r="K2863" t="s">
        <v>134</v>
      </c>
      <c r="L2863">
        <v>6</v>
      </c>
      <c r="M2863" t="s">
        <v>13027</v>
      </c>
      <c r="N2863" t="s">
        <v>135</v>
      </c>
      <c r="O2863" t="s">
        <v>9477</v>
      </c>
      <c r="P2863" t="s">
        <v>9477</v>
      </c>
      <c r="Y2863" t="s">
        <v>13028</v>
      </c>
    </row>
    <row r="2864" spans="1:25">
      <c r="A2864" t="s">
        <v>13029</v>
      </c>
      <c r="B2864" t="s">
        <v>13030</v>
      </c>
      <c r="D2864" t="s">
        <v>9473</v>
      </c>
      <c r="E2864" t="s">
        <v>9474</v>
      </c>
      <c r="H2864" t="s">
        <v>13031</v>
      </c>
      <c r="J2864" t="s">
        <v>78</v>
      </c>
      <c r="K2864" t="s">
        <v>79</v>
      </c>
      <c r="L2864">
        <v>6</v>
      </c>
      <c r="M2864" t="s">
        <v>13027</v>
      </c>
      <c r="N2864" t="s">
        <v>47</v>
      </c>
      <c r="O2864" t="s">
        <v>9477</v>
      </c>
      <c r="P2864" t="s">
        <v>9477</v>
      </c>
      <c r="Y2864" t="s">
        <v>13031</v>
      </c>
    </row>
    <row r="2865" spans="1:25">
      <c r="A2865" t="s">
        <v>13032</v>
      </c>
      <c r="B2865" t="s">
        <v>13033</v>
      </c>
      <c r="D2865" t="s">
        <v>9473</v>
      </c>
      <c r="E2865" t="s">
        <v>9474</v>
      </c>
      <c r="H2865" t="s">
        <v>13034</v>
      </c>
      <c r="J2865" t="s">
        <v>90</v>
      </c>
      <c r="K2865" t="s">
        <v>91</v>
      </c>
      <c r="L2865">
        <v>6</v>
      </c>
      <c r="M2865" t="s">
        <v>13027</v>
      </c>
      <c r="N2865" t="s">
        <v>47</v>
      </c>
      <c r="O2865" t="s">
        <v>9477</v>
      </c>
      <c r="P2865" t="s">
        <v>9477</v>
      </c>
      <c r="Y2865" t="s">
        <v>13034</v>
      </c>
    </row>
    <row r="2866" spans="1:25">
      <c r="A2866" t="s">
        <v>13035</v>
      </c>
      <c r="B2866" t="s">
        <v>13036</v>
      </c>
      <c r="D2866" t="s">
        <v>9473</v>
      </c>
      <c r="E2866" t="s">
        <v>9474</v>
      </c>
      <c r="J2866" t="s">
        <v>54</v>
      </c>
      <c r="K2866" t="s">
        <v>55</v>
      </c>
      <c r="L2866">
        <v>6</v>
      </c>
      <c r="M2866" t="s">
        <v>13037</v>
      </c>
      <c r="N2866" t="s">
        <v>47</v>
      </c>
      <c r="O2866" t="s">
        <v>9477</v>
      </c>
      <c r="P2866" t="s">
        <v>9477</v>
      </c>
      <c r="Y2866" t="s">
        <v>13038</v>
      </c>
    </row>
    <row r="2867" spans="1:25">
      <c r="A2867" t="s">
        <v>13039</v>
      </c>
      <c r="B2867" t="s">
        <v>13040</v>
      </c>
      <c r="D2867" t="s">
        <v>9473</v>
      </c>
      <c r="E2867" t="s">
        <v>9474</v>
      </c>
      <c r="J2867" t="s">
        <v>54</v>
      </c>
      <c r="K2867" t="s">
        <v>55</v>
      </c>
      <c r="L2867">
        <v>6</v>
      </c>
      <c r="M2867" t="s">
        <v>13037</v>
      </c>
      <c r="N2867" t="s">
        <v>47</v>
      </c>
      <c r="O2867" t="s">
        <v>9477</v>
      </c>
      <c r="P2867" t="s">
        <v>9477</v>
      </c>
      <c r="Y2867" t="s">
        <v>13041</v>
      </c>
    </row>
    <row r="2868" spans="1:25">
      <c r="A2868" t="s">
        <v>13042</v>
      </c>
      <c r="B2868" t="s">
        <v>13043</v>
      </c>
      <c r="D2868" t="s">
        <v>9473</v>
      </c>
      <c r="E2868" t="s">
        <v>9474</v>
      </c>
      <c r="H2868" t="s">
        <v>13044</v>
      </c>
      <c r="J2868" t="s">
        <v>133</v>
      </c>
      <c r="K2868" t="s">
        <v>134</v>
      </c>
      <c r="L2868">
        <v>6</v>
      </c>
      <c r="M2868" t="s">
        <v>13045</v>
      </c>
      <c r="N2868" t="s">
        <v>685</v>
      </c>
      <c r="O2868" t="s">
        <v>9477</v>
      </c>
      <c r="P2868" t="s">
        <v>9477</v>
      </c>
      <c r="Y2868" t="s">
        <v>13044</v>
      </c>
    </row>
    <row r="2869" spans="1:25">
      <c r="A2869" t="s">
        <v>13046</v>
      </c>
      <c r="B2869" t="s">
        <v>13047</v>
      </c>
      <c r="D2869" t="s">
        <v>9473</v>
      </c>
      <c r="E2869" t="s">
        <v>9474</v>
      </c>
      <c r="J2869" t="s">
        <v>44</v>
      </c>
      <c r="K2869" t="s">
        <v>45</v>
      </c>
      <c r="L2869">
        <v>6</v>
      </c>
      <c r="M2869" t="s">
        <v>13045</v>
      </c>
      <c r="N2869" t="s">
        <v>47</v>
      </c>
      <c r="O2869" t="s">
        <v>9477</v>
      </c>
      <c r="P2869" t="s">
        <v>9477</v>
      </c>
      <c r="Y2869" t="s">
        <v>13048</v>
      </c>
    </row>
    <row r="2870" spans="1:25">
      <c r="A2870" t="s">
        <v>13049</v>
      </c>
      <c r="B2870" t="s">
        <v>13050</v>
      </c>
      <c r="D2870" t="s">
        <v>9473</v>
      </c>
      <c r="E2870" t="s">
        <v>9474</v>
      </c>
      <c r="J2870" t="s">
        <v>54</v>
      </c>
      <c r="K2870" t="s">
        <v>55</v>
      </c>
      <c r="L2870">
        <v>6</v>
      </c>
      <c r="M2870" t="s">
        <v>13051</v>
      </c>
      <c r="N2870" t="s">
        <v>47</v>
      </c>
      <c r="O2870" t="s">
        <v>9477</v>
      </c>
      <c r="P2870" t="s">
        <v>9477</v>
      </c>
      <c r="Y2870" t="s">
        <v>13052</v>
      </c>
    </row>
    <row r="2871" spans="1:25">
      <c r="A2871" t="s">
        <v>13053</v>
      </c>
      <c r="B2871" t="s">
        <v>13054</v>
      </c>
      <c r="D2871" t="s">
        <v>9473</v>
      </c>
      <c r="E2871" t="s">
        <v>9474</v>
      </c>
      <c r="J2871" t="s">
        <v>44</v>
      </c>
      <c r="K2871" t="s">
        <v>45</v>
      </c>
      <c r="L2871">
        <v>6</v>
      </c>
      <c r="M2871" t="s">
        <v>13051</v>
      </c>
      <c r="N2871" t="s">
        <v>47</v>
      </c>
      <c r="O2871" t="s">
        <v>9477</v>
      </c>
      <c r="P2871" t="s">
        <v>9477</v>
      </c>
      <c r="Y2871" t="s">
        <v>13055</v>
      </c>
    </row>
    <row r="2872" spans="1:25">
      <c r="A2872" t="s">
        <v>13056</v>
      </c>
      <c r="B2872" t="s">
        <v>13057</v>
      </c>
      <c r="D2872" t="s">
        <v>9473</v>
      </c>
      <c r="E2872" t="s">
        <v>9474</v>
      </c>
      <c r="J2872" t="s">
        <v>90</v>
      </c>
      <c r="K2872" t="s">
        <v>91</v>
      </c>
      <c r="L2872">
        <v>6</v>
      </c>
      <c r="M2872" t="s">
        <v>13051</v>
      </c>
      <c r="N2872" t="s">
        <v>47</v>
      </c>
      <c r="O2872" t="s">
        <v>9477</v>
      </c>
      <c r="P2872" t="s">
        <v>9477</v>
      </c>
      <c r="Y2872" t="s">
        <v>13058</v>
      </c>
    </row>
    <row r="2873" spans="1:25">
      <c r="A2873" t="s">
        <v>13059</v>
      </c>
      <c r="B2873" t="s">
        <v>13060</v>
      </c>
      <c r="D2873" t="s">
        <v>9473</v>
      </c>
      <c r="E2873" t="s">
        <v>9474</v>
      </c>
      <c r="J2873" t="s">
        <v>765</v>
      </c>
      <c r="K2873" t="s">
        <v>766</v>
      </c>
      <c r="L2873">
        <v>6</v>
      </c>
      <c r="M2873" t="s">
        <v>13051</v>
      </c>
      <c r="N2873" t="s">
        <v>685</v>
      </c>
      <c r="O2873" t="s">
        <v>9477</v>
      </c>
      <c r="P2873" t="s">
        <v>9477</v>
      </c>
      <c r="Y2873" t="s">
        <v>13061</v>
      </c>
    </row>
    <row r="2874" spans="1:25">
      <c r="A2874" t="s">
        <v>13062</v>
      </c>
      <c r="B2874" t="s">
        <v>13063</v>
      </c>
      <c r="D2874" t="s">
        <v>9473</v>
      </c>
      <c r="E2874" t="s">
        <v>9474</v>
      </c>
      <c r="H2874" t="s">
        <v>13064</v>
      </c>
      <c r="J2874" t="s">
        <v>54</v>
      </c>
      <c r="K2874" t="s">
        <v>55</v>
      </c>
      <c r="L2874">
        <v>6</v>
      </c>
      <c r="M2874" t="s">
        <v>13065</v>
      </c>
      <c r="N2874" t="s">
        <v>47</v>
      </c>
      <c r="O2874" t="s">
        <v>9477</v>
      </c>
      <c r="P2874" t="s">
        <v>9477</v>
      </c>
      <c r="Y2874" t="s">
        <v>13064</v>
      </c>
    </row>
    <row r="2875" spans="1:25">
      <c r="A2875" t="s">
        <v>13066</v>
      </c>
      <c r="B2875" t="s">
        <v>13067</v>
      </c>
      <c r="D2875" t="s">
        <v>9473</v>
      </c>
      <c r="E2875" t="s">
        <v>9474</v>
      </c>
      <c r="J2875" t="s">
        <v>133</v>
      </c>
      <c r="K2875" t="s">
        <v>134</v>
      </c>
      <c r="L2875">
        <v>6</v>
      </c>
      <c r="M2875" t="s">
        <v>13068</v>
      </c>
      <c r="N2875" t="s">
        <v>135</v>
      </c>
      <c r="O2875" t="s">
        <v>9477</v>
      </c>
      <c r="P2875" t="s">
        <v>9477</v>
      </c>
      <c r="Y2875" t="s">
        <v>13069</v>
      </c>
    </row>
    <row r="2876" spans="1:25">
      <c r="A2876" t="s">
        <v>13070</v>
      </c>
      <c r="B2876" t="s">
        <v>13071</v>
      </c>
      <c r="D2876" t="s">
        <v>9473</v>
      </c>
      <c r="E2876" t="s">
        <v>9474</v>
      </c>
      <c r="J2876" t="s">
        <v>90</v>
      </c>
      <c r="K2876" t="s">
        <v>91</v>
      </c>
      <c r="L2876">
        <v>6</v>
      </c>
      <c r="M2876" t="s">
        <v>13072</v>
      </c>
      <c r="N2876" t="s">
        <v>47</v>
      </c>
      <c r="O2876" t="s">
        <v>9477</v>
      </c>
      <c r="P2876" t="s">
        <v>9477</v>
      </c>
      <c r="Y2876" t="s">
        <v>13073</v>
      </c>
    </row>
    <row r="2877" spans="1:25">
      <c r="A2877" t="s">
        <v>13074</v>
      </c>
      <c r="B2877" t="s">
        <v>13075</v>
      </c>
      <c r="D2877" t="s">
        <v>9473</v>
      </c>
      <c r="E2877" t="s">
        <v>9474</v>
      </c>
      <c r="J2877" t="s">
        <v>90</v>
      </c>
      <c r="K2877" t="s">
        <v>91</v>
      </c>
      <c r="L2877">
        <v>6</v>
      </c>
      <c r="M2877" t="s">
        <v>13076</v>
      </c>
      <c r="N2877" t="s">
        <v>47</v>
      </c>
      <c r="O2877" t="s">
        <v>9477</v>
      </c>
      <c r="P2877" t="s">
        <v>9477</v>
      </c>
      <c r="Y2877" t="s">
        <v>13077</v>
      </c>
    </row>
    <row r="2878" spans="1:25">
      <c r="A2878" t="s">
        <v>13078</v>
      </c>
      <c r="B2878" t="s">
        <v>13079</v>
      </c>
      <c r="D2878" t="s">
        <v>9473</v>
      </c>
      <c r="E2878" t="s">
        <v>9474</v>
      </c>
      <c r="J2878" t="s">
        <v>78</v>
      </c>
      <c r="K2878" t="s">
        <v>79</v>
      </c>
      <c r="L2878">
        <v>6</v>
      </c>
      <c r="M2878" t="s">
        <v>13076</v>
      </c>
      <c r="N2878" t="s">
        <v>47</v>
      </c>
      <c r="O2878" t="s">
        <v>9477</v>
      </c>
      <c r="P2878" t="s">
        <v>9477</v>
      </c>
      <c r="Y2878" t="s">
        <v>13080</v>
      </c>
    </row>
    <row r="2879" spans="1:25">
      <c r="A2879" t="s">
        <v>13081</v>
      </c>
      <c r="B2879" t="s">
        <v>13082</v>
      </c>
      <c r="D2879" t="s">
        <v>9473</v>
      </c>
      <c r="E2879" t="s">
        <v>9474</v>
      </c>
      <c r="J2879" t="s">
        <v>927</v>
      </c>
      <c r="K2879" t="s">
        <v>928</v>
      </c>
      <c r="L2879">
        <v>6</v>
      </c>
      <c r="M2879" t="s">
        <v>13076</v>
      </c>
      <c r="N2879" t="s">
        <v>290</v>
      </c>
      <c r="O2879" t="s">
        <v>9477</v>
      </c>
      <c r="P2879" t="s">
        <v>9477</v>
      </c>
      <c r="Y2879" t="s">
        <v>13083</v>
      </c>
    </row>
    <row r="2880" spans="1:25">
      <c r="A2880" t="s">
        <v>13084</v>
      </c>
      <c r="B2880" t="s">
        <v>13085</v>
      </c>
      <c r="D2880" t="s">
        <v>9473</v>
      </c>
      <c r="E2880" t="s">
        <v>9474</v>
      </c>
      <c r="H2880" t="s">
        <v>13086</v>
      </c>
      <c r="J2880" t="s">
        <v>54</v>
      </c>
      <c r="K2880" t="s">
        <v>55</v>
      </c>
      <c r="L2880">
        <v>6</v>
      </c>
      <c r="M2880" t="s">
        <v>13087</v>
      </c>
      <c r="N2880" t="s">
        <v>47</v>
      </c>
      <c r="O2880" t="s">
        <v>9477</v>
      </c>
      <c r="P2880" t="s">
        <v>9477</v>
      </c>
      <c r="Y2880" t="s">
        <v>13086</v>
      </c>
    </row>
    <row r="2881" spans="1:25">
      <c r="A2881" t="s">
        <v>13088</v>
      </c>
      <c r="B2881" t="s">
        <v>13089</v>
      </c>
      <c r="D2881" t="s">
        <v>9473</v>
      </c>
      <c r="E2881" t="s">
        <v>9474</v>
      </c>
      <c r="H2881" t="s">
        <v>13090</v>
      </c>
      <c r="J2881" t="s">
        <v>234</v>
      </c>
      <c r="K2881" t="s">
        <v>235</v>
      </c>
      <c r="L2881">
        <v>7</v>
      </c>
      <c r="M2881" t="s">
        <v>13091</v>
      </c>
      <c r="N2881" t="s">
        <v>47</v>
      </c>
      <c r="O2881" t="s">
        <v>9477</v>
      </c>
      <c r="P2881" t="s">
        <v>9477</v>
      </c>
      <c r="Y2881" t="s">
        <v>13090</v>
      </c>
    </row>
    <row r="2882" spans="1:25">
      <c r="A2882" t="s">
        <v>13092</v>
      </c>
      <c r="B2882" t="s">
        <v>13093</v>
      </c>
      <c r="D2882" t="s">
        <v>9473</v>
      </c>
      <c r="E2882" t="s">
        <v>9474</v>
      </c>
      <c r="J2882" t="s">
        <v>90</v>
      </c>
      <c r="K2882" t="s">
        <v>91</v>
      </c>
      <c r="L2882">
        <v>6</v>
      </c>
      <c r="M2882" t="s">
        <v>13094</v>
      </c>
      <c r="N2882" t="s">
        <v>47</v>
      </c>
      <c r="O2882" t="s">
        <v>9477</v>
      </c>
      <c r="P2882" t="s">
        <v>9477</v>
      </c>
      <c r="Y2882" t="s">
        <v>13095</v>
      </c>
    </row>
    <row r="2883" spans="1:25">
      <c r="A2883" t="s">
        <v>13096</v>
      </c>
      <c r="B2883" t="s">
        <v>13097</v>
      </c>
      <c r="D2883" t="s">
        <v>9473</v>
      </c>
      <c r="E2883" t="s">
        <v>9474</v>
      </c>
      <c r="J2883" t="s">
        <v>78</v>
      </c>
      <c r="K2883" t="s">
        <v>79</v>
      </c>
      <c r="L2883">
        <v>6</v>
      </c>
      <c r="M2883" t="s">
        <v>13098</v>
      </c>
      <c r="N2883" t="s">
        <v>47</v>
      </c>
      <c r="O2883" t="s">
        <v>9477</v>
      </c>
      <c r="P2883" t="s">
        <v>9477</v>
      </c>
      <c r="Y2883" t="s">
        <v>13099</v>
      </c>
    </row>
    <row r="2884" spans="1:25">
      <c r="A2884" t="s">
        <v>13100</v>
      </c>
      <c r="B2884" t="s">
        <v>13101</v>
      </c>
      <c r="D2884" t="s">
        <v>9473</v>
      </c>
      <c r="E2884" t="s">
        <v>9474</v>
      </c>
      <c r="H2884" t="s">
        <v>13102</v>
      </c>
      <c r="J2884" t="s">
        <v>78</v>
      </c>
      <c r="K2884" t="s">
        <v>79</v>
      </c>
      <c r="L2884">
        <v>6</v>
      </c>
      <c r="M2884" t="s">
        <v>13103</v>
      </c>
      <c r="N2884" t="s">
        <v>47</v>
      </c>
      <c r="O2884" t="s">
        <v>9477</v>
      </c>
      <c r="P2884" t="s">
        <v>9477</v>
      </c>
      <c r="Y2884" t="s">
        <v>13102</v>
      </c>
    </row>
    <row r="2885" spans="1:25">
      <c r="A2885" t="s">
        <v>13104</v>
      </c>
      <c r="B2885" t="s">
        <v>13105</v>
      </c>
      <c r="D2885" t="s">
        <v>9473</v>
      </c>
      <c r="E2885" t="s">
        <v>9474</v>
      </c>
      <c r="J2885" t="s">
        <v>54</v>
      </c>
      <c r="K2885" t="s">
        <v>55</v>
      </c>
      <c r="L2885">
        <v>6</v>
      </c>
      <c r="M2885" t="s">
        <v>13106</v>
      </c>
      <c r="N2885" t="s">
        <v>47</v>
      </c>
      <c r="O2885" t="s">
        <v>9477</v>
      </c>
      <c r="P2885" t="s">
        <v>9477</v>
      </c>
      <c r="Y2885" t="s">
        <v>13107</v>
      </c>
    </row>
    <row r="2886" spans="1:25">
      <c r="A2886" t="s">
        <v>13108</v>
      </c>
      <c r="B2886" t="s">
        <v>13109</v>
      </c>
      <c r="D2886" t="s">
        <v>9473</v>
      </c>
      <c r="E2886" t="s">
        <v>9474</v>
      </c>
      <c r="J2886" t="s">
        <v>44</v>
      </c>
      <c r="K2886" t="s">
        <v>45</v>
      </c>
      <c r="L2886">
        <v>6</v>
      </c>
      <c r="M2886" t="s">
        <v>13106</v>
      </c>
      <c r="N2886" t="s">
        <v>47</v>
      </c>
      <c r="O2886" t="s">
        <v>9477</v>
      </c>
      <c r="P2886" t="s">
        <v>9477</v>
      </c>
      <c r="Y2886" t="s">
        <v>13110</v>
      </c>
    </row>
    <row r="2887" spans="1:25">
      <c r="A2887" t="s">
        <v>13111</v>
      </c>
      <c r="B2887" t="s">
        <v>13112</v>
      </c>
      <c r="D2887" t="s">
        <v>9473</v>
      </c>
      <c r="E2887" t="s">
        <v>9474</v>
      </c>
      <c r="H2887" t="s">
        <v>13113</v>
      </c>
      <c r="J2887" t="s">
        <v>497</v>
      </c>
      <c r="K2887" t="s">
        <v>498</v>
      </c>
      <c r="L2887">
        <v>6</v>
      </c>
      <c r="M2887" t="s">
        <v>13106</v>
      </c>
      <c r="N2887" t="s">
        <v>290</v>
      </c>
      <c r="O2887" t="s">
        <v>9477</v>
      </c>
      <c r="P2887" t="s">
        <v>9477</v>
      </c>
      <c r="Y2887" t="s">
        <v>13113</v>
      </c>
    </row>
    <row r="2888" spans="1:25">
      <c r="A2888" t="s">
        <v>13114</v>
      </c>
      <c r="B2888" t="s">
        <v>13115</v>
      </c>
      <c r="D2888" t="s">
        <v>9473</v>
      </c>
      <c r="E2888" t="s">
        <v>9474</v>
      </c>
      <c r="H2888" t="s">
        <v>13116</v>
      </c>
      <c r="J2888" t="s">
        <v>44</v>
      </c>
      <c r="K2888" t="s">
        <v>45</v>
      </c>
      <c r="L2888">
        <v>6</v>
      </c>
      <c r="M2888" t="s">
        <v>13117</v>
      </c>
      <c r="N2888" t="s">
        <v>47</v>
      </c>
      <c r="O2888" t="s">
        <v>9477</v>
      </c>
      <c r="P2888" t="s">
        <v>9477</v>
      </c>
      <c r="Y2888" t="s">
        <v>13116</v>
      </c>
    </row>
    <row r="2889" spans="1:25">
      <c r="A2889" t="s">
        <v>13118</v>
      </c>
      <c r="B2889" t="s">
        <v>13119</v>
      </c>
      <c r="D2889" t="s">
        <v>9473</v>
      </c>
      <c r="E2889" t="s">
        <v>9474</v>
      </c>
      <c r="J2889" t="s">
        <v>90</v>
      </c>
      <c r="K2889" t="s">
        <v>91</v>
      </c>
      <c r="L2889">
        <v>6</v>
      </c>
      <c r="M2889" t="s">
        <v>13120</v>
      </c>
      <c r="N2889" t="s">
        <v>47</v>
      </c>
      <c r="O2889" t="s">
        <v>9477</v>
      </c>
      <c r="P2889" t="s">
        <v>9477</v>
      </c>
      <c r="Y2889" t="s">
        <v>13121</v>
      </c>
    </row>
    <row r="2890" spans="1:25">
      <c r="A2890" t="s">
        <v>13122</v>
      </c>
      <c r="B2890" t="s">
        <v>13123</v>
      </c>
      <c r="D2890" t="s">
        <v>9473</v>
      </c>
      <c r="E2890" t="s">
        <v>9474</v>
      </c>
      <c r="H2890" t="s">
        <v>13124</v>
      </c>
      <c r="J2890" t="s">
        <v>90</v>
      </c>
      <c r="K2890" t="s">
        <v>91</v>
      </c>
      <c r="L2890">
        <v>6</v>
      </c>
      <c r="M2890" t="s">
        <v>13120</v>
      </c>
      <c r="N2890" t="s">
        <v>47</v>
      </c>
      <c r="O2890" t="s">
        <v>9477</v>
      </c>
      <c r="P2890" t="s">
        <v>9477</v>
      </c>
      <c r="Y2890" t="s">
        <v>13124</v>
      </c>
    </row>
    <row r="2891" spans="1:25">
      <c r="A2891" t="s">
        <v>13125</v>
      </c>
      <c r="B2891" t="s">
        <v>13126</v>
      </c>
      <c r="D2891" t="s">
        <v>9473</v>
      </c>
      <c r="E2891" t="s">
        <v>9474</v>
      </c>
      <c r="J2891" t="s">
        <v>133</v>
      </c>
      <c r="K2891" t="s">
        <v>134</v>
      </c>
      <c r="L2891">
        <v>6</v>
      </c>
      <c r="M2891" t="s">
        <v>13120</v>
      </c>
      <c r="N2891" t="s">
        <v>135</v>
      </c>
      <c r="O2891" t="s">
        <v>9477</v>
      </c>
      <c r="P2891" t="s">
        <v>9477</v>
      </c>
      <c r="Y2891" t="s">
        <v>13127</v>
      </c>
    </row>
    <row r="2892" spans="1:25">
      <c r="A2892" t="s">
        <v>13128</v>
      </c>
      <c r="B2892" t="s">
        <v>13129</v>
      </c>
      <c r="D2892" t="s">
        <v>9473</v>
      </c>
      <c r="E2892" t="s">
        <v>9474</v>
      </c>
      <c r="H2892" t="s">
        <v>13130</v>
      </c>
      <c r="J2892" t="s">
        <v>78</v>
      </c>
      <c r="K2892" t="s">
        <v>79</v>
      </c>
      <c r="L2892">
        <v>6</v>
      </c>
      <c r="M2892" t="s">
        <v>13120</v>
      </c>
      <c r="N2892" t="s">
        <v>47</v>
      </c>
      <c r="O2892" t="s">
        <v>9477</v>
      </c>
      <c r="P2892" t="s">
        <v>9477</v>
      </c>
      <c r="Y2892" t="s">
        <v>13130</v>
      </c>
    </row>
    <row r="2893" spans="1:25">
      <c r="A2893" t="s">
        <v>13131</v>
      </c>
      <c r="B2893" t="s">
        <v>13132</v>
      </c>
      <c r="D2893" t="s">
        <v>9473</v>
      </c>
      <c r="E2893" t="s">
        <v>9474</v>
      </c>
      <c r="J2893" t="s">
        <v>78</v>
      </c>
      <c r="K2893" t="s">
        <v>79</v>
      </c>
      <c r="L2893">
        <v>6</v>
      </c>
      <c r="M2893" t="s">
        <v>13133</v>
      </c>
      <c r="N2893" t="s">
        <v>47</v>
      </c>
      <c r="O2893" t="s">
        <v>9477</v>
      </c>
      <c r="P2893" t="s">
        <v>9477</v>
      </c>
      <c r="Y2893" t="s">
        <v>13134</v>
      </c>
    </row>
    <row r="2894" spans="1:25">
      <c r="A2894" t="s">
        <v>13135</v>
      </c>
      <c r="B2894" t="s">
        <v>13136</v>
      </c>
      <c r="D2894" t="s">
        <v>9473</v>
      </c>
      <c r="E2894" t="s">
        <v>9474</v>
      </c>
      <c r="J2894" t="s">
        <v>90</v>
      </c>
      <c r="K2894" t="s">
        <v>91</v>
      </c>
      <c r="L2894">
        <v>6</v>
      </c>
      <c r="M2894" t="s">
        <v>13137</v>
      </c>
      <c r="N2894" t="s">
        <v>47</v>
      </c>
      <c r="O2894" t="s">
        <v>9477</v>
      </c>
      <c r="P2894" t="s">
        <v>9477</v>
      </c>
      <c r="Y2894" t="s">
        <v>13138</v>
      </c>
    </row>
    <row r="2895" spans="1:25">
      <c r="A2895" t="s">
        <v>13139</v>
      </c>
      <c r="B2895" t="s">
        <v>13140</v>
      </c>
      <c r="D2895" t="s">
        <v>9473</v>
      </c>
      <c r="E2895" t="s">
        <v>9474</v>
      </c>
      <c r="J2895" t="s">
        <v>133</v>
      </c>
      <c r="K2895" t="s">
        <v>134</v>
      </c>
      <c r="L2895">
        <v>6</v>
      </c>
      <c r="M2895" t="s">
        <v>13141</v>
      </c>
      <c r="N2895" t="s">
        <v>685</v>
      </c>
      <c r="O2895" t="s">
        <v>9477</v>
      </c>
      <c r="P2895" t="s">
        <v>9477</v>
      </c>
      <c r="Y2895" t="s">
        <v>13142</v>
      </c>
    </row>
    <row r="2896" spans="1:25">
      <c r="A2896" t="s">
        <v>13143</v>
      </c>
      <c r="B2896" t="s">
        <v>13144</v>
      </c>
      <c r="D2896" t="s">
        <v>9473</v>
      </c>
      <c r="E2896" t="s">
        <v>9474</v>
      </c>
      <c r="H2896" t="s">
        <v>13145</v>
      </c>
      <c r="J2896" t="s">
        <v>90</v>
      </c>
      <c r="K2896" t="s">
        <v>91</v>
      </c>
      <c r="L2896">
        <v>6</v>
      </c>
      <c r="M2896" t="s">
        <v>13146</v>
      </c>
      <c r="N2896" t="s">
        <v>47</v>
      </c>
      <c r="O2896" t="s">
        <v>9477</v>
      </c>
      <c r="P2896" t="s">
        <v>9477</v>
      </c>
      <c r="Y2896" t="s">
        <v>13145</v>
      </c>
    </row>
    <row r="2897" spans="1:25">
      <c r="A2897" t="s">
        <v>13147</v>
      </c>
      <c r="B2897" t="s">
        <v>13148</v>
      </c>
      <c r="D2897" t="s">
        <v>9473</v>
      </c>
      <c r="E2897" t="s">
        <v>9474</v>
      </c>
      <c r="J2897" t="s">
        <v>90</v>
      </c>
      <c r="K2897" t="s">
        <v>91</v>
      </c>
      <c r="L2897">
        <v>6</v>
      </c>
      <c r="M2897" t="s">
        <v>13149</v>
      </c>
      <c r="N2897" t="s">
        <v>47</v>
      </c>
      <c r="O2897" t="s">
        <v>9477</v>
      </c>
      <c r="P2897" t="s">
        <v>9477</v>
      </c>
      <c r="Y2897" t="s">
        <v>13150</v>
      </c>
    </row>
    <row r="2898" spans="1:25">
      <c r="A2898" t="s">
        <v>13151</v>
      </c>
      <c r="B2898" t="s">
        <v>13152</v>
      </c>
      <c r="D2898" t="s">
        <v>9473</v>
      </c>
      <c r="E2898" t="s">
        <v>9474</v>
      </c>
      <c r="J2898" t="s">
        <v>44</v>
      </c>
      <c r="K2898" t="s">
        <v>45</v>
      </c>
      <c r="L2898">
        <v>6</v>
      </c>
      <c r="M2898" t="s">
        <v>13153</v>
      </c>
      <c r="N2898" t="s">
        <v>47</v>
      </c>
      <c r="O2898" t="s">
        <v>9477</v>
      </c>
      <c r="P2898" t="s">
        <v>9477</v>
      </c>
      <c r="Y2898" t="s">
        <v>13154</v>
      </c>
    </row>
    <row r="2899" spans="1:25">
      <c r="A2899" t="s">
        <v>13155</v>
      </c>
      <c r="B2899" t="s">
        <v>13156</v>
      </c>
      <c r="D2899" t="s">
        <v>9473</v>
      </c>
      <c r="E2899" t="s">
        <v>9474</v>
      </c>
      <c r="H2899" t="s">
        <v>13157</v>
      </c>
      <c r="J2899" t="s">
        <v>78</v>
      </c>
      <c r="K2899" t="s">
        <v>79</v>
      </c>
      <c r="L2899">
        <v>6</v>
      </c>
      <c r="M2899" t="s">
        <v>13158</v>
      </c>
      <c r="N2899" t="s">
        <v>47</v>
      </c>
      <c r="O2899" t="s">
        <v>9477</v>
      </c>
      <c r="P2899" t="s">
        <v>9477</v>
      </c>
      <c r="Y2899" t="s">
        <v>13157</v>
      </c>
    </row>
    <row r="2900" spans="1:25">
      <c r="A2900" t="s">
        <v>13159</v>
      </c>
      <c r="B2900" t="s">
        <v>13160</v>
      </c>
      <c r="D2900" t="s">
        <v>9473</v>
      </c>
      <c r="E2900" t="s">
        <v>9474</v>
      </c>
      <c r="H2900" t="s">
        <v>13161</v>
      </c>
      <c r="J2900" t="s">
        <v>133</v>
      </c>
      <c r="K2900" t="s">
        <v>134</v>
      </c>
      <c r="L2900">
        <v>6</v>
      </c>
      <c r="M2900" t="s">
        <v>13158</v>
      </c>
      <c r="N2900" t="s">
        <v>685</v>
      </c>
      <c r="O2900" t="s">
        <v>9477</v>
      </c>
      <c r="P2900" t="s">
        <v>9477</v>
      </c>
      <c r="Y2900" t="s">
        <v>13161</v>
      </c>
    </row>
    <row r="2901" spans="1:25">
      <c r="A2901" t="s">
        <v>13162</v>
      </c>
      <c r="B2901" t="s">
        <v>13163</v>
      </c>
      <c r="D2901" t="s">
        <v>9473</v>
      </c>
      <c r="E2901" t="s">
        <v>9474</v>
      </c>
      <c r="J2901" t="s">
        <v>54</v>
      </c>
      <c r="K2901" t="s">
        <v>55</v>
      </c>
      <c r="L2901">
        <v>6</v>
      </c>
      <c r="M2901" t="s">
        <v>13164</v>
      </c>
      <c r="N2901" t="s">
        <v>47</v>
      </c>
      <c r="O2901" t="s">
        <v>9477</v>
      </c>
      <c r="P2901" t="s">
        <v>9477</v>
      </c>
      <c r="Y2901" t="s">
        <v>13165</v>
      </c>
    </row>
    <row r="2902" spans="1:25">
      <c r="A2902" t="s">
        <v>13166</v>
      </c>
      <c r="B2902" t="s">
        <v>13167</v>
      </c>
      <c r="D2902" t="s">
        <v>9473</v>
      </c>
      <c r="E2902" t="s">
        <v>9474</v>
      </c>
      <c r="J2902" t="s">
        <v>44</v>
      </c>
      <c r="K2902" t="s">
        <v>45</v>
      </c>
      <c r="L2902">
        <v>6</v>
      </c>
      <c r="M2902" t="s">
        <v>13164</v>
      </c>
      <c r="N2902" t="s">
        <v>47</v>
      </c>
      <c r="O2902" t="s">
        <v>9477</v>
      </c>
      <c r="P2902" t="s">
        <v>9477</v>
      </c>
      <c r="Y2902" t="s">
        <v>13168</v>
      </c>
    </row>
    <row r="2903" spans="1:25">
      <c r="A2903" t="s">
        <v>13169</v>
      </c>
      <c r="B2903" t="s">
        <v>13170</v>
      </c>
      <c r="D2903" t="s">
        <v>9473</v>
      </c>
      <c r="E2903" t="s">
        <v>9474</v>
      </c>
      <c r="J2903" t="s">
        <v>90</v>
      </c>
      <c r="K2903" t="s">
        <v>91</v>
      </c>
      <c r="L2903">
        <v>6</v>
      </c>
      <c r="M2903" t="s">
        <v>13171</v>
      </c>
      <c r="N2903" t="s">
        <v>47</v>
      </c>
      <c r="O2903" t="s">
        <v>9477</v>
      </c>
      <c r="P2903" t="s">
        <v>9477</v>
      </c>
      <c r="Y2903" t="s">
        <v>13172</v>
      </c>
    </row>
    <row r="2904" spans="1:25">
      <c r="A2904" t="s">
        <v>13173</v>
      </c>
      <c r="B2904" t="s">
        <v>13174</v>
      </c>
      <c r="D2904" t="s">
        <v>9473</v>
      </c>
      <c r="E2904" t="s">
        <v>9474</v>
      </c>
      <c r="J2904" t="s">
        <v>78</v>
      </c>
      <c r="K2904" t="s">
        <v>79</v>
      </c>
      <c r="L2904">
        <v>6</v>
      </c>
      <c r="M2904" t="s">
        <v>13171</v>
      </c>
      <c r="N2904" t="s">
        <v>47</v>
      </c>
      <c r="O2904" t="s">
        <v>9477</v>
      </c>
      <c r="P2904" t="s">
        <v>9477</v>
      </c>
      <c r="Y2904" t="s">
        <v>13175</v>
      </c>
    </row>
    <row r="2905" spans="1:25">
      <c r="A2905" t="s">
        <v>13176</v>
      </c>
      <c r="B2905" t="s">
        <v>13177</v>
      </c>
      <c r="D2905" t="s">
        <v>9473</v>
      </c>
      <c r="E2905" t="s">
        <v>9474</v>
      </c>
      <c r="J2905" t="s">
        <v>54</v>
      </c>
      <c r="K2905" t="s">
        <v>55</v>
      </c>
      <c r="L2905">
        <v>6</v>
      </c>
      <c r="M2905" t="s">
        <v>13171</v>
      </c>
      <c r="N2905" t="s">
        <v>47</v>
      </c>
      <c r="O2905" t="s">
        <v>9477</v>
      </c>
      <c r="P2905" t="s">
        <v>9477</v>
      </c>
      <c r="Y2905" t="s">
        <v>13178</v>
      </c>
    </row>
    <row r="2906" spans="1:25">
      <c r="A2906" t="s">
        <v>13179</v>
      </c>
      <c r="B2906" t="s">
        <v>13180</v>
      </c>
      <c r="D2906" t="s">
        <v>9473</v>
      </c>
      <c r="E2906" t="s">
        <v>9474</v>
      </c>
      <c r="J2906" t="s">
        <v>90</v>
      </c>
      <c r="K2906" t="s">
        <v>91</v>
      </c>
      <c r="L2906">
        <v>6</v>
      </c>
      <c r="M2906" t="s">
        <v>13171</v>
      </c>
      <c r="N2906" t="s">
        <v>47</v>
      </c>
      <c r="O2906" t="s">
        <v>9477</v>
      </c>
      <c r="P2906" t="s">
        <v>9477</v>
      </c>
      <c r="Y2906" t="s">
        <v>13181</v>
      </c>
    </row>
    <row r="2907" spans="1:25">
      <c r="A2907" t="s">
        <v>13182</v>
      </c>
      <c r="B2907" t="s">
        <v>13183</v>
      </c>
      <c r="D2907" t="s">
        <v>9473</v>
      </c>
      <c r="E2907" t="s">
        <v>9474</v>
      </c>
      <c r="J2907" t="s">
        <v>133</v>
      </c>
      <c r="K2907" t="s">
        <v>134</v>
      </c>
      <c r="L2907">
        <v>6</v>
      </c>
      <c r="M2907" t="s">
        <v>13171</v>
      </c>
      <c r="N2907" t="s">
        <v>135</v>
      </c>
      <c r="O2907" t="s">
        <v>9477</v>
      </c>
      <c r="P2907" t="s">
        <v>9477</v>
      </c>
      <c r="Y2907" t="s">
        <v>13184</v>
      </c>
    </row>
    <row r="2908" spans="1:25">
      <c r="A2908" t="s">
        <v>13185</v>
      </c>
      <c r="B2908" t="s">
        <v>13186</v>
      </c>
      <c r="D2908" t="s">
        <v>9473</v>
      </c>
      <c r="E2908" t="s">
        <v>9474</v>
      </c>
      <c r="J2908" t="s">
        <v>133</v>
      </c>
      <c r="K2908" t="s">
        <v>134</v>
      </c>
      <c r="L2908">
        <v>6</v>
      </c>
      <c r="M2908" t="s">
        <v>13187</v>
      </c>
      <c r="N2908" t="s">
        <v>685</v>
      </c>
      <c r="O2908" t="s">
        <v>9477</v>
      </c>
      <c r="P2908" t="s">
        <v>9477</v>
      </c>
      <c r="Y2908" t="s">
        <v>13188</v>
      </c>
    </row>
    <row r="2909" spans="1:25">
      <c r="A2909" t="s">
        <v>13189</v>
      </c>
      <c r="B2909" t="s">
        <v>13190</v>
      </c>
      <c r="D2909" t="s">
        <v>9473</v>
      </c>
      <c r="E2909" t="s">
        <v>9474</v>
      </c>
      <c r="J2909" t="s">
        <v>90</v>
      </c>
      <c r="K2909" t="s">
        <v>91</v>
      </c>
      <c r="L2909">
        <v>6</v>
      </c>
      <c r="M2909" t="s">
        <v>13191</v>
      </c>
      <c r="N2909" t="s">
        <v>47</v>
      </c>
      <c r="O2909" t="s">
        <v>9477</v>
      </c>
      <c r="P2909" t="s">
        <v>9477</v>
      </c>
      <c r="Y2909" t="s">
        <v>13192</v>
      </c>
    </row>
    <row r="2910" spans="1:25">
      <c r="A2910" t="s">
        <v>13193</v>
      </c>
      <c r="B2910" t="s">
        <v>13194</v>
      </c>
      <c r="D2910" t="s">
        <v>9473</v>
      </c>
      <c r="E2910" t="s">
        <v>9474</v>
      </c>
      <c r="H2910" t="s">
        <v>13195</v>
      </c>
      <c r="J2910" t="s">
        <v>353</v>
      </c>
      <c r="K2910" t="s">
        <v>354</v>
      </c>
      <c r="L2910">
        <v>7</v>
      </c>
      <c r="M2910" t="s">
        <v>13196</v>
      </c>
      <c r="N2910" t="s">
        <v>135</v>
      </c>
      <c r="O2910" t="s">
        <v>9477</v>
      </c>
      <c r="P2910" t="s">
        <v>9477</v>
      </c>
      <c r="Y2910" t="s">
        <v>13195</v>
      </c>
    </row>
    <row r="2911" spans="1:25">
      <c r="A2911" t="s">
        <v>13197</v>
      </c>
      <c r="B2911" t="s">
        <v>13198</v>
      </c>
      <c r="D2911" t="s">
        <v>9473</v>
      </c>
      <c r="E2911" t="s">
        <v>9474</v>
      </c>
      <c r="J2911" t="s">
        <v>90</v>
      </c>
      <c r="K2911" t="s">
        <v>91</v>
      </c>
      <c r="L2911">
        <v>6</v>
      </c>
      <c r="M2911" t="s">
        <v>13199</v>
      </c>
      <c r="N2911" t="s">
        <v>47</v>
      </c>
      <c r="O2911" t="s">
        <v>9477</v>
      </c>
      <c r="P2911" t="s">
        <v>9477</v>
      </c>
      <c r="Y2911" t="s">
        <v>13200</v>
      </c>
    </row>
    <row r="2912" spans="1:25">
      <c r="A2912" t="s">
        <v>13201</v>
      </c>
      <c r="B2912" t="s">
        <v>13202</v>
      </c>
      <c r="D2912" t="s">
        <v>9473</v>
      </c>
      <c r="E2912" t="s">
        <v>9474</v>
      </c>
      <c r="J2912" t="s">
        <v>44</v>
      </c>
      <c r="K2912" t="s">
        <v>45</v>
      </c>
      <c r="L2912">
        <v>6</v>
      </c>
      <c r="M2912" t="s">
        <v>13203</v>
      </c>
      <c r="N2912" t="s">
        <v>47</v>
      </c>
      <c r="O2912" t="s">
        <v>9477</v>
      </c>
      <c r="P2912" t="s">
        <v>9477</v>
      </c>
      <c r="Y2912" t="s">
        <v>13204</v>
      </c>
    </row>
    <row r="2913" spans="1:25">
      <c r="A2913" t="s">
        <v>13205</v>
      </c>
      <c r="B2913" t="s">
        <v>13206</v>
      </c>
      <c r="D2913" t="s">
        <v>9473</v>
      </c>
      <c r="E2913" t="s">
        <v>9474</v>
      </c>
      <c r="H2913" t="s">
        <v>13207</v>
      </c>
      <c r="J2913" t="s">
        <v>78</v>
      </c>
      <c r="K2913" t="s">
        <v>79</v>
      </c>
      <c r="L2913">
        <v>6</v>
      </c>
      <c r="M2913" t="s">
        <v>13203</v>
      </c>
      <c r="N2913" t="s">
        <v>47</v>
      </c>
      <c r="O2913" t="s">
        <v>9477</v>
      </c>
      <c r="P2913" t="s">
        <v>9477</v>
      </c>
      <c r="Y2913" t="s">
        <v>13207</v>
      </c>
    </row>
    <row r="2914" spans="1:25">
      <c r="A2914" t="s">
        <v>13208</v>
      </c>
      <c r="B2914" t="s">
        <v>13209</v>
      </c>
      <c r="D2914" t="s">
        <v>9473</v>
      </c>
      <c r="E2914" t="s">
        <v>9474</v>
      </c>
      <c r="J2914" t="s">
        <v>90</v>
      </c>
      <c r="K2914" t="s">
        <v>91</v>
      </c>
      <c r="L2914">
        <v>6</v>
      </c>
      <c r="M2914" t="s">
        <v>13203</v>
      </c>
      <c r="N2914" t="s">
        <v>47</v>
      </c>
      <c r="O2914" t="s">
        <v>9477</v>
      </c>
      <c r="P2914" t="s">
        <v>9477</v>
      </c>
      <c r="Y2914" t="s">
        <v>13210</v>
      </c>
    </row>
    <row r="2915" spans="1:25">
      <c r="A2915" t="s">
        <v>13211</v>
      </c>
      <c r="B2915" t="s">
        <v>13212</v>
      </c>
      <c r="D2915" t="s">
        <v>9473</v>
      </c>
      <c r="E2915" t="s">
        <v>9474</v>
      </c>
      <c r="J2915" t="s">
        <v>44</v>
      </c>
      <c r="K2915" t="s">
        <v>45</v>
      </c>
      <c r="L2915">
        <v>6</v>
      </c>
      <c r="M2915" t="s">
        <v>13213</v>
      </c>
      <c r="N2915" t="s">
        <v>47</v>
      </c>
      <c r="O2915" t="s">
        <v>9477</v>
      </c>
      <c r="P2915" t="s">
        <v>9477</v>
      </c>
      <c r="Y2915" t="s">
        <v>13214</v>
      </c>
    </row>
    <row r="2916" spans="1:25">
      <c r="A2916" t="s">
        <v>13215</v>
      </c>
      <c r="B2916" t="s">
        <v>13216</v>
      </c>
      <c r="D2916" t="s">
        <v>9473</v>
      </c>
      <c r="E2916" t="s">
        <v>9474</v>
      </c>
      <c r="H2916" t="s">
        <v>13217</v>
      </c>
      <c r="J2916" t="s">
        <v>78</v>
      </c>
      <c r="K2916" t="s">
        <v>79</v>
      </c>
      <c r="L2916">
        <v>6</v>
      </c>
      <c r="M2916" t="s">
        <v>13218</v>
      </c>
      <c r="N2916" t="s">
        <v>47</v>
      </c>
      <c r="O2916" t="s">
        <v>9477</v>
      </c>
      <c r="P2916" t="s">
        <v>9477</v>
      </c>
      <c r="Y2916" t="s">
        <v>13217</v>
      </c>
    </row>
    <row r="2917" spans="1:25">
      <c r="A2917" t="s">
        <v>13219</v>
      </c>
      <c r="B2917" t="s">
        <v>13220</v>
      </c>
      <c r="D2917" t="s">
        <v>9473</v>
      </c>
      <c r="E2917" t="s">
        <v>9474</v>
      </c>
      <c r="H2917" t="s">
        <v>13221</v>
      </c>
      <c r="J2917" t="s">
        <v>78</v>
      </c>
      <c r="K2917" t="s">
        <v>79</v>
      </c>
      <c r="L2917">
        <v>6</v>
      </c>
      <c r="M2917" t="s">
        <v>13218</v>
      </c>
      <c r="N2917" t="s">
        <v>47</v>
      </c>
      <c r="O2917" t="s">
        <v>9477</v>
      </c>
      <c r="P2917" t="s">
        <v>9477</v>
      </c>
      <c r="Y2917" t="s">
        <v>13221</v>
      </c>
    </row>
    <row r="2918" spans="1:25">
      <c r="A2918" t="s">
        <v>13222</v>
      </c>
      <c r="B2918" t="s">
        <v>13223</v>
      </c>
      <c r="D2918" t="s">
        <v>9473</v>
      </c>
      <c r="E2918" t="s">
        <v>9474</v>
      </c>
      <c r="J2918" t="s">
        <v>133</v>
      </c>
      <c r="K2918" t="s">
        <v>134</v>
      </c>
      <c r="L2918">
        <v>6</v>
      </c>
      <c r="M2918" t="s">
        <v>13218</v>
      </c>
      <c r="N2918" t="s">
        <v>290</v>
      </c>
      <c r="O2918" t="s">
        <v>9477</v>
      </c>
      <c r="P2918" t="s">
        <v>9477</v>
      </c>
      <c r="Y2918" t="s">
        <v>13224</v>
      </c>
    </row>
    <row r="2919" spans="1:25">
      <c r="A2919" t="s">
        <v>13225</v>
      </c>
      <c r="B2919" t="s">
        <v>13226</v>
      </c>
      <c r="D2919" t="s">
        <v>9473</v>
      </c>
      <c r="E2919" t="s">
        <v>9474</v>
      </c>
      <c r="J2919" t="s">
        <v>353</v>
      </c>
      <c r="K2919" t="s">
        <v>354</v>
      </c>
      <c r="L2919">
        <v>6</v>
      </c>
      <c r="M2919" t="s">
        <v>13218</v>
      </c>
      <c r="N2919" t="s">
        <v>135</v>
      </c>
      <c r="O2919" t="s">
        <v>9477</v>
      </c>
      <c r="P2919" t="s">
        <v>9477</v>
      </c>
      <c r="Y2919" t="s">
        <v>13227</v>
      </c>
    </row>
    <row r="2920" spans="1:25">
      <c r="A2920" t="s">
        <v>13228</v>
      </c>
      <c r="B2920" t="s">
        <v>13229</v>
      </c>
      <c r="D2920" t="s">
        <v>9473</v>
      </c>
      <c r="E2920" t="s">
        <v>9474</v>
      </c>
      <c r="J2920" t="s">
        <v>90</v>
      </c>
      <c r="K2920" t="s">
        <v>91</v>
      </c>
      <c r="L2920">
        <v>6</v>
      </c>
      <c r="M2920" t="s">
        <v>13230</v>
      </c>
      <c r="N2920" t="s">
        <v>47</v>
      </c>
      <c r="O2920" t="s">
        <v>9477</v>
      </c>
      <c r="P2920" t="s">
        <v>9477</v>
      </c>
      <c r="Y2920" t="s">
        <v>13231</v>
      </c>
    </row>
    <row r="2921" spans="1:25">
      <c r="A2921" t="s">
        <v>13232</v>
      </c>
      <c r="B2921" t="s">
        <v>13233</v>
      </c>
      <c r="D2921" t="s">
        <v>9473</v>
      </c>
      <c r="E2921" t="s">
        <v>9474</v>
      </c>
      <c r="H2921" t="s">
        <v>13234</v>
      </c>
      <c r="J2921" t="s">
        <v>78</v>
      </c>
      <c r="K2921" t="s">
        <v>79</v>
      </c>
      <c r="L2921">
        <v>6</v>
      </c>
      <c r="M2921" t="s">
        <v>13235</v>
      </c>
      <c r="N2921" t="s">
        <v>47</v>
      </c>
      <c r="O2921" t="s">
        <v>9477</v>
      </c>
      <c r="P2921" t="s">
        <v>9477</v>
      </c>
      <c r="Y2921" t="s">
        <v>13234</v>
      </c>
    </row>
    <row r="2922" spans="1:25">
      <c r="A2922" t="s">
        <v>13236</v>
      </c>
      <c r="B2922" t="s">
        <v>13237</v>
      </c>
      <c r="D2922" t="s">
        <v>9473</v>
      </c>
      <c r="E2922" t="s">
        <v>9474</v>
      </c>
      <c r="J2922" t="s">
        <v>90</v>
      </c>
      <c r="K2922" t="s">
        <v>91</v>
      </c>
      <c r="L2922">
        <v>6</v>
      </c>
      <c r="M2922" t="s">
        <v>13238</v>
      </c>
      <c r="N2922" t="s">
        <v>47</v>
      </c>
      <c r="O2922" t="s">
        <v>9477</v>
      </c>
      <c r="P2922" t="s">
        <v>9477</v>
      </c>
      <c r="Y2922" t="s">
        <v>13239</v>
      </c>
    </row>
    <row r="2923" spans="1:25">
      <c r="A2923" t="s">
        <v>13240</v>
      </c>
      <c r="B2923" t="s">
        <v>13241</v>
      </c>
      <c r="D2923" t="s">
        <v>9473</v>
      </c>
      <c r="E2923" t="s">
        <v>9474</v>
      </c>
      <c r="J2923" t="s">
        <v>133</v>
      </c>
      <c r="K2923" t="s">
        <v>134</v>
      </c>
      <c r="L2923">
        <v>6</v>
      </c>
      <c r="M2923" t="s">
        <v>13242</v>
      </c>
      <c r="N2923" t="s">
        <v>290</v>
      </c>
      <c r="O2923" t="s">
        <v>9477</v>
      </c>
      <c r="P2923" t="s">
        <v>9477</v>
      </c>
      <c r="Y2923" t="s">
        <v>13243</v>
      </c>
    </row>
    <row r="2924" spans="1:25">
      <c r="A2924" t="s">
        <v>13244</v>
      </c>
      <c r="B2924" t="s">
        <v>13245</v>
      </c>
      <c r="D2924" t="s">
        <v>9473</v>
      </c>
      <c r="E2924" t="s">
        <v>9474</v>
      </c>
      <c r="J2924" t="s">
        <v>44</v>
      </c>
      <c r="K2924" t="s">
        <v>45</v>
      </c>
      <c r="L2924">
        <v>6</v>
      </c>
      <c r="M2924" t="s">
        <v>13242</v>
      </c>
      <c r="N2924" t="s">
        <v>47</v>
      </c>
      <c r="O2924" t="s">
        <v>9477</v>
      </c>
      <c r="P2924" t="s">
        <v>9477</v>
      </c>
      <c r="Y2924" t="s">
        <v>13246</v>
      </c>
    </row>
    <row r="2925" spans="1:25">
      <c r="A2925" t="s">
        <v>13247</v>
      </c>
      <c r="B2925" t="s">
        <v>13248</v>
      </c>
      <c r="D2925" t="s">
        <v>9473</v>
      </c>
      <c r="E2925" t="s">
        <v>9474</v>
      </c>
      <c r="J2925" t="s">
        <v>90</v>
      </c>
      <c r="K2925" t="s">
        <v>91</v>
      </c>
      <c r="L2925">
        <v>6</v>
      </c>
      <c r="M2925" t="s">
        <v>13249</v>
      </c>
      <c r="N2925" t="s">
        <v>47</v>
      </c>
      <c r="O2925" t="s">
        <v>9477</v>
      </c>
      <c r="P2925" t="s">
        <v>9477</v>
      </c>
      <c r="Y2925" t="s">
        <v>13250</v>
      </c>
    </row>
    <row r="2926" spans="1:25">
      <c r="A2926" t="s">
        <v>13251</v>
      </c>
      <c r="B2926" t="s">
        <v>13252</v>
      </c>
      <c r="D2926" t="s">
        <v>9473</v>
      </c>
      <c r="E2926" t="s">
        <v>9474</v>
      </c>
      <c r="J2926" t="s">
        <v>90</v>
      </c>
      <c r="K2926" t="s">
        <v>91</v>
      </c>
      <c r="L2926">
        <v>6</v>
      </c>
      <c r="M2926" t="s">
        <v>13253</v>
      </c>
      <c r="N2926" t="s">
        <v>47</v>
      </c>
      <c r="O2926" t="s">
        <v>9477</v>
      </c>
      <c r="P2926" t="s">
        <v>9477</v>
      </c>
      <c r="Y2926" t="s">
        <v>13254</v>
      </c>
    </row>
    <row r="2927" spans="1:25">
      <c r="A2927" t="s">
        <v>13255</v>
      </c>
      <c r="B2927" t="s">
        <v>13256</v>
      </c>
      <c r="D2927" t="s">
        <v>9473</v>
      </c>
      <c r="E2927" t="s">
        <v>9474</v>
      </c>
      <c r="J2927" t="s">
        <v>371</v>
      </c>
      <c r="K2927" t="s">
        <v>372</v>
      </c>
      <c r="L2927">
        <v>6</v>
      </c>
      <c r="M2927" t="s">
        <v>13257</v>
      </c>
      <c r="N2927" t="s">
        <v>47</v>
      </c>
      <c r="O2927" t="s">
        <v>9477</v>
      </c>
      <c r="P2927" t="s">
        <v>9477</v>
      </c>
      <c r="Y2927" t="s">
        <v>13258</v>
      </c>
    </row>
    <row r="2928" spans="1:25">
      <c r="A2928" t="s">
        <v>13259</v>
      </c>
      <c r="B2928" t="s">
        <v>13260</v>
      </c>
      <c r="D2928" t="s">
        <v>9473</v>
      </c>
      <c r="E2928" t="s">
        <v>9474</v>
      </c>
      <c r="J2928" t="s">
        <v>78</v>
      </c>
      <c r="K2928" t="s">
        <v>79</v>
      </c>
      <c r="L2928">
        <v>6</v>
      </c>
      <c r="M2928" t="s">
        <v>13257</v>
      </c>
      <c r="N2928" t="s">
        <v>47</v>
      </c>
      <c r="O2928" t="s">
        <v>9477</v>
      </c>
      <c r="P2928" t="s">
        <v>9477</v>
      </c>
      <c r="Y2928" t="s">
        <v>13261</v>
      </c>
    </row>
    <row r="2929" spans="1:25">
      <c r="A2929" t="s">
        <v>13262</v>
      </c>
      <c r="B2929" t="s">
        <v>13263</v>
      </c>
      <c r="D2929" t="s">
        <v>9473</v>
      </c>
      <c r="E2929" t="s">
        <v>9474</v>
      </c>
      <c r="J2929" t="s">
        <v>90</v>
      </c>
      <c r="K2929" t="s">
        <v>91</v>
      </c>
      <c r="L2929">
        <v>6</v>
      </c>
      <c r="M2929" t="s">
        <v>13257</v>
      </c>
      <c r="N2929" t="s">
        <v>47</v>
      </c>
      <c r="O2929" t="s">
        <v>9477</v>
      </c>
      <c r="P2929" t="s">
        <v>9477</v>
      </c>
      <c r="Y2929" t="s">
        <v>13264</v>
      </c>
    </row>
    <row r="2930" spans="1:25">
      <c r="A2930" t="s">
        <v>13265</v>
      </c>
      <c r="B2930" t="s">
        <v>13266</v>
      </c>
      <c r="D2930" t="s">
        <v>9473</v>
      </c>
      <c r="E2930" t="s">
        <v>9474</v>
      </c>
      <c r="J2930" t="s">
        <v>133</v>
      </c>
      <c r="K2930" t="s">
        <v>134</v>
      </c>
      <c r="L2930">
        <v>6</v>
      </c>
      <c r="M2930" t="s">
        <v>13267</v>
      </c>
      <c r="N2930" t="s">
        <v>135</v>
      </c>
      <c r="O2930" t="s">
        <v>9477</v>
      </c>
      <c r="P2930" t="s">
        <v>9477</v>
      </c>
      <c r="Y2930" t="s">
        <v>13268</v>
      </c>
    </row>
    <row r="2931" spans="1:25">
      <c r="A2931" t="s">
        <v>13269</v>
      </c>
      <c r="B2931" t="s">
        <v>13270</v>
      </c>
      <c r="D2931" t="s">
        <v>9473</v>
      </c>
      <c r="E2931" t="s">
        <v>9474</v>
      </c>
      <c r="H2931" t="s">
        <v>13271</v>
      </c>
      <c r="J2931" t="s">
        <v>234</v>
      </c>
      <c r="K2931" t="s">
        <v>235</v>
      </c>
      <c r="L2931">
        <v>6</v>
      </c>
      <c r="M2931" t="s">
        <v>13272</v>
      </c>
      <c r="N2931" t="s">
        <v>47</v>
      </c>
      <c r="O2931" t="s">
        <v>9477</v>
      </c>
      <c r="P2931" t="s">
        <v>9477</v>
      </c>
      <c r="Y2931" t="s">
        <v>13271</v>
      </c>
    </row>
    <row r="2932" spans="1:25">
      <c r="A2932" t="s">
        <v>13273</v>
      </c>
      <c r="B2932" t="s">
        <v>13274</v>
      </c>
      <c r="D2932" t="s">
        <v>9473</v>
      </c>
      <c r="E2932" t="s">
        <v>9474</v>
      </c>
      <c r="J2932" t="s">
        <v>90</v>
      </c>
      <c r="K2932" t="s">
        <v>91</v>
      </c>
      <c r="L2932">
        <v>6</v>
      </c>
      <c r="M2932" t="s">
        <v>13275</v>
      </c>
      <c r="N2932" t="s">
        <v>47</v>
      </c>
      <c r="O2932" t="s">
        <v>9477</v>
      </c>
      <c r="P2932" t="s">
        <v>9477</v>
      </c>
      <c r="Y2932" t="s">
        <v>13276</v>
      </c>
    </row>
    <row r="2933" spans="1:25">
      <c r="A2933" t="s">
        <v>13277</v>
      </c>
      <c r="B2933" t="s">
        <v>13278</v>
      </c>
      <c r="D2933" t="s">
        <v>9473</v>
      </c>
      <c r="E2933" t="s">
        <v>9474</v>
      </c>
      <c r="H2933" t="s">
        <v>13279</v>
      </c>
      <c r="J2933" t="s">
        <v>133</v>
      </c>
      <c r="K2933" t="s">
        <v>134</v>
      </c>
      <c r="L2933">
        <v>6</v>
      </c>
      <c r="M2933" t="s">
        <v>13280</v>
      </c>
      <c r="N2933" t="s">
        <v>135</v>
      </c>
      <c r="O2933" t="s">
        <v>9477</v>
      </c>
      <c r="P2933" t="s">
        <v>9477</v>
      </c>
      <c r="Y2933" t="s">
        <v>13279</v>
      </c>
    </row>
    <row r="2934" spans="1:25">
      <c r="A2934" t="s">
        <v>13281</v>
      </c>
      <c r="B2934" t="s">
        <v>13282</v>
      </c>
      <c r="D2934" t="s">
        <v>9473</v>
      </c>
      <c r="E2934" t="s">
        <v>9474</v>
      </c>
      <c r="H2934" t="s">
        <v>13283</v>
      </c>
      <c r="J2934" t="s">
        <v>78</v>
      </c>
      <c r="K2934" t="s">
        <v>79</v>
      </c>
      <c r="L2934">
        <v>6</v>
      </c>
      <c r="M2934" t="s">
        <v>13280</v>
      </c>
      <c r="N2934" t="s">
        <v>47</v>
      </c>
      <c r="O2934" t="s">
        <v>9477</v>
      </c>
      <c r="P2934" t="s">
        <v>9477</v>
      </c>
      <c r="Y2934" t="s">
        <v>13283</v>
      </c>
    </row>
    <row r="2935" spans="1:25">
      <c r="A2935" t="s">
        <v>13284</v>
      </c>
      <c r="B2935" t="s">
        <v>13285</v>
      </c>
      <c r="D2935" t="s">
        <v>9473</v>
      </c>
      <c r="E2935" t="s">
        <v>9474</v>
      </c>
      <c r="J2935" t="s">
        <v>90</v>
      </c>
      <c r="K2935" t="s">
        <v>91</v>
      </c>
      <c r="L2935">
        <v>6</v>
      </c>
      <c r="M2935" t="s">
        <v>13286</v>
      </c>
      <c r="N2935" t="s">
        <v>47</v>
      </c>
      <c r="O2935" t="s">
        <v>9477</v>
      </c>
      <c r="P2935" t="s">
        <v>9477</v>
      </c>
      <c r="Y2935" t="s">
        <v>13287</v>
      </c>
    </row>
    <row r="2936" spans="1:25">
      <c r="A2936" t="s">
        <v>13288</v>
      </c>
      <c r="B2936" t="s">
        <v>13289</v>
      </c>
      <c r="D2936" t="s">
        <v>9473</v>
      </c>
      <c r="E2936" t="s">
        <v>9474</v>
      </c>
      <c r="J2936" t="s">
        <v>90</v>
      </c>
      <c r="K2936" t="s">
        <v>91</v>
      </c>
      <c r="L2936">
        <v>6</v>
      </c>
      <c r="M2936" t="s">
        <v>13290</v>
      </c>
      <c r="N2936" t="s">
        <v>47</v>
      </c>
      <c r="O2936" t="s">
        <v>9477</v>
      </c>
      <c r="P2936" t="s">
        <v>9477</v>
      </c>
      <c r="Y2936" t="s">
        <v>13291</v>
      </c>
    </row>
    <row r="2937" spans="1:25">
      <c r="A2937" t="s">
        <v>13292</v>
      </c>
      <c r="B2937" t="s">
        <v>13293</v>
      </c>
      <c r="D2937" t="s">
        <v>9473</v>
      </c>
      <c r="E2937" t="s">
        <v>9474</v>
      </c>
      <c r="J2937" t="s">
        <v>90</v>
      </c>
      <c r="K2937" t="s">
        <v>91</v>
      </c>
      <c r="L2937">
        <v>6</v>
      </c>
      <c r="M2937" t="s">
        <v>13294</v>
      </c>
      <c r="N2937" t="s">
        <v>47</v>
      </c>
      <c r="O2937" t="s">
        <v>9477</v>
      </c>
      <c r="P2937" t="s">
        <v>9477</v>
      </c>
      <c r="Y2937" t="s">
        <v>13295</v>
      </c>
    </row>
    <row r="2938" spans="1:25">
      <c r="A2938" t="s">
        <v>13296</v>
      </c>
      <c r="B2938" t="s">
        <v>13297</v>
      </c>
      <c r="D2938" t="s">
        <v>9473</v>
      </c>
      <c r="E2938" t="s">
        <v>9474</v>
      </c>
      <c r="J2938" t="s">
        <v>90</v>
      </c>
      <c r="K2938" t="s">
        <v>91</v>
      </c>
      <c r="L2938">
        <v>6</v>
      </c>
      <c r="M2938" t="s">
        <v>13294</v>
      </c>
      <c r="N2938" t="s">
        <v>47</v>
      </c>
      <c r="O2938" t="s">
        <v>9477</v>
      </c>
      <c r="P2938" t="s">
        <v>9477</v>
      </c>
      <c r="Y2938" t="s">
        <v>13298</v>
      </c>
    </row>
    <row r="2939" spans="1:25">
      <c r="A2939" t="s">
        <v>13299</v>
      </c>
      <c r="B2939" t="s">
        <v>13300</v>
      </c>
      <c r="D2939" t="s">
        <v>9473</v>
      </c>
      <c r="E2939" t="s">
        <v>9474</v>
      </c>
      <c r="H2939" t="s">
        <v>13301</v>
      </c>
      <c r="J2939" t="s">
        <v>44</v>
      </c>
      <c r="K2939" t="s">
        <v>45</v>
      </c>
      <c r="L2939">
        <v>6</v>
      </c>
      <c r="M2939" t="s">
        <v>13302</v>
      </c>
      <c r="N2939" t="s">
        <v>47</v>
      </c>
      <c r="O2939" t="s">
        <v>9477</v>
      </c>
      <c r="P2939" t="s">
        <v>9477</v>
      </c>
      <c r="Y2939" t="s">
        <v>13301</v>
      </c>
    </row>
    <row r="2940" spans="1:25">
      <c r="A2940" t="s">
        <v>13303</v>
      </c>
      <c r="B2940" t="s">
        <v>13304</v>
      </c>
      <c r="D2940" t="s">
        <v>9473</v>
      </c>
      <c r="E2940" t="s">
        <v>9474</v>
      </c>
      <c r="H2940" t="s">
        <v>13305</v>
      </c>
      <c r="J2940" t="s">
        <v>133</v>
      </c>
      <c r="K2940" t="s">
        <v>134</v>
      </c>
      <c r="L2940">
        <v>6</v>
      </c>
      <c r="M2940" t="s">
        <v>13306</v>
      </c>
      <c r="N2940" t="s">
        <v>290</v>
      </c>
      <c r="O2940" t="s">
        <v>9477</v>
      </c>
      <c r="P2940" t="s">
        <v>9477</v>
      </c>
      <c r="Y2940" t="s">
        <v>13305</v>
      </c>
    </row>
    <row r="2941" spans="1:25">
      <c r="A2941" t="s">
        <v>13307</v>
      </c>
      <c r="B2941" t="s">
        <v>13308</v>
      </c>
      <c r="D2941" t="s">
        <v>9473</v>
      </c>
      <c r="E2941" t="s">
        <v>9474</v>
      </c>
      <c r="J2941" t="s">
        <v>78</v>
      </c>
      <c r="K2941" t="s">
        <v>79</v>
      </c>
      <c r="L2941">
        <v>6</v>
      </c>
      <c r="M2941" t="s">
        <v>13306</v>
      </c>
      <c r="N2941" t="s">
        <v>47</v>
      </c>
      <c r="O2941" t="s">
        <v>9477</v>
      </c>
      <c r="P2941" t="s">
        <v>9477</v>
      </c>
      <c r="Y2941" t="s">
        <v>13309</v>
      </c>
    </row>
    <row r="2942" spans="1:25">
      <c r="A2942" t="s">
        <v>13310</v>
      </c>
      <c r="B2942" t="s">
        <v>13311</v>
      </c>
      <c r="D2942" t="s">
        <v>9473</v>
      </c>
      <c r="E2942" t="s">
        <v>9474</v>
      </c>
      <c r="J2942" t="s">
        <v>90</v>
      </c>
      <c r="K2942" t="s">
        <v>91</v>
      </c>
      <c r="L2942">
        <v>6</v>
      </c>
      <c r="M2942" t="s">
        <v>13306</v>
      </c>
      <c r="N2942" t="s">
        <v>47</v>
      </c>
      <c r="O2942" t="s">
        <v>9477</v>
      </c>
      <c r="P2942" t="s">
        <v>9477</v>
      </c>
      <c r="Y2942" t="s">
        <v>13312</v>
      </c>
    </row>
    <row r="2943" spans="1:25">
      <c r="A2943" t="s">
        <v>13313</v>
      </c>
      <c r="B2943" t="s">
        <v>13314</v>
      </c>
      <c r="D2943" t="s">
        <v>9473</v>
      </c>
      <c r="E2943" t="s">
        <v>9474</v>
      </c>
      <c r="J2943" t="s">
        <v>90</v>
      </c>
      <c r="K2943" t="s">
        <v>91</v>
      </c>
      <c r="L2943">
        <v>6</v>
      </c>
      <c r="M2943" t="s">
        <v>13315</v>
      </c>
      <c r="N2943" t="s">
        <v>47</v>
      </c>
      <c r="O2943" t="s">
        <v>9477</v>
      </c>
      <c r="P2943" t="s">
        <v>9477</v>
      </c>
      <c r="Y2943" t="s">
        <v>13316</v>
      </c>
    </row>
    <row r="2944" spans="1:25">
      <c r="A2944" t="s">
        <v>13317</v>
      </c>
      <c r="B2944" t="s">
        <v>13318</v>
      </c>
      <c r="D2944" t="s">
        <v>9473</v>
      </c>
      <c r="E2944" t="s">
        <v>9474</v>
      </c>
      <c r="J2944" t="s">
        <v>90</v>
      </c>
      <c r="K2944" t="s">
        <v>91</v>
      </c>
      <c r="L2944">
        <v>6</v>
      </c>
      <c r="M2944" t="s">
        <v>13315</v>
      </c>
      <c r="N2944" t="s">
        <v>47</v>
      </c>
      <c r="O2944" t="s">
        <v>9477</v>
      </c>
      <c r="P2944" t="s">
        <v>9477</v>
      </c>
      <c r="Y2944" t="s">
        <v>13319</v>
      </c>
    </row>
    <row r="2945" spans="1:25">
      <c r="A2945" t="s">
        <v>13320</v>
      </c>
      <c r="B2945" t="s">
        <v>13321</v>
      </c>
      <c r="D2945" t="s">
        <v>9473</v>
      </c>
      <c r="E2945" t="s">
        <v>9474</v>
      </c>
      <c r="J2945" t="s">
        <v>78</v>
      </c>
      <c r="K2945" t="s">
        <v>79</v>
      </c>
      <c r="L2945">
        <v>6</v>
      </c>
      <c r="M2945" t="s">
        <v>13322</v>
      </c>
      <c r="N2945" t="s">
        <v>47</v>
      </c>
      <c r="O2945" t="s">
        <v>9477</v>
      </c>
      <c r="P2945" t="s">
        <v>9477</v>
      </c>
      <c r="Y2945" t="s">
        <v>13323</v>
      </c>
    </row>
    <row r="2946" spans="1:25">
      <c r="A2946" t="s">
        <v>13324</v>
      </c>
      <c r="B2946" t="s">
        <v>13325</v>
      </c>
      <c r="D2946" t="s">
        <v>9473</v>
      </c>
      <c r="E2946" t="s">
        <v>9474</v>
      </c>
      <c r="J2946" t="s">
        <v>54</v>
      </c>
      <c r="K2946" t="s">
        <v>55</v>
      </c>
      <c r="L2946">
        <v>6</v>
      </c>
      <c r="M2946" t="s">
        <v>13322</v>
      </c>
      <c r="N2946" t="s">
        <v>47</v>
      </c>
      <c r="O2946" t="s">
        <v>9477</v>
      </c>
      <c r="P2946" t="s">
        <v>9477</v>
      </c>
      <c r="Y2946" t="s">
        <v>13326</v>
      </c>
    </row>
    <row r="2947" spans="1:25">
      <c r="A2947" t="s">
        <v>13327</v>
      </c>
      <c r="B2947" t="s">
        <v>13328</v>
      </c>
      <c r="D2947" t="s">
        <v>9473</v>
      </c>
      <c r="E2947" t="s">
        <v>9474</v>
      </c>
      <c r="J2947" t="s">
        <v>54</v>
      </c>
      <c r="K2947" t="s">
        <v>55</v>
      </c>
      <c r="L2947">
        <v>6</v>
      </c>
      <c r="M2947" t="s">
        <v>13329</v>
      </c>
      <c r="N2947" t="s">
        <v>47</v>
      </c>
      <c r="O2947" t="s">
        <v>9477</v>
      </c>
      <c r="P2947" t="s">
        <v>9477</v>
      </c>
      <c r="Y2947" t="s">
        <v>13330</v>
      </c>
    </row>
    <row r="2948" spans="1:25">
      <c r="A2948" t="s">
        <v>13331</v>
      </c>
      <c r="B2948" t="s">
        <v>13332</v>
      </c>
      <c r="D2948" t="s">
        <v>9473</v>
      </c>
      <c r="E2948" t="s">
        <v>9474</v>
      </c>
      <c r="J2948" t="s">
        <v>54</v>
      </c>
      <c r="K2948" t="s">
        <v>55</v>
      </c>
      <c r="L2948">
        <v>6</v>
      </c>
      <c r="M2948" t="s">
        <v>13333</v>
      </c>
      <c r="N2948" t="s">
        <v>47</v>
      </c>
      <c r="O2948" t="s">
        <v>9477</v>
      </c>
      <c r="P2948" t="s">
        <v>9477</v>
      </c>
      <c r="Y2948" t="s">
        <v>13334</v>
      </c>
    </row>
    <row r="2949" spans="1:25">
      <c r="A2949" t="s">
        <v>13335</v>
      </c>
      <c r="B2949" t="s">
        <v>13336</v>
      </c>
      <c r="D2949" t="s">
        <v>9473</v>
      </c>
      <c r="E2949" t="s">
        <v>9474</v>
      </c>
      <c r="H2949" t="s">
        <v>13337</v>
      </c>
      <c r="J2949" t="s">
        <v>44</v>
      </c>
      <c r="K2949" t="s">
        <v>45</v>
      </c>
      <c r="L2949">
        <v>6</v>
      </c>
      <c r="M2949" t="s">
        <v>13338</v>
      </c>
      <c r="N2949" t="s">
        <v>47</v>
      </c>
      <c r="O2949" t="s">
        <v>9477</v>
      </c>
      <c r="P2949" t="s">
        <v>9477</v>
      </c>
      <c r="Y2949" t="s">
        <v>13337</v>
      </c>
    </row>
    <row r="2950" spans="1:25">
      <c r="A2950" t="s">
        <v>13339</v>
      </c>
      <c r="B2950" t="s">
        <v>13340</v>
      </c>
      <c r="D2950" t="s">
        <v>9473</v>
      </c>
      <c r="E2950" t="s">
        <v>9474</v>
      </c>
      <c r="H2950" t="s">
        <v>13341</v>
      </c>
      <c r="J2950" t="s">
        <v>90</v>
      </c>
      <c r="K2950" t="s">
        <v>91</v>
      </c>
      <c r="L2950">
        <v>6</v>
      </c>
      <c r="M2950" t="s">
        <v>13342</v>
      </c>
      <c r="N2950" t="s">
        <v>47</v>
      </c>
      <c r="O2950" t="s">
        <v>9477</v>
      </c>
      <c r="P2950" t="s">
        <v>9477</v>
      </c>
      <c r="Y2950" t="s">
        <v>13341</v>
      </c>
    </row>
    <row r="2951" spans="1:25">
      <c r="A2951" t="s">
        <v>13343</v>
      </c>
      <c r="B2951" t="s">
        <v>13344</v>
      </c>
      <c r="D2951" t="s">
        <v>9473</v>
      </c>
      <c r="E2951" t="s">
        <v>9474</v>
      </c>
      <c r="J2951" t="s">
        <v>44</v>
      </c>
      <c r="K2951" t="s">
        <v>45</v>
      </c>
      <c r="L2951">
        <v>6</v>
      </c>
      <c r="M2951" t="s">
        <v>13342</v>
      </c>
      <c r="N2951" t="s">
        <v>47</v>
      </c>
      <c r="O2951" t="s">
        <v>9477</v>
      </c>
      <c r="P2951" t="s">
        <v>9477</v>
      </c>
      <c r="Y2951" t="s">
        <v>13345</v>
      </c>
    </row>
    <row r="2952" spans="1:25">
      <c r="A2952" t="s">
        <v>13346</v>
      </c>
      <c r="B2952" t="s">
        <v>13347</v>
      </c>
      <c r="D2952" t="s">
        <v>9473</v>
      </c>
      <c r="E2952" t="s">
        <v>9474</v>
      </c>
      <c r="J2952" t="s">
        <v>44</v>
      </c>
      <c r="K2952" t="s">
        <v>45</v>
      </c>
      <c r="L2952">
        <v>6</v>
      </c>
      <c r="M2952" t="s">
        <v>13342</v>
      </c>
      <c r="N2952" t="s">
        <v>47</v>
      </c>
      <c r="O2952" t="s">
        <v>9477</v>
      </c>
      <c r="P2952" t="s">
        <v>9477</v>
      </c>
      <c r="Y2952" t="s">
        <v>13348</v>
      </c>
    </row>
    <row r="2953" spans="1:25">
      <c r="A2953" t="s">
        <v>13349</v>
      </c>
      <c r="B2953" t="s">
        <v>13350</v>
      </c>
      <c r="D2953" t="s">
        <v>9473</v>
      </c>
      <c r="E2953" t="s">
        <v>9474</v>
      </c>
      <c r="J2953" t="s">
        <v>44</v>
      </c>
      <c r="K2953" t="s">
        <v>45</v>
      </c>
      <c r="L2953">
        <v>6</v>
      </c>
      <c r="M2953" t="s">
        <v>13351</v>
      </c>
      <c r="N2953" t="s">
        <v>47</v>
      </c>
      <c r="O2953" t="s">
        <v>9477</v>
      </c>
      <c r="P2953" t="s">
        <v>9477</v>
      </c>
      <c r="Y2953" t="s">
        <v>13352</v>
      </c>
    </row>
    <row r="2954" spans="1:25">
      <c r="A2954" t="s">
        <v>13353</v>
      </c>
      <c r="B2954" t="s">
        <v>13354</v>
      </c>
      <c r="D2954" t="s">
        <v>9473</v>
      </c>
      <c r="E2954" t="s">
        <v>9474</v>
      </c>
      <c r="J2954" t="s">
        <v>44</v>
      </c>
      <c r="K2954" t="s">
        <v>45</v>
      </c>
      <c r="L2954">
        <v>6</v>
      </c>
      <c r="M2954" t="s">
        <v>13355</v>
      </c>
      <c r="N2954" t="s">
        <v>47</v>
      </c>
      <c r="O2954" t="s">
        <v>9477</v>
      </c>
      <c r="P2954" t="s">
        <v>9477</v>
      </c>
      <c r="Y2954" t="s">
        <v>13356</v>
      </c>
    </row>
    <row r="2955" spans="1:25">
      <c r="A2955" t="s">
        <v>13357</v>
      </c>
      <c r="B2955" t="s">
        <v>13358</v>
      </c>
      <c r="D2955" t="s">
        <v>9473</v>
      </c>
      <c r="E2955" t="s">
        <v>9474</v>
      </c>
      <c r="J2955" t="s">
        <v>133</v>
      </c>
      <c r="K2955" t="s">
        <v>134</v>
      </c>
      <c r="L2955">
        <v>6</v>
      </c>
      <c r="M2955" t="s">
        <v>13359</v>
      </c>
      <c r="N2955" t="s">
        <v>135</v>
      </c>
      <c r="O2955" t="s">
        <v>9477</v>
      </c>
      <c r="P2955" t="s">
        <v>9477</v>
      </c>
      <c r="Y2955" t="s">
        <v>13360</v>
      </c>
    </row>
    <row r="2956" spans="1:25">
      <c r="A2956" t="s">
        <v>13361</v>
      </c>
      <c r="B2956" t="s">
        <v>13362</v>
      </c>
      <c r="D2956" t="s">
        <v>9473</v>
      </c>
      <c r="E2956" t="s">
        <v>9474</v>
      </c>
      <c r="H2956" t="s">
        <v>13363</v>
      </c>
      <c r="J2956" t="s">
        <v>44</v>
      </c>
      <c r="K2956" t="s">
        <v>45</v>
      </c>
      <c r="L2956">
        <v>6</v>
      </c>
      <c r="M2956" t="s">
        <v>13364</v>
      </c>
      <c r="N2956" t="s">
        <v>47</v>
      </c>
      <c r="O2956" t="s">
        <v>9477</v>
      </c>
      <c r="P2956" t="s">
        <v>9477</v>
      </c>
      <c r="Y2956" t="s">
        <v>13363</v>
      </c>
    </row>
    <row r="2957" spans="1:25">
      <c r="A2957" t="s">
        <v>13365</v>
      </c>
      <c r="B2957" t="s">
        <v>13366</v>
      </c>
      <c r="D2957" t="s">
        <v>9473</v>
      </c>
      <c r="E2957" t="s">
        <v>9474</v>
      </c>
      <c r="J2957" t="s">
        <v>54</v>
      </c>
      <c r="K2957" t="s">
        <v>55</v>
      </c>
      <c r="L2957">
        <v>6</v>
      </c>
      <c r="M2957" t="s">
        <v>13367</v>
      </c>
      <c r="N2957" t="s">
        <v>47</v>
      </c>
      <c r="O2957" t="s">
        <v>9477</v>
      </c>
      <c r="P2957" t="s">
        <v>9477</v>
      </c>
      <c r="Y2957" t="s">
        <v>13368</v>
      </c>
    </row>
    <row r="2958" spans="1:25">
      <c r="A2958" t="s">
        <v>13369</v>
      </c>
      <c r="B2958" t="s">
        <v>13370</v>
      </c>
      <c r="D2958" t="s">
        <v>9473</v>
      </c>
      <c r="E2958" t="s">
        <v>9474</v>
      </c>
      <c r="J2958" t="s">
        <v>44</v>
      </c>
      <c r="K2958" t="s">
        <v>45</v>
      </c>
      <c r="L2958">
        <v>6</v>
      </c>
      <c r="M2958" t="s">
        <v>13367</v>
      </c>
      <c r="N2958" t="s">
        <v>47</v>
      </c>
      <c r="O2958" t="s">
        <v>9477</v>
      </c>
      <c r="P2958" t="s">
        <v>9477</v>
      </c>
      <c r="Y2958" t="s">
        <v>13371</v>
      </c>
    </row>
    <row r="2959" spans="1:25">
      <c r="A2959" t="s">
        <v>13372</v>
      </c>
      <c r="B2959" t="s">
        <v>13373</v>
      </c>
      <c r="D2959" t="s">
        <v>9473</v>
      </c>
      <c r="E2959" t="s">
        <v>9474</v>
      </c>
      <c r="J2959" t="s">
        <v>54</v>
      </c>
      <c r="K2959" t="s">
        <v>55</v>
      </c>
      <c r="L2959">
        <v>6</v>
      </c>
      <c r="M2959" t="s">
        <v>13374</v>
      </c>
      <c r="N2959" t="s">
        <v>47</v>
      </c>
      <c r="O2959" t="s">
        <v>9477</v>
      </c>
      <c r="P2959" t="s">
        <v>9477</v>
      </c>
      <c r="Y2959" t="s">
        <v>13375</v>
      </c>
    </row>
    <row r="2960" spans="1:25">
      <c r="A2960" t="s">
        <v>13376</v>
      </c>
      <c r="B2960" t="s">
        <v>13377</v>
      </c>
      <c r="D2960" t="s">
        <v>9473</v>
      </c>
      <c r="E2960" t="s">
        <v>9474</v>
      </c>
      <c r="J2960" t="s">
        <v>90</v>
      </c>
      <c r="K2960" t="s">
        <v>91</v>
      </c>
      <c r="L2960">
        <v>6</v>
      </c>
      <c r="M2960" t="s">
        <v>13378</v>
      </c>
      <c r="N2960" t="s">
        <v>47</v>
      </c>
      <c r="O2960" t="s">
        <v>9477</v>
      </c>
      <c r="P2960" t="s">
        <v>9477</v>
      </c>
      <c r="Y2960" t="s">
        <v>13379</v>
      </c>
    </row>
    <row r="2961" spans="1:25">
      <c r="A2961" t="s">
        <v>13380</v>
      </c>
      <c r="B2961" t="s">
        <v>13381</v>
      </c>
      <c r="D2961" t="s">
        <v>9473</v>
      </c>
      <c r="E2961" t="s">
        <v>9474</v>
      </c>
      <c r="H2961" t="s">
        <v>13382</v>
      </c>
      <c r="J2961" t="s">
        <v>78</v>
      </c>
      <c r="K2961" t="s">
        <v>79</v>
      </c>
      <c r="L2961">
        <v>6</v>
      </c>
      <c r="M2961" t="s">
        <v>13378</v>
      </c>
      <c r="N2961" t="s">
        <v>47</v>
      </c>
      <c r="O2961" t="s">
        <v>9477</v>
      </c>
      <c r="P2961" t="s">
        <v>9477</v>
      </c>
      <c r="Y2961" t="s">
        <v>13382</v>
      </c>
    </row>
    <row r="2962" spans="1:25">
      <c r="A2962" t="s">
        <v>13383</v>
      </c>
      <c r="B2962" t="s">
        <v>13384</v>
      </c>
      <c r="D2962" t="s">
        <v>9473</v>
      </c>
      <c r="E2962" t="s">
        <v>9474</v>
      </c>
      <c r="J2962" t="s">
        <v>497</v>
      </c>
      <c r="K2962" t="s">
        <v>498</v>
      </c>
      <c r="L2962">
        <v>6</v>
      </c>
      <c r="M2962" t="s">
        <v>13385</v>
      </c>
      <c r="N2962" t="s">
        <v>290</v>
      </c>
      <c r="O2962" t="s">
        <v>9477</v>
      </c>
      <c r="P2962" t="s">
        <v>9477</v>
      </c>
      <c r="Y2962" t="s">
        <v>13386</v>
      </c>
    </row>
    <row r="2963" spans="1:25">
      <c r="A2963" t="s">
        <v>13387</v>
      </c>
      <c r="B2963" t="s">
        <v>13388</v>
      </c>
      <c r="D2963" t="s">
        <v>9473</v>
      </c>
      <c r="E2963" t="s">
        <v>9474</v>
      </c>
      <c r="H2963" t="s">
        <v>13389</v>
      </c>
      <c r="J2963" t="s">
        <v>44</v>
      </c>
      <c r="K2963" t="s">
        <v>45</v>
      </c>
      <c r="L2963">
        <v>6</v>
      </c>
      <c r="M2963" t="s">
        <v>13385</v>
      </c>
      <c r="N2963" t="s">
        <v>47</v>
      </c>
      <c r="O2963" t="s">
        <v>9477</v>
      </c>
      <c r="P2963" t="s">
        <v>9477</v>
      </c>
      <c r="Y2963" t="s">
        <v>13389</v>
      </c>
    </row>
    <row r="2964" spans="1:25">
      <c r="A2964" t="s">
        <v>13390</v>
      </c>
      <c r="B2964" t="s">
        <v>13391</v>
      </c>
      <c r="D2964" t="s">
        <v>9473</v>
      </c>
      <c r="E2964" t="s">
        <v>9474</v>
      </c>
      <c r="H2964" t="s">
        <v>13392</v>
      </c>
      <c r="J2964" t="s">
        <v>234</v>
      </c>
      <c r="K2964" t="s">
        <v>235</v>
      </c>
      <c r="L2964">
        <v>6</v>
      </c>
      <c r="M2964" t="s">
        <v>13393</v>
      </c>
      <c r="N2964" t="s">
        <v>47</v>
      </c>
      <c r="O2964" t="s">
        <v>9477</v>
      </c>
      <c r="P2964" t="s">
        <v>9477</v>
      </c>
      <c r="Y2964" t="s">
        <v>13392</v>
      </c>
    </row>
    <row r="2965" spans="1:25">
      <c r="A2965" t="s">
        <v>13394</v>
      </c>
      <c r="B2965" t="s">
        <v>13395</v>
      </c>
      <c r="D2965" t="s">
        <v>9473</v>
      </c>
      <c r="E2965" t="s">
        <v>9474</v>
      </c>
      <c r="J2965" t="s">
        <v>44</v>
      </c>
      <c r="K2965" t="s">
        <v>45</v>
      </c>
      <c r="L2965">
        <v>6</v>
      </c>
      <c r="M2965" t="s">
        <v>13396</v>
      </c>
      <c r="N2965" t="s">
        <v>47</v>
      </c>
      <c r="O2965" t="s">
        <v>9477</v>
      </c>
      <c r="P2965" t="s">
        <v>9477</v>
      </c>
      <c r="Y2965" t="s">
        <v>13397</v>
      </c>
    </row>
    <row r="2966" spans="1:25">
      <c r="A2966" t="s">
        <v>13398</v>
      </c>
      <c r="B2966" t="s">
        <v>13399</v>
      </c>
      <c r="D2966" t="s">
        <v>9473</v>
      </c>
      <c r="E2966" t="s">
        <v>9474</v>
      </c>
      <c r="J2966" t="s">
        <v>78</v>
      </c>
      <c r="K2966" t="s">
        <v>79</v>
      </c>
      <c r="L2966">
        <v>6</v>
      </c>
      <c r="M2966" t="s">
        <v>13400</v>
      </c>
      <c r="N2966" t="s">
        <v>47</v>
      </c>
      <c r="O2966" t="s">
        <v>9477</v>
      </c>
      <c r="P2966" t="s">
        <v>9477</v>
      </c>
      <c r="Y2966" t="s">
        <v>13401</v>
      </c>
    </row>
    <row r="2967" spans="1:25">
      <c r="A2967" t="s">
        <v>13402</v>
      </c>
      <c r="B2967" t="s">
        <v>13403</v>
      </c>
      <c r="D2967" t="s">
        <v>9473</v>
      </c>
      <c r="E2967" t="s">
        <v>9474</v>
      </c>
      <c r="J2967" t="s">
        <v>371</v>
      </c>
      <c r="K2967" t="s">
        <v>372</v>
      </c>
      <c r="L2967">
        <v>6</v>
      </c>
      <c r="M2967" t="s">
        <v>13400</v>
      </c>
      <c r="N2967" t="s">
        <v>47</v>
      </c>
      <c r="O2967" t="s">
        <v>9477</v>
      </c>
      <c r="P2967" t="s">
        <v>9477</v>
      </c>
      <c r="Y2967" t="s">
        <v>13404</v>
      </c>
    </row>
    <row r="2968" spans="1:25">
      <c r="A2968" t="s">
        <v>13405</v>
      </c>
      <c r="B2968" t="s">
        <v>13406</v>
      </c>
      <c r="D2968" t="s">
        <v>9473</v>
      </c>
      <c r="E2968" t="s">
        <v>9474</v>
      </c>
      <c r="H2968" t="s">
        <v>13407</v>
      </c>
      <c r="J2968" t="s">
        <v>133</v>
      </c>
      <c r="K2968" t="s">
        <v>134</v>
      </c>
      <c r="L2968">
        <v>6</v>
      </c>
      <c r="M2968" t="s">
        <v>13400</v>
      </c>
      <c r="N2968" t="s">
        <v>135</v>
      </c>
      <c r="O2968" t="s">
        <v>9477</v>
      </c>
      <c r="P2968" t="s">
        <v>9477</v>
      </c>
      <c r="Y2968" t="s">
        <v>13407</v>
      </c>
    </row>
    <row r="2969" spans="1:25">
      <c r="A2969" t="s">
        <v>13408</v>
      </c>
      <c r="B2969" t="s">
        <v>13409</v>
      </c>
      <c r="D2969" t="s">
        <v>9473</v>
      </c>
      <c r="E2969" t="s">
        <v>9474</v>
      </c>
      <c r="J2969" t="s">
        <v>90</v>
      </c>
      <c r="K2969" t="s">
        <v>91</v>
      </c>
      <c r="L2969">
        <v>6</v>
      </c>
      <c r="M2969" t="s">
        <v>13400</v>
      </c>
      <c r="N2969" t="s">
        <v>47</v>
      </c>
      <c r="O2969" t="s">
        <v>9477</v>
      </c>
      <c r="P2969" t="s">
        <v>9477</v>
      </c>
      <c r="Y2969" t="s">
        <v>13410</v>
      </c>
    </row>
    <row r="2970" spans="1:25">
      <c r="A2970" t="s">
        <v>13411</v>
      </c>
      <c r="B2970" t="s">
        <v>13412</v>
      </c>
      <c r="D2970" t="s">
        <v>9473</v>
      </c>
      <c r="E2970" t="s">
        <v>9474</v>
      </c>
      <c r="J2970" t="s">
        <v>371</v>
      </c>
      <c r="K2970" t="s">
        <v>372</v>
      </c>
      <c r="L2970">
        <v>6</v>
      </c>
      <c r="M2970" t="s">
        <v>13413</v>
      </c>
      <c r="N2970" t="s">
        <v>47</v>
      </c>
      <c r="O2970" t="s">
        <v>9477</v>
      </c>
      <c r="P2970" t="s">
        <v>9477</v>
      </c>
      <c r="Y2970" t="s">
        <v>13414</v>
      </c>
    </row>
    <row r="2971" spans="1:25">
      <c r="A2971" t="s">
        <v>13415</v>
      </c>
      <c r="B2971" t="s">
        <v>13416</v>
      </c>
      <c r="D2971" t="s">
        <v>9473</v>
      </c>
      <c r="E2971" t="s">
        <v>9474</v>
      </c>
      <c r="H2971" t="s">
        <v>13417</v>
      </c>
      <c r="J2971" t="s">
        <v>234</v>
      </c>
      <c r="K2971" t="s">
        <v>235</v>
      </c>
      <c r="L2971">
        <v>6</v>
      </c>
      <c r="M2971" t="s">
        <v>13418</v>
      </c>
      <c r="N2971" t="s">
        <v>47</v>
      </c>
      <c r="O2971" t="s">
        <v>9477</v>
      </c>
      <c r="P2971" t="s">
        <v>9477</v>
      </c>
      <c r="Y2971" t="s">
        <v>13417</v>
      </c>
    </row>
    <row r="2972" spans="1:25">
      <c r="A2972" t="s">
        <v>13419</v>
      </c>
      <c r="B2972" t="s">
        <v>13420</v>
      </c>
      <c r="D2972" t="s">
        <v>9473</v>
      </c>
      <c r="E2972" t="s">
        <v>9474</v>
      </c>
      <c r="J2972" t="s">
        <v>353</v>
      </c>
      <c r="K2972" t="s">
        <v>354</v>
      </c>
      <c r="L2972">
        <v>6</v>
      </c>
      <c r="M2972" t="s">
        <v>13421</v>
      </c>
      <c r="N2972" t="s">
        <v>290</v>
      </c>
      <c r="O2972" t="s">
        <v>9477</v>
      </c>
      <c r="P2972" t="s">
        <v>9477</v>
      </c>
      <c r="Y2972" t="s">
        <v>13422</v>
      </c>
    </row>
    <row r="2973" spans="1:25">
      <c r="A2973" t="s">
        <v>13423</v>
      </c>
      <c r="B2973" t="s">
        <v>13424</v>
      </c>
      <c r="D2973" t="s">
        <v>9473</v>
      </c>
      <c r="E2973" t="s">
        <v>9474</v>
      </c>
      <c r="H2973" t="s">
        <v>13425</v>
      </c>
      <c r="J2973" t="s">
        <v>54</v>
      </c>
      <c r="K2973" t="s">
        <v>55</v>
      </c>
      <c r="L2973">
        <v>6</v>
      </c>
      <c r="M2973" t="s">
        <v>13426</v>
      </c>
      <c r="N2973" t="s">
        <v>47</v>
      </c>
      <c r="O2973" t="s">
        <v>9477</v>
      </c>
      <c r="P2973" t="s">
        <v>9477</v>
      </c>
      <c r="Y2973" t="s">
        <v>13425</v>
      </c>
    </row>
    <row r="2974" spans="1:25">
      <c r="A2974" t="s">
        <v>13427</v>
      </c>
      <c r="B2974" t="s">
        <v>13428</v>
      </c>
      <c r="D2974" t="s">
        <v>9473</v>
      </c>
      <c r="E2974" t="s">
        <v>9474</v>
      </c>
      <c r="J2974" t="s">
        <v>90</v>
      </c>
      <c r="K2974" t="s">
        <v>91</v>
      </c>
      <c r="L2974">
        <v>6</v>
      </c>
      <c r="M2974" t="s">
        <v>13429</v>
      </c>
      <c r="N2974" t="s">
        <v>47</v>
      </c>
      <c r="O2974" t="s">
        <v>9477</v>
      </c>
      <c r="P2974" t="s">
        <v>9477</v>
      </c>
      <c r="Y2974" t="s">
        <v>13430</v>
      </c>
    </row>
    <row r="2975" spans="1:25">
      <c r="A2975" t="s">
        <v>13431</v>
      </c>
      <c r="B2975" t="s">
        <v>13432</v>
      </c>
      <c r="D2975" t="s">
        <v>9473</v>
      </c>
      <c r="E2975" t="s">
        <v>9474</v>
      </c>
      <c r="H2975" t="s">
        <v>13433</v>
      </c>
      <c r="J2975" t="s">
        <v>353</v>
      </c>
      <c r="K2975" t="s">
        <v>354</v>
      </c>
      <c r="L2975">
        <v>6</v>
      </c>
      <c r="M2975" t="s">
        <v>13434</v>
      </c>
      <c r="N2975" t="s">
        <v>135</v>
      </c>
      <c r="O2975" t="s">
        <v>9477</v>
      </c>
      <c r="P2975" t="s">
        <v>9477</v>
      </c>
      <c r="Y2975" t="s">
        <v>13433</v>
      </c>
    </row>
    <row r="2976" spans="1:25">
      <c r="A2976" t="s">
        <v>13435</v>
      </c>
      <c r="B2976" t="s">
        <v>13436</v>
      </c>
      <c r="D2976" t="s">
        <v>9473</v>
      </c>
      <c r="E2976" t="s">
        <v>9474</v>
      </c>
      <c r="J2976" t="s">
        <v>54</v>
      </c>
      <c r="K2976" t="s">
        <v>55</v>
      </c>
      <c r="L2976">
        <v>6</v>
      </c>
      <c r="M2976" t="s">
        <v>13434</v>
      </c>
      <c r="N2976" t="s">
        <v>47</v>
      </c>
      <c r="O2976" t="s">
        <v>9477</v>
      </c>
      <c r="P2976" t="s">
        <v>9477</v>
      </c>
      <c r="Y2976" t="s">
        <v>13437</v>
      </c>
    </row>
    <row r="2977" spans="1:25">
      <c r="A2977" t="s">
        <v>13438</v>
      </c>
      <c r="B2977" t="s">
        <v>13439</v>
      </c>
      <c r="D2977" t="s">
        <v>9473</v>
      </c>
      <c r="E2977" t="s">
        <v>9474</v>
      </c>
      <c r="J2977" t="s">
        <v>353</v>
      </c>
      <c r="K2977" t="s">
        <v>354</v>
      </c>
      <c r="L2977">
        <v>6</v>
      </c>
      <c r="M2977" t="s">
        <v>13434</v>
      </c>
      <c r="N2977" t="s">
        <v>290</v>
      </c>
      <c r="O2977" t="s">
        <v>9477</v>
      </c>
      <c r="P2977" t="s">
        <v>9477</v>
      </c>
      <c r="Y2977" t="s">
        <v>13440</v>
      </c>
    </row>
    <row r="2978" spans="1:25">
      <c r="A2978" t="s">
        <v>13441</v>
      </c>
      <c r="B2978" t="s">
        <v>13442</v>
      </c>
      <c r="D2978" t="s">
        <v>9473</v>
      </c>
      <c r="E2978" t="s">
        <v>9474</v>
      </c>
      <c r="J2978" t="s">
        <v>371</v>
      </c>
      <c r="K2978" t="s">
        <v>372</v>
      </c>
      <c r="L2978">
        <v>6</v>
      </c>
      <c r="M2978" t="s">
        <v>13434</v>
      </c>
      <c r="N2978" t="s">
        <v>47</v>
      </c>
      <c r="O2978" t="s">
        <v>9477</v>
      </c>
      <c r="P2978" t="s">
        <v>9477</v>
      </c>
      <c r="Y2978" t="s">
        <v>13443</v>
      </c>
    </row>
    <row r="2979" spans="1:25">
      <c r="A2979" t="s">
        <v>13444</v>
      </c>
      <c r="B2979" t="s">
        <v>13445</v>
      </c>
      <c r="D2979" t="s">
        <v>9473</v>
      </c>
      <c r="E2979" t="s">
        <v>9474</v>
      </c>
      <c r="H2979" t="s">
        <v>13446</v>
      </c>
      <c r="J2979" t="s">
        <v>54</v>
      </c>
      <c r="K2979" t="s">
        <v>55</v>
      </c>
      <c r="L2979">
        <v>6</v>
      </c>
      <c r="M2979" t="s">
        <v>13447</v>
      </c>
      <c r="N2979" t="s">
        <v>47</v>
      </c>
      <c r="O2979" t="s">
        <v>9477</v>
      </c>
      <c r="P2979" t="s">
        <v>9477</v>
      </c>
      <c r="Y2979" t="s">
        <v>13446</v>
      </c>
    </row>
    <row r="2980" spans="1:25">
      <c r="A2980" t="s">
        <v>13448</v>
      </c>
      <c r="B2980" t="s">
        <v>13449</v>
      </c>
      <c r="D2980" t="s">
        <v>9473</v>
      </c>
      <c r="E2980" t="s">
        <v>9474</v>
      </c>
      <c r="H2980" t="s">
        <v>13450</v>
      </c>
      <c r="J2980" t="s">
        <v>234</v>
      </c>
      <c r="K2980" t="s">
        <v>235</v>
      </c>
      <c r="L2980">
        <v>6</v>
      </c>
      <c r="M2980" t="s">
        <v>13451</v>
      </c>
      <c r="N2980" t="s">
        <v>47</v>
      </c>
      <c r="O2980" t="s">
        <v>9477</v>
      </c>
      <c r="P2980" t="s">
        <v>9477</v>
      </c>
      <c r="Y2980" t="s">
        <v>13450</v>
      </c>
    </row>
    <row r="2981" spans="1:25">
      <c r="A2981" t="s">
        <v>13452</v>
      </c>
      <c r="B2981" t="s">
        <v>13453</v>
      </c>
      <c r="D2981" t="s">
        <v>9473</v>
      </c>
      <c r="E2981" t="s">
        <v>9474</v>
      </c>
      <c r="J2981" t="s">
        <v>54</v>
      </c>
      <c r="K2981" t="s">
        <v>55</v>
      </c>
      <c r="L2981">
        <v>6</v>
      </c>
      <c r="M2981" t="s">
        <v>13454</v>
      </c>
      <c r="N2981" t="s">
        <v>47</v>
      </c>
      <c r="O2981" t="s">
        <v>9477</v>
      </c>
      <c r="P2981" t="s">
        <v>9477</v>
      </c>
      <c r="Y2981" t="s">
        <v>13455</v>
      </c>
    </row>
    <row r="2982" spans="1:25">
      <c r="A2982" t="s">
        <v>13456</v>
      </c>
      <c r="B2982" t="s">
        <v>13457</v>
      </c>
      <c r="D2982" t="s">
        <v>9473</v>
      </c>
      <c r="E2982" t="s">
        <v>9474</v>
      </c>
      <c r="J2982" t="s">
        <v>133</v>
      </c>
      <c r="K2982" t="s">
        <v>134</v>
      </c>
      <c r="L2982">
        <v>6</v>
      </c>
      <c r="M2982" t="s">
        <v>13458</v>
      </c>
      <c r="N2982" t="s">
        <v>290</v>
      </c>
      <c r="O2982" t="s">
        <v>9477</v>
      </c>
      <c r="P2982" t="s">
        <v>9477</v>
      </c>
      <c r="Y2982" t="s">
        <v>13459</v>
      </c>
    </row>
    <row r="2983" spans="1:25">
      <c r="A2983" t="s">
        <v>13460</v>
      </c>
      <c r="B2983" t="s">
        <v>13461</v>
      </c>
      <c r="D2983" t="s">
        <v>9473</v>
      </c>
      <c r="E2983" t="s">
        <v>9474</v>
      </c>
      <c r="H2983" t="s">
        <v>13462</v>
      </c>
      <c r="J2983" t="s">
        <v>90</v>
      </c>
      <c r="K2983" t="s">
        <v>91</v>
      </c>
      <c r="L2983">
        <v>6</v>
      </c>
      <c r="M2983" t="s">
        <v>13463</v>
      </c>
      <c r="N2983" t="s">
        <v>47</v>
      </c>
      <c r="O2983" t="s">
        <v>9477</v>
      </c>
      <c r="P2983" t="s">
        <v>9477</v>
      </c>
      <c r="Y2983" t="s">
        <v>13462</v>
      </c>
    </row>
    <row r="2984" spans="1:25">
      <c r="A2984" t="s">
        <v>13464</v>
      </c>
      <c r="B2984" t="s">
        <v>13465</v>
      </c>
      <c r="D2984" t="s">
        <v>9473</v>
      </c>
      <c r="E2984" t="s">
        <v>9474</v>
      </c>
      <c r="J2984" t="s">
        <v>90</v>
      </c>
      <c r="K2984" t="s">
        <v>91</v>
      </c>
      <c r="L2984">
        <v>6</v>
      </c>
      <c r="M2984" t="s">
        <v>13463</v>
      </c>
      <c r="N2984" t="s">
        <v>47</v>
      </c>
      <c r="O2984" t="s">
        <v>9477</v>
      </c>
      <c r="P2984" t="s">
        <v>9477</v>
      </c>
      <c r="Y2984" t="s">
        <v>13466</v>
      </c>
    </row>
    <row r="2985" spans="1:25">
      <c r="A2985" t="s">
        <v>13467</v>
      </c>
      <c r="B2985" t="s">
        <v>13468</v>
      </c>
      <c r="D2985" t="s">
        <v>9473</v>
      </c>
      <c r="E2985" t="s">
        <v>9474</v>
      </c>
      <c r="J2985" t="s">
        <v>90</v>
      </c>
      <c r="K2985" t="s">
        <v>91</v>
      </c>
      <c r="L2985">
        <v>6</v>
      </c>
      <c r="M2985" t="s">
        <v>13469</v>
      </c>
      <c r="N2985" t="s">
        <v>47</v>
      </c>
      <c r="O2985" t="s">
        <v>9477</v>
      </c>
      <c r="P2985" t="s">
        <v>9477</v>
      </c>
      <c r="Y2985" t="s">
        <v>13470</v>
      </c>
    </row>
    <row r="2986" spans="1:25">
      <c r="A2986" t="s">
        <v>13471</v>
      </c>
      <c r="B2986" t="s">
        <v>13472</v>
      </c>
      <c r="D2986" t="s">
        <v>9473</v>
      </c>
      <c r="E2986" t="s">
        <v>9474</v>
      </c>
      <c r="J2986" t="s">
        <v>90</v>
      </c>
      <c r="K2986" t="s">
        <v>91</v>
      </c>
      <c r="L2986">
        <v>6</v>
      </c>
      <c r="M2986" t="s">
        <v>13469</v>
      </c>
      <c r="N2986" t="s">
        <v>47</v>
      </c>
      <c r="O2986" t="s">
        <v>9477</v>
      </c>
      <c r="P2986" t="s">
        <v>9477</v>
      </c>
      <c r="Y2986" t="s">
        <v>13473</v>
      </c>
    </row>
    <row r="2987" spans="1:25">
      <c r="A2987" t="s">
        <v>13474</v>
      </c>
      <c r="B2987" t="s">
        <v>13475</v>
      </c>
      <c r="D2987" t="s">
        <v>9473</v>
      </c>
      <c r="E2987" t="s">
        <v>9474</v>
      </c>
      <c r="J2987" t="s">
        <v>133</v>
      </c>
      <c r="K2987" t="s">
        <v>134</v>
      </c>
      <c r="L2987">
        <v>6</v>
      </c>
      <c r="M2987" t="s">
        <v>13476</v>
      </c>
      <c r="N2987" t="s">
        <v>135</v>
      </c>
      <c r="O2987" t="s">
        <v>9477</v>
      </c>
      <c r="P2987" t="s">
        <v>9477</v>
      </c>
      <c r="Y2987" t="s">
        <v>13477</v>
      </c>
    </row>
    <row r="2988" spans="1:25">
      <c r="A2988" t="s">
        <v>13478</v>
      </c>
      <c r="B2988" t="s">
        <v>13479</v>
      </c>
      <c r="D2988" t="s">
        <v>9473</v>
      </c>
      <c r="E2988" t="s">
        <v>9474</v>
      </c>
      <c r="J2988" t="s">
        <v>54</v>
      </c>
      <c r="K2988" t="s">
        <v>55</v>
      </c>
      <c r="L2988">
        <v>6</v>
      </c>
      <c r="M2988" t="s">
        <v>13480</v>
      </c>
      <c r="N2988" t="s">
        <v>47</v>
      </c>
      <c r="O2988" t="s">
        <v>9477</v>
      </c>
      <c r="P2988" t="s">
        <v>9477</v>
      </c>
      <c r="Y2988" t="s">
        <v>13481</v>
      </c>
    </row>
    <row r="2989" spans="1:25">
      <c r="A2989" t="s">
        <v>13482</v>
      </c>
      <c r="B2989" t="s">
        <v>13483</v>
      </c>
      <c r="D2989" t="s">
        <v>9473</v>
      </c>
      <c r="E2989" t="s">
        <v>9474</v>
      </c>
      <c r="J2989" t="s">
        <v>44</v>
      </c>
      <c r="K2989" t="s">
        <v>45</v>
      </c>
      <c r="L2989">
        <v>6</v>
      </c>
      <c r="M2989" t="s">
        <v>13484</v>
      </c>
      <c r="N2989" t="s">
        <v>47</v>
      </c>
      <c r="O2989" t="s">
        <v>9477</v>
      </c>
      <c r="P2989" t="s">
        <v>9477</v>
      </c>
      <c r="Y2989" t="s">
        <v>13485</v>
      </c>
    </row>
    <row r="2990" spans="1:25">
      <c r="A2990" t="s">
        <v>13486</v>
      </c>
      <c r="B2990" t="s">
        <v>13487</v>
      </c>
      <c r="D2990" t="s">
        <v>9473</v>
      </c>
      <c r="E2990" t="s">
        <v>9474</v>
      </c>
      <c r="J2990" t="s">
        <v>90</v>
      </c>
      <c r="K2990" t="s">
        <v>91</v>
      </c>
      <c r="L2990">
        <v>6</v>
      </c>
      <c r="M2990" t="s">
        <v>13484</v>
      </c>
      <c r="N2990" t="s">
        <v>47</v>
      </c>
      <c r="O2990" t="s">
        <v>9477</v>
      </c>
      <c r="P2990" t="s">
        <v>9477</v>
      </c>
      <c r="Y2990" t="s">
        <v>13488</v>
      </c>
    </row>
    <row r="2991" spans="1:25">
      <c r="A2991" t="s">
        <v>13489</v>
      </c>
      <c r="B2991" t="s">
        <v>13490</v>
      </c>
      <c r="D2991" t="s">
        <v>9473</v>
      </c>
      <c r="E2991" t="s">
        <v>9474</v>
      </c>
      <c r="J2991" t="s">
        <v>90</v>
      </c>
      <c r="K2991" t="s">
        <v>91</v>
      </c>
      <c r="L2991">
        <v>6</v>
      </c>
      <c r="M2991" t="s">
        <v>13484</v>
      </c>
      <c r="N2991" t="s">
        <v>47</v>
      </c>
      <c r="O2991" t="s">
        <v>9477</v>
      </c>
      <c r="P2991" t="s">
        <v>9477</v>
      </c>
      <c r="Y2991" t="s">
        <v>13491</v>
      </c>
    </row>
    <row r="2992" spans="1:25">
      <c r="A2992" t="s">
        <v>13492</v>
      </c>
      <c r="B2992" t="s">
        <v>13493</v>
      </c>
      <c r="D2992" t="s">
        <v>9473</v>
      </c>
      <c r="E2992" t="s">
        <v>9474</v>
      </c>
      <c r="H2992" t="s">
        <v>13494</v>
      </c>
      <c r="J2992" t="s">
        <v>78</v>
      </c>
      <c r="K2992" t="s">
        <v>79</v>
      </c>
      <c r="L2992">
        <v>6</v>
      </c>
      <c r="M2992" t="s">
        <v>13495</v>
      </c>
      <c r="N2992" t="s">
        <v>47</v>
      </c>
      <c r="O2992" t="s">
        <v>9477</v>
      </c>
      <c r="P2992" t="s">
        <v>9477</v>
      </c>
      <c r="Y2992" t="s">
        <v>13494</v>
      </c>
    </row>
    <row r="2993" spans="1:25">
      <c r="A2993" t="s">
        <v>13496</v>
      </c>
      <c r="B2993" t="s">
        <v>13497</v>
      </c>
      <c r="D2993" t="s">
        <v>9473</v>
      </c>
      <c r="E2993" t="s">
        <v>9474</v>
      </c>
      <c r="J2993" t="s">
        <v>90</v>
      </c>
      <c r="K2993" t="s">
        <v>91</v>
      </c>
      <c r="L2993">
        <v>6</v>
      </c>
      <c r="M2993" t="s">
        <v>13498</v>
      </c>
      <c r="N2993" t="s">
        <v>47</v>
      </c>
      <c r="O2993" t="s">
        <v>9477</v>
      </c>
      <c r="P2993" t="s">
        <v>9477</v>
      </c>
      <c r="Y2993" t="s">
        <v>13499</v>
      </c>
    </row>
    <row r="2994" spans="1:25">
      <c r="A2994" t="s">
        <v>13500</v>
      </c>
      <c r="B2994" t="s">
        <v>13501</v>
      </c>
      <c r="D2994" t="s">
        <v>9473</v>
      </c>
      <c r="E2994" t="s">
        <v>9474</v>
      </c>
      <c r="J2994" t="s">
        <v>90</v>
      </c>
      <c r="K2994" t="s">
        <v>91</v>
      </c>
      <c r="L2994">
        <v>6</v>
      </c>
      <c r="M2994" t="s">
        <v>13498</v>
      </c>
      <c r="N2994" t="s">
        <v>47</v>
      </c>
      <c r="O2994" t="s">
        <v>9477</v>
      </c>
      <c r="P2994" t="s">
        <v>9477</v>
      </c>
      <c r="Y2994" t="s">
        <v>13502</v>
      </c>
    </row>
    <row r="2995" spans="1:25">
      <c r="A2995" t="s">
        <v>13503</v>
      </c>
      <c r="B2995" t="s">
        <v>13504</v>
      </c>
      <c r="D2995" t="s">
        <v>9473</v>
      </c>
      <c r="E2995" t="s">
        <v>9474</v>
      </c>
      <c r="J2995" t="s">
        <v>133</v>
      </c>
      <c r="K2995" t="s">
        <v>134</v>
      </c>
      <c r="L2995">
        <v>6</v>
      </c>
      <c r="M2995" t="s">
        <v>13498</v>
      </c>
      <c r="N2995" t="s">
        <v>290</v>
      </c>
      <c r="O2995" t="s">
        <v>9477</v>
      </c>
      <c r="P2995" t="s">
        <v>9477</v>
      </c>
      <c r="Y2995" t="s">
        <v>13505</v>
      </c>
    </row>
    <row r="2996" spans="1:25">
      <c r="A2996" t="s">
        <v>13506</v>
      </c>
      <c r="B2996" t="s">
        <v>13507</v>
      </c>
      <c r="D2996" t="s">
        <v>9473</v>
      </c>
      <c r="E2996" t="s">
        <v>9474</v>
      </c>
      <c r="J2996" t="s">
        <v>133</v>
      </c>
      <c r="K2996" t="s">
        <v>134</v>
      </c>
      <c r="L2996">
        <v>6</v>
      </c>
      <c r="M2996" t="s">
        <v>13508</v>
      </c>
      <c r="N2996" t="s">
        <v>135</v>
      </c>
      <c r="O2996" t="s">
        <v>9477</v>
      </c>
      <c r="P2996" t="s">
        <v>9477</v>
      </c>
      <c r="Y2996" t="s">
        <v>13509</v>
      </c>
    </row>
    <row r="2997" spans="1:25">
      <c r="A2997" t="s">
        <v>13510</v>
      </c>
      <c r="B2997" t="s">
        <v>13511</v>
      </c>
      <c r="D2997" t="s">
        <v>9473</v>
      </c>
      <c r="E2997" t="s">
        <v>9474</v>
      </c>
      <c r="J2997" t="s">
        <v>78</v>
      </c>
      <c r="K2997" t="s">
        <v>79</v>
      </c>
      <c r="L2997">
        <v>6</v>
      </c>
      <c r="M2997" t="s">
        <v>13512</v>
      </c>
      <c r="N2997" t="s">
        <v>47</v>
      </c>
      <c r="O2997" t="s">
        <v>9477</v>
      </c>
      <c r="P2997" t="s">
        <v>9477</v>
      </c>
      <c r="Y2997" t="s">
        <v>13513</v>
      </c>
    </row>
    <row r="2998" spans="1:25">
      <c r="A2998" t="s">
        <v>13514</v>
      </c>
      <c r="B2998" t="s">
        <v>13515</v>
      </c>
      <c r="D2998" t="s">
        <v>9473</v>
      </c>
      <c r="E2998" t="s">
        <v>9474</v>
      </c>
      <c r="J2998" t="s">
        <v>44</v>
      </c>
      <c r="K2998" t="s">
        <v>45</v>
      </c>
      <c r="L2998">
        <v>6</v>
      </c>
      <c r="M2998" t="s">
        <v>13512</v>
      </c>
      <c r="N2998" t="s">
        <v>47</v>
      </c>
      <c r="O2998" t="s">
        <v>9477</v>
      </c>
      <c r="P2998" t="s">
        <v>9477</v>
      </c>
      <c r="Y2998" t="s">
        <v>13516</v>
      </c>
    </row>
    <row r="2999" spans="1:25">
      <c r="A2999" t="s">
        <v>13517</v>
      </c>
      <c r="B2999" t="s">
        <v>13518</v>
      </c>
      <c r="D2999" t="s">
        <v>9473</v>
      </c>
      <c r="E2999" t="s">
        <v>9474</v>
      </c>
      <c r="H2999" t="s">
        <v>13519</v>
      </c>
      <c r="J2999" t="s">
        <v>54</v>
      </c>
      <c r="K2999" t="s">
        <v>55</v>
      </c>
      <c r="L2999">
        <v>6</v>
      </c>
      <c r="M2999" t="s">
        <v>13512</v>
      </c>
      <c r="N2999" t="s">
        <v>47</v>
      </c>
      <c r="O2999" t="s">
        <v>9477</v>
      </c>
      <c r="P2999" t="s">
        <v>9477</v>
      </c>
      <c r="Y2999" t="s">
        <v>13519</v>
      </c>
    </row>
    <row r="3000" spans="1:25">
      <c r="A3000" t="s">
        <v>13520</v>
      </c>
      <c r="B3000" t="s">
        <v>13521</v>
      </c>
      <c r="D3000" t="s">
        <v>9473</v>
      </c>
      <c r="E3000" t="s">
        <v>9474</v>
      </c>
      <c r="J3000" t="s">
        <v>90</v>
      </c>
      <c r="K3000" t="s">
        <v>91</v>
      </c>
      <c r="L3000">
        <v>6</v>
      </c>
      <c r="M3000" t="s">
        <v>13512</v>
      </c>
      <c r="N3000" t="s">
        <v>47</v>
      </c>
      <c r="O3000" t="s">
        <v>9477</v>
      </c>
      <c r="P3000" t="s">
        <v>9477</v>
      </c>
      <c r="Y3000" t="s">
        <v>13522</v>
      </c>
    </row>
    <row r="3001" spans="1:25">
      <c r="A3001" t="s">
        <v>13523</v>
      </c>
      <c r="B3001" t="s">
        <v>13524</v>
      </c>
      <c r="D3001" t="s">
        <v>9473</v>
      </c>
      <c r="E3001" t="s">
        <v>9474</v>
      </c>
      <c r="H3001" t="s">
        <v>13525</v>
      </c>
      <c r="J3001" t="s">
        <v>234</v>
      </c>
      <c r="K3001" t="s">
        <v>235</v>
      </c>
      <c r="L3001">
        <v>6</v>
      </c>
      <c r="M3001" t="s">
        <v>13526</v>
      </c>
      <c r="N3001" t="s">
        <v>47</v>
      </c>
      <c r="O3001" t="s">
        <v>9477</v>
      </c>
      <c r="P3001" t="s">
        <v>9477</v>
      </c>
      <c r="Y3001" t="s">
        <v>13525</v>
      </c>
    </row>
    <row r="3002" spans="1:25">
      <c r="A3002" t="s">
        <v>13527</v>
      </c>
      <c r="B3002" t="s">
        <v>13528</v>
      </c>
      <c r="D3002" t="s">
        <v>9473</v>
      </c>
      <c r="E3002" t="s">
        <v>9474</v>
      </c>
      <c r="H3002" t="s">
        <v>13529</v>
      </c>
      <c r="J3002" t="s">
        <v>54</v>
      </c>
      <c r="K3002" t="s">
        <v>55</v>
      </c>
      <c r="L3002">
        <v>6</v>
      </c>
      <c r="M3002" t="s">
        <v>13530</v>
      </c>
      <c r="N3002" t="s">
        <v>47</v>
      </c>
      <c r="O3002" t="s">
        <v>9477</v>
      </c>
      <c r="P3002" t="s">
        <v>9477</v>
      </c>
      <c r="Y3002" t="s">
        <v>13529</v>
      </c>
    </row>
    <row r="3003" spans="1:25">
      <c r="A3003" t="s">
        <v>13531</v>
      </c>
      <c r="B3003" t="s">
        <v>13532</v>
      </c>
      <c r="D3003" t="s">
        <v>9473</v>
      </c>
      <c r="E3003" t="s">
        <v>9474</v>
      </c>
      <c r="J3003" t="s">
        <v>78</v>
      </c>
      <c r="K3003" t="s">
        <v>79</v>
      </c>
      <c r="L3003">
        <v>6</v>
      </c>
      <c r="M3003" t="s">
        <v>13530</v>
      </c>
      <c r="N3003" t="s">
        <v>47</v>
      </c>
      <c r="O3003" t="s">
        <v>9477</v>
      </c>
      <c r="P3003" t="s">
        <v>9477</v>
      </c>
      <c r="Y3003" t="s">
        <v>13533</v>
      </c>
    </row>
    <row r="3004" spans="1:25">
      <c r="A3004" t="s">
        <v>13534</v>
      </c>
      <c r="B3004" t="s">
        <v>13535</v>
      </c>
      <c r="D3004" t="s">
        <v>9473</v>
      </c>
      <c r="E3004" t="s">
        <v>9474</v>
      </c>
      <c r="J3004" t="s">
        <v>133</v>
      </c>
      <c r="K3004" t="s">
        <v>134</v>
      </c>
      <c r="L3004">
        <v>6</v>
      </c>
      <c r="M3004" t="s">
        <v>13530</v>
      </c>
      <c r="N3004" t="s">
        <v>135</v>
      </c>
      <c r="O3004" t="s">
        <v>9477</v>
      </c>
      <c r="P3004" t="s">
        <v>9477</v>
      </c>
      <c r="Y3004" t="s">
        <v>13536</v>
      </c>
    </row>
    <row r="3005" spans="1:25">
      <c r="A3005" t="s">
        <v>13537</v>
      </c>
      <c r="B3005" t="s">
        <v>13538</v>
      </c>
      <c r="D3005" t="s">
        <v>9473</v>
      </c>
      <c r="E3005" t="s">
        <v>9474</v>
      </c>
      <c r="J3005" t="s">
        <v>90</v>
      </c>
      <c r="K3005" t="s">
        <v>91</v>
      </c>
      <c r="L3005">
        <v>6</v>
      </c>
      <c r="M3005" t="s">
        <v>13539</v>
      </c>
      <c r="N3005" t="s">
        <v>47</v>
      </c>
      <c r="O3005" t="s">
        <v>9477</v>
      </c>
      <c r="P3005" t="s">
        <v>9477</v>
      </c>
      <c r="Y3005" t="s">
        <v>13540</v>
      </c>
    </row>
    <row r="3006" spans="1:25">
      <c r="A3006" t="s">
        <v>13541</v>
      </c>
      <c r="B3006" t="s">
        <v>13542</v>
      </c>
      <c r="D3006" t="s">
        <v>9473</v>
      </c>
      <c r="E3006" t="s">
        <v>9474</v>
      </c>
      <c r="J3006" t="s">
        <v>44</v>
      </c>
      <c r="K3006" t="s">
        <v>45</v>
      </c>
      <c r="L3006">
        <v>6</v>
      </c>
      <c r="M3006" t="s">
        <v>13543</v>
      </c>
      <c r="N3006" t="s">
        <v>47</v>
      </c>
      <c r="O3006" t="s">
        <v>9477</v>
      </c>
      <c r="P3006" t="s">
        <v>9477</v>
      </c>
      <c r="Y3006" t="s">
        <v>13544</v>
      </c>
    </row>
    <row r="3007" spans="1:25">
      <c r="A3007" t="s">
        <v>13545</v>
      </c>
      <c r="B3007" t="s">
        <v>13546</v>
      </c>
      <c r="D3007" t="s">
        <v>9473</v>
      </c>
      <c r="E3007" t="s">
        <v>9474</v>
      </c>
      <c r="H3007" t="s">
        <v>13547</v>
      </c>
      <c r="J3007" t="s">
        <v>78</v>
      </c>
      <c r="K3007" t="s">
        <v>79</v>
      </c>
      <c r="L3007">
        <v>6</v>
      </c>
      <c r="M3007" t="s">
        <v>13548</v>
      </c>
      <c r="N3007" t="s">
        <v>47</v>
      </c>
      <c r="O3007" t="s">
        <v>9477</v>
      </c>
      <c r="P3007" t="s">
        <v>9477</v>
      </c>
      <c r="Y3007" t="s">
        <v>13547</v>
      </c>
    </row>
    <row r="3008" spans="1:25">
      <c r="A3008" t="s">
        <v>13549</v>
      </c>
      <c r="B3008" t="s">
        <v>13550</v>
      </c>
      <c r="D3008" t="s">
        <v>9473</v>
      </c>
      <c r="E3008" t="s">
        <v>9474</v>
      </c>
      <c r="H3008" t="s">
        <v>13551</v>
      </c>
      <c r="J3008" t="s">
        <v>133</v>
      </c>
      <c r="K3008" t="s">
        <v>134</v>
      </c>
      <c r="L3008">
        <v>6</v>
      </c>
      <c r="M3008" t="s">
        <v>13548</v>
      </c>
      <c r="N3008" t="s">
        <v>290</v>
      </c>
      <c r="O3008" t="s">
        <v>9477</v>
      </c>
      <c r="P3008" t="s">
        <v>9477</v>
      </c>
      <c r="Y3008" t="s">
        <v>13551</v>
      </c>
    </row>
    <row r="3009" spans="1:25">
      <c r="A3009" t="s">
        <v>13552</v>
      </c>
      <c r="B3009" t="s">
        <v>13553</v>
      </c>
      <c r="D3009" t="s">
        <v>9473</v>
      </c>
      <c r="E3009" t="s">
        <v>9474</v>
      </c>
      <c r="H3009" t="s">
        <v>13554</v>
      </c>
      <c r="J3009" t="s">
        <v>1827</v>
      </c>
      <c r="K3009" t="s">
        <v>1828</v>
      </c>
      <c r="L3009">
        <v>6</v>
      </c>
      <c r="M3009" t="s">
        <v>13548</v>
      </c>
      <c r="N3009" t="s">
        <v>47</v>
      </c>
      <c r="O3009" t="s">
        <v>9477</v>
      </c>
      <c r="P3009" t="s">
        <v>9477</v>
      </c>
      <c r="Y3009" t="s">
        <v>13554</v>
      </c>
    </row>
    <row r="3010" spans="1:25">
      <c r="A3010" t="s">
        <v>13555</v>
      </c>
      <c r="B3010" t="s">
        <v>13556</v>
      </c>
      <c r="D3010" t="s">
        <v>9473</v>
      </c>
      <c r="E3010" t="s">
        <v>9474</v>
      </c>
      <c r="J3010" t="s">
        <v>90</v>
      </c>
      <c r="K3010" t="s">
        <v>91</v>
      </c>
      <c r="L3010">
        <v>6</v>
      </c>
      <c r="M3010" t="s">
        <v>13557</v>
      </c>
      <c r="N3010" t="s">
        <v>47</v>
      </c>
      <c r="O3010" t="s">
        <v>9477</v>
      </c>
      <c r="P3010" t="s">
        <v>9477</v>
      </c>
      <c r="Y3010" t="s">
        <v>13558</v>
      </c>
    </row>
    <row r="3011" spans="1:25">
      <c r="A3011" t="s">
        <v>13559</v>
      </c>
      <c r="B3011" t="s">
        <v>13560</v>
      </c>
      <c r="D3011" t="s">
        <v>9473</v>
      </c>
      <c r="E3011" t="s">
        <v>9474</v>
      </c>
      <c r="H3011" t="s">
        <v>13561</v>
      </c>
      <c r="J3011" t="s">
        <v>90</v>
      </c>
      <c r="K3011" t="s">
        <v>91</v>
      </c>
      <c r="L3011">
        <v>6</v>
      </c>
      <c r="M3011" t="s">
        <v>13562</v>
      </c>
      <c r="N3011" t="s">
        <v>47</v>
      </c>
      <c r="O3011" t="s">
        <v>9477</v>
      </c>
      <c r="P3011" t="s">
        <v>9477</v>
      </c>
      <c r="Y3011" t="s">
        <v>13561</v>
      </c>
    </row>
    <row r="3012" spans="1:25">
      <c r="A3012" t="s">
        <v>13563</v>
      </c>
      <c r="B3012" t="s">
        <v>13564</v>
      </c>
      <c r="D3012" t="s">
        <v>9473</v>
      </c>
      <c r="E3012" t="s">
        <v>9474</v>
      </c>
      <c r="J3012" t="s">
        <v>44</v>
      </c>
      <c r="K3012" t="s">
        <v>45</v>
      </c>
      <c r="L3012">
        <v>6</v>
      </c>
      <c r="M3012" t="s">
        <v>13565</v>
      </c>
      <c r="N3012" t="s">
        <v>47</v>
      </c>
      <c r="O3012" t="s">
        <v>9477</v>
      </c>
      <c r="P3012" t="s">
        <v>9477</v>
      </c>
      <c r="Y3012" t="s">
        <v>13566</v>
      </c>
    </row>
    <row r="3013" spans="1:25">
      <c r="A3013" t="s">
        <v>13567</v>
      </c>
      <c r="B3013" t="s">
        <v>13568</v>
      </c>
      <c r="D3013" t="s">
        <v>9473</v>
      </c>
      <c r="E3013" t="s">
        <v>9474</v>
      </c>
      <c r="H3013" t="s">
        <v>13569</v>
      </c>
      <c r="J3013" t="s">
        <v>133</v>
      </c>
      <c r="K3013" t="s">
        <v>134</v>
      </c>
      <c r="L3013">
        <v>6</v>
      </c>
      <c r="M3013" t="s">
        <v>13565</v>
      </c>
      <c r="N3013" t="s">
        <v>290</v>
      </c>
      <c r="O3013" t="s">
        <v>9477</v>
      </c>
      <c r="P3013" t="s">
        <v>9477</v>
      </c>
      <c r="Y3013" t="s">
        <v>13569</v>
      </c>
    </row>
    <row r="3014" spans="1:25">
      <c r="A3014" t="s">
        <v>13570</v>
      </c>
      <c r="B3014" t="s">
        <v>13571</v>
      </c>
      <c r="D3014" t="s">
        <v>9473</v>
      </c>
      <c r="E3014" t="s">
        <v>9474</v>
      </c>
      <c r="J3014" t="s">
        <v>44</v>
      </c>
      <c r="K3014" t="s">
        <v>45</v>
      </c>
      <c r="L3014">
        <v>6</v>
      </c>
      <c r="M3014" t="s">
        <v>13565</v>
      </c>
      <c r="N3014" t="s">
        <v>47</v>
      </c>
      <c r="O3014" t="s">
        <v>9477</v>
      </c>
      <c r="P3014" t="s">
        <v>9477</v>
      </c>
      <c r="Y3014" t="s">
        <v>13572</v>
      </c>
    </row>
    <row r="3015" spans="1:25">
      <c r="A3015" t="s">
        <v>13573</v>
      </c>
      <c r="B3015" t="s">
        <v>13574</v>
      </c>
      <c r="D3015" t="s">
        <v>9473</v>
      </c>
      <c r="E3015" t="s">
        <v>9474</v>
      </c>
      <c r="J3015" t="s">
        <v>90</v>
      </c>
      <c r="K3015" t="s">
        <v>91</v>
      </c>
      <c r="L3015">
        <v>6</v>
      </c>
      <c r="M3015" t="s">
        <v>13575</v>
      </c>
      <c r="N3015" t="s">
        <v>47</v>
      </c>
      <c r="O3015" t="s">
        <v>9477</v>
      </c>
      <c r="P3015" t="s">
        <v>9477</v>
      </c>
      <c r="Y3015" t="s">
        <v>13576</v>
      </c>
    </row>
    <row r="3016" spans="1:25">
      <c r="A3016" t="s">
        <v>13577</v>
      </c>
      <c r="B3016" t="s">
        <v>13578</v>
      </c>
      <c r="D3016" t="s">
        <v>9473</v>
      </c>
      <c r="E3016" t="s">
        <v>9474</v>
      </c>
      <c r="J3016" t="s">
        <v>133</v>
      </c>
      <c r="K3016" t="s">
        <v>134</v>
      </c>
      <c r="L3016">
        <v>6</v>
      </c>
      <c r="M3016" t="s">
        <v>13575</v>
      </c>
      <c r="N3016" t="s">
        <v>135</v>
      </c>
      <c r="O3016" t="s">
        <v>9477</v>
      </c>
      <c r="P3016" t="s">
        <v>9477</v>
      </c>
      <c r="Y3016" t="s">
        <v>13579</v>
      </c>
    </row>
    <row r="3017" spans="1:25">
      <c r="A3017" t="s">
        <v>13580</v>
      </c>
      <c r="B3017" t="s">
        <v>13581</v>
      </c>
      <c r="D3017" t="s">
        <v>9473</v>
      </c>
      <c r="E3017" t="s">
        <v>9474</v>
      </c>
      <c r="J3017" t="s">
        <v>54</v>
      </c>
      <c r="K3017" t="s">
        <v>55</v>
      </c>
      <c r="L3017">
        <v>6</v>
      </c>
      <c r="M3017" t="s">
        <v>13575</v>
      </c>
      <c r="N3017" t="s">
        <v>47</v>
      </c>
      <c r="O3017" t="s">
        <v>9477</v>
      </c>
      <c r="P3017" t="s">
        <v>9477</v>
      </c>
      <c r="Y3017" t="s">
        <v>13582</v>
      </c>
    </row>
    <row r="3018" spans="1:25">
      <c r="A3018" t="s">
        <v>13583</v>
      </c>
      <c r="B3018" t="s">
        <v>13584</v>
      </c>
      <c r="D3018" t="s">
        <v>9473</v>
      </c>
      <c r="E3018" t="s">
        <v>9474</v>
      </c>
      <c r="H3018" t="s">
        <v>13585</v>
      </c>
      <c r="J3018" t="s">
        <v>497</v>
      </c>
      <c r="K3018" t="s">
        <v>498</v>
      </c>
      <c r="L3018">
        <v>6</v>
      </c>
      <c r="M3018" t="s">
        <v>13586</v>
      </c>
      <c r="N3018" t="s">
        <v>290</v>
      </c>
      <c r="O3018" t="s">
        <v>9477</v>
      </c>
      <c r="P3018" t="s">
        <v>9477</v>
      </c>
      <c r="Y3018" t="s">
        <v>13585</v>
      </c>
    </row>
    <row r="3019" spans="1:25">
      <c r="A3019" t="s">
        <v>13587</v>
      </c>
      <c r="B3019" t="s">
        <v>13588</v>
      </c>
      <c r="D3019" t="s">
        <v>9473</v>
      </c>
      <c r="E3019" t="s">
        <v>9474</v>
      </c>
      <c r="H3019" t="s">
        <v>13589</v>
      </c>
      <c r="J3019" t="s">
        <v>90</v>
      </c>
      <c r="K3019" t="s">
        <v>91</v>
      </c>
      <c r="L3019">
        <v>6</v>
      </c>
      <c r="M3019" t="s">
        <v>13590</v>
      </c>
      <c r="N3019" t="s">
        <v>47</v>
      </c>
      <c r="O3019" t="s">
        <v>9477</v>
      </c>
      <c r="P3019" t="s">
        <v>9477</v>
      </c>
      <c r="Y3019" t="s">
        <v>13589</v>
      </c>
    </row>
    <row r="3020" spans="1:25">
      <c r="A3020" t="s">
        <v>13591</v>
      </c>
      <c r="B3020" t="s">
        <v>13592</v>
      </c>
      <c r="D3020" t="s">
        <v>9473</v>
      </c>
      <c r="E3020" t="s">
        <v>9474</v>
      </c>
      <c r="J3020" t="s">
        <v>54</v>
      </c>
      <c r="K3020" t="s">
        <v>55</v>
      </c>
      <c r="L3020">
        <v>6</v>
      </c>
      <c r="M3020" t="s">
        <v>13593</v>
      </c>
      <c r="N3020" t="s">
        <v>47</v>
      </c>
      <c r="O3020" t="s">
        <v>9477</v>
      </c>
      <c r="P3020" t="s">
        <v>9477</v>
      </c>
      <c r="Y3020" t="s">
        <v>13594</v>
      </c>
    </row>
    <row r="3021" spans="1:25">
      <c r="A3021" t="s">
        <v>13595</v>
      </c>
      <c r="B3021" t="s">
        <v>13596</v>
      </c>
      <c r="D3021" t="s">
        <v>9473</v>
      </c>
      <c r="E3021" t="s">
        <v>9474</v>
      </c>
      <c r="J3021" t="s">
        <v>287</v>
      </c>
      <c r="K3021" t="s">
        <v>288</v>
      </c>
      <c r="L3021">
        <v>6</v>
      </c>
      <c r="M3021" t="s">
        <v>13597</v>
      </c>
      <c r="N3021" t="s">
        <v>135</v>
      </c>
      <c r="O3021" t="s">
        <v>9477</v>
      </c>
      <c r="P3021" t="s">
        <v>9477</v>
      </c>
      <c r="Y3021" t="s">
        <v>13598</v>
      </c>
    </row>
    <row r="3022" spans="1:25">
      <c r="A3022" t="s">
        <v>13599</v>
      </c>
      <c r="B3022" t="s">
        <v>13600</v>
      </c>
      <c r="D3022" t="s">
        <v>9473</v>
      </c>
      <c r="E3022" t="s">
        <v>9474</v>
      </c>
      <c r="J3022" t="s">
        <v>54</v>
      </c>
      <c r="K3022" t="s">
        <v>55</v>
      </c>
      <c r="L3022">
        <v>6</v>
      </c>
      <c r="M3022" t="s">
        <v>13601</v>
      </c>
      <c r="N3022" t="s">
        <v>47</v>
      </c>
      <c r="O3022" t="s">
        <v>9477</v>
      </c>
      <c r="P3022" t="s">
        <v>9477</v>
      </c>
      <c r="Y3022" t="s">
        <v>13602</v>
      </c>
    </row>
    <row r="3023" spans="1:25">
      <c r="A3023" t="s">
        <v>13603</v>
      </c>
      <c r="B3023" t="s">
        <v>13604</v>
      </c>
      <c r="D3023" t="s">
        <v>9473</v>
      </c>
      <c r="E3023" t="s">
        <v>9474</v>
      </c>
      <c r="J3023" t="s">
        <v>78</v>
      </c>
      <c r="K3023" t="s">
        <v>79</v>
      </c>
      <c r="L3023">
        <v>6</v>
      </c>
      <c r="M3023" t="s">
        <v>13605</v>
      </c>
      <c r="N3023" t="s">
        <v>47</v>
      </c>
      <c r="O3023" t="s">
        <v>9477</v>
      </c>
      <c r="P3023" t="s">
        <v>9477</v>
      </c>
      <c r="Y3023" t="s">
        <v>13606</v>
      </c>
    </row>
    <row r="3024" spans="1:25">
      <c r="A3024" t="s">
        <v>13607</v>
      </c>
      <c r="B3024" t="s">
        <v>13608</v>
      </c>
      <c r="D3024" t="s">
        <v>9473</v>
      </c>
      <c r="E3024" t="s">
        <v>9474</v>
      </c>
      <c r="J3024" t="s">
        <v>90</v>
      </c>
      <c r="K3024" t="s">
        <v>91</v>
      </c>
      <c r="L3024">
        <v>6</v>
      </c>
      <c r="M3024" t="s">
        <v>13609</v>
      </c>
      <c r="N3024" t="s">
        <v>47</v>
      </c>
      <c r="O3024" t="s">
        <v>9477</v>
      </c>
      <c r="P3024" t="s">
        <v>9477</v>
      </c>
      <c r="Y3024" t="s">
        <v>13610</v>
      </c>
    </row>
    <row r="3025" spans="1:25">
      <c r="A3025" t="s">
        <v>13611</v>
      </c>
      <c r="B3025" t="s">
        <v>13612</v>
      </c>
      <c r="D3025" t="s">
        <v>9473</v>
      </c>
      <c r="E3025" t="s">
        <v>9474</v>
      </c>
      <c r="J3025" t="s">
        <v>90</v>
      </c>
      <c r="K3025" t="s">
        <v>91</v>
      </c>
      <c r="L3025">
        <v>6</v>
      </c>
      <c r="M3025" t="s">
        <v>13609</v>
      </c>
      <c r="N3025" t="s">
        <v>47</v>
      </c>
      <c r="O3025" t="s">
        <v>9477</v>
      </c>
      <c r="P3025" t="s">
        <v>9477</v>
      </c>
      <c r="Y3025" t="s">
        <v>13613</v>
      </c>
    </row>
    <row r="3026" spans="1:25">
      <c r="A3026" t="s">
        <v>13614</v>
      </c>
      <c r="B3026" t="s">
        <v>13615</v>
      </c>
      <c r="D3026" t="s">
        <v>9473</v>
      </c>
      <c r="E3026" t="s">
        <v>9474</v>
      </c>
      <c r="J3026" t="s">
        <v>44</v>
      </c>
      <c r="K3026" t="s">
        <v>45</v>
      </c>
      <c r="L3026">
        <v>6</v>
      </c>
      <c r="M3026" t="s">
        <v>13609</v>
      </c>
      <c r="N3026" t="s">
        <v>47</v>
      </c>
      <c r="O3026" t="s">
        <v>9477</v>
      </c>
      <c r="P3026" t="s">
        <v>9477</v>
      </c>
      <c r="Y3026" t="s">
        <v>13616</v>
      </c>
    </row>
    <row r="3027" spans="1:25">
      <c r="A3027" t="s">
        <v>13617</v>
      </c>
      <c r="B3027" t="s">
        <v>13618</v>
      </c>
      <c r="D3027" t="s">
        <v>9473</v>
      </c>
      <c r="E3027" t="s">
        <v>9474</v>
      </c>
      <c r="J3027" t="s">
        <v>54</v>
      </c>
      <c r="K3027" t="s">
        <v>55</v>
      </c>
      <c r="L3027">
        <v>6</v>
      </c>
      <c r="M3027" t="s">
        <v>13619</v>
      </c>
      <c r="N3027" t="s">
        <v>47</v>
      </c>
      <c r="O3027" t="s">
        <v>9477</v>
      </c>
      <c r="P3027" t="s">
        <v>9477</v>
      </c>
      <c r="Y3027" t="s">
        <v>13620</v>
      </c>
    </row>
    <row r="3028" spans="1:25">
      <c r="A3028" t="s">
        <v>13621</v>
      </c>
      <c r="B3028" t="s">
        <v>13622</v>
      </c>
      <c r="D3028" t="s">
        <v>9473</v>
      </c>
      <c r="E3028" t="s">
        <v>9474</v>
      </c>
      <c r="J3028" t="s">
        <v>78</v>
      </c>
      <c r="K3028" t="s">
        <v>79</v>
      </c>
      <c r="L3028">
        <v>6</v>
      </c>
      <c r="M3028" t="s">
        <v>13623</v>
      </c>
      <c r="N3028" t="s">
        <v>47</v>
      </c>
      <c r="O3028" t="s">
        <v>9477</v>
      </c>
      <c r="P3028" t="s">
        <v>9477</v>
      </c>
      <c r="Y3028" t="s">
        <v>13624</v>
      </c>
    </row>
    <row r="3029" spans="1:25">
      <c r="A3029" t="s">
        <v>13625</v>
      </c>
      <c r="B3029" t="s">
        <v>13626</v>
      </c>
      <c r="D3029" t="s">
        <v>9473</v>
      </c>
      <c r="E3029" t="s">
        <v>9474</v>
      </c>
      <c r="J3029" t="s">
        <v>90</v>
      </c>
      <c r="K3029" t="s">
        <v>91</v>
      </c>
      <c r="L3029">
        <v>6</v>
      </c>
      <c r="M3029" t="s">
        <v>13627</v>
      </c>
      <c r="N3029" t="s">
        <v>47</v>
      </c>
      <c r="O3029" t="s">
        <v>9477</v>
      </c>
      <c r="P3029" t="s">
        <v>9477</v>
      </c>
      <c r="Y3029" t="s">
        <v>13628</v>
      </c>
    </row>
    <row r="3030" spans="1:25">
      <c r="A3030" t="s">
        <v>13629</v>
      </c>
      <c r="B3030" t="s">
        <v>13630</v>
      </c>
      <c r="D3030" t="s">
        <v>9473</v>
      </c>
      <c r="E3030" t="s">
        <v>9474</v>
      </c>
      <c r="J3030" t="s">
        <v>44</v>
      </c>
      <c r="K3030" t="s">
        <v>45</v>
      </c>
      <c r="L3030">
        <v>6</v>
      </c>
      <c r="M3030" t="s">
        <v>13627</v>
      </c>
      <c r="N3030" t="s">
        <v>47</v>
      </c>
      <c r="O3030" t="s">
        <v>9477</v>
      </c>
      <c r="P3030" t="s">
        <v>9477</v>
      </c>
      <c r="Y3030" t="s">
        <v>13631</v>
      </c>
    </row>
    <row r="3031" spans="1:25">
      <c r="A3031" t="s">
        <v>13632</v>
      </c>
      <c r="B3031" t="s">
        <v>13633</v>
      </c>
      <c r="D3031" t="s">
        <v>9473</v>
      </c>
      <c r="E3031" t="s">
        <v>9474</v>
      </c>
      <c r="J3031" t="s">
        <v>133</v>
      </c>
      <c r="K3031" t="s">
        <v>134</v>
      </c>
      <c r="L3031">
        <v>6</v>
      </c>
      <c r="M3031" t="s">
        <v>13627</v>
      </c>
      <c r="N3031" t="s">
        <v>290</v>
      </c>
      <c r="O3031" t="s">
        <v>9477</v>
      </c>
      <c r="P3031" t="s">
        <v>9477</v>
      </c>
      <c r="Y3031" t="s">
        <v>13634</v>
      </c>
    </row>
    <row r="3032" spans="1:25">
      <c r="A3032" t="s">
        <v>13635</v>
      </c>
      <c r="B3032" t="s">
        <v>13636</v>
      </c>
      <c r="D3032" t="s">
        <v>9473</v>
      </c>
      <c r="E3032" t="s">
        <v>9474</v>
      </c>
      <c r="J3032" t="s">
        <v>90</v>
      </c>
      <c r="K3032" t="s">
        <v>91</v>
      </c>
      <c r="L3032">
        <v>6</v>
      </c>
      <c r="M3032" t="s">
        <v>13627</v>
      </c>
      <c r="N3032" t="s">
        <v>47</v>
      </c>
      <c r="O3032" t="s">
        <v>9477</v>
      </c>
      <c r="P3032" t="s">
        <v>9477</v>
      </c>
      <c r="Y3032" t="s">
        <v>13637</v>
      </c>
    </row>
    <row r="3033" spans="1:25">
      <c r="A3033" t="s">
        <v>13638</v>
      </c>
      <c r="B3033" t="s">
        <v>13639</v>
      </c>
      <c r="D3033" t="s">
        <v>9473</v>
      </c>
      <c r="E3033" t="s">
        <v>9474</v>
      </c>
      <c r="J3033" t="s">
        <v>90</v>
      </c>
      <c r="K3033" t="s">
        <v>91</v>
      </c>
      <c r="L3033">
        <v>6</v>
      </c>
      <c r="M3033" t="s">
        <v>13640</v>
      </c>
      <c r="N3033" t="s">
        <v>47</v>
      </c>
      <c r="O3033" t="s">
        <v>9477</v>
      </c>
      <c r="P3033" t="s">
        <v>9477</v>
      </c>
      <c r="Y3033" t="s">
        <v>13641</v>
      </c>
    </row>
    <row r="3034" spans="1:25">
      <c r="A3034" t="s">
        <v>13642</v>
      </c>
      <c r="B3034" t="s">
        <v>13643</v>
      </c>
      <c r="D3034" t="s">
        <v>9473</v>
      </c>
      <c r="E3034" t="s">
        <v>9474</v>
      </c>
      <c r="H3034" t="s">
        <v>13644</v>
      </c>
      <c r="J3034" t="s">
        <v>133</v>
      </c>
      <c r="K3034" t="s">
        <v>134</v>
      </c>
      <c r="L3034">
        <v>6</v>
      </c>
      <c r="M3034" t="s">
        <v>13645</v>
      </c>
      <c r="N3034" t="s">
        <v>290</v>
      </c>
      <c r="O3034" t="s">
        <v>9477</v>
      </c>
      <c r="P3034" t="s">
        <v>9477</v>
      </c>
      <c r="Y3034" t="s">
        <v>13644</v>
      </c>
    </row>
    <row r="3035" spans="1:25">
      <c r="A3035" t="s">
        <v>13646</v>
      </c>
      <c r="B3035" t="s">
        <v>13647</v>
      </c>
      <c r="D3035" t="s">
        <v>9473</v>
      </c>
      <c r="E3035" t="s">
        <v>9474</v>
      </c>
      <c r="J3035" t="s">
        <v>54</v>
      </c>
      <c r="K3035" t="s">
        <v>55</v>
      </c>
      <c r="L3035">
        <v>6</v>
      </c>
      <c r="M3035" t="s">
        <v>13648</v>
      </c>
      <c r="N3035" t="s">
        <v>47</v>
      </c>
      <c r="O3035" t="s">
        <v>9477</v>
      </c>
      <c r="P3035" t="s">
        <v>9477</v>
      </c>
      <c r="Y3035" t="s">
        <v>13649</v>
      </c>
    </row>
    <row r="3036" spans="1:25">
      <c r="A3036" t="s">
        <v>13650</v>
      </c>
      <c r="B3036" t="s">
        <v>13651</v>
      </c>
      <c r="D3036" t="s">
        <v>9473</v>
      </c>
      <c r="E3036" t="s">
        <v>9474</v>
      </c>
      <c r="J3036" t="s">
        <v>44</v>
      </c>
      <c r="K3036" t="s">
        <v>45</v>
      </c>
      <c r="L3036">
        <v>6</v>
      </c>
      <c r="M3036" t="s">
        <v>13648</v>
      </c>
      <c r="N3036" t="s">
        <v>47</v>
      </c>
      <c r="O3036" t="s">
        <v>9477</v>
      </c>
      <c r="P3036" t="s">
        <v>9477</v>
      </c>
      <c r="Y3036" t="s">
        <v>13652</v>
      </c>
    </row>
    <row r="3037" spans="1:25">
      <c r="A3037" t="s">
        <v>13653</v>
      </c>
      <c r="B3037" t="s">
        <v>13654</v>
      </c>
      <c r="D3037" t="s">
        <v>9473</v>
      </c>
      <c r="E3037" t="s">
        <v>9474</v>
      </c>
      <c r="H3037" t="s">
        <v>13655</v>
      </c>
      <c r="J3037" t="s">
        <v>90</v>
      </c>
      <c r="K3037" t="s">
        <v>91</v>
      </c>
      <c r="L3037">
        <v>6</v>
      </c>
      <c r="M3037" t="s">
        <v>13648</v>
      </c>
      <c r="N3037" t="s">
        <v>47</v>
      </c>
      <c r="O3037" t="s">
        <v>9477</v>
      </c>
      <c r="P3037" t="s">
        <v>9477</v>
      </c>
      <c r="Y3037" t="s">
        <v>13655</v>
      </c>
    </row>
    <row r="3038" spans="1:25">
      <c r="A3038" t="s">
        <v>13656</v>
      </c>
      <c r="B3038" t="s">
        <v>13657</v>
      </c>
      <c r="D3038" t="s">
        <v>9473</v>
      </c>
      <c r="E3038" t="s">
        <v>9474</v>
      </c>
      <c r="J3038" t="s">
        <v>90</v>
      </c>
      <c r="K3038" t="s">
        <v>91</v>
      </c>
      <c r="L3038">
        <v>6</v>
      </c>
      <c r="M3038" t="s">
        <v>13658</v>
      </c>
      <c r="N3038" t="s">
        <v>47</v>
      </c>
      <c r="O3038" t="s">
        <v>9477</v>
      </c>
      <c r="P3038" t="s">
        <v>9477</v>
      </c>
      <c r="Y3038" t="s">
        <v>13659</v>
      </c>
    </row>
    <row r="3039" spans="1:25">
      <c r="A3039" t="s">
        <v>13660</v>
      </c>
      <c r="B3039" t="s">
        <v>13661</v>
      </c>
      <c r="D3039" t="s">
        <v>9473</v>
      </c>
      <c r="E3039" t="s">
        <v>9474</v>
      </c>
      <c r="J3039" t="s">
        <v>54</v>
      </c>
      <c r="K3039" t="s">
        <v>55</v>
      </c>
      <c r="L3039">
        <v>6</v>
      </c>
      <c r="M3039" t="s">
        <v>13658</v>
      </c>
      <c r="N3039" t="s">
        <v>47</v>
      </c>
      <c r="O3039" t="s">
        <v>9477</v>
      </c>
      <c r="P3039" t="s">
        <v>9477</v>
      </c>
      <c r="Y3039" t="s">
        <v>13662</v>
      </c>
    </row>
    <row r="3040" spans="1:25">
      <c r="A3040" t="s">
        <v>13663</v>
      </c>
      <c r="B3040" t="s">
        <v>13664</v>
      </c>
      <c r="D3040" t="s">
        <v>9473</v>
      </c>
      <c r="E3040" t="s">
        <v>9474</v>
      </c>
      <c r="H3040" t="s">
        <v>13665</v>
      </c>
      <c r="J3040" t="s">
        <v>234</v>
      </c>
      <c r="K3040" t="s">
        <v>235</v>
      </c>
      <c r="L3040">
        <v>6</v>
      </c>
      <c r="M3040" t="s">
        <v>13666</v>
      </c>
      <c r="N3040" t="s">
        <v>47</v>
      </c>
      <c r="O3040" t="s">
        <v>9477</v>
      </c>
      <c r="P3040" t="s">
        <v>9477</v>
      </c>
      <c r="Y3040" t="s">
        <v>13665</v>
      </c>
    </row>
    <row r="3041" spans="1:25">
      <c r="A3041" t="s">
        <v>13667</v>
      </c>
      <c r="B3041" t="s">
        <v>13668</v>
      </c>
      <c r="D3041" t="s">
        <v>9473</v>
      </c>
      <c r="E3041" t="s">
        <v>9474</v>
      </c>
      <c r="J3041" t="s">
        <v>90</v>
      </c>
      <c r="K3041" t="s">
        <v>91</v>
      </c>
      <c r="L3041">
        <v>6</v>
      </c>
      <c r="M3041" t="s">
        <v>13669</v>
      </c>
      <c r="N3041" t="s">
        <v>47</v>
      </c>
      <c r="O3041" t="s">
        <v>9477</v>
      </c>
      <c r="P3041" t="s">
        <v>9477</v>
      </c>
      <c r="Y3041" t="s">
        <v>13670</v>
      </c>
    </row>
    <row r="3042" spans="1:25">
      <c r="A3042" t="s">
        <v>13671</v>
      </c>
      <c r="B3042" t="s">
        <v>13672</v>
      </c>
      <c r="D3042" t="s">
        <v>9473</v>
      </c>
      <c r="E3042" t="s">
        <v>9474</v>
      </c>
      <c r="H3042" t="s">
        <v>13673</v>
      </c>
      <c r="J3042" t="s">
        <v>90</v>
      </c>
      <c r="K3042" t="s">
        <v>91</v>
      </c>
      <c r="L3042">
        <v>6</v>
      </c>
      <c r="M3042" t="s">
        <v>13669</v>
      </c>
      <c r="N3042" t="s">
        <v>47</v>
      </c>
      <c r="O3042" t="s">
        <v>9477</v>
      </c>
      <c r="P3042" t="s">
        <v>9477</v>
      </c>
      <c r="Y3042" t="s">
        <v>13673</v>
      </c>
    </row>
    <row r="3043" spans="1:25">
      <c r="A3043" t="s">
        <v>13674</v>
      </c>
      <c r="B3043" t="s">
        <v>13675</v>
      </c>
      <c r="D3043" t="s">
        <v>9473</v>
      </c>
      <c r="E3043" t="s">
        <v>9474</v>
      </c>
      <c r="J3043" t="s">
        <v>44</v>
      </c>
      <c r="K3043" t="s">
        <v>45</v>
      </c>
      <c r="L3043">
        <v>6</v>
      </c>
      <c r="M3043" t="s">
        <v>13669</v>
      </c>
      <c r="N3043" t="s">
        <v>47</v>
      </c>
      <c r="O3043" t="s">
        <v>9477</v>
      </c>
      <c r="P3043" t="s">
        <v>9477</v>
      </c>
      <c r="Y3043" t="s">
        <v>13676</v>
      </c>
    </row>
    <row r="3044" spans="1:25">
      <c r="A3044" t="s">
        <v>13677</v>
      </c>
      <c r="B3044" t="s">
        <v>13678</v>
      </c>
      <c r="D3044" t="s">
        <v>9473</v>
      </c>
      <c r="E3044" t="s">
        <v>9474</v>
      </c>
      <c r="H3044" t="s">
        <v>13679</v>
      </c>
      <c r="J3044" t="s">
        <v>133</v>
      </c>
      <c r="K3044" t="s">
        <v>134</v>
      </c>
      <c r="L3044">
        <v>6</v>
      </c>
      <c r="M3044" t="s">
        <v>13680</v>
      </c>
      <c r="N3044" t="s">
        <v>685</v>
      </c>
      <c r="O3044" t="s">
        <v>9477</v>
      </c>
      <c r="P3044" t="s">
        <v>9477</v>
      </c>
      <c r="Y3044" t="s">
        <v>13679</v>
      </c>
    </row>
    <row r="3045" spans="1:25">
      <c r="A3045" t="s">
        <v>13681</v>
      </c>
      <c r="B3045" t="s">
        <v>13682</v>
      </c>
      <c r="D3045" t="s">
        <v>9473</v>
      </c>
      <c r="E3045" t="s">
        <v>9474</v>
      </c>
      <c r="J3045" t="s">
        <v>44</v>
      </c>
      <c r="K3045" t="s">
        <v>45</v>
      </c>
      <c r="L3045">
        <v>6</v>
      </c>
      <c r="M3045" t="s">
        <v>13683</v>
      </c>
      <c r="N3045" t="s">
        <v>47</v>
      </c>
      <c r="O3045" t="s">
        <v>9477</v>
      </c>
      <c r="P3045" t="s">
        <v>9477</v>
      </c>
      <c r="Y3045" t="s">
        <v>13684</v>
      </c>
    </row>
    <row r="3046" spans="1:25">
      <c r="A3046" t="s">
        <v>13685</v>
      </c>
      <c r="B3046" t="s">
        <v>13686</v>
      </c>
      <c r="D3046" t="s">
        <v>9473</v>
      </c>
      <c r="E3046" t="s">
        <v>9474</v>
      </c>
      <c r="H3046" t="s">
        <v>13687</v>
      </c>
      <c r="J3046" t="s">
        <v>54</v>
      </c>
      <c r="K3046" t="s">
        <v>55</v>
      </c>
      <c r="L3046">
        <v>6</v>
      </c>
      <c r="M3046" t="s">
        <v>13688</v>
      </c>
      <c r="N3046" t="s">
        <v>47</v>
      </c>
      <c r="O3046" t="s">
        <v>9477</v>
      </c>
      <c r="P3046" t="s">
        <v>9477</v>
      </c>
      <c r="Y3046" t="s">
        <v>13687</v>
      </c>
    </row>
    <row r="3047" spans="1:25">
      <c r="A3047" t="s">
        <v>13689</v>
      </c>
      <c r="B3047" t="s">
        <v>13690</v>
      </c>
      <c r="D3047" t="s">
        <v>9473</v>
      </c>
      <c r="E3047" t="s">
        <v>9474</v>
      </c>
      <c r="J3047" t="s">
        <v>90</v>
      </c>
      <c r="K3047" t="s">
        <v>91</v>
      </c>
      <c r="L3047">
        <v>6</v>
      </c>
      <c r="M3047" t="s">
        <v>13688</v>
      </c>
      <c r="N3047" t="s">
        <v>47</v>
      </c>
      <c r="O3047" t="s">
        <v>9477</v>
      </c>
      <c r="P3047" t="s">
        <v>9477</v>
      </c>
      <c r="Y3047" t="s">
        <v>13691</v>
      </c>
    </row>
    <row r="3048" spans="1:25">
      <c r="A3048" t="s">
        <v>13692</v>
      </c>
      <c r="B3048" t="s">
        <v>13693</v>
      </c>
      <c r="D3048" t="s">
        <v>9473</v>
      </c>
      <c r="E3048" t="s">
        <v>9474</v>
      </c>
      <c r="H3048" t="s">
        <v>13694</v>
      </c>
      <c r="J3048" t="s">
        <v>371</v>
      </c>
      <c r="K3048" t="s">
        <v>372</v>
      </c>
      <c r="L3048">
        <v>6</v>
      </c>
      <c r="M3048" t="s">
        <v>13688</v>
      </c>
      <c r="N3048" t="s">
        <v>47</v>
      </c>
      <c r="O3048" t="s">
        <v>9477</v>
      </c>
      <c r="P3048" t="s">
        <v>9477</v>
      </c>
      <c r="Y3048" t="s">
        <v>13694</v>
      </c>
    </row>
    <row r="3049" spans="1:25">
      <c r="A3049" t="s">
        <v>13695</v>
      </c>
      <c r="B3049" t="s">
        <v>13696</v>
      </c>
      <c r="D3049" t="s">
        <v>9473</v>
      </c>
      <c r="E3049" t="s">
        <v>9474</v>
      </c>
      <c r="J3049" t="s">
        <v>90</v>
      </c>
      <c r="K3049" t="s">
        <v>91</v>
      </c>
      <c r="L3049">
        <v>6</v>
      </c>
      <c r="M3049" t="s">
        <v>13688</v>
      </c>
      <c r="N3049" t="s">
        <v>47</v>
      </c>
      <c r="O3049" t="s">
        <v>9477</v>
      </c>
      <c r="P3049" t="s">
        <v>9477</v>
      </c>
      <c r="Y3049" t="s">
        <v>13697</v>
      </c>
    </row>
    <row r="3050" spans="1:25">
      <c r="A3050" t="s">
        <v>13698</v>
      </c>
      <c r="B3050" t="s">
        <v>13699</v>
      </c>
      <c r="D3050" t="s">
        <v>9473</v>
      </c>
      <c r="E3050" t="s">
        <v>9474</v>
      </c>
      <c r="H3050" t="s">
        <v>13700</v>
      </c>
      <c r="J3050" t="s">
        <v>234</v>
      </c>
      <c r="K3050" t="s">
        <v>235</v>
      </c>
      <c r="L3050">
        <v>6</v>
      </c>
      <c r="M3050" t="s">
        <v>13701</v>
      </c>
      <c r="N3050" t="s">
        <v>47</v>
      </c>
      <c r="O3050" t="s">
        <v>9477</v>
      </c>
      <c r="P3050" t="s">
        <v>9477</v>
      </c>
      <c r="Y3050" t="s">
        <v>13700</v>
      </c>
    </row>
    <row r="3051" spans="1:25">
      <c r="A3051" t="s">
        <v>13702</v>
      </c>
      <c r="B3051" t="s">
        <v>13703</v>
      </c>
      <c r="D3051" t="s">
        <v>9473</v>
      </c>
      <c r="E3051" t="s">
        <v>9474</v>
      </c>
      <c r="H3051" t="s">
        <v>13704</v>
      </c>
      <c r="J3051" t="s">
        <v>78</v>
      </c>
      <c r="K3051" t="s">
        <v>79</v>
      </c>
      <c r="L3051">
        <v>6</v>
      </c>
      <c r="M3051" t="s">
        <v>13705</v>
      </c>
      <c r="N3051" t="s">
        <v>47</v>
      </c>
      <c r="O3051" t="s">
        <v>9477</v>
      </c>
      <c r="P3051" t="s">
        <v>9477</v>
      </c>
      <c r="Y3051" t="s">
        <v>13704</v>
      </c>
    </row>
    <row r="3052" spans="1:25">
      <c r="A3052" t="s">
        <v>13706</v>
      </c>
      <c r="B3052" t="s">
        <v>13707</v>
      </c>
      <c r="D3052" t="s">
        <v>9473</v>
      </c>
      <c r="E3052" t="s">
        <v>9474</v>
      </c>
      <c r="H3052" t="s">
        <v>13708</v>
      </c>
      <c r="J3052" t="s">
        <v>133</v>
      </c>
      <c r="K3052" t="s">
        <v>134</v>
      </c>
      <c r="L3052">
        <v>6</v>
      </c>
      <c r="M3052" t="s">
        <v>13709</v>
      </c>
      <c r="N3052" t="s">
        <v>290</v>
      </c>
      <c r="O3052" t="s">
        <v>9477</v>
      </c>
      <c r="P3052" t="s">
        <v>9477</v>
      </c>
      <c r="Y3052" t="s">
        <v>13708</v>
      </c>
    </row>
    <row r="3053" spans="1:25">
      <c r="A3053" t="s">
        <v>13710</v>
      </c>
      <c r="B3053" t="s">
        <v>13711</v>
      </c>
      <c r="D3053" t="s">
        <v>9473</v>
      </c>
      <c r="E3053" t="s">
        <v>9474</v>
      </c>
      <c r="J3053" t="s">
        <v>90</v>
      </c>
      <c r="K3053" t="s">
        <v>91</v>
      </c>
      <c r="L3053">
        <v>6</v>
      </c>
      <c r="M3053" t="s">
        <v>13712</v>
      </c>
      <c r="N3053" t="s">
        <v>47</v>
      </c>
      <c r="O3053" t="s">
        <v>9477</v>
      </c>
      <c r="P3053" t="s">
        <v>9477</v>
      </c>
      <c r="Y3053" t="s">
        <v>13713</v>
      </c>
    </row>
    <row r="3054" spans="1:25">
      <c r="A3054" t="s">
        <v>13714</v>
      </c>
      <c r="B3054" t="s">
        <v>13715</v>
      </c>
      <c r="D3054" t="s">
        <v>9473</v>
      </c>
      <c r="E3054" t="s">
        <v>9474</v>
      </c>
      <c r="J3054" t="s">
        <v>44</v>
      </c>
      <c r="K3054" t="s">
        <v>45</v>
      </c>
      <c r="L3054">
        <v>6</v>
      </c>
      <c r="M3054" t="s">
        <v>13716</v>
      </c>
      <c r="N3054" t="s">
        <v>47</v>
      </c>
      <c r="O3054" t="s">
        <v>9477</v>
      </c>
      <c r="P3054" t="s">
        <v>9477</v>
      </c>
      <c r="Y3054" t="s">
        <v>13717</v>
      </c>
    </row>
    <row r="3055" spans="1:25">
      <c r="A3055" t="s">
        <v>13718</v>
      </c>
      <c r="B3055" t="s">
        <v>13719</v>
      </c>
      <c r="D3055" t="s">
        <v>9473</v>
      </c>
      <c r="E3055" t="s">
        <v>9474</v>
      </c>
      <c r="J3055" t="s">
        <v>44</v>
      </c>
      <c r="K3055" t="s">
        <v>45</v>
      </c>
      <c r="L3055">
        <v>6</v>
      </c>
      <c r="M3055" t="s">
        <v>13716</v>
      </c>
      <c r="N3055" t="s">
        <v>47</v>
      </c>
      <c r="O3055" t="s">
        <v>9477</v>
      </c>
      <c r="P3055" t="s">
        <v>9477</v>
      </c>
      <c r="Y3055" t="s">
        <v>13720</v>
      </c>
    </row>
    <row r="3056" spans="1:25">
      <c r="A3056" t="s">
        <v>13721</v>
      </c>
      <c r="B3056" t="s">
        <v>13722</v>
      </c>
      <c r="D3056" t="s">
        <v>9473</v>
      </c>
      <c r="E3056" t="s">
        <v>9474</v>
      </c>
      <c r="J3056" t="s">
        <v>90</v>
      </c>
      <c r="K3056" t="s">
        <v>91</v>
      </c>
      <c r="L3056">
        <v>6</v>
      </c>
      <c r="M3056" t="s">
        <v>13723</v>
      </c>
      <c r="N3056" t="s">
        <v>47</v>
      </c>
      <c r="O3056" t="s">
        <v>9477</v>
      </c>
      <c r="P3056" t="s">
        <v>9477</v>
      </c>
      <c r="Y3056" t="s">
        <v>13724</v>
      </c>
    </row>
    <row r="3057" spans="1:25">
      <c r="A3057" t="s">
        <v>13725</v>
      </c>
      <c r="B3057" t="s">
        <v>13726</v>
      </c>
      <c r="D3057" t="s">
        <v>9473</v>
      </c>
      <c r="E3057" t="s">
        <v>9474</v>
      </c>
      <c r="H3057" t="s">
        <v>13727</v>
      </c>
      <c r="J3057" t="s">
        <v>54</v>
      </c>
      <c r="K3057" t="s">
        <v>55</v>
      </c>
      <c r="L3057">
        <v>6</v>
      </c>
      <c r="M3057" t="s">
        <v>13723</v>
      </c>
      <c r="N3057" t="s">
        <v>47</v>
      </c>
      <c r="O3057" t="s">
        <v>9477</v>
      </c>
      <c r="P3057" t="s">
        <v>9477</v>
      </c>
      <c r="Y3057" t="s">
        <v>13727</v>
      </c>
    </row>
    <row r="3058" spans="1:25">
      <c r="A3058" t="s">
        <v>13728</v>
      </c>
      <c r="B3058" t="s">
        <v>13729</v>
      </c>
      <c r="D3058" t="s">
        <v>9473</v>
      </c>
      <c r="E3058" t="s">
        <v>9474</v>
      </c>
      <c r="J3058" t="s">
        <v>371</v>
      </c>
      <c r="K3058" t="s">
        <v>372</v>
      </c>
      <c r="L3058">
        <v>6</v>
      </c>
      <c r="M3058" t="s">
        <v>13730</v>
      </c>
      <c r="N3058" t="s">
        <v>47</v>
      </c>
      <c r="O3058" t="s">
        <v>9477</v>
      </c>
      <c r="P3058" t="s">
        <v>9477</v>
      </c>
      <c r="Y3058" t="s">
        <v>13731</v>
      </c>
    </row>
    <row r="3059" spans="1:25">
      <c r="A3059" t="s">
        <v>13732</v>
      </c>
      <c r="B3059" t="s">
        <v>13733</v>
      </c>
      <c r="D3059" t="s">
        <v>9473</v>
      </c>
      <c r="E3059" t="s">
        <v>9474</v>
      </c>
      <c r="J3059" t="s">
        <v>765</v>
      </c>
      <c r="K3059" t="s">
        <v>766</v>
      </c>
      <c r="L3059">
        <v>6</v>
      </c>
      <c r="M3059" t="s">
        <v>13734</v>
      </c>
      <c r="N3059" t="s">
        <v>685</v>
      </c>
      <c r="O3059" t="s">
        <v>9477</v>
      </c>
      <c r="P3059" t="s">
        <v>9477</v>
      </c>
      <c r="Y3059" t="s">
        <v>13735</v>
      </c>
    </row>
    <row r="3060" spans="1:25">
      <c r="A3060" t="s">
        <v>13736</v>
      </c>
      <c r="B3060" t="s">
        <v>13737</v>
      </c>
      <c r="D3060" t="s">
        <v>9473</v>
      </c>
      <c r="E3060" t="s">
        <v>9474</v>
      </c>
      <c r="J3060" t="s">
        <v>90</v>
      </c>
      <c r="K3060" t="s">
        <v>91</v>
      </c>
      <c r="L3060">
        <v>6</v>
      </c>
      <c r="M3060" t="s">
        <v>13738</v>
      </c>
      <c r="N3060" t="s">
        <v>47</v>
      </c>
      <c r="O3060" t="s">
        <v>9477</v>
      </c>
      <c r="P3060" t="s">
        <v>9477</v>
      </c>
      <c r="Y3060" t="s">
        <v>13739</v>
      </c>
    </row>
    <row r="3061" spans="1:25">
      <c r="A3061" t="s">
        <v>13740</v>
      </c>
      <c r="B3061" t="s">
        <v>13741</v>
      </c>
      <c r="D3061" t="s">
        <v>9473</v>
      </c>
      <c r="E3061" t="s">
        <v>9474</v>
      </c>
      <c r="H3061" t="s">
        <v>13742</v>
      </c>
      <c r="J3061" t="s">
        <v>78</v>
      </c>
      <c r="K3061" t="s">
        <v>79</v>
      </c>
      <c r="L3061">
        <v>6</v>
      </c>
      <c r="M3061" t="s">
        <v>13743</v>
      </c>
      <c r="N3061" t="s">
        <v>47</v>
      </c>
      <c r="O3061" t="s">
        <v>9477</v>
      </c>
      <c r="P3061" t="s">
        <v>9477</v>
      </c>
      <c r="Y3061" t="s">
        <v>13742</v>
      </c>
    </row>
    <row r="3062" spans="1:25">
      <c r="A3062" t="s">
        <v>13744</v>
      </c>
      <c r="B3062" t="s">
        <v>13745</v>
      </c>
      <c r="D3062" t="s">
        <v>9473</v>
      </c>
      <c r="E3062" t="s">
        <v>9474</v>
      </c>
      <c r="H3062" t="s">
        <v>13746</v>
      </c>
      <c r="J3062" t="s">
        <v>371</v>
      </c>
      <c r="K3062" t="s">
        <v>372</v>
      </c>
      <c r="L3062">
        <v>6</v>
      </c>
      <c r="M3062" t="s">
        <v>13743</v>
      </c>
      <c r="N3062" t="s">
        <v>47</v>
      </c>
      <c r="O3062" t="s">
        <v>9477</v>
      </c>
      <c r="P3062" t="s">
        <v>9477</v>
      </c>
      <c r="Y3062" t="s">
        <v>13746</v>
      </c>
    </row>
    <row r="3063" spans="1:25">
      <c r="A3063" t="s">
        <v>13747</v>
      </c>
      <c r="B3063" t="s">
        <v>13748</v>
      </c>
      <c r="D3063" t="s">
        <v>9473</v>
      </c>
      <c r="E3063" t="s">
        <v>9474</v>
      </c>
      <c r="J3063" t="s">
        <v>133</v>
      </c>
      <c r="K3063" t="s">
        <v>134</v>
      </c>
      <c r="L3063">
        <v>6</v>
      </c>
      <c r="M3063" t="s">
        <v>13743</v>
      </c>
      <c r="N3063" t="s">
        <v>685</v>
      </c>
      <c r="O3063" t="s">
        <v>9477</v>
      </c>
      <c r="P3063" t="s">
        <v>9477</v>
      </c>
      <c r="Y3063" t="s">
        <v>13749</v>
      </c>
    </row>
    <row r="3064" spans="1:25">
      <c r="A3064" t="s">
        <v>13750</v>
      </c>
      <c r="B3064" t="s">
        <v>13751</v>
      </c>
      <c r="D3064" t="s">
        <v>9473</v>
      </c>
      <c r="E3064" t="s">
        <v>9474</v>
      </c>
      <c r="J3064" t="s">
        <v>44</v>
      </c>
      <c r="K3064" t="s">
        <v>45</v>
      </c>
      <c r="L3064">
        <v>6</v>
      </c>
      <c r="M3064" t="s">
        <v>13743</v>
      </c>
      <c r="N3064" t="s">
        <v>47</v>
      </c>
      <c r="O3064" t="s">
        <v>9477</v>
      </c>
      <c r="P3064" t="s">
        <v>9477</v>
      </c>
      <c r="Y3064" t="s">
        <v>13752</v>
      </c>
    </row>
    <row r="3065" spans="1:25">
      <c r="A3065" t="s">
        <v>13753</v>
      </c>
      <c r="B3065" t="s">
        <v>13754</v>
      </c>
      <c r="D3065" t="s">
        <v>9473</v>
      </c>
      <c r="E3065" t="s">
        <v>9474</v>
      </c>
      <c r="H3065" t="s">
        <v>13755</v>
      </c>
      <c r="J3065" t="s">
        <v>353</v>
      </c>
      <c r="K3065" t="s">
        <v>354</v>
      </c>
      <c r="L3065">
        <v>6</v>
      </c>
      <c r="M3065" t="s">
        <v>13756</v>
      </c>
      <c r="N3065" t="s">
        <v>135</v>
      </c>
      <c r="O3065" t="s">
        <v>9477</v>
      </c>
      <c r="P3065" t="s">
        <v>9477</v>
      </c>
      <c r="Y3065" t="s">
        <v>13755</v>
      </c>
    </row>
    <row r="3066" spans="1:25">
      <c r="A3066" t="s">
        <v>13757</v>
      </c>
      <c r="B3066" t="s">
        <v>13758</v>
      </c>
      <c r="D3066" t="s">
        <v>9473</v>
      </c>
      <c r="E3066" t="s">
        <v>9474</v>
      </c>
      <c r="J3066" t="s">
        <v>44</v>
      </c>
      <c r="K3066" t="s">
        <v>45</v>
      </c>
      <c r="L3066">
        <v>6</v>
      </c>
      <c r="M3066" t="s">
        <v>13759</v>
      </c>
      <c r="N3066" t="s">
        <v>47</v>
      </c>
      <c r="O3066" t="s">
        <v>9477</v>
      </c>
      <c r="P3066" t="s">
        <v>9477</v>
      </c>
      <c r="Y3066" t="s">
        <v>13760</v>
      </c>
    </row>
    <row r="3067" spans="1:25">
      <c r="A3067" t="s">
        <v>13761</v>
      </c>
      <c r="B3067" t="s">
        <v>13762</v>
      </c>
      <c r="D3067" t="s">
        <v>9473</v>
      </c>
      <c r="E3067" t="s">
        <v>9474</v>
      </c>
      <c r="H3067" t="s">
        <v>13763</v>
      </c>
      <c r="J3067" t="s">
        <v>90</v>
      </c>
      <c r="K3067" t="s">
        <v>91</v>
      </c>
      <c r="L3067">
        <v>6</v>
      </c>
      <c r="M3067" t="s">
        <v>13759</v>
      </c>
      <c r="N3067" t="s">
        <v>47</v>
      </c>
      <c r="O3067" t="s">
        <v>9477</v>
      </c>
      <c r="P3067" t="s">
        <v>9477</v>
      </c>
      <c r="Y3067" t="s">
        <v>13763</v>
      </c>
    </row>
    <row r="3068" spans="1:25">
      <c r="A3068" t="s">
        <v>13764</v>
      </c>
      <c r="B3068" t="s">
        <v>13765</v>
      </c>
      <c r="D3068" t="s">
        <v>9473</v>
      </c>
      <c r="E3068" t="s">
        <v>9474</v>
      </c>
      <c r="J3068" t="s">
        <v>353</v>
      </c>
      <c r="K3068" t="s">
        <v>354</v>
      </c>
      <c r="L3068">
        <v>6</v>
      </c>
      <c r="M3068" t="s">
        <v>13766</v>
      </c>
      <c r="N3068" t="s">
        <v>135</v>
      </c>
      <c r="O3068" t="s">
        <v>9477</v>
      </c>
      <c r="P3068" t="s">
        <v>9477</v>
      </c>
      <c r="Y3068" t="s">
        <v>13767</v>
      </c>
    </row>
    <row r="3069" spans="1:25">
      <c r="A3069" t="s">
        <v>13768</v>
      </c>
      <c r="B3069" t="s">
        <v>13769</v>
      </c>
      <c r="D3069" t="s">
        <v>9473</v>
      </c>
      <c r="E3069" t="s">
        <v>9474</v>
      </c>
      <c r="J3069" t="s">
        <v>90</v>
      </c>
      <c r="K3069" t="s">
        <v>91</v>
      </c>
      <c r="L3069">
        <v>6</v>
      </c>
      <c r="M3069" t="s">
        <v>13766</v>
      </c>
      <c r="N3069" t="s">
        <v>47</v>
      </c>
      <c r="O3069" t="s">
        <v>9477</v>
      </c>
      <c r="P3069" t="s">
        <v>9477</v>
      </c>
      <c r="Y3069" t="s">
        <v>13770</v>
      </c>
    </row>
    <row r="3070" spans="1:25">
      <c r="A3070" t="s">
        <v>13771</v>
      </c>
      <c r="B3070" t="s">
        <v>13772</v>
      </c>
      <c r="D3070" t="s">
        <v>9473</v>
      </c>
      <c r="E3070" t="s">
        <v>9474</v>
      </c>
      <c r="J3070" t="s">
        <v>90</v>
      </c>
      <c r="K3070" t="s">
        <v>91</v>
      </c>
      <c r="L3070">
        <v>6</v>
      </c>
      <c r="M3070" t="s">
        <v>13766</v>
      </c>
      <c r="N3070" t="s">
        <v>47</v>
      </c>
      <c r="O3070" t="s">
        <v>9477</v>
      </c>
      <c r="P3070" t="s">
        <v>9477</v>
      </c>
      <c r="Y3070" t="s">
        <v>13773</v>
      </c>
    </row>
    <row r="3071" spans="1:25">
      <c r="A3071" t="s">
        <v>13774</v>
      </c>
      <c r="B3071" t="s">
        <v>13775</v>
      </c>
      <c r="D3071" t="s">
        <v>9473</v>
      </c>
      <c r="E3071" t="s">
        <v>9474</v>
      </c>
      <c r="H3071" t="s">
        <v>13776</v>
      </c>
      <c r="J3071" t="s">
        <v>44</v>
      </c>
      <c r="K3071" t="s">
        <v>45</v>
      </c>
      <c r="L3071">
        <v>6</v>
      </c>
      <c r="M3071" t="s">
        <v>13777</v>
      </c>
      <c r="N3071" t="s">
        <v>47</v>
      </c>
      <c r="O3071" t="s">
        <v>9477</v>
      </c>
      <c r="P3071" t="s">
        <v>9477</v>
      </c>
      <c r="Y3071" t="s">
        <v>13776</v>
      </c>
    </row>
    <row r="3072" spans="1:25">
      <c r="A3072" t="s">
        <v>13778</v>
      </c>
      <c r="B3072" t="s">
        <v>13779</v>
      </c>
      <c r="D3072" t="s">
        <v>9473</v>
      </c>
      <c r="E3072" t="s">
        <v>9474</v>
      </c>
      <c r="J3072" t="s">
        <v>44</v>
      </c>
      <c r="K3072" t="s">
        <v>45</v>
      </c>
      <c r="L3072">
        <v>6</v>
      </c>
      <c r="M3072" t="s">
        <v>13777</v>
      </c>
      <c r="N3072" t="s">
        <v>47</v>
      </c>
      <c r="O3072" t="s">
        <v>9477</v>
      </c>
      <c r="P3072" t="s">
        <v>9477</v>
      </c>
      <c r="Y3072" t="s">
        <v>13780</v>
      </c>
    </row>
    <row r="3073" spans="1:25">
      <c r="A3073" t="s">
        <v>13781</v>
      </c>
      <c r="B3073" t="s">
        <v>13782</v>
      </c>
      <c r="D3073" t="s">
        <v>9473</v>
      </c>
      <c r="E3073" t="s">
        <v>9474</v>
      </c>
      <c r="J3073" t="s">
        <v>78</v>
      </c>
      <c r="K3073" t="s">
        <v>79</v>
      </c>
      <c r="L3073">
        <v>6</v>
      </c>
      <c r="M3073" t="s">
        <v>13783</v>
      </c>
      <c r="N3073" t="s">
        <v>47</v>
      </c>
      <c r="O3073" t="s">
        <v>9477</v>
      </c>
      <c r="P3073" t="s">
        <v>9477</v>
      </c>
      <c r="Y3073" t="s">
        <v>13784</v>
      </c>
    </row>
    <row r="3074" spans="1:25">
      <c r="A3074" t="s">
        <v>13785</v>
      </c>
      <c r="B3074" t="s">
        <v>13786</v>
      </c>
      <c r="D3074" t="s">
        <v>9473</v>
      </c>
      <c r="E3074" t="s">
        <v>9474</v>
      </c>
      <c r="J3074" t="s">
        <v>44</v>
      </c>
      <c r="K3074" t="s">
        <v>45</v>
      </c>
      <c r="L3074">
        <v>6</v>
      </c>
      <c r="M3074" t="s">
        <v>13787</v>
      </c>
      <c r="N3074" t="s">
        <v>47</v>
      </c>
      <c r="O3074" t="s">
        <v>9477</v>
      </c>
      <c r="P3074" t="s">
        <v>9477</v>
      </c>
      <c r="Y3074" t="s">
        <v>13788</v>
      </c>
    </row>
    <row r="3075" spans="1:25">
      <c r="A3075" t="s">
        <v>13789</v>
      </c>
      <c r="B3075" t="s">
        <v>13790</v>
      </c>
      <c r="D3075" t="s">
        <v>9473</v>
      </c>
      <c r="E3075" t="s">
        <v>9474</v>
      </c>
      <c r="J3075" t="s">
        <v>371</v>
      </c>
      <c r="K3075" t="s">
        <v>372</v>
      </c>
      <c r="L3075">
        <v>6</v>
      </c>
      <c r="M3075" t="s">
        <v>13791</v>
      </c>
      <c r="N3075" t="s">
        <v>47</v>
      </c>
      <c r="O3075" t="s">
        <v>9477</v>
      </c>
      <c r="P3075" t="s">
        <v>9477</v>
      </c>
      <c r="Y3075" t="s">
        <v>13792</v>
      </c>
    </row>
    <row r="3076" spans="1:25">
      <c r="A3076" t="s">
        <v>13793</v>
      </c>
      <c r="B3076" t="s">
        <v>13794</v>
      </c>
      <c r="D3076" t="s">
        <v>9473</v>
      </c>
      <c r="E3076" t="s">
        <v>9474</v>
      </c>
      <c r="J3076" t="s">
        <v>90</v>
      </c>
      <c r="K3076" t="s">
        <v>91</v>
      </c>
      <c r="L3076">
        <v>6</v>
      </c>
      <c r="M3076" t="s">
        <v>13795</v>
      </c>
      <c r="N3076" t="s">
        <v>47</v>
      </c>
      <c r="O3076" t="s">
        <v>9477</v>
      </c>
      <c r="P3076" t="s">
        <v>9477</v>
      </c>
      <c r="Y3076" t="s">
        <v>13796</v>
      </c>
    </row>
    <row r="3077" spans="1:25">
      <c r="A3077" t="s">
        <v>13797</v>
      </c>
      <c r="B3077" t="s">
        <v>13798</v>
      </c>
      <c r="D3077" t="s">
        <v>9473</v>
      </c>
      <c r="E3077" t="s">
        <v>9474</v>
      </c>
      <c r="J3077" t="s">
        <v>133</v>
      </c>
      <c r="K3077" t="s">
        <v>134</v>
      </c>
      <c r="L3077">
        <v>6</v>
      </c>
      <c r="M3077" t="s">
        <v>13795</v>
      </c>
      <c r="N3077" t="s">
        <v>685</v>
      </c>
      <c r="O3077" t="s">
        <v>9477</v>
      </c>
      <c r="P3077" t="s">
        <v>9477</v>
      </c>
      <c r="Y3077" t="s">
        <v>13799</v>
      </c>
    </row>
    <row r="3078" spans="1:25">
      <c r="A3078" t="s">
        <v>13800</v>
      </c>
      <c r="B3078" t="s">
        <v>13801</v>
      </c>
      <c r="D3078" t="s">
        <v>9473</v>
      </c>
      <c r="E3078" t="s">
        <v>9474</v>
      </c>
      <c r="H3078" t="s">
        <v>13802</v>
      </c>
      <c r="J3078" t="s">
        <v>90</v>
      </c>
      <c r="K3078" t="s">
        <v>91</v>
      </c>
      <c r="L3078">
        <v>6</v>
      </c>
      <c r="M3078" t="s">
        <v>13795</v>
      </c>
      <c r="N3078" t="s">
        <v>47</v>
      </c>
      <c r="O3078" t="s">
        <v>9477</v>
      </c>
      <c r="P3078" t="s">
        <v>9477</v>
      </c>
      <c r="Y3078" t="s">
        <v>13802</v>
      </c>
    </row>
    <row r="3079" spans="1:25">
      <c r="A3079" t="s">
        <v>13803</v>
      </c>
      <c r="B3079" t="s">
        <v>13804</v>
      </c>
      <c r="D3079" t="s">
        <v>9473</v>
      </c>
      <c r="E3079" t="s">
        <v>9474</v>
      </c>
      <c r="H3079" t="s">
        <v>13805</v>
      </c>
      <c r="J3079" t="s">
        <v>133</v>
      </c>
      <c r="K3079" t="s">
        <v>134</v>
      </c>
      <c r="L3079">
        <v>6</v>
      </c>
      <c r="M3079" t="s">
        <v>13806</v>
      </c>
      <c r="N3079" t="s">
        <v>290</v>
      </c>
      <c r="O3079" t="s">
        <v>9477</v>
      </c>
      <c r="P3079" t="s">
        <v>9477</v>
      </c>
      <c r="Y3079" t="s">
        <v>13805</v>
      </c>
    </row>
    <row r="3080" spans="1:25">
      <c r="A3080" t="s">
        <v>13807</v>
      </c>
      <c r="B3080" t="s">
        <v>13808</v>
      </c>
      <c r="D3080" t="s">
        <v>9473</v>
      </c>
      <c r="E3080" t="s">
        <v>9474</v>
      </c>
      <c r="J3080" t="s">
        <v>90</v>
      </c>
      <c r="K3080" t="s">
        <v>91</v>
      </c>
      <c r="L3080">
        <v>6</v>
      </c>
      <c r="M3080" t="s">
        <v>13806</v>
      </c>
      <c r="N3080" t="s">
        <v>47</v>
      </c>
      <c r="O3080" t="s">
        <v>9477</v>
      </c>
      <c r="P3080" t="s">
        <v>9477</v>
      </c>
      <c r="Y3080" t="s">
        <v>13809</v>
      </c>
    </row>
    <row r="3081" spans="1:25">
      <c r="A3081" t="s">
        <v>13810</v>
      </c>
      <c r="B3081" t="s">
        <v>13811</v>
      </c>
      <c r="D3081" t="s">
        <v>9473</v>
      </c>
      <c r="E3081" t="s">
        <v>9474</v>
      </c>
      <c r="J3081" t="s">
        <v>54</v>
      </c>
      <c r="K3081" t="s">
        <v>55</v>
      </c>
      <c r="L3081">
        <v>6</v>
      </c>
      <c r="M3081" t="s">
        <v>13806</v>
      </c>
      <c r="N3081" t="s">
        <v>47</v>
      </c>
      <c r="O3081" t="s">
        <v>9477</v>
      </c>
      <c r="P3081" t="s">
        <v>9477</v>
      </c>
      <c r="Y3081" t="s">
        <v>13812</v>
      </c>
    </row>
    <row r="3082" spans="1:25">
      <c r="A3082" t="s">
        <v>13813</v>
      </c>
      <c r="B3082" t="s">
        <v>13814</v>
      </c>
      <c r="D3082" t="s">
        <v>9473</v>
      </c>
      <c r="E3082" t="s">
        <v>9474</v>
      </c>
      <c r="J3082" t="s">
        <v>54</v>
      </c>
      <c r="K3082" t="s">
        <v>55</v>
      </c>
      <c r="L3082">
        <v>6</v>
      </c>
      <c r="M3082" t="s">
        <v>13806</v>
      </c>
      <c r="N3082" t="s">
        <v>47</v>
      </c>
      <c r="O3082" t="s">
        <v>9477</v>
      </c>
      <c r="P3082" t="s">
        <v>9477</v>
      </c>
      <c r="Y3082" t="s">
        <v>13815</v>
      </c>
    </row>
    <row r="3083" spans="1:25">
      <c r="A3083" t="s">
        <v>13816</v>
      </c>
      <c r="B3083" t="s">
        <v>13817</v>
      </c>
      <c r="D3083" t="s">
        <v>9473</v>
      </c>
      <c r="E3083" t="s">
        <v>9474</v>
      </c>
      <c r="H3083" t="s">
        <v>13818</v>
      </c>
      <c r="J3083" t="s">
        <v>234</v>
      </c>
      <c r="K3083" t="s">
        <v>235</v>
      </c>
      <c r="L3083">
        <v>6</v>
      </c>
      <c r="M3083" t="s">
        <v>13819</v>
      </c>
      <c r="N3083" t="s">
        <v>47</v>
      </c>
      <c r="O3083" t="s">
        <v>9477</v>
      </c>
      <c r="P3083" t="s">
        <v>9477</v>
      </c>
      <c r="Y3083" t="s">
        <v>13818</v>
      </c>
    </row>
    <row r="3084" spans="1:25">
      <c r="A3084" t="s">
        <v>13820</v>
      </c>
      <c r="B3084" t="s">
        <v>13821</v>
      </c>
      <c r="D3084" t="s">
        <v>9473</v>
      </c>
      <c r="E3084" t="s">
        <v>9474</v>
      </c>
      <c r="J3084" t="s">
        <v>78</v>
      </c>
      <c r="K3084" t="s">
        <v>79</v>
      </c>
      <c r="L3084">
        <v>6</v>
      </c>
      <c r="M3084" t="s">
        <v>13822</v>
      </c>
      <c r="N3084" t="s">
        <v>47</v>
      </c>
      <c r="O3084" t="s">
        <v>9477</v>
      </c>
      <c r="P3084" t="s">
        <v>9477</v>
      </c>
      <c r="Y3084" t="s">
        <v>13823</v>
      </c>
    </row>
    <row r="3085" spans="1:25">
      <c r="A3085" t="s">
        <v>13824</v>
      </c>
      <c r="B3085" t="s">
        <v>13825</v>
      </c>
      <c r="D3085" t="s">
        <v>9473</v>
      </c>
      <c r="E3085" t="s">
        <v>9474</v>
      </c>
      <c r="J3085" t="s">
        <v>133</v>
      </c>
      <c r="K3085" t="s">
        <v>134</v>
      </c>
      <c r="L3085">
        <v>6</v>
      </c>
      <c r="M3085" t="s">
        <v>13826</v>
      </c>
      <c r="N3085" t="s">
        <v>685</v>
      </c>
      <c r="O3085" t="s">
        <v>9477</v>
      </c>
      <c r="P3085" t="s">
        <v>9477</v>
      </c>
      <c r="Y3085" t="s">
        <v>13827</v>
      </c>
    </row>
    <row r="3086" spans="1:25">
      <c r="A3086" t="s">
        <v>13828</v>
      </c>
      <c r="B3086" t="s">
        <v>13829</v>
      </c>
      <c r="D3086" t="s">
        <v>9473</v>
      </c>
      <c r="E3086" t="s">
        <v>9474</v>
      </c>
      <c r="J3086" t="s">
        <v>44</v>
      </c>
      <c r="K3086" t="s">
        <v>45</v>
      </c>
      <c r="L3086">
        <v>6</v>
      </c>
      <c r="M3086" t="s">
        <v>13830</v>
      </c>
      <c r="N3086" t="s">
        <v>47</v>
      </c>
      <c r="O3086" t="s">
        <v>9477</v>
      </c>
      <c r="P3086" t="s">
        <v>9477</v>
      </c>
      <c r="Y3086" t="s">
        <v>13831</v>
      </c>
    </row>
    <row r="3087" spans="1:25">
      <c r="A3087" t="s">
        <v>13832</v>
      </c>
      <c r="B3087" t="s">
        <v>13833</v>
      </c>
      <c r="D3087" t="s">
        <v>9473</v>
      </c>
      <c r="E3087" t="s">
        <v>9474</v>
      </c>
      <c r="J3087" t="s">
        <v>44</v>
      </c>
      <c r="K3087" t="s">
        <v>45</v>
      </c>
      <c r="L3087">
        <v>6</v>
      </c>
      <c r="M3087" t="s">
        <v>13830</v>
      </c>
      <c r="N3087" t="s">
        <v>47</v>
      </c>
      <c r="O3087" t="s">
        <v>9477</v>
      </c>
      <c r="P3087" t="s">
        <v>9477</v>
      </c>
      <c r="Y3087" t="s">
        <v>13834</v>
      </c>
    </row>
    <row r="3088" spans="1:25">
      <c r="A3088" t="s">
        <v>13835</v>
      </c>
      <c r="B3088" t="s">
        <v>13836</v>
      </c>
      <c r="D3088" t="s">
        <v>9473</v>
      </c>
      <c r="E3088" t="s">
        <v>9474</v>
      </c>
      <c r="H3088" t="s">
        <v>13837</v>
      </c>
      <c r="J3088" t="s">
        <v>90</v>
      </c>
      <c r="K3088" t="s">
        <v>91</v>
      </c>
      <c r="L3088">
        <v>6</v>
      </c>
      <c r="M3088" t="s">
        <v>13838</v>
      </c>
      <c r="N3088" t="s">
        <v>47</v>
      </c>
      <c r="O3088" t="s">
        <v>9477</v>
      </c>
      <c r="P3088" t="s">
        <v>9477</v>
      </c>
      <c r="Y3088" t="s">
        <v>13837</v>
      </c>
    </row>
    <row r="3089" spans="1:25">
      <c r="A3089" t="s">
        <v>13839</v>
      </c>
      <c r="B3089" t="s">
        <v>13840</v>
      </c>
      <c r="D3089" t="s">
        <v>9473</v>
      </c>
      <c r="E3089" t="s">
        <v>9474</v>
      </c>
      <c r="H3089" t="s">
        <v>13841</v>
      </c>
      <c r="J3089" t="s">
        <v>90</v>
      </c>
      <c r="K3089" t="s">
        <v>91</v>
      </c>
      <c r="L3089">
        <v>6</v>
      </c>
      <c r="M3089" t="s">
        <v>13842</v>
      </c>
      <c r="N3089" t="s">
        <v>47</v>
      </c>
      <c r="O3089" t="s">
        <v>9477</v>
      </c>
      <c r="P3089" t="s">
        <v>9477</v>
      </c>
      <c r="Y3089" t="s">
        <v>13841</v>
      </c>
    </row>
    <row r="3090" spans="1:25">
      <c r="A3090" t="s">
        <v>13843</v>
      </c>
      <c r="B3090" t="s">
        <v>13844</v>
      </c>
      <c r="D3090" t="s">
        <v>9473</v>
      </c>
      <c r="E3090" t="s">
        <v>9474</v>
      </c>
      <c r="J3090" t="s">
        <v>54</v>
      </c>
      <c r="K3090" t="s">
        <v>55</v>
      </c>
      <c r="L3090">
        <v>6</v>
      </c>
      <c r="M3090" t="s">
        <v>13845</v>
      </c>
      <c r="N3090" t="s">
        <v>47</v>
      </c>
      <c r="O3090" t="s">
        <v>9477</v>
      </c>
      <c r="P3090" t="s">
        <v>9477</v>
      </c>
      <c r="Y3090" t="s">
        <v>13846</v>
      </c>
    </row>
    <row r="3091" spans="1:25">
      <c r="A3091" t="s">
        <v>13847</v>
      </c>
      <c r="B3091" t="s">
        <v>13848</v>
      </c>
      <c r="D3091" t="s">
        <v>9473</v>
      </c>
      <c r="E3091" t="s">
        <v>9474</v>
      </c>
      <c r="J3091" t="s">
        <v>44</v>
      </c>
      <c r="K3091" t="s">
        <v>45</v>
      </c>
      <c r="L3091">
        <v>6</v>
      </c>
      <c r="M3091" t="s">
        <v>13849</v>
      </c>
      <c r="N3091" t="s">
        <v>47</v>
      </c>
      <c r="O3091" t="s">
        <v>9477</v>
      </c>
      <c r="P3091" t="s">
        <v>9477</v>
      </c>
      <c r="Y3091" t="s">
        <v>13850</v>
      </c>
    </row>
    <row r="3092" spans="1:25">
      <c r="A3092" t="s">
        <v>13851</v>
      </c>
      <c r="B3092" t="s">
        <v>13852</v>
      </c>
      <c r="D3092" t="s">
        <v>9473</v>
      </c>
      <c r="E3092" t="s">
        <v>9474</v>
      </c>
      <c r="J3092" t="s">
        <v>78</v>
      </c>
      <c r="K3092" t="s">
        <v>79</v>
      </c>
      <c r="L3092">
        <v>6</v>
      </c>
      <c r="M3092" t="s">
        <v>13849</v>
      </c>
      <c r="N3092" t="s">
        <v>47</v>
      </c>
      <c r="O3092" t="s">
        <v>9477</v>
      </c>
      <c r="P3092" t="s">
        <v>9477</v>
      </c>
      <c r="Y3092" t="s">
        <v>13853</v>
      </c>
    </row>
    <row r="3093" spans="1:25">
      <c r="A3093" t="s">
        <v>13854</v>
      </c>
      <c r="B3093" t="s">
        <v>13855</v>
      </c>
      <c r="D3093" t="s">
        <v>9473</v>
      </c>
      <c r="E3093" t="s">
        <v>9474</v>
      </c>
      <c r="H3093" t="s">
        <v>13856</v>
      </c>
      <c r="J3093" t="s">
        <v>133</v>
      </c>
      <c r="K3093" t="s">
        <v>134</v>
      </c>
      <c r="L3093">
        <v>6</v>
      </c>
      <c r="M3093" t="s">
        <v>13857</v>
      </c>
      <c r="N3093" t="s">
        <v>290</v>
      </c>
      <c r="O3093" t="s">
        <v>9477</v>
      </c>
      <c r="P3093" t="s">
        <v>9477</v>
      </c>
      <c r="Y3093" t="s">
        <v>13856</v>
      </c>
    </row>
    <row r="3094" spans="1:25">
      <c r="A3094" t="s">
        <v>13858</v>
      </c>
      <c r="B3094" t="s">
        <v>13859</v>
      </c>
      <c r="D3094" t="s">
        <v>9473</v>
      </c>
      <c r="E3094" t="s">
        <v>9474</v>
      </c>
      <c r="J3094" t="s">
        <v>371</v>
      </c>
      <c r="K3094" t="s">
        <v>372</v>
      </c>
      <c r="L3094">
        <v>6</v>
      </c>
      <c r="M3094" t="s">
        <v>13857</v>
      </c>
      <c r="N3094" t="s">
        <v>47</v>
      </c>
      <c r="O3094" t="s">
        <v>9477</v>
      </c>
      <c r="P3094" t="s">
        <v>9477</v>
      </c>
      <c r="Y3094" t="s">
        <v>13860</v>
      </c>
    </row>
    <row r="3095" spans="1:25">
      <c r="A3095" t="s">
        <v>13861</v>
      </c>
      <c r="B3095" t="s">
        <v>13862</v>
      </c>
      <c r="D3095" t="s">
        <v>9473</v>
      </c>
      <c r="E3095" t="s">
        <v>9474</v>
      </c>
      <c r="H3095" t="s">
        <v>13863</v>
      </c>
      <c r="J3095" t="s">
        <v>90</v>
      </c>
      <c r="K3095" t="s">
        <v>91</v>
      </c>
      <c r="L3095">
        <v>6</v>
      </c>
      <c r="M3095" t="s">
        <v>13864</v>
      </c>
      <c r="N3095" t="s">
        <v>47</v>
      </c>
      <c r="O3095" t="s">
        <v>9477</v>
      </c>
      <c r="P3095" t="s">
        <v>9477</v>
      </c>
      <c r="Y3095" t="s">
        <v>13863</v>
      </c>
    </row>
    <row r="3096" spans="1:25">
      <c r="A3096" t="s">
        <v>13865</v>
      </c>
      <c r="B3096" t="s">
        <v>13866</v>
      </c>
      <c r="D3096" t="s">
        <v>9473</v>
      </c>
      <c r="E3096" t="s">
        <v>9474</v>
      </c>
      <c r="J3096" t="s">
        <v>44</v>
      </c>
      <c r="K3096" t="s">
        <v>45</v>
      </c>
      <c r="L3096">
        <v>6</v>
      </c>
      <c r="M3096" t="s">
        <v>13864</v>
      </c>
      <c r="N3096" t="s">
        <v>47</v>
      </c>
      <c r="O3096" t="s">
        <v>9477</v>
      </c>
      <c r="P3096" t="s">
        <v>9477</v>
      </c>
      <c r="Y3096" t="s">
        <v>13867</v>
      </c>
    </row>
    <row r="3097" spans="1:25">
      <c r="A3097" t="s">
        <v>13868</v>
      </c>
      <c r="B3097" t="s">
        <v>13869</v>
      </c>
      <c r="D3097" t="s">
        <v>9473</v>
      </c>
      <c r="E3097" t="s">
        <v>9474</v>
      </c>
      <c r="H3097" t="s">
        <v>13870</v>
      </c>
      <c r="J3097" t="s">
        <v>927</v>
      </c>
      <c r="K3097" t="s">
        <v>928</v>
      </c>
      <c r="L3097">
        <v>7</v>
      </c>
      <c r="M3097" t="s">
        <v>13871</v>
      </c>
      <c r="N3097" t="s">
        <v>135</v>
      </c>
      <c r="O3097" t="s">
        <v>9477</v>
      </c>
      <c r="P3097" t="s">
        <v>9477</v>
      </c>
      <c r="Y3097" t="s">
        <v>13870</v>
      </c>
    </row>
    <row r="3098" spans="1:25">
      <c r="A3098" t="s">
        <v>13872</v>
      </c>
      <c r="B3098" t="s">
        <v>13873</v>
      </c>
      <c r="D3098" t="s">
        <v>9473</v>
      </c>
      <c r="E3098" t="s">
        <v>9474</v>
      </c>
      <c r="J3098" t="s">
        <v>78</v>
      </c>
      <c r="K3098" t="s">
        <v>79</v>
      </c>
      <c r="L3098">
        <v>6</v>
      </c>
      <c r="M3098" t="s">
        <v>13874</v>
      </c>
      <c r="N3098" t="s">
        <v>47</v>
      </c>
      <c r="O3098" t="s">
        <v>9477</v>
      </c>
      <c r="P3098" t="s">
        <v>9477</v>
      </c>
      <c r="Y3098" t="s">
        <v>13875</v>
      </c>
    </row>
    <row r="3099" spans="1:25">
      <c r="A3099" t="s">
        <v>13876</v>
      </c>
      <c r="B3099" t="s">
        <v>13877</v>
      </c>
      <c r="D3099" t="s">
        <v>9473</v>
      </c>
      <c r="E3099" t="s">
        <v>9474</v>
      </c>
      <c r="J3099" t="s">
        <v>44</v>
      </c>
      <c r="K3099" t="s">
        <v>45</v>
      </c>
      <c r="L3099">
        <v>6</v>
      </c>
      <c r="M3099" t="s">
        <v>13878</v>
      </c>
      <c r="N3099" t="s">
        <v>47</v>
      </c>
      <c r="O3099" t="s">
        <v>9477</v>
      </c>
      <c r="P3099" t="s">
        <v>9477</v>
      </c>
      <c r="Y3099" t="s">
        <v>13879</v>
      </c>
    </row>
    <row r="3100" spans="1:25">
      <c r="A3100" t="s">
        <v>13880</v>
      </c>
      <c r="B3100" t="s">
        <v>13881</v>
      </c>
      <c r="D3100" t="s">
        <v>9473</v>
      </c>
      <c r="E3100" t="s">
        <v>9474</v>
      </c>
      <c r="J3100" t="s">
        <v>78</v>
      </c>
      <c r="K3100" t="s">
        <v>79</v>
      </c>
      <c r="L3100">
        <v>6</v>
      </c>
      <c r="M3100" t="s">
        <v>13882</v>
      </c>
      <c r="N3100" t="s">
        <v>47</v>
      </c>
      <c r="O3100" t="s">
        <v>9477</v>
      </c>
      <c r="P3100" t="s">
        <v>9477</v>
      </c>
      <c r="Y3100" t="s">
        <v>13883</v>
      </c>
    </row>
    <row r="3101" spans="1:25">
      <c r="A3101" t="s">
        <v>13884</v>
      </c>
      <c r="B3101" t="s">
        <v>13885</v>
      </c>
      <c r="D3101" t="s">
        <v>9473</v>
      </c>
      <c r="E3101" t="s">
        <v>9474</v>
      </c>
      <c r="H3101" t="s">
        <v>13886</v>
      </c>
      <c r="J3101" t="s">
        <v>54</v>
      </c>
      <c r="K3101" t="s">
        <v>55</v>
      </c>
      <c r="L3101">
        <v>6</v>
      </c>
      <c r="M3101" t="s">
        <v>13887</v>
      </c>
      <c r="N3101" t="s">
        <v>47</v>
      </c>
      <c r="O3101" t="s">
        <v>9477</v>
      </c>
      <c r="P3101" t="s">
        <v>9477</v>
      </c>
      <c r="Y3101" t="s">
        <v>13886</v>
      </c>
    </row>
    <row r="3102" spans="1:25">
      <c r="A3102" t="s">
        <v>13888</v>
      </c>
      <c r="B3102" t="s">
        <v>13889</v>
      </c>
      <c r="D3102" t="s">
        <v>9473</v>
      </c>
      <c r="E3102" t="s">
        <v>9474</v>
      </c>
      <c r="J3102" t="s">
        <v>54</v>
      </c>
      <c r="K3102" t="s">
        <v>55</v>
      </c>
      <c r="L3102">
        <v>6</v>
      </c>
      <c r="M3102" t="s">
        <v>13890</v>
      </c>
      <c r="N3102" t="s">
        <v>47</v>
      </c>
      <c r="O3102" t="s">
        <v>9477</v>
      </c>
      <c r="P3102" t="s">
        <v>9477</v>
      </c>
      <c r="Y3102" t="s">
        <v>13891</v>
      </c>
    </row>
    <row r="3103" spans="1:25">
      <c r="A3103" t="s">
        <v>13892</v>
      </c>
      <c r="B3103" t="s">
        <v>13893</v>
      </c>
      <c r="D3103" t="s">
        <v>9473</v>
      </c>
      <c r="E3103" t="s">
        <v>9474</v>
      </c>
      <c r="H3103" t="s">
        <v>13894</v>
      </c>
      <c r="J3103" t="s">
        <v>765</v>
      </c>
      <c r="K3103" t="s">
        <v>766</v>
      </c>
      <c r="L3103">
        <v>6</v>
      </c>
      <c r="M3103" t="s">
        <v>13890</v>
      </c>
      <c r="N3103" t="s">
        <v>685</v>
      </c>
      <c r="O3103" t="s">
        <v>9477</v>
      </c>
      <c r="P3103" t="s">
        <v>9477</v>
      </c>
      <c r="Y3103" t="s">
        <v>13894</v>
      </c>
    </row>
    <row r="3104" spans="1:25">
      <c r="A3104" t="s">
        <v>13895</v>
      </c>
      <c r="B3104" t="s">
        <v>13896</v>
      </c>
      <c r="D3104" t="s">
        <v>9473</v>
      </c>
      <c r="E3104" t="s">
        <v>9474</v>
      </c>
      <c r="J3104" t="s">
        <v>90</v>
      </c>
      <c r="K3104" t="s">
        <v>91</v>
      </c>
      <c r="L3104">
        <v>6</v>
      </c>
      <c r="M3104" t="s">
        <v>13897</v>
      </c>
      <c r="N3104" t="s">
        <v>47</v>
      </c>
      <c r="O3104" t="s">
        <v>9477</v>
      </c>
      <c r="P3104" t="s">
        <v>9477</v>
      </c>
      <c r="Y3104" t="s">
        <v>13898</v>
      </c>
    </row>
    <row r="3105" spans="1:25">
      <c r="A3105" t="s">
        <v>13899</v>
      </c>
      <c r="B3105" t="s">
        <v>13900</v>
      </c>
      <c r="D3105" t="s">
        <v>9473</v>
      </c>
      <c r="E3105" t="s">
        <v>9474</v>
      </c>
      <c r="J3105" t="s">
        <v>78</v>
      </c>
      <c r="K3105" t="s">
        <v>79</v>
      </c>
      <c r="L3105">
        <v>6</v>
      </c>
      <c r="M3105" t="s">
        <v>13897</v>
      </c>
      <c r="N3105" t="s">
        <v>47</v>
      </c>
      <c r="O3105" t="s">
        <v>9477</v>
      </c>
      <c r="P3105" t="s">
        <v>9477</v>
      </c>
      <c r="Y3105" t="s">
        <v>13901</v>
      </c>
    </row>
    <row r="3106" spans="1:25">
      <c r="A3106" t="s">
        <v>13902</v>
      </c>
      <c r="B3106" t="s">
        <v>13903</v>
      </c>
      <c r="D3106" t="s">
        <v>9473</v>
      </c>
      <c r="E3106" t="s">
        <v>9474</v>
      </c>
      <c r="H3106" t="s">
        <v>13904</v>
      </c>
      <c r="J3106" t="s">
        <v>90</v>
      </c>
      <c r="K3106" t="s">
        <v>91</v>
      </c>
      <c r="L3106">
        <v>6</v>
      </c>
      <c r="M3106" t="s">
        <v>13905</v>
      </c>
      <c r="N3106" t="s">
        <v>47</v>
      </c>
      <c r="O3106" t="s">
        <v>9477</v>
      </c>
      <c r="P3106" t="s">
        <v>9477</v>
      </c>
      <c r="Y3106" t="s">
        <v>13904</v>
      </c>
    </row>
    <row r="3107" spans="1:25">
      <c r="A3107" t="s">
        <v>13906</v>
      </c>
      <c r="B3107" t="s">
        <v>13907</v>
      </c>
      <c r="D3107" t="s">
        <v>9473</v>
      </c>
      <c r="E3107" t="s">
        <v>9474</v>
      </c>
      <c r="H3107" t="s">
        <v>13908</v>
      </c>
      <c r="J3107" t="s">
        <v>927</v>
      </c>
      <c r="K3107" t="s">
        <v>928</v>
      </c>
      <c r="L3107">
        <v>6</v>
      </c>
      <c r="M3107" t="s">
        <v>13909</v>
      </c>
      <c r="N3107" t="s">
        <v>290</v>
      </c>
      <c r="O3107" t="s">
        <v>9477</v>
      </c>
      <c r="P3107" t="s">
        <v>9477</v>
      </c>
      <c r="Y3107" t="s">
        <v>13908</v>
      </c>
    </row>
    <row r="3108" spans="1:25">
      <c r="A3108" t="s">
        <v>13910</v>
      </c>
      <c r="B3108" t="s">
        <v>13911</v>
      </c>
      <c r="D3108" t="s">
        <v>9473</v>
      </c>
      <c r="E3108" t="s">
        <v>9474</v>
      </c>
      <c r="J3108" t="s">
        <v>44</v>
      </c>
      <c r="K3108" t="s">
        <v>45</v>
      </c>
      <c r="L3108">
        <v>6</v>
      </c>
      <c r="M3108" t="s">
        <v>13912</v>
      </c>
      <c r="N3108" t="s">
        <v>47</v>
      </c>
      <c r="O3108" t="s">
        <v>9477</v>
      </c>
      <c r="P3108" t="s">
        <v>9477</v>
      </c>
      <c r="Y3108" t="s">
        <v>13913</v>
      </c>
    </row>
    <row r="3109" spans="1:25">
      <c r="A3109" t="s">
        <v>13914</v>
      </c>
      <c r="B3109" t="s">
        <v>13915</v>
      </c>
      <c r="D3109" t="s">
        <v>9473</v>
      </c>
      <c r="E3109" t="s">
        <v>9474</v>
      </c>
      <c r="J3109" t="s">
        <v>44</v>
      </c>
      <c r="K3109" t="s">
        <v>45</v>
      </c>
      <c r="L3109">
        <v>6</v>
      </c>
      <c r="M3109" t="s">
        <v>13916</v>
      </c>
      <c r="N3109" t="s">
        <v>47</v>
      </c>
      <c r="O3109" t="s">
        <v>9477</v>
      </c>
      <c r="P3109" t="s">
        <v>9477</v>
      </c>
      <c r="Y3109" t="s">
        <v>13917</v>
      </c>
    </row>
    <row r="3110" spans="1:25">
      <c r="A3110" t="s">
        <v>13918</v>
      </c>
      <c r="B3110" t="s">
        <v>13919</v>
      </c>
      <c r="D3110" t="s">
        <v>9473</v>
      </c>
      <c r="E3110" t="s">
        <v>9474</v>
      </c>
      <c r="H3110" t="s">
        <v>13920</v>
      </c>
      <c r="J3110" t="s">
        <v>353</v>
      </c>
      <c r="K3110" t="s">
        <v>354</v>
      </c>
      <c r="L3110">
        <v>6</v>
      </c>
      <c r="M3110" t="s">
        <v>13921</v>
      </c>
      <c r="N3110" t="s">
        <v>135</v>
      </c>
      <c r="O3110" t="s">
        <v>9477</v>
      </c>
      <c r="P3110" t="s">
        <v>9477</v>
      </c>
      <c r="Y3110" t="s">
        <v>13920</v>
      </c>
    </row>
    <row r="3111" spans="1:25">
      <c r="A3111" t="s">
        <v>13922</v>
      </c>
      <c r="B3111" t="s">
        <v>13923</v>
      </c>
      <c r="D3111" t="s">
        <v>9473</v>
      </c>
      <c r="E3111" t="s">
        <v>9474</v>
      </c>
      <c r="H3111" t="s">
        <v>13924</v>
      </c>
      <c r="J3111" t="s">
        <v>497</v>
      </c>
      <c r="K3111" t="s">
        <v>498</v>
      </c>
      <c r="L3111">
        <v>6</v>
      </c>
      <c r="M3111" t="s">
        <v>13925</v>
      </c>
      <c r="N3111" t="s">
        <v>685</v>
      </c>
      <c r="O3111" t="s">
        <v>9477</v>
      </c>
      <c r="P3111" t="s">
        <v>9477</v>
      </c>
      <c r="Y3111" t="s">
        <v>13924</v>
      </c>
    </row>
    <row r="3112" spans="1:25">
      <c r="A3112" t="s">
        <v>13926</v>
      </c>
      <c r="B3112" t="s">
        <v>13927</v>
      </c>
      <c r="D3112" t="s">
        <v>9473</v>
      </c>
      <c r="E3112" t="s">
        <v>9474</v>
      </c>
      <c r="J3112" t="s">
        <v>90</v>
      </c>
      <c r="K3112" t="s">
        <v>91</v>
      </c>
      <c r="L3112">
        <v>6</v>
      </c>
      <c r="M3112" t="s">
        <v>13925</v>
      </c>
      <c r="N3112" t="s">
        <v>47</v>
      </c>
      <c r="O3112" t="s">
        <v>9477</v>
      </c>
      <c r="P3112" t="s">
        <v>9477</v>
      </c>
      <c r="Y3112" t="s">
        <v>13928</v>
      </c>
    </row>
    <row r="3113" spans="1:25">
      <c r="A3113" t="s">
        <v>13929</v>
      </c>
      <c r="B3113" t="s">
        <v>13930</v>
      </c>
      <c r="D3113" t="s">
        <v>9473</v>
      </c>
      <c r="E3113" t="s">
        <v>9474</v>
      </c>
      <c r="J3113" t="s">
        <v>54</v>
      </c>
      <c r="K3113" t="s">
        <v>55</v>
      </c>
      <c r="L3113">
        <v>6</v>
      </c>
      <c r="M3113" t="s">
        <v>13931</v>
      </c>
      <c r="N3113" t="s">
        <v>47</v>
      </c>
      <c r="O3113" t="s">
        <v>9477</v>
      </c>
      <c r="P3113" t="s">
        <v>9477</v>
      </c>
      <c r="Y3113" t="s">
        <v>13932</v>
      </c>
    </row>
    <row r="3114" spans="1:25">
      <c r="A3114" t="s">
        <v>13933</v>
      </c>
      <c r="B3114" t="s">
        <v>13934</v>
      </c>
      <c r="D3114" t="s">
        <v>9473</v>
      </c>
      <c r="E3114" t="s">
        <v>9474</v>
      </c>
      <c r="J3114" t="s">
        <v>54</v>
      </c>
      <c r="K3114" t="s">
        <v>55</v>
      </c>
      <c r="L3114">
        <v>6</v>
      </c>
      <c r="M3114" t="s">
        <v>13935</v>
      </c>
      <c r="N3114" t="s">
        <v>47</v>
      </c>
      <c r="O3114" t="s">
        <v>9477</v>
      </c>
      <c r="P3114" t="s">
        <v>9477</v>
      </c>
      <c r="Y3114" t="s">
        <v>13936</v>
      </c>
    </row>
    <row r="3115" spans="1:25">
      <c r="A3115" t="s">
        <v>13937</v>
      </c>
      <c r="B3115" t="s">
        <v>13938</v>
      </c>
      <c r="D3115" t="s">
        <v>9473</v>
      </c>
      <c r="E3115" t="s">
        <v>9474</v>
      </c>
      <c r="J3115" t="s">
        <v>44</v>
      </c>
      <c r="K3115" t="s">
        <v>45</v>
      </c>
      <c r="L3115">
        <v>6</v>
      </c>
      <c r="M3115" t="s">
        <v>13939</v>
      </c>
      <c r="N3115" t="s">
        <v>47</v>
      </c>
      <c r="O3115" t="s">
        <v>9477</v>
      </c>
      <c r="P3115" t="s">
        <v>9477</v>
      </c>
      <c r="Y3115" t="s">
        <v>13940</v>
      </c>
    </row>
    <row r="3116" spans="1:25">
      <c r="A3116" t="s">
        <v>13941</v>
      </c>
      <c r="B3116" t="s">
        <v>13942</v>
      </c>
      <c r="D3116" t="s">
        <v>9473</v>
      </c>
      <c r="E3116" t="s">
        <v>9474</v>
      </c>
      <c r="H3116" t="s">
        <v>13943</v>
      </c>
      <c r="J3116" t="s">
        <v>353</v>
      </c>
      <c r="K3116" t="s">
        <v>354</v>
      </c>
      <c r="L3116">
        <v>6</v>
      </c>
      <c r="M3116" t="s">
        <v>13944</v>
      </c>
      <c r="N3116" t="s">
        <v>290</v>
      </c>
      <c r="O3116" t="s">
        <v>9477</v>
      </c>
      <c r="P3116" t="s">
        <v>9477</v>
      </c>
      <c r="Y3116" t="s">
        <v>13943</v>
      </c>
    </row>
    <row r="3117" spans="1:25">
      <c r="A3117" t="s">
        <v>13945</v>
      </c>
      <c r="B3117" t="s">
        <v>13946</v>
      </c>
      <c r="D3117" t="s">
        <v>9473</v>
      </c>
      <c r="E3117" t="s">
        <v>9474</v>
      </c>
      <c r="J3117" t="s">
        <v>353</v>
      </c>
      <c r="K3117" t="s">
        <v>354</v>
      </c>
      <c r="L3117">
        <v>6</v>
      </c>
      <c r="M3117" t="s">
        <v>13947</v>
      </c>
      <c r="N3117" t="s">
        <v>135</v>
      </c>
      <c r="O3117" t="s">
        <v>9477</v>
      </c>
      <c r="P3117" t="s">
        <v>9477</v>
      </c>
      <c r="Y3117" t="s">
        <v>13948</v>
      </c>
    </row>
    <row r="3118" spans="1:25">
      <c r="A3118" t="s">
        <v>13949</v>
      </c>
      <c r="B3118" t="s">
        <v>13950</v>
      </c>
      <c r="D3118" t="s">
        <v>9473</v>
      </c>
      <c r="E3118" t="s">
        <v>9474</v>
      </c>
      <c r="J3118" t="s">
        <v>44</v>
      </c>
      <c r="K3118" t="s">
        <v>45</v>
      </c>
      <c r="L3118">
        <v>6</v>
      </c>
      <c r="M3118" t="s">
        <v>13951</v>
      </c>
      <c r="N3118" t="s">
        <v>47</v>
      </c>
      <c r="O3118" t="s">
        <v>9477</v>
      </c>
      <c r="P3118" t="s">
        <v>9477</v>
      </c>
      <c r="Y3118" t="s">
        <v>13952</v>
      </c>
    </row>
    <row r="3119" spans="1:25">
      <c r="A3119" t="s">
        <v>13953</v>
      </c>
      <c r="B3119" t="s">
        <v>13954</v>
      </c>
      <c r="D3119" t="s">
        <v>9473</v>
      </c>
      <c r="E3119" t="s">
        <v>9474</v>
      </c>
      <c r="J3119" t="s">
        <v>90</v>
      </c>
      <c r="K3119" t="s">
        <v>91</v>
      </c>
      <c r="L3119">
        <v>6</v>
      </c>
      <c r="M3119" t="s">
        <v>13955</v>
      </c>
      <c r="N3119" t="s">
        <v>47</v>
      </c>
      <c r="O3119" t="s">
        <v>9477</v>
      </c>
      <c r="P3119" t="s">
        <v>9477</v>
      </c>
      <c r="Y3119" t="s">
        <v>13956</v>
      </c>
    </row>
    <row r="3120" spans="1:25">
      <c r="A3120" t="s">
        <v>13957</v>
      </c>
      <c r="B3120" t="s">
        <v>13958</v>
      </c>
      <c r="D3120" t="s">
        <v>9473</v>
      </c>
      <c r="E3120" t="s">
        <v>9474</v>
      </c>
      <c r="J3120" t="s">
        <v>90</v>
      </c>
      <c r="K3120" t="s">
        <v>91</v>
      </c>
      <c r="L3120">
        <v>6</v>
      </c>
      <c r="M3120" t="s">
        <v>13959</v>
      </c>
      <c r="N3120" t="s">
        <v>47</v>
      </c>
      <c r="O3120" t="s">
        <v>9477</v>
      </c>
      <c r="P3120" t="s">
        <v>9477</v>
      </c>
      <c r="Y3120" t="s">
        <v>13960</v>
      </c>
    </row>
    <row r="3121" spans="1:25">
      <c r="A3121" t="s">
        <v>13961</v>
      </c>
      <c r="B3121" t="s">
        <v>13962</v>
      </c>
      <c r="D3121" t="s">
        <v>9473</v>
      </c>
      <c r="E3121" t="s">
        <v>9474</v>
      </c>
      <c r="H3121" t="s">
        <v>13963</v>
      </c>
      <c r="J3121" t="s">
        <v>54</v>
      </c>
      <c r="K3121" t="s">
        <v>55</v>
      </c>
      <c r="L3121">
        <v>6</v>
      </c>
      <c r="M3121" t="s">
        <v>13964</v>
      </c>
      <c r="N3121" t="s">
        <v>47</v>
      </c>
      <c r="O3121" t="s">
        <v>9477</v>
      </c>
      <c r="P3121" t="s">
        <v>9477</v>
      </c>
      <c r="Y3121" t="s">
        <v>13963</v>
      </c>
    </row>
    <row r="3122" spans="1:25">
      <c r="A3122" t="s">
        <v>13965</v>
      </c>
      <c r="B3122" t="s">
        <v>13966</v>
      </c>
      <c r="D3122" t="s">
        <v>9473</v>
      </c>
      <c r="E3122" t="s">
        <v>9474</v>
      </c>
      <c r="J3122" t="s">
        <v>133</v>
      </c>
      <c r="K3122" t="s">
        <v>134</v>
      </c>
      <c r="L3122">
        <v>6</v>
      </c>
      <c r="M3122" t="s">
        <v>13967</v>
      </c>
      <c r="N3122" t="s">
        <v>290</v>
      </c>
      <c r="O3122" t="s">
        <v>9477</v>
      </c>
      <c r="P3122" t="s">
        <v>9477</v>
      </c>
      <c r="Y3122" t="s">
        <v>13968</v>
      </c>
    </row>
    <row r="3123" spans="1:25">
      <c r="A3123" t="s">
        <v>13969</v>
      </c>
      <c r="B3123" t="s">
        <v>13970</v>
      </c>
      <c r="D3123" t="s">
        <v>9473</v>
      </c>
      <c r="E3123" t="s">
        <v>9474</v>
      </c>
      <c r="J3123" t="s">
        <v>78</v>
      </c>
      <c r="K3123" t="s">
        <v>79</v>
      </c>
      <c r="L3123">
        <v>6</v>
      </c>
      <c r="M3123" t="s">
        <v>13971</v>
      </c>
      <c r="N3123" t="s">
        <v>47</v>
      </c>
      <c r="O3123" t="s">
        <v>9477</v>
      </c>
      <c r="P3123" t="s">
        <v>9477</v>
      </c>
      <c r="Y3123" t="s">
        <v>13972</v>
      </c>
    </row>
    <row r="3124" spans="1:25">
      <c r="A3124" t="s">
        <v>13973</v>
      </c>
      <c r="B3124" t="s">
        <v>13974</v>
      </c>
      <c r="D3124" t="s">
        <v>9473</v>
      </c>
      <c r="E3124" t="s">
        <v>9474</v>
      </c>
      <c r="J3124" t="s">
        <v>133</v>
      </c>
      <c r="K3124" t="s">
        <v>134</v>
      </c>
      <c r="L3124">
        <v>6</v>
      </c>
      <c r="M3124" t="s">
        <v>13975</v>
      </c>
      <c r="N3124" t="s">
        <v>135</v>
      </c>
      <c r="O3124" t="s">
        <v>9477</v>
      </c>
      <c r="P3124" t="s">
        <v>9477</v>
      </c>
      <c r="Y3124" t="s">
        <v>13976</v>
      </c>
    </row>
    <row r="3125" spans="1:25">
      <c r="A3125" t="s">
        <v>13977</v>
      </c>
      <c r="B3125" t="s">
        <v>13978</v>
      </c>
      <c r="D3125" t="s">
        <v>9473</v>
      </c>
      <c r="E3125" t="s">
        <v>9474</v>
      </c>
      <c r="H3125" t="s">
        <v>13979</v>
      </c>
      <c r="J3125" t="s">
        <v>497</v>
      </c>
      <c r="K3125" t="s">
        <v>498</v>
      </c>
      <c r="L3125">
        <v>6</v>
      </c>
      <c r="M3125" t="s">
        <v>13980</v>
      </c>
      <c r="N3125" t="s">
        <v>685</v>
      </c>
      <c r="O3125" t="s">
        <v>9477</v>
      </c>
      <c r="P3125" t="s">
        <v>9477</v>
      </c>
      <c r="Y3125" t="s">
        <v>13979</v>
      </c>
    </row>
    <row r="3126" spans="1:25">
      <c r="A3126" t="s">
        <v>13981</v>
      </c>
      <c r="B3126" t="s">
        <v>13982</v>
      </c>
      <c r="D3126" t="s">
        <v>9473</v>
      </c>
      <c r="E3126" t="s">
        <v>9474</v>
      </c>
      <c r="J3126" t="s">
        <v>54</v>
      </c>
      <c r="K3126" t="s">
        <v>55</v>
      </c>
      <c r="L3126">
        <v>6</v>
      </c>
      <c r="M3126" t="s">
        <v>13983</v>
      </c>
      <c r="N3126" t="s">
        <v>47</v>
      </c>
      <c r="O3126" t="s">
        <v>9477</v>
      </c>
      <c r="P3126" t="s">
        <v>9477</v>
      </c>
      <c r="Y3126" t="s">
        <v>13984</v>
      </c>
    </row>
    <row r="3127" spans="1:25">
      <c r="A3127" t="s">
        <v>13985</v>
      </c>
      <c r="B3127" t="s">
        <v>13986</v>
      </c>
      <c r="D3127" t="s">
        <v>9473</v>
      </c>
      <c r="E3127" t="s">
        <v>9474</v>
      </c>
      <c r="J3127" t="s">
        <v>44</v>
      </c>
      <c r="K3127" t="s">
        <v>45</v>
      </c>
      <c r="L3127">
        <v>6</v>
      </c>
      <c r="M3127" t="s">
        <v>13987</v>
      </c>
      <c r="N3127" t="s">
        <v>47</v>
      </c>
      <c r="O3127" t="s">
        <v>9477</v>
      </c>
      <c r="P3127" t="s">
        <v>9477</v>
      </c>
      <c r="Y3127" t="s">
        <v>13988</v>
      </c>
    </row>
    <row r="3128" spans="1:25">
      <c r="A3128" t="s">
        <v>13989</v>
      </c>
      <c r="B3128" t="s">
        <v>13990</v>
      </c>
      <c r="D3128" t="s">
        <v>9473</v>
      </c>
      <c r="E3128" t="s">
        <v>9474</v>
      </c>
      <c r="H3128" t="s">
        <v>13991</v>
      </c>
      <c r="J3128" t="s">
        <v>541</v>
      </c>
      <c r="K3128" t="s">
        <v>542</v>
      </c>
      <c r="L3128">
        <v>6</v>
      </c>
      <c r="M3128" t="s">
        <v>13992</v>
      </c>
      <c r="N3128" t="s">
        <v>685</v>
      </c>
      <c r="O3128" t="s">
        <v>9477</v>
      </c>
      <c r="P3128" t="s">
        <v>9477</v>
      </c>
      <c r="Y3128" t="s">
        <v>13991</v>
      </c>
    </row>
    <row r="3129" spans="1:25">
      <c r="A3129" t="s">
        <v>13993</v>
      </c>
      <c r="B3129" t="s">
        <v>13994</v>
      </c>
      <c r="D3129" t="s">
        <v>9473</v>
      </c>
      <c r="E3129" t="s">
        <v>9474</v>
      </c>
      <c r="J3129" t="s">
        <v>78</v>
      </c>
      <c r="K3129" t="s">
        <v>79</v>
      </c>
      <c r="L3129">
        <v>6</v>
      </c>
      <c r="M3129" t="s">
        <v>13992</v>
      </c>
      <c r="N3129" t="s">
        <v>47</v>
      </c>
      <c r="O3129" t="s">
        <v>9477</v>
      </c>
      <c r="P3129" t="s">
        <v>9477</v>
      </c>
      <c r="Y3129" t="s">
        <v>13995</v>
      </c>
    </row>
    <row r="3130" spans="1:25">
      <c r="A3130" t="s">
        <v>13996</v>
      </c>
      <c r="B3130" t="s">
        <v>13997</v>
      </c>
      <c r="D3130" t="s">
        <v>9473</v>
      </c>
      <c r="E3130" t="s">
        <v>9474</v>
      </c>
      <c r="J3130" t="s">
        <v>90</v>
      </c>
      <c r="K3130" t="s">
        <v>91</v>
      </c>
      <c r="L3130">
        <v>6</v>
      </c>
      <c r="M3130" t="s">
        <v>13992</v>
      </c>
      <c r="N3130" t="s">
        <v>47</v>
      </c>
      <c r="O3130" t="s">
        <v>9477</v>
      </c>
      <c r="P3130" t="s">
        <v>9477</v>
      </c>
      <c r="Y3130" t="s">
        <v>13998</v>
      </c>
    </row>
    <row r="3131" spans="1:25">
      <c r="A3131" t="s">
        <v>13999</v>
      </c>
      <c r="B3131" t="s">
        <v>14000</v>
      </c>
      <c r="D3131" t="s">
        <v>9473</v>
      </c>
      <c r="E3131" t="s">
        <v>9474</v>
      </c>
      <c r="J3131" t="s">
        <v>5964</v>
      </c>
      <c r="K3131" t="s">
        <v>5965</v>
      </c>
      <c r="L3131">
        <v>6</v>
      </c>
      <c r="M3131" t="s">
        <v>13992</v>
      </c>
      <c r="N3131" t="s">
        <v>290</v>
      </c>
      <c r="O3131" t="s">
        <v>9477</v>
      </c>
      <c r="P3131" t="s">
        <v>9477</v>
      </c>
      <c r="Y3131" t="s">
        <v>14001</v>
      </c>
    </row>
    <row r="3132" spans="1:25">
      <c r="A3132" t="s">
        <v>14002</v>
      </c>
      <c r="B3132" t="s">
        <v>14003</v>
      </c>
      <c r="D3132" t="s">
        <v>9473</v>
      </c>
      <c r="E3132" t="s">
        <v>9474</v>
      </c>
      <c r="J3132" t="s">
        <v>371</v>
      </c>
      <c r="K3132" t="s">
        <v>372</v>
      </c>
      <c r="L3132">
        <v>6</v>
      </c>
      <c r="M3132" t="s">
        <v>14004</v>
      </c>
      <c r="N3132" t="s">
        <v>47</v>
      </c>
      <c r="O3132" t="s">
        <v>9477</v>
      </c>
      <c r="P3132" t="s">
        <v>9477</v>
      </c>
      <c r="Y3132" t="s">
        <v>14005</v>
      </c>
    </row>
    <row r="3133" spans="1:25">
      <c r="A3133" t="s">
        <v>14006</v>
      </c>
      <c r="B3133" t="s">
        <v>14007</v>
      </c>
      <c r="D3133" t="s">
        <v>9473</v>
      </c>
      <c r="E3133" t="s">
        <v>9474</v>
      </c>
      <c r="J3133" t="s">
        <v>54</v>
      </c>
      <c r="K3133" t="s">
        <v>55</v>
      </c>
      <c r="L3133">
        <v>6</v>
      </c>
      <c r="M3133" t="s">
        <v>14004</v>
      </c>
      <c r="N3133" t="s">
        <v>47</v>
      </c>
      <c r="O3133" t="s">
        <v>9477</v>
      </c>
      <c r="P3133" t="s">
        <v>9477</v>
      </c>
      <c r="Y3133" t="s">
        <v>14008</v>
      </c>
    </row>
    <row r="3134" spans="1:25">
      <c r="A3134" t="s">
        <v>14009</v>
      </c>
      <c r="B3134" t="s">
        <v>14010</v>
      </c>
      <c r="D3134" t="s">
        <v>9473</v>
      </c>
      <c r="E3134" t="s">
        <v>9474</v>
      </c>
      <c r="H3134" t="s">
        <v>14011</v>
      </c>
      <c r="J3134" t="s">
        <v>44</v>
      </c>
      <c r="K3134" t="s">
        <v>45</v>
      </c>
      <c r="L3134">
        <v>6</v>
      </c>
      <c r="M3134" t="s">
        <v>14012</v>
      </c>
      <c r="N3134" t="s">
        <v>47</v>
      </c>
      <c r="O3134" t="s">
        <v>9477</v>
      </c>
      <c r="P3134" t="s">
        <v>9477</v>
      </c>
      <c r="Y3134" t="s">
        <v>14011</v>
      </c>
    </row>
    <row r="3135" spans="1:25">
      <c r="A3135" t="s">
        <v>14013</v>
      </c>
      <c r="B3135" t="s">
        <v>14014</v>
      </c>
      <c r="D3135" t="s">
        <v>9473</v>
      </c>
      <c r="E3135" t="s">
        <v>9474</v>
      </c>
      <c r="J3135" t="s">
        <v>44</v>
      </c>
      <c r="K3135" t="s">
        <v>45</v>
      </c>
      <c r="L3135">
        <v>6</v>
      </c>
      <c r="M3135" t="s">
        <v>14015</v>
      </c>
      <c r="N3135" t="s">
        <v>47</v>
      </c>
      <c r="O3135" t="s">
        <v>9477</v>
      </c>
      <c r="P3135" t="s">
        <v>9477</v>
      </c>
      <c r="Y3135" t="s">
        <v>14016</v>
      </c>
    </row>
    <row r="3136" spans="1:25">
      <c r="A3136" t="s">
        <v>14017</v>
      </c>
      <c r="B3136" t="s">
        <v>14018</v>
      </c>
      <c r="D3136" t="s">
        <v>9473</v>
      </c>
      <c r="E3136" t="s">
        <v>9474</v>
      </c>
      <c r="H3136" t="s">
        <v>14019</v>
      </c>
      <c r="J3136" t="s">
        <v>133</v>
      </c>
      <c r="K3136" t="s">
        <v>134</v>
      </c>
      <c r="L3136">
        <v>6</v>
      </c>
      <c r="M3136" t="s">
        <v>14020</v>
      </c>
      <c r="N3136" t="s">
        <v>685</v>
      </c>
      <c r="O3136" t="s">
        <v>9477</v>
      </c>
      <c r="P3136" t="s">
        <v>9477</v>
      </c>
      <c r="Y3136" t="s">
        <v>14019</v>
      </c>
    </row>
    <row r="3137" spans="1:25">
      <c r="A3137" t="s">
        <v>14021</v>
      </c>
      <c r="B3137" t="s">
        <v>14022</v>
      </c>
      <c r="D3137" t="s">
        <v>9473</v>
      </c>
      <c r="E3137" t="s">
        <v>9474</v>
      </c>
      <c r="J3137" t="s">
        <v>54</v>
      </c>
      <c r="K3137" t="s">
        <v>55</v>
      </c>
      <c r="L3137">
        <v>6</v>
      </c>
      <c r="M3137" t="s">
        <v>14023</v>
      </c>
      <c r="N3137" t="s">
        <v>47</v>
      </c>
      <c r="O3137" t="s">
        <v>9477</v>
      </c>
      <c r="P3137" t="s">
        <v>9477</v>
      </c>
      <c r="Y3137" t="s">
        <v>14024</v>
      </c>
    </row>
    <row r="3138" spans="1:25">
      <c r="A3138" t="s">
        <v>14025</v>
      </c>
      <c r="B3138" t="s">
        <v>14026</v>
      </c>
      <c r="D3138" t="s">
        <v>9473</v>
      </c>
      <c r="E3138" t="s">
        <v>9474</v>
      </c>
      <c r="J3138" t="s">
        <v>90</v>
      </c>
      <c r="K3138" t="s">
        <v>91</v>
      </c>
      <c r="L3138">
        <v>6</v>
      </c>
      <c r="M3138" t="s">
        <v>14027</v>
      </c>
      <c r="N3138" t="s">
        <v>47</v>
      </c>
      <c r="O3138" t="s">
        <v>9477</v>
      </c>
      <c r="P3138" t="s">
        <v>9477</v>
      </c>
      <c r="Y3138" t="s">
        <v>14028</v>
      </c>
    </row>
    <row r="3139" spans="1:25">
      <c r="A3139" t="s">
        <v>14029</v>
      </c>
      <c r="B3139" t="s">
        <v>14030</v>
      </c>
      <c r="D3139" t="s">
        <v>9473</v>
      </c>
      <c r="E3139" t="s">
        <v>9474</v>
      </c>
      <c r="J3139" t="s">
        <v>133</v>
      </c>
      <c r="K3139" t="s">
        <v>134</v>
      </c>
      <c r="L3139">
        <v>6</v>
      </c>
      <c r="M3139" t="s">
        <v>14031</v>
      </c>
      <c r="N3139" t="s">
        <v>135</v>
      </c>
      <c r="O3139" t="s">
        <v>9477</v>
      </c>
      <c r="P3139" t="s">
        <v>9477</v>
      </c>
      <c r="Y3139" t="s">
        <v>14032</v>
      </c>
    </row>
    <row r="3140" spans="1:25">
      <c r="A3140" t="s">
        <v>14033</v>
      </c>
      <c r="B3140" t="s">
        <v>14034</v>
      </c>
      <c r="D3140" t="s">
        <v>9473</v>
      </c>
      <c r="E3140" t="s">
        <v>9474</v>
      </c>
      <c r="J3140" t="s">
        <v>541</v>
      </c>
      <c r="K3140" t="s">
        <v>542</v>
      </c>
      <c r="L3140">
        <v>6</v>
      </c>
      <c r="M3140" t="s">
        <v>14031</v>
      </c>
      <c r="N3140" t="s">
        <v>685</v>
      </c>
      <c r="O3140" t="s">
        <v>9477</v>
      </c>
      <c r="P3140" t="s">
        <v>9477</v>
      </c>
      <c r="Y3140" t="s">
        <v>14035</v>
      </c>
    </row>
    <row r="3141" spans="1:25">
      <c r="A3141" t="s">
        <v>14036</v>
      </c>
      <c r="B3141" t="s">
        <v>14037</v>
      </c>
      <c r="D3141" t="s">
        <v>9473</v>
      </c>
      <c r="E3141" t="s">
        <v>9474</v>
      </c>
      <c r="J3141" t="s">
        <v>44</v>
      </c>
      <c r="K3141" t="s">
        <v>45</v>
      </c>
      <c r="L3141">
        <v>6</v>
      </c>
      <c r="M3141" t="s">
        <v>14031</v>
      </c>
      <c r="N3141" t="s">
        <v>47</v>
      </c>
      <c r="O3141" t="s">
        <v>9477</v>
      </c>
      <c r="P3141" t="s">
        <v>9477</v>
      </c>
      <c r="Y3141" t="s">
        <v>14038</v>
      </c>
    </row>
    <row r="3142" spans="1:25">
      <c r="A3142" t="s">
        <v>14039</v>
      </c>
      <c r="B3142" t="s">
        <v>14040</v>
      </c>
      <c r="D3142" t="s">
        <v>9473</v>
      </c>
      <c r="E3142" t="s">
        <v>9474</v>
      </c>
      <c r="H3142" t="s">
        <v>14041</v>
      </c>
      <c r="J3142" t="s">
        <v>54</v>
      </c>
      <c r="K3142" t="s">
        <v>55</v>
      </c>
      <c r="L3142">
        <v>6</v>
      </c>
      <c r="M3142" t="s">
        <v>14042</v>
      </c>
      <c r="N3142" t="s">
        <v>47</v>
      </c>
      <c r="O3142" t="s">
        <v>9477</v>
      </c>
      <c r="P3142" t="s">
        <v>9477</v>
      </c>
      <c r="Y3142" t="s">
        <v>14041</v>
      </c>
    </row>
    <row r="3143" spans="1:25">
      <c r="A3143" t="s">
        <v>14043</v>
      </c>
      <c r="B3143" t="s">
        <v>14044</v>
      </c>
      <c r="D3143" t="s">
        <v>9473</v>
      </c>
      <c r="E3143" t="s">
        <v>9474</v>
      </c>
      <c r="H3143" t="s">
        <v>14045</v>
      </c>
      <c r="J3143" t="s">
        <v>44</v>
      </c>
      <c r="K3143" t="s">
        <v>45</v>
      </c>
      <c r="L3143">
        <v>6</v>
      </c>
      <c r="M3143" t="s">
        <v>14042</v>
      </c>
      <c r="N3143" t="s">
        <v>47</v>
      </c>
      <c r="O3143" t="s">
        <v>9477</v>
      </c>
      <c r="P3143" t="s">
        <v>9477</v>
      </c>
      <c r="Y3143" t="s">
        <v>14045</v>
      </c>
    </row>
    <row r="3144" spans="1:25">
      <c r="A3144" t="s">
        <v>14046</v>
      </c>
      <c r="B3144" t="s">
        <v>14047</v>
      </c>
      <c r="D3144" t="s">
        <v>9473</v>
      </c>
      <c r="E3144" t="s">
        <v>9474</v>
      </c>
      <c r="J3144" t="s">
        <v>90</v>
      </c>
      <c r="K3144" t="s">
        <v>91</v>
      </c>
      <c r="L3144">
        <v>6</v>
      </c>
      <c r="M3144" t="s">
        <v>14048</v>
      </c>
      <c r="N3144" t="s">
        <v>47</v>
      </c>
      <c r="O3144" t="s">
        <v>9477</v>
      </c>
      <c r="P3144" t="s">
        <v>9477</v>
      </c>
      <c r="Y3144" t="s">
        <v>14049</v>
      </c>
    </row>
    <row r="3145" spans="1:25">
      <c r="A3145" t="s">
        <v>14050</v>
      </c>
      <c r="B3145" t="s">
        <v>14051</v>
      </c>
      <c r="D3145" t="s">
        <v>9473</v>
      </c>
      <c r="E3145" t="s">
        <v>9474</v>
      </c>
      <c r="J3145" t="s">
        <v>54</v>
      </c>
      <c r="K3145" t="s">
        <v>55</v>
      </c>
      <c r="L3145">
        <v>6</v>
      </c>
      <c r="M3145" t="s">
        <v>14052</v>
      </c>
      <c r="N3145" t="s">
        <v>47</v>
      </c>
      <c r="O3145" t="s">
        <v>9477</v>
      </c>
      <c r="P3145" t="s">
        <v>9477</v>
      </c>
      <c r="Y3145" t="s">
        <v>14053</v>
      </c>
    </row>
    <row r="3146" spans="1:25">
      <c r="A3146" t="s">
        <v>14054</v>
      </c>
      <c r="B3146" t="s">
        <v>14055</v>
      </c>
      <c r="D3146" t="s">
        <v>9473</v>
      </c>
      <c r="E3146" t="s">
        <v>9474</v>
      </c>
      <c r="H3146" t="s">
        <v>14056</v>
      </c>
      <c r="J3146" t="s">
        <v>353</v>
      </c>
      <c r="K3146" t="s">
        <v>354</v>
      </c>
      <c r="L3146">
        <v>7</v>
      </c>
      <c r="M3146" t="s">
        <v>14057</v>
      </c>
      <c r="N3146" t="s">
        <v>685</v>
      </c>
      <c r="O3146" t="s">
        <v>9477</v>
      </c>
      <c r="P3146" t="s">
        <v>9477</v>
      </c>
      <c r="Y3146" t="s">
        <v>14056</v>
      </c>
    </row>
    <row r="3147" spans="1:25">
      <c r="A3147" t="s">
        <v>14058</v>
      </c>
      <c r="B3147" t="s">
        <v>14059</v>
      </c>
      <c r="D3147" t="s">
        <v>9473</v>
      </c>
      <c r="E3147" t="s">
        <v>9474</v>
      </c>
      <c r="J3147" t="s">
        <v>90</v>
      </c>
      <c r="K3147" t="s">
        <v>91</v>
      </c>
      <c r="L3147">
        <v>6</v>
      </c>
      <c r="M3147" t="s">
        <v>14060</v>
      </c>
      <c r="N3147" t="s">
        <v>47</v>
      </c>
      <c r="O3147" t="s">
        <v>9477</v>
      </c>
      <c r="P3147" t="s">
        <v>9477</v>
      </c>
      <c r="Y3147" t="s">
        <v>14061</v>
      </c>
    </row>
    <row r="3148" spans="1:25">
      <c r="A3148" t="s">
        <v>14062</v>
      </c>
      <c r="B3148" t="s">
        <v>14063</v>
      </c>
      <c r="D3148" t="s">
        <v>9473</v>
      </c>
      <c r="E3148" t="s">
        <v>9474</v>
      </c>
      <c r="H3148" t="s">
        <v>14064</v>
      </c>
      <c r="J3148" t="s">
        <v>90</v>
      </c>
      <c r="K3148" t="s">
        <v>91</v>
      </c>
      <c r="L3148">
        <v>6</v>
      </c>
      <c r="M3148" t="s">
        <v>14060</v>
      </c>
      <c r="N3148" t="s">
        <v>47</v>
      </c>
      <c r="O3148" t="s">
        <v>9477</v>
      </c>
      <c r="P3148" t="s">
        <v>9477</v>
      </c>
      <c r="Y3148" t="s">
        <v>14064</v>
      </c>
    </row>
    <row r="3149" spans="1:25">
      <c r="A3149" t="s">
        <v>14065</v>
      </c>
      <c r="B3149" t="s">
        <v>14066</v>
      </c>
      <c r="D3149" t="s">
        <v>9473</v>
      </c>
      <c r="E3149" t="s">
        <v>9474</v>
      </c>
      <c r="J3149" t="s">
        <v>133</v>
      </c>
      <c r="K3149" t="s">
        <v>134</v>
      </c>
      <c r="L3149">
        <v>6</v>
      </c>
      <c r="M3149" t="s">
        <v>14067</v>
      </c>
      <c r="N3149" t="s">
        <v>135</v>
      </c>
      <c r="O3149" t="s">
        <v>9477</v>
      </c>
      <c r="P3149" t="s">
        <v>9477</v>
      </c>
      <c r="Y3149" t="s">
        <v>14068</v>
      </c>
    </row>
    <row r="3150" spans="1:25">
      <c r="A3150" t="s">
        <v>14069</v>
      </c>
      <c r="B3150" t="s">
        <v>14070</v>
      </c>
      <c r="D3150" t="s">
        <v>9473</v>
      </c>
      <c r="E3150" t="s">
        <v>9474</v>
      </c>
      <c r="H3150" t="s">
        <v>14071</v>
      </c>
      <c r="J3150" t="s">
        <v>44</v>
      </c>
      <c r="K3150" t="s">
        <v>45</v>
      </c>
      <c r="L3150">
        <v>6</v>
      </c>
      <c r="M3150" t="s">
        <v>14067</v>
      </c>
      <c r="N3150" t="s">
        <v>47</v>
      </c>
      <c r="O3150" t="s">
        <v>9477</v>
      </c>
      <c r="P3150" t="s">
        <v>9477</v>
      </c>
      <c r="Y3150" t="s">
        <v>14071</v>
      </c>
    </row>
    <row r="3151" spans="1:25">
      <c r="A3151" t="s">
        <v>14072</v>
      </c>
      <c r="B3151" t="s">
        <v>14073</v>
      </c>
      <c r="D3151" t="s">
        <v>9473</v>
      </c>
      <c r="E3151" t="s">
        <v>9474</v>
      </c>
      <c r="J3151" t="s">
        <v>90</v>
      </c>
      <c r="K3151" t="s">
        <v>91</v>
      </c>
      <c r="L3151">
        <v>6</v>
      </c>
      <c r="M3151" t="s">
        <v>14074</v>
      </c>
      <c r="N3151" t="s">
        <v>47</v>
      </c>
      <c r="O3151" t="s">
        <v>9477</v>
      </c>
      <c r="P3151" t="s">
        <v>9477</v>
      </c>
      <c r="Y3151" t="s">
        <v>14075</v>
      </c>
    </row>
    <row r="3152" spans="1:25">
      <c r="A3152" t="s">
        <v>14076</v>
      </c>
      <c r="B3152" t="s">
        <v>14077</v>
      </c>
      <c r="D3152" t="s">
        <v>9473</v>
      </c>
      <c r="E3152" t="s">
        <v>9474</v>
      </c>
      <c r="H3152" t="s">
        <v>14078</v>
      </c>
      <c r="J3152" t="s">
        <v>44</v>
      </c>
      <c r="K3152" t="s">
        <v>45</v>
      </c>
      <c r="L3152">
        <v>6</v>
      </c>
      <c r="M3152" t="s">
        <v>14079</v>
      </c>
      <c r="N3152" t="s">
        <v>47</v>
      </c>
      <c r="O3152" t="s">
        <v>9477</v>
      </c>
      <c r="P3152" t="s">
        <v>9477</v>
      </c>
      <c r="Y3152" t="s">
        <v>14078</v>
      </c>
    </row>
    <row r="3153" spans="1:25">
      <c r="A3153" t="s">
        <v>14080</v>
      </c>
      <c r="B3153" t="s">
        <v>14081</v>
      </c>
      <c r="D3153" t="s">
        <v>9473</v>
      </c>
      <c r="E3153" t="s">
        <v>9474</v>
      </c>
      <c r="H3153" t="s">
        <v>14082</v>
      </c>
      <c r="J3153" t="s">
        <v>54</v>
      </c>
      <c r="K3153" t="s">
        <v>55</v>
      </c>
      <c r="L3153">
        <v>6</v>
      </c>
      <c r="M3153" t="s">
        <v>14079</v>
      </c>
      <c r="N3153" t="s">
        <v>47</v>
      </c>
      <c r="O3153" t="s">
        <v>9477</v>
      </c>
      <c r="P3153" t="s">
        <v>9477</v>
      </c>
      <c r="Y3153" t="s">
        <v>14082</v>
      </c>
    </row>
    <row r="3154" spans="1:25">
      <c r="A3154" t="s">
        <v>14083</v>
      </c>
      <c r="B3154" t="s">
        <v>14084</v>
      </c>
      <c r="D3154" t="s">
        <v>9473</v>
      </c>
      <c r="E3154" t="s">
        <v>9474</v>
      </c>
      <c r="H3154" t="s">
        <v>14085</v>
      </c>
      <c r="J3154" t="s">
        <v>78</v>
      </c>
      <c r="K3154" t="s">
        <v>79</v>
      </c>
      <c r="L3154">
        <v>6</v>
      </c>
      <c r="M3154" t="s">
        <v>14086</v>
      </c>
      <c r="N3154" t="s">
        <v>47</v>
      </c>
      <c r="O3154" t="s">
        <v>9477</v>
      </c>
      <c r="P3154" t="s">
        <v>9477</v>
      </c>
      <c r="Y3154" t="s">
        <v>14085</v>
      </c>
    </row>
    <row r="3155" spans="1:25">
      <c r="A3155" t="s">
        <v>14087</v>
      </c>
      <c r="B3155" t="s">
        <v>14088</v>
      </c>
      <c r="D3155" t="s">
        <v>9473</v>
      </c>
      <c r="E3155" t="s">
        <v>9474</v>
      </c>
      <c r="J3155" t="s">
        <v>133</v>
      </c>
      <c r="K3155" t="s">
        <v>134</v>
      </c>
      <c r="L3155">
        <v>6</v>
      </c>
      <c r="M3155" t="s">
        <v>14089</v>
      </c>
      <c r="N3155" t="s">
        <v>290</v>
      </c>
      <c r="O3155" t="s">
        <v>9477</v>
      </c>
      <c r="P3155" t="s">
        <v>9477</v>
      </c>
      <c r="Y3155" t="s">
        <v>14090</v>
      </c>
    </row>
    <row r="3156" spans="1:25">
      <c r="A3156" t="s">
        <v>14091</v>
      </c>
      <c r="B3156" t="s">
        <v>14092</v>
      </c>
      <c r="D3156" t="s">
        <v>9473</v>
      </c>
      <c r="E3156" t="s">
        <v>9474</v>
      </c>
      <c r="J3156" t="s">
        <v>54</v>
      </c>
      <c r="K3156" t="s">
        <v>55</v>
      </c>
      <c r="L3156">
        <v>6</v>
      </c>
      <c r="M3156" t="s">
        <v>14093</v>
      </c>
      <c r="N3156" t="s">
        <v>47</v>
      </c>
      <c r="O3156" t="s">
        <v>9477</v>
      </c>
      <c r="P3156" t="s">
        <v>9477</v>
      </c>
      <c r="Y3156" t="s">
        <v>14094</v>
      </c>
    </row>
    <row r="3157" spans="1:25">
      <c r="A3157" t="s">
        <v>14095</v>
      </c>
      <c r="B3157" t="s">
        <v>14096</v>
      </c>
      <c r="D3157" t="s">
        <v>9473</v>
      </c>
      <c r="E3157" t="s">
        <v>9474</v>
      </c>
      <c r="J3157" t="s">
        <v>54</v>
      </c>
      <c r="K3157" t="s">
        <v>55</v>
      </c>
      <c r="L3157">
        <v>6</v>
      </c>
      <c r="M3157" t="s">
        <v>14097</v>
      </c>
      <c r="N3157" t="s">
        <v>47</v>
      </c>
      <c r="O3157" t="s">
        <v>9477</v>
      </c>
      <c r="P3157" t="s">
        <v>9477</v>
      </c>
      <c r="Y3157" t="s">
        <v>14098</v>
      </c>
    </row>
    <row r="3158" spans="1:25">
      <c r="A3158" t="s">
        <v>14099</v>
      </c>
      <c r="B3158" t="s">
        <v>14100</v>
      </c>
      <c r="D3158" t="s">
        <v>9473</v>
      </c>
      <c r="E3158" t="s">
        <v>9474</v>
      </c>
      <c r="J3158" t="s">
        <v>90</v>
      </c>
      <c r="K3158" t="s">
        <v>91</v>
      </c>
      <c r="L3158">
        <v>6</v>
      </c>
      <c r="M3158" t="s">
        <v>14101</v>
      </c>
      <c r="N3158" t="s">
        <v>47</v>
      </c>
      <c r="O3158" t="s">
        <v>9477</v>
      </c>
      <c r="P3158" t="s">
        <v>9477</v>
      </c>
      <c r="Y3158" t="s">
        <v>14102</v>
      </c>
    </row>
    <row r="3159" spans="1:25">
      <c r="A3159" t="s">
        <v>14103</v>
      </c>
      <c r="B3159" t="s">
        <v>14104</v>
      </c>
      <c r="D3159" t="s">
        <v>9473</v>
      </c>
      <c r="E3159" t="s">
        <v>9474</v>
      </c>
      <c r="H3159" t="s">
        <v>14105</v>
      </c>
      <c r="J3159" t="s">
        <v>541</v>
      </c>
      <c r="K3159" t="s">
        <v>542</v>
      </c>
      <c r="L3159">
        <v>6</v>
      </c>
      <c r="M3159" t="s">
        <v>14106</v>
      </c>
      <c r="N3159" t="s">
        <v>290</v>
      </c>
      <c r="O3159" t="s">
        <v>9477</v>
      </c>
      <c r="P3159" t="s">
        <v>9477</v>
      </c>
      <c r="Y3159" t="s">
        <v>14105</v>
      </c>
    </row>
    <row r="3160" spans="1:25">
      <c r="A3160" t="s">
        <v>14107</v>
      </c>
      <c r="B3160" t="s">
        <v>14108</v>
      </c>
      <c r="D3160" t="s">
        <v>9473</v>
      </c>
      <c r="E3160" t="s">
        <v>9474</v>
      </c>
      <c r="H3160" t="s">
        <v>14109</v>
      </c>
      <c r="J3160" t="s">
        <v>54</v>
      </c>
      <c r="K3160" t="s">
        <v>55</v>
      </c>
      <c r="L3160">
        <v>6</v>
      </c>
      <c r="M3160" t="s">
        <v>14110</v>
      </c>
      <c r="N3160" t="s">
        <v>47</v>
      </c>
      <c r="O3160" t="s">
        <v>9477</v>
      </c>
      <c r="P3160" t="s">
        <v>9477</v>
      </c>
      <c r="Y3160" t="s">
        <v>14109</v>
      </c>
    </row>
    <row r="3161" spans="1:25">
      <c r="A3161" t="s">
        <v>14111</v>
      </c>
      <c r="B3161" t="s">
        <v>14112</v>
      </c>
      <c r="D3161" t="s">
        <v>9473</v>
      </c>
      <c r="E3161" t="s">
        <v>9474</v>
      </c>
      <c r="J3161" t="s">
        <v>44</v>
      </c>
      <c r="K3161" t="s">
        <v>45</v>
      </c>
      <c r="L3161">
        <v>6</v>
      </c>
      <c r="M3161" t="s">
        <v>14113</v>
      </c>
      <c r="N3161" t="s">
        <v>47</v>
      </c>
      <c r="O3161" t="s">
        <v>9477</v>
      </c>
      <c r="P3161" t="s">
        <v>9477</v>
      </c>
      <c r="Y3161" t="s">
        <v>14114</v>
      </c>
    </row>
    <row r="3162" spans="1:25">
      <c r="A3162" t="s">
        <v>14115</v>
      </c>
      <c r="B3162" t="s">
        <v>14116</v>
      </c>
      <c r="D3162" t="s">
        <v>9473</v>
      </c>
      <c r="E3162" t="s">
        <v>9474</v>
      </c>
      <c r="J3162" t="s">
        <v>90</v>
      </c>
      <c r="K3162" t="s">
        <v>91</v>
      </c>
      <c r="L3162">
        <v>6</v>
      </c>
      <c r="M3162" t="s">
        <v>14113</v>
      </c>
      <c r="N3162" t="s">
        <v>47</v>
      </c>
      <c r="O3162" t="s">
        <v>9477</v>
      </c>
      <c r="P3162" t="s">
        <v>9477</v>
      </c>
      <c r="Y3162" t="s">
        <v>14117</v>
      </c>
    </row>
    <row r="3163" spans="1:25">
      <c r="A3163" t="s">
        <v>14118</v>
      </c>
      <c r="B3163" t="s">
        <v>14119</v>
      </c>
      <c r="D3163" t="s">
        <v>9473</v>
      </c>
      <c r="E3163" t="s">
        <v>9474</v>
      </c>
      <c r="H3163" t="s">
        <v>14120</v>
      </c>
      <c r="J3163" t="s">
        <v>90</v>
      </c>
      <c r="K3163" t="s">
        <v>91</v>
      </c>
      <c r="L3163">
        <v>6</v>
      </c>
      <c r="M3163" t="s">
        <v>14113</v>
      </c>
      <c r="N3163" t="s">
        <v>47</v>
      </c>
      <c r="O3163" t="s">
        <v>9477</v>
      </c>
      <c r="P3163" t="s">
        <v>9477</v>
      </c>
      <c r="Y3163" t="s">
        <v>14120</v>
      </c>
    </row>
    <row r="3164" spans="1:25">
      <c r="A3164" t="s">
        <v>14121</v>
      </c>
      <c r="B3164" t="s">
        <v>14122</v>
      </c>
      <c r="D3164" t="s">
        <v>9473</v>
      </c>
      <c r="E3164" t="s">
        <v>9474</v>
      </c>
      <c r="J3164" t="s">
        <v>765</v>
      </c>
      <c r="K3164" t="s">
        <v>766</v>
      </c>
      <c r="L3164">
        <v>6</v>
      </c>
      <c r="M3164" t="s">
        <v>14123</v>
      </c>
      <c r="N3164" t="s">
        <v>685</v>
      </c>
      <c r="O3164" t="s">
        <v>9477</v>
      </c>
      <c r="P3164" t="s">
        <v>9477</v>
      </c>
      <c r="Y3164" t="s">
        <v>14124</v>
      </c>
    </row>
    <row r="3165" spans="1:25">
      <c r="A3165" t="s">
        <v>14125</v>
      </c>
      <c r="B3165" t="s">
        <v>14126</v>
      </c>
      <c r="D3165" t="s">
        <v>9473</v>
      </c>
      <c r="E3165" t="s">
        <v>9474</v>
      </c>
      <c r="H3165" t="s">
        <v>14127</v>
      </c>
      <c r="J3165" t="s">
        <v>353</v>
      </c>
      <c r="K3165" t="s">
        <v>354</v>
      </c>
      <c r="L3165">
        <v>6</v>
      </c>
      <c r="M3165" t="s">
        <v>14123</v>
      </c>
      <c r="N3165" t="s">
        <v>135</v>
      </c>
      <c r="O3165" t="s">
        <v>9477</v>
      </c>
      <c r="P3165" t="s">
        <v>9477</v>
      </c>
      <c r="Y3165" t="s">
        <v>14127</v>
      </c>
    </row>
    <row r="3166" spans="1:25">
      <c r="A3166" t="s">
        <v>14128</v>
      </c>
      <c r="B3166" t="s">
        <v>14129</v>
      </c>
      <c r="D3166" t="s">
        <v>9473</v>
      </c>
      <c r="E3166" t="s">
        <v>9474</v>
      </c>
      <c r="J3166" t="s">
        <v>90</v>
      </c>
      <c r="K3166" t="s">
        <v>91</v>
      </c>
      <c r="L3166">
        <v>6</v>
      </c>
      <c r="M3166" t="s">
        <v>14130</v>
      </c>
      <c r="N3166" t="s">
        <v>47</v>
      </c>
      <c r="O3166" t="s">
        <v>9477</v>
      </c>
      <c r="P3166" t="s">
        <v>9477</v>
      </c>
      <c r="Y3166" t="s">
        <v>14131</v>
      </c>
    </row>
    <row r="3167" spans="1:25">
      <c r="A3167" t="s">
        <v>14132</v>
      </c>
      <c r="B3167" t="s">
        <v>14133</v>
      </c>
      <c r="D3167" t="s">
        <v>9473</v>
      </c>
      <c r="E3167" t="s">
        <v>9474</v>
      </c>
      <c r="H3167" t="s">
        <v>14134</v>
      </c>
      <c r="J3167" t="s">
        <v>234</v>
      </c>
      <c r="K3167" t="s">
        <v>235</v>
      </c>
      <c r="L3167">
        <v>6</v>
      </c>
      <c r="M3167" t="s">
        <v>14135</v>
      </c>
      <c r="N3167" t="s">
        <v>47</v>
      </c>
      <c r="O3167" t="s">
        <v>9477</v>
      </c>
      <c r="P3167" t="s">
        <v>9477</v>
      </c>
      <c r="Y3167" t="s">
        <v>14134</v>
      </c>
    </row>
    <row r="3168" spans="1:25">
      <c r="A3168" t="s">
        <v>14136</v>
      </c>
      <c r="B3168" t="s">
        <v>14137</v>
      </c>
      <c r="D3168" t="s">
        <v>9473</v>
      </c>
      <c r="E3168" t="s">
        <v>9474</v>
      </c>
      <c r="J3168" t="s">
        <v>78</v>
      </c>
      <c r="K3168" t="s">
        <v>79</v>
      </c>
      <c r="L3168">
        <v>6</v>
      </c>
      <c r="M3168" t="s">
        <v>14138</v>
      </c>
      <c r="N3168" t="s">
        <v>47</v>
      </c>
      <c r="O3168" t="s">
        <v>9477</v>
      </c>
      <c r="P3168" t="s">
        <v>9477</v>
      </c>
      <c r="Y3168" t="s">
        <v>14139</v>
      </c>
    </row>
    <row r="3169" spans="1:25">
      <c r="A3169" t="s">
        <v>14140</v>
      </c>
      <c r="B3169" t="s">
        <v>14141</v>
      </c>
      <c r="D3169" t="s">
        <v>9473</v>
      </c>
      <c r="E3169" t="s">
        <v>9474</v>
      </c>
      <c r="J3169" t="s">
        <v>54</v>
      </c>
      <c r="K3169" t="s">
        <v>55</v>
      </c>
      <c r="L3169">
        <v>6</v>
      </c>
      <c r="M3169" t="s">
        <v>14142</v>
      </c>
      <c r="N3169" t="s">
        <v>47</v>
      </c>
      <c r="O3169" t="s">
        <v>9477</v>
      </c>
      <c r="P3169" t="s">
        <v>9477</v>
      </c>
      <c r="Y3169" t="s">
        <v>14143</v>
      </c>
    </row>
    <row r="3170" spans="1:25">
      <c r="A3170" t="s">
        <v>14144</v>
      </c>
      <c r="B3170" t="s">
        <v>14145</v>
      </c>
      <c r="D3170" t="s">
        <v>9473</v>
      </c>
      <c r="E3170" t="s">
        <v>9474</v>
      </c>
      <c r="J3170" t="s">
        <v>78</v>
      </c>
      <c r="K3170" t="s">
        <v>79</v>
      </c>
      <c r="L3170">
        <v>6</v>
      </c>
      <c r="M3170" t="s">
        <v>14146</v>
      </c>
      <c r="N3170" t="s">
        <v>47</v>
      </c>
      <c r="O3170" t="s">
        <v>9477</v>
      </c>
      <c r="P3170" t="s">
        <v>9477</v>
      </c>
      <c r="Y3170" t="s">
        <v>14147</v>
      </c>
    </row>
    <row r="3171" spans="1:25">
      <c r="A3171" t="s">
        <v>14148</v>
      </c>
      <c r="B3171" t="s">
        <v>14149</v>
      </c>
      <c r="D3171" t="s">
        <v>9473</v>
      </c>
      <c r="E3171" t="s">
        <v>9474</v>
      </c>
      <c r="J3171" t="s">
        <v>44</v>
      </c>
      <c r="K3171" t="s">
        <v>45</v>
      </c>
      <c r="L3171">
        <v>6</v>
      </c>
      <c r="M3171" t="s">
        <v>14150</v>
      </c>
      <c r="N3171" t="s">
        <v>47</v>
      </c>
      <c r="O3171" t="s">
        <v>9477</v>
      </c>
      <c r="P3171" t="s">
        <v>9477</v>
      </c>
      <c r="Y3171" t="s">
        <v>14151</v>
      </c>
    </row>
    <row r="3172" spans="1:25">
      <c r="A3172" t="s">
        <v>14152</v>
      </c>
      <c r="B3172" t="s">
        <v>14153</v>
      </c>
      <c r="D3172" t="s">
        <v>9473</v>
      </c>
      <c r="E3172" t="s">
        <v>9474</v>
      </c>
      <c r="J3172" t="s">
        <v>371</v>
      </c>
      <c r="K3172" t="s">
        <v>372</v>
      </c>
      <c r="L3172">
        <v>6</v>
      </c>
      <c r="M3172" t="s">
        <v>14154</v>
      </c>
      <c r="N3172" t="s">
        <v>47</v>
      </c>
      <c r="O3172" t="s">
        <v>9477</v>
      </c>
      <c r="P3172" t="s">
        <v>9477</v>
      </c>
      <c r="Y3172" t="s">
        <v>14155</v>
      </c>
    </row>
    <row r="3173" spans="1:25">
      <c r="A3173" t="s">
        <v>14156</v>
      </c>
      <c r="B3173" t="s">
        <v>14157</v>
      </c>
      <c r="D3173" t="s">
        <v>9473</v>
      </c>
      <c r="E3173" t="s">
        <v>9474</v>
      </c>
      <c r="J3173" t="s">
        <v>133</v>
      </c>
      <c r="K3173" t="s">
        <v>134</v>
      </c>
      <c r="L3173">
        <v>6</v>
      </c>
      <c r="M3173" t="s">
        <v>14158</v>
      </c>
      <c r="N3173" t="s">
        <v>290</v>
      </c>
      <c r="O3173" t="s">
        <v>9477</v>
      </c>
      <c r="P3173" t="s">
        <v>9477</v>
      </c>
      <c r="Y3173" t="s">
        <v>14159</v>
      </c>
    </row>
    <row r="3174" spans="1:25">
      <c r="A3174" t="s">
        <v>14160</v>
      </c>
      <c r="B3174" t="s">
        <v>14161</v>
      </c>
      <c r="D3174" t="s">
        <v>9473</v>
      </c>
      <c r="E3174" t="s">
        <v>9474</v>
      </c>
      <c r="H3174" t="s">
        <v>14162</v>
      </c>
      <c r="J3174" t="s">
        <v>54</v>
      </c>
      <c r="K3174" t="s">
        <v>55</v>
      </c>
      <c r="L3174">
        <v>6</v>
      </c>
      <c r="M3174" t="s">
        <v>14158</v>
      </c>
      <c r="N3174" t="s">
        <v>47</v>
      </c>
      <c r="O3174" t="s">
        <v>9477</v>
      </c>
      <c r="P3174" t="s">
        <v>9477</v>
      </c>
      <c r="Y3174" t="s">
        <v>14162</v>
      </c>
    </row>
    <row r="3175" spans="1:25">
      <c r="A3175" t="s">
        <v>14163</v>
      </c>
      <c r="B3175" t="s">
        <v>14164</v>
      </c>
      <c r="D3175" t="s">
        <v>9473</v>
      </c>
      <c r="E3175" t="s">
        <v>9474</v>
      </c>
      <c r="J3175" t="s">
        <v>78</v>
      </c>
      <c r="K3175" t="s">
        <v>79</v>
      </c>
      <c r="L3175">
        <v>6</v>
      </c>
      <c r="M3175" t="s">
        <v>14158</v>
      </c>
      <c r="N3175" t="s">
        <v>47</v>
      </c>
      <c r="O3175" t="s">
        <v>9477</v>
      </c>
      <c r="P3175" t="s">
        <v>9477</v>
      </c>
      <c r="Y3175" t="s">
        <v>14165</v>
      </c>
    </row>
    <row r="3176" spans="1:25">
      <c r="A3176" t="s">
        <v>14166</v>
      </c>
      <c r="B3176" t="s">
        <v>14167</v>
      </c>
      <c r="D3176" t="s">
        <v>9473</v>
      </c>
      <c r="E3176" t="s">
        <v>9474</v>
      </c>
      <c r="J3176" t="s">
        <v>371</v>
      </c>
      <c r="K3176" t="s">
        <v>372</v>
      </c>
      <c r="L3176">
        <v>6</v>
      </c>
      <c r="M3176" t="s">
        <v>14168</v>
      </c>
      <c r="N3176" t="s">
        <v>47</v>
      </c>
      <c r="O3176" t="s">
        <v>9477</v>
      </c>
      <c r="P3176" t="s">
        <v>9477</v>
      </c>
      <c r="Y3176" t="s">
        <v>14169</v>
      </c>
    </row>
    <row r="3177" spans="1:25">
      <c r="A3177" t="s">
        <v>14170</v>
      </c>
      <c r="B3177" t="s">
        <v>14171</v>
      </c>
      <c r="D3177" t="s">
        <v>9473</v>
      </c>
      <c r="E3177" t="s">
        <v>9474</v>
      </c>
      <c r="J3177" t="s">
        <v>90</v>
      </c>
      <c r="K3177" t="s">
        <v>91</v>
      </c>
      <c r="L3177">
        <v>6</v>
      </c>
      <c r="M3177" t="s">
        <v>14172</v>
      </c>
      <c r="N3177" t="s">
        <v>47</v>
      </c>
      <c r="O3177" t="s">
        <v>9477</v>
      </c>
      <c r="P3177" t="s">
        <v>9477</v>
      </c>
      <c r="Y3177" t="s">
        <v>14173</v>
      </c>
    </row>
    <row r="3178" spans="1:25">
      <c r="A3178" t="s">
        <v>14174</v>
      </c>
      <c r="B3178" t="s">
        <v>14175</v>
      </c>
      <c r="D3178" t="s">
        <v>9473</v>
      </c>
      <c r="E3178" t="s">
        <v>9474</v>
      </c>
      <c r="J3178" t="s">
        <v>44</v>
      </c>
      <c r="K3178" t="s">
        <v>45</v>
      </c>
      <c r="L3178">
        <v>6</v>
      </c>
      <c r="M3178" t="s">
        <v>14176</v>
      </c>
      <c r="N3178" t="s">
        <v>47</v>
      </c>
      <c r="O3178" t="s">
        <v>9477</v>
      </c>
      <c r="P3178" t="s">
        <v>9477</v>
      </c>
      <c r="Y3178" t="s">
        <v>14177</v>
      </c>
    </row>
    <row r="3179" spans="1:25">
      <c r="A3179" t="s">
        <v>14178</v>
      </c>
      <c r="B3179" t="s">
        <v>14179</v>
      </c>
      <c r="D3179" t="s">
        <v>9473</v>
      </c>
      <c r="E3179" t="s">
        <v>9474</v>
      </c>
      <c r="J3179" t="s">
        <v>44</v>
      </c>
      <c r="K3179" t="s">
        <v>45</v>
      </c>
      <c r="L3179">
        <v>6</v>
      </c>
      <c r="M3179" t="s">
        <v>14180</v>
      </c>
      <c r="N3179" t="s">
        <v>47</v>
      </c>
      <c r="O3179" t="s">
        <v>9477</v>
      </c>
      <c r="P3179" t="s">
        <v>9477</v>
      </c>
      <c r="Y3179" t="s">
        <v>14181</v>
      </c>
    </row>
    <row r="3180" spans="1:25">
      <c r="A3180" t="s">
        <v>14182</v>
      </c>
      <c r="B3180" t="s">
        <v>14183</v>
      </c>
      <c r="D3180" t="s">
        <v>9473</v>
      </c>
      <c r="E3180" t="s">
        <v>9474</v>
      </c>
      <c r="J3180" t="s">
        <v>44</v>
      </c>
      <c r="K3180" t="s">
        <v>45</v>
      </c>
      <c r="L3180">
        <v>6</v>
      </c>
      <c r="M3180" t="s">
        <v>14180</v>
      </c>
      <c r="N3180" t="s">
        <v>47</v>
      </c>
      <c r="O3180" t="s">
        <v>9477</v>
      </c>
      <c r="P3180" t="s">
        <v>9477</v>
      </c>
      <c r="Y3180" t="s">
        <v>14184</v>
      </c>
    </row>
    <row r="3181" spans="1:25">
      <c r="A3181" t="s">
        <v>14185</v>
      </c>
      <c r="B3181" t="s">
        <v>14186</v>
      </c>
      <c r="D3181" t="s">
        <v>9473</v>
      </c>
      <c r="E3181" t="s">
        <v>9474</v>
      </c>
      <c r="J3181" t="s">
        <v>78</v>
      </c>
      <c r="K3181" t="s">
        <v>79</v>
      </c>
      <c r="L3181">
        <v>6</v>
      </c>
      <c r="M3181" t="s">
        <v>14180</v>
      </c>
      <c r="N3181" t="s">
        <v>47</v>
      </c>
      <c r="O3181" t="s">
        <v>9477</v>
      </c>
      <c r="P3181" t="s">
        <v>9477</v>
      </c>
      <c r="Y3181" t="s">
        <v>14187</v>
      </c>
    </row>
    <row r="3182" spans="1:25">
      <c r="A3182" t="s">
        <v>14188</v>
      </c>
      <c r="B3182" t="s">
        <v>14189</v>
      </c>
      <c r="D3182" t="s">
        <v>9473</v>
      </c>
      <c r="E3182" t="s">
        <v>9474</v>
      </c>
      <c r="J3182" t="s">
        <v>133</v>
      </c>
      <c r="K3182" t="s">
        <v>134</v>
      </c>
      <c r="L3182">
        <v>7</v>
      </c>
      <c r="M3182" t="s">
        <v>14190</v>
      </c>
      <c r="N3182" t="s">
        <v>685</v>
      </c>
      <c r="O3182" t="s">
        <v>9477</v>
      </c>
      <c r="P3182" t="s">
        <v>9477</v>
      </c>
      <c r="Y3182" t="s">
        <v>14191</v>
      </c>
    </row>
    <row r="3183" spans="1:25">
      <c r="A3183" t="s">
        <v>14192</v>
      </c>
      <c r="B3183" t="s">
        <v>14193</v>
      </c>
      <c r="D3183" t="s">
        <v>9473</v>
      </c>
      <c r="E3183" t="s">
        <v>9474</v>
      </c>
      <c r="H3183" t="s">
        <v>14194</v>
      </c>
      <c r="J3183" t="s">
        <v>2328</v>
      </c>
      <c r="K3183" t="s">
        <v>2329</v>
      </c>
      <c r="L3183">
        <v>6</v>
      </c>
      <c r="M3183" t="s">
        <v>14195</v>
      </c>
      <c r="N3183" t="s">
        <v>290</v>
      </c>
      <c r="O3183" t="s">
        <v>9477</v>
      </c>
      <c r="P3183" t="s">
        <v>9477</v>
      </c>
      <c r="Y3183" t="s">
        <v>14194</v>
      </c>
    </row>
    <row r="3184" spans="1:25">
      <c r="A3184" t="s">
        <v>14196</v>
      </c>
      <c r="B3184" t="s">
        <v>14197</v>
      </c>
      <c r="D3184" t="s">
        <v>9473</v>
      </c>
      <c r="E3184" t="s">
        <v>9474</v>
      </c>
      <c r="J3184" t="s">
        <v>90</v>
      </c>
      <c r="K3184" t="s">
        <v>91</v>
      </c>
      <c r="L3184">
        <v>6</v>
      </c>
      <c r="M3184" t="s">
        <v>14198</v>
      </c>
      <c r="N3184" t="s">
        <v>47</v>
      </c>
      <c r="O3184" t="s">
        <v>9477</v>
      </c>
      <c r="P3184" t="s">
        <v>9477</v>
      </c>
      <c r="Y3184" t="s">
        <v>14199</v>
      </c>
    </row>
    <row r="3185" spans="1:25">
      <c r="A3185" t="s">
        <v>14200</v>
      </c>
      <c r="B3185" t="s">
        <v>14201</v>
      </c>
      <c r="D3185" t="s">
        <v>9473</v>
      </c>
      <c r="E3185" t="s">
        <v>9474</v>
      </c>
      <c r="J3185" t="s">
        <v>78</v>
      </c>
      <c r="K3185" t="s">
        <v>79</v>
      </c>
      <c r="L3185">
        <v>6</v>
      </c>
      <c r="M3185" t="s">
        <v>14198</v>
      </c>
      <c r="N3185" t="s">
        <v>47</v>
      </c>
      <c r="O3185" t="s">
        <v>9477</v>
      </c>
      <c r="P3185" t="s">
        <v>9477</v>
      </c>
      <c r="Y3185" t="s">
        <v>14202</v>
      </c>
    </row>
    <row r="3186" spans="1:25">
      <c r="A3186" t="s">
        <v>14203</v>
      </c>
      <c r="B3186" t="s">
        <v>14204</v>
      </c>
      <c r="D3186" t="s">
        <v>9473</v>
      </c>
      <c r="E3186" t="s">
        <v>9474</v>
      </c>
      <c r="J3186" t="s">
        <v>90</v>
      </c>
      <c r="K3186" t="s">
        <v>91</v>
      </c>
      <c r="L3186">
        <v>6</v>
      </c>
      <c r="M3186" t="s">
        <v>14198</v>
      </c>
      <c r="N3186" t="s">
        <v>47</v>
      </c>
      <c r="O3186" t="s">
        <v>9477</v>
      </c>
      <c r="P3186" t="s">
        <v>9477</v>
      </c>
      <c r="Y3186" t="s">
        <v>14205</v>
      </c>
    </row>
    <row r="3187" spans="1:25">
      <c r="A3187" t="s">
        <v>14206</v>
      </c>
      <c r="B3187" t="s">
        <v>14207</v>
      </c>
      <c r="D3187" t="s">
        <v>9473</v>
      </c>
      <c r="E3187" t="s">
        <v>9474</v>
      </c>
      <c r="J3187" t="s">
        <v>90</v>
      </c>
      <c r="K3187" t="s">
        <v>91</v>
      </c>
      <c r="L3187">
        <v>6</v>
      </c>
      <c r="M3187" t="s">
        <v>14198</v>
      </c>
      <c r="N3187" t="s">
        <v>47</v>
      </c>
      <c r="O3187" t="s">
        <v>9477</v>
      </c>
      <c r="P3187" t="s">
        <v>9477</v>
      </c>
      <c r="Y3187" t="s">
        <v>14208</v>
      </c>
    </row>
    <row r="3188" spans="1:25">
      <c r="A3188" t="s">
        <v>14209</v>
      </c>
      <c r="B3188" t="s">
        <v>14210</v>
      </c>
      <c r="D3188" t="s">
        <v>9473</v>
      </c>
      <c r="E3188" t="s">
        <v>9474</v>
      </c>
      <c r="J3188" t="s">
        <v>44</v>
      </c>
      <c r="K3188" t="s">
        <v>45</v>
      </c>
      <c r="L3188">
        <v>6</v>
      </c>
      <c r="M3188" t="s">
        <v>14211</v>
      </c>
      <c r="N3188" t="s">
        <v>47</v>
      </c>
      <c r="O3188" t="s">
        <v>9477</v>
      </c>
      <c r="P3188" t="s">
        <v>9477</v>
      </c>
      <c r="Y3188" t="s">
        <v>14212</v>
      </c>
    </row>
    <row r="3189" spans="1:25">
      <c r="A3189" t="s">
        <v>14213</v>
      </c>
      <c r="B3189" t="s">
        <v>14214</v>
      </c>
      <c r="D3189" t="s">
        <v>9473</v>
      </c>
      <c r="E3189" t="s">
        <v>9474</v>
      </c>
      <c r="J3189" t="s">
        <v>90</v>
      </c>
      <c r="K3189" t="s">
        <v>91</v>
      </c>
      <c r="L3189">
        <v>6</v>
      </c>
      <c r="M3189" t="s">
        <v>14215</v>
      </c>
      <c r="N3189" t="s">
        <v>47</v>
      </c>
      <c r="O3189" t="s">
        <v>9477</v>
      </c>
      <c r="P3189" t="s">
        <v>9477</v>
      </c>
      <c r="Y3189" t="s">
        <v>14216</v>
      </c>
    </row>
    <row r="3190" spans="1:25">
      <c r="A3190" t="s">
        <v>14217</v>
      </c>
      <c r="B3190" t="s">
        <v>14218</v>
      </c>
      <c r="D3190" t="s">
        <v>9473</v>
      </c>
      <c r="E3190" t="s">
        <v>9474</v>
      </c>
      <c r="J3190" t="s">
        <v>90</v>
      </c>
      <c r="K3190" t="s">
        <v>91</v>
      </c>
      <c r="L3190">
        <v>6</v>
      </c>
      <c r="M3190" t="s">
        <v>14215</v>
      </c>
      <c r="N3190" t="s">
        <v>47</v>
      </c>
      <c r="O3190" t="s">
        <v>9477</v>
      </c>
      <c r="P3190" t="s">
        <v>9477</v>
      </c>
      <c r="Y3190" t="s">
        <v>14219</v>
      </c>
    </row>
    <row r="3191" spans="1:25">
      <c r="A3191" t="s">
        <v>14220</v>
      </c>
      <c r="B3191" t="s">
        <v>14221</v>
      </c>
      <c r="D3191" t="s">
        <v>9473</v>
      </c>
      <c r="E3191" t="s">
        <v>9474</v>
      </c>
      <c r="J3191" t="s">
        <v>90</v>
      </c>
      <c r="K3191" t="s">
        <v>91</v>
      </c>
      <c r="L3191">
        <v>6</v>
      </c>
      <c r="M3191" t="s">
        <v>14222</v>
      </c>
      <c r="N3191" t="s">
        <v>47</v>
      </c>
      <c r="O3191" t="s">
        <v>9477</v>
      </c>
      <c r="P3191" t="s">
        <v>9477</v>
      </c>
      <c r="Y3191" t="s">
        <v>14223</v>
      </c>
    </row>
    <row r="3192" spans="1:25">
      <c r="A3192" t="s">
        <v>14224</v>
      </c>
      <c r="B3192" t="s">
        <v>14225</v>
      </c>
      <c r="D3192" t="s">
        <v>9473</v>
      </c>
      <c r="E3192" t="s">
        <v>9474</v>
      </c>
      <c r="J3192" t="s">
        <v>44</v>
      </c>
      <c r="K3192" t="s">
        <v>45</v>
      </c>
      <c r="L3192">
        <v>6</v>
      </c>
      <c r="M3192" t="s">
        <v>14222</v>
      </c>
      <c r="N3192" t="s">
        <v>47</v>
      </c>
      <c r="O3192" t="s">
        <v>9477</v>
      </c>
      <c r="P3192" t="s">
        <v>9477</v>
      </c>
      <c r="Y3192" t="s">
        <v>14226</v>
      </c>
    </row>
    <row r="3193" spans="1:25">
      <c r="A3193" t="s">
        <v>14227</v>
      </c>
      <c r="B3193" t="s">
        <v>14228</v>
      </c>
      <c r="D3193" t="s">
        <v>9473</v>
      </c>
      <c r="E3193" t="s">
        <v>9474</v>
      </c>
      <c r="J3193" t="s">
        <v>44</v>
      </c>
      <c r="K3193" t="s">
        <v>45</v>
      </c>
      <c r="L3193">
        <v>6</v>
      </c>
      <c r="M3193" t="s">
        <v>14229</v>
      </c>
      <c r="N3193" t="s">
        <v>47</v>
      </c>
      <c r="O3193" t="s">
        <v>9477</v>
      </c>
      <c r="P3193" t="s">
        <v>9477</v>
      </c>
      <c r="Y3193" t="s">
        <v>14230</v>
      </c>
    </row>
    <row r="3194" spans="1:25">
      <c r="A3194" t="s">
        <v>14231</v>
      </c>
      <c r="B3194" t="s">
        <v>14232</v>
      </c>
      <c r="D3194" t="s">
        <v>9473</v>
      </c>
      <c r="E3194" t="s">
        <v>9474</v>
      </c>
      <c r="J3194" t="s">
        <v>44</v>
      </c>
      <c r="K3194" t="s">
        <v>45</v>
      </c>
      <c r="L3194">
        <v>6</v>
      </c>
      <c r="M3194" t="s">
        <v>14233</v>
      </c>
      <c r="N3194" t="s">
        <v>47</v>
      </c>
      <c r="O3194" t="s">
        <v>9477</v>
      </c>
      <c r="P3194" t="s">
        <v>9477</v>
      </c>
      <c r="Y3194" t="s">
        <v>14234</v>
      </c>
    </row>
    <row r="3195" spans="1:25">
      <c r="A3195" t="s">
        <v>14235</v>
      </c>
      <c r="B3195" t="s">
        <v>14236</v>
      </c>
      <c r="D3195" t="s">
        <v>9473</v>
      </c>
      <c r="E3195" t="s">
        <v>9474</v>
      </c>
      <c r="J3195" t="s">
        <v>90</v>
      </c>
      <c r="K3195" t="s">
        <v>91</v>
      </c>
      <c r="L3195">
        <v>6</v>
      </c>
      <c r="M3195" t="s">
        <v>14233</v>
      </c>
      <c r="N3195" t="s">
        <v>47</v>
      </c>
      <c r="O3195" t="s">
        <v>9477</v>
      </c>
      <c r="P3195" t="s">
        <v>9477</v>
      </c>
      <c r="Y3195" t="s">
        <v>14237</v>
      </c>
    </row>
    <row r="3196" spans="1:25">
      <c r="A3196" t="s">
        <v>14238</v>
      </c>
      <c r="B3196" t="s">
        <v>14239</v>
      </c>
      <c r="D3196" t="s">
        <v>9473</v>
      </c>
      <c r="E3196" t="s">
        <v>9474</v>
      </c>
      <c r="J3196" t="s">
        <v>353</v>
      </c>
      <c r="K3196" t="s">
        <v>354</v>
      </c>
      <c r="L3196">
        <v>6</v>
      </c>
      <c r="M3196" t="s">
        <v>14240</v>
      </c>
      <c r="N3196" t="s">
        <v>685</v>
      </c>
      <c r="O3196" t="s">
        <v>9477</v>
      </c>
      <c r="P3196" t="s">
        <v>9477</v>
      </c>
      <c r="Y3196" t="s">
        <v>14241</v>
      </c>
    </row>
    <row r="3197" spans="1:25">
      <c r="A3197" t="s">
        <v>14242</v>
      </c>
      <c r="B3197" t="s">
        <v>14243</v>
      </c>
      <c r="D3197" t="s">
        <v>9473</v>
      </c>
      <c r="E3197" t="s">
        <v>9474</v>
      </c>
      <c r="H3197" t="s">
        <v>14244</v>
      </c>
      <c r="J3197" t="s">
        <v>353</v>
      </c>
      <c r="K3197" t="s">
        <v>354</v>
      </c>
      <c r="L3197">
        <v>6</v>
      </c>
      <c r="M3197" t="s">
        <v>14245</v>
      </c>
      <c r="N3197" t="s">
        <v>135</v>
      </c>
      <c r="O3197" t="s">
        <v>9477</v>
      </c>
      <c r="P3197" t="s">
        <v>9477</v>
      </c>
      <c r="Y3197" t="s">
        <v>14244</v>
      </c>
    </row>
    <row r="3198" spans="1:25">
      <c r="A3198" t="s">
        <v>14246</v>
      </c>
      <c r="B3198" t="s">
        <v>14247</v>
      </c>
      <c r="D3198" t="s">
        <v>9473</v>
      </c>
      <c r="E3198" t="s">
        <v>9474</v>
      </c>
      <c r="J3198" t="s">
        <v>133</v>
      </c>
      <c r="K3198" t="s">
        <v>134</v>
      </c>
      <c r="L3198">
        <v>6</v>
      </c>
      <c r="M3198" t="s">
        <v>14248</v>
      </c>
      <c r="N3198" t="s">
        <v>290</v>
      </c>
      <c r="O3198" t="s">
        <v>9477</v>
      </c>
      <c r="P3198" t="s">
        <v>9477</v>
      </c>
      <c r="Y3198" t="s">
        <v>14249</v>
      </c>
    </row>
    <row r="3199" spans="1:25">
      <c r="A3199" t="s">
        <v>14250</v>
      </c>
      <c r="B3199" t="s">
        <v>14251</v>
      </c>
      <c r="D3199" t="s">
        <v>9473</v>
      </c>
      <c r="E3199" t="s">
        <v>9474</v>
      </c>
      <c r="H3199" t="s">
        <v>14252</v>
      </c>
      <c r="J3199" t="s">
        <v>78</v>
      </c>
      <c r="K3199" t="s">
        <v>79</v>
      </c>
      <c r="L3199">
        <v>6</v>
      </c>
      <c r="M3199" t="s">
        <v>14253</v>
      </c>
      <c r="N3199" t="s">
        <v>47</v>
      </c>
      <c r="O3199" t="s">
        <v>9477</v>
      </c>
      <c r="P3199" t="s">
        <v>9477</v>
      </c>
      <c r="Y3199" t="s">
        <v>14252</v>
      </c>
    </row>
    <row r="3200" spans="1:25">
      <c r="A3200" t="s">
        <v>14254</v>
      </c>
      <c r="B3200" t="s">
        <v>14255</v>
      </c>
      <c r="D3200" t="s">
        <v>9473</v>
      </c>
      <c r="E3200" t="s">
        <v>9474</v>
      </c>
      <c r="J3200" t="s">
        <v>44</v>
      </c>
      <c r="K3200" t="s">
        <v>45</v>
      </c>
      <c r="L3200">
        <v>6</v>
      </c>
      <c r="M3200" t="s">
        <v>14253</v>
      </c>
      <c r="N3200" t="s">
        <v>47</v>
      </c>
      <c r="O3200" t="s">
        <v>9477</v>
      </c>
      <c r="P3200" t="s">
        <v>9477</v>
      </c>
      <c r="Y3200" t="s">
        <v>14256</v>
      </c>
    </row>
    <row r="3201" spans="1:25">
      <c r="A3201" t="s">
        <v>14257</v>
      </c>
      <c r="B3201" t="s">
        <v>14258</v>
      </c>
      <c r="D3201" t="s">
        <v>9473</v>
      </c>
      <c r="E3201" t="s">
        <v>9474</v>
      </c>
      <c r="J3201" t="s">
        <v>44</v>
      </c>
      <c r="K3201" t="s">
        <v>45</v>
      </c>
      <c r="L3201">
        <v>6</v>
      </c>
      <c r="M3201" t="s">
        <v>14259</v>
      </c>
      <c r="N3201" t="s">
        <v>47</v>
      </c>
      <c r="O3201" t="s">
        <v>9477</v>
      </c>
      <c r="P3201" t="s">
        <v>9477</v>
      </c>
      <c r="Y3201" t="s">
        <v>14260</v>
      </c>
    </row>
    <row r="3202" spans="1:25">
      <c r="A3202" t="s">
        <v>14261</v>
      </c>
      <c r="B3202" t="s">
        <v>14262</v>
      </c>
      <c r="D3202" t="s">
        <v>9473</v>
      </c>
      <c r="E3202" t="s">
        <v>9474</v>
      </c>
      <c r="J3202" t="s">
        <v>44</v>
      </c>
      <c r="K3202" t="s">
        <v>45</v>
      </c>
      <c r="L3202">
        <v>6</v>
      </c>
      <c r="M3202" t="s">
        <v>14259</v>
      </c>
      <c r="N3202" t="s">
        <v>47</v>
      </c>
      <c r="O3202" t="s">
        <v>9477</v>
      </c>
      <c r="P3202" t="s">
        <v>9477</v>
      </c>
      <c r="Y3202" t="s">
        <v>14263</v>
      </c>
    </row>
    <row r="3203" spans="1:25">
      <c r="A3203" t="s">
        <v>14264</v>
      </c>
      <c r="B3203" t="s">
        <v>14265</v>
      </c>
      <c r="D3203" t="s">
        <v>9473</v>
      </c>
      <c r="E3203" t="s">
        <v>9474</v>
      </c>
      <c r="J3203" t="s">
        <v>78</v>
      </c>
      <c r="K3203" t="s">
        <v>79</v>
      </c>
      <c r="L3203">
        <v>6</v>
      </c>
      <c r="M3203" t="s">
        <v>14266</v>
      </c>
      <c r="N3203" t="s">
        <v>47</v>
      </c>
      <c r="O3203" t="s">
        <v>9477</v>
      </c>
      <c r="P3203" t="s">
        <v>9477</v>
      </c>
      <c r="Y3203" t="s">
        <v>14267</v>
      </c>
    </row>
    <row r="3204" spans="1:25">
      <c r="A3204" t="s">
        <v>14268</v>
      </c>
      <c r="B3204" t="s">
        <v>14269</v>
      </c>
      <c r="D3204" t="s">
        <v>9473</v>
      </c>
      <c r="E3204" t="s">
        <v>9474</v>
      </c>
      <c r="J3204" t="s">
        <v>44</v>
      </c>
      <c r="K3204" t="s">
        <v>45</v>
      </c>
      <c r="L3204">
        <v>6</v>
      </c>
      <c r="M3204" t="s">
        <v>14266</v>
      </c>
      <c r="N3204" t="s">
        <v>47</v>
      </c>
      <c r="O3204" t="s">
        <v>9477</v>
      </c>
      <c r="P3204" t="s">
        <v>9477</v>
      </c>
      <c r="Y3204" t="s">
        <v>14270</v>
      </c>
    </row>
    <row r="3205" spans="1:25">
      <c r="A3205" t="s">
        <v>14271</v>
      </c>
      <c r="B3205" t="s">
        <v>14272</v>
      </c>
      <c r="D3205" t="s">
        <v>9473</v>
      </c>
      <c r="E3205" t="s">
        <v>9474</v>
      </c>
      <c r="J3205" t="s">
        <v>44</v>
      </c>
      <c r="K3205" t="s">
        <v>45</v>
      </c>
      <c r="L3205">
        <v>6</v>
      </c>
      <c r="M3205" t="s">
        <v>14273</v>
      </c>
      <c r="N3205" t="s">
        <v>47</v>
      </c>
      <c r="O3205" t="s">
        <v>9477</v>
      </c>
      <c r="P3205" t="s">
        <v>9477</v>
      </c>
      <c r="Y3205" t="s">
        <v>14274</v>
      </c>
    </row>
    <row r="3206" spans="1:25">
      <c r="A3206" t="s">
        <v>14275</v>
      </c>
      <c r="B3206" t="s">
        <v>14276</v>
      </c>
      <c r="D3206" t="s">
        <v>9473</v>
      </c>
      <c r="E3206" t="s">
        <v>9474</v>
      </c>
      <c r="J3206" t="s">
        <v>78</v>
      </c>
      <c r="K3206" t="s">
        <v>79</v>
      </c>
      <c r="L3206">
        <v>6</v>
      </c>
      <c r="M3206" t="s">
        <v>14273</v>
      </c>
      <c r="N3206" t="s">
        <v>47</v>
      </c>
      <c r="O3206" t="s">
        <v>9477</v>
      </c>
      <c r="P3206" t="s">
        <v>9477</v>
      </c>
      <c r="Y3206" t="s">
        <v>14277</v>
      </c>
    </row>
    <row r="3207" spans="1:25">
      <c r="A3207" t="s">
        <v>14278</v>
      </c>
      <c r="B3207" t="s">
        <v>14279</v>
      </c>
      <c r="D3207" t="s">
        <v>9473</v>
      </c>
      <c r="E3207" t="s">
        <v>9474</v>
      </c>
      <c r="J3207" t="s">
        <v>90</v>
      </c>
      <c r="K3207" t="s">
        <v>91</v>
      </c>
      <c r="L3207">
        <v>6</v>
      </c>
      <c r="M3207" t="s">
        <v>14273</v>
      </c>
      <c r="N3207" t="s">
        <v>47</v>
      </c>
      <c r="O3207" t="s">
        <v>9477</v>
      </c>
      <c r="P3207" t="s">
        <v>9477</v>
      </c>
      <c r="Y3207" t="s">
        <v>14280</v>
      </c>
    </row>
    <row r="3208" spans="1:25">
      <c r="A3208" t="s">
        <v>14281</v>
      </c>
      <c r="B3208" t="s">
        <v>14282</v>
      </c>
      <c r="D3208" t="s">
        <v>9473</v>
      </c>
      <c r="E3208" t="s">
        <v>9474</v>
      </c>
      <c r="H3208" t="s">
        <v>14283</v>
      </c>
      <c r="J3208" t="s">
        <v>133</v>
      </c>
      <c r="K3208" t="s">
        <v>134</v>
      </c>
      <c r="L3208">
        <v>6</v>
      </c>
      <c r="M3208" t="s">
        <v>14284</v>
      </c>
      <c r="N3208" t="s">
        <v>685</v>
      </c>
      <c r="O3208" t="s">
        <v>9477</v>
      </c>
      <c r="P3208" t="s">
        <v>9477</v>
      </c>
      <c r="Y3208" t="s">
        <v>14283</v>
      </c>
    </row>
    <row r="3209" spans="1:25">
      <c r="A3209" t="s">
        <v>14285</v>
      </c>
      <c r="B3209" t="s">
        <v>14286</v>
      </c>
      <c r="D3209" t="s">
        <v>9473</v>
      </c>
      <c r="E3209" t="s">
        <v>9474</v>
      </c>
      <c r="J3209" t="s">
        <v>78</v>
      </c>
      <c r="K3209" t="s">
        <v>79</v>
      </c>
      <c r="L3209">
        <v>6</v>
      </c>
      <c r="M3209" t="s">
        <v>14287</v>
      </c>
      <c r="N3209" t="s">
        <v>47</v>
      </c>
      <c r="O3209" t="s">
        <v>9477</v>
      </c>
      <c r="P3209" t="s">
        <v>9477</v>
      </c>
      <c r="Y3209" t="s">
        <v>14288</v>
      </c>
    </row>
    <row r="3210" spans="1:25">
      <c r="A3210" t="s">
        <v>14289</v>
      </c>
      <c r="B3210" t="s">
        <v>14290</v>
      </c>
      <c r="D3210" t="s">
        <v>9473</v>
      </c>
      <c r="E3210" t="s">
        <v>9474</v>
      </c>
      <c r="J3210" t="s">
        <v>133</v>
      </c>
      <c r="K3210" t="s">
        <v>134</v>
      </c>
      <c r="L3210">
        <v>6</v>
      </c>
      <c r="M3210" t="s">
        <v>14291</v>
      </c>
      <c r="N3210" t="s">
        <v>135</v>
      </c>
      <c r="O3210" t="s">
        <v>9477</v>
      </c>
      <c r="P3210" t="s">
        <v>9477</v>
      </c>
      <c r="Y3210" t="s">
        <v>14292</v>
      </c>
    </row>
    <row r="3211" spans="1:25">
      <c r="A3211" t="s">
        <v>14293</v>
      </c>
      <c r="B3211" t="s">
        <v>14294</v>
      </c>
      <c r="D3211" t="s">
        <v>9473</v>
      </c>
      <c r="E3211" t="s">
        <v>9474</v>
      </c>
      <c r="J3211" t="s">
        <v>371</v>
      </c>
      <c r="K3211" t="s">
        <v>372</v>
      </c>
      <c r="L3211">
        <v>6</v>
      </c>
      <c r="M3211" t="s">
        <v>14295</v>
      </c>
      <c r="N3211" t="s">
        <v>47</v>
      </c>
      <c r="O3211" t="s">
        <v>9477</v>
      </c>
      <c r="P3211" t="s">
        <v>9477</v>
      </c>
      <c r="Y3211" t="s">
        <v>14296</v>
      </c>
    </row>
    <row r="3212" spans="1:25">
      <c r="A3212" t="s">
        <v>14297</v>
      </c>
      <c r="B3212" t="s">
        <v>14298</v>
      </c>
      <c r="D3212" t="s">
        <v>9473</v>
      </c>
      <c r="E3212" t="s">
        <v>9474</v>
      </c>
      <c r="H3212" t="s">
        <v>14299</v>
      </c>
      <c r="J3212" t="s">
        <v>90</v>
      </c>
      <c r="K3212" t="s">
        <v>91</v>
      </c>
      <c r="L3212">
        <v>6</v>
      </c>
      <c r="M3212" t="s">
        <v>14295</v>
      </c>
      <c r="N3212" t="s">
        <v>47</v>
      </c>
      <c r="O3212" t="s">
        <v>9477</v>
      </c>
      <c r="P3212" t="s">
        <v>9477</v>
      </c>
      <c r="Y3212" t="s">
        <v>14299</v>
      </c>
    </row>
    <row r="3213" spans="1:25">
      <c r="A3213" t="s">
        <v>14300</v>
      </c>
      <c r="B3213" t="s">
        <v>14301</v>
      </c>
      <c r="D3213" t="s">
        <v>9473</v>
      </c>
      <c r="E3213" t="s">
        <v>9474</v>
      </c>
      <c r="J3213" t="s">
        <v>90</v>
      </c>
      <c r="K3213" t="s">
        <v>91</v>
      </c>
      <c r="L3213">
        <v>6</v>
      </c>
      <c r="M3213" t="s">
        <v>14302</v>
      </c>
      <c r="N3213" t="s">
        <v>47</v>
      </c>
      <c r="O3213" t="s">
        <v>9477</v>
      </c>
      <c r="P3213" t="s">
        <v>9477</v>
      </c>
      <c r="Y3213" t="s">
        <v>14303</v>
      </c>
    </row>
    <row r="3214" spans="1:25">
      <c r="A3214" t="s">
        <v>14304</v>
      </c>
      <c r="B3214" t="s">
        <v>14305</v>
      </c>
      <c r="D3214" t="s">
        <v>9473</v>
      </c>
      <c r="E3214" t="s">
        <v>9474</v>
      </c>
      <c r="J3214" t="s">
        <v>133</v>
      </c>
      <c r="K3214" t="s">
        <v>134</v>
      </c>
      <c r="L3214">
        <v>6</v>
      </c>
      <c r="M3214" t="s">
        <v>14302</v>
      </c>
      <c r="N3214" t="s">
        <v>685</v>
      </c>
      <c r="O3214" t="s">
        <v>9477</v>
      </c>
      <c r="P3214" t="s">
        <v>9477</v>
      </c>
      <c r="Y3214" t="s">
        <v>14306</v>
      </c>
    </row>
    <row r="3215" spans="1:25">
      <c r="A3215" t="s">
        <v>14307</v>
      </c>
      <c r="B3215" t="s">
        <v>14308</v>
      </c>
      <c r="D3215" t="s">
        <v>9473</v>
      </c>
      <c r="E3215" t="s">
        <v>9474</v>
      </c>
      <c r="J3215" t="s">
        <v>90</v>
      </c>
      <c r="K3215" t="s">
        <v>91</v>
      </c>
      <c r="L3215">
        <v>6</v>
      </c>
      <c r="M3215" t="s">
        <v>14309</v>
      </c>
      <c r="N3215" t="s">
        <v>47</v>
      </c>
      <c r="O3215" t="s">
        <v>9477</v>
      </c>
      <c r="P3215" t="s">
        <v>9477</v>
      </c>
      <c r="Y3215" t="s">
        <v>14310</v>
      </c>
    </row>
    <row r="3216" spans="1:25">
      <c r="A3216" t="s">
        <v>14311</v>
      </c>
      <c r="B3216" t="s">
        <v>14312</v>
      </c>
      <c r="D3216" t="s">
        <v>9473</v>
      </c>
      <c r="E3216" t="s">
        <v>9474</v>
      </c>
      <c r="J3216" t="s">
        <v>497</v>
      </c>
      <c r="K3216" t="s">
        <v>498</v>
      </c>
      <c r="L3216">
        <v>6</v>
      </c>
      <c r="M3216" t="s">
        <v>14309</v>
      </c>
      <c r="N3216" t="s">
        <v>685</v>
      </c>
      <c r="O3216" t="s">
        <v>9477</v>
      </c>
      <c r="P3216" t="s">
        <v>9477</v>
      </c>
      <c r="Y3216" t="s">
        <v>14313</v>
      </c>
    </row>
    <row r="3217" spans="1:25">
      <c r="A3217" t="s">
        <v>14314</v>
      </c>
      <c r="B3217" t="s">
        <v>14315</v>
      </c>
      <c r="D3217" t="s">
        <v>9473</v>
      </c>
      <c r="E3217" t="s">
        <v>9474</v>
      </c>
      <c r="J3217" t="s">
        <v>44</v>
      </c>
      <c r="K3217" t="s">
        <v>45</v>
      </c>
      <c r="L3217">
        <v>6</v>
      </c>
      <c r="M3217" t="s">
        <v>14309</v>
      </c>
      <c r="N3217" t="s">
        <v>47</v>
      </c>
      <c r="O3217" t="s">
        <v>9477</v>
      </c>
      <c r="P3217" t="s">
        <v>9477</v>
      </c>
      <c r="Y3217" t="s">
        <v>14316</v>
      </c>
    </row>
    <row r="3218" spans="1:25">
      <c r="A3218" t="s">
        <v>14317</v>
      </c>
      <c r="B3218" t="s">
        <v>14318</v>
      </c>
      <c r="D3218" t="s">
        <v>9473</v>
      </c>
      <c r="E3218" t="s">
        <v>9474</v>
      </c>
      <c r="J3218" t="s">
        <v>90</v>
      </c>
      <c r="K3218" t="s">
        <v>91</v>
      </c>
      <c r="L3218">
        <v>6</v>
      </c>
      <c r="M3218" t="s">
        <v>14309</v>
      </c>
      <c r="N3218" t="s">
        <v>47</v>
      </c>
      <c r="O3218" t="s">
        <v>9477</v>
      </c>
      <c r="P3218" t="s">
        <v>9477</v>
      </c>
      <c r="Y3218" t="s">
        <v>14319</v>
      </c>
    </row>
    <row r="3219" spans="1:25">
      <c r="A3219" t="s">
        <v>14320</v>
      </c>
      <c r="B3219" t="s">
        <v>14321</v>
      </c>
      <c r="D3219" t="s">
        <v>9473</v>
      </c>
      <c r="E3219" t="s">
        <v>9474</v>
      </c>
      <c r="H3219" t="s">
        <v>14322</v>
      </c>
      <c r="J3219" t="s">
        <v>234</v>
      </c>
      <c r="K3219" t="s">
        <v>235</v>
      </c>
      <c r="L3219">
        <v>6</v>
      </c>
      <c r="M3219" t="s">
        <v>14323</v>
      </c>
      <c r="N3219" t="s">
        <v>47</v>
      </c>
      <c r="O3219" t="s">
        <v>9477</v>
      </c>
      <c r="P3219" t="s">
        <v>9477</v>
      </c>
      <c r="Y3219" t="s">
        <v>14322</v>
      </c>
    </row>
    <row r="3220" spans="1:25">
      <c r="A3220" t="s">
        <v>14324</v>
      </c>
      <c r="B3220" t="s">
        <v>14325</v>
      </c>
      <c r="D3220" t="s">
        <v>9473</v>
      </c>
      <c r="E3220" t="s">
        <v>9474</v>
      </c>
      <c r="H3220" t="s">
        <v>14326</v>
      </c>
      <c r="J3220" t="s">
        <v>234</v>
      </c>
      <c r="K3220" t="s">
        <v>235</v>
      </c>
      <c r="L3220">
        <v>6</v>
      </c>
      <c r="M3220" t="s">
        <v>14327</v>
      </c>
      <c r="N3220" t="s">
        <v>47</v>
      </c>
      <c r="O3220" t="s">
        <v>9477</v>
      </c>
      <c r="P3220" t="s">
        <v>9477</v>
      </c>
      <c r="Y3220" t="s">
        <v>14326</v>
      </c>
    </row>
    <row r="3221" spans="1:25">
      <c r="A3221" t="s">
        <v>14328</v>
      </c>
      <c r="B3221" t="s">
        <v>14329</v>
      </c>
      <c r="D3221" t="s">
        <v>9473</v>
      </c>
      <c r="E3221" t="s">
        <v>9474</v>
      </c>
      <c r="H3221" t="s">
        <v>14330</v>
      </c>
      <c r="J3221" t="s">
        <v>234</v>
      </c>
      <c r="K3221" t="s">
        <v>235</v>
      </c>
      <c r="L3221">
        <v>6</v>
      </c>
      <c r="M3221" t="s">
        <v>14331</v>
      </c>
      <c r="N3221" t="s">
        <v>47</v>
      </c>
      <c r="O3221" t="s">
        <v>9477</v>
      </c>
      <c r="P3221" t="s">
        <v>9477</v>
      </c>
      <c r="Y3221" t="s">
        <v>14330</v>
      </c>
    </row>
    <row r="3222" spans="1:25">
      <c r="A3222" t="s">
        <v>14332</v>
      </c>
      <c r="B3222" t="s">
        <v>14333</v>
      </c>
      <c r="D3222" t="s">
        <v>9473</v>
      </c>
      <c r="E3222" t="s">
        <v>9474</v>
      </c>
      <c r="J3222" t="s">
        <v>54</v>
      </c>
      <c r="K3222" t="s">
        <v>55</v>
      </c>
      <c r="L3222">
        <v>6</v>
      </c>
      <c r="M3222" t="s">
        <v>14334</v>
      </c>
      <c r="N3222" t="s">
        <v>47</v>
      </c>
      <c r="O3222" t="s">
        <v>9477</v>
      </c>
      <c r="P3222" t="s">
        <v>9477</v>
      </c>
      <c r="Y3222" t="s">
        <v>14335</v>
      </c>
    </row>
    <row r="3223" spans="1:25">
      <c r="A3223" t="s">
        <v>14336</v>
      </c>
      <c r="B3223" t="s">
        <v>14337</v>
      </c>
      <c r="D3223" t="s">
        <v>9473</v>
      </c>
      <c r="E3223" t="s">
        <v>9474</v>
      </c>
      <c r="H3223" t="s">
        <v>14338</v>
      </c>
      <c r="J3223" t="s">
        <v>78</v>
      </c>
      <c r="K3223" t="s">
        <v>79</v>
      </c>
      <c r="L3223">
        <v>6</v>
      </c>
      <c r="M3223" t="s">
        <v>14334</v>
      </c>
      <c r="N3223" t="s">
        <v>47</v>
      </c>
      <c r="O3223" t="s">
        <v>9477</v>
      </c>
      <c r="P3223" t="s">
        <v>9477</v>
      </c>
      <c r="Y3223" t="s">
        <v>14338</v>
      </c>
    </row>
    <row r="3224" spans="1:25">
      <c r="A3224" t="s">
        <v>14339</v>
      </c>
      <c r="B3224" t="s">
        <v>14340</v>
      </c>
      <c r="D3224" t="s">
        <v>9473</v>
      </c>
      <c r="E3224" t="s">
        <v>9474</v>
      </c>
      <c r="J3224" t="s">
        <v>78</v>
      </c>
      <c r="K3224" t="s">
        <v>79</v>
      </c>
      <c r="L3224">
        <v>6</v>
      </c>
      <c r="M3224" t="s">
        <v>14341</v>
      </c>
      <c r="N3224" t="s">
        <v>47</v>
      </c>
      <c r="O3224" t="s">
        <v>9477</v>
      </c>
      <c r="P3224" t="s">
        <v>9477</v>
      </c>
      <c r="Y3224" t="s">
        <v>14342</v>
      </c>
    </row>
    <row r="3225" spans="1:25">
      <c r="A3225" t="s">
        <v>14343</v>
      </c>
      <c r="B3225" t="s">
        <v>14344</v>
      </c>
      <c r="D3225" t="s">
        <v>9473</v>
      </c>
      <c r="E3225" t="s">
        <v>9474</v>
      </c>
      <c r="J3225" t="s">
        <v>78</v>
      </c>
      <c r="K3225" t="s">
        <v>79</v>
      </c>
      <c r="L3225">
        <v>6</v>
      </c>
      <c r="M3225" t="s">
        <v>14341</v>
      </c>
      <c r="N3225" t="s">
        <v>47</v>
      </c>
      <c r="O3225" t="s">
        <v>9477</v>
      </c>
      <c r="P3225" t="s">
        <v>9477</v>
      </c>
      <c r="Y3225" t="s">
        <v>14345</v>
      </c>
    </row>
    <row r="3226" spans="1:25">
      <c r="A3226" t="s">
        <v>14346</v>
      </c>
      <c r="B3226" t="s">
        <v>14347</v>
      </c>
      <c r="D3226" t="s">
        <v>9473</v>
      </c>
      <c r="E3226" t="s">
        <v>9474</v>
      </c>
      <c r="H3226" t="s">
        <v>14348</v>
      </c>
      <c r="J3226" t="s">
        <v>353</v>
      </c>
      <c r="K3226" t="s">
        <v>354</v>
      </c>
      <c r="L3226">
        <v>6</v>
      </c>
      <c r="M3226" t="s">
        <v>14349</v>
      </c>
      <c r="N3226" t="s">
        <v>135</v>
      </c>
      <c r="O3226" t="s">
        <v>9477</v>
      </c>
      <c r="P3226" t="s">
        <v>9477</v>
      </c>
      <c r="Y3226" t="s">
        <v>14348</v>
      </c>
    </row>
    <row r="3227" spans="1:25">
      <c r="A3227" t="s">
        <v>14350</v>
      </c>
      <c r="B3227" t="s">
        <v>14351</v>
      </c>
      <c r="D3227" t="s">
        <v>9473</v>
      </c>
      <c r="E3227" t="s">
        <v>9474</v>
      </c>
      <c r="J3227" t="s">
        <v>44</v>
      </c>
      <c r="K3227" t="s">
        <v>45</v>
      </c>
      <c r="L3227">
        <v>6</v>
      </c>
      <c r="M3227" t="s">
        <v>14352</v>
      </c>
      <c r="N3227" t="s">
        <v>47</v>
      </c>
      <c r="O3227" t="s">
        <v>9477</v>
      </c>
      <c r="P3227" t="s">
        <v>9477</v>
      </c>
      <c r="Y3227" t="s">
        <v>14353</v>
      </c>
    </row>
    <row r="3228" spans="1:25">
      <c r="A3228" t="s">
        <v>14354</v>
      </c>
      <c r="B3228" t="s">
        <v>14355</v>
      </c>
      <c r="D3228" t="s">
        <v>9473</v>
      </c>
      <c r="E3228" t="s">
        <v>9474</v>
      </c>
      <c r="H3228" t="s">
        <v>14356</v>
      </c>
      <c r="J3228" t="s">
        <v>78</v>
      </c>
      <c r="K3228" t="s">
        <v>79</v>
      </c>
      <c r="L3228">
        <v>6</v>
      </c>
      <c r="M3228" t="s">
        <v>14352</v>
      </c>
      <c r="N3228" t="s">
        <v>47</v>
      </c>
      <c r="O3228" t="s">
        <v>9477</v>
      </c>
      <c r="P3228" t="s">
        <v>9477</v>
      </c>
      <c r="Y3228" t="s">
        <v>14356</v>
      </c>
    </row>
    <row r="3229" spans="1:25">
      <c r="A3229" t="s">
        <v>14357</v>
      </c>
      <c r="B3229" t="s">
        <v>14358</v>
      </c>
      <c r="D3229" t="s">
        <v>9473</v>
      </c>
      <c r="E3229" t="s">
        <v>9474</v>
      </c>
      <c r="H3229" t="s">
        <v>14359</v>
      </c>
      <c r="J3229" t="s">
        <v>54</v>
      </c>
      <c r="K3229" t="s">
        <v>55</v>
      </c>
      <c r="L3229">
        <v>6</v>
      </c>
      <c r="M3229" t="s">
        <v>14352</v>
      </c>
      <c r="N3229" t="s">
        <v>47</v>
      </c>
      <c r="O3229" t="s">
        <v>9477</v>
      </c>
      <c r="P3229" t="s">
        <v>9477</v>
      </c>
      <c r="Y3229" t="s">
        <v>14359</v>
      </c>
    </row>
    <row r="3230" spans="1:25">
      <c r="A3230" t="s">
        <v>14360</v>
      </c>
      <c r="B3230" t="s">
        <v>14361</v>
      </c>
      <c r="D3230" t="s">
        <v>9473</v>
      </c>
      <c r="E3230" t="s">
        <v>9474</v>
      </c>
      <c r="J3230" t="s">
        <v>90</v>
      </c>
      <c r="K3230" t="s">
        <v>91</v>
      </c>
      <c r="L3230">
        <v>6</v>
      </c>
      <c r="M3230" t="s">
        <v>14362</v>
      </c>
      <c r="N3230" t="s">
        <v>47</v>
      </c>
      <c r="O3230" t="s">
        <v>9477</v>
      </c>
      <c r="P3230" t="s">
        <v>9477</v>
      </c>
      <c r="Y3230" t="s">
        <v>14363</v>
      </c>
    </row>
    <row r="3231" spans="1:25">
      <c r="A3231" t="s">
        <v>14364</v>
      </c>
      <c r="B3231" t="s">
        <v>14365</v>
      </c>
      <c r="D3231" t="s">
        <v>9473</v>
      </c>
      <c r="E3231" t="s">
        <v>9474</v>
      </c>
      <c r="J3231" t="s">
        <v>353</v>
      </c>
      <c r="K3231" t="s">
        <v>354</v>
      </c>
      <c r="L3231">
        <v>6</v>
      </c>
      <c r="M3231" t="s">
        <v>14366</v>
      </c>
      <c r="N3231" t="s">
        <v>135</v>
      </c>
      <c r="O3231" t="s">
        <v>9477</v>
      </c>
      <c r="P3231" t="s">
        <v>9477</v>
      </c>
      <c r="Y3231" t="s">
        <v>14367</v>
      </c>
    </row>
    <row r="3232" spans="1:25">
      <c r="A3232" t="s">
        <v>14368</v>
      </c>
      <c r="B3232" t="s">
        <v>14369</v>
      </c>
      <c r="D3232" t="s">
        <v>9473</v>
      </c>
      <c r="E3232" t="s">
        <v>9474</v>
      </c>
      <c r="H3232" t="s">
        <v>14370</v>
      </c>
      <c r="J3232" t="s">
        <v>90</v>
      </c>
      <c r="K3232" t="s">
        <v>91</v>
      </c>
      <c r="L3232">
        <v>6</v>
      </c>
      <c r="M3232" t="s">
        <v>14371</v>
      </c>
      <c r="N3232" t="s">
        <v>47</v>
      </c>
      <c r="O3232" t="s">
        <v>9477</v>
      </c>
      <c r="P3232" t="s">
        <v>9477</v>
      </c>
      <c r="Y3232" t="s">
        <v>14370</v>
      </c>
    </row>
    <row r="3233" spans="1:25">
      <c r="A3233" t="s">
        <v>14372</v>
      </c>
      <c r="B3233" t="s">
        <v>14373</v>
      </c>
      <c r="D3233" t="s">
        <v>9473</v>
      </c>
      <c r="E3233" t="s">
        <v>9474</v>
      </c>
      <c r="H3233" t="s">
        <v>14374</v>
      </c>
      <c r="J3233" t="s">
        <v>78</v>
      </c>
      <c r="K3233" t="s">
        <v>79</v>
      </c>
      <c r="L3233">
        <v>6</v>
      </c>
      <c r="M3233" t="s">
        <v>14375</v>
      </c>
      <c r="N3233" t="s">
        <v>47</v>
      </c>
      <c r="O3233" t="s">
        <v>9477</v>
      </c>
      <c r="P3233" t="s">
        <v>9477</v>
      </c>
      <c r="Y3233" t="s">
        <v>14374</v>
      </c>
    </row>
    <row r="3234" spans="1:25">
      <c r="A3234" t="s">
        <v>14376</v>
      </c>
      <c r="B3234" t="s">
        <v>14377</v>
      </c>
      <c r="D3234" t="s">
        <v>9473</v>
      </c>
      <c r="E3234" t="s">
        <v>9474</v>
      </c>
      <c r="J3234" t="s">
        <v>90</v>
      </c>
      <c r="K3234" t="s">
        <v>91</v>
      </c>
      <c r="L3234">
        <v>6</v>
      </c>
      <c r="M3234" t="s">
        <v>14378</v>
      </c>
      <c r="N3234" t="s">
        <v>47</v>
      </c>
      <c r="O3234" t="s">
        <v>9477</v>
      </c>
      <c r="P3234" t="s">
        <v>9477</v>
      </c>
      <c r="Y3234" t="s">
        <v>14379</v>
      </c>
    </row>
    <row r="3235" spans="1:25">
      <c r="A3235" t="s">
        <v>14380</v>
      </c>
      <c r="B3235" t="s">
        <v>14381</v>
      </c>
      <c r="D3235" t="s">
        <v>9473</v>
      </c>
      <c r="E3235" t="s">
        <v>9474</v>
      </c>
      <c r="J3235" t="s">
        <v>90</v>
      </c>
      <c r="K3235" t="s">
        <v>91</v>
      </c>
      <c r="L3235">
        <v>6</v>
      </c>
      <c r="M3235" t="s">
        <v>14382</v>
      </c>
      <c r="N3235" t="s">
        <v>47</v>
      </c>
      <c r="O3235" t="s">
        <v>9477</v>
      </c>
      <c r="P3235" t="s">
        <v>9477</v>
      </c>
      <c r="Y3235" t="s">
        <v>14383</v>
      </c>
    </row>
    <row r="3236" spans="1:25">
      <c r="A3236" t="s">
        <v>14384</v>
      </c>
      <c r="B3236" t="s">
        <v>14385</v>
      </c>
      <c r="D3236" t="s">
        <v>9473</v>
      </c>
      <c r="E3236" t="s">
        <v>9474</v>
      </c>
      <c r="H3236" t="s">
        <v>14386</v>
      </c>
      <c r="J3236" t="s">
        <v>90</v>
      </c>
      <c r="K3236" t="s">
        <v>91</v>
      </c>
      <c r="L3236">
        <v>6</v>
      </c>
      <c r="M3236" t="s">
        <v>14387</v>
      </c>
      <c r="N3236" t="s">
        <v>47</v>
      </c>
      <c r="O3236" t="s">
        <v>9477</v>
      </c>
      <c r="P3236" t="s">
        <v>9477</v>
      </c>
      <c r="Y3236" t="s">
        <v>14386</v>
      </c>
    </row>
    <row r="3237" spans="1:25">
      <c r="A3237" t="s">
        <v>14388</v>
      </c>
      <c r="B3237" t="s">
        <v>14389</v>
      </c>
      <c r="D3237" t="s">
        <v>9473</v>
      </c>
      <c r="E3237" t="s">
        <v>9474</v>
      </c>
      <c r="J3237" t="s">
        <v>54</v>
      </c>
      <c r="K3237" t="s">
        <v>55</v>
      </c>
      <c r="L3237">
        <v>6</v>
      </c>
      <c r="M3237" t="s">
        <v>14387</v>
      </c>
      <c r="N3237" t="s">
        <v>47</v>
      </c>
      <c r="O3237" t="s">
        <v>9477</v>
      </c>
      <c r="P3237" t="s">
        <v>9477</v>
      </c>
      <c r="Y3237" t="s">
        <v>14390</v>
      </c>
    </row>
    <row r="3238" spans="1:25">
      <c r="A3238" t="s">
        <v>14391</v>
      </c>
      <c r="B3238" t="s">
        <v>14392</v>
      </c>
      <c r="D3238" t="s">
        <v>9473</v>
      </c>
      <c r="E3238" t="s">
        <v>9474</v>
      </c>
      <c r="J3238" t="s">
        <v>90</v>
      </c>
      <c r="K3238" t="s">
        <v>91</v>
      </c>
      <c r="L3238">
        <v>6</v>
      </c>
      <c r="M3238" t="s">
        <v>14393</v>
      </c>
      <c r="N3238" t="s">
        <v>47</v>
      </c>
      <c r="O3238" t="s">
        <v>9477</v>
      </c>
      <c r="P3238" t="s">
        <v>9477</v>
      </c>
      <c r="Y3238" t="s">
        <v>14394</v>
      </c>
    </row>
    <row r="3239" spans="1:25">
      <c r="A3239" t="s">
        <v>14395</v>
      </c>
      <c r="B3239" t="s">
        <v>14396</v>
      </c>
      <c r="D3239" t="s">
        <v>9473</v>
      </c>
      <c r="E3239" t="s">
        <v>9474</v>
      </c>
      <c r="J3239" t="s">
        <v>90</v>
      </c>
      <c r="K3239" t="s">
        <v>91</v>
      </c>
      <c r="L3239">
        <v>6</v>
      </c>
      <c r="M3239" t="s">
        <v>14397</v>
      </c>
      <c r="N3239" t="s">
        <v>47</v>
      </c>
      <c r="O3239" t="s">
        <v>9477</v>
      </c>
      <c r="P3239" t="s">
        <v>9477</v>
      </c>
      <c r="Y3239" t="s">
        <v>14398</v>
      </c>
    </row>
    <row r="3240" spans="1:25">
      <c r="A3240" t="s">
        <v>14399</v>
      </c>
      <c r="B3240" t="s">
        <v>14400</v>
      </c>
      <c r="D3240" t="s">
        <v>9473</v>
      </c>
      <c r="E3240" t="s">
        <v>9474</v>
      </c>
      <c r="J3240" t="s">
        <v>90</v>
      </c>
      <c r="K3240" t="s">
        <v>91</v>
      </c>
      <c r="L3240">
        <v>6</v>
      </c>
      <c r="M3240" t="s">
        <v>14401</v>
      </c>
      <c r="N3240" t="s">
        <v>47</v>
      </c>
      <c r="O3240" t="s">
        <v>9477</v>
      </c>
      <c r="P3240" t="s">
        <v>9477</v>
      </c>
      <c r="Y3240" t="s">
        <v>14402</v>
      </c>
    </row>
    <row r="3241" spans="1:25">
      <c r="A3241" t="s">
        <v>14403</v>
      </c>
      <c r="B3241" t="s">
        <v>14404</v>
      </c>
      <c r="D3241" t="s">
        <v>9473</v>
      </c>
      <c r="E3241" t="s">
        <v>9474</v>
      </c>
      <c r="H3241" t="s">
        <v>14405</v>
      </c>
      <c r="J3241" t="s">
        <v>90</v>
      </c>
      <c r="K3241" t="s">
        <v>91</v>
      </c>
      <c r="L3241">
        <v>6</v>
      </c>
      <c r="M3241" t="s">
        <v>14406</v>
      </c>
      <c r="N3241" t="s">
        <v>47</v>
      </c>
      <c r="O3241" t="s">
        <v>9477</v>
      </c>
      <c r="P3241" t="s">
        <v>9477</v>
      </c>
      <c r="Y3241" t="s">
        <v>14405</v>
      </c>
    </row>
    <row r="3242" spans="1:25">
      <c r="A3242" t="s">
        <v>14407</v>
      </c>
      <c r="B3242" t="s">
        <v>14408</v>
      </c>
      <c r="D3242" t="s">
        <v>9473</v>
      </c>
      <c r="E3242" t="s">
        <v>9474</v>
      </c>
      <c r="J3242" t="s">
        <v>1827</v>
      </c>
      <c r="K3242" t="s">
        <v>1828</v>
      </c>
      <c r="L3242">
        <v>6</v>
      </c>
      <c r="M3242" t="s">
        <v>14409</v>
      </c>
      <c r="N3242" t="s">
        <v>47</v>
      </c>
      <c r="O3242" t="s">
        <v>9477</v>
      </c>
      <c r="P3242" t="s">
        <v>9477</v>
      </c>
      <c r="Y3242" t="s">
        <v>14410</v>
      </c>
    </row>
    <row r="3243" spans="1:25">
      <c r="A3243" t="s">
        <v>14411</v>
      </c>
      <c r="B3243" t="s">
        <v>14412</v>
      </c>
      <c r="D3243" t="s">
        <v>9473</v>
      </c>
      <c r="E3243" t="s">
        <v>9474</v>
      </c>
      <c r="J3243" t="s">
        <v>90</v>
      </c>
      <c r="K3243" t="s">
        <v>91</v>
      </c>
      <c r="L3243">
        <v>6</v>
      </c>
      <c r="M3243" t="s">
        <v>14409</v>
      </c>
      <c r="N3243" t="s">
        <v>47</v>
      </c>
      <c r="O3243" t="s">
        <v>9477</v>
      </c>
      <c r="P3243" t="s">
        <v>9477</v>
      </c>
      <c r="Y3243" t="s">
        <v>14413</v>
      </c>
    </row>
    <row r="3244" spans="1:25">
      <c r="A3244" t="s">
        <v>14414</v>
      </c>
      <c r="B3244" t="s">
        <v>14415</v>
      </c>
      <c r="D3244" t="s">
        <v>9473</v>
      </c>
      <c r="E3244" t="s">
        <v>9474</v>
      </c>
      <c r="H3244" t="s">
        <v>14416</v>
      </c>
      <c r="J3244" t="s">
        <v>234</v>
      </c>
      <c r="K3244" t="s">
        <v>235</v>
      </c>
      <c r="L3244">
        <v>6</v>
      </c>
      <c r="M3244" t="s">
        <v>14417</v>
      </c>
      <c r="N3244" t="s">
        <v>47</v>
      </c>
      <c r="O3244" t="s">
        <v>9477</v>
      </c>
      <c r="P3244" t="s">
        <v>9477</v>
      </c>
      <c r="Y3244" t="s">
        <v>14416</v>
      </c>
    </row>
    <row r="3245" spans="1:25">
      <c r="A3245" t="s">
        <v>14418</v>
      </c>
      <c r="B3245" t="s">
        <v>14419</v>
      </c>
      <c r="D3245" t="s">
        <v>9473</v>
      </c>
      <c r="E3245" t="s">
        <v>9474</v>
      </c>
      <c r="J3245" t="s">
        <v>78</v>
      </c>
      <c r="K3245" t="s">
        <v>79</v>
      </c>
      <c r="L3245">
        <v>6</v>
      </c>
      <c r="M3245" t="s">
        <v>14420</v>
      </c>
      <c r="N3245" t="s">
        <v>47</v>
      </c>
      <c r="O3245" t="s">
        <v>9477</v>
      </c>
      <c r="P3245" t="s">
        <v>9477</v>
      </c>
      <c r="Y3245" t="s">
        <v>14421</v>
      </c>
    </row>
    <row r="3246" spans="1:25">
      <c r="A3246" t="s">
        <v>14422</v>
      </c>
      <c r="B3246" t="s">
        <v>14423</v>
      </c>
      <c r="D3246" t="s">
        <v>9473</v>
      </c>
      <c r="E3246" t="s">
        <v>9474</v>
      </c>
      <c r="J3246" t="s">
        <v>54</v>
      </c>
      <c r="K3246" t="s">
        <v>55</v>
      </c>
      <c r="L3246">
        <v>6</v>
      </c>
      <c r="M3246" t="s">
        <v>14420</v>
      </c>
      <c r="N3246" t="s">
        <v>47</v>
      </c>
      <c r="O3246" t="s">
        <v>9477</v>
      </c>
      <c r="P3246" t="s">
        <v>9477</v>
      </c>
      <c r="Y3246" t="s">
        <v>14424</v>
      </c>
    </row>
    <row r="3247" spans="1:25">
      <c r="A3247" t="s">
        <v>14425</v>
      </c>
      <c r="B3247" t="s">
        <v>14426</v>
      </c>
      <c r="D3247" t="s">
        <v>9473</v>
      </c>
      <c r="E3247" t="s">
        <v>9474</v>
      </c>
      <c r="J3247" t="s">
        <v>78</v>
      </c>
      <c r="K3247" t="s">
        <v>79</v>
      </c>
      <c r="L3247">
        <v>6</v>
      </c>
      <c r="M3247" t="s">
        <v>14427</v>
      </c>
      <c r="N3247" t="s">
        <v>47</v>
      </c>
      <c r="O3247" t="s">
        <v>9477</v>
      </c>
      <c r="P3247" t="s">
        <v>9477</v>
      </c>
      <c r="Y3247" t="s">
        <v>14428</v>
      </c>
    </row>
    <row r="3248" spans="1:25">
      <c r="A3248" t="s">
        <v>14429</v>
      </c>
      <c r="B3248" t="s">
        <v>14430</v>
      </c>
      <c r="D3248" t="s">
        <v>9473</v>
      </c>
      <c r="E3248" t="s">
        <v>9474</v>
      </c>
      <c r="J3248" t="s">
        <v>78</v>
      </c>
      <c r="K3248" t="s">
        <v>79</v>
      </c>
      <c r="L3248">
        <v>6</v>
      </c>
      <c r="M3248" t="s">
        <v>14431</v>
      </c>
      <c r="N3248" t="s">
        <v>47</v>
      </c>
      <c r="O3248" t="s">
        <v>9477</v>
      </c>
      <c r="P3248" t="s">
        <v>9477</v>
      </c>
      <c r="Y3248" t="s">
        <v>14432</v>
      </c>
    </row>
    <row r="3249" spans="1:25">
      <c r="A3249" t="s">
        <v>14433</v>
      </c>
      <c r="B3249" t="s">
        <v>14434</v>
      </c>
      <c r="D3249" t="s">
        <v>9473</v>
      </c>
      <c r="E3249" t="s">
        <v>9474</v>
      </c>
      <c r="J3249" t="s">
        <v>90</v>
      </c>
      <c r="K3249" t="s">
        <v>91</v>
      </c>
      <c r="L3249">
        <v>6</v>
      </c>
      <c r="M3249" t="s">
        <v>14435</v>
      </c>
      <c r="N3249" t="s">
        <v>47</v>
      </c>
      <c r="O3249" t="s">
        <v>9477</v>
      </c>
      <c r="P3249" t="s">
        <v>9477</v>
      </c>
      <c r="Y3249" t="s">
        <v>14436</v>
      </c>
    </row>
    <row r="3250" spans="1:25">
      <c r="A3250" t="s">
        <v>14437</v>
      </c>
      <c r="B3250" t="s">
        <v>14438</v>
      </c>
      <c r="D3250" t="s">
        <v>9473</v>
      </c>
      <c r="E3250" t="s">
        <v>9474</v>
      </c>
      <c r="J3250" t="s">
        <v>133</v>
      </c>
      <c r="K3250" t="s">
        <v>134</v>
      </c>
      <c r="L3250">
        <v>6</v>
      </c>
      <c r="M3250" t="s">
        <v>14435</v>
      </c>
      <c r="N3250" t="s">
        <v>135</v>
      </c>
      <c r="O3250" t="s">
        <v>9477</v>
      </c>
      <c r="P3250" t="s">
        <v>9477</v>
      </c>
      <c r="Y3250" t="s">
        <v>14439</v>
      </c>
    </row>
    <row r="3251" spans="1:25">
      <c r="A3251" t="s">
        <v>14440</v>
      </c>
      <c r="B3251" t="s">
        <v>14441</v>
      </c>
      <c r="D3251" t="s">
        <v>9473</v>
      </c>
      <c r="E3251" t="s">
        <v>9474</v>
      </c>
      <c r="H3251" t="s">
        <v>14442</v>
      </c>
      <c r="J3251" t="s">
        <v>78</v>
      </c>
      <c r="K3251" t="s">
        <v>79</v>
      </c>
      <c r="L3251">
        <v>6</v>
      </c>
      <c r="M3251" t="s">
        <v>14435</v>
      </c>
      <c r="N3251" t="s">
        <v>47</v>
      </c>
      <c r="O3251" t="s">
        <v>9477</v>
      </c>
      <c r="P3251" t="s">
        <v>9477</v>
      </c>
      <c r="Y3251" t="s">
        <v>14442</v>
      </c>
    </row>
    <row r="3252" spans="1:25">
      <c r="A3252" t="s">
        <v>14443</v>
      </c>
      <c r="B3252" t="s">
        <v>14444</v>
      </c>
      <c r="D3252" t="s">
        <v>9473</v>
      </c>
      <c r="E3252" t="s">
        <v>9474</v>
      </c>
      <c r="J3252" t="s">
        <v>44</v>
      </c>
      <c r="K3252" t="s">
        <v>45</v>
      </c>
      <c r="L3252">
        <v>6</v>
      </c>
      <c r="M3252" t="s">
        <v>14445</v>
      </c>
      <c r="N3252" t="s">
        <v>47</v>
      </c>
      <c r="O3252" t="s">
        <v>9477</v>
      </c>
      <c r="P3252" t="s">
        <v>9477</v>
      </c>
      <c r="Y3252" t="s">
        <v>14446</v>
      </c>
    </row>
    <row r="3253" spans="1:25">
      <c r="A3253" t="s">
        <v>14447</v>
      </c>
      <c r="B3253" t="s">
        <v>14448</v>
      </c>
      <c r="D3253" t="s">
        <v>9473</v>
      </c>
      <c r="E3253" t="s">
        <v>9474</v>
      </c>
      <c r="H3253" t="s">
        <v>14449</v>
      </c>
      <c r="J3253" t="s">
        <v>90</v>
      </c>
      <c r="K3253" t="s">
        <v>91</v>
      </c>
      <c r="L3253">
        <v>6</v>
      </c>
      <c r="M3253" t="s">
        <v>14445</v>
      </c>
      <c r="N3253" t="s">
        <v>47</v>
      </c>
      <c r="O3253" t="s">
        <v>9477</v>
      </c>
      <c r="P3253" t="s">
        <v>9477</v>
      </c>
      <c r="Y3253" t="s">
        <v>14449</v>
      </c>
    </row>
    <row r="3254" spans="1:25">
      <c r="A3254" t="s">
        <v>14450</v>
      </c>
      <c r="B3254" t="s">
        <v>14451</v>
      </c>
      <c r="D3254" t="s">
        <v>9473</v>
      </c>
      <c r="E3254" t="s">
        <v>9474</v>
      </c>
      <c r="J3254" t="s">
        <v>54</v>
      </c>
      <c r="K3254" t="s">
        <v>55</v>
      </c>
      <c r="L3254">
        <v>6</v>
      </c>
      <c r="M3254" t="s">
        <v>14445</v>
      </c>
      <c r="N3254" t="s">
        <v>47</v>
      </c>
      <c r="O3254" t="s">
        <v>9477</v>
      </c>
      <c r="P3254" t="s">
        <v>9477</v>
      </c>
      <c r="Y3254" t="s">
        <v>14452</v>
      </c>
    </row>
    <row r="3255" spans="1:25">
      <c r="A3255" t="s">
        <v>14453</v>
      </c>
      <c r="B3255" t="s">
        <v>14454</v>
      </c>
      <c r="D3255" t="s">
        <v>9473</v>
      </c>
      <c r="E3255" t="s">
        <v>9474</v>
      </c>
      <c r="J3255" t="s">
        <v>90</v>
      </c>
      <c r="K3255" t="s">
        <v>91</v>
      </c>
      <c r="L3255">
        <v>6</v>
      </c>
      <c r="M3255" t="s">
        <v>14445</v>
      </c>
      <c r="N3255" t="s">
        <v>47</v>
      </c>
      <c r="O3255" t="s">
        <v>9477</v>
      </c>
      <c r="P3255" t="s">
        <v>9477</v>
      </c>
      <c r="Y3255" t="s">
        <v>14455</v>
      </c>
    </row>
    <row r="3256" spans="1:25">
      <c r="A3256" t="s">
        <v>14456</v>
      </c>
      <c r="B3256" t="s">
        <v>14457</v>
      </c>
      <c r="D3256" t="s">
        <v>9473</v>
      </c>
      <c r="E3256" t="s">
        <v>9474</v>
      </c>
      <c r="H3256" t="s">
        <v>14458</v>
      </c>
      <c r="J3256" t="s">
        <v>133</v>
      </c>
      <c r="K3256" t="s">
        <v>134</v>
      </c>
      <c r="L3256">
        <v>6</v>
      </c>
      <c r="M3256" t="s">
        <v>14459</v>
      </c>
      <c r="N3256" t="s">
        <v>135</v>
      </c>
      <c r="O3256" t="s">
        <v>9477</v>
      </c>
      <c r="P3256" t="s">
        <v>9477</v>
      </c>
      <c r="Y3256" t="s">
        <v>14458</v>
      </c>
    </row>
    <row r="3257" spans="1:25">
      <c r="A3257" t="s">
        <v>14460</v>
      </c>
      <c r="B3257" t="s">
        <v>14461</v>
      </c>
      <c r="D3257" t="s">
        <v>9473</v>
      </c>
      <c r="E3257" t="s">
        <v>9474</v>
      </c>
      <c r="H3257" t="s">
        <v>14462</v>
      </c>
      <c r="J3257" t="s">
        <v>90</v>
      </c>
      <c r="K3257" t="s">
        <v>91</v>
      </c>
      <c r="L3257">
        <v>6</v>
      </c>
      <c r="M3257" t="s">
        <v>14463</v>
      </c>
      <c r="N3257" t="s">
        <v>47</v>
      </c>
      <c r="O3257" t="s">
        <v>9477</v>
      </c>
      <c r="P3257" t="s">
        <v>9477</v>
      </c>
      <c r="Y3257" t="s">
        <v>14462</v>
      </c>
    </row>
    <row r="3258" spans="1:25">
      <c r="A3258" t="s">
        <v>14464</v>
      </c>
      <c r="B3258" t="s">
        <v>14465</v>
      </c>
      <c r="D3258" t="s">
        <v>9473</v>
      </c>
      <c r="E3258" t="s">
        <v>9474</v>
      </c>
      <c r="J3258" t="s">
        <v>133</v>
      </c>
      <c r="K3258" t="s">
        <v>134</v>
      </c>
      <c r="L3258">
        <v>6</v>
      </c>
      <c r="M3258" t="s">
        <v>14463</v>
      </c>
      <c r="N3258" t="s">
        <v>135</v>
      </c>
      <c r="O3258" t="s">
        <v>9477</v>
      </c>
      <c r="P3258" t="s">
        <v>9477</v>
      </c>
      <c r="Y3258" t="s">
        <v>14466</v>
      </c>
    </row>
    <row r="3259" spans="1:25">
      <c r="A3259" t="s">
        <v>14467</v>
      </c>
      <c r="B3259" t="s">
        <v>14468</v>
      </c>
      <c r="D3259" t="s">
        <v>9473</v>
      </c>
      <c r="E3259" t="s">
        <v>9474</v>
      </c>
      <c r="J3259" t="s">
        <v>78</v>
      </c>
      <c r="K3259" t="s">
        <v>79</v>
      </c>
      <c r="L3259">
        <v>6</v>
      </c>
      <c r="M3259" t="s">
        <v>14463</v>
      </c>
      <c r="N3259" t="s">
        <v>47</v>
      </c>
      <c r="O3259" t="s">
        <v>9477</v>
      </c>
      <c r="P3259" t="s">
        <v>9477</v>
      </c>
      <c r="Y3259" t="s">
        <v>14469</v>
      </c>
    </row>
    <row r="3260" spans="1:25">
      <c r="A3260" t="s">
        <v>14470</v>
      </c>
      <c r="B3260" t="s">
        <v>14471</v>
      </c>
      <c r="D3260" t="s">
        <v>9473</v>
      </c>
      <c r="E3260" t="s">
        <v>9474</v>
      </c>
      <c r="J3260" t="s">
        <v>90</v>
      </c>
      <c r="K3260" t="s">
        <v>91</v>
      </c>
      <c r="L3260">
        <v>6</v>
      </c>
      <c r="M3260" t="s">
        <v>14463</v>
      </c>
      <c r="N3260" t="s">
        <v>47</v>
      </c>
      <c r="O3260" t="s">
        <v>9477</v>
      </c>
      <c r="P3260" t="s">
        <v>9477</v>
      </c>
      <c r="Y3260" t="s">
        <v>14472</v>
      </c>
    </row>
    <row r="3261" spans="1:25">
      <c r="A3261" t="s">
        <v>14473</v>
      </c>
      <c r="B3261" t="s">
        <v>14474</v>
      </c>
      <c r="D3261" t="s">
        <v>9473</v>
      </c>
      <c r="E3261" t="s">
        <v>9474</v>
      </c>
      <c r="H3261" t="s">
        <v>14475</v>
      </c>
      <c r="J3261" t="s">
        <v>78</v>
      </c>
      <c r="K3261" t="s">
        <v>79</v>
      </c>
      <c r="L3261">
        <v>6</v>
      </c>
      <c r="M3261" t="s">
        <v>14476</v>
      </c>
      <c r="N3261" t="s">
        <v>47</v>
      </c>
      <c r="O3261" t="s">
        <v>9477</v>
      </c>
      <c r="P3261" t="s">
        <v>9477</v>
      </c>
      <c r="Y3261" t="s">
        <v>14475</v>
      </c>
    </row>
    <row r="3262" spans="1:25">
      <c r="A3262" t="s">
        <v>14477</v>
      </c>
      <c r="B3262" t="s">
        <v>14478</v>
      </c>
      <c r="D3262" t="s">
        <v>9473</v>
      </c>
      <c r="E3262" t="s">
        <v>9474</v>
      </c>
      <c r="H3262" t="s">
        <v>14479</v>
      </c>
      <c r="J3262" t="s">
        <v>133</v>
      </c>
      <c r="K3262" t="s">
        <v>134</v>
      </c>
      <c r="L3262">
        <v>6</v>
      </c>
      <c r="M3262" t="s">
        <v>14480</v>
      </c>
      <c r="N3262" t="s">
        <v>135</v>
      </c>
      <c r="O3262" t="s">
        <v>9477</v>
      </c>
      <c r="P3262" t="s">
        <v>9477</v>
      </c>
      <c r="Y3262" t="s">
        <v>14479</v>
      </c>
    </row>
    <row r="3263" spans="1:25">
      <c r="A3263" t="s">
        <v>14481</v>
      </c>
      <c r="B3263" t="s">
        <v>14482</v>
      </c>
      <c r="D3263" t="s">
        <v>9473</v>
      </c>
      <c r="E3263" t="s">
        <v>9474</v>
      </c>
      <c r="J3263" t="s">
        <v>44</v>
      </c>
      <c r="K3263" t="s">
        <v>45</v>
      </c>
      <c r="L3263">
        <v>6</v>
      </c>
      <c r="M3263" t="s">
        <v>14483</v>
      </c>
      <c r="N3263" t="s">
        <v>47</v>
      </c>
      <c r="O3263" t="s">
        <v>9477</v>
      </c>
      <c r="P3263" t="s">
        <v>9477</v>
      </c>
      <c r="Y3263" t="s">
        <v>14484</v>
      </c>
    </row>
    <row r="3264" spans="1:25">
      <c r="A3264" t="s">
        <v>14485</v>
      </c>
      <c r="B3264" t="s">
        <v>14486</v>
      </c>
      <c r="D3264" t="s">
        <v>9473</v>
      </c>
      <c r="E3264" t="s">
        <v>9474</v>
      </c>
      <c r="J3264" t="s">
        <v>90</v>
      </c>
      <c r="K3264" t="s">
        <v>91</v>
      </c>
      <c r="L3264">
        <v>6</v>
      </c>
      <c r="M3264" t="s">
        <v>14483</v>
      </c>
      <c r="N3264" t="s">
        <v>47</v>
      </c>
      <c r="O3264" t="s">
        <v>9477</v>
      </c>
      <c r="P3264" t="s">
        <v>9477</v>
      </c>
      <c r="Y3264" t="s">
        <v>14487</v>
      </c>
    </row>
    <row r="3265" spans="1:25">
      <c r="A3265" t="s">
        <v>14488</v>
      </c>
      <c r="B3265" t="s">
        <v>14489</v>
      </c>
      <c r="D3265" t="s">
        <v>9473</v>
      </c>
      <c r="E3265" t="s">
        <v>9474</v>
      </c>
      <c r="J3265" t="s">
        <v>90</v>
      </c>
      <c r="K3265" t="s">
        <v>91</v>
      </c>
      <c r="L3265">
        <v>6</v>
      </c>
      <c r="M3265" t="s">
        <v>14490</v>
      </c>
      <c r="N3265" t="s">
        <v>47</v>
      </c>
      <c r="O3265" t="s">
        <v>9477</v>
      </c>
      <c r="P3265" t="s">
        <v>9477</v>
      </c>
      <c r="Y3265" t="s">
        <v>14491</v>
      </c>
    </row>
    <row r="3266" spans="1:25">
      <c r="A3266" t="s">
        <v>14492</v>
      </c>
      <c r="B3266" t="s">
        <v>14493</v>
      </c>
      <c r="D3266" t="s">
        <v>9473</v>
      </c>
      <c r="E3266" t="s">
        <v>9474</v>
      </c>
      <c r="J3266" t="s">
        <v>54</v>
      </c>
      <c r="K3266" t="s">
        <v>55</v>
      </c>
      <c r="L3266">
        <v>6</v>
      </c>
      <c r="M3266" t="s">
        <v>14490</v>
      </c>
      <c r="N3266" t="s">
        <v>47</v>
      </c>
      <c r="O3266" t="s">
        <v>9477</v>
      </c>
      <c r="P3266" t="s">
        <v>9477</v>
      </c>
      <c r="Y3266" t="s">
        <v>14494</v>
      </c>
    </row>
    <row r="3267" spans="1:25">
      <c r="A3267" t="s">
        <v>14495</v>
      </c>
      <c r="B3267" t="s">
        <v>14496</v>
      </c>
      <c r="D3267" t="s">
        <v>9473</v>
      </c>
      <c r="E3267" t="s">
        <v>9474</v>
      </c>
      <c r="J3267" t="s">
        <v>54</v>
      </c>
      <c r="K3267" t="s">
        <v>55</v>
      </c>
      <c r="L3267">
        <v>6</v>
      </c>
      <c r="M3267" t="s">
        <v>14497</v>
      </c>
      <c r="N3267" t="s">
        <v>47</v>
      </c>
      <c r="O3267" t="s">
        <v>9477</v>
      </c>
      <c r="P3267" t="s">
        <v>9477</v>
      </c>
      <c r="Y3267" t="s">
        <v>14498</v>
      </c>
    </row>
    <row r="3268" spans="1:25">
      <c r="A3268" t="s">
        <v>14499</v>
      </c>
      <c r="B3268" t="s">
        <v>14500</v>
      </c>
      <c r="D3268" t="s">
        <v>9473</v>
      </c>
      <c r="E3268" t="s">
        <v>9474</v>
      </c>
      <c r="J3268" t="s">
        <v>371</v>
      </c>
      <c r="K3268" t="s">
        <v>372</v>
      </c>
      <c r="L3268">
        <v>6</v>
      </c>
      <c r="M3268" t="s">
        <v>14501</v>
      </c>
      <c r="N3268" t="s">
        <v>47</v>
      </c>
      <c r="O3268" t="s">
        <v>9477</v>
      </c>
      <c r="P3268" t="s">
        <v>9477</v>
      </c>
      <c r="Y3268" t="s">
        <v>14502</v>
      </c>
    </row>
    <row r="3269" spans="1:25">
      <c r="A3269" t="s">
        <v>14503</v>
      </c>
      <c r="B3269" t="s">
        <v>14504</v>
      </c>
      <c r="D3269" t="s">
        <v>9473</v>
      </c>
      <c r="E3269" t="s">
        <v>9474</v>
      </c>
      <c r="J3269" t="s">
        <v>371</v>
      </c>
      <c r="K3269" t="s">
        <v>372</v>
      </c>
      <c r="L3269">
        <v>6</v>
      </c>
      <c r="M3269" t="s">
        <v>14501</v>
      </c>
      <c r="N3269" t="s">
        <v>47</v>
      </c>
      <c r="O3269" t="s">
        <v>9477</v>
      </c>
      <c r="P3269" t="s">
        <v>9477</v>
      </c>
      <c r="Y3269" t="s">
        <v>14505</v>
      </c>
    </row>
    <row r="3270" spans="1:25">
      <c r="A3270" t="s">
        <v>14506</v>
      </c>
      <c r="B3270" t="s">
        <v>14507</v>
      </c>
      <c r="D3270" t="s">
        <v>9473</v>
      </c>
      <c r="E3270" t="s">
        <v>9474</v>
      </c>
      <c r="H3270" t="s">
        <v>14508</v>
      </c>
      <c r="J3270" t="s">
        <v>90</v>
      </c>
      <c r="K3270" t="s">
        <v>91</v>
      </c>
      <c r="L3270">
        <v>6</v>
      </c>
      <c r="M3270" t="s">
        <v>14509</v>
      </c>
      <c r="N3270" t="s">
        <v>47</v>
      </c>
      <c r="O3270" t="s">
        <v>9477</v>
      </c>
      <c r="P3270" t="s">
        <v>9477</v>
      </c>
      <c r="Y3270" t="s">
        <v>14508</v>
      </c>
    </row>
    <row r="3271" spans="1:25">
      <c r="A3271" t="s">
        <v>14510</v>
      </c>
      <c r="B3271" t="s">
        <v>14511</v>
      </c>
      <c r="D3271" t="s">
        <v>9473</v>
      </c>
      <c r="E3271" t="s">
        <v>9474</v>
      </c>
      <c r="J3271" t="s">
        <v>54</v>
      </c>
      <c r="K3271" t="s">
        <v>55</v>
      </c>
      <c r="L3271">
        <v>6</v>
      </c>
      <c r="M3271" t="s">
        <v>14509</v>
      </c>
      <c r="N3271" t="s">
        <v>47</v>
      </c>
      <c r="O3271" t="s">
        <v>9477</v>
      </c>
      <c r="P3271" t="s">
        <v>9477</v>
      </c>
      <c r="Y3271" t="s">
        <v>14512</v>
      </c>
    </row>
    <row r="3272" spans="1:25">
      <c r="A3272" t="s">
        <v>14513</v>
      </c>
      <c r="B3272" t="s">
        <v>14514</v>
      </c>
      <c r="D3272" t="s">
        <v>9473</v>
      </c>
      <c r="E3272" t="s">
        <v>9474</v>
      </c>
      <c r="J3272" t="s">
        <v>90</v>
      </c>
      <c r="K3272" t="s">
        <v>91</v>
      </c>
      <c r="L3272">
        <v>6</v>
      </c>
      <c r="M3272" t="s">
        <v>14509</v>
      </c>
      <c r="N3272" t="s">
        <v>47</v>
      </c>
      <c r="O3272" t="s">
        <v>9477</v>
      </c>
      <c r="P3272" t="s">
        <v>9477</v>
      </c>
      <c r="Y3272" t="s">
        <v>14515</v>
      </c>
    </row>
    <row r="3273" spans="1:25">
      <c r="A3273" t="s">
        <v>14516</v>
      </c>
      <c r="B3273" t="s">
        <v>14517</v>
      </c>
      <c r="D3273" t="s">
        <v>9473</v>
      </c>
      <c r="E3273" t="s">
        <v>9474</v>
      </c>
      <c r="J3273" t="s">
        <v>541</v>
      </c>
      <c r="K3273" t="s">
        <v>542</v>
      </c>
      <c r="L3273">
        <v>6</v>
      </c>
      <c r="M3273" t="s">
        <v>14518</v>
      </c>
      <c r="N3273" t="s">
        <v>290</v>
      </c>
      <c r="O3273" t="s">
        <v>9477</v>
      </c>
      <c r="P3273" t="s">
        <v>9477</v>
      </c>
      <c r="Y3273" t="s">
        <v>14519</v>
      </c>
    </row>
    <row r="3274" spans="1:25">
      <c r="A3274" t="s">
        <v>14520</v>
      </c>
      <c r="B3274" t="s">
        <v>14521</v>
      </c>
      <c r="D3274" t="s">
        <v>9473</v>
      </c>
      <c r="E3274" t="s">
        <v>9474</v>
      </c>
      <c r="H3274" t="s">
        <v>14522</v>
      </c>
      <c r="J3274" t="s">
        <v>234</v>
      </c>
      <c r="K3274" t="s">
        <v>235</v>
      </c>
      <c r="L3274">
        <v>6</v>
      </c>
      <c r="M3274" t="s">
        <v>14523</v>
      </c>
      <c r="N3274" t="s">
        <v>47</v>
      </c>
      <c r="O3274" t="s">
        <v>9477</v>
      </c>
      <c r="P3274" t="s">
        <v>9477</v>
      </c>
      <c r="Y3274" t="s">
        <v>14522</v>
      </c>
    </row>
    <row r="3275" spans="1:25">
      <c r="A3275" t="s">
        <v>14524</v>
      </c>
      <c r="B3275" t="s">
        <v>14525</v>
      </c>
      <c r="D3275" t="s">
        <v>9473</v>
      </c>
      <c r="E3275" t="s">
        <v>9474</v>
      </c>
      <c r="H3275" t="s">
        <v>14526</v>
      </c>
      <c r="J3275" t="s">
        <v>133</v>
      </c>
      <c r="K3275" t="s">
        <v>134</v>
      </c>
      <c r="L3275">
        <v>6</v>
      </c>
      <c r="M3275" t="s">
        <v>14527</v>
      </c>
      <c r="N3275" t="s">
        <v>135</v>
      </c>
      <c r="O3275" t="s">
        <v>9477</v>
      </c>
      <c r="P3275" t="s">
        <v>9477</v>
      </c>
      <c r="Y3275" t="s">
        <v>14526</v>
      </c>
    </row>
    <row r="3276" spans="1:25">
      <c r="A3276" t="s">
        <v>14528</v>
      </c>
      <c r="B3276" t="s">
        <v>14529</v>
      </c>
      <c r="D3276" t="s">
        <v>9473</v>
      </c>
      <c r="E3276" t="s">
        <v>9474</v>
      </c>
      <c r="J3276" t="s">
        <v>44</v>
      </c>
      <c r="K3276" t="s">
        <v>45</v>
      </c>
      <c r="L3276">
        <v>6</v>
      </c>
      <c r="M3276" t="s">
        <v>14530</v>
      </c>
      <c r="N3276" t="s">
        <v>47</v>
      </c>
      <c r="O3276" t="s">
        <v>9477</v>
      </c>
      <c r="P3276" t="s">
        <v>9477</v>
      </c>
      <c r="Y3276" t="s">
        <v>14531</v>
      </c>
    </row>
    <row r="3277" spans="1:25">
      <c r="A3277" t="s">
        <v>14532</v>
      </c>
      <c r="B3277" t="s">
        <v>14533</v>
      </c>
      <c r="D3277" t="s">
        <v>9473</v>
      </c>
      <c r="E3277" t="s">
        <v>9474</v>
      </c>
      <c r="J3277" t="s">
        <v>133</v>
      </c>
      <c r="K3277" t="s">
        <v>134</v>
      </c>
      <c r="L3277">
        <v>6</v>
      </c>
      <c r="M3277" t="s">
        <v>14534</v>
      </c>
      <c r="N3277" t="s">
        <v>290</v>
      </c>
      <c r="O3277" t="s">
        <v>9477</v>
      </c>
      <c r="P3277" t="s">
        <v>9477</v>
      </c>
      <c r="Y3277" t="s">
        <v>14535</v>
      </c>
    </row>
    <row r="3278" spans="1:25">
      <c r="A3278" t="s">
        <v>14536</v>
      </c>
      <c r="B3278" t="s">
        <v>14537</v>
      </c>
      <c r="D3278" t="s">
        <v>9473</v>
      </c>
      <c r="E3278" t="s">
        <v>9474</v>
      </c>
      <c r="J3278" t="s">
        <v>44</v>
      </c>
      <c r="K3278" t="s">
        <v>45</v>
      </c>
      <c r="L3278">
        <v>6</v>
      </c>
      <c r="M3278" t="s">
        <v>14534</v>
      </c>
      <c r="N3278" t="s">
        <v>47</v>
      </c>
      <c r="O3278" t="s">
        <v>9477</v>
      </c>
      <c r="P3278" t="s">
        <v>9477</v>
      </c>
      <c r="Y3278" t="s">
        <v>14538</v>
      </c>
    </row>
    <row r="3279" spans="1:25">
      <c r="A3279" t="s">
        <v>14539</v>
      </c>
      <c r="B3279" t="s">
        <v>14540</v>
      </c>
      <c r="D3279" t="s">
        <v>9473</v>
      </c>
      <c r="E3279" t="s">
        <v>9474</v>
      </c>
      <c r="J3279" t="s">
        <v>44</v>
      </c>
      <c r="K3279" t="s">
        <v>45</v>
      </c>
      <c r="L3279">
        <v>6</v>
      </c>
      <c r="M3279" t="s">
        <v>14541</v>
      </c>
      <c r="N3279" t="s">
        <v>47</v>
      </c>
      <c r="O3279" t="s">
        <v>9477</v>
      </c>
      <c r="P3279" t="s">
        <v>9477</v>
      </c>
      <c r="Y3279" t="s">
        <v>14542</v>
      </c>
    </row>
    <row r="3280" spans="1:25">
      <c r="A3280" t="s">
        <v>14543</v>
      </c>
      <c r="B3280" t="s">
        <v>14544</v>
      </c>
      <c r="D3280" t="s">
        <v>9473</v>
      </c>
      <c r="E3280" t="s">
        <v>9474</v>
      </c>
      <c r="J3280" t="s">
        <v>371</v>
      </c>
      <c r="K3280" t="s">
        <v>372</v>
      </c>
      <c r="L3280">
        <v>6</v>
      </c>
      <c r="M3280" t="s">
        <v>14545</v>
      </c>
      <c r="N3280" t="s">
        <v>47</v>
      </c>
      <c r="O3280" t="s">
        <v>9477</v>
      </c>
      <c r="P3280" t="s">
        <v>9477</v>
      </c>
      <c r="Y3280" t="s">
        <v>14546</v>
      </c>
    </row>
    <row r="3281" spans="1:25">
      <c r="A3281" t="s">
        <v>14547</v>
      </c>
      <c r="B3281" t="s">
        <v>14548</v>
      </c>
      <c r="D3281" t="s">
        <v>9473</v>
      </c>
      <c r="E3281" t="s">
        <v>9474</v>
      </c>
      <c r="J3281" t="s">
        <v>44</v>
      </c>
      <c r="K3281" t="s">
        <v>45</v>
      </c>
      <c r="L3281">
        <v>6</v>
      </c>
      <c r="M3281" t="s">
        <v>14549</v>
      </c>
      <c r="N3281" t="s">
        <v>47</v>
      </c>
      <c r="O3281" t="s">
        <v>9477</v>
      </c>
      <c r="P3281" t="s">
        <v>9477</v>
      </c>
      <c r="Y3281" t="s">
        <v>14550</v>
      </c>
    </row>
    <row r="3282" spans="1:25">
      <c r="A3282" t="s">
        <v>14551</v>
      </c>
      <c r="B3282" t="s">
        <v>14552</v>
      </c>
      <c r="D3282" t="s">
        <v>9473</v>
      </c>
      <c r="E3282" t="s">
        <v>9474</v>
      </c>
      <c r="J3282" t="s">
        <v>54</v>
      </c>
      <c r="K3282" t="s">
        <v>55</v>
      </c>
      <c r="L3282">
        <v>6</v>
      </c>
      <c r="M3282" t="s">
        <v>14553</v>
      </c>
      <c r="N3282" t="s">
        <v>47</v>
      </c>
      <c r="O3282" t="s">
        <v>9477</v>
      </c>
      <c r="P3282" t="s">
        <v>9477</v>
      </c>
      <c r="Y3282" t="s">
        <v>14554</v>
      </c>
    </row>
    <row r="3283" spans="1:25">
      <c r="A3283" t="s">
        <v>14555</v>
      </c>
      <c r="B3283" t="s">
        <v>14556</v>
      </c>
      <c r="D3283" t="s">
        <v>9473</v>
      </c>
      <c r="E3283" t="s">
        <v>9474</v>
      </c>
      <c r="J3283" t="s">
        <v>90</v>
      </c>
      <c r="K3283" t="s">
        <v>91</v>
      </c>
      <c r="L3283">
        <v>6</v>
      </c>
      <c r="M3283" t="s">
        <v>14553</v>
      </c>
      <c r="N3283" t="s">
        <v>47</v>
      </c>
      <c r="O3283" t="s">
        <v>9477</v>
      </c>
      <c r="P3283" t="s">
        <v>9477</v>
      </c>
      <c r="Y3283" t="s">
        <v>14557</v>
      </c>
    </row>
    <row r="3284" spans="1:25">
      <c r="A3284" t="s">
        <v>14558</v>
      </c>
      <c r="B3284" t="s">
        <v>14559</v>
      </c>
      <c r="D3284" t="s">
        <v>9473</v>
      </c>
      <c r="E3284" t="s">
        <v>9474</v>
      </c>
      <c r="J3284" t="s">
        <v>54</v>
      </c>
      <c r="K3284" t="s">
        <v>55</v>
      </c>
      <c r="L3284">
        <v>6</v>
      </c>
      <c r="M3284" t="s">
        <v>14560</v>
      </c>
      <c r="N3284" t="s">
        <v>47</v>
      </c>
      <c r="O3284" t="s">
        <v>9477</v>
      </c>
      <c r="P3284" t="s">
        <v>9477</v>
      </c>
      <c r="Y3284" t="s">
        <v>14561</v>
      </c>
    </row>
    <row r="3285" spans="1:25">
      <c r="A3285" t="s">
        <v>14562</v>
      </c>
      <c r="B3285" t="s">
        <v>14563</v>
      </c>
      <c r="D3285" t="s">
        <v>9473</v>
      </c>
      <c r="E3285" t="s">
        <v>9474</v>
      </c>
      <c r="J3285" t="s">
        <v>44</v>
      </c>
      <c r="K3285" t="s">
        <v>45</v>
      </c>
      <c r="L3285">
        <v>6</v>
      </c>
      <c r="M3285" t="s">
        <v>14564</v>
      </c>
      <c r="N3285" t="s">
        <v>47</v>
      </c>
      <c r="O3285" t="s">
        <v>9477</v>
      </c>
      <c r="P3285" t="s">
        <v>9477</v>
      </c>
      <c r="Y3285" t="s">
        <v>14565</v>
      </c>
    </row>
    <row r="3286" spans="1:25">
      <c r="A3286" t="s">
        <v>14566</v>
      </c>
      <c r="B3286" t="s">
        <v>14567</v>
      </c>
      <c r="D3286" t="s">
        <v>9473</v>
      </c>
      <c r="E3286" t="s">
        <v>9474</v>
      </c>
      <c r="J3286" t="s">
        <v>90</v>
      </c>
      <c r="K3286" t="s">
        <v>91</v>
      </c>
      <c r="L3286">
        <v>6</v>
      </c>
      <c r="M3286" t="s">
        <v>14568</v>
      </c>
      <c r="N3286" t="s">
        <v>47</v>
      </c>
      <c r="O3286" t="s">
        <v>9477</v>
      </c>
      <c r="P3286" t="s">
        <v>9477</v>
      </c>
      <c r="Y3286" t="s">
        <v>14569</v>
      </c>
    </row>
    <row r="3287" spans="1:25">
      <c r="A3287" t="s">
        <v>14570</v>
      </c>
      <c r="B3287" t="s">
        <v>14571</v>
      </c>
      <c r="D3287" t="s">
        <v>9473</v>
      </c>
      <c r="E3287" t="s">
        <v>9474</v>
      </c>
      <c r="J3287" t="s">
        <v>54</v>
      </c>
      <c r="K3287" t="s">
        <v>55</v>
      </c>
      <c r="L3287">
        <v>6</v>
      </c>
      <c r="M3287" t="s">
        <v>14572</v>
      </c>
      <c r="N3287" t="s">
        <v>47</v>
      </c>
      <c r="O3287" t="s">
        <v>9477</v>
      </c>
      <c r="P3287" t="s">
        <v>9477</v>
      </c>
      <c r="Y3287" t="s">
        <v>14573</v>
      </c>
    </row>
    <row r="3288" spans="1:25">
      <c r="A3288" t="s">
        <v>14574</v>
      </c>
      <c r="B3288" t="s">
        <v>14575</v>
      </c>
      <c r="D3288" t="s">
        <v>9473</v>
      </c>
      <c r="E3288" t="s">
        <v>9474</v>
      </c>
      <c r="J3288" t="s">
        <v>90</v>
      </c>
      <c r="K3288" t="s">
        <v>91</v>
      </c>
      <c r="L3288">
        <v>6</v>
      </c>
      <c r="M3288" t="s">
        <v>14576</v>
      </c>
      <c r="N3288" t="s">
        <v>47</v>
      </c>
      <c r="O3288" t="s">
        <v>9477</v>
      </c>
      <c r="P3288" t="s">
        <v>9477</v>
      </c>
      <c r="Y3288" t="s">
        <v>14577</v>
      </c>
    </row>
    <row r="3289" spans="1:25">
      <c r="A3289" t="s">
        <v>14578</v>
      </c>
      <c r="B3289" t="s">
        <v>14579</v>
      </c>
      <c r="D3289" t="s">
        <v>9473</v>
      </c>
      <c r="E3289" t="s">
        <v>9474</v>
      </c>
      <c r="J3289" t="s">
        <v>90</v>
      </c>
      <c r="K3289" t="s">
        <v>91</v>
      </c>
      <c r="L3289">
        <v>6</v>
      </c>
      <c r="M3289" t="s">
        <v>14580</v>
      </c>
      <c r="N3289" t="s">
        <v>47</v>
      </c>
      <c r="O3289" t="s">
        <v>9477</v>
      </c>
      <c r="P3289" t="s">
        <v>9477</v>
      </c>
      <c r="Y3289" t="s">
        <v>14581</v>
      </c>
    </row>
    <row r="3290" spans="1:25">
      <c r="A3290" t="s">
        <v>14582</v>
      </c>
      <c r="B3290" t="s">
        <v>14583</v>
      </c>
      <c r="D3290" t="s">
        <v>9473</v>
      </c>
      <c r="E3290" t="s">
        <v>9474</v>
      </c>
      <c r="J3290" t="s">
        <v>44</v>
      </c>
      <c r="K3290" t="s">
        <v>45</v>
      </c>
      <c r="L3290">
        <v>6</v>
      </c>
      <c r="M3290" t="s">
        <v>14580</v>
      </c>
      <c r="N3290" t="s">
        <v>47</v>
      </c>
      <c r="O3290" t="s">
        <v>9477</v>
      </c>
      <c r="P3290" t="s">
        <v>9477</v>
      </c>
      <c r="Y3290" t="s">
        <v>14584</v>
      </c>
    </row>
    <row r="3291" spans="1:25">
      <c r="A3291" t="s">
        <v>14585</v>
      </c>
      <c r="B3291" t="s">
        <v>14586</v>
      </c>
      <c r="D3291" t="s">
        <v>9473</v>
      </c>
      <c r="E3291" t="s">
        <v>9474</v>
      </c>
      <c r="J3291" t="s">
        <v>54</v>
      </c>
      <c r="K3291" t="s">
        <v>55</v>
      </c>
      <c r="L3291">
        <v>6</v>
      </c>
      <c r="M3291" t="s">
        <v>14587</v>
      </c>
      <c r="N3291" t="s">
        <v>47</v>
      </c>
      <c r="O3291" t="s">
        <v>9477</v>
      </c>
      <c r="P3291" t="s">
        <v>9477</v>
      </c>
      <c r="Y3291" t="s">
        <v>14588</v>
      </c>
    </row>
    <row r="3292" spans="1:25">
      <c r="A3292" t="s">
        <v>14589</v>
      </c>
      <c r="B3292" t="s">
        <v>14590</v>
      </c>
      <c r="D3292" t="s">
        <v>9473</v>
      </c>
      <c r="E3292" t="s">
        <v>9474</v>
      </c>
      <c r="J3292" t="s">
        <v>133</v>
      </c>
      <c r="K3292" t="s">
        <v>134</v>
      </c>
      <c r="L3292">
        <v>6</v>
      </c>
      <c r="M3292" t="s">
        <v>14591</v>
      </c>
      <c r="N3292" t="s">
        <v>290</v>
      </c>
      <c r="O3292" t="s">
        <v>9477</v>
      </c>
      <c r="P3292" t="s">
        <v>9477</v>
      </c>
      <c r="Y3292" t="s">
        <v>14592</v>
      </c>
    </row>
    <row r="3293" spans="1:25">
      <c r="A3293" t="s">
        <v>14593</v>
      </c>
      <c r="B3293" t="s">
        <v>14594</v>
      </c>
      <c r="D3293" t="s">
        <v>9473</v>
      </c>
      <c r="E3293" t="s">
        <v>9474</v>
      </c>
      <c r="J3293" t="s">
        <v>90</v>
      </c>
      <c r="K3293" t="s">
        <v>91</v>
      </c>
      <c r="L3293">
        <v>6</v>
      </c>
      <c r="M3293" t="s">
        <v>14591</v>
      </c>
      <c r="N3293" t="s">
        <v>47</v>
      </c>
      <c r="O3293" t="s">
        <v>9477</v>
      </c>
      <c r="P3293" t="s">
        <v>9477</v>
      </c>
      <c r="Y3293" t="s">
        <v>14595</v>
      </c>
    </row>
    <row r="3294" spans="1:25">
      <c r="A3294" t="s">
        <v>14596</v>
      </c>
      <c r="B3294" t="s">
        <v>14597</v>
      </c>
      <c r="D3294" t="s">
        <v>9473</v>
      </c>
      <c r="E3294" t="s">
        <v>9474</v>
      </c>
      <c r="J3294" t="s">
        <v>90</v>
      </c>
      <c r="K3294" t="s">
        <v>91</v>
      </c>
      <c r="L3294">
        <v>6</v>
      </c>
      <c r="M3294" t="s">
        <v>14598</v>
      </c>
      <c r="N3294" t="s">
        <v>47</v>
      </c>
      <c r="O3294" t="s">
        <v>9477</v>
      </c>
      <c r="P3294" t="s">
        <v>9477</v>
      </c>
      <c r="Y3294" t="s">
        <v>14599</v>
      </c>
    </row>
    <row r="3295" spans="1:25">
      <c r="A3295" t="s">
        <v>14600</v>
      </c>
      <c r="B3295" t="s">
        <v>14601</v>
      </c>
      <c r="D3295" t="s">
        <v>9473</v>
      </c>
      <c r="E3295" t="s">
        <v>9474</v>
      </c>
      <c r="H3295" t="s">
        <v>14602</v>
      </c>
      <c r="J3295" t="s">
        <v>90</v>
      </c>
      <c r="K3295" t="s">
        <v>91</v>
      </c>
      <c r="L3295">
        <v>6</v>
      </c>
      <c r="M3295" t="s">
        <v>14598</v>
      </c>
      <c r="N3295" t="s">
        <v>47</v>
      </c>
      <c r="O3295" t="s">
        <v>9477</v>
      </c>
      <c r="P3295" t="s">
        <v>9477</v>
      </c>
      <c r="Y3295" t="s">
        <v>14602</v>
      </c>
    </row>
    <row r="3296" spans="1:25">
      <c r="A3296" t="s">
        <v>14603</v>
      </c>
      <c r="B3296" t="s">
        <v>14604</v>
      </c>
      <c r="D3296" t="s">
        <v>9473</v>
      </c>
      <c r="E3296" t="s">
        <v>9474</v>
      </c>
      <c r="H3296" t="s">
        <v>14605</v>
      </c>
      <c r="J3296" t="s">
        <v>90</v>
      </c>
      <c r="K3296" t="s">
        <v>91</v>
      </c>
      <c r="L3296">
        <v>6</v>
      </c>
      <c r="M3296" t="s">
        <v>14598</v>
      </c>
      <c r="N3296" t="s">
        <v>47</v>
      </c>
      <c r="O3296" t="s">
        <v>9477</v>
      </c>
      <c r="P3296" t="s">
        <v>9477</v>
      </c>
      <c r="Y3296" t="s">
        <v>14605</v>
      </c>
    </row>
    <row r="3297" spans="1:25">
      <c r="A3297" t="s">
        <v>14606</v>
      </c>
      <c r="B3297" t="s">
        <v>14607</v>
      </c>
      <c r="D3297" t="s">
        <v>9473</v>
      </c>
      <c r="E3297" t="s">
        <v>9474</v>
      </c>
      <c r="J3297" t="s">
        <v>90</v>
      </c>
      <c r="K3297" t="s">
        <v>91</v>
      </c>
      <c r="L3297">
        <v>6</v>
      </c>
      <c r="M3297" t="s">
        <v>14598</v>
      </c>
      <c r="N3297" t="s">
        <v>47</v>
      </c>
      <c r="O3297" t="s">
        <v>9477</v>
      </c>
      <c r="P3297" t="s">
        <v>9477</v>
      </c>
      <c r="Y3297" t="s">
        <v>14608</v>
      </c>
    </row>
    <row r="3298" spans="1:25">
      <c r="A3298" t="s">
        <v>14609</v>
      </c>
      <c r="B3298" t="s">
        <v>14610</v>
      </c>
      <c r="D3298" t="s">
        <v>9473</v>
      </c>
      <c r="E3298" t="s">
        <v>9474</v>
      </c>
      <c r="J3298" t="s">
        <v>353</v>
      </c>
      <c r="K3298" t="s">
        <v>354</v>
      </c>
      <c r="L3298">
        <v>6</v>
      </c>
      <c r="M3298" t="s">
        <v>14598</v>
      </c>
      <c r="N3298" t="s">
        <v>135</v>
      </c>
      <c r="O3298" t="s">
        <v>9477</v>
      </c>
      <c r="P3298" t="s">
        <v>9477</v>
      </c>
      <c r="Y3298" t="s">
        <v>14611</v>
      </c>
    </row>
    <row r="3299" spans="1:25">
      <c r="A3299" t="s">
        <v>14612</v>
      </c>
      <c r="B3299" t="s">
        <v>14613</v>
      </c>
      <c r="D3299" t="s">
        <v>9473</v>
      </c>
      <c r="E3299" t="s">
        <v>9474</v>
      </c>
      <c r="H3299" t="s">
        <v>14614</v>
      </c>
      <c r="J3299" t="s">
        <v>133</v>
      </c>
      <c r="K3299" t="s">
        <v>134</v>
      </c>
      <c r="L3299">
        <v>6</v>
      </c>
      <c r="M3299" t="s">
        <v>14598</v>
      </c>
      <c r="N3299" t="s">
        <v>685</v>
      </c>
      <c r="O3299" t="s">
        <v>9477</v>
      </c>
      <c r="P3299" t="s">
        <v>9477</v>
      </c>
      <c r="Y3299" t="s">
        <v>14614</v>
      </c>
    </row>
    <row r="3300" spans="1:25">
      <c r="A3300" t="s">
        <v>14615</v>
      </c>
      <c r="B3300" t="s">
        <v>14616</v>
      </c>
      <c r="D3300" t="s">
        <v>9473</v>
      </c>
      <c r="E3300" t="s">
        <v>9474</v>
      </c>
      <c r="H3300" t="s">
        <v>14617</v>
      </c>
      <c r="J3300" t="s">
        <v>234</v>
      </c>
      <c r="K3300" t="s">
        <v>235</v>
      </c>
      <c r="L3300">
        <v>6</v>
      </c>
      <c r="M3300" t="s">
        <v>14618</v>
      </c>
      <c r="N3300" t="s">
        <v>47</v>
      </c>
      <c r="O3300" t="s">
        <v>9477</v>
      </c>
      <c r="P3300" t="s">
        <v>9477</v>
      </c>
      <c r="Y3300" t="s">
        <v>14617</v>
      </c>
    </row>
    <row r="3301" spans="1:25">
      <c r="A3301" t="s">
        <v>14619</v>
      </c>
      <c r="B3301" t="s">
        <v>14620</v>
      </c>
      <c r="D3301" t="s">
        <v>9473</v>
      </c>
      <c r="E3301" t="s">
        <v>9474</v>
      </c>
      <c r="J3301" t="s">
        <v>353</v>
      </c>
      <c r="K3301" t="s">
        <v>354</v>
      </c>
      <c r="L3301">
        <v>6</v>
      </c>
      <c r="M3301" t="s">
        <v>14621</v>
      </c>
      <c r="N3301" t="s">
        <v>135</v>
      </c>
      <c r="O3301" t="s">
        <v>9477</v>
      </c>
      <c r="P3301" t="s">
        <v>9477</v>
      </c>
      <c r="Y3301" t="s">
        <v>14622</v>
      </c>
    </row>
    <row r="3302" spans="1:25">
      <c r="A3302" t="s">
        <v>14623</v>
      </c>
      <c r="B3302" t="s">
        <v>14624</v>
      </c>
      <c r="D3302" t="s">
        <v>9473</v>
      </c>
      <c r="E3302" t="s">
        <v>9474</v>
      </c>
      <c r="J3302" t="s">
        <v>54</v>
      </c>
      <c r="K3302" t="s">
        <v>55</v>
      </c>
      <c r="L3302">
        <v>6</v>
      </c>
      <c r="M3302" t="s">
        <v>14625</v>
      </c>
      <c r="N3302" t="s">
        <v>47</v>
      </c>
      <c r="O3302" t="s">
        <v>9477</v>
      </c>
      <c r="P3302" t="s">
        <v>9477</v>
      </c>
      <c r="Y3302" t="s">
        <v>14626</v>
      </c>
    </row>
    <row r="3303" spans="1:25">
      <c r="A3303" t="s">
        <v>14627</v>
      </c>
      <c r="B3303" t="s">
        <v>14628</v>
      </c>
      <c r="D3303" t="s">
        <v>9473</v>
      </c>
      <c r="E3303" t="s">
        <v>9474</v>
      </c>
      <c r="H3303" t="s">
        <v>14629</v>
      </c>
      <c r="J3303" t="s">
        <v>78</v>
      </c>
      <c r="K3303" t="s">
        <v>79</v>
      </c>
      <c r="L3303">
        <v>6</v>
      </c>
      <c r="M3303" t="s">
        <v>14630</v>
      </c>
      <c r="N3303" t="s">
        <v>47</v>
      </c>
      <c r="O3303" t="s">
        <v>9477</v>
      </c>
      <c r="P3303" t="s">
        <v>9477</v>
      </c>
      <c r="Y3303" t="s">
        <v>14629</v>
      </c>
    </row>
    <row r="3304" spans="1:25">
      <c r="A3304" t="s">
        <v>14631</v>
      </c>
      <c r="B3304" t="s">
        <v>14632</v>
      </c>
      <c r="D3304" t="s">
        <v>9473</v>
      </c>
      <c r="E3304" t="s">
        <v>9474</v>
      </c>
      <c r="J3304" t="s">
        <v>90</v>
      </c>
      <c r="K3304" t="s">
        <v>91</v>
      </c>
      <c r="L3304">
        <v>6</v>
      </c>
      <c r="M3304" t="s">
        <v>14630</v>
      </c>
      <c r="N3304" t="s">
        <v>47</v>
      </c>
      <c r="O3304" t="s">
        <v>9477</v>
      </c>
      <c r="P3304" t="s">
        <v>9477</v>
      </c>
      <c r="Y3304" t="s">
        <v>14633</v>
      </c>
    </row>
    <row r="3305" spans="1:25">
      <c r="A3305" t="s">
        <v>14634</v>
      </c>
      <c r="B3305" t="s">
        <v>14635</v>
      </c>
      <c r="D3305" t="s">
        <v>9473</v>
      </c>
      <c r="E3305" t="s">
        <v>9474</v>
      </c>
      <c r="J3305" t="s">
        <v>78</v>
      </c>
      <c r="K3305" t="s">
        <v>79</v>
      </c>
      <c r="L3305">
        <v>6</v>
      </c>
      <c r="M3305" t="s">
        <v>14630</v>
      </c>
      <c r="N3305" t="s">
        <v>47</v>
      </c>
      <c r="O3305" t="s">
        <v>9477</v>
      </c>
      <c r="P3305" t="s">
        <v>9477</v>
      </c>
      <c r="Y3305" t="s">
        <v>14636</v>
      </c>
    </row>
    <row r="3306" spans="1:25">
      <c r="A3306" t="s">
        <v>14637</v>
      </c>
      <c r="B3306" t="s">
        <v>14638</v>
      </c>
      <c r="D3306" t="s">
        <v>9473</v>
      </c>
      <c r="E3306" t="s">
        <v>9474</v>
      </c>
      <c r="J3306" t="s">
        <v>133</v>
      </c>
      <c r="K3306" t="s">
        <v>134</v>
      </c>
      <c r="L3306">
        <v>6</v>
      </c>
      <c r="M3306" t="s">
        <v>14639</v>
      </c>
      <c r="N3306" t="s">
        <v>685</v>
      </c>
      <c r="O3306" t="s">
        <v>9477</v>
      </c>
      <c r="P3306" t="s">
        <v>9477</v>
      </c>
      <c r="Y3306" t="s">
        <v>14640</v>
      </c>
    </row>
    <row r="3307" spans="1:25">
      <c r="A3307" t="s">
        <v>14641</v>
      </c>
      <c r="B3307" t="s">
        <v>14642</v>
      </c>
      <c r="D3307" t="s">
        <v>9473</v>
      </c>
      <c r="E3307" t="s">
        <v>9474</v>
      </c>
      <c r="J3307" t="s">
        <v>44</v>
      </c>
      <c r="K3307" t="s">
        <v>45</v>
      </c>
      <c r="L3307">
        <v>6</v>
      </c>
      <c r="M3307" t="s">
        <v>14639</v>
      </c>
      <c r="N3307" t="s">
        <v>47</v>
      </c>
      <c r="O3307" t="s">
        <v>9477</v>
      </c>
      <c r="P3307" t="s">
        <v>9477</v>
      </c>
      <c r="Y3307" t="s">
        <v>14643</v>
      </c>
    </row>
    <row r="3308" spans="1:25">
      <c r="A3308" t="s">
        <v>14644</v>
      </c>
      <c r="B3308" t="s">
        <v>14645</v>
      </c>
      <c r="D3308" t="s">
        <v>9473</v>
      </c>
      <c r="E3308" t="s">
        <v>9474</v>
      </c>
      <c r="H3308" t="s">
        <v>14646</v>
      </c>
      <c r="J3308" t="s">
        <v>353</v>
      </c>
      <c r="K3308" t="s">
        <v>354</v>
      </c>
      <c r="L3308">
        <v>6</v>
      </c>
      <c r="M3308" t="s">
        <v>14639</v>
      </c>
      <c r="N3308" t="s">
        <v>290</v>
      </c>
      <c r="O3308" t="s">
        <v>9477</v>
      </c>
      <c r="P3308" t="s">
        <v>9477</v>
      </c>
      <c r="Y3308" t="s">
        <v>14646</v>
      </c>
    </row>
    <row r="3309" spans="1:25">
      <c r="A3309" t="s">
        <v>14647</v>
      </c>
      <c r="B3309" t="s">
        <v>14648</v>
      </c>
      <c r="D3309" t="s">
        <v>9473</v>
      </c>
      <c r="E3309" t="s">
        <v>9474</v>
      </c>
      <c r="H3309" t="s">
        <v>14649</v>
      </c>
      <c r="J3309" t="s">
        <v>133</v>
      </c>
      <c r="K3309" t="s">
        <v>134</v>
      </c>
      <c r="L3309">
        <v>6</v>
      </c>
      <c r="M3309" t="s">
        <v>14650</v>
      </c>
      <c r="N3309" t="s">
        <v>135</v>
      </c>
      <c r="O3309" t="s">
        <v>9477</v>
      </c>
      <c r="P3309" t="s">
        <v>9477</v>
      </c>
      <c r="Y3309" t="s">
        <v>14649</v>
      </c>
    </row>
    <row r="3310" spans="1:25">
      <c r="A3310" t="s">
        <v>14651</v>
      </c>
      <c r="B3310" t="s">
        <v>14652</v>
      </c>
      <c r="D3310" t="s">
        <v>9473</v>
      </c>
      <c r="E3310" t="s">
        <v>9474</v>
      </c>
      <c r="J3310" t="s">
        <v>54</v>
      </c>
      <c r="K3310" t="s">
        <v>55</v>
      </c>
      <c r="L3310">
        <v>6</v>
      </c>
      <c r="M3310" t="s">
        <v>14653</v>
      </c>
      <c r="N3310" t="s">
        <v>47</v>
      </c>
      <c r="O3310" t="s">
        <v>9477</v>
      </c>
      <c r="P3310" t="s">
        <v>9477</v>
      </c>
      <c r="Y3310" t="s">
        <v>14654</v>
      </c>
    </row>
    <row r="3311" spans="1:25">
      <c r="A3311" t="s">
        <v>14655</v>
      </c>
      <c r="B3311" t="s">
        <v>14656</v>
      </c>
      <c r="D3311" t="s">
        <v>9473</v>
      </c>
      <c r="E3311" t="s">
        <v>9474</v>
      </c>
      <c r="H3311" t="s">
        <v>14657</v>
      </c>
      <c r="J3311" t="s">
        <v>44</v>
      </c>
      <c r="K3311" t="s">
        <v>45</v>
      </c>
      <c r="L3311">
        <v>6</v>
      </c>
      <c r="M3311" t="s">
        <v>14658</v>
      </c>
      <c r="N3311" t="s">
        <v>47</v>
      </c>
      <c r="O3311" t="s">
        <v>9477</v>
      </c>
      <c r="P3311" t="s">
        <v>9477</v>
      </c>
      <c r="Y3311" t="s">
        <v>14657</v>
      </c>
    </row>
    <row r="3312" spans="1:25">
      <c r="A3312" t="s">
        <v>14659</v>
      </c>
      <c r="B3312" t="s">
        <v>14660</v>
      </c>
      <c r="D3312" t="s">
        <v>9473</v>
      </c>
      <c r="E3312" t="s">
        <v>9474</v>
      </c>
      <c r="H3312" t="s">
        <v>14661</v>
      </c>
      <c r="J3312" t="s">
        <v>78</v>
      </c>
      <c r="K3312" t="s">
        <v>79</v>
      </c>
      <c r="L3312">
        <v>6</v>
      </c>
      <c r="M3312" t="s">
        <v>14662</v>
      </c>
      <c r="N3312" t="s">
        <v>47</v>
      </c>
      <c r="O3312" t="s">
        <v>9477</v>
      </c>
      <c r="P3312" t="s">
        <v>9477</v>
      </c>
      <c r="Y3312" t="s">
        <v>14661</v>
      </c>
    </row>
    <row r="3313" spans="1:25">
      <c r="A3313" t="s">
        <v>14663</v>
      </c>
      <c r="B3313" t="s">
        <v>14664</v>
      </c>
      <c r="D3313" t="s">
        <v>9473</v>
      </c>
      <c r="E3313" t="s">
        <v>9474</v>
      </c>
      <c r="J3313" t="s">
        <v>371</v>
      </c>
      <c r="K3313" t="s">
        <v>372</v>
      </c>
      <c r="L3313">
        <v>6</v>
      </c>
      <c r="M3313" t="s">
        <v>14662</v>
      </c>
      <c r="N3313" t="s">
        <v>47</v>
      </c>
      <c r="O3313" t="s">
        <v>9477</v>
      </c>
      <c r="P3313" t="s">
        <v>9477</v>
      </c>
      <c r="Y3313" t="s">
        <v>14665</v>
      </c>
    </row>
    <row r="3314" spans="1:25">
      <c r="A3314" t="s">
        <v>14666</v>
      </c>
      <c r="B3314" t="s">
        <v>14667</v>
      </c>
      <c r="D3314" t="s">
        <v>9473</v>
      </c>
      <c r="E3314" t="s">
        <v>9474</v>
      </c>
      <c r="H3314" t="s">
        <v>14668</v>
      </c>
      <c r="J3314" t="s">
        <v>44</v>
      </c>
      <c r="K3314" t="s">
        <v>45</v>
      </c>
      <c r="L3314">
        <v>6</v>
      </c>
      <c r="M3314" t="s">
        <v>14662</v>
      </c>
      <c r="N3314" t="s">
        <v>47</v>
      </c>
      <c r="O3314" t="s">
        <v>9477</v>
      </c>
      <c r="P3314" t="s">
        <v>9477</v>
      </c>
      <c r="Y3314" t="s">
        <v>14668</v>
      </c>
    </row>
    <row r="3315" spans="1:25">
      <c r="A3315" t="s">
        <v>14669</v>
      </c>
      <c r="B3315" t="s">
        <v>14670</v>
      </c>
      <c r="D3315" t="s">
        <v>9473</v>
      </c>
      <c r="E3315" t="s">
        <v>9474</v>
      </c>
      <c r="J3315" t="s">
        <v>90</v>
      </c>
      <c r="K3315" t="s">
        <v>91</v>
      </c>
      <c r="L3315">
        <v>6</v>
      </c>
      <c r="M3315" t="s">
        <v>14671</v>
      </c>
      <c r="N3315" t="s">
        <v>47</v>
      </c>
      <c r="O3315" t="s">
        <v>9477</v>
      </c>
      <c r="P3315" t="s">
        <v>9477</v>
      </c>
      <c r="Y3315" t="s">
        <v>14672</v>
      </c>
    </row>
    <row r="3316" spans="1:25">
      <c r="A3316" t="s">
        <v>14673</v>
      </c>
      <c r="B3316" t="s">
        <v>14674</v>
      </c>
      <c r="D3316" t="s">
        <v>9473</v>
      </c>
      <c r="E3316" t="s">
        <v>9474</v>
      </c>
      <c r="J3316" t="s">
        <v>78</v>
      </c>
      <c r="K3316" t="s">
        <v>79</v>
      </c>
      <c r="L3316">
        <v>6</v>
      </c>
      <c r="M3316" t="s">
        <v>14675</v>
      </c>
      <c r="N3316" t="s">
        <v>47</v>
      </c>
      <c r="O3316" t="s">
        <v>9477</v>
      </c>
      <c r="P3316" t="s">
        <v>9477</v>
      </c>
      <c r="Y3316" t="s">
        <v>14676</v>
      </c>
    </row>
    <row r="3317" spans="1:25">
      <c r="A3317" t="s">
        <v>14677</v>
      </c>
      <c r="B3317" t="s">
        <v>14678</v>
      </c>
      <c r="D3317" t="s">
        <v>9473</v>
      </c>
      <c r="E3317" t="s">
        <v>9474</v>
      </c>
      <c r="H3317" t="s">
        <v>14679</v>
      </c>
      <c r="J3317" t="s">
        <v>78</v>
      </c>
      <c r="K3317" t="s">
        <v>79</v>
      </c>
      <c r="L3317">
        <v>6</v>
      </c>
      <c r="M3317" t="s">
        <v>14675</v>
      </c>
      <c r="N3317" t="s">
        <v>47</v>
      </c>
      <c r="O3317" t="s">
        <v>9477</v>
      </c>
      <c r="P3317" t="s">
        <v>9477</v>
      </c>
      <c r="Y3317" t="s">
        <v>14679</v>
      </c>
    </row>
    <row r="3318" spans="1:25">
      <c r="A3318" t="s">
        <v>14680</v>
      </c>
      <c r="B3318" t="s">
        <v>14681</v>
      </c>
      <c r="D3318" t="s">
        <v>9473</v>
      </c>
      <c r="E3318" t="s">
        <v>9474</v>
      </c>
      <c r="H3318" t="s">
        <v>14682</v>
      </c>
      <c r="J3318" t="s">
        <v>90</v>
      </c>
      <c r="K3318" t="s">
        <v>91</v>
      </c>
      <c r="L3318">
        <v>6</v>
      </c>
      <c r="M3318" t="s">
        <v>14683</v>
      </c>
      <c r="N3318" t="s">
        <v>47</v>
      </c>
      <c r="O3318" t="s">
        <v>9477</v>
      </c>
      <c r="P3318" t="s">
        <v>9477</v>
      </c>
      <c r="Y3318" t="s">
        <v>14682</v>
      </c>
    </row>
    <row r="3319" spans="1:25">
      <c r="A3319" t="s">
        <v>14684</v>
      </c>
      <c r="B3319" t="s">
        <v>14685</v>
      </c>
      <c r="D3319" t="s">
        <v>9473</v>
      </c>
      <c r="E3319" t="s">
        <v>9474</v>
      </c>
      <c r="J3319" t="s">
        <v>927</v>
      </c>
      <c r="K3319" t="s">
        <v>928</v>
      </c>
      <c r="L3319">
        <v>6</v>
      </c>
      <c r="M3319" t="s">
        <v>14683</v>
      </c>
      <c r="N3319" t="s">
        <v>290</v>
      </c>
      <c r="O3319" t="s">
        <v>9477</v>
      </c>
      <c r="P3319" t="s">
        <v>9477</v>
      </c>
      <c r="Y3319" t="s">
        <v>14686</v>
      </c>
    </row>
    <row r="3320" spans="1:25">
      <c r="A3320" t="s">
        <v>14687</v>
      </c>
      <c r="B3320" t="s">
        <v>14688</v>
      </c>
      <c r="D3320" t="s">
        <v>9473</v>
      </c>
      <c r="E3320" t="s">
        <v>9474</v>
      </c>
      <c r="J3320" t="s">
        <v>44</v>
      </c>
      <c r="K3320" t="s">
        <v>45</v>
      </c>
      <c r="L3320">
        <v>6</v>
      </c>
      <c r="M3320" t="s">
        <v>14683</v>
      </c>
      <c r="N3320" t="s">
        <v>47</v>
      </c>
      <c r="O3320" t="s">
        <v>9477</v>
      </c>
      <c r="P3320" t="s">
        <v>9477</v>
      </c>
      <c r="Y3320" t="s">
        <v>14689</v>
      </c>
    </row>
    <row r="3321" spans="1:25">
      <c r="A3321" t="s">
        <v>14690</v>
      </c>
      <c r="B3321" t="s">
        <v>14691</v>
      </c>
      <c r="D3321" t="s">
        <v>9473</v>
      </c>
      <c r="E3321" t="s">
        <v>9474</v>
      </c>
      <c r="J3321" t="s">
        <v>90</v>
      </c>
      <c r="K3321" t="s">
        <v>91</v>
      </c>
      <c r="L3321">
        <v>6</v>
      </c>
      <c r="M3321" t="s">
        <v>14692</v>
      </c>
      <c r="N3321" t="s">
        <v>47</v>
      </c>
      <c r="O3321" t="s">
        <v>9477</v>
      </c>
      <c r="P3321" t="s">
        <v>9477</v>
      </c>
      <c r="Y3321" t="s">
        <v>14693</v>
      </c>
    </row>
    <row r="3322" spans="1:25">
      <c r="A3322" t="s">
        <v>14694</v>
      </c>
      <c r="B3322" t="s">
        <v>14695</v>
      </c>
      <c r="D3322" t="s">
        <v>9473</v>
      </c>
      <c r="E3322" t="s">
        <v>9474</v>
      </c>
      <c r="H3322" t="s">
        <v>14696</v>
      </c>
      <c r="J3322" t="s">
        <v>78</v>
      </c>
      <c r="K3322" t="s">
        <v>79</v>
      </c>
      <c r="L3322">
        <v>6</v>
      </c>
      <c r="M3322" t="s">
        <v>14697</v>
      </c>
      <c r="N3322" t="s">
        <v>47</v>
      </c>
      <c r="O3322" t="s">
        <v>9477</v>
      </c>
      <c r="P3322" t="s">
        <v>9477</v>
      </c>
      <c r="Y3322" t="s">
        <v>14696</v>
      </c>
    </row>
    <row r="3323" spans="1:25">
      <c r="A3323" t="s">
        <v>14698</v>
      </c>
      <c r="B3323" t="s">
        <v>14699</v>
      </c>
      <c r="D3323" t="s">
        <v>9473</v>
      </c>
      <c r="E3323" t="s">
        <v>9474</v>
      </c>
      <c r="J3323" t="s">
        <v>133</v>
      </c>
      <c r="K3323" t="s">
        <v>134</v>
      </c>
      <c r="L3323">
        <v>6</v>
      </c>
      <c r="M3323" t="s">
        <v>14697</v>
      </c>
      <c r="N3323" t="s">
        <v>135</v>
      </c>
      <c r="O3323" t="s">
        <v>9477</v>
      </c>
      <c r="P3323" t="s">
        <v>9477</v>
      </c>
      <c r="Y3323" t="s">
        <v>14700</v>
      </c>
    </row>
    <row r="3324" spans="1:25">
      <c r="A3324" t="s">
        <v>14701</v>
      </c>
      <c r="B3324" t="s">
        <v>14702</v>
      </c>
      <c r="D3324" t="s">
        <v>9473</v>
      </c>
      <c r="E3324" t="s">
        <v>9474</v>
      </c>
      <c r="J3324" t="s">
        <v>353</v>
      </c>
      <c r="K3324" t="s">
        <v>354</v>
      </c>
      <c r="L3324">
        <v>7</v>
      </c>
      <c r="M3324" t="s">
        <v>14703</v>
      </c>
      <c r="N3324" t="s">
        <v>685</v>
      </c>
      <c r="O3324" t="s">
        <v>9477</v>
      </c>
      <c r="P3324" t="s">
        <v>9477</v>
      </c>
      <c r="Y3324" t="s">
        <v>14704</v>
      </c>
    </row>
    <row r="3325" spans="1:25">
      <c r="A3325" t="s">
        <v>14705</v>
      </c>
      <c r="B3325" t="s">
        <v>14706</v>
      </c>
      <c r="D3325" t="s">
        <v>9473</v>
      </c>
      <c r="E3325" t="s">
        <v>9474</v>
      </c>
      <c r="H3325" t="s">
        <v>14707</v>
      </c>
      <c r="J3325" t="s">
        <v>78</v>
      </c>
      <c r="K3325" t="s">
        <v>79</v>
      </c>
      <c r="L3325">
        <v>6</v>
      </c>
      <c r="M3325" t="s">
        <v>14708</v>
      </c>
      <c r="N3325" t="s">
        <v>47</v>
      </c>
      <c r="O3325" t="s">
        <v>9477</v>
      </c>
      <c r="P3325" t="s">
        <v>9477</v>
      </c>
      <c r="Y3325" t="s">
        <v>14707</v>
      </c>
    </row>
    <row r="3326" spans="1:25">
      <c r="A3326" t="s">
        <v>14709</v>
      </c>
      <c r="B3326" t="s">
        <v>14710</v>
      </c>
      <c r="D3326" t="s">
        <v>9473</v>
      </c>
      <c r="E3326" t="s">
        <v>9474</v>
      </c>
      <c r="J3326" t="s">
        <v>353</v>
      </c>
      <c r="K3326" t="s">
        <v>354</v>
      </c>
      <c r="L3326">
        <v>6</v>
      </c>
      <c r="M3326" t="s">
        <v>14711</v>
      </c>
      <c r="N3326" t="s">
        <v>135</v>
      </c>
      <c r="O3326" t="s">
        <v>9477</v>
      </c>
      <c r="P3326" t="s">
        <v>9477</v>
      </c>
      <c r="Y3326" t="s">
        <v>14712</v>
      </c>
    </row>
    <row r="3327" spans="1:25">
      <c r="A3327" t="s">
        <v>14713</v>
      </c>
      <c r="B3327" t="s">
        <v>14714</v>
      </c>
      <c r="D3327" t="s">
        <v>9473</v>
      </c>
      <c r="E3327" t="s">
        <v>9474</v>
      </c>
      <c r="H3327" t="s">
        <v>14715</v>
      </c>
      <c r="J3327" t="s">
        <v>90</v>
      </c>
      <c r="K3327" t="s">
        <v>91</v>
      </c>
      <c r="L3327">
        <v>6</v>
      </c>
      <c r="M3327" t="s">
        <v>14716</v>
      </c>
      <c r="N3327" t="s">
        <v>47</v>
      </c>
      <c r="O3327" t="s">
        <v>9477</v>
      </c>
      <c r="P3327" t="s">
        <v>9477</v>
      </c>
      <c r="Y3327" t="s">
        <v>14715</v>
      </c>
    </row>
    <row r="3328" spans="1:25">
      <c r="A3328" t="s">
        <v>14717</v>
      </c>
      <c r="B3328" t="s">
        <v>14718</v>
      </c>
      <c r="D3328" t="s">
        <v>9473</v>
      </c>
      <c r="E3328" t="s">
        <v>9474</v>
      </c>
      <c r="J3328" t="s">
        <v>44</v>
      </c>
      <c r="K3328" t="s">
        <v>45</v>
      </c>
      <c r="L3328">
        <v>6</v>
      </c>
      <c r="M3328" t="s">
        <v>14719</v>
      </c>
      <c r="N3328" t="s">
        <v>47</v>
      </c>
      <c r="O3328" t="s">
        <v>9477</v>
      </c>
      <c r="P3328" t="s">
        <v>9477</v>
      </c>
      <c r="Y3328" t="s">
        <v>14720</v>
      </c>
    </row>
    <row r="3329" spans="1:25">
      <c r="A3329" t="s">
        <v>14721</v>
      </c>
      <c r="B3329" t="s">
        <v>14722</v>
      </c>
      <c r="D3329" t="s">
        <v>9473</v>
      </c>
      <c r="E3329" t="s">
        <v>9474</v>
      </c>
      <c r="J3329" t="s">
        <v>78</v>
      </c>
      <c r="K3329" t="s">
        <v>79</v>
      </c>
      <c r="L3329">
        <v>6</v>
      </c>
      <c r="M3329" t="s">
        <v>14723</v>
      </c>
      <c r="N3329" t="s">
        <v>47</v>
      </c>
      <c r="O3329" t="s">
        <v>9477</v>
      </c>
      <c r="P3329" t="s">
        <v>9477</v>
      </c>
      <c r="Y3329" t="s">
        <v>14724</v>
      </c>
    </row>
    <row r="3330" spans="1:25">
      <c r="A3330" t="s">
        <v>14725</v>
      </c>
      <c r="B3330" t="s">
        <v>14726</v>
      </c>
      <c r="D3330" t="s">
        <v>9473</v>
      </c>
      <c r="E3330" t="s">
        <v>9474</v>
      </c>
      <c r="H3330" t="s">
        <v>14727</v>
      </c>
      <c r="J3330" t="s">
        <v>90</v>
      </c>
      <c r="K3330" t="s">
        <v>91</v>
      </c>
      <c r="L3330">
        <v>6</v>
      </c>
      <c r="M3330" t="s">
        <v>14728</v>
      </c>
      <c r="N3330" t="s">
        <v>47</v>
      </c>
      <c r="O3330" t="s">
        <v>9477</v>
      </c>
      <c r="P3330" t="s">
        <v>9477</v>
      </c>
      <c r="Y3330" t="s">
        <v>14727</v>
      </c>
    </row>
    <row r="3331" spans="1:25">
      <c r="A3331" t="s">
        <v>14729</v>
      </c>
      <c r="B3331" t="s">
        <v>14730</v>
      </c>
      <c r="D3331" t="s">
        <v>9473</v>
      </c>
      <c r="E3331" t="s">
        <v>9474</v>
      </c>
      <c r="J3331" t="s">
        <v>90</v>
      </c>
      <c r="K3331" t="s">
        <v>91</v>
      </c>
      <c r="L3331">
        <v>6</v>
      </c>
      <c r="M3331" t="s">
        <v>14731</v>
      </c>
      <c r="N3331" t="s">
        <v>47</v>
      </c>
      <c r="O3331" t="s">
        <v>9477</v>
      </c>
      <c r="P3331" t="s">
        <v>9477</v>
      </c>
      <c r="Y3331" t="s">
        <v>14732</v>
      </c>
    </row>
    <row r="3332" spans="1:25">
      <c r="A3332" t="s">
        <v>14733</v>
      </c>
      <c r="B3332" t="s">
        <v>14734</v>
      </c>
      <c r="D3332" t="s">
        <v>9473</v>
      </c>
      <c r="E3332" t="s">
        <v>9474</v>
      </c>
      <c r="J3332" t="s">
        <v>54</v>
      </c>
      <c r="K3332" t="s">
        <v>55</v>
      </c>
      <c r="L3332">
        <v>6</v>
      </c>
      <c r="M3332" t="s">
        <v>14731</v>
      </c>
      <c r="N3332" t="s">
        <v>47</v>
      </c>
      <c r="O3332" t="s">
        <v>9477</v>
      </c>
      <c r="P3332" t="s">
        <v>9477</v>
      </c>
      <c r="Y3332" t="s">
        <v>14735</v>
      </c>
    </row>
    <row r="3333" spans="1:25">
      <c r="A3333" t="s">
        <v>14736</v>
      </c>
      <c r="B3333" t="s">
        <v>14737</v>
      </c>
      <c r="D3333" t="s">
        <v>9473</v>
      </c>
      <c r="E3333" t="s">
        <v>9474</v>
      </c>
      <c r="J3333" t="s">
        <v>90</v>
      </c>
      <c r="K3333" t="s">
        <v>91</v>
      </c>
      <c r="L3333">
        <v>6</v>
      </c>
      <c r="M3333" t="s">
        <v>14731</v>
      </c>
      <c r="N3333" t="s">
        <v>47</v>
      </c>
      <c r="O3333" t="s">
        <v>9477</v>
      </c>
      <c r="P3333" t="s">
        <v>9477</v>
      </c>
      <c r="Y3333" t="s">
        <v>14738</v>
      </c>
    </row>
    <row r="3334" spans="1:25">
      <c r="A3334" t="s">
        <v>14739</v>
      </c>
      <c r="B3334" t="s">
        <v>14740</v>
      </c>
      <c r="D3334" t="s">
        <v>9473</v>
      </c>
      <c r="E3334" t="s">
        <v>9474</v>
      </c>
      <c r="J3334" t="s">
        <v>90</v>
      </c>
      <c r="K3334" t="s">
        <v>91</v>
      </c>
      <c r="L3334">
        <v>6</v>
      </c>
      <c r="M3334" t="s">
        <v>14741</v>
      </c>
      <c r="N3334" t="s">
        <v>47</v>
      </c>
      <c r="O3334" t="s">
        <v>9477</v>
      </c>
      <c r="P3334" t="s">
        <v>9477</v>
      </c>
      <c r="Y3334" t="s">
        <v>14742</v>
      </c>
    </row>
    <row r="3335" spans="1:25">
      <c r="A3335" t="s">
        <v>14743</v>
      </c>
      <c r="B3335" t="s">
        <v>14744</v>
      </c>
      <c r="D3335" t="s">
        <v>9473</v>
      </c>
      <c r="E3335" t="s">
        <v>9474</v>
      </c>
      <c r="H3335" t="s">
        <v>14745</v>
      </c>
      <c r="J3335" t="s">
        <v>353</v>
      </c>
      <c r="K3335" t="s">
        <v>354</v>
      </c>
      <c r="L3335">
        <v>6</v>
      </c>
      <c r="M3335" t="s">
        <v>14746</v>
      </c>
      <c r="N3335" t="s">
        <v>135</v>
      </c>
      <c r="O3335" t="s">
        <v>9477</v>
      </c>
      <c r="P3335" t="s">
        <v>9477</v>
      </c>
      <c r="Y3335" t="s">
        <v>14745</v>
      </c>
    </row>
    <row r="3336" spans="1:25">
      <c r="A3336" t="s">
        <v>14747</v>
      </c>
      <c r="B3336" t="s">
        <v>14748</v>
      </c>
      <c r="D3336" t="s">
        <v>9473</v>
      </c>
      <c r="E3336" t="s">
        <v>9474</v>
      </c>
      <c r="J3336" t="s">
        <v>44</v>
      </c>
      <c r="K3336" t="s">
        <v>45</v>
      </c>
      <c r="L3336">
        <v>6</v>
      </c>
      <c r="M3336" t="s">
        <v>14746</v>
      </c>
      <c r="N3336" t="s">
        <v>47</v>
      </c>
      <c r="O3336" t="s">
        <v>9477</v>
      </c>
      <c r="P3336" t="s">
        <v>9477</v>
      </c>
      <c r="Y3336" t="s">
        <v>14749</v>
      </c>
    </row>
    <row r="3337" spans="1:25">
      <c r="A3337" t="s">
        <v>14750</v>
      </c>
      <c r="B3337" t="s">
        <v>14751</v>
      </c>
      <c r="D3337" t="s">
        <v>9473</v>
      </c>
      <c r="E3337" t="s">
        <v>9474</v>
      </c>
      <c r="H3337" t="s">
        <v>14752</v>
      </c>
      <c r="J3337" t="s">
        <v>78</v>
      </c>
      <c r="K3337" t="s">
        <v>79</v>
      </c>
      <c r="L3337">
        <v>6</v>
      </c>
      <c r="M3337" t="s">
        <v>14746</v>
      </c>
      <c r="N3337" t="s">
        <v>47</v>
      </c>
      <c r="O3337" t="s">
        <v>9477</v>
      </c>
      <c r="P3337" t="s">
        <v>9477</v>
      </c>
      <c r="Y3337" t="s">
        <v>14752</v>
      </c>
    </row>
    <row r="3338" spans="1:25">
      <c r="A3338" t="s">
        <v>14753</v>
      </c>
      <c r="B3338" t="s">
        <v>14754</v>
      </c>
      <c r="D3338" t="s">
        <v>9473</v>
      </c>
      <c r="E3338" t="s">
        <v>9474</v>
      </c>
      <c r="J3338" t="s">
        <v>90</v>
      </c>
      <c r="K3338" t="s">
        <v>91</v>
      </c>
      <c r="L3338">
        <v>6</v>
      </c>
      <c r="M3338" t="s">
        <v>14746</v>
      </c>
      <c r="N3338" t="s">
        <v>47</v>
      </c>
      <c r="O3338" t="s">
        <v>9477</v>
      </c>
      <c r="P3338" t="s">
        <v>9477</v>
      </c>
      <c r="Y3338" t="s">
        <v>14755</v>
      </c>
    </row>
    <row r="3339" spans="1:25">
      <c r="A3339" t="s">
        <v>14756</v>
      </c>
      <c r="B3339" t="s">
        <v>14757</v>
      </c>
      <c r="D3339" t="s">
        <v>9473</v>
      </c>
      <c r="E3339" t="s">
        <v>9474</v>
      </c>
      <c r="J3339" t="s">
        <v>44</v>
      </c>
      <c r="K3339" t="s">
        <v>45</v>
      </c>
      <c r="L3339">
        <v>6</v>
      </c>
      <c r="M3339" t="s">
        <v>14746</v>
      </c>
      <c r="N3339" t="s">
        <v>47</v>
      </c>
      <c r="O3339" t="s">
        <v>9477</v>
      </c>
      <c r="P3339" t="s">
        <v>9477</v>
      </c>
      <c r="Y3339" t="s">
        <v>14758</v>
      </c>
    </row>
    <row r="3340" spans="1:25">
      <c r="A3340" t="s">
        <v>14759</v>
      </c>
      <c r="B3340" t="s">
        <v>14760</v>
      </c>
      <c r="D3340" t="s">
        <v>9473</v>
      </c>
      <c r="E3340" t="s">
        <v>9474</v>
      </c>
      <c r="J3340" t="s">
        <v>78</v>
      </c>
      <c r="K3340" t="s">
        <v>79</v>
      </c>
      <c r="L3340">
        <v>6</v>
      </c>
      <c r="M3340" t="s">
        <v>14761</v>
      </c>
      <c r="N3340" t="s">
        <v>47</v>
      </c>
      <c r="O3340" t="s">
        <v>9477</v>
      </c>
      <c r="P3340" t="s">
        <v>9477</v>
      </c>
      <c r="Y3340" t="s">
        <v>14762</v>
      </c>
    </row>
    <row r="3341" spans="1:25">
      <c r="A3341" t="s">
        <v>14763</v>
      </c>
      <c r="B3341" t="s">
        <v>14764</v>
      </c>
      <c r="D3341" t="s">
        <v>9473</v>
      </c>
      <c r="E3341" t="s">
        <v>9474</v>
      </c>
      <c r="H3341" t="s">
        <v>14765</v>
      </c>
      <c r="J3341" t="s">
        <v>90</v>
      </c>
      <c r="K3341" t="s">
        <v>91</v>
      </c>
      <c r="L3341">
        <v>6</v>
      </c>
      <c r="M3341" t="s">
        <v>14766</v>
      </c>
      <c r="N3341" t="s">
        <v>47</v>
      </c>
      <c r="O3341" t="s">
        <v>9477</v>
      </c>
      <c r="P3341" t="s">
        <v>9477</v>
      </c>
      <c r="Y3341" t="s">
        <v>14765</v>
      </c>
    </row>
    <row r="3342" spans="1:25">
      <c r="A3342" t="s">
        <v>14767</v>
      </c>
      <c r="B3342" t="s">
        <v>14768</v>
      </c>
      <c r="D3342" t="s">
        <v>9473</v>
      </c>
      <c r="E3342" t="s">
        <v>9474</v>
      </c>
      <c r="J3342" t="s">
        <v>44</v>
      </c>
      <c r="K3342" t="s">
        <v>45</v>
      </c>
      <c r="L3342">
        <v>6</v>
      </c>
      <c r="M3342" t="s">
        <v>14769</v>
      </c>
      <c r="N3342" t="s">
        <v>47</v>
      </c>
      <c r="O3342" t="s">
        <v>9477</v>
      </c>
      <c r="P3342" t="s">
        <v>9477</v>
      </c>
      <c r="Y3342" t="s">
        <v>14770</v>
      </c>
    </row>
    <row r="3343" spans="1:25">
      <c r="A3343" t="s">
        <v>14771</v>
      </c>
      <c r="B3343" t="s">
        <v>14772</v>
      </c>
      <c r="D3343" t="s">
        <v>9473</v>
      </c>
      <c r="E3343" t="s">
        <v>9474</v>
      </c>
      <c r="H3343" t="s">
        <v>14773</v>
      </c>
      <c r="J3343" t="s">
        <v>133</v>
      </c>
      <c r="K3343" t="s">
        <v>134</v>
      </c>
      <c r="L3343">
        <v>6</v>
      </c>
      <c r="M3343" t="s">
        <v>14774</v>
      </c>
      <c r="N3343" t="s">
        <v>685</v>
      </c>
      <c r="O3343" t="s">
        <v>9477</v>
      </c>
      <c r="P3343" t="s">
        <v>9477</v>
      </c>
      <c r="Y3343" t="s">
        <v>14773</v>
      </c>
    </row>
    <row r="3344" spans="1:25">
      <c r="A3344" t="s">
        <v>14775</v>
      </c>
      <c r="B3344" t="s">
        <v>14776</v>
      </c>
      <c r="D3344" t="s">
        <v>9473</v>
      </c>
      <c r="E3344" t="s">
        <v>9474</v>
      </c>
      <c r="J3344" t="s">
        <v>90</v>
      </c>
      <c r="K3344" t="s">
        <v>91</v>
      </c>
      <c r="L3344">
        <v>6</v>
      </c>
      <c r="M3344" t="s">
        <v>14777</v>
      </c>
      <c r="N3344" t="s">
        <v>47</v>
      </c>
      <c r="O3344" t="s">
        <v>9477</v>
      </c>
      <c r="P3344" t="s">
        <v>9477</v>
      </c>
      <c r="Y3344" t="s">
        <v>14778</v>
      </c>
    </row>
    <row r="3345" spans="1:25">
      <c r="A3345" t="s">
        <v>14779</v>
      </c>
      <c r="B3345" t="s">
        <v>14780</v>
      </c>
      <c r="D3345" t="s">
        <v>9473</v>
      </c>
      <c r="E3345" t="s">
        <v>9474</v>
      </c>
      <c r="J3345" t="s">
        <v>90</v>
      </c>
      <c r="K3345" t="s">
        <v>91</v>
      </c>
      <c r="L3345">
        <v>6</v>
      </c>
      <c r="M3345" t="s">
        <v>14777</v>
      </c>
      <c r="N3345" t="s">
        <v>47</v>
      </c>
      <c r="O3345" t="s">
        <v>9477</v>
      </c>
      <c r="P3345" t="s">
        <v>9477</v>
      </c>
      <c r="Y3345" t="s">
        <v>14781</v>
      </c>
    </row>
    <row r="3346" spans="1:25">
      <c r="A3346" t="s">
        <v>14782</v>
      </c>
      <c r="B3346" t="s">
        <v>14783</v>
      </c>
      <c r="D3346" t="s">
        <v>9473</v>
      </c>
      <c r="E3346" t="s">
        <v>9474</v>
      </c>
      <c r="H3346" t="s">
        <v>14784</v>
      </c>
      <c r="J3346" t="s">
        <v>90</v>
      </c>
      <c r="K3346" t="s">
        <v>91</v>
      </c>
      <c r="L3346">
        <v>6</v>
      </c>
      <c r="M3346" t="s">
        <v>14785</v>
      </c>
      <c r="N3346" t="s">
        <v>47</v>
      </c>
      <c r="O3346" t="s">
        <v>9477</v>
      </c>
      <c r="P3346" t="s">
        <v>9477</v>
      </c>
      <c r="Y3346" t="s">
        <v>14784</v>
      </c>
    </row>
    <row r="3347" spans="1:25">
      <c r="A3347" t="s">
        <v>14786</v>
      </c>
      <c r="B3347" t="s">
        <v>14787</v>
      </c>
      <c r="D3347" t="s">
        <v>9473</v>
      </c>
      <c r="E3347" t="s">
        <v>9474</v>
      </c>
      <c r="J3347" t="s">
        <v>44</v>
      </c>
      <c r="K3347" t="s">
        <v>45</v>
      </c>
      <c r="L3347">
        <v>6</v>
      </c>
      <c r="M3347" t="s">
        <v>14788</v>
      </c>
      <c r="N3347" t="s">
        <v>47</v>
      </c>
      <c r="O3347" t="s">
        <v>9477</v>
      </c>
      <c r="P3347" t="s">
        <v>9477</v>
      </c>
      <c r="Y3347" t="s">
        <v>14789</v>
      </c>
    </row>
    <row r="3348" spans="1:25">
      <c r="A3348" t="s">
        <v>14790</v>
      </c>
      <c r="B3348" t="s">
        <v>14791</v>
      </c>
      <c r="D3348" t="s">
        <v>9473</v>
      </c>
      <c r="E3348" t="s">
        <v>9474</v>
      </c>
      <c r="H3348" t="s">
        <v>14792</v>
      </c>
      <c r="J3348" t="s">
        <v>44</v>
      </c>
      <c r="K3348" t="s">
        <v>45</v>
      </c>
      <c r="L3348">
        <v>6</v>
      </c>
      <c r="M3348" t="s">
        <v>14793</v>
      </c>
      <c r="N3348" t="s">
        <v>47</v>
      </c>
      <c r="O3348" t="s">
        <v>9477</v>
      </c>
      <c r="P3348" t="s">
        <v>9477</v>
      </c>
      <c r="Y3348" t="s">
        <v>14792</v>
      </c>
    </row>
    <row r="3349" spans="1:25">
      <c r="A3349" t="s">
        <v>14794</v>
      </c>
      <c r="B3349" t="s">
        <v>14795</v>
      </c>
      <c r="D3349" t="s">
        <v>9473</v>
      </c>
      <c r="E3349" t="s">
        <v>9474</v>
      </c>
      <c r="J3349" t="s">
        <v>44</v>
      </c>
      <c r="K3349" t="s">
        <v>45</v>
      </c>
      <c r="L3349">
        <v>6</v>
      </c>
      <c r="M3349" t="s">
        <v>14793</v>
      </c>
      <c r="N3349" t="s">
        <v>47</v>
      </c>
      <c r="O3349" t="s">
        <v>9477</v>
      </c>
      <c r="P3349" t="s">
        <v>9477</v>
      </c>
      <c r="Y3349" t="s">
        <v>14796</v>
      </c>
    </row>
    <row r="3350" spans="1:25">
      <c r="A3350" t="s">
        <v>14797</v>
      </c>
      <c r="B3350" t="s">
        <v>14798</v>
      </c>
      <c r="D3350" t="s">
        <v>9473</v>
      </c>
      <c r="E3350" t="s">
        <v>9474</v>
      </c>
      <c r="J3350" t="s">
        <v>133</v>
      </c>
      <c r="K3350" t="s">
        <v>134</v>
      </c>
      <c r="L3350">
        <v>6</v>
      </c>
      <c r="M3350" t="s">
        <v>14793</v>
      </c>
      <c r="N3350" t="s">
        <v>290</v>
      </c>
      <c r="O3350" t="s">
        <v>9477</v>
      </c>
      <c r="P3350" t="s">
        <v>9477</v>
      </c>
      <c r="Y3350" t="s">
        <v>14799</v>
      </c>
    </row>
    <row r="3351" spans="1:25">
      <c r="A3351" t="s">
        <v>14800</v>
      </c>
      <c r="B3351" t="s">
        <v>14801</v>
      </c>
      <c r="D3351" t="s">
        <v>9473</v>
      </c>
      <c r="E3351" t="s">
        <v>9474</v>
      </c>
      <c r="J3351" t="s">
        <v>9719</v>
      </c>
      <c r="K3351" t="s">
        <v>9720</v>
      </c>
      <c r="L3351">
        <v>6</v>
      </c>
      <c r="M3351" t="s">
        <v>14802</v>
      </c>
      <c r="N3351" t="s">
        <v>135</v>
      </c>
      <c r="O3351" t="s">
        <v>9477</v>
      </c>
      <c r="P3351" t="s">
        <v>9477</v>
      </c>
      <c r="Y3351" t="s">
        <v>14803</v>
      </c>
    </row>
    <row r="3352" spans="1:25">
      <c r="A3352" t="s">
        <v>14804</v>
      </c>
      <c r="B3352" t="s">
        <v>14805</v>
      </c>
      <c r="D3352" t="s">
        <v>9473</v>
      </c>
      <c r="E3352" t="s">
        <v>9474</v>
      </c>
      <c r="J3352" t="s">
        <v>54</v>
      </c>
      <c r="K3352" t="s">
        <v>55</v>
      </c>
      <c r="L3352">
        <v>6</v>
      </c>
      <c r="M3352" t="s">
        <v>14806</v>
      </c>
      <c r="N3352" t="s">
        <v>47</v>
      </c>
      <c r="O3352" t="s">
        <v>9477</v>
      </c>
      <c r="P3352" t="s">
        <v>9477</v>
      </c>
      <c r="Y3352" t="s">
        <v>14807</v>
      </c>
    </row>
    <row r="3353" spans="1:25">
      <c r="A3353" t="s">
        <v>14808</v>
      </c>
      <c r="B3353" t="s">
        <v>14809</v>
      </c>
      <c r="D3353" t="s">
        <v>9473</v>
      </c>
      <c r="E3353" t="s">
        <v>9474</v>
      </c>
      <c r="J3353" t="s">
        <v>90</v>
      </c>
      <c r="K3353" t="s">
        <v>91</v>
      </c>
      <c r="L3353">
        <v>6</v>
      </c>
      <c r="M3353" t="s">
        <v>14806</v>
      </c>
      <c r="N3353" t="s">
        <v>47</v>
      </c>
      <c r="O3353" t="s">
        <v>9477</v>
      </c>
      <c r="P3353" t="s">
        <v>9477</v>
      </c>
      <c r="Y3353" t="s">
        <v>14810</v>
      </c>
    </row>
    <row r="3354" spans="1:25">
      <c r="A3354" t="s">
        <v>14811</v>
      </c>
      <c r="B3354" t="s">
        <v>14812</v>
      </c>
      <c r="D3354" t="s">
        <v>9473</v>
      </c>
      <c r="E3354" t="s">
        <v>9474</v>
      </c>
      <c r="J3354" t="s">
        <v>78</v>
      </c>
      <c r="K3354" t="s">
        <v>79</v>
      </c>
      <c r="L3354">
        <v>6</v>
      </c>
      <c r="M3354" t="s">
        <v>14806</v>
      </c>
      <c r="N3354" t="s">
        <v>47</v>
      </c>
      <c r="O3354" t="s">
        <v>9477</v>
      </c>
      <c r="P3354" t="s">
        <v>9477</v>
      </c>
      <c r="Y3354" t="s">
        <v>14813</v>
      </c>
    </row>
    <row r="3355" spans="1:25">
      <c r="A3355" t="s">
        <v>14814</v>
      </c>
      <c r="B3355" t="s">
        <v>14815</v>
      </c>
      <c r="D3355" t="s">
        <v>9473</v>
      </c>
      <c r="E3355" t="s">
        <v>9474</v>
      </c>
      <c r="J3355" t="s">
        <v>90</v>
      </c>
      <c r="K3355" t="s">
        <v>91</v>
      </c>
      <c r="L3355">
        <v>6</v>
      </c>
      <c r="M3355" t="s">
        <v>14816</v>
      </c>
      <c r="N3355" t="s">
        <v>47</v>
      </c>
      <c r="O3355" t="s">
        <v>9477</v>
      </c>
      <c r="P3355" t="s">
        <v>9477</v>
      </c>
      <c r="Y3355" t="s">
        <v>14817</v>
      </c>
    </row>
    <row r="3356" spans="1:25">
      <c r="A3356" t="s">
        <v>14818</v>
      </c>
      <c r="B3356" t="s">
        <v>14819</v>
      </c>
      <c r="D3356" t="s">
        <v>9473</v>
      </c>
      <c r="E3356" t="s">
        <v>9474</v>
      </c>
      <c r="J3356" t="s">
        <v>78</v>
      </c>
      <c r="K3356" t="s">
        <v>79</v>
      </c>
      <c r="L3356">
        <v>6</v>
      </c>
      <c r="M3356" t="s">
        <v>14816</v>
      </c>
      <c r="N3356" t="s">
        <v>47</v>
      </c>
      <c r="O3356" t="s">
        <v>9477</v>
      </c>
      <c r="P3356" t="s">
        <v>9477</v>
      </c>
      <c r="Y3356" t="s">
        <v>14820</v>
      </c>
    </row>
    <row r="3357" spans="1:25">
      <c r="A3357" t="s">
        <v>14821</v>
      </c>
      <c r="B3357" t="s">
        <v>14822</v>
      </c>
      <c r="D3357" t="s">
        <v>9473</v>
      </c>
      <c r="E3357" t="s">
        <v>9474</v>
      </c>
      <c r="J3357" t="s">
        <v>78</v>
      </c>
      <c r="K3357" t="s">
        <v>79</v>
      </c>
      <c r="L3357">
        <v>6</v>
      </c>
      <c r="M3357" t="s">
        <v>14816</v>
      </c>
      <c r="N3357" t="s">
        <v>47</v>
      </c>
      <c r="O3357" t="s">
        <v>9477</v>
      </c>
      <c r="P3357" t="s">
        <v>9477</v>
      </c>
      <c r="Y3357" t="s">
        <v>14823</v>
      </c>
    </row>
    <row r="3358" spans="1:25">
      <c r="A3358" t="s">
        <v>14824</v>
      </c>
      <c r="B3358" t="s">
        <v>14825</v>
      </c>
      <c r="D3358" t="s">
        <v>9473</v>
      </c>
      <c r="E3358" t="s">
        <v>9474</v>
      </c>
      <c r="H3358" t="s">
        <v>14826</v>
      </c>
      <c r="J3358" t="s">
        <v>497</v>
      </c>
      <c r="K3358" t="s">
        <v>498</v>
      </c>
      <c r="L3358">
        <v>6</v>
      </c>
      <c r="M3358" t="s">
        <v>14827</v>
      </c>
      <c r="N3358" t="s">
        <v>135</v>
      </c>
      <c r="O3358" t="s">
        <v>9477</v>
      </c>
      <c r="P3358" t="s">
        <v>9477</v>
      </c>
      <c r="Y3358" t="s">
        <v>14826</v>
      </c>
    </row>
    <row r="3359" spans="1:25">
      <c r="A3359" t="s">
        <v>14828</v>
      </c>
      <c r="B3359" t="s">
        <v>14829</v>
      </c>
      <c r="D3359" t="s">
        <v>9473</v>
      </c>
      <c r="E3359" t="s">
        <v>9474</v>
      </c>
      <c r="J3359" t="s">
        <v>78</v>
      </c>
      <c r="K3359" t="s">
        <v>79</v>
      </c>
      <c r="L3359">
        <v>6</v>
      </c>
      <c r="M3359" t="s">
        <v>14830</v>
      </c>
      <c r="N3359" t="s">
        <v>47</v>
      </c>
      <c r="O3359" t="s">
        <v>9477</v>
      </c>
      <c r="P3359" t="s">
        <v>9477</v>
      </c>
      <c r="Y3359" t="s">
        <v>14831</v>
      </c>
    </row>
    <row r="3360" spans="1:25">
      <c r="A3360" t="s">
        <v>14832</v>
      </c>
      <c r="B3360" t="s">
        <v>14833</v>
      </c>
      <c r="D3360" t="s">
        <v>9473</v>
      </c>
      <c r="E3360" t="s">
        <v>9474</v>
      </c>
      <c r="J3360" t="s">
        <v>90</v>
      </c>
      <c r="K3360" t="s">
        <v>91</v>
      </c>
      <c r="L3360">
        <v>6</v>
      </c>
      <c r="M3360" t="s">
        <v>14834</v>
      </c>
      <c r="N3360" t="s">
        <v>47</v>
      </c>
      <c r="O3360" t="s">
        <v>9477</v>
      </c>
      <c r="P3360" t="s">
        <v>9477</v>
      </c>
      <c r="Y3360" t="s">
        <v>14835</v>
      </c>
    </row>
    <row r="3361" spans="1:25">
      <c r="A3361" t="s">
        <v>14836</v>
      </c>
      <c r="B3361" t="s">
        <v>14837</v>
      </c>
      <c r="D3361" t="s">
        <v>9473</v>
      </c>
      <c r="E3361" t="s">
        <v>9474</v>
      </c>
      <c r="J3361" t="s">
        <v>44</v>
      </c>
      <c r="K3361" t="s">
        <v>45</v>
      </c>
      <c r="L3361">
        <v>6</v>
      </c>
      <c r="M3361" t="s">
        <v>14838</v>
      </c>
      <c r="N3361" t="s">
        <v>47</v>
      </c>
      <c r="O3361" t="s">
        <v>9477</v>
      </c>
      <c r="P3361" t="s">
        <v>9477</v>
      </c>
      <c r="Y3361" t="s">
        <v>14839</v>
      </c>
    </row>
    <row r="3362" spans="1:25">
      <c r="A3362" t="s">
        <v>14840</v>
      </c>
      <c r="B3362" t="s">
        <v>14841</v>
      </c>
      <c r="D3362" t="s">
        <v>9473</v>
      </c>
      <c r="E3362" t="s">
        <v>9474</v>
      </c>
      <c r="H3362" t="s">
        <v>14842</v>
      </c>
      <c r="J3362" t="s">
        <v>54</v>
      </c>
      <c r="K3362" t="s">
        <v>55</v>
      </c>
      <c r="L3362">
        <v>6</v>
      </c>
      <c r="M3362" t="s">
        <v>14838</v>
      </c>
      <c r="N3362" t="s">
        <v>47</v>
      </c>
      <c r="O3362" t="s">
        <v>9477</v>
      </c>
      <c r="P3362" t="s">
        <v>9477</v>
      </c>
      <c r="Y3362" t="s">
        <v>14842</v>
      </c>
    </row>
    <row r="3363" spans="1:25">
      <c r="A3363" t="s">
        <v>14843</v>
      </c>
      <c r="B3363" t="s">
        <v>14844</v>
      </c>
      <c r="D3363" t="s">
        <v>9473</v>
      </c>
      <c r="E3363" t="s">
        <v>9474</v>
      </c>
      <c r="J3363" t="s">
        <v>90</v>
      </c>
      <c r="K3363" t="s">
        <v>91</v>
      </c>
      <c r="L3363">
        <v>6</v>
      </c>
      <c r="M3363" t="s">
        <v>14838</v>
      </c>
      <c r="N3363" t="s">
        <v>47</v>
      </c>
      <c r="O3363" t="s">
        <v>9477</v>
      </c>
      <c r="P3363" t="s">
        <v>9477</v>
      </c>
      <c r="Y3363" t="s">
        <v>14845</v>
      </c>
    </row>
    <row r="3364" spans="1:25">
      <c r="A3364" t="s">
        <v>14846</v>
      </c>
      <c r="B3364" t="s">
        <v>14847</v>
      </c>
      <c r="D3364" t="s">
        <v>9473</v>
      </c>
      <c r="E3364" t="s">
        <v>9474</v>
      </c>
      <c r="J3364" t="s">
        <v>78</v>
      </c>
      <c r="K3364" t="s">
        <v>79</v>
      </c>
      <c r="L3364">
        <v>6</v>
      </c>
      <c r="M3364" t="s">
        <v>14838</v>
      </c>
      <c r="N3364" t="s">
        <v>47</v>
      </c>
      <c r="O3364" t="s">
        <v>9477</v>
      </c>
      <c r="P3364" t="s">
        <v>9477</v>
      </c>
      <c r="Y3364" t="s">
        <v>14848</v>
      </c>
    </row>
    <row r="3365" spans="1:25">
      <c r="A3365" t="s">
        <v>14849</v>
      </c>
      <c r="B3365" t="s">
        <v>14850</v>
      </c>
      <c r="D3365" t="s">
        <v>9473</v>
      </c>
      <c r="E3365" t="s">
        <v>9474</v>
      </c>
      <c r="J3365" t="s">
        <v>371</v>
      </c>
      <c r="K3365" t="s">
        <v>372</v>
      </c>
      <c r="L3365">
        <v>6</v>
      </c>
      <c r="M3365" t="s">
        <v>14851</v>
      </c>
      <c r="N3365" t="s">
        <v>47</v>
      </c>
      <c r="O3365" t="s">
        <v>9477</v>
      </c>
      <c r="P3365" t="s">
        <v>9477</v>
      </c>
      <c r="Y3365" t="s">
        <v>14852</v>
      </c>
    </row>
    <row r="3366" spans="1:25">
      <c r="A3366" t="s">
        <v>14853</v>
      </c>
      <c r="B3366" t="s">
        <v>14854</v>
      </c>
      <c r="D3366" t="s">
        <v>9473</v>
      </c>
      <c r="E3366" t="s">
        <v>9474</v>
      </c>
      <c r="H3366" t="s">
        <v>14855</v>
      </c>
      <c r="J3366" t="s">
        <v>90</v>
      </c>
      <c r="K3366" t="s">
        <v>91</v>
      </c>
      <c r="L3366">
        <v>6</v>
      </c>
      <c r="M3366" t="s">
        <v>14851</v>
      </c>
      <c r="N3366" t="s">
        <v>47</v>
      </c>
      <c r="O3366" t="s">
        <v>9477</v>
      </c>
      <c r="P3366" t="s">
        <v>9477</v>
      </c>
      <c r="Y3366" t="s">
        <v>14855</v>
      </c>
    </row>
    <row r="3367" spans="1:25">
      <c r="A3367" t="s">
        <v>14856</v>
      </c>
      <c r="B3367" t="s">
        <v>14857</v>
      </c>
      <c r="D3367" t="s">
        <v>9473</v>
      </c>
      <c r="E3367" t="s">
        <v>9474</v>
      </c>
      <c r="H3367" t="s">
        <v>14858</v>
      </c>
      <c r="J3367" t="s">
        <v>90</v>
      </c>
      <c r="K3367" t="s">
        <v>91</v>
      </c>
      <c r="L3367">
        <v>6</v>
      </c>
      <c r="M3367" t="s">
        <v>14851</v>
      </c>
      <c r="N3367" t="s">
        <v>47</v>
      </c>
      <c r="O3367" t="s">
        <v>9477</v>
      </c>
      <c r="P3367" t="s">
        <v>9477</v>
      </c>
      <c r="Y3367" t="s">
        <v>14858</v>
      </c>
    </row>
    <row r="3368" spans="1:25">
      <c r="A3368" t="s">
        <v>14859</v>
      </c>
      <c r="B3368" t="s">
        <v>14860</v>
      </c>
      <c r="D3368" t="s">
        <v>9473</v>
      </c>
      <c r="E3368" t="s">
        <v>9474</v>
      </c>
      <c r="H3368" t="s">
        <v>14861</v>
      </c>
      <c r="J3368" t="s">
        <v>78</v>
      </c>
      <c r="K3368" t="s">
        <v>79</v>
      </c>
      <c r="L3368">
        <v>6</v>
      </c>
      <c r="M3368" t="s">
        <v>14851</v>
      </c>
      <c r="N3368" t="s">
        <v>47</v>
      </c>
      <c r="O3368" t="s">
        <v>9477</v>
      </c>
      <c r="P3368" t="s">
        <v>9477</v>
      </c>
      <c r="Y3368" t="s">
        <v>14861</v>
      </c>
    </row>
    <row r="3369" spans="1:25">
      <c r="A3369" t="s">
        <v>14862</v>
      </c>
      <c r="B3369" t="s">
        <v>14863</v>
      </c>
      <c r="D3369" t="s">
        <v>9473</v>
      </c>
      <c r="E3369" t="s">
        <v>9474</v>
      </c>
      <c r="H3369" t="s">
        <v>14864</v>
      </c>
      <c r="J3369" t="s">
        <v>234</v>
      </c>
      <c r="K3369" t="s">
        <v>235</v>
      </c>
      <c r="L3369">
        <v>6</v>
      </c>
      <c r="M3369" t="s">
        <v>14865</v>
      </c>
      <c r="N3369" t="s">
        <v>47</v>
      </c>
      <c r="O3369" t="s">
        <v>9477</v>
      </c>
      <c r="P3369" t="s">
        <v>9477</v>
      </c>
      <c r="Y3369" t="s">
        <v>14864</v>
      </c>
    </row>
    <row r="3370" spans="1:25">
      <c r="A3370" t="s">
        <v>14866</v>
      </c>
      <c r="B3370" t="s">
        <v>14867</v>
      </c>
      <c r="D3370" t="s">
        <v>9473</v>
      </c>
      <c r="E3370" t="s">
        <v>9474</v>
      </c>
      <c r="H3370" t="s">
        <v>14868</v>
      </c>
      <c r="J3370" t="s">
        <v>90</v>
      </c>
      <c r="K3370" t="s">
        <v>91</v>
      </c>
      <c r="L3370">
        <v>6</v>
      </c>
      <c r="M3370" t="s">
        <v>14869</v>
      </c>
      <c r="N3370" t="s">
        <v>47</v>
      </c>
      <c r="O3370" t="s">
        <v>9477</v>
      </c>
      <c r="P3370" t="s">
        <v>9477</v>
      </c>
      <c r="Y3370" t="s">
        <v>14868</v>
      </c>
    </row>
    <row r="3371" spans="1:25">
      <c r="A3371" t="s">
        <v>14870</v>
      </c>
      <c r="B3371" t="s">
        <v>14871</v>
      </c>
      <c r="D3371" t="s">
        <v>9473</v>
      </c>
      <c r="E3371" t="s">
        <v>9474</v>
      </c>
      <c r="J3371" t="s">
        <v>353</v>
      </c>
      <c r="K3371" t="s">
        <v>354</v>
      </c>
      <c r="L3371">
        <v>6</v>
      </c>
      <c r="M3371" t="s">
        <v>14872</v>
      </c>
      <c r="N3371" t="s">
        <v>135</v>
      </c>
      <c r="O3371" t="s">
        <v>9477</v>
      </c>
      <c r="P3371" t="s">
        <v>9477</v>
      </c>
      <c r="Y3371" t="s">
        <v>14873</v>
      </c>
    </row>
    <row r="3372" spans="1:25">
      <c r="A3372" t="s">
        <v>14874</v>
      </c>
      <c r="B3372" t="s">
        <v>14875</v>
      </c>
      <c r="D3372" t="s">
        <v>9473</v>
      </c>
      <c r="E3372" t="s">
        <v>9474</v>
      </c>
      <c r="J3372" t="s">
        <v>44</v>
      </c>
      <c r="K3372" t="s">
        <v>45</v>
      </c>
      <c r="L3372">
        <v>6</v>
      </c>
      <c r="M3372" t="s">
        <v>14876</v>
      </c>
      <c r="N3372" t="s">
        <v>47</v>
      </c>
      <c r="O3372" t="s">
        <v>9477</v>
      </c>
      <c r="P3372" t="s">
        <v>9477</v>
      </c>
      <c r="Y3372" t="s">
        <v>14877</v>
      </c>
    </row>
    <row r="3373" spans="1:25">
      <c r="A3373" t="s">
        <v>14878</v>
      </c>
      <c r="B3373" t="s">
        <v>14879</v>
      </c>
      <c r="D3373" t="s">
        <v>9473</v>
      </c>
      <c r="E3373" t="s">
        <v>9474</v>
      </c>
      <c r="J3373" t="s">
        <v>371</v>
      </c>
      <c r="K3373" t="s">
        <v>372</v>
      </c>
      <c r="L3373">
        <v>6</v>
      </c>
      <c r="M3373" t="s">
        <v>14876</v>
      </c>
      <c r="N3373" t="s">
        <v>47</v>
      </c>
      <c r="O3373" t="s">
        <v>9477</v>
      </c>
      <c r="P3373" t="s">
        <v>9477</v>
      </c>
      <c r="Y3373" t="s">
        <v>14880</v>
      </c>
    </row>
    <row r="3374" spans="1:25">
      <c r="A3374" t="s">
        <v>14881</v>
      </c>
      <c r="B3374" t="s">
        <v>14882</v>
      </c>
      <c r="D3374" t="s">
        <v>9473</v>
      </c>
      <c r="E3374" t="s">
        <v>9474</v>
      </c>
      <c r="J3374" t="s">
        <v>90</v>
      </c>
      <c r="K3374" t="s">
        <v>91</v>
      </c>
      <c r="L3374">
        <v>6</v>
      </c>
      <c r="M3374" t="s">
        <v>14876</v>
      </c>
      <c r="N3374" t="s">
        <v>47</v>
      </c>
      <c r="O3374" t="s">
        <v>9477</v>
      </c>
      <c r="P3374" t="s">
        <v>9477</v>
      </c>
      <c r="Y3374" t="s">
        <v>14883</v>
      </c>
    </row>
    <row r="3375" spans="1:25">
      <c r="A3375" t="s">
        <v>14884</v>
      </c>
      <c r="B3375" t="s">
        <v>14885</v>
      </c>
      <c r="D3375" t="s">
        <v>9473</v>
      </c>
      <c r="E3375" t="s">
        <v>9474</v>
      </c>
      <c r="J3375" t="s">
        <v>78</v>
      </c>
      <c r="K3375" t="s">
        <v>79</v>
      </c>
      <c r="L3375">
        <v>6</v>
      </c>
      <c r="M3375" t="s">
        <v>14876</v>
      </c>
      <c r="N3375" t="s">
        <v>47</v>
      </c>
      <c r="O3375" t="s">
        <v>9477</v>
      </c>
      <c r="P3375" t="s">
        <v>9477</v>
      </c>
      <c r="Y3375" t="s">
        <v>14886</v>
      </c>
    </row>
    <row r="3376" spans="1:25">
      <c r="A3376" t="s">
        <v>14887</v>
      </c>
      <c r="B3376" t="s">
        <v>14888</v>
      </c>
      <c r="D3376" t="s">
        <v>9473</v>
      </c>
      <c r="E3376" t="s">
        <v>9474</v>
      </c>
      <c r="J3376" t="s">
        <v>44</v>
      </c>
      <c r="K3376" t="s">
        <v>45</v>
      </c>
      <c r="L3376">
        <v>6</v>
      </c>
      <c r="M3376" t="s">
        <v>14889</v>
      </c>
      <c r="N3376" t="s">
        <v>47</v>
      </c>
      <c r="O3376" t="s">
        <v>9477</v>
      </c>
      <c r="P3376" t="s">
        <v>9477</v>
      </c>
      <c r="Y3376" t="s">
        <v>14890</v>
      </c>
    </row>
    <row r="3377" spans="1:25">
      <c r="A3377" t="s">
        <v>14891</v>
      </c>
      <c r="B3377" t="s">
        <v>14892</v>
      </c>
      <c r="D3377" t="s">
        <v>9473</v>
      </c>
      <c r="E3377" t="s">
        <v>9474</v>
      </c>
      <c r="J3377" t="s">
        <v>90</v>
      </c>
      <c r="K3377" t="s">
        <v>91</v>
      </c>
      <c r="L3377">
        <v>6</v>
      </c>
      <c r="M3377" t="s">
        <v>14893</v>
      </c>
      <c r="N3377" t="s">
        <v>47</v>
      </c>
      <c r="O3377" t="s">
        <v>9477</v>
      </c>
      <c r="P3377" t="s">
        <v>9477</v>
      </c>
      <c r="Y3377" t="s">
        <v>14894</v>
      </c>
    </row>
    <row r="3378" spans="1:25">
      <c r="A3378" t="s">
        <v>14895</v>
      </c>
      <c r="B3378" t="s">
        <v>14896</v>
      </c>
      <c r="D3378" t="s">
        <v>9473</v>
      </c>
      <c r="E3378" t="s">
        <v>9474</v>
      </c>
      <c r="J3378" t="s">
        <v>78</v>
      </c>
      <c r="K3378" t="s">
        <v>79</v>
      </c>
      <c r="L3378">
        <v>6</v>
      </c>
      <c r="M3378" t="s">
        <v>14897</v>
      </c>
      <c r="N3378" t="s">
        <v>47</v>
      </c>
      <c r="O3378" t="s">
        <v>9477</v>
      </c>
      <c r="P3378" t="s">
        <v>9477</v>
      </c>
      <c r="Y3378" t="s">
        <v>14898</v>
      </c>
    </row>
    <row r="3379" spans="1:25">
      <c r="A3379" t="s">
        <v>14899</v>
      </c>
      <c r="B3379" t="s">
        <v>14900</v>
      </c>
      <c r="D3379" t="s">
        <v>9473</v>
      </c>
      <c r="E3379" t="s">
        <v>9474</v>
      </c>
      <c r="J3379" t="s">
        <v>44</v>
      </c>
      <c r="K3379" t="s">
        <v>45</v>
      </c>
      <c r="L3379">
        <v>6</v>
      </c>
      <c r="M3379" t="s">
        <v>14901</v>
      </c>
      <c r="N3379" t="s">
        <v>47</v>
      </c>
      <c r="O3379" t="s">
        <v>9477</v>
      </c>
      <c r="P3379" t="s">
        <v>9477</v>
      </c>
      <c r="Y3379" t="s">
        <v>14902</v>
      </c>
    </row>
    <row r="3380" spans="1:25">
      <c r="A3380" t="s">
        <v>14903</v>
      </c>
      <c r="B3380" t="s">
        <v>14904</v>
      </c>
      <c r="D3380" t="s">
        <v>9473</v>
      </c>
      <c r="E3380" t="s">
        <v>9474</v>
      </c>
      <c r="J3380" t="s">
        <v>90</v>
      </c>
      <c r="K3380" t="s">
        <v>91</v>
      </c>
      <c r="L3380">
        <v>6</v>
      </c>
      <c r="M3380" t="s">
        <v>14901</v>
      </c>
      <c r="N3380" t="s">
        <v>47</v>
      </c>
      <c r="O3380" t="s">
        <v>9477</v>
      </c>
      <c r="P3380" t="s">
        <v>9477</v>
      </c>
      <c r="Y3380" t="s">
        <v>14905</v>
      </c>
    </row>
    <row r="3381" spans="1:25">
      <c r="A3381" t="s">
        <v>14906</v>
      </c>
      <c r="B3381" t="s">
        <v>14907</v>
      </c>
      <c r="D3381" t="s">
        <v>9473</v>
      </c>
      <c r="E3381" t="s">
        <v>9474</v>
      </c>
      <c r="H3381" t="s">
        <v>14908</v>
      </c>
      <c r="J3381" t="s">
        <v>371</v>
      </c>
      <c r="K3381" t="s">
        <v>372</v>
      </c>
      <c r="L3381">
        <v>6</v>
      </c>
      <c r="M3381" t="s">
        <v>14901</v>
      </c>
      <c r="N3381" t="s">
        <v>47</v>
      </c>
      <c r="O3381" t="s">
        <v>9477</v>
      </c>
      <c r="P3381" t="s">
        <v>9477</v>
      </c>
      <c r="Y3381" t="s">
        <v>14908</v>
      </c>
    </row>
    <row r="3382" spans="1:25">
      <c r="A3382" t="s">
        <v>14909</v>
      </c>
      <c r="B3382" t="s">
        <v>14910</v>
      </c>
      <c r="D3382" t="s">
        <v>9473</v>
      </c>
      <c r="E3382" t="s">
        <v>9474</v>
      </c>
      <c r="J3382" t="s">
        <v>54</v>
      </c>
      <c r="K3382" t="s">
        <v>55</v>
      </c>
      <c r="L3382">
        <v>6</v>
      </c>
      <c r="M3382" t="s">
        <v>14911</v>
      </c>
      <c r="N3382" t="s">
        <v>47</v>
      </c>
      <c r="O3382" t="s">
        <v>9477</v>
      </c>
      <c r="P3382" t="s">
        <v>9477</v>
      </c>
      <c r="Y3382" t="s">
        <v>14912</v>
      </c>
    </row>
    <row r="3383" spans="1:25">
      <c r="A3383" t="s">
        <v>14913</v>
      </c>
      <c r="B3383" t="s">
        <v>14914</v>
      </c>
      <c r="D3383" t="s">
        <v>9473</v>
      </c>
      <c r="E3383" t="s">
        <v>9474</v>
      </c>
      <c r="H3383" t="s">
        <v>14915</v>
      </c>
      <c r="J3383" t="s">
        <v>927</v>
      </c>
      <c r="K3383" t="s">
        <v>928</v>
      </c>
      <c r="L3383">
        <v>6</v>
      </c>
      <c r="M3383" t="s">
        <v>14916</v>
      </c>
      <c r="N3383" t="s">
        <v>685</v>
      </c>
      <c r="O3383" t="s">
        <v>9477</v>
      </c>
      <c r="P3383" t="s">
        <v>9477</v>
      </c>
      <c r="Y3383" t="s">
        <v>14915</v>
      </c>
    </row>
    <row r="3384" spans="1:25">
      <c r="A3384" t="s">
        <v>14917</v>
      </c>
      <c r="B3384" t="s">
        <v>14918</v>
      </c>
      <c r="D3384" t="s">
        <v>9473</v>
      </c>
      <c r="E3384" t="s">
        <v>9474</v>
      </c>
      <c r="J3384" t="s">
        <v>90</v>
      </c>
      <c r="K3384" t="s">
        <v>91</v>
      </c>
      <c r="L3384">
        <v>6</v>
      </c>
      <c r="M3384" t="s">
        <v>14916</v>
      </c>
      <c r="N3384" t="s">
        <v>47</v>
      </c>
      <c r="O3384" t="s">
        <v>9477</v>
      </c>
      <c r="P3384" t="s">
        <v>9477</v>
      </c>
      <c r="Y3384" t="s">
        <v>14919</v>
      </c>
    </row>
    <row r="3385" spans="1:25">
      <c r="A3385" t="s">
        <v>14920</v>
      </c>
      <c r="B3385" t="s">
        <v>14921</v>
      </c>
      <c r="D3385" t="s">
        <v>9473</v>
      </c>
      <c r="E3385" t="s">
        <v>9474</v>
      </c>
      <c r="J3385" t="s">
        <v>90</v>
      </c>
      <c r="K3385" t="s">
        <v>91</v>
      </c>
      <c r="L3385">
        <v>6</v>
      </c>
      <c r="M3385" t="s">
        <v>14916</v>
      </c>
      <c r="N3385" t="s">
        <v>47</v>
      </c>
      <c r="O3385" t="s">
        <v>9477</v>
      </c>
      <c r="P3385" t="s">
        <v>9477</v>
      </c>
      <c r="Y3385" t="s">
        <v>14922</v>
      </c>
    </row>
    <row r="3386" spans="1:25">
      <c r="A3386" t="s">
        <v>14923</v>
      </c>
      <c r="B3386" t="s">
        <v>14924</v>
      </c>
      <c r="D3386" t="s">
        <v>9473</v>
      </c>
      <c r="E3386" t="s">
        <v>9474</v>
      </c>
      <c r="J3386" t="s">
        <v>44</v>
      </c>
      <c r="K3386" t="s">
        <v>45</v>
      </c>
      <c r="L3386">
        <v>6</v>
      </c>
      <c r="M3386" t="s">
        <v>14916</v>
      </c>
      <c r="N3386" t="s">
        <v>47</v>
      </c>
      <c r="O3386" t="s">
        <v>9477</v>
      </c>
      <c r="P3386" t="s">
        <v>9477</v>
      </c>
      <c r="Y3386" t="s">
        <v>14925</v>
      </c>
    </row>
    <row r="3387" spans="1:25">
      <c r="A3387" t="s">
        <v>14926</v>
      </c>
      <c r="B3387" t="s">
        <v>14927</v>
      </c>
      <c r="D3387" t="s">
        <v>9473</v>
      </c>
      <c r="E3387" t="s">
        <v>9474</v>
      </c>
      <c r="J3387" t="s">
        <v>90</v>
      </c>
      <c r="K3387" t="s">
        <v>91</v>
      </c>
      <c r="L3387">
        <v>6</v>
      </c>
      <c r="M3387" t="s">
        <v>14928</v>
      </c>
      <c r="N3387" t="s">
        <v>47</v>
      </c>
      <c r="O3387" t="s">
        <v>9477</v>
      </c>
      <c r="P3387" t="s">
        <v>9477</v>
      </c>
      <c r="Y3387" t="s">
        <v>14929</v>
      </c>
    </row>
    <row r="3388" spans="1:25">
      <c r="A3388" t="s">
        <v>14930</v>
      </c>
      <c r="B3388" t="s">
        <v>14931</v>
      </c>
      <c r="D3388" t="s">
        <v>9473</v>
      </c>
      <c r="E3388" t="s">
        <v>9474</v>
      </c>
      <c r="J3388" t="s">
        <v>90</v>
      </c>
      <c r="K3388" t="s">
        <v>91</v>
      </c>
      <c r="L3388">
        <v>6</v>
      </c>
      <c r="M3388" t="s">
        <v>14932</v>
      </c>
      <c r="N3388" t="s">
        <v>47</v>
      </c>
      <c r="O3388" t="s">
        <v>9477</v>
      </c>
      <c r="P3388" t="s">
        <v>9477</v>
      </c>
      <c r="Y3388" t="s">
        <v>14933</v>
      </c>
    </row>
    <row r="3389" spans="1:25">
      <c r="A3389" t="s">
        <v>14934</v>
      </c>
      <c r="B3389" t="s">
        <v>14935</v>
      </c>
      <c r="D3389" t="s">
        <v>9473</v>
      </c>
      <c r="E3389" t="s">
        <v>9474</v>
      </c>
      <c r="J3389" t="s">
        <v>90</v>
      </c>
      <c r="K3389" t="s">
        <v>91</v>
      </c>
      <c r="L3389">
        <v>6</v>
      </c>
      <c r="M3389" t="s">
        <v>14932</v>
      </c>
      <c r="N3389" t="s">
        <v>47</v>
      </c>
      <c r="O3389" t="s">
        <v>9477</v>
      </c>
      <c r="P3389" t="s">
        <v>9477</v>
      </c>
      <c r="Y3389" t="s">
        <v>14936</v>
      </c>
    </row>
    <row r="3390" spans="1:25">
      <c r="A3390" t="s">
        <v>14937</v>
      </c>
      <c r="B3390" t="s">
        <v>14938</v>
      </c>
      <c r="D3390" t="s">
        <v>9473</v>
      </c>
      <c r="E3390" t="s">
        <v>9474</v>
      </c>
      <c r="H3390" t="s">
        <v>14939</v>
      </c>
      <c r="J3390" t="s">
        <v>44</v>
      </c>
      <c r="K3390" t="s">
        <v>45</v>
      </c>
      <c r="L3390">
        <v>6</v>
      </c>
      <c r="M3390" t="s">
        <v>14940</v>
      </c>
      <c r="N3390" t="s">
        <v>47</v>
      </c>
      <c r="O3390" t="s">
        <v>9477</v>
      </c>
      <c r="P3390" t="s">
        <v>9477</v>
      </c>
      <c r="Y3390" t="s">
        <v>14939</v>
      </c>
    </row>
    <row r="3391" spans="1:25">
      <c r="A3391" t="s">
        <v>14941</v>
      </c>
      <c r="B3391" t="s">
        <v>14942</v>
      </c>
      <c r="D3391" t="s">
        <v>9473</v>
      </c>
      <c r="E3391" t="s">
        <v>9474</v>
      </c>
      <c r="J3391" t="s">
        <v>54</v>
      </c>
      <c r="K3391" t="s">
        <v>55</v>
      </c>
      <c r="L3391">
        <v>6</v>
      </c>
      <c r="M3391" t="s">
        <v>14943</v>
      </c>
      <c r="N3391" t="s">
        <v>47</v>
      </c>
      <c r="O3391" t="s">
        <v>9477</v>
      </c>
      <c r="P3391" t="s">
        <v>9477</v>
      </c>
      <c r="Y3391" t="s">
        <v>14944</v>
      </c>
    </row>
    <row r="3392" spans="1:25">
      <c r="A3392" t="s">
        <v>14945</v>
      </c>
      <c r="B3392" t="s">
        <v>14946</v>
      </c>
      <c r="D3392" t="s">
        <v>9473</v>
      </c>
      <c r="E3392" t="s">
        <v>9474</v>
      </c>
      <c r="J3392" t="s">
        <v>90</v>
      </c>
      <c r="K3392" t="s">
        <v>91</v>
      </c>
      <c r="L3392">
        <v>6</v>
      </c>
      <c r="M3392" t="s">
        <v>14947</v>
      </c>
      <c r="N3392" t="s">
        <v>47</v>
      </c>
      <c r="O3392" t="s">
        <v>9477</v>
      </c>
      <c r="P3392" t="s">
        <v>9477</v>
      </c>
      <c r="Y3392" t="s">
        <v>14948</v>
      </c>
    </row>
    <row r="3393" spans="1:25">
      <c r="A3393" t="s">
        <v>14949</v>
      </c>
      <c r="B3393" t="s">
        <v>14950</v>
      </c>
      <c r="D3393" t="s">
        <v>9473</v>
      </c>
      <c r="E3393" t="s">
        <v>9474</v>
      </c>
      <c r="J3393" t="s">
        <v>90</v>
      </c>
      <c r="K3393" t="s">
        <v>91</v>
      </c>
      <c r="L3393">
        <v>6</v>
      </c>
      <c r="M3393" t="s">
        <v>14947</v>
      </c>
      <c r="N3393" t="s">
        <v>47</v>
      </c>
      <c r="O3393" t="s">
        <v>9477</v>
      </c>
      <c r="P3393" t="s">
        <v>9477</v>
      </c>
      <c r="Y3393" t="s">
        <v>14951</v>
      </c>
    </row>
    <row r="3394" spans="1:25">
      <c r="A3394" t="s">
        <v>14952</v>
      </c>
      <c r="B3394" t="s">
        <v>14953</v>
      </c>
      <c r="D3394" t="s">
        <v>9473</v>
      </c>
      <c r="E3394" t="s">
        <v>9474</v>
      </c>
      <c r="J3394" t="s">
        <v>44</v>
      </c>
      <c r="K3394" t="s">
        <v>45</v>
      </c>
      <c r="L3394">
        <v>6</v>
      </c>
      <c r="M3394" t="s">
        <v>14954</v>
      </c>
      <c r="N3394" t="s">
        <v>47</v>
      </c>
      <c r="O3394" t="s">
        <v>9477</v>
      </c>
      <c r="P3394" t="s">
        <v>9477</v>
      </c>
      <c r="Y3394" t="s">
        <v>14955</v>
      </c>
    </row>
    <row r="3395" spans="1:25">
      <c r="A3395" t="s">
        <v>14956</v>
      </c>
      <c r="B3395" t="s">
        <v>14957</v>
      </c>
      <c r="D3395" t="s">
        <v>9473</v>
      </c>
      <c r="E3395" t="s">
        <v>9474</v>
      </c>
      <c r="J3395" t="s">
        <v>90</v>
      </c>
      <c r="K3395" t="s">
        <v>91</v>
      </c>
      <c r="L3395">
        <v>6</v>
      </c>
      <c r="M3395" t="s">
        <v>14954</v>
      </c>
      <c r="N3395" t="s">
        <v>47</v>
      </c>
      <c r="O3395" t="s">
        <v>9477</v>
      </c>
      <c r="P3395" t="s">
        <v>9477</v>
      </c>
      <c r="Y3395" t="s">
        <v>14958</v>
      </c>
    </row>
    <row r="3396" spans="1:25">
      <c r="A3396" t="s">
        <v>14959</v>
      </c>
      <c r="B3396" t="s">
        <v>14960</v>
      </c>
      <c r="D3396" t="s">
        <v>9473</v>
      </c>
      <c r="E3396" t="s">
        <v>9474</v>
      </c>
      <c r="J3396" t="s">
        <v>133</v>
      </c>
      <c r="K3396" t="s">
        <v>134</v>
      </c>
      <c r="L3396">
        <v>6</v>
      </c>
      <c r="M3396" t="s">
        <v>14961</v>
      </c>
      <c r="N3396" t="s">
        <v>685</v>
      </c>
      <c r="O3396" t="s">
        <v>9477</v>
      </c>
      <c r="P3396" t="s">
        <v>9477</v>
      </c>
      <c r="Y3396" t="s">
        <v>14962</v>
      </c>
    </row>
    <row r="3397" spans="1:25">
      <c r="A3397" t="s">
        <v>14963</v>
      </c>
      <c r="B3397" t="s">
        <v>14964</v>
      </c>
      <c r="D3397" t="s">
        <v>9473</v>
      </c>
      <c r="E3397" t="s">
        <v>9474</v>
      </c>
      <c r="J3397" t="s">
        <v>54</v>
      </c>
      <c r="K3397" t="s">
        <v>55</v>
      </c>
      <c r="L3397">
        <v>6</v>
      </c>
      <c r="M3397" t="s">
        <v>14961</v>
      </c>
      <c r="N3397" t="s">
        <v>47</v>
      </c>
      <c r="O3397" t="s">
        <v>9477</v>
      </c>
      <c r="P3397" t="s">
        <v>9477</v>
      </c>
      <c r="Y3397" t="s">
        <v>14965</v>
      </c>
    </row>
    <row r="3398" spans="1:25">
      <c r="A3398" t="s">
        <v>14966</v>
      </c>
      <c r="B3398" t="s">
        <v>14967</v>
      </c>
      <c r="D3398" t="s">
        <v>9473</v>
      </c>
      <c r="E3398" t="s">
        <v>9474</v>
      </c>
      <c r="J3398" t="s">
        <v>133</v>
      </c>
      <c r="K3398" t="s">
        <v>134</v>
      </c>
      <c r="L3398">
        <v>6</v>
      </c>
      <c r="M3398" t="s">
        <v>14961</v>
      </c>
      <c r="N3398" t="s">
        <v>135</v>
      </c>
      <c r="O3398" t="s">
        <v>9477</v>
      </c>
      <c r="P3398" t="s">
        <v>9477</v>
      </c>
      <c r="Y3398" t="s">
        <v>14968</v>
      </c>
    </row>
    <row r="3399" spans="1:25">
      <c r="A3399" t="s">
        <v>14969</v>
      </c>
      <c r="B3399" t="s">
        <v>14970</v>
      </c>
      <c r="D3399" t="s">
        <v>9473</v>
      </c>
      <c r="E3399" t="s">
        <v>9474</v>
      </c>
      <c r="J3399" t="s">
        <v>90</v>
      </c>
      <c r="K3399" t="s">
        <v>91</v>
      </c>
      <c r="L3399">
        <v>6</v>
      </c>
      <c r="M3399" t="s">
        <v>14971</v>
      </c>
      <c r="N3399" t="s">
        <v>47</v>
      </c>
      <c r="O3399" t="s">
        <v>9477</v>
      </c>
      <c r="P3399" t="s">
        <v>9477</v>
      </c>
      <c r="Y3399" t="s">
        <v>14972</v>
      </c>
    </row>
    <row r="3400" spans="1:25">
      <c r="A3400" t="s">
        <v>14973</v>
      </c>
      <c r="B3400" t="s">
        <v>14974</v>
      </c>
      <c r="D3400" t="s">
        <v>9473</v>
      </c>
      <c r="E3400" t="s">
        <v>9474</v>
      </c>
      <c r="J3400" t="s">
        <v>54</v>
      </c>
      <c r="K3400" t="s">
        <v>55</v>
      </c>
      <c r="L3400">
        <v>6</v>
      </c>
      <c r="M3400" t="s">
        <v>14971</v>
      </c>
      <c r="N3400" t="s">
        <v>47</v>
      </c>
      <c r="O3400" t="s">
        <v>9477</v>
      </c>
      <c r="P3400" t="s">
        <v>9477</v>
      </c>
      <c r="Y3400" t="s">
        <v>14975</v>
      </c>
    </row>
    <row r="3401" spans="1:25">
      <c r="A3401" t="s">
        <v>14976</v>
      </c>
      <c r="B3401" t="s">
        <v>14977</v>
      </c>
      <c r="D3401" t="s">
        <v>9473</v>
      </c>
      <c r="E3401" t="s">
        <v>9474</v>
      </c>
      <c r="J3401" t="s">
        <v>90</v>
      </c>
      <c r="K3401" t="s">
        <v>91</v>
      </c>
      <c r="L3401">
        <v>6</v>
      </c>
      <c r="M3401" t="s">
        <v>14971</v>
      </c>
      <c r="N3401" t="s">
        <v>47</v>
      </c>
      <c r="O3401" t="s">
        <v>9477</v>
      </c>
      <c r="P3401" t="s">
        <v>9477</v>
      </c>
      <c r="Y3401" t="s">
        <v>14978</v>
      </c>
    </row>
    <row r="3402" spans="1:25">
      <c r="A3402" t="s">
        <v>14979</v>
      </c>
      <c r="B3402" t="s">
        <v>14980</v>
      </c>
      <c r="D3402" t="s">
        <v>9473</v>
      </c>
      <c r="E3402" t="s">
        <v>9474</v>
      </c>
      <c r="H3402" t="s">
        <v>14981</v>
      </c>
      <c r="J3402" t="s">
        <v>44</v>
      </c>
      <c r="K3402" t="s">
        <v>45</v>
      </c>
      <c r="L3402">
        <v>6</v>
      </c>
      <c r="M3402" t="s">
        <v>14971</v>
      </c>
      <c r="N3402" t="s">
        <v>47</v>
      </c>
      <c r="O3402" t="s">
        <v>9477</v>
      </c>
      <c r="P3402" t="s">
        <v>9477</v>
      </c>
      <c r="Y3402" t="s">
        <v>14981</v>
      </c>
    </row>
    <row r="3403" spans="1:25">
      <c r="A3403" t="s">
        <v>14982</v>
      </c>
      <c r="B3403" t="s">
        <v>14983</v>
      </c>
      <c r="D3403" t="s">
        <v>9473</v>
      </c>
      <c r="E3403" t="s">
        <v>9474</v>
      </c>
      <c r="H3403" t="s">
        <v>14984</v>
      </c>
      <c r="J3403" t="s">
        <v>765</v>
      </c>
      <c r="K3403" t="s">
        <v>766</v>
      </c>
      <c r="L3403">
        <v>6</v>
      </c>
      <c r="M3403" t="s">
        <v>14985</v>
      </c>
      <c r="N3403" t="s">
        <v>685</v>
      </c>
      <c r="O3403" t="s">
        <v>9477</v>
      </c>
      <c r="P3403" t="s">
        <v>9477</v>
      </c>
      <c r="Y3403" t="s">
        <v>14984</v>
      </c>
    </row>
    <row r="3404" spans="1:25">
      <c r="A3404" t="s">
        <v>14986</v>
      </c>
      <c r="B3404" t="s">
        <v>14987</v>
      </c>
      <c r="D3404" t="s">
        <v>9473</v>
      </c>
      <c r="E3404" t="s">
        <v>9474</v>
      </c>
      <c r="J3404" t="s">
        <v>78</v>
      </c>
      <c r="K3404" t="s">
        <v>79</v>
      </c>
      <c r="L3404">
        <v>6</v>
      </c>
      <c r="M3404" t="s">
        <v>14988</v>
      </c>
      <c r="N3404" t="s">
        <v>47</v>
      </c>
      <c r="O3404" t="s">
        <v>9477</v>
      </c>
      <c r="P3404" t="s">
        <v>9477</v>
      </c>
      <c r="Y3404" t="s">
        <v>14989</v>
      </c>
    </row>
    <row r="3405" spans="1:25">
      <c r="A3405" t="s">
        <v>14990</v>
      </c>
      <c r="B3405" t="s">
        <v>14991</v>
      </c>
      <c r="D3405" t="s">
        <v>9473</v>
      </c>
      <c r="E3405" t="s">
        <v>9474</v>
      </c>
      <c r="J3405" t="s">
        <v>497</v>
      </c>
      <c r="K3405" t="s">
        <v>498</v>
      </c>
      <c r="L3405">
        <v>6</v>
      </c>
      <c r="M3405" t="s">
        <v>14988</v>
      </c>
      <c r="N3405" t="s">
        <v>685</v>
      </c>
      <c r="O3405" t="s">
        <v>9477</v>
      </c>
      <c r="P3405" t="s">
        <v>9477</v>
      </c>
      <c r="Y3405" t="s">
        <v>14992</v>
      </c>
    </row>
    <row r="3406" spans="1:25">
      <c r="A3406" t="s">
        <v>14993</v>
      </c>
      <c r="B3406" t="s">
        <v>14994</v>
      </c>
      <c r="D3406" t="s">
        <v>9473</v>
      </c>
      <c r="E3406" t="s">
        <v>9474</v>
      </c>
      <c r="J3406" t="s">
        <v>371</v>
      </c>
      <c r="K3406" t="s">
        <v>372</v>
      </c>
      <c r="L3406">
        <v>6</v>
      </c>
      <c r="M3406" t="s">
        <v>14995</v>
      </c>
      <c r="N3406" t="s">
        <v>47</v>
      </c>
      <c r="O3406" t="s">
        <v>9477</v>
      </c>
      <c r="P3406" t="s">
        <v>9477</v>
      </c>
      <c r="Y3406" t="s">
        <v>14996</v>
      </c>
    </row>
    <row r="3407" spans="1:25">
      <c r="A3407" t="s">
        <v>14997</v>
      </c>
      <c r="B3407" t="s">
        <v>14998</v>
      </c>
      <c r="D3407" t="s">
        <v>9473</v>
      </c>
      <c r="E3407" t="s">
        <v>9474</v>
      </c>
      <c r="J3407" t="s">
        <v>78</v>
      </c>
      <c r="K3407" t="s">
        <v>79</v>
      </c>
      <c r="L3407">
        <v>6</v>
      </c>
      <c r="M3407" t="s">
        <v>14999</v>
      </c>
      <c r="N3407" t="s">
        <v>47</v>
      </c>
      <c r="O3407" t="s">
        <v>9477</v>
      </c>
      <c r="P3407" t="s">
        <v>9477</v>
      </c>
      <c r="Y3407" t="s">
        <v>15000</v>
      </c>
    </row>
    <row r="3408" spans="1:25">
      <c r="A3408" t="s">
        <v>15001</v>
      </c>
      <c r="B3408" t="s">
        <v>15002</v>
      </c>
      <c r="D3408" t="s">
        <v>9473</v>
      </c>
      <c r="E3408" t="s">
        <v>9474</v>
      </c>
      <c r="J3408" t="s">
        <v>44</v>
      </c>
      <c r="K3408" t="s">
        <v>45</v>
      </c>
      <c r="L3408">
        <v>6</v>
      </c>
      <c r="M3408" t="s">
        <v>15003</v>
      </c>
      <c r="N3408" t="s">
        <v>47</v>
      </c>
      <c r="O3408" t="s">
        <v>9477</v>
      </c>
      <c r="P3408" t="s">
        <v>9477</v>
      </c>
      <c r="Y3408" t="s">
        <v>15004</v>
      </c>
    </row>
    <row r="3409" spans="1:25">
      <c r="A3409" t="s">
        <v>15005</v>
      </c>
      <c r="B3409" t="s">
        <v>15006</v>
      </c>
      <c r="D3409" t="s">
        <v>9473</v>
      </c>
      <c r="E3409" t="s">
        <v>9474</v>
      </c>
      <c r="J3409" t="s">
        <v>133</v>
      </c>
      <c r="K3409" t="s">
        <v>134</v>
      </c>
      <c r="L3409">
        <v>6</v>
      </c>
      <c r="M3409" t="s">
        <v>15003</v>
      </c>
      <c r="N3409" t="s">
        <v>685</v>
      </c>
      <c r="O3409" t="s">
        <v>9477</v>
      </c>
      <c r="P3409" t="s">
        <v>9477</v>
      </c>
      <c r="Y3409" t="s">
        <v>15007</v>
      </c>
    </row>
    <row r="3410" spans="1:25">
      <c r="A3410" t="s">
        <v>15008</v>
      </c>
      <c r="B3410" t="s">
        <v>15009</v>
      </c>
      <c r="D3410" t="s">
        <v>9473</v>
      </c>
      <c r="E3410" t="s">
        <v>9474</v>
      </c>
      <c r="J3410" t="s">
        <v>44</v>
      </c>
      <c r="K3410" t="s">
        <v>45</v>
      </c>
      <c r="L3410">
        <v>6</v>
      </c>
      <c r="M3410" t="s">
        <v>15003</v>
      </c>
      <c r="N3410" t="s">
        <v>47</v>
      </c>
      <c r="O3410" t="s">
        <v>9477</v>
      </c>
      <c r="P3410" t="s">
        <v>9477</v>
      </c>
      <c r="Y3410" t="s">
        <v>15010</v>
      </c>
    </row>
    <row r="3411" spans="1:25">
      <c r="A3411" t="s">
        <v>15011</v>
      </c>
      <c r="B3411" t="s">
        <v>15012</v>
      </c>
      <c r="D3411" t="s">
        <v>9473</v>
      </c>
      <c r="E3411" t="s">
        <v>9474</v>
      </c>
      <c r="J3411" t="s">
        <v>54</v>
      </c>
      <c r="K3411" t="s">
        <v>55</v>
      </c>
      <c r="L3411">
        <v>6</v>
      </c>
      <c r="M3411" t="s">
        <v>15013</v>
      </c>
      <c r="N3411" t="s">
        <v>47</v>
      </c>
      <c r="O3411" t="s">
        <v>9477</v>
      </c>
      <c r="P3411" t="s">
        <v>9477</v>
      </c>
      <c r="Y3411" t="s">
        <v>15014</v>
      </c>
    </row>
    <row r="3412" spans="1:25">
      <c r="A3412" t="s">
        <v>15015</v>
      </c>
      <c r="B3412" t="s">
        <v>15016</v>
      </c>
      <c r="D3412" t="s">
        <v>9473</v>
      </c>
      <c r="E3412" t="s">
        <v>9474</v>
      </c>
      <c r="J3412" t="s">
        <v>44</v>
      </c>
      <c r="K3412" t="s">
        <v>45</v>
      </c>
      <c r="L3412">
        <v>6</v>
      </c>
      <c r="M3412" t="s">
        <v>15017</v>
      </c>
      <c r="N3412" t="s">
        <v>47</v>
      </c>
      <c r="O3412" t="s">
        <v>9477</v>
      </c>
      <c r="P3412" t="s">
        <v>9477</v>
      </c>
      <c r="Y3412" t="s">
        <v>15018</v>
      </c>
    </row>
    <row r="3413" spans="1:25">
      <c r="A3413" t="s">
        <v>15019</v>
      </c>
      <c r="B3413" t="s">
        <v>15020</v>
      </c>
      <c r="D3413" t="s">
        <v>9473</v>
      </c>
      <c r="E3413" t="s">
        <v>9474</v>
      </c>
      <c r="J3413" t="s">
        <v>44</v>
      </c>
      <c r="K3413" t="s">
        <v>45</v>
      </c>
      <c r="L3413">
        <v>6</v>
      </c>
      <c r="M3413" t="s">
        <v>15021</v>
      </c>
      <c r="N3413" t="s">
        <v>47</v>
      </c>
      <c r="O3413" t="s">
        <v>9477</v>
      </c>
      <c r="P3413" t="s">
        <v>9477</v>
      </c>
      <c r="Y3413" t="s">
        <v>15022</v>
      </c>
    </row>
    <row r="3414" spans="1:25">
      <c r="A3414" t="s">
        <v>15023</v>
      </c>
      <c r="B3414" t="s">
        <v>15024</v>
      </c>
      <c r="D3414" t="s">
        <v>9473</v>
      </c>
      <c r="E3414" t="s">
        <v>9474</v>
      </c>
      <c r="J3414" t="s">
        <v>78</v>
      </c>
      <c r="K3414" t="s">
        <v>79</v>
      </c>
      <c r="L3414">
        <v>6</v>
      </c>
      <c r="M3414" t="s">
        <v>15025</v>
      </c>
      <c r="N3414" t="s">
        <v>47</v>
      </c>
      <c r="O3414" t="s">
        <v>9477</v>
      </c>
      <c r="P3414" t="s">
        <v>9477</v>
      </c>
      <c r="Y3414" t="s">
        <v>15026</v>
      </c>
    </row>
    <row r="3415" spans="1:25">
      <c r="A3415" t="s">
        <v>15027</v>
      </c>
      <c r="B3415" t="s">
        <v>15028</v>
      </c>
      <c r="D3415" t="s">
        <v>9473</v>
      </c>
      <c r="E3415" t="s">
        <v>9474</v>
      </c>
      <c r="J3415" t="s">
        <v>90</v>
      </c>
      <c r="K3415" t="s">
        <v>91</v>
      </c>
      <c r="L3415">
        <v>6</v>
      </c>
      <c r="M3415" t="s">
        <v>15029</v>
      </c>
      <c r="N3415" t="s">
        <v>47</v>
      </c>
      <c r="O3415" t="s">
        <v>9477</v>
      </c>
      <c r="P3415" t="s">
        <v>9477</v>
      </c>
      <c r="Y3415" t="s">
        <v>15030</v>
      </c>
    </row>
    <row r="3416" spans="1:25">
      <c r="A3416" t="s">
        <v>15031</v>
      </c>
      <c r="B3416" t="s">
        <v>15032</v>
      </c>
      <c r="D3416" t="s">
        <v>9473</v>
      </c>
      <c r="E3416" t="s">
        <v>9474</v>
      </c>
      <c r="J3416" t="s">
        <v>353</v>
      </c>
      <c r="K3416" t="s">
        <v>354</v>
      </c>
      <c r="L3416">
        <v>6</v>
      </c>
      <c r="M3416" t="s">
        <v>15033</v>
      </c>
      <c r="N3416" t="s">
        <v>685</v>
      </c>
      <c r="O3416" t="s">
        <v>9477</v>
      </c>
      <c r="P3416" t="s">
        <v>9477</v>
      </c>
      <c r="Y3416" t="s">
        <v>15034</v>
      </c>
    </row>
    <row r="3417" spans="1:25">
      <c r="A3417" t="s">
        <v>15035</v>
      </c>
      <c r="B3417" t="s">
        <v>15036</v>
      </c>
      <c r="D3417" t="s">
        <v>9473</v>
      </c>
      <c r="E3417" t="s">
        <v>9474</v>
      </c>
      <c r="J3417" t="s">
        <v>90</v>
      </c>
      <c r="K3417" t="s">
        <v>91</v>
      </c>
      <c r="L3417">
        <v>6</v>
      </c>
      <c r="M3417" t="s">
        <v>15037</v>
      </c>
      <c r="N3417" t="s">
        <v>47</v>
      </c>
      <c r="O3417" t="s">
        <v>9477</v>
      </c>
      <c r="P3417" t="s">
        <v>9477</v>
      </c>
      <c r="Y3417" t="s">
        <v>15038</v>
      </c>
    </row>
    <row r="3418" spans="1:25">
      <c r="A3418" t="s">
        <v>15039</v>
      </c>
      <c r="B3418" t="s">
        <v>15040</v>
      </c>
      <c r="D3418" t="s">
        <v>9473</v>
      </c>
      <c r="E3418" t="s">
        <v>9474</v>
      </c>
      <c r="H3418" t="s">
        <v>15041</v>
      </c>
      <c r="J3418" t="s">
        <v>90</v>
      </c>
      <c r="K3418" t="s">
        <v>91</v>
      </c>
      <c r="L3418">
        <v>6</v>
      </c>
      <c r="M3418" t="s">
        <v>15042</v>
      </c>
      <c r="N3418" t="s">
        <v>47</v>
      </c>
      <c r="O3418" t="s">
        <v>9477</v>
      </c>
      <c r="P3418" t="s">
        <v>9477</v>
      </c>
      <c r="Y3418" t="s">
        <v>15041</v>
      </c>
    </row>
    <row r="3419" spans="1:25">
      <c r="A3419" t="s">
        <v>15043</v>
      </c>
      <c r="B3419" t="s">
        <v>15044</v>
      </c>
      <c r="D3419" t="s">
        <v>9473</v>
      </c>
      <c r="E3419" t="s">
        <v>9474</v>
      </c>
      <c r="J3419" t="s">
        <v>90</v>
      </c>
      <c r="K3419" t="s">
        <v>91</v>
      </c>
      <c r="L3419">
        <v>6</v>
      </c>
      <c r="M3419" t="s">
        <v>15045</v>
      </c>
      <c r="N3419" t="s">
        <v>47</v>
      </c>
      <c r="O3419" t="s">
        <v>9477</v>
      </c>
      <c r="P3419" t="s">
        <v>9477</v>
      </c>
      <c r="Y3419" t="s">
        <v>15046</v>
      </c>
    </row>
    <row r="3420" spans="1:25">
      <c r="A3420" t="s">
        <v>15047</v>
      </c>
      <c r="B3420" t="s">
        <v>15048</v>
      </c>
      <c r="D3420" t="s">
        <v>9473</v>
      </c>
      <c r="E3420" t="s">
        <v>9474</v>
      </c>
      <c r="J3420" t="s">
        <v>44</v>
      </c>
      <c r="K3420" t="s">
        <v>45</v>
      </c>
      <c r="L3420">
        <v>6</v>
      </c>
      <c r="M3420" t="s">
        <v>15049</v>
      </c>
      <c r="N3420" t="s">
        <v>47</v>
      </c>
      <c r="O3420" t="s">
        <v>9477</v>
      </c>
      <c r="P3420" t="s">
        <v>9477</v>
      </c>
      <c r="Y3420" t="s">
        <v>15050</v>
      </c>
    </row>
    <row r="3421" spans="1:25">
      <c r="A3421" t="s">
        <v>15051</v>
      </c>
      <c r="B3421" t="s">
        <v>15052</v>
      </c>
      <c r="D3421" t="s">
        <v>9473</v>
      </c>
      <c r="E3421" t="s">
        <v>9474</v>
      </c>
      <c r="J3421" t="s">
        <v>44</v>
      </c>
      <c r="K3421" t="s">
        <v>45</v>
      </c>
      <c r="L3421">
        <v>6</v>
      </c>
      <c r="M3421" t="s">
        <v>15049</v>
      </c>
      <c r="N3421" t="s">
        <v>47</v>
      </c>
      <c r="O3421" t="s">
        <v>9477</v>
      </c>
      <c r="P3421" t="s">
        <v>9477</v>
      </c>
      <c r="Y3421" t="s">
        <v>15053</v>
      </c>
    </row>
    <row r="3422" spans="1:25">
      <c r="A3422" t="s">
        <v>15054</v>
      </c>
      <c r="B3422" t="s">
        <v>15055</v>
      </c>
      <c r="D3422" t="s">
        <v>9473</v>
      </c>
      <c r="E3422" t="s">
        <v>9474</v>
      </c>
      <c r="J3422" t="s">
        <v>371</v>
      </c>
      <c r="K3422" t="s">
        <v>372</v>
      </c>
      <c r="L3422">
        <v>6</v>
      </c>
      <c r="M3422" t="s">
        <v>15049</v>
      </c>
      <c r="N3422" t="s">
        <v>47</v>
      </c>
      <c r="O3422" t="s">
        <v>9477</v>
      </c>
      <c r="P3422" t="s">
        <v>9477</v>
      </c>
      <c r="Y3422" t="s">
        <v>15056</v>
      </c>
    </row>
    <row r="3423" spans="1:25">
      <c r="A3423" t="s">
        <v>15057</v>
      </c>
      <c r="B3423" t="s">
        <v>15058</v>
      </c>
      <c r="D3423" t="s">
        <v>9473</v>
      </c>
      <c r="E3423" t="s">
        <v>9474</v>
      </c>
      <c r="H3423" t="s">
        <v>15059</v>
      </c>
      <c r="J3423" t="s">
        <v>234</v>
      </c>
      <c r="K3423" t="s">
        <v>235</v>
      </c>
      <c r="L3423">
        <v>6</v>
      </c>
      <c r="M3423" t="s">
        <v>15060</v>
      </c>
      <c r="N3423" t="s">
        <v>47</v>
      </c>
      <c r="O3423" t="s">
        <v>9477</v>
      </c>
      <c r="P3423" t="s">
        <v>9477</v>
      </c>
      <c r="Y3423" t="s">
        <v>15059</v>
      </c>
    </row>
    <row r="3424" spans="1:25">
      <c r="A3424" t="s">
        <v>15061</v>
      </c>
      <c r="B3424" t="s">
        <v>15062</v>
      </c>
      <c r="D3424" t="s">
        <v>9473</v>
      </c>
      <c r="E3424" t="s">
        <v>9474</v>
      </c>
      <c r="J3424" t="s">
        <v>90</v>
      </c>
      <c r="K3424" t="s">
        <v>91</v>
      </c>
      <c r="L3424">
        <v>6</v>
      </c>
      <c r="M3424" t="s">
        <v>15063</v>
      </c>
      <c r="N3424" t="s">
        <v>47</v>
      </c>
      <c r="O3424" t="s">
        <v>9477</v>
      </c>
      <c r="P3424" t="s">
        <v>9477</v>
      </c>
      <c r="Y3424" t="s">
        <v>15064</v>
      </c>
    </row>
    <row r="3425" spans="1:25">
      <c r="A3425" t="s">
        <v>15065</v>
      </c>
      <c r="B3425" t="s">
        <v>15066</v>
      </c>
      <c r="D3425" t="s">
        <v>9473</v>
      </c>
      <c r="E3425" t="s">
        <v>9474</v>
      </c>
      <c r="J3425" t="s">
        <v>78</v>
      </c>
      <c r="K3425" t="s">
        <v>79</v>
      </c>
      <c r="L3425">
        <v>6</v>
      </c>
      <c r="M3425" t="s">
        <v>15063</v>
      </c>
      <c r="N3425" t="s">
        <v>47</v>
      </c>
      <c r="O3425" t="s">
        <v>9477</v>
      </c>
      <c r="P3425" t="s">
        <v>9477</v>
      </c>
      <c r="Y3425" t="s">
        <v>15067</v>
      </c>
    </row>
    <row r="3426" spans="1:25">
      <c r="A3426" t="s">
        <v>15068</v>
      </c>
      <c r="B3426" t="s">
        <v>15069</v>
      </c>
      <c r="D3426" t="s">
        <v>9473</v>
      </c>
      <c r="E3426" t="s">
        <v>9474</v>
      </c>
      <c r="H3426" t="s">
        <v>15070</v>
      </c>
      <c r="J3426" t="s">
        <v>54</v>
      </c>
      <c r="K3426" t="s">
        <v>55</v>
      </c>
      <c r="L3426">
        <v>6</v>
      </c>
      <c r="M3426" t="s">
        <v>15063</v>
      </c>
      <c r="N3426" t="s">
        <v>47</v>
      </c>
      <c r="O3426" t="s">
        <v>9477</v>
      </c>
      <c r="P3426" t="s">
        <v>9477</v>
      </c>
      <c r="Y3426" t="s">
        <v>15070</v>
      </c>
    </row>
    <row r="3427" spans="1:25">
      <c r="A3427" t="s">
        <v>15071</v>
      </c>
      <c r="B3427" t="s">
        <v>15072</v>
      </c>
      <c r="D3427" t="s">
        <v>9473</v>
      </c>
      <c r="E3427" t="s">
        <v>9474</v>
      </c>
      <c r="J3427" t="s">
        <v>78</v>
      </c>
      <c r="K3427" t="s">
        <v>79</v>
      </c>
      <c r="L3427">
        <v>6</v>
      </c>
      <c r="M3427" t="s">
        <v>15073</v>
      </c>
      <c r="N3427" t="s">
        <v>47</v>
      </c>
      <c r="O3427" t="s">
        <v>9477</v>
      </c>
      <c r="P3427" t="s">
        <v>9477</v>
      </c>
      <c r="Y3427" t="s">
        <v>15074</v>
      </c>
    </row>
    <row r="3428" spans="1:25">
      <c r="A3428" t="s">
        <v>15075</v>
      </c>
      <c r="B3428" t="s">
        <v>15076</v>
      </c>
      <c r="D3428" t="s">
        <v>9473</v>
      </c>
      <c r="E3428" t="s">
        <v>9474</v>
      </c>
      <c r="J3428" t="s">
        <v>497</v>
      </c>
      <c r="K3428" t="s">
        <v>498</v>
      </c>
      <c r="L3428">
        <v>6</v>
      </c>
      <c r="M3428" t="s">
        <v>15077</v>
      </c>
      <c r="N3428" t="s">
        <v>685</v>
      </c>
      <c r="O3428" t="s">
        <v>9477</v>
      </c>
      <c r="P3428" t="s">
        <v>9477</v>
      </c>
      <c r="Y3428" t="s">
        <v>15078</v>
      </c>
    </row>
    <row r="3429" spans="1:25">
      <c r="A3429" t="s">
        <v>15079</v>
      </c>
      <c r="B3429" t="s">
        <v>15080</v>
      </c>
      <c r="D3429" t="s">
        <v>9473</v>
      </c>
      <c r="E3429" t="s">
        <v>9474</v>
      </c>
      <c r="J3429" t="s">
        <v>353</v>
      </c>
      <c r="K3429" t="s">
        <v>354</v>
      </c>
      <c r="L3429">
        <v>6</v>
      </c>
      <c r="M3429" t="s">
        <v>15077</v>
      </c>
      <c r="N3429" t="s">
        <v>685</v>
      </c>
      <c r="O3429" t="s">
        <v>9477</v>
      </c>
      <c r="P3429" t="s">
        <v>9477</v>
      </c>
      <c r="Y3429" t="s">
        <v>15081</v>
      </c>
    </row>
    <row r="3430" spans="1:25">
      <c r="A3430" t="s">
        <v>15082</v>
      </c>
      <c r="B3430" t="s">
        <v>15083</v>
      </c>
      <c r="D3430" t="s">
        <v>9473</v>
      </c>
      <c r="E3430" t="s">
        <v>9474</v>
      </c>
      <c r="H3430" t="s">
        <v>15084</v>
      </c>
      <c r="J3430" t="s">
        <v>234</v>
      </c>
      <c r="K3430" t="s">
        <v>235</v>
      </c>
      <c r="L3430">
        <v>6</v>
      </c>
      <c r="M3430" t="s">
        <v>15085</v>
      </c>
      <c r="N3430" t="s">
        <v>47</v>
      </c>
      <c r="O3430" t="s">
        <v>9477</v>
      </c>
      <c r="P3430" t="s">
        <v>9477</v>
      </c>
      <c r="Y3430" t="s">
        <v>15084</v>
      </c>
    </row>
    <row r="3431" spans="1:25">
      <c r="A3431" t="s">
        <v>15086</v>
      </c>
      <c r="B3431" t="s">
        <v>15087</v>
      </c>
      <c r="D3431" t="s">
        <v>9473</v>
      </c>
      <c r="E3431" t="s">
        <v>9474</v>
      </c>
      <c r="H3431" t="s">
        <v>15088</v>
      </c>
      <c r="J3431" t="s">
        <v>234</v>
      </c>
      <c r="K3431" t="s">
        <v>235</v>
      </c>
      <c r="L3431">
        <v>6</v>
      </c>
      <c r="M3431" t="s">
        <v>15089</v>
      </c>
      <c r="N3431" t="s">
        <v>47</v>
      </c>
      <c r="O3431" t="s">
        <v>9477</v>
      </c>
      <c r="P3431" t="s">
        <v>9477</v>
      </c>
      <c r="Y3431" t="s">
        <v>15088</v>
      </c>
    </row>
    <row r="3432" spans="1:25">
      <c r="A3432" t="s">
        <v>15090</v>
      </c>
      <c r="B3432" t="s">
        <v>15091</v>
      </c>
      <c r="D3432" t="s">
        <v>9473</v>
      </c>
      <c r="E3432" t="s">
        <v>9474</v>
      </c>
      <c r="J3432" t="s">
        <v>54</v>
      </c>
      <c r="K3432" t="s">
        <v>55</v>
      </c>
      <c r="L3432">
        <v>6</v>
      </c>
      <c r="M3432" t="s">
        <v>15092</v>
      </c>
      <c r="N3432" t="s">
        <v>47</v>
      </c>
      <c r="O3432" t="s">
        <v>9477</v>
      </c>
      <c r="P3432" t="s">
        <v>9477</v>
      </c>
      <c r="Y3432" t="s">
        <v>15093</v>
      </c>
    </row>
    <row r="3433" spans="1:25">
      <c r="A3433" t="s">
        <v>15094</v>
      </c>
      <c r="B3433" t="s">
        <v>15095</v>
      </c>
      <c r="D3433" t="s">
        <v>9473</v>
      </c>
      <c r="E3433" t="s">
        <v>9474</v>
      </c>
      <c r="H3433" t="s">
        <v>15096</v>
      </c>
      <c r="J3433" t="s">
        <v>927</v>
      </c>
      <c r="K3433" t="s">
        <v>928</v>
      </c>
      <c r="L3433">
        <v>6</v>
      </c>
      <c r="M3433" t="s">
        <v>15097</v>
      </c>
      <c r="N3433" t="s">
        <v>685</v>
      </c>
      <c r="O3433" t="s">
        <v>9477</v>
      </c>
      <c r="P3433" t="s">
        <v>9477</v>
      </c>
      <c r="Y3433" t="s">
        <v>15096</v>
      </c>
    </row>
    <row r="3434" spans="1:25">
      <c r="A3434" t="s">
        <v>15098</v>
      </c>
      <c r="B3434" t="s">
        <v>15099</v>
      </c>
      <c r="D3434" t="s">
        <v>9473</v>
      </c>
      <c r="E3434" t="s">
        <v>9474</v>
      </c>
      <c r="J3434" t="s">
        <v>44</v>
      </c>
      <c r="K3434" t="s">
        <v>45</v>
      </c>
      <c r="L3434">
        <v>6</v>
      </c>
      <c r="M3434" t="s">
        <v>15097</v>
      </c>
      <c r="N3434" t="s">
        <v>47</v>
      </c>
      <c r="O3434" t="s">
        <v>9477</v>
      </c>
      <c r="P3434" t="s">
        <v>9477</v>
      </c>
      <c r="Y3434" t="s">
        <v>15100</v>
      </c>
    </row>
    <row r="3435" spans="1:25">
      <c r="A3435" t="s">
        <v>15101</v>
      </c>
      <c r="B3435" t="s">
        <v>15102</v>
      </c>
      <c r="D3435" t="s">
        <v>9473</v>
      </c>
      <c r="E3435" t="s">
        <v>9474</v>
      </c>
      <c r="J3435" t="s">
        <v>90</v>
      </c>
      <c r="K3435" t="s">
        <v>91</v>
      </c>
      <c r="L3435">
        <v>6</v>
      </c>
      <c r="M3435" t="s">
        <v>15097</v>
      </c>
      <c r="N3435" t="s">
        <v>47</v>
      </c>
      <c r="O3435" t="s">
        <v>9477</v>
      </c>
      <c r="P3435" t="s">
        <v>9477</v>
      </c>
      <c r="Y3435" t="s">
        <v>15103</v>
      </c>
    </row>
    <row r="3436" spans="1:25">
      <c r="A3436" t="s">
        <v>15104</v>
      </c>
      <c r="B3436" t="s">
        <v>15105</v>
      </c>
      <c r="D3436" t="s">
        <v>9473</v>
      </c>
      <c r="E3436" t="s">
        <v>9474</v>
      </c>
      <c r="J3436" t="s">
        <v>353</v>
      </c>
      <c r="K3436" t="s">
        <v>354</v>
      </c>
      <c r="L3436">
        <v>6</v>
      </c>
      <c r="M3436" t="s">
        <v>15097</v>
      </c>
      <c r="N3436" t="s">
        <v>135</v>
      </c>
      <c r="O3436" t="s">
        <v>9477</v>
      </c>
      <c r="P3436" t="s">
        <v>9477</v>
      </c>
      <c r="Y3436" t="s">
        <v>15106</v>
      </c>
    </row>
    <row r="3437" spans="1:25">
      <c r="A3437" t="s">
        <v>15107</v>
      </c>
      <c r="B3437" t="s">
        <v>15108</v>
      </c>
      <c r="D3437" t="s">
        <v>9473</v>
      </c>
      <c r="E3437" t="s">
        <v>9474</v>
      </c>
      <c r="J3437" t="s">
        <v>90</v>
      </c>
      <c r="K3437" t="s">
        <v>91</v>
      </c>
      <c r="L3437">
        <v>6</v>
      </c>
      <c r="M3437" t="s">
        <v>15109</v>
      </c>
      <c r="N3437" t="s">
        <v>47</v>
      </c>
      <c r="O3437" t="s">
        <v>9477</v>
      </c>
      <c r="P3437" t="s">
        <v>9477</v>
      </c>
      <c r="Y3437" t="s">
        <v>15110</v>
      </c>
    </row>
    <row r="3438" spans="1:25">
      <c r="A3438" t="s">
        <v>15111</v>
      </c>
      <c r="B3438" t="s">
        <v>15112</v>
      </c>
      <c r="D3438" t="s">
        <v>9473</v>
      </c>
      <c r="E3438" t="s">
        <v>9474</v>
      </c>
      <c r="J3438" t="s">
        <v>44</v>
      </c>
      <c r="K3438" t="s">
        <v>45</v>
      </c>
      <c r="L3438">
        <v>6</v>
      </c>
      <c r="M3438" t="s">
        <v>15113</v>
      </c>
      <c r="N3438" t="s">
        <v>47</v>
      </c>
      <c r="O3438" t="s">
        <v>9477</v>
      </c>
      <c r="P3438" t="s">
        <v>9477</v>
      </c>
      <c r="Y3438" t="s">
        <v>15114</v>
      </c>
    </row>
    <row r="3439" spans="1:25">
      <c r="A3439" t="s">
        <v>15115</v>
      </c>
      <c r="B3439" t="s">
        <v>15116</v>
      </c>
      <c r="D3439" t="s">
        <v>9473</v>
      </c>
      <c r="E3439" t="s">
        <v>9474</v>
      </c>
      <c r="J3439" t="s">
        <v>133</v>
      </c>
      <c r="K3439" t="s">
        <v>134</v>
      </c>
      <c r="L3439">
        <v>6</v>
      </c>
      <c r="M3439" t="s">
        <v>15117</v>
      </c>
      <c r="N3439" t="s">
        <v>685</v>
      </c>
      <c r="O3439" t="s">
        <v>9477</v>
      </c>
      <c r="P3439" t="s">
        <v>9477</v>
      </c>
      <c r="Y3439" t="s">
        <v>15118</v>
      </c>
    </row>
    <row r="3440" spans="1:25">
      <c r="A3440" t="s">
        <v>15119</v>
      </c>
      <c r="B3440" t="s">
        <v>15120</v>
      </c>
      <c r="D3440" t="s">
        <v>9473</v>
      </c>
      <c r="E3440" t="s">
        <v>9474</v>
      </c>
      <c r="J3440" t="s">
        <v>90</v>
      </c>
      <c r="K3440" t="s">
        <v>91</v>
      </c>
      <c r="L3440">
        <v>6</v>
      </c>
      <c r="M3440" t="s">
        <v>15121</v>
      </c>
      <c r="N3440" t="s">
        <v>47</v>
      </c>
      <c r="O3440" t="s">
        <v>9477</v>
      </c>
      <c r="P3440" t="s">
        <v>9477</v>
      </c>
      <c r="Y3440" t="s">
        <v>15122</v>
      </c>
    </row>
    <row r="3441" spans="1:25">
      <c r="A3441" t="s">
        <v>15123</v>
      </c>
      <c r="B3441" t="s">
        <v>15124</v>
      </c>
      <c r="D3441" t="s">
        <v>9473</v>
      </c>
      <c r="E3441" t="s">
        <v>9474</v>
      </c>
      <c r="J3441" t="s">
        <v>90</v>
      </c>
      <c r="K3441" t="s">
        <v>91</v>
      </c>
      <c r="L3441">
        <v>6</v>
      </c>
      <c r="M3441" t="s">
        <v>15125</v>
      </c>
      <c r="N3441" t="s">
        <v>47</v>
      </c>
      <c r="O3441" t="s">
        <v>9477</v>
      </c>
      <c r="P3441" t="s">
        <v>9477</v>
      </c>
      <c r="Y3441" t="s">
        <v>15126</v>
      </c>
    </row>
    <row r="3442" spans="1:25">
      <c r="A3442" t="s">
        <v>15127</v>
      </c>
      <c r="B3442" t="s">
        <v>15128</v>
      </c>
      <c r="D3442" t="s">
        <v>9473</v>
      </c>
      <c r="E3442" t="s">
        <v>9474</v>
      </c>
      <c r="J3442" t="s">
        <v>90</v>
      </c>
      <c r="K3442" t="s">
        <v>91</v>
      </c>
      <c r="L3442">
        <v>6</v>
      </c>
      <c r="M3442" t="s">
        <v>15129</v>
      </c>
      <c r="N3442" t="s">
        <v>47</v>
      </c>
      <c r="O3442" t="s">
        <v>9477</v>
      </c>
      <c r="P3442" t="s">
        <v>9477</v>
      </c>
      <c r="Y3442" t="s">
        <v>15130</v>
      </c>
    </row>
    <row r="3443" spans="1:25">
      <c r="A3443" t="s">
        <v>15131</v>
      </c>
      <c r="B3443" t="s">
        <v>15132</v>
      </c>
      <c r="D3443" t="s">
        <v>9473</v>
      </c>
      <c r="E3443" t="s">
        <v>9474</v>
      </c>
      <c r="H3443" t="s">
        <v>15133</v>
      </c>
      <c r="J3443" t="s">
        <v>90</v>
      </c>
      <c r="K3443" t="s">
        <v>91</v>
      </c>
      <c r="L3443">
        <v>6</v>
      </c>
      <c r="M3443" t="s">
        <v>15129</v>
      </c>
      <c r="N3443" t="s">
        <v>47</v>
      </c>
      <c r="O3443" t="s">
        <v>9477</v>
      </c>
      <c r="P3443" t="s">
        <v>9477</v>
      </c>
      <c r="Y3443" t="s">
        <v>15133</v>
      </c>
    </row>
    <row r="3444" spans="1:25">
      <c r="A3444" t="s">
        <v>15134</v>
      </c>
      <c r="B3444" t="s">
        <v>15135</v>
      </c>
      <c r="D3444" t="s">
        <v>9473</v>
      </c>
      <c r="E3444" t="s">
        <v>9474</v>
      </c>
      <c r="J3444" t="s">
        <v>44</v>
      </c>
      <c r="K3444" t="s">
        <v>45</v>
      </c>
      <c r="L3444">
        <v>6</v>
      </c>
      <c r="M3444" t="s">
        <v>15129</v>
      </c>
      <c r="N3444" t="s">
        <v>47</v>
      </c>
      <c r="O3444" t="s">
        <v>9477</v>
      </c>
      <c r="P3444" t="s">
        <v>9477</v>
      </c>
      <c r="Y3444" t="s">
        <v>15136</v>
      </c>
    </row>
    <row r="3445" spans="1:25">
      <c r="A3445" t="s">
        <v>15137</v>
      </c>
      <c r="B3445" t="s">
        <v>15138</v>
      </c>
      <c r="D3445" t="s">
        <v>9473</v>
      </c>
      <c r="E3445" t="s">
        <v>9474</v>
      </c>
      <c r="H3445" t="s">
        <v>15139</v>
      </c>
      <c r="J3445" t="s">
        <v>90</v>
      </c>
      <c r="K3445" t="s">
        <v>91</v>
      </c>
      <c r="L3445">
        <v>6</v>
      </c>
      <c r="M3445" t="s">
        <v>15140</v>
      </c>
      <c r="N3445" t="s">
        <v>47</v>
      </c>
      <c r="O3445" t="s">
        <v>9477</v>
      </c>
      <c r="P3445" t="s">
        <v>9477</v>
      </c>
      <c r="Y3445" t="s">
        <v>15139</v>
      </c>
    </row>
    <row r="3446" spans="1:25">
      <c r="A3446" t="s">
        <v>15141</v>
      </c>
      <c r="B3446" t="s">
        <v>15142</v>
      </c>
      <c r="D3446" t="s">
        <v>9473</v>
      </c>
      <c r="E3446" t="s">
        <v>9474</v>
      </c>
      <c r="J3446" t="s">
        <v>54</v>
      </c>
      <c r="K3446" t="s">
        <v>55</v>
      </c>
      <c r="L3446">
        <v>6</v>
      </c>
      <c r="M3446" t="s">
        <v>15143</v>
      </c>
      <c r="N3446" t="s">
        <v>47</v>
      </c>
      <c r="O3446" t="s">
        <v>9477</v>
      </c>
      <c r="P3446" t="s">
        <v>9477</v>
      </c>
      <c r="Y3446" t="s">
        <v>15144</v>
      </c>
    </row>
    <row r="3447" spans="1:25">
      <c r="A3447" t="s">
        <v>15145</v>
      </c>
      <c r="B3447" t="s">
        <v>15146</v>
      </c>
      <c r="D3447" t="s">
        <v>9473</v>
      </c>
      <c r="E3447" t="s">
        <v>9474</v>
      </c>
      <c r="H3447" t="s">
        <v>15147</v>
      </c>
      <c r="J3447" t="s">
        <v>353</v>
      </c>
      <c r="K3447" t="s">
        <v>354</v>
      </c>
      <c r="L3447">
        <v>6</v>
      </c>
      <c r="M3447" t="s">
        <v>15148</v>
      </c>
      <c r="N3447" t="s">
        <v>135</v>
      </c>
      <c r="O3447" t="s">
        <v>9477</v>
      </c>
      <c r="P3447" t="s">
        <v>9477</v>
      </c>
      <c r="Y3447" t="s">
        <v>15147</v>
      </c>
    </row>
    <row r="3448" spans="1:25">
      <c r="A3448" t="s">
        <v>15149</v>
      </c>
      <c r="B3448" t="s">
        <v>15150</v>
      </c>
      <c r="D3448" t="s">
        <v>9473</v>
      </c>
      <c r="E3448" t="s">
        <v>9474</v>
      </c>
      <c r="J3448" t="s">
        <v>54</v>
      </c>
      <c r="K3448" t="s">
        <v>55</v>
      </c>
      <c r="L3448">
        <v>6</v>
      </c>
      <c r="M3448" t="s">
        <v>15151</v>
      </c>
      <c r="N3448" t="s">
        <v>47</v>
      </c>
      <c r="O3448" t="s">
        <v>9477</v>
      </c>
      <c r="P3448" t="s">
        <v>9477</v>
      </c>
      <c r="Y3448" t="s">
        <v>15152</v>
      </c>
    </row>
    <row r="3449" spans="1:25">
      <c r="A3449" t="s">
        <v>15153</v>
      </c>
      <c r="B3449" t="s">
        <v>15154</v>
      </c>
      <c r="D3449" t="s">
        <v>9473</v>
      </c>
      <c r="E3449" t="s">
        <v>9474</v>
      </c>
      <c r="J3449" t="s">
        <v>90</v>
      </c>
      <c r="K3449" t="s">
        <v>91</v>
      </c>
      <c r="L3449">
        <v>6</v>
      </c>
      <c r="M3449" t="s">
        <v>15155</v>
      </c>
      <c r="N3449" t="s">
        <v>47</v>
      </c>
      <c r="O3449" t="s">
        <v>9477</v>
      </c>
      <c r="P3449" t="s">
        <v>9477</v>
      </c>
      <c r="Y3449" t="s">
        <v>15156</v>
      </c>
    </row>
    <row r="3450" spans="1:25">
      <c r="A3450" t="s">
        <v>15157</v>
      </c>
      <c r="B3450" t="s">
        <v>15158</v>
      </c>
      <c r="D3450" t="s">
        <v>9473</v>
      </c>
      <c r="E3450" t="s">
        <v>9474</v>
      </c>
      <c r="J3450" t="s">
        <v>90</v>
      </c>
      <c r="K3450" t="s">
        <v>91</v>
      </c>
      <c r="L3450">
        <v>6</v>
      </c>
      <c r="M3450" t="s">
        <v>15155</v>
      </c>
      <c r="N3450" t="s">
        <v>47</v>
      </c>
      <c r="O3450" t="s">
        <v>9477</v>
      </c>
      <c r="P3450" t="s">
        <v>9477</v>
      </c>
      <c r="Y3450" t="s">
        <v>15159</v>
      </c>
    </row>
    <row r="3451" spans="1:25">
      <c r="A3451" t="s">
        <v>15160</v>
      </c>
      <c r="B3451" t="s">
        <v>15161</v>
      </c>
      <c r="D3451" t="s">
        <v>9473</v>
      </c>
      <c r="E3451" t="s">
        <v>9474</v>
      </c>
      <c r="J3451" t="s">
        <v>54</v>
      </c>
      <c r="K3451" t="s">
        <v>55</v>
      </c>
      <c r="L3451">
        <v>6</v>
      </c>
      <c r="M3451" t="s">
        <v>15155</v>
      </c>
      <c r="N3451" t="s">
        <v>47</v>
      </c>
      <c r="O3451" t="s">
        <v>9477</v>
      </c>
      <c r="P3451" t="s">
        <v>9477</v>
      </c>
      <c r="Y3451" t="s">
        <v>15162</v>
      </c>
    </row>
    <row r="3452" spans="1:25">
      <c r="A3452" t="s">
        <v>15163</v>
      </c>
      <c r="B3452" t="s">
        <v>15164</v>
      </c>
      <c r="D3452" t="s">
        <v>9473</v>
      </c>
      <c r="E3452" t="s">
        <v>9474</v>
      </c>
      <c r="J3452" t="s">
        <v>90</v>
      </c>
      <c r="K3452" t="s">
        <v>91</v>
      </c>
      <c r="L3452">
        <v>6</v>
      </c>
      <c r="M3452" t="s">
        <v>15155</v>
      </c>
      <c r="N3452" t="s">
        <v>47</v>
      </c>
      <c r="O3452" t="s">
        <v>9477</v>
      </c>
      <c r="P3452" t="s">
        <v>9477</v>
      </c>
      <c r="Y3452" t="s">
        <v>15165</v>
      </c>
    </row>
    <row r="3453" spans="1:25">
      <c r="A3453" t="s">
        <v>15166</v>
      </c>
      <c r="B3453" t="s">
        <v>15167</v>
      </c>
      <c r="D3453" t="s">
        <v>9473</v>
      </c>
      <c r="E3453" t="s">
        <v>9474</v>
      </c>
      <c r="J3453" t="s">
        <v>133</v>
      </c>
      <c r="K3453" t="s">
        <v>134</v>
      </c>
      <c r="L3453">
        <v>6</v>
      </c>
      <c r="M3453" t="s">
        <v>15168</v>
      </c>
      <c r="N3453" t="s">
        <v>685</v>
      </c>
      <c r="O3453" t="s">
        <v>9477</v>
      </c>
      <c r="P3453" t="s">
        <v>9477</v>
      </c>
      <c r="Y3453" t="s">
        <v>15169</v>
      </c>
    </row>
    <row r="3454" spans="1:25">
      <c r="A3454" t="s">
        <v>15170</v>
      </c>
      <c r="B3454" t="s">
        <v>15171</v>
      </c>
      <c r="D3454" t="s">
        <v>9473</v>
      </c>
      <c r="E3454" t="s">
        <v>9474</v>
      </c>
      <c r="J3454" t="s">
        <v>44</v>
      </c>
      <c r="K3454" t="s">
        <v>45</v>
      </c>
      <c r="L3454">
        <v>6</v>
      </c>
      <c r="M3454" t="s">
        <v>15172</v>
      </c>
      <c r="N3454" t="s">
        <v>47</v>
      </c>
      <c r="O3454" t="s">
        <v>9477</v>
      </c>
      <c r="P3454" t="s">
        <v>9477</v>
      </c>
      <c r="Y3454" t="s">
        <v>15173</v>
      </c>
    </row>
    <row r="3455" spans="1:25">
      <c r="A3455" t="s">
        <v>15174</v>
      </c>
      <c r="B3455" t="s">
        <v>15175</v>
      </c>
      <c r="D3455" t="s">
        <v>9473</v>
      </c>
      <c r="E3455" t="s">
        <v>9474</v>
      </c>
      <c r="J3455" t="s">
        <v>44</v>
      </c>
      <c r="K3455" t="s">
        <v>45</v>
      </c>
      <c r="L3455">
        <v>6</v>
      </c>
      <c r="M3455" t="s">
        <v>15176</v>
      </c>
      <c r="N3455" t="s">
        <v>47</v>
      </c>
      <c r="O3455" t="s">
        <v>9477</v>
      </c>
      <c r="P3455" t="s">
        <v>9477</v>
      </c>
      <c r="Y3455" t="s">
        <v>15177</v>
      </c>
    </row>
    <row r="3456" spans="1:25">
      <c r="A3456" t="s">
        <v>15178</v>
      </c>
      <c r="B3456" t="s">
        <v>15179</v>
      </c>
      <c r="D3456" t="s">
        <v>9473</v>
      </c>
      <c r="E3456" t="s">
        <v>9474</v>
      </c>
      <c r="H3456" t="s">
        <v>15180</v>
      </c>
      <c r="J3456" t="s">
        <v>234</v>
      </c>
      <c r="K3456" t="s">
        <v>235</v>
      </c>
      <c r="L3456">
        <v>6</v>
      </c>
      <c r="M3456" t="s">
        <v>15181</v>
      </c>
      <c r="N3456" t="s">
        <v>47</v>
      </c>
      <c r="O3456" t="s">
        <v>9477</v>
      </c>
      <c r="P3456" t="s">
        <v>9477</v>
      </c>
      <c r="Y3456" t="s">
        <v>15180</v>
      </c>
    </row>
    <row r="3457" spans="1:25">
      <c r="A3457" t="s">
        <v>15182</v>
      </c>
      <c r="B3457" t="s">
        <v>15183</v>
      </c>
      <c r="D3457" t="s">
        <v>9473</v>
      </c>
      <c r="E3457" t="s">
        <v>9474</v>
      </c>
      <c r="J3457" t="s">
        <v>90</v>
      </c>
      <c r="K3457" t="s">
        <v>91</v>
      </c>
      <c r="L3457">
        <v>6</v>
      </c>
      <c r="M3457" t="s">
        <v>15184</v>
      </c>
      <c r="N3457" t="s">
        <v>47</v>
      </c>
      <c r="O3457" t="s">
        <v>9477</v>
      </c>
      <c r="P3457" t="s">
        <v>9477</v>
      </c>
      <c r="Y3457" t="s">
        <v>15185</v>
      </c>
    </row>
    <row r="3458" spans="1:25">
      <c r="A3458" t="s">
        <v>15186</v>
      </c>
      <c r="B3458" t="s">
        <v>15187</v>
      </c>
      <c r="D3458" t="s">
        <v>9473</v>
      </c>
      <c r="E3458" t="s">
        <v>9474</v>
      </c>
      <c r="J3458" t="s">
        <v>90</v>
      </c>
      <c r="K3458" t="s">
        <v>91</v>
      </c>
      <c r="L3458">
        <v>6</v>
      </c>
      <c r="M3458" t="s">
        <v>15184</v>
      </c>
      <c r="N3458" t="s">
        <v>47</v>
      </c>
      <c r="O3458" t="s">
        <v>9477</v>
      </c>
      <c r="P3458" t="s">
        <v>9477</v>
      </c>
      <c r="Y3458" t="s">
        <v>15188</v>
      </c>
    </row>
    <row r="3459" spans="1:25">
      <c r="A3459" t="s">
        <v>15189</v>
      </c>
      <c r="B3459" t="s">
        <v>15190</v>
      </c>
      <c r="D3459" t="s">
        <v>9473</v>
      </c>
      <c r="E3459" t="s">
        <v>9474</v>
      </c>
      <c r="J3459" t="s">
        <v>54</v>
      </c>
      <c r="K3459" t="s">
        <v>55</v>
      </c>
      <c r="L3459">
        <v>6</v>
      </c>
      <c r="M3459" t="s">
        <v>15191</v>
      </c>
      <c r="N3459" t="s">
        <v>47</v>
      </c>
      <c r="O3459" t="s">
        <v>9477</v>
      </c>
      <c r="P3459" t="s">
        <v>9477</v>
      </c>
      <c r="Y3459" t="s">
        <v>15192</v>
      </c>
    </row>
    <row r="3460" spans="1:25">
      <c r="A3460" t="s">
        <v>15193</v>
      </c>
      <c r="B3460" t="s">
        <v>15194</v>
      </c>
      <c r="D3460" t="s">
        <v>9473</v>
      </c>
      <c r="E3460" t="s">
        <v>9474</v>
      </c>
      <c r="J3460" t="s">
        <v>54</v>
      </c>
      <c r="K3460" t="s">
        <v>55</v>
      </c>
      <c r="L3460">
        <v>6</v>
      </c>
      <c r="M3460" t="s">
        <v>15195</v>
      </c>
      <c r="N3460" t="s">
        <v>47</v>
      </c>
      <c r="O3460" t="s">
        <v>9477</v>
      </c>
      <c r="P3460" t="s">
        <v>9477</v>
      </c>
      <c r="Y3460" t="s">
        <v>15196</v>
      </c>
    </row>
    <row r="3461" spans="1:25">
      <c r="A3461" t="s">
        <v>15197</v>
      </c>
      <c r="B3461" t="s">
        <v>15198</v>
      </c>
      <c r="D3461" t="s">
        <v>9473</v>
      </c>
      <c r="E3461" t="s">
        <v>9474</v>
      </c>
      <c r="H3461" t="s">
        <v>15199</v>
      </c>
      <c r="J3461" t="s">
        <v>133</v>
      </c>
      <c r="K3461" t="s">
        <v>134</v>
      </c>
      <c r="L3461">
        <v>6</v>
      </c>
      <c r="M3461" t="s">
        <v>15195</v>
      </c>
      <c r="N3461" t="s">
        <v>135</v>
      </c>
      <c r="O3461" t="s">
        <v>9477</v>
      </c>
      <c r="P3461" t="s">
        <v>9477</v>
      </c>
      <c r="Y3461" t="s">
        <v>15199</v>
      </c>
    </row>
    <row r="3462" spans="1:25">
      <c r="A3462" t="s">
        <v>15200</v>
      </c>
      <c r="B3462" t="s">
        <v>15201</v>
      </c>
      <c r="D3462" t="s">
        <v>9473</v>
      </c>
      <c r="E3462" t="s">
        <v>9474</v>
      </c>
      <c r="H3462" t="s">
        <v>15202</v>
      </c>
      <c r="J3462" t="s">
        <v>287</v>
      </c>
      <c r="K3462" t="s">
        <v>288</v>
      </c>
      <c r="L3462">
        <v>7</v>
      </c>
      <c r="M3462" t="s">
        <v>15203</v>
      </c>
      <c r="N3462" t="s">
        <v>135</v>
      </c>
      <c r="O3462" t="s">
        <v>9477</v>
      </c>
      <c r="P3462" t="s">
        <v>9477</v>
      </c>
      <c r="Y3462" t="s">
        <v>15202</v>
      </c>
    </row>
    <row r="3463" spans="1:25">
      <c r="A3463" t="s">
        <v>15204</v>
      </c>
      <c r="B3463" t="s">
        <v>15205</v>
      </c>
      <c r="D3463" t="s">
        <v>9473</v>
      </c>
      <c r="E3463" t="s">
        <v>9474</v>
      </c>
      <c r="J3463" t="s">
        <v>90</v>
      </c>
      <c r="K3463" t="s">
        <v>91</v>
      </c>
      <c r="L3463">
        <v>6</v>
      </c>
      <c r="M3463" t="s">
        <v>15206</v>
      </c>
      <c r="N3463" t="s">
        <v>47</v>
      </c>
      <c r="O3463" t="s">
        <v>9477</v>
      </c>
      <c r="P3463" t="s">
        <v>9477</v>
      </c>
      <c r="Y3463" t="s">
        <v>15207</v>
      </c>
    </row>
    <row r="3464" spans="1:25">
      <c r="A3464" t="s">
        <v>15208</v>
      </c>
      <c r="B3464" t="s">
        <v>15209</v>
      </c>
      <c r="D3464" t="s">
        <v>9473</v>
      </c>
      <c r="E3464" t="s">
        <v>9474</v>
      </c>
      <c r="J3464" t="s">
        <v>90</v>
      </c>
      <c r="K3464" t="s">
        <v>91</v>
      </c>
      <c r="L3464">
        <v>6</v>
      </c>
      <c r="M3464" t="s">
        <v>15206</v>
      </c>
      <c r="N3464" t="s">
        <v>47</v>
      </c>
      <c r="O3464" t="s">
        <v>9477</v>
      </c>
      <c r="P3464" t="s">
        <v>9477</v>
      </c>
      <c r="Y3464" t="s">
        <v>15210</v>
      </c>
    </row>
    <row r="3465" spans="1:25">
      <c r="A3465" t="s">
        <v>15211</v>
      </c>
      <c r="B3465" t="s">
        <v>15212</v>
      </c>
      <c r="D3465" t="s">
        <v>9473</v>
      </c>
      <c r="E3465" t="s">
        <v>9474</v>
      </c>
      <c r="J3465" t="s">
        <v>78</v>
      </c>
      <c r="K3465" t="s">
        <v>79</v>
      </c>
      <c r="L3465">
        <v>6</v>
      </c>
      <c r="M3465" t="s">
        <v>15206</v>
      </c>
      <c r="N3465" t="s">
        <v>47</v>
      </c>
      <c r="O3465" t="s">
        <v>9477</v>
      </c>
      <c r="P3465" t="s">
        <v>9477</v>
      </c>
      <c r="Y3465" t="s">
        <v>15213</v>
      </c>
    </row>
    <row r="3466" spans="1:25">
      <c r="A3466" t="s">
        <v>15214</v>
      </c>
      <c r="B3466" t="s">
        <v>15215</v>
      </c>
      <c r="D3466" t="s">
        <v>9473</v>
      </c>
      <c r="E3466" t="s">
        <v>9474</v>
      </c>
      <c r="H3466" t="s">
        <v>15216</v>
      </c>
      <c r="J3466" t="s">
        <v>78</v>
      </c>
      <c r="K3466" t="s">
        <v>79</v>
      </c>
      <c r="L3466">
        <v>6</v>
      </c>
      <c r="M3466" t="s">
        <v>15217</v>
      </c>
      <c r="N3466" t="s">
        <v>47</v>
      </c>
      <c r="O3466" t="s">
        <v>9477</v>
      </c>
      <c r="P3466" t="s">
        <v>9477</v>
      </c>
      <c r="Y3466" t="s">
        <v>15216</v>
      </c>
    </row>
    <row r="3467" spans="1:25">
      <c r="A3467" t="s">
        <v>15218</v>
      </c>
      <c r="B3467" t="s">
        <v>15219</v>
      </c>
      <c r="D3467" t="s">
        <v>9473</v>
      </c>
      <c r="E3467" t="s">
        <v>9474</v>
      </c>
      <c r="J3467" t="s">
        <v>133</v>
      </c>
      <c r="K3467" t="s">
        <v>134</v>
      </c>
      <c r="L3467">
        <v>6</v>
      </c>
      <c r="M3467" t="s">
        <v>15220</v>
      </c>
      <c r="N3467" t="s">
        <v>685</v>
      </c>
      <c r="O3467" t="s">
        <v>9477</v>
      </c>
      <c r="P3467" t="s">
        <v>9477</v>
      </c>
      <c r="Y3467" t="s">
        <v>15221</v>
      </c>
    </row>
    <row r="3468" spans="1:25">
      <c r="A3468" t="s">
        <v>15222</v>
      </c>
      <c r="B3468" t="s">
        <v>15223</v>
      </c>
      <c r="D3468" t="s">
        <v>9473</v>
      </c>
      <c r="E3468" t="s">
        <v>9474</v>
      </c>
      <c r="J3468" t="s">
        <v>78</v>
      </c>
      <c r="K3468" t="s">
        <v>79</v>
      </c>
      <c r="L3468">
        <v>6</v>
      </c>
      <c r="M3468" t="s">
        <v>15220</v>
      </c>
      <c r="N3468" t="s">
        <v>47</v>
      </c>
      <c r="O3468" t="s">
        <v>9477</v>
      </c>
      <c r="P3468" t="s">
        <v>9477</v>
      </c>
      <c r="Y3468" t="s">
        <v>15224</v>
      </c>
    </row>
    <row r="3469" spans="1:25">
      <c r="A3469" t="s">
        <v>15225</v>
      </c>
      <c r="B3469" t="s">
        <v>15226</v>
      </c>
      <c r="D3469" t="s">
        <v>9473</v>
      </c>
      <c r="E3469" t="s">
        <v>9474</v>
      </c>
      <c r="J3469" t="s">
        <v>90</v>
      </c>
      <c r="K3469" t="s">
        <v>91</v>
      </c>
      <c r="L3469">
        <v>6</v>
      </c>
      <c r="M3469" t="s">
        <v>15227</v>
      </c>
      <c r="N3469" t="s">
        <v>47</v>
      </c>
      <c r="O3469" t="s">
        <v>9477</v>
      </c>
      <c r="P3469" t="s">
        <v>9477</v>
      </c>
      <c r="Y3469" t="s">
        <v>15228</v>
      </c>
    </row>
    <row r="3470" spans="1:25">
      <c r="A3470" t="s">
        <v>15229</v>
      </c>
      <c r="B3470" t="s">
        <v>15230</v>
      </c>
      <c r="D3470" t="s">
        <v>9473</v>
      </c>
      <c r="E3470" t="s">
        <v>9474</v>
      </c>
      <c r="J3470" t="s">
        <v>44</v>
      </c>
      <c r="K3470" t="s">
        <v>45</v>
      </c>
      <c r="L3470">
        <v>6</v>
      </c>
      <c r="M3470" t="s">
        <v>15231</v>
      </c>
      <c r="N3470" t="s">
        <v>47</v>
      </c>
      <c r="O3470" t="s">
        <v>9477</v>
      </c>
      <c r="P3470" t="s">
        <v>9477</v>
      </c>
      <c r="Y3470" t="s">
        <v>15232</v>
      </c>
    </row>
    <row r="3471" spans="1:25">
      <c r="A3471" t="s">
        <v>15233</v>
      </c>
      <c r="B3471" t="s">
        <v>15234</v>
      </c>
      <c r="D3471" t="s">
        <v>9473</v>
      </c>
      <c r="E3471" t="s">
        <v>9474</v>
      </c>
      <c r="J3471" t="s">
        <v>90</v>
      </c>
      <c r="K3471" t="s">
        <v>91</v>
      </c>
      <c r="L3471">
        <v>6</v>
      </c>
      <c r="M3471" t="s">
        <v>15231</v>
      </c>
      <c r="N3471" t="s">
        <v>47</v>
      </c>
      <c r="O3471" t="s">
        <v>9477</v>
      </c>
      <c r="P3471" t="s">
        <v>9477</v>
      </c>
      <c r="Y3471" t="s">
        <v>15235</v>
      </c>
    </row>
    <row r="3472" spans="1:25">
      <c r="A3472" t="s">
        <v>15236</v>
      </c>
      <c r="B3472" t="s">
        <v>15237</v>
      </c>
      <c r="D3472" t="s">
        <v>9473</v>
      </c>
      <c r="E3472" t="s">
        <v>9474</v>
      </c>
      <c r="J3472" t="s">
        <v>497</v>
      </c>
      <c r="K3472" t="s">
        <v>498</v>
      </c>
      <c r="L3472">
        <v>6</v>
      </c>
      <c r="M3472" t="s">
        <v>15238</v>
      </c>
      <c r="N3472" t="s">
        <v>685</v>
      </c>
      <c r="O3472" t="s">
        <v>9477</v>
      </c>
      <c r="P3472" t="s">
        <v>9477</v>
      </c>
      <c r="Y3472" t="s">
        <v>15239</v>
      </c>
    </row>
    <row r="3473" spans="1:25">
      <c r="A3473" t="s">
        <v>15240</v>
      </c>
      <c r="B3473" t="s">
        <v>15241</v>
      </c>
      <c r="D3473" t="s">
        <v>9473</v>
      </c>
      <c r="E3473" t="s">
        <v>9474</v>
      </c>
      <c r="J3473" t="s">
        <v>54</v>
      </c>
      <c r="K3473" t="s">
        <v>55</v>
      </c>
      <c r="L3473">
        <v>6</v>
      </c>
      <c r="M3473" t="s">
        <v>15238</v>
      </c>
      <c r="N3473" t="s">
        <v>47</v>
      </c>
      <c r="O3473" t="s">
        <v>9477</v>
      </c>
      <c r="P3473" t="s">
        <v>9477</v>
      </c>
      <c r="Y3473" t="s">
        <v>15242</v>
      </c>
    </row>
    <row r="3474" spans="1:25">
      <c r="A3474" t="s">
        <v>15243</v>
      </c>
      <c r="B3474" t="s">
        <v>15244</v>
      </c>
      <c r="D3474" t="s">
        <v>9473</v>
      </c>
      <c r="E3474" t="s">
        <v>9474</v>
      </c>
      <c r="J3474" t="s">
        <v>78</v>
      </c>
      <c r="K3474" t="s">
        <v>79</v>
      </c>
      <c r="L3474">
        <v>6</v>
      </c>
      <c r="M3474" t="s">
        <v>15238</v>
      </c>
      <c r="N3474" t="s">
        <v>47</v>
      </c>
      <c r="O3474" t="s">
        <v>9477</v>
      </c>
      <c r="P3474" t="s">
        <v>9477</v>
      </c>
      <c r="Y3474" t="s">
        <v>15245</v>
      </c>
    </row>
    <row r="3475" spans="1:25">
      <c r="A3475" t="s">
        <v>15246</v>
      </c>
      <c r="B3475" t="s">
        <v>15247</v>
      </c>
      <c r="D3475" t="s">
        <v>9473</v>
      </c>
      <c r="E3475" t="s">
        <v>9474</v>
      </c>
      <c r="J3475" t="s">
        <v>44</v>
      </c>
      <c r="K3475" t="s">
        <v>45</v>
      </c>
      <c r="L3475">
        <v>6</v>
      </c>
      <c r="M3475" t="s">
        <v>15248</v>
      </c>
      <c r="N3475" t="s">
        <v>47</v>
      </c>
      <c r="O3475" t="s">
        <v>9477</v>
      </c>
      <c r="P3475" t="s">
        <v>9477</v>
      </c>
      <c r="Y3475" t="s">
        <v>15249</v>
      </c>
    </row>
    <row r="3476" spans="1:25">
      <c r="A3476" t="s">
        <v>15250</v>
      </c>
      <c r="B3476" t="s">
        <v>15251</v>
      </c>
      <c r="D3476" t="s">
        <v>9473</v>
      </c>
      <c r="E3476" t="s">
        <v>9474</v>
      </c>
      <c r="J3476" t="s">
        <v>54</v>
      </c>
      <c r="K3476" t="s">
        <v>55</v>
      </c>
      <c r="L3476">
        <v>6</v>
      </c>
      <c r="M3476" t="s">
        <v>15252</v>
      </c>
      <c r="N3476" t="s">
        <v>47</v>
      </c>
      <c r="O3476" t="s">
        <v>9477</v>
      </c>
      <c r="P3476" t="s">
        <v>9477</v>
      </c>
      <c r="Y3476" t="s">
        <v>15253</v>
      </c>
    </row>
    <row r="3477" spans="1:25">
      <c r="A3477" t="s">
        <v>15254</v>
      </c>
      <c r="B3477" t="s">
        <v>15255</v>
      </c>
      <c r="D3477" t="s">
        <v>9473</v>
      </c>
      <c r="E3477" t="s">
        <v>9474</v>
      </c>
      <c r="J3477" t="s">
        <v>54</v>
      </c>
      <c r="K3477" t="s">
        <v>55</v>
      </c>
      <c r="L3477">
        <v>6</v>
      </c>
      <c r="M3477" t="s">
        <v>15252</v>
      </c>
      <c r="N3477" t="s">
        <v>47</v>
      </c>
      <c r="O3477" t="s">
        <v>9477</v>
      </c>
      <c r="P3477" t="s">
        <v>9477</v>
      </c>
      <c r="Y3477" t="s">
        <v>15256</v>
      </c>
    </row>
    <row r="3478" spans="1:25">
      <c r="A3478" t="s">
        <v>15257</v>
      </c>
      <c r="B3478" t="s">
        <v>15258</v>
      </c>
      <c r="D3478" t="s">
        <v>9473</v>
      </c>
      <c r="E3478" t="s">
        <v>9474</v>
      </c>
      <c r="J3478" t="s">
        <v>78</v>
      </c>
      <c r="K3478" t="s">
        <v>79</v>
      </c>
      <c r="L3478">
        <v>6</v>
      </c>
      <c r="M3478" t="s">
        <v>15252</v>
      </c>
      <c r="N3478" t="s">
        <v>47</v>
      </c>
      <c r="O3478" t="s">
        <v>9477</v>
      </c>
      <c r="P3478" t="s">
        <v>9477</v>
      </c>
      <c r="Y3478" t="s">
        <v>15259</v>
      </c>
    </row>
    <row r="3479" spans="1:25">
      <c r="A3479" t="s">
        <v>15260</v>
      </c>
      <c r="B3479" t="s">
        <v>15261</v>
      </c>
      <c r="D3479" t="s">
        <v>9473</v>
      </c>
      <c r="E3479" t="s">
        <v>9474</v>
      </c>
      <c r="H3479" t="s">
        <v>15262</v>
      </c>
      <c r="J3479" t="s">
        <v>133</v>
      </c>
      <c r="K3479" t="s">
        <v>134</v>
      </c>
      <c r="L3479">
        <v>6</v>
      </c>
      <c r="M3479" t="s">
        <v>15263</v>
      </c>
      <c r="N3479" t="s">
        <v>135</v>
      </c>
      <c r="O3479" t="s">
        <v>9477</v>
      </c>
      <c r="P3479" t="s">
        <v>9477</v>
      </c>
      <c r="Y3479" t="s">
        <v>15262</v>
      </c>
    </row>
    <row r="3480" spans="1:25">
      <c r="A3480" t="s">
        <v>15264</v>
      </c>
      <c r="B3480" t="s">
        <v>15265</v>
      </c>
      <c r="D3480" t="s">
        <v>9473</v>
      </c>
      <c r="E3480" t="s">
        <v>9474</v>
      </c>
      <c r="J3480" t="s">
        <v>371</v>
      </c>
      <c r="K3480" t="s">
        <v>372</v>
      </c>
      <c r="L3480">
        <v>6</v>
      </c>
      <c r="M3480" t="s">
        <v>15266</v>
      </c>
      <c r="N3480" t="s">
        <v>47</v>
      </c>
      <c r="O3480" t="s">
        <v>9477</v>
      </c>
      <c r="P3480" t="s">
        <v>9477</v>
      </c>
      <c r="Y3480" t="s">
        <v>15267</v>
      </c>
    </row>
    <row r="3481" spans="1:25">
      <c r="A3481" t="s">
        <v>15268</v>
      </c>
      <c r="B3481" t="s">
        <v>15269</v>
      </c>
      <c r="D3481" t="s">
        <v>9473</v>
      </c>
      <c r="E3481" t="s">
        <v>9474</v>
      </c>
      <c r="J3481" t="s">
        <v>90</v>
      </c>
      <c r="K3481" t="s">
        <v>91</v>
      </c>
      <c r="L3481">
        <v>6</v>
      </c>
      <c r="M3481" t="s">
        <v>15270</v>
      </c>
      <c r="N3481" t="s">
        <v>47</v>
      </c>
      <c r="O3481" t="s">
        <v>9477</v>
      </c>
      <c r="P3481" t="s">
        <v>9477</v>
      </c>
      <c r="Y3481" t="s">
        <v>15271</v>
      </c>
    </row>
    <row r="3482" spans="1:25">
      <c r="A3482" t="s">
        <v>15272</v>
      </c>
      <c r="B3482" t="s">
        <v>15273</v>
      </c>
      <c r="D3482" t="s">
        <v>9473</v>
      </c>
      <c r="E3482" t="s">
        <v>9474</v>
      </c>
      <c r="J3482" t="s">
        <v>78</v>
      </c>
      <c r="K3482" t="s">
        <v>79</v>
      </c>
      <c r="L3482">
        <v>6</v>
      </c>
      <c r="M3482" t="s">
        <v>15270</v>
      </c>
      <c r="N3482" t="s">
        <v>47</v>
      </c>
      <c r="O3482" t="s">
        <v>9477</v>
      </c>
      <c r="P3482" t="s">
        <v>9477</v>
      </c>
      <c r="Y3482" t="s">
        <v>15274</v>
      </c>
    </row>
    <row r="3483" spans="1:25">
      <c r="A3483" t="s">
        <v>15275</v>
      </c>
      <c r="B3483" t="s">
        <v>15276</v>
      </c>
      <c r="D3483" t="s">
        <v>9473</v>
      </c>
      <c r="E3483" t="s">
        <v>9474</v>
      </c>
      <c r="J3483" t="s">
        <v>90</v>
      </c>
      <c r="K3483" t="s">
        <v>91</v>
      </c>
      <c r="L3483">
        <v>6</v>
      </c>
      <c r="M3483" t="s">
        <v>15277</v>
      </c>
      <c r="N3483" t="s">
        <v>47</v>
      </c>
      <c r="O3483" t="s">
        <v>9477</v>
      </c>
      <c r="P3483" t="s">
        <v>9477</v>
      </c>
      <c r="Y3483" t="s">
        <v>15278</v>
      </c>
    </row>
    <row r="3484" spans="1:25">
      <c r="A3484" t="s">
        <v>15279</v>
      </c>
      <c r="B3484" t="s">
        <v>15280</v>
      </c>
      <c r="D3484" t="s">
        <v>9473</v>
      </c>
      <c r="E3484" t="s">
        <v>9474</v>
      </c>
      <c r="J3484" t="s">
        <v>90</v>
      </c>
      <c r="K3484" t="s">
        <v>91</v>
      </c>
      <c r="L3484">
        <v>6</v>
      </c>
      <c r="M3484" t="s">
        <v>15281</v>
      </c>
      <c r="N3484" t="s">
        <v>47</v>
      </c>
      <c r="O3484" t="s">
        <v>9477</v>
      </c>
      <c r="P3484" t="s">
        <v>9477</v>
      </c>
      <c r="Y3484" t="s">
        <v>15282</v>
      </c>
    </row>
    <row r="3485" spans="1:25">
      <c r="A3485" t="s">
        <v>15283</v>
      </c>
      <c r="B3485" t="s">
        <v>15284</v>
      </c>
      <c r="D3485" t="s">
        <v>9473</v>
      </c>
      <c r="E3485" t="s">
        <v>9474</v>
      </c>
      <c r="J3485" t="s">
        <v>371</v>
      </c>
      <c r="K3485" t="s">
        <v>372</v>
      </c>
      <c r="L3485">
        <v>6</v>
      </c>
      <c r="M3485" t="s">
        <v>15281</v>
      </c>
      <c r="N3485" t="s">
        <v>47</v>
      </c>
      <c r="O3485" t="s">
        <v>9477</v>
      </c>
      <c r="P3485" t="s">
        <v>9477</v>
      </c>
      <c r="Y3485" t="s">
        <v>15285</v>
      </c>
    </row>
    <row r="3486" spans="1:25">
      <c r="A3486" t="s">
        <v>15286</v>
      </c>
      <c r="B3486" t="s">
        <v>15287</v>
      </c>
      <c r="D3486" t="s">
        <v>9473</v>
      </c>
      <c r="E3486" t="s">
        <v>9474</v>
      </c>
      <c r="J3486" t="s">
        <v>44</v>
      </c>
      <c r="K3486" t="s">
        <v>45</v>
      </c>
      <c r="L3486">
        <v>6</v>
      </c>
      <c r="M3486" t="s">
        <v>15281</v>
      </c>
      <c r="N3486" t="s">
        <v>47</v>
      </c>
      <c r="O3486" t="s">
        <v>9477</v>
      </c>
      <c r="P3486" t="s">
        <v>9477</v>
      </c>
      <c r="Y3486" t="s">
        <v>15288</v>
      </c>
    </row>
    <row r="3487" spans="1:25">
      <c r="A3487" t="s">
        <v>15289</v>
      </c>
      <c r="B3487" t="s">
        <v>15290</v>
      </c>
      <c r="D3487" t="s">
        <v>9473</v>
      </c>
      <c r="E3487" t="s">
        <v>9474</v>
      </c>
      <c r="J3487" t="s">
        <v>133</v>
      </c>
      <c r="K3487" t="s">
        <v>134</v>
      </c>
      <c r="L3487">
        <v>6</v>
      </c>
      <c r="M3487" t="s">
        <v>15281</v>
      </c>
      <c r="N3487" t="s">
        <v>685</v>
      </c>
      <c r="O3487" t="s">
        <v>9477</v>
      </c>
      <c r="P3487" t="s">
        <v>9477</v>
      </c>
      <c r="Y3487" t="s">
        <v>15291</v>
      </c>
    </row>
    <row r="3488" spans="1:25">
      <c r="A3488" t="s">
        <v>15292</v>
      </c>
      <c r="B3488" t="s">
        <v>15293</v>
      </c>
      <c r="D3488" t="s">
        <v>9473</v>
      </c>
      <c r="E3488" t="s">
        <v>9474</v>
      </c>
      <c r="H3488" t="s">
        <v>15294</v>
      </c>
      <c r="J3488" t="s">
        <v>133</v>
      </c>
      <c r="K3488" t="s">
        <v>134</v>
      </c>
      <c r="L3488">
        <v>6</v>
      </c>
      <c r="M3488" t="s">
        <v>15295</v>
      </c>
      <c r="N3488" t="s">
        <v>135</v>
      </c>
      <c r="O3488" t="s">
        <v>9477</v>
      </c>
      <c r="P3488" t="s">
        <v>9477</v>
      </c>
      <c r="Y3488" t="s">
        <v>15294</v>
      </c>
    </row>
    <row r="3489" spans="1:25">
      <c r="A3489" t="s">
        <v>15296</v>
      </c>
      <c r="B3489" t="s">
        <v>15297</v>
      </c>
      <c r="D3489" t="s">
        <v>9473</v>
      </c>
      <c r="E3489" t="s">
        <v>9474</v>
      </c>
      <c r="J3489" t="s">
        <v>90</v>
      </c>
      <c r="K3489" t="s">
        <v>91</v>
      </c>
      <c r="L3489">
        <v>6</v>
      </c>
      <c r="M3489" t="s">
        <v>15298</v>
      </c>
      <c r="N3489" t="s">
        <v>47</v>
      </c>
      <c r="O3489" t="s">
        <v>9477</v>
      </c>
      <c r="P3489" t="s">
        <v>9477</v>
      </c>
      <c r="Y3489" t="s">
        <v>15299</v>
      </c>
    </row>
    <row r="3490" spans="1:25">
      <c r="A3490" t="s">
        <v>15300</v>
      </c>
      <c r="B3490" t="s">
        <v>15301</v>
      </c>
      <c r="D3490" t="s">
        <v>9473</v>
      </c>
      <c r="E3490" t="s">
        <v>9474</v>
      </c>
      <c r="H3490" t="s">
        <v>15302</v>
      </c>
      <c r="J3490" t="s">
        <v>78</v>
      </c>
      <c r="K3490" t="s">
        <v>79</v>
      </c>
      <c r="L3490">
        <v>6</v>
      </c>
      <c r="M3490" t="s">
        <v>15298</v>
      </c>
      <c r="N3490" t="s">
        <v>47</v>
      </c>
      <c r="O3490" t="s">
        <v>9477</v>
      </c>
      <c r="P3490" t="s">
        <v>9477</v>
      </c>
      <c r="Y3490" t="s">
        <v>15302</v>
      </c>
    </row>
    <row r="3491" spans="1:25">
      <c r="A3491" t="s">
        <v>15303</v>
      </c>
      <c r="B3491" t="s">
        <v>15304</v>
      </c>
      <c r="D3491" t="s">
        <v>9473</v>
      </c>
      <c r="E3491" t="s">
        <v>9474</v>
      </c>
      <c r="J3491" t="s">
        <v>90</v>
      </c>
      <c r="K3491" t="s">
        <v>91</v>
      </c>
      <c r="L3491">
        <v>6</v>
      </c>
      <c r="M3491" t="s">
        <v>15305</v>
      </c>
      <c r="N3491" t="s">
        <v>47</v>
      </c>
      <c r="O3491" t="s">
        <v>9477</v>
      </c>
      <c r="P3491" t="s">
        <v>9477</v>
      </c>
      <c r="Y3491" t="s">
        <v>15306</v>
      </c>
    </row>
    <row r="3492" spans="1:25">
      <c r="A3492" t="s">
        <v>15307</v>
      </c>
      <c r="B3492" t="s">
        <v>15308</v>
      </c>
      <c r="D3492" t="s">
        <v>9473</v>
      </c>
      <c r="E3492" t="s">
        <v>9474</v>
      </c>
      <c r="J3492" t="s">
        <v>90</v>
      </c>
      <c r="K3492" t="s">
        <v>91</v>
      </c>
      <c r="L3492">
        <v>6</v>
      </c>
      <c r="M3492" t="s">
        <v>15309</v>
      </c>
      <c r="N3492" t="s">
        <v>47</v>
      </c>
      <c r="O3492" t="s">
        <v>9477</v>
      </c>
      <c r="P3492" t="s">
        <v>9477</v>
      </c>
      <c r="Y3492" t="s">
        <v>15310</v>
      </c>
    </row>
    <row r="3493" spans="1:25">
      <c r="A3493" t="s">
        <v>15311</v>
      </c>
      <c r="B3493" t="s">
        <v>15312</v>
      </c>
      <c r="D3493" t="s">
        <v>9473</v>
      </c>
      <c r="E3493" t="s">
        <v>9474</v>
      </c>
      <c r="J3493" t="s">
        <v>90</v>
      </c>
      <c r="K3493" t="s">
        <v>91</v>
      </c>
      <c r="L3493">
        <v>6</v>
      </c>
      <c r="M3493" t="s">
        <v>15313</v>
      </c>
      <c r="N3493" t="s">
        <v>47</v>
      </c>
      <c r="O3493" t="s">
        <v>9477</v>
      </c>
      <c r="P3493" t="s">
        <v>9477</v>
      </c>
      <c r="Y3493" t="s">
        <v>15314</v>
      </c>
    </row>
    <row r="3494" spans="1:25">
      <c r="A3494" t="s">
        <v>15315</v>
      </c>
      <c r="B3494" t="s">
        <v>15316</v>
      </c>
      <c r="D3494" t="s">
        <v>9473</v>
      </c>
      <c r="E3494" t="s">
        <v>9474</v>
      </c>
      <c r="J3494" t="s">
        <v>44</v>
      </c>
      <c r="K3494" t="s">
        <v>45</v>
      </c>
      <c r="L3494">
        <v>6</v>
      </c>
      <c r="M3494" t="s">
        <v>15317</v>
      </c>
      <c r="N3494" t="s">
        <v>47</v>
      </c>
      <c r="O3494" t="s">
        <v>9477</v>
      </c>
      <c r="P3494" t="s">
        <v>9477</v>
      </c>
      <c r="Y3494" t="s">
        <v>15318</v>
      </c>
    </row>
    <row r="3495" spans="1:25">
      <c r="A3495" t="s">
        <v>15319</v>
      </c>
      <c r="B3495" t="s">
        <v>15320</v>
      </c>
      <c r="D3495" t="s">
        <v>9473</v>
      </c>
      <c r="E3495" t="s">
        <v>9474</v>
      </c>
      <c r="H3495" t="s">
        <v>15321</v>
      </c>
      <c r="J3495" t="s">
        <v>1827</v>
      </c>
      <c r="K3495" t="s">
        <v>1828</v>
      </c>
      <c r="L3495">
        <v>6</v>
      </c>
      <c r="M3495" t="s">
        <v>15322</v>
      </c>
      <c r="N3495" t="s">
        <v>47</v>
      </c>
      <c r="O3495" t="s">
        <v>9477</v>
      </c>
      <c r="P3495" t="s">
        <v>9477</v>
      </c>
      <c r="Y3495" t="s">
        <v>15321</v>
      </c>
    </row>
    <row r="3496" spans="1:25">
      <c r="A3496" t="s">
        <v>15323</v>
      </c>
      <c r="B3496" t="s">
        <v>15324</v>
      </c>
      <c r="D3496" t="s">
        <v>9473</v>
      </c>
      <c r="E3496" t="s">
        <v>9474</v>
      </c>
      <c r="J3496" t="s">
        <v>54</v>
      </c>
      <c r="K3496" t="s">
        <v>55</v>
      </c>
      <c r="L3496">
        <v>6</v>
      </c>
      <c r="M3496" t="s">
        <v>15325</v>
      </c>
      <c r="N3496" t="s">
        <v>47</v>
      </c>
      <c r="O3496" t="s">
        <v>9477</v>
      </c>
      <c r="P3496" t="s">
        <v>9477</v>
      </c>
      <c r="Y3496" t="s">
        <v>15326</v>
      </c>
    </row>
    <row r="3497" spans="1:25">
      <c r="A3497" t="s">
        <v>15327</v>
      </c>
      <c r="B3497" t="s">
        <v>15328</v>
      </c>
      <c r="D3497" t="s">
        <v>9473</v>
      </c>
      <c r="E3497" t="s">
        <v>9474</v>
      </c>
      <c r="J3497" t="s">
        <v>90</v>
      </c>
      <c r="K3497" t="s">
        <v>91</v>
      </c>
      <c r="L3497">
        <v>6</v>
      </c>
      <c r="M3497" t="s">
        <v>15325</v>
      </c>
      <c r="N3497" t="s">
        <v>47</v>
      </c>
      <c r="O3497" t="s">
        <v>9477</v>
      </c>
      <c r="P3497" t="s">
        <v>9477</v>
      </c>
      <c r="Y3497" t="s">
        <v>15329</v>
      </c>
    </row>
    <row r="3498" spans="1:25">
      <c r="A3498" t="s">
        <v>15330</v>
      </c>
      <c r="B3498" t="s">
        <v>15331</v>
      </c>
      <c r="D3498" t="s">
        <v>9473</v>
      </c>
      <c r="E3498" t="s">
        <v>9474</v>
      </c>
      <c r="H3498" t="s">
        <v>15332</v>
      </c>
      <c r="J3498" t="s">
        <v>371</v>
      </c>
      <c r="K3498" t="s">
        <v>372</v>
      </c>
      <c r="L3498">
        <v>6</v>
      </c>
      <c r="M3498" t="s">
        <v>15333</v>
      </c>
      <c r="N3498" t="s">
        <v>47</v>
      </c>
      <c r="O3498" t="s">
        <v>9477</v>
      </c>
      <c r="P3498" t="s">
        <v>9477</v>
      </c>
      <c r="Y3498" t="s">
        <v>15332</v>
      </c>
    </row>
    <row r="3499" spans="1:25">
      <c r="A3499" t="s">
        <v>15334</v>
      </c>
      <c r="B3499" t="s">
        <v>15335</v>
      </c>
      <c r="D3499" t="s">
        <v>9473</v>
      </c>
      <c r="E3499" t="s">
        <v>9474</v>
      </c>
      <c r="J3499" t="s">
        <v>54</v>
      </c>
      <c r="K3499" t="s">
        <v>55</v>
      </c>
      <c r="L3499">
        <v>6</v>
      </c>
      <c r="M3499" t="s">
        <v>15336</v>
      </c>
      <c r="N3499" t="s">
        <v>47</v>
      </c>
      <c r="O3499" t="s">
        <v>9477</v>
      </c>
      <c r="P3499" t="s">
        <v>9477</v>
      </c>
      <c r="Y3499" t="s">
        <v>15337</v>
      </c>
    </row>
    <row r="3500" spans="1:25">
      <c r="A3500" t="s">
        <v>15338</v>
      </c>
      <c r="B3500" t="s">
        <v>15339</v>
      </c>
      <c r="D3500" t="s">
        <v>9473</v>
      </c>
      <c r="E3500" t="s">
        <v>9474</v>
      </c>
      <c r="J3500" t="s">
        <v>353</v>
      </c>
      <c r="K3500" t="s">
        <v>354</v>
      </c>
      <c r="L3500">
        <v>6</v>
      </c>
      <c r="M3500" t="s">
        <v>15340</v>
      </c>
      <c r="N3500" t="s">
        <v>685</v>
      </c>
      <c r="O3500" t="s">
        <v>9477</v>
      </c>
      <c r="P3500" t="s">
        <v>9477</v>
      </c>
      <c r="Y3500" t="s">
        <v>15341</v>
      </c>
    </row>
    <row r="3501" spans="1:25">
      <c r="A3501" t="s">
        <v>15342</v>
      </c>
      <c r="B3501" t="s">
        <v>15343</v>
      </c>
      <c r="D3501" t="s">
        <v>9473</v>
      </c>
      <c r="E3501" t="s">
        <v>9474</v>
      </c>
      <c r="J3501" t="s">
        <v>133</v>
      </c>
      <c r="K3501" t="s">
        <v>134</v>
      </c>
      <c r="L3501">
        <v>6</v>
      </c>
      <c r="M3501" t="s">
        <v>15344</v>
      </c>
      <c r="N3501" t="s">
        <v>135</v>
      </c>
      <c r="O3501" t="s">
        <v>9477</v>
      </c>
      <c r="P3501" t="s">
        <v>9477</v>
      </c>
      <c r="Y3501" t="s">
        <v>15345</v>
      </c>
    </row>
    <row r="3502" spans="1:25">
      <c r="A3502" t="s">
        <v>15346</v>
      </c>
      <c r="B3502" t="s">
        <v>15347</v>
      </c>
      <c r="D3502" t="s">
        <v>9473</v>
      </c>
      <c r="E3502" t="s">
        <v>9474</v>
      </c>
      <c r="J3502" t="s">
        <v>90</v>
      </c>
      <c r="K3502" t="s">
        <v>91</v>
      </c>
      <c r="L3502">
        <v>6</v>
      </c>
      <c r="M3502" t="s">
        <v>15344</v>
      </c>
      <c r="N3502" t="s">
        <v>47</v>
      </c>
      <c r="O3502" t="s">
        <v>9477</v>
      </c>
      <c r="P3502" t="s">
        <v>9477</v>
      </c>
      <c r="Y3502" t="s">
        <v>15348</v>
      </c>
    </row>
    <row r="3503" spans="1:25">
      <c r="A3503" t="s">
        <v>15349</v>
      </c>
      <c r="B3503" t="s">
        <v>15350</v>
      </c>
      <c r="D3503" t="s">
        <v>9473</v>
      </c>
      <c r="E3503" t="s">
        <v>9474</v>
      </c>
      <c r="J3503" t="s">
        <v>44</v>
      </c>
      <c r="K3503" t="s">
        <v>45</v>
      </c>
      <c r="L3503">
        <v>6</v>
      </c>
      <c r="M3503" t="s">
        <v>15344</v>
      </c>
      <c r="N3503" t="s">
        <v>47</v>
      </c>
      <c r="O3503" t="s">
        <v>9477</v>
      </c>
      <c r="P3503" t="s">
        <v>9477</v>
      </c>
      <c r="Y3503" t="s">
        <v>15351</v>
      </c>
    </row>
    <row r="3504" spans="1:25">
      <c r="A3504" t="s">
        <v>15352</v>
      </c>
      <c r="B3504" t="s">
        <v>15353</v>
      </c>
      <c r="D3504" t="s">
        <v>9473</v>
      </c>
      <c r="E3504" t="s">
        <v>9474</v>
      </c>
      <c r="H3504" t="s">
        <v>15354</v>
      </c>
      <c r="J3504" t="s">
        <v>90</v>
      </c>
      <c r="K3504" t="s">
        <v>91</v>
      </c>
      <c r="L3504">
        <v>6</v>
      </c>
      <c r="M3504" t="s">
        <v>15355</v>
      </c>
      <c r="N3504" t="s">
        <v>47</v>
      </c>
      <c r="O3504" t="s">
        <v>9477</v>
      </c>
      <c r="P3504" t="s">
        <v>9477</v>
      </c>
      <c r="Y3504" t="s">
        <v>15354</v>
      </c>
    </row>
    <row r="3505" spans="1:25">
      <c r="A3505" t="s">
        <v>15356</v>
      </c>
      <c r="B3505" t="s">
        <v>15357</v>
      </c>
      <c r="D3505" t="s">
        <v>9473</v>
      </c>
      <c r="E3505" t="s">
        <v>9474</v>
      </c>
      <c r="J3505" t="s">
        <v>44</v>
      </c>
      <c r="K3505" t="s">
        <v>45</v>
      </c>
      <c r="L3505">
        <v>6</v>
      </c>
      <c r="M3505" t="s">
        <v>15355</v>
      </c>
      <c r="N3505" t="s">
        <v>47</v>
      </c>
      <c r="O3505" t="s">
        <v>9477</v>
      </c>
      <c r="P3505" t="s">
        <v>9477</v>
      </c>
      <c r="Y3505" t="s">
        <v>15358</v>
      </c>
    </row>
    <row r="3506" spans="1:25">
      <c r="A3506" t="s">
        <v>15359</v>
      </c>
      <c r="B3506" t="s">
        <v>15360</v>
      </c>
      <c r="D3506" t="s">
        <v>9473</v>
      </c>
      <c r="E3506" t="s">
        <v>9474</v>
      </c>
      <c r="J3506" t="s">
        <v>44</v>
      </c>
      <c r="K3506" t="s">
        <v>45</v>
      </c>
      <c r="L3506">
        <v>6</v>
      </c>
      <c r="M3506" t="s">
        <v>15355</v>
      </c>
      <c r="N3506" t="s">
        <v>47</v>
      </c>
      <c r="O3506" t="s">
        <v>9477</v>
      </c>
      <c r="P3506" t="s">
        <v>9477</v>
      </c>
      <c r="Y3506" t="s">
        <v>15361</v>
      </c>
    </row>
    <row r="3507" spans="1:25">
      <c r="A3507" t="s">
        <v>15362</v>
      </c>
      <c r="B3507" t="s">
        <v>15363</v>
      </c>
      <c r="D3507" t="s">
        <v>9473</v>
      </c>
      <c r="E3507" t="s">
        <v>9474</v>
      </c>
      <c r="J3507" t="s">
        <v>90</v>
      </c>
      <c r="K3507" t="s">
        <v>91</v>
      </c>
      <c r="L3507">
        <v>6</v>
      </c>
      <c r="M3507" t="s">
        <v>15364</v>
      </c>
      <c r="N3507" t="s">
        <v>47</v>
      </c>
      <c r="O3507" t="s">
        <v>9477</v>
      </c>
      <c r="P3507" t="s">
        <v>9477</v>
      </c>
      <c r="Y3507" t="s">
        <v>15365</v>
      </c>
    </row>
    <row r="3508" spans="1:25">
      <c r="A3508" t="s">
        <v>15366</v>
      </c>
      <c r="B3508" t="s">
        <v>15367</v>
      </c>
      <c r="D3508" t="s">
        <v>9473</v>
      </c>
      <c r="E3508" t="s">
        <v>9474</v>
      </c>
      <c r="H3508" t="s">
        <v>15368</v>
      </c>
      <c r="J3508" t="s">
        <v>90</v>
      </c>
      <c r="K3508" t="s">
        <v>91</v>
      </c>
      <c r="L3508">
        <v>6</v>
      </c>
      <c r="M3508" t="s">
        <v>15369</v>
      </c>
      <c r="N3508" t="s">
        <v>47</v>
      </c>
      <c r="O3508" t="s">
        <v>9477</v>
      </c>
      <c r="P3508" t="s">
        <v>9477</v>
      </c>
      <c r="Y3508" t="s">
        <v>15368</v>
      </c>
    </row>
    <row r="3509" spans="1:25">
      <c r="A3509" t="s">
        <v>15370</v>
      </c>
      <c r="B3509" t="s">
        <v>15371</v>
      </c>
      <c r="D3509" t="s">
        <v>9473</v>
      </c>
      <c r="E3509" t="s">
        <v>9474</v>
      </c>
      <c r="J3509" t="s">
        <v>90</v>
      </c>
      <c r="K3509" t="s">
        <v>91</v>
      </c>
      <c r="L3509">
        <v>6</v>
      </c>
      <c r="M3509" t="s">
        <v>15372</v>
      </c>
      <c r="N3509" t="s">
        <v>47</v>
      </c>
      <c r="O3509" t="s">
        <v>9477</v>
      </c>
      <c r="P3509" t="s">
        <v>9477</v>
      </c>
      <c r="Y3509" t="s">
        <v>15373</v>
      </c>
    </row>
    <row r="3510" spans="1:25">
      <c r="A3510" t="s">
        <v>15374</v>
      </c>
      <c r="B3510" t="s">
        <v>15375</v>
      </c>
      <c r="D3510" t="s">
        <v>9473</v>
      </c>
      <c r="E3510" t="s">
        <v>9474</v>
      </c>
      <c r="J3510" t="s">
        <v>287</v>
      </c>
      <c r="K3510" t="s">
        <v>288</v>
      </c>
      <c r="L3510">
        <v>6</v>
      </c>
      <c r="M3510" t="s">
        <v>15376</v>
      </c>
      <c r="N3510" t="s">
        <v>685</v>
      </c>
      <c r="O3510" t="s">
        <v>9477</v>
      </c>
      <c r="P3510" t="s">
        <v>9477</v>
      </c>
      <c r="Y3510" t="s">
        <v>15377</v>
      </c>
    </row>
    <row r="3511" spans="1:25">
      <c r="A3511" t="s">
        <v>15378</v>
      </c>
      <c r="B3511" t="s">
        <v>15379</v>
      </c>
      <c r="D3511" t="s">
        <v>9473</v>
      </c>
      <c r="E3511" t="s">
        <v>9474</v>
      </c>
      <c r="H3511" t="s">
        <v>15380</v>
      </c>
      <c r="J3511" t="s">
        <v>54</v>
      </c>
      <c r="K3511" t="s">
        <v>55</v>
      </c>
      <c r="L3511">
        <v>6</v>
      </c>
      <c r="M3511" t="s">
        <v>15381</v>
      </c>
      <c r="N3511" t="s">
        <v>47</v>
      </c>
      <c r="O3511" t="s">
        <v>9477</v>
      </c>
      <c r="P3511" t="s">
        <v>9477</v>
      </c>
      <c r="Y3511" t="s">
        <v>15380</v>
      </c>
    </row>
    <row r="3512" spans="1:25">
      <c r="A3512" t="s">
        <v>15382</v>
      </c>
      <c r="B3512" t="s">
        <v>15383</v>
      </c>
      <c r="D3512" t="s">
        <v>9473</v>
      </c>
      <c r="E3512" t="s">
        <v>9474</v>
      </c>
      <c r="J3512" t="s">
        <v>44</v>
      </c>
      <c r="K3512" t="s">
        <v>45</v>
      </c>
      <c r="L3512">
        <v>6</v>
      </c>
      <c r="M3512" t="s">
        <v>15384</v>
      </c>
      <c r="N3512" t="s">
        <v>47</v>
      </c>
      <c r="O3512" t="s">
        <v>9477</v>
      </c>
      <c r="P3512" t="s">
        <v>9477</v>
      </c>
      <c r="Y3512" t="s">
        <v>15385</v>
      </c>
    </row>
    <row r="3513" spans="1:25">
      <c r="A3513" t="s">
        <v>15386</v>
      </c>
      <c r="B3513" t="s">
        <v>15387</v>
      </c>
      <c r="D3513" t="s">
        <v>9473</v>
      </c>
      <c r="E3513" t="s">
        <v>9474</v>
      </c>
      <c r="J3513" t="s">
        <v>44</v>
      </c>
      <c r="K3513" t="s">
        <v>45</v>
      </c>
      <c r="L3513">
        <v>6</v>
      </c>
      <c r="M3513" t="s">
        <v>15388</v>
      </c>
      <c r="N3513" t="s">
        <v>47</v>
      </c>
      <c r="O3513" t="s">
        <v>9477</v>
      </c>
      <c r="P3513" t="s">
        <v>9477</v>
      </c>
      <c r="Y3513" t="s">
        <v>15389</v>
      </c>
    </row>
    <row r="3514" spans="1:25">
      <c r="A3514" t="s">
        <v>15390</v>
      </c>
      <c r="B3514" t="s">
        <v>15391</v>
      </c>
      <c r="D3514" t="s">
        <v>9473</v>
      </c>
      <c r="E3514" t="s">
        <v>9474</v>
      </c>
      <c r="J3514" t="s">
        <v>90</v>
      </c>
      <c r="K3514" t="s">
        <v>91</v>
      </c>
      <c r="L3514">
        <v>6</v>
      </c>
      <c r="M3514" t="s">
        <v>15392</v>
      </c>
      <c r="N3514" t="s">
        <v>47</v>
      </c>
      <c r="O3514" t="s">
        <v>9477</v>
      </c>
      <c r="P3514" t="s">
        <v>9477</v>
      </c>
      <c r="Y3514" t="s">
        <v>15393</v>
      </c>
    </row>
    <row r="3515" spans="1:25">
      <c r="A3515" t="s">
        <v>15394</v>
      </c>
      <c r="B3515" t="s">
        <v>15395</v>
      </c>
      <c r="D3515" t="s">
        <v>9473</v>
      </c>
      <c r="E3515" t="s">
        <v>9474</v>
      </c>
      <c r="J3515" t="s">
        <v>44</v>
      </c>
      <c r="K3515" t="s">
        <v>45</v>
      </c>
      <c r="L3515">
        <v>6</v>
      </c>
      <c r="M3515" t="s">
        <v>15396</v>
      </c>
      <c r="N3515" t="s">
        <v>47</v>
      </c>
      <c r="O3515" t="s">
        <v>9477</v>
      </c>
      <c r="P3515" t="s">
        <v>9477</v>
      </c>
      <c r="Y3515" t="s">
        <v>15397</v>
      </c>
    </row>
    <row r="3516" spans="1:25">
      <c r="A3516" t="s">
        <v>15398</v>
      </c>
      <c r="B3516" t="s">
        <v>15399</v>
      </c>
      <c r="D3516" t="s">
        <v>9473</v>
      </c>
      <c r="E3516" t="s">
        <v>9474</v>
      </c>
      <c r="J3516" t="s">
        <v>44</v>
      </c>
      <c r="K3516" t="s">
        <v>45</v>
      </c>
      <c r="L3516">
        <v>6</v>
      </c>
      <c r="M3516" t="s">
        <v>15396</v>
      </c>
      <c r="N3516" t="s">
        <v>47</v>
      </c>
      <c r="O3516" t="s">
        <v>9477</v>
      </c>
      <c r="P3516" t="s">
        <v>9477</v>
      </c>
      <c r="Y3516" t="s">
        <v>15400</v>
      </c>
    </row>
    <row r="3517" spans="1:25">
      <c r="A3517" t="s">
        <v>15401</v>
      </c>
      <c r="B3517" t="s">
        <v>15402</v>
      </c>
      <c r="D3517" t="s">
        <v>9473</v>
      </c>
      <c r="E3517" t="s">
        <v>9474</v>
      </c>
      <c r="J3517" t="s">
        <v>44</v>
      </c>
      <c r="K3517" t="s">
        <v>45</v>
      </c>
      <c r="L3517">
        <v>6</v>
      </c>
      <c r="M3517" t="s">
        <v>15396</v>
      </c>
      <c r="N3517" t="s">
        <v>47</v>
      </c>
      <c r="O3517" t="s">
        <v>9477</v>
      </c>
      <c r="P3517" t="s">
        <v>9477</v>
      </c>
      <c r="Y3517" t="s">
        <v>15403</v>
      </c>
    </row>
    <row r="3518" spans="1:25">
      <c r="A3518" t="s">
        <v>15404</v>
      </c>
      <c r="B3518" t="s">
        <v>15405</v>
      </c>
      <c r="D3518" t="s">
        <v>9473</v>
      </c>
      <c r="E3518" t="s">
        <v>9474</v>
      </c>
      <c r="J3518" t="s">
        <v>44</v>
      </c>
      <c r="K3518" t="s">
        <v>45</v>
      </c>
      <c r="L3518">
        <v>6</v>
      </c>
      <c r="M3518" t="s">
        <v>15396</v>
      </c>
      <c r="N3518" t="s">
        <v>47</v>
      </c>
      <c r="O3518" t="s">
        <v>9477</v>
      </c>
      <c r="P3518" t="s">
        <v>9477</v>
      </c>
      <c r="Y3518" t="s">
        <v>15406</v>
      </c>
    </row>
    <row r="3519" spans="1:25">
      <c r="A3519" t="s">
        <v>15407</v>
      </c>
      <c r="B3519" t="s">
        <v>15408</v>
      </c>
      <c r="D3519" t="s">
        <v>9473</v>
      </c>
      <c r="E3519" t="s">
        <v>9474</v>
      </c>
      <c r="J3519" t="s">
        <v>90</v>
      </c>
      <c r="K3519" t="s">
        <v>91</v>
      </c>
      <c r="L3519">
        <v>6</v>
      </c>
      <c r="M3519" t="s">
        <v>15409</v>
      </c>
      <c r="N3519" t="s">
        <v>47</v>
      </c>
      <c r="O3519" t="s">
        <v>9477</v>
      </c>
      <c r="P3519" t="s">
        <v>9477</v>
      </c>
      <c r="Y3519" t="s">
        <v>15410</v>
      </c>
    </row>
    <row r="3520" spans="1:25">
      <c r="A3520" t="s">
        <v>15411</v>
      </c>
      <c r="B3520" t="s">
        <v>15412</v>
      </c>
      <c r="D3520" t="s">
        <v>9473</v>
      </c>
      <c r="E3520" t="s">
        <v>9474</v>
      </c>
      <c r="H3520" t="s">
        <v>15413</v>
      </c>
      <c r="J3520" t="s">
        <v>133</v>
      </c>
      <c r="K3520" t="s">
        <v>134</v>
      </c>
      <c r="L3520">
        <v>6</v>
      </c>
      <c r="M3520" t="s">
        <v>15414</v>
      </c>
      <c r="N3520" t="s">
        <v>135</v>
      </c>
      <c r="O3520" t="s">
        <v>9477</v>
      </c>
      <c r="P3520" t="s">
        <v>9477</v>
      </c>
      <c r="Y3520" t="s">
        <v>15413</v>
      </c>
    </row>
    <row r="3521" spans="1:25">
      <c r="A3521" t="s">
        <v>15415</v>
      </c>
      <c r="B3521" t="s">
        <v>15416</v>
      </c>
      <c r="D3521" t="s">
        <v>9473</v>
      </c>
      <c r="E3521" t="s">
        <v>9474</v>
      </c>
      <c r="H3521" t="s">
        <v>15417</v>
      </c>
      <c r="J3521" t="s">
        <v>133</v>
      </c>
      <c r="K3521" t="s">
        <v>134</v>
      </c>
      <c r="L3521">
        <v>6</v>
      </c>
      <c r="M3521" t="s">
        <v>15418</v>
      </c>
      <c r="N3521" t="s">
        <v>685</v>
      </c>
      <c r="O3521" t="s">
        <v>9477</v>
      </c>
      <c r="P3521" t="s">
        <v>9477</v>
      </c>
      <c r="Y3521" t="s">
        <v>15417</v>
      </c>
    </row>
    <row r="3522" spans="1:25">
      <c r="A3522" t="s">
        <v>15419</v>
      </c>
      <c r="B3522" t="s">
        <v>15420</v>
      </c>
      <c r="D3522" t="s">
        <v>9473</v>
      </c>
      <c r="E3522" t="s">
        <v>9474</v>
      </c>
      <c r="J3522" t="s">
        <v>54</v>
      </c>
      <c r="K3522" t="s">
        <v>55</v>
      </c>
      <c r="L3522">
        <v>6</v>
      </c>
      <c r="M3522" t="s">
        <v>15421</v>
      </c>
      <c r="N3522" t="s">
        <v>47</v>
      </c>
      <c r="O3522" t="s">
        <v>9477</v>
      </c>
      <c r="P3522" t="s">
        <v>9477</v>
      </c>
      <c r="Y3522" t="s">
        <v>15422</v>
      </c>
    </row>
    <row r="3523" spans="1:25">
      <c r="A3523" t="s">
        <v>15423</v>
      </c>
      <c r="B3523" t="s">
        <v>15424</v>
      </c>
      <c r="D3523" t="s">
        <v>9473</v>
      </c>
      <c r="E3523" t="s">
        <v>9474</v>
      </c>
      <c r="J3523" t="s">
        <v>54</v>
      </c>
      <c r="K3523" t="s">
        <v>55</v>
      </c>
      <c r="L3523">
        <v>6</v>
      </c>
      <c r="M3523" t="s">
        <v>15425</v>
      </c>
      <c r="N3523" t="s">
        <v>47</v>
      </c>
      <c r="O3523" t="s">
        <v>9477</v>
      </c>
      <c r="P3523" t="s">
        <v>9477</v>
      </c>
      <c r="Y3523" t="s">
        <v>15426</v>
      </c>
    </row>
    <row r="3524" spans="1:25">
      <c r="A3524" t="s">
        <v>15427</v>
      </c>
      <c r="B3524" t="s">
        <v>15428</v>
      </c>
      <c r="D3524" t="s">
        <v>9473</v>
      </c>
      <c r="E3524" t="s">
        <v>9474</v>
      </c>
      <c r="J3524" t="s">
        <v>133</v>
      </c>
      <c r="K3524" t="s">
        <v>134</v>
      </c>
      <c r="L3524">
        <v>6</v>
      </c>
      <c r="M3524" t="s">
        <v>15429</v>
      </c>
      <c r="N3524" t="s">
        <v>135</v>
      </c>
      <c r="O3524" t="s">
        <v>9477</v>
      </c>
      <c r="P3524" t="s">
        <v>9477</v>
      </c>
      <c r="Y3524" t="s">
        <v>15430</v>
      </c>
    </row>
    <row r="3525" spans="1:25">
      <c r="A3525" t="s">
        <v>15431</v>
      </c>
      <c r="B3525" t="s">
        <v>15432</v>
      </c>
      <c r="D3525" t="s">
        <v>9473</v>
      </c>
      <c r="E3525" t="s">
        <v>9474</v>
      </c>
      <c r="H3525" t="s">
        <v>15433</v>
      </c>
      <c r="J3525" t="s">
        <v>44</v>
      </c>
      <c r="K3525" t="s">
        <v>45</v>
      </c>
      <c r="L3525">
        <v>6</v>
      </c>
      <c r="M3525" t="s">
        <v>15429</v>
      </c>
      <c r="N3525" t="s">
        <v>47</v>
      </c>
      <c r="O3525" t="s">
        <v>9477</v>
      </c>
      <c r="P3525" t="s">
        <v>9477</v>
      </c>
      <c r="Y3525" t="s">
        <v>15433</v>
      </c>
    </row>
    <row r="3526" spans="1:25">
      <c r="A3526" t="s">
        <v>15434</v>
      </c>
      <c r="B3526" t="s">
        <v>15435</v>
      </c>
      <c r="D3526" t="s">
        <v>9473</v>
      </c>
      <c r="E3526" t="s">
        <v>9474</v>
      </c>
      <c r="H3526" t="s">
        <v>15436</v>
      </c>
      <c r="J3526" t="s">
        <v>90</v>
      </c>
      <c r="K3526" t="s">
        <v>91</v>
      </c>
      <c r="L3526">
        <v>6</v>
      </c>
      <c r="M3526" t="s">
        <v>15429</v>
      </c>
      <c r="N3526" t="s">
        <v>47</v>
      </c>
      <c r="O3526" t="s">
        <v>9477</v>
      </c>
      <c r="P3526" t="s">
        <v>9477</v>
      </c>
      <c r="Y3526" t="s">
        <v>15436</v>
      </c>
    </row>
    <row r="3527" spans="1:25">
      <c r="A3527" t="s">
        <v>15437</v>
      </c>
      <c r="B3527" t="s">
        <v>15438</v>
      </c>
      <c r="D3527" t="s">
        <v>9473</v>
      </c>
      <c r="E3527" t="s">
        <v>9474</v>
      </c>
      <c r="J3527" t="s">
        <v>90</v>
      </c>
      <c r="K3527" t="s">
        <v>91</v>
      </c>
      <c r="L3527">
        <v>6</v>
      </c>
      <c r="M3527" t="s">
        <v>15429</v>
      </c>
      <c r="N3527" t="s">
        <v>47</v>
      </c>
      <c r="O3527" t="s">
        <v>9477</v>
      </c>
      <c r="P3527" t="s">
        <v>9477</v>
      </c>
      <c r="Y3527" t="s">
        <v>15439</v>
      </c>
    </row>
    <row r="3528" spans="1:25">
      <c r="A3528" t="s">
        <v>15440</v>
      </c>
      <c r="B3528" t="s">
        <v>15441</v>
      </c>
      <c r="D3528" t="s">
        <v>9473</v>
      </c>
      <c r="E3528" t="s">
        <v>9474</v>
      </c>
      <c r="H3528" t="s">
        <v>15442</v>
      </c>
      <c r="J3528" t="s">
        <v>54</v>
      </c>
      <c r="K3528" t="s">
        <v>55</v>
      </c>
      <c r="L3528">
        <v>6</v>
      </c>
      <c r="M3528" t="s">
        <v>15443</v>
      </c>
      <c r="N3528" t="s">
        <v>47</v>
      </c>
      <c r="O3528" t="s">
        <v>9477</v>
      </c>
      <c r="P3528" t="s">
        <v>9477</v>
      </c>
      <c r="Y3528" t="s">
        <v>15442</v>
      </c>
    </row>
    <row r="3529" spans="1:25">
      <c r="A3529" t="s">
        <v>15444</v>
      </c>
      <c r="B3529" t="s">
        <v>15445</v>
      </c>
      <c r="D3529" t="s">
        <v>9473</v>
      </c>
      <c r="E3529" t="s">
        <v>9474</v>
      </c>
      <c r="J3529" t="s">
        <v>44</v>
      </c>
      <c r="K3529" t="s">
        <v>45</v>
      </c>
      <c r="L3529">
        <v>6</v>
      </c>
      <c r="M3529" t="s">
        <v>15443</v>
      </c>
      <c r="N3529" t="s">
        <v>47</v>
      </c>
      <c r="O3529" t="s">
        <v>9477</v>
      </c>
      <c r="P3529" t="s">
        <v>9477</v>
      </c>
      <c r="Y3529" t="s">
        <v>15446</v>
      </c>
    </row>
    <row r="3530" spans="1:25">
      <c r="A3530" t="s">
        <v>15447</v>
      </c>
      <c r="B3530" t="s">
        <v>15448</v>
      </c>
      <c r="D3530" t="s">
        <v>9473</v>
      </c>
      <c r="E3530" t="s">
        <v>9474</v>
      </c>
      <c r="J3530" t="s">
        <v>54</v>
      </c>
      <c r="K3530" t="s">
        <v>55</v>
      </c>
      <c r="L3530">
        <v>6</v>
      </c>
      <c r="M3530" t="s">
        <v>15449</v>
      </c>
      <c r="N3530" t="s">
        <v>47</v>
      </c>
      <c r="O3530" t="s">
        <v>9477</v>
      </c>
      <c r="P3530" t="s">
        <v>9477</v>
      </c>
      <c r="Y3530" t="s">
        <v>15450</v>
      </c>
    </row>
    <row r="3531" spans="1:25">
      <c r="A3531" t="s">
        <v>15451</v>
      </c>
      <c r="B3531" t="s">
        <v>15452</v>
      </c>
      <c r="D3531" t="s">
        <v>9473</v>
      </c>
      <c r="E3531" t="s">
        <v>9474</v>
      </c>
      <c r="H3531" t="s">
        <v>15453</v>
      </c>
      <c r="J3531" t="s">
        <v>44</v>
      </c>
      <c r="K3531" t="s">
        <v>45</v>
      </c>
      <c r="L3531">
        <v>6</v>
      </c>
      <c r="M3531" t="s">
        <v>15454</v>
      </c>
      <c r="N3531" t="s">
        <v>47</v>
      </c>
      <c r="O3531" t="s">
        <v>9477</v>
      </c>
      <c r="P3531" t="s">
        <v>9477</v>
      </c>
      <c r="Y3531" t="s">
        <v>15453</v>
      </c>
    </row>
    <row r="3532" spans="1:25">
      <c r="A3532" t="s">
        <v>15455</v>
      </c>
      <c r="B3532" t="s">
        <v>15456</v>
      </c>
      <c r="D3532" t="s">
        <v>9473</v>
      </c>
      <c r="E3532" t="s">
        <v>9474</v>
      </c>
      <c r="J3532" t="s">
        <v>90</v>
      </c>
      <c r="K3532" t="s">
        <v>91</v>
      </c>
      <c r="L3532">
        <v>6</v>
      </c>
      <c r="M3532" t="s">
        <v>15457</v>
      </c>
      <c r="N3532" t="s">
        <v>47</v>
      </c>
      <c r="O3532" t="s">
        <v>9477</v>
      </c>
      <c r="P3532" t="s">
        <v>9477</v>
      </c>
      <c r="Y3532" t="s">
        <v>15458</v>
      </c>
    </row>
    <row r="3533" spans="1:25">
      <c r="A3533" t="s">
        <v>15459</v>
      </c>
      <c r="B3533" t="s">
        <v>15460</v>
      </c>
      <c r="D3533" t="s">
        <v>9473</v>
      </c>
      <c r="E3533" t="s">
        <v>9474</v>
      </c>
      <c r="J3533" t="s">
        <v>44</v>
      </c>
      <c r="K3533" t="s">
        <v>45</v>
      </c>
      <c r="L3533">
        <v>6</v>
      </c>
      <c r="M3533" t="s">
        <v>15457</v>
      </c>
      <c r="N3533" t="s">
        <v>47</v>
      </c>
      <c r="O3533" t="s">
        <v>9477</v>
      </c>
      <c r="P3533" t="s">
        <v>9477</v>
      </c>
      <c r="Y3533" t="s">
        <v>15461</v>
      </c>
    </row>
    <row r="3534" spans="1:25">
      <c r="A3534" t="s">
        <v>15462</v>
      </c>
      <c r="B3534" t="s">
        <v>15463</v>
      </c>
      <c r="D3534" t="s">
        <v>9473</v>
      </c>
      <c r="E3534" t="s">
        <v>9474</v>
      </c>
      <c r="H3534" t="s">
        <v>15464</v>
      </c>
      <c r="J3534" t="s">
        <v>133</v>
      </c>
      <c r="K3534" t="s">
        <v>134</v>
      </c>
      <c r="L3534">
        <v>6</v>
      </c>
      <c r="M3534" t="s">
        <v>15465</v>
      </c>
      <c r="N3534" t="s">
        <v>685</v>
      </c>
      <c r="O3534" t="s">
        <v>9477</v>
      </c>
      <c r="P3534" t="s">
        <v>9477</v>
      </c>
      <c r="Y3534" t="s">
        <v>15464</v>
      </c>
    </row>
    <row r="3535" spans="1:25">
      <c r="A3535" t="s">
        <v>15466</v>
      </c>
      <c r="B3535" t="s">
        <v>15467</v>
      </c>
      <c r="D3535" t="s">
        <v>9473</v>
      </c>
      <c r="E3535" t="s">
        <v>9474</v>
      </c>
      <c r="J3535" t="s">
        <v>78</v>
      </c>
      <c r="K3535" t="s">
        <v>79</v>
      </c>
      <c r="L3535">
        <v>6</v>
      </c>
      <c r="M3535" t="s">
        <v>15468</v>
      </c>
      <c r="N3535" t="s">
        <v>47</v>
      </c>
      <c r="O3535" t="s">
        <v>9477</v>
      </c>
      <c r="P3535" t="s">
        <v>9477</v>
      </c>
      <c r="Y3535" t="s">
        <v>15469</v>
      </c>
    </row>
    <row r="3536" spans="1:25">
      <c r="A3536" t="s">
        <v>15470</v>
      </c>
      <c r="B3536" t="s">
        <v>15471</v>
      </c>
      <c r="D3536" t="s">
        <v>9473</v>
      </c>
      <c r="E3536" t="s">
        <v>9474</v>
      </c>
      <c r="J3536" t="s">
        <v>44</v>
      </c>
      <c r="K3536" t="s">
        <v>45</v>
      </c>
      <c r="L3536">
        <v>6</v>
      </c>
      <c r="M3536" t="s">
        <v>15472</v>
      </c>
      <c r="N3536" t="s">
        <v>47</v>
      </c>
      <c r="O3536" t="s">
        <v>9477</v>
      </c>
      <c r="P3536" t="s">
        <v>9477</v>
      </c>
      <c r="Y3536" t="s">
        <v>15473</v>
      </c>
    </row>
    <row r="3537" spans="1:25">
      <c r="A3537" t="s">
        <v>15474</v>
      </c>
      <c r="B3537" t="s">
        <v>15475</v>
      </c>
      <c r="D3537" t="s">
        <v>9473</v>
      </c>
      <c r="E3537" t="s">
        <v>9474</v>
      </c>
      <c r="H3537" t="s">
        <v>15476</v>
      </c>
      <c r="J3537" t="s">
        <v>234</v>
      </c>
      <c r="K3537" t="s">
        <v>235</v>
      </c>
      <c r="L3537">
        <v>6</v>
      </c>
      <c r="M3537" t="s">
        <v>15477</v>
      </c>
      <c r="N3537" t="s">
        <v>47</v>
      </c>
      <c r="O3537" t="s">
        <v>9477</v>
      </c>
      <c r="P3537" t="s">
        <v>9477</v>
      </c>
      <c r="Y3537" t="s">
        <v>15476</v>
      </c>
    </row>
    <row r="3538" spans="1:25">
      <c r="A3538" t="s">
        <v>15478</v>
      </c>
      <c r="B3538" t="s">
        <v>15479</v>
      </c>
      <c r="D3538" t="s">
        <v>9473</v>
      </c>
      <c r="E3538" t="s">
        <v>9474</v>
      </c>
      <c r="J3538" t="s">
        <v>54</v>
      </c>
      <c r="K3538" t="s">
        <v>55</v>
      </c>
      <c r="L3538">
        <v>6</v>
      </c>
      <c r="M3538" t="s">
        <v>15480</v>
      </c>
      <c r="N3538" t="s">
        <v>47</v>
      </c>
      <c r="O3538" t="s">
        <v>9477</v>
      </c>
      <c r="P3538" t="s">
        <v>9477</v>
      </c>
      <c r="Y3538" t="s">
        <v>15481</v>
      </c>
    </row>
    <row r="3539" spans="1:25">
      <c r="A3539" t="s">
        <v>15482</v>
      </c>
      <c r="B3539" t="s">
        <v>15483</v>
      </c>
      <c r="D3539" t="s">
        <v>9473</v>
      </c>
      <c r="E3539" t="s">
        <v>9474</v>
      </c>
      <c r="H3539" t="s">
        <v>15484</v>
      </c>
      <c r="J3539" t="s">
        <v>90</v>
      </c>
      <c r="K3539" t="s">
        <v>91</v>
      </c>
      <c r="L3539">
        <v>6</v>
      </c>
      <c r="M3539" t="s">
        <v>15480</v>
      </c>
      <c r="N3539" t="s">
        <v>47</v>
      </c>
      <c r="O3539" t="s">
        <v>9477</v>
      </c>
      <c r="P3539" t="s">
        <v>9477</v>
      </c>
      <c r="Y3539" t="s">
        <v>15484</v>
      </c>
    </row>
    <row r="3540" spans="1:25">
      <c r="A3540" t="s">
        <v>15485</v>
      </c>
      <c r="B3540" t="s">
        <v>15486</v>
      </c>
      <c r="D3540" t="s">
        <v>9473</v>
      </c>
      <c r="E3540" t="s">
        <v>9474</v>
      </c>
      <c r="H3540" t="s">
        <v>15487</v>
      </c>
      <c r="J3540" t="s">
        <v>54</v>
      </c>
      <c r="K3540" t="s">
        <v>55</v>
      </c>
      <c r="L3540">
        <v>6</v>
      </c>
      <c r="M3540" t="s">
        <v>15488</v>
      </c>
      <c r="N3540" t="s">
        <v>47</v>
      </c>
      <c r="O3540" t="s">
        <v>9477</v>
      </c>
      <c r="P3540" t="s">
        <v>9477</v>
      </c>
      <c r="Y3540" t="s">
        <v>15487</v>
      </c>
    </row>
    <row r="3541" spans="1:25">
      <c r="A3541" t="s">
        <v>15489</v>
      </c>
      <c r="B3541" t="s">
        <v>15490</v>
      </c>
      <c r="D3541" t="s">
        <v>9473</v>
      </c>
      <c r="E3541" t="s">
        <v>9474</v>
      </c>
      <c r="H3541" t="s">
        <v>15491</v>
      </c>
      <c r="J3541" t="s">
        <v>78</v>
      </c>
      <c r="K3541" t="s">
        <v>79</v>
      </c>
      <c r="L3541">
        <v>6</v>
      </c>
      <c r="M3541" t="s">
        <v>15492</v>
      </c>
      <c r="N3541" t="s">
        <v>47</v>
      </c>
      <c r="O3541" t="s">
        <v>9477</v>
      </c>
      <c r="P3541" t="s">
        <v>9477</v>
      </c>
      <c r="Y3541" t="s">
        <v>15491</v>
      </c>
    </row>
    <row r="3542" spans="1:25">
      <c r="A3542" t="s">
        <v>15493</v>
      </c>
      <c r="B3542" t="s">
        <v>15494</v>
      </c>
      <c r="D3542" t="s">
        <v>9473</v>
      </c>
      <c r="E3542" t="s">
        <v>9474</v>
      </c>
      <c r="H3542" t="s">
        <v>15495</v>
      </c>
      <c r="J3542" t="s">
        <v>90</v>
      </c>
      <c r="K3542" t="s">
        <v>91</v>
      </c>
      <c r="L3542">
        <v>6</v>
      </c>
      <c r="M3542" t="s">
        <v>15492</v>
      </c>
      <c r="N3542" t="s">
        <v>47</v>
      </c>
      <c r="O3542" t="s">
        <v>9477</v>
      </c>
      <c r="P3542" t="s">
        <v>9477</v>
      </c>
      <c r="Y3542" t="s">
        <v>15495</v>
      </c>
    </row>
    <row r="3543" spans="1:25">
      <c r="A3543" t="s">
        <v>15496</v>
      </c>
      <c r="B3543" t="s">
        <v>15497</v>
      </c>
      <c r="D3543" t="s">
        <v>9473</v>
      </c>
      <c r="E3543" t="s">
        <v>9474</v>
      </c>
      <c r="H3543" t="s">
        <v>15498</v>
      </c>
      <c r="J3543" t="s">
        <v>90</v>
      </c>
      <c r="K3543" t="s">
        <v>91</v>
      </c>
      <c r="L3543">
        <v>6</v>
      </c>
      <c r="M3543" t="s">
        <v>15492</v>
      </c>
      <c r="N3543" t="s">
        <v>47</v>
      </c>
      <c r="O3543" t="s">
        <v>9477</v>
      </c>
      <c r="P3543" t="s">
        <v>9477</v>
      </c>
      <c r="Y3543" t="s">
        <v>15498</v>
      </c>
    </row>
    <row r="3544" spans="1:25">
      <c r="A3544" t="s">
        <v>15499</v>
      </c>
      <c r="B3544" t="s">
        <v>15500</v>
      </c>
      <c r="D3544" t="s">
        <v>9473</v>
      </c>
      <c r="E3544" t="s">
        <v>9474</v>
      </c>
      <c r="H3544" t="s">
        <v>15501</v>
      </c>
      <c r="J3544" t="s">
        <v>133</v>
      </c>
      <c r="K3544" t="s">
        <v>134</v>
      </c>
      <c r="L3544">
        <v>6</v>
      </c>
      <c r="M3544" t="s">
        <v>15502</v>
      </c>
      <c r="N3544" t="s">
        <v>685</v>
      </c>
      <c r="O3544" t="s">
        <v>9477</v>
      </c>
      <c r="P3544" t="s">
        <v>9477</v>
      </c>
      <c r="Y3544" t="s">
        <v>15501</v>
      </c>
    </row>
    <row r="3545" spans="1:25">
      <c r="A3545" t="s">
        <v>15503</v>
      </c>
      <c r="B3545" t="s">
        <v>15504</v>
      </c>
      <c r="D3545" t="s">
        <v>9473</v>
      </c>
      <c r="E3545" t="s">
        <v>9474</v>
      </c>
      <c r="H3545" t="s">
        <v>15505</v>
      </c>
      <c r="J3545" t="s">
        <v>371</v>
      </c>
      <c r="K3545" t="s">
        <v>372</v>
      </c>
      <c r="L3545">
        <v>6</v>
      </c>
      <c r="M3545" t="s">
        <v>15506</v>
      </c>
      <c r="N3545" t="s">
        <v>47</v>
      </c>
      <c r="O3545" t="s">
        <v>9477</v>
      </c>
      <c r="P3545" t="s">
        <v>9477</v>
      </c>
      <c r="Y3545" t="s">
        <v>15505</v>
      </c>
    </row>
    <row r="3546" spans="1:25">
      <c r="A3546" t="s">
        <v>15507</v>
      </c>
      <c r="B3546" t="s">
        <v>15508</v>
      </c>
      <c r="D3546" t="s">
        <v>9473</v>
      </c>
      <c r="E3546" t="s">
        <v>9474</v>
      </c>
      <c r="J3546" t="s">
        <v>133</v>
      </c>
      <c r="K3546" t="s">
        <v>134</v>
      </c>
      <c r="L3546">
        <v>6</v>
      </c>
      <c r="M3546" t="s">
        <v>15509</v>
      </c>
      <c r="N3546" t="s">
        <v>135</v>
      </c>
      <c r="O3546" t="s">
        <v>9477</v>
      </c>
      <c r="P3546" t="s">
        <v>9477</v>
      </c>
      <c r="Y3546" t="s">
        <v>15510</v>
      </c>
    </row>
    <row r="3547" spans="1:25">
      <c r="A3547" t="s">
        <v>15511</v>
      </c>
      <c r="B3547" t="s">
        <v>15512</v>
      </c>
      <c r="D3547" t="s">
        <v>9473</v>
      </c>
      <c r="E3547" t="s">
        <v>9474</v>
      </c>
      <c r="J3547" t="s">
        <v>90</v>
      </c>
      <c r="K3547" t="s">
        <v>91</v>
      </c>
      <c r="L3547">
        <v>6</v>
      </c>
      <c r="M3547" t="s">
        <v>15513</v>
      </c>
      <c r="N3547" t="s">
        <v>47</v>
      </c>
      <c r="O3547" t="s">
        <v>9477</v>
      </c>
      <c r="P3547" t="s">
        <v>9477</v>
      </c>
      <c r="Y3547" t="s">
        <v>15514</v>
      </c>
    </row>
    <row r="3548" spans="1:25">
      <c r="A3548" t="s">
        <v>15515</v>
      </c>
      <c r="B3548" t="s">
        <v>15516</v>
      </c>
      <c r="D3548" t="s">
        <v>9473</v>
      </c>
      <c r="E3548" t="s">
        <v>9474</v>
      </c>
      <c r="J3548" t="s">
        <v>90</v>
      </c>
      <c r="K3548" t="s">
        <v>91</v>
      </c>
      <c r="L3548">
        <v>6</v>
      </c>
      <c r="M3548" t="s">
        <v>15513</v>
      </c>
      <c r="N3548" t="s">
        <v>47</v>
      </c>
      <c r="O3548" t="s">
        <v>9477</v>
      </c>
      <c r="P3548" t="s">
        <v>9477</v>
      </c>
      <c r="Y3548" t="s">
        <v>15517</v>
      </c>
    </row>
    <row r="3549" spans="1:25">
      <c r="A3549" t="s">
        <v>15518</v>
      </c>
      <c r="B3549" t="s">
        <v>15519</v>
      </c>
      <c r="D3549" t="s">
        <v>9473</v>
      </c>
      <c r="E3549" t="s">
        <v>9474</v>
      </c>
      <c r="H3549" t="s">
        <v>15520</v>
      </c>
      <c r="J3549" t="s">
        <v>234</v>
      </c>
      <c r="K3549" t="s">
        <v>235</v>
      </c>
      <c r="L3549">
        <v>6</v>
      </c>
      <c r="M3549" t="s">
        <v>15521</v>
      </c>
      <c r="N3549" t="s">
        <v>47</v>
      </c>
      <c r="O3549" t="s">
        <v>9477</v>
      </c>
      <c r="P3549" t="s">
        <v>9477</v>
      </c>
      <c r="Y3549" t="s">
        <v>15520</v>
      </c>
    </row>
    <row r="3550" spans="1:25">
      <c r="A3550" t="s">
        <v>15522</v>
      </c>
      <c r="B3550" t="s">
        <v>15523</v>
      </c>
      <c r="D3550" t="s">
        <v>9473</v>
      </c>
      <c r="E3550" t="s">
        <v>9474</v>
      </c>
      <c r="H3550" t="s">
        <v>15524</v>
      </c>
      <c r="J3550" t="s">
        <v>90</v>
      </c>
      <c r="K3550" t="s">
        <v>91</v>
      </c>
      <c r="L3550">
        <v>6</v>
      </c>
      <c r="M3550" t="s">
        <v>15525</v>
      </c>
      <c r="N3550" t="s">
        <v>47</v>
      </c>
      <c r="O3550" t="s">
        <v>9477</v>
      </c>
      <c r="P3550" t="s">
        <v>9477</v>
      </c>
      <c r="Y3550" t="s">
        <v>15524</v>
      </c>
    </row>
    <row r="3551" spans="1:25">
      <c r="A3551" t="s">
        <v>15526</v>
      </c>
      <c r="B3551" t="s">
        <v>15527</v>
      </c>
      <c r="D3551" t="s">
        <v>9473</v>
      </c>
      <c r="E3551" t="s">
        <v>9474</v>
      </c>
      <c r="J3551" t="s">
        <v>78</v>
      </c>
      <c r="K3551" t="s">
        <v>79</v>
      </c>
      <c r="L3551">
        <v>6</v>
      </c>
      <c r="M3551" t="s">
        <v>15528</v>
      </c>
      <c r="N3551" t="s">
        <v>47</v>
      </c>
      <c r="O3551" t="s">
        <v>9477</v>
      </c>
      <c r="P3551" t="s">
        <v>9477</v>
      </c>
      <c r="Y3551" t="s">
        <v>15529</v>
      </c>
    </row>
    <row r="3552" spans="1:25">
      <c r="A3552" t="s">
        <v>15530</v>
      </c>
      <c r="B3552" t="s">
        <v>15531</v>
      </c>
      <c r="D3552" t="s">
        <v>9473</v>
      </c>
      <c r="E3552" t="s">
        <v>9474</v>
      </c>
      <c r="H3552" t="s">
        <v>15532</v>
      </c>
      <c r="J3552" t="s">
        <v>78</v>
      </c>
      <c r="K3552" t="s">
        <v>79</v>
      </c>
      <c r="L3552">
        <v>6</v>
      </c>
      <c r="M3552" t="s">
        <v>15528</v>
      </c>
      <c r="N3552" t="s">
        <v>47</v>
      </c>
      <c r="O3552" t="s">
        <v>9477</v>
      </c>
      <c r="P3552" t="s">
        <v>9477</v>
      </c>
      <c r="Y3552" t="s">
        <v>15532</v>
      </c>
    </row>
    <row r="3553" spans="1:25">
      <c r="A3553" t="s">
        <v>15533</v>
      </c>
      <c r="B3553" t="s">
        <v>15534</v>
      </c>
      <c r="D3553" t="s">
        <v>9473</v>
      </c>
      <c r="E3553" t="s">
        <v>9474</v>
      </c>
      <c r="H3553" t="s">
        <v>15535</v>
      </c>
      <c r="J3553" t="s">
        <v>133</v>
      </c>
      <c r="K3553" t="s">
        <v>134</v>
      </c>
      <c r="L3553">
        <v>6</v>
      </c>
      <c r="M3553" t="s">
        <v>15536</v>
      </c>
      <c r="N3553" t="s">
        <v>135</v>
      </c>
      <c r="O3553" t="s">
        <v>9477</v>
      </c>
      <c r="P3553" t="s">
        <v>9477</v>
      </c>
      <c r="Y3553" t="s">
        <v>15535</v>
      </c>
    </row>
    <row r="3554" spans="1:25">
      <c r="A3554" t="s">
        <v>15537</v>
      </c>
      <c r="B3554" t="s">
        <v>15538</v>
      </c>
      <c r="D3554" t="s">
        <v>9473</v>
      </c>
      <c r="E3554" t="s">
        <v>9474</v>
      </c>
      <c r="J3554" t="s">
        <v>133</v>
      </c>
      <c r="K3554" t="s">
        <v>134</v>
      </c>
      <c r="L3554">
        <v>6</v>
      </c>
      <c r="M3554" t="s">
        <v>15539</v>
      </c>
      <c r="N3554" t="s">
        <v>685</v>
      </c>
      <c r="O3554" t="s">
        <v>9477</v>
      </c>
      <c r="P3554" t="s">
        <v>9477</v>
      </c>
      <c r="Y3554" t="s">
        <v>15540</v>
      </c>
    </row>
    <row r="3555" spans="1:25">
      <c r="A3555" t="s">
        <v>15541</v>
      </c>
      <c r="B3555" t="s">
        <v>15542</v>
      </c>
      <c r="D3555" t="s">
        <v>9473</v>
      </c>
      <c r="E3555" t="s">
        <v>9474</v>
      </c>
      <c r="J3555" t="s">
        <v>90</v>
      </c>
      <c r="K3555" t="s">
        <v>91</v>
      </c>
      <c r="L3555">
        <v>6</v>
      </c>
      <c r="M3555" t="s">
        <v>15543</v>
      </c>
      <c r="N3555" t="s">
        <v>47</v>
      </c>
      <c r="O3555" t="s">
        <v>9477</v>
      </c>
      <c r="P3555" t="s">
        <v>9477</v>
      </c>
      <c r="Y3555" t="s">
        <v>15544</v>
      </c>
    </row>
    <row r="3556" spans="1:25">
      <c r="A3556" t="s">
        <v>15545</v>
      </c>
      <c r="B3556" t="s">
        <v>15546</v>
      </c>
      <c r="D3556" t="s">
        <v>9473</v>
      </c>
      <c r="E3556" t="s">
        <v>9474</v>
      </c>
      <c r="J3556" t="s">
        <v>90</v>
      </c>
      <c r="K3556" t="s">
        <v>91</v>
      </c>
      <c r="L3556">
        <v>6</v>
      </c>
      <c r="M3556" t="s">
        <v>15547</v>
      </c>
      <c r="N3556" t="s">
        <v>47</v>
      </c>
      <c r="O3556" t="s">
        <v>9477</v>
      </c>
      <c r="P3556" t="s">
        <v>9477</v>
      </c>
      <c r="Y3556" t="s">
        <v>15548</v>
      </c>
    </row>
    <row r="3557" spans="1:25">
      <c r="A3557" t="s">
        <v>15549</v>
      </c>
      <c r="B3557" t="s">
        <v>15550</v>
      </c>
      <c r="D3557" t="s">
        <v>9473</v>
      </c>
      <c r="E3557" t="s">
        <v>9474</v>
      </c>
      <c r="J3557" t="s">
        <v>44</v>
      </c>
      <c r="K3557" t="s">
        <v>45</v>
      </c>
      <c r="L3557">
        <v>6</v>
      </c>
      <c r="M3557" t="s">
        <v>15547</v>
      </c>
      <c r="N3557" t="s">
        <v>47</v>
      </c>
      <c r="O3557" t="s">
        <v>9477</v>
      </c>
      <c r="P3557" t="s">
        <v>9477</v>
      </c>
      <c r="Y3557" t="s">
        <v>15551</v>
      </c>
    </row>
    <row r="3558" spans="1:25">
      <c r="A3558" t="s">
        <v>15552</v>
      </c>
      <c r="B3558" t="s">
        <v>15553</v>
      </c>
      <c r="D3558" t="s">
        <v>9473</v>
      </c>
      <c r="E3558" t="s">
        <v>9474</v>
      </c>
      <c r="J3558" t="s">
        <v>54</v>
      </c>
      <c r="K3558" t="s">
        <v>55</v>
      </c>
      <c r="L3558">
        <v>6</v>
      </c>
      <c r="M3558" t="s">
        <v>15547</v>
      </c>
      <c r="N3558" t="s">
        <v>47</v>
      </c>
      <c r="O3558" t="s">
        <v>9477</v>
      </c>
      <c r="P3558" t="s">
        <v>9477</v>
      </c>
      <c r="Y3558" t="s">
        <v>15554</v>
      </c>
    </row>
    <row r="3559" spans="1:25">
      <c r="A3559" t="s">
        <v>15555</v>
      </c>
      <c r="B3559" t="s">
        <v>15556</v>
      </c>
      <c r="D3559" t="s">
        <v>9473</v>
      </c>
      <c r="E3559" t="s">
        <v>9474</v>
      </c>
      <c r="H3559" t="s">
        <v>15557</v>
      </c>
      <c r="J3559" t="s">
        <v>90</v>
      </c>
      <c r="K3559" t="s">
        <v>91</v>
      </c>
      <c r="L3559">
        <v>6</v>
      </c>
      <c r="M3559" t="s">
        <v>15558</v>
      </c>
      <c r="N3559" t="s">
        <v>47</v>
      </c>
      <c r="O3559" t="s">
        <v>9477</v>
      </c>
      <c r="P3559" t="s">
        <v>9477</v>
      </c>
      <c r="Y3559" t="s">
        <v>15557</v>
      </c>
    </row>
    <row r="3560" spans="1:25">
      <c r="A3560" t="s">
        <v>15559</v>
      </c>
      <c r="B3560" t="s">
        <v>15560</v>
      </c>
      <c r="D3560" t="s">
        <v>9473</v>
      </c>
      <c r="E3560" t="s">
        <v>9474</v>
      </c>
      <c r="J3560" t="s">
        <v>90</v>
      </c>
      <c r="K3560" t="s">
        <v>91</v>
      </c>
      <c r="L3560">
        <v>6</v>
      </c>
      <c r="M3560" t="s">
        <v>15561</v>
      </c>
      <c r="N3560" t="s">
        <v>47</v>
      </c>
      <c r="O3560" t="s">
        <v>9477</v>
      </c>
      <c r="P3560" t="s">
        <v>9477</v>
      </c>
      <c r="Y3560" t="s">
        <v>15562</v>
      </c>
    </row>
    <row r="3561" spans="1:25">
      <c r="A3561" t="s">
        <v>15563</v>
      </c>
      <c r="B3561" t="s">
        <v>15564</v>
      </c>
      <c r="D3561" t="s">
        <v>9473</v>
      </c>
      <c r="E3561" t="s">
        <v>9474</v>
      </c>
      <c r="J3561" t="s">
        <v>44</v>
      </c>
      <c r="K3561" t="s">
        <v>45</v>
      </c>
      <c r="L3561">
        <v>6</v>
      </c>
      <c r="M3561" t="s">
        <v>15565</v>
      </c>
      <c r="N3561" t="s">
        <v>47</v>
      </c>
      <c r="O3561" t="s">
        <v>9477</v>
      </c>
      <c r="P3561" t="s">
        <v>9477</v>
      </c>
      <c r="Y3561" t="s">
        <v>15566</v>
      </c>
    </row>
    <row r="3562" spans="1:25">
      <c r="A3562" t="s">
        <v>15567</v>
      </c>
      <c r="B3562" t="s">
        <v>15568</v>
      </c>
      <c r="D3562" t="s">
        <v>9473</v>
      </c>
      <c r="E3562" t="s">
        <v>9474</v>
      </c>
      <c r="J3562" t="s">
        <v>78</v>
      </c>
      <c r="K3562" t="s">
        <v>79</v>
      </c>
      <c r="L3562">
        <v>6</v>
      </c>
      <c r="M3562" t="s">
        <v>15565</v>
      </c>
      <c r="N3562" t="s">
        <v>47</v>
      </c>
      <c r="O3562" t="s">
        <v>9477</v>
      </c>
      <c r="P3562" t="s">
        <v>9477</v>
      </c>
      <c r="Y3562" t="s">
        <v>15569</v>
      </c>
    </row>
    <row r="3563" spans="1:25">
      <c r="A3563" t="s">
        <v>15570</v>
      </c>
      <c r="B3563" t="s">
        <v>15571</v>
      </c>
      <c r="D3563" t="s">
        <v>9473</v>
      </c>
      <c r="E3563" t="s">
        <v>9474</v>
      </c>
      <c r="J3563" t="s">
        <v>133</v>
      </c>
      <c r="K3563" t="s">
        <v>134</v>
      </c>
      <c r="L3563">
        <v>6</v>
      </c>
      <c r="M3563" t="s">
        <v>15565</v>
      </c>
      <c r="N3563" t="s">
        <v>135</v>
      </c>
      <c r="O3563" t="s">
        <v>9477</v>
      </c>
      <c r="P3563" t="s">
        <v>9477</v>
      </c>
      <c r="Y3563" t="s">
        <v>15572</v>
      </c>
    </row>
    <row r="3564" spans="1:25">
      <c r="A3564" t="s">
        <v>15573</v>
      </c>
      <c r="B3564" t="s">
        <v>15574</v>
      </c>
      <c r="D3564" t="s">
        <v>9473</v>
      </c>
      <c r="E3564" t="s">
        <v>9474</v>
      </c>
      <c r="J3564" t="s">
        <v>90</v>
      </c>
      <c r="K3564" t="s">
        <v>91</v>
      </c>
      <c r="L3564">
        <v>6</v>
      </c>
      <c r="M3564" t="s">
        <v>15575</v>
      </c>
      <c r="N3564" t="s">
        <v>47</v>
      </c>
      <c r="O3564" t="s">
        <v>9477</v>
      </c>
      <c r="P3564" t="s">
        <v>9477</v>
      </c>
      <c r="Y3564" t="s">
        <v>15576</v>
      </c>
    </row>
    <row r="3565" spans="1:25">
      <c r="A3565" t="s">
        <v>15577</v>
      </c>
      <c r="B3565" t="s">
        <v>15578</v>
      </c>
      <c r="D3565" t="s">
        <v>9473</v>
      </c>
      <c r="E3565" t="s">
        <v>9474</v>
      </c>
      <c r="J3565" t="s">
        <v>133</v>
      </c>
      <c r="K3565" t="s">
        <v>134</v>
      </c>
      <c r="L3565">
        <v>6</v>
      </c>
      <c r="M3565" t="s">
        <v>15579</v>
      </c>
      <c r="N3565" t="s">
        <v>135</v>
      </c>
      <c r="O3565" t="s">
        <v>9477</v>
      </c>
      <c r="P3565" t="s">
        <v>9477</v>
      </c>
      <c r="Y3565" t="s">
        <v>15580</v>
      </c>
    </row>
    <row r="3566" spans="1:25">
      <c r="A3566" t="s">
        <v>15581</v>
      </c>
      <c r="B3566" t="s">
        <v>15582</v>
      </c>
      <c r="D3566" t="s">
        <v>9473</v>
      </c>
      <c r="E3566" t="s">
        <v>9474</v>
      </c>
      <c r="J3566" t="s">
        <v>90</v>
      </c>
      <c r="K3566" t="s">
        <v>91</v>
      </c>
      <c r="L3566">
        <v>6</v>
      </c>
      <c r="M3566" t="s">
        <v>15579</v>
      </c>
      <c r="N3566" t="s">
        <v>47</v>
      </c>
      <c r="O3566" t="s">
        <v>9477</v>
      </c>
      <c r="P3566" t="s">
        <v>9477</v>
      </c>
      <c r="Y3566" t="s">
        <v>15583</v>
      </c>
    </row>
    <row r="3567" spans="1:25">
      <c r="A3567" t="s">
        <v>15584</v>
      </c>
      <c r="B3567" t="s">
        <v>15585</v>
      </c>
      <c r="D3567" t="s">
        <v>9473</v>
      </c>
      <c r="E3567" t="s">
        <v>9474</v>
      </c>
      <c r="J3567" t="s">
        <v>44</v>
      </c>
      <c r="K3567" t="s">
        <v>45</v>
      </c>
      <c r="L3567">
        <v>6</v>
      </c>
      <c r="M3567" t="s">
        <v>15586</v>
      </c>
      <c r="N3567" t="s">
        <v>47</v>
      </c>
      <c r="O3567" t="s">
        <v>9477</v>
      </c>
      <c r="P3567" t="s">
        <v>9477</v>
      </c>
      <c r="Y3567" t="s">
        <v>15587</v>
      </c>
    </row>
    <row r="3568" spans="1:25">
      <c r="A3568" t="s">
        <v>15588</v>
      </c>
      <c r="B3568" t="s">
        <v>15589</v>
      </c>
      <c r="D3568" t="s">
        <v>9473</v>
      </c>
      <c r="E3568" t="s">
        <v>9474</v>
      </c>
      <c r="J3568" t="s">
        <v>78</v>
      </c>
      <c r="K3568" t="s">
        <v>79</v>
      </c>
      <c r="L3568">
        <v>6</v>
      </c>
      <c r="M3568" t="s">
        <v>15590</v>
      </c>
      <c r="N3568" t="s">
        <v>47</v>
      </c>
      <c r="O3568" t="s">
        <v>9477</v>
      </c>
      <c r="P3568" t="s">
        <v>9477</v>
      </c>
      <c r="Y3568" t="s">
        <v>15591</v>
      </c>
    </row>
    <row r="3569" spans="1:25">
      <c r="A3569" t="s">
        <v>15592</v>
      </c>
      <c r="B3569" t="s">
        <v>15593</v>
      </c>
      <c r="D3569" t="s">
        <v>9473</v>
      </c>
      <c r="E3569" t="s">
        <v>9474</v>
      </c>
      <c r="J3569" t="s">
        <v>44</v>
      </c>
      <c r="K3569" t="s">
        <v>45</v>
      </c>
      <c r="L3569">
        <v>6</v>
      </c>
      <c r="M3569" t="s">
        <v>15594</v>
      </c>
      <c r="N3569" t="s">
        <v>47</v>
      </c>
      <c r="O3569" t="s">
        <v>9477</v>
      </c>
      <c r="P3569" t="s">
        <v>9477</v>
      </c>
      <c r="Y3569" t="s">
        <v>15595</v>
      </c>
    </row>
    <row r="3570" spans="1:25">
      <c r="A3570" t="s">
        <v>15596</v>
      </c>
      <c r="B3570" t="s">
        <v>15597</v>
      </c>
      <c r="D3570" t="s">
        <v>9473</v>
      </c>
      <c r="E3570" t="s">
        <v>9474</v>
      </c>
      <c r="H3570" t="s">
        <v>15598</v>
      </c>
      <c r="J3570" t="s">
        <v>90</v>
      </c>
      <c r="K3570" t="s">
        <v>91</v>
      </c>
      <c r="L3570">
        <v>6</v>
      </c>
      <c r="M3570" t="s">
        <v>15599</v>
      </c>
      <c r="N3570" t="s">
        <v>47</v>
      </c>
      <c r="O3570" t="s">
        <v>9477</v>
      </c>
      <c r="P3570" t="s">
        <v>9477</v>
      </c>
      <c r="Y3570" t="s">
        <v>15598</v>
      </c>
    </row>
    <row r="3571" spans="1:25">
      <c r="A3571" t="s">
        <v>15600</v>
      </c>
      <c r="B3571" t="s">
        <v>15601</v>
      </c>
      <c r="D3571" t="s">
        <v>9473</v>
      </c>
      <c r="E3571" t="s">
        <v>9474</v>
      </c>
      <c r="J3571" t="s">
        <v>765</v>
      </c>
      <c r="K3571" t="s">
        <v>766</v>
      </c>
      <c r="L3571">
        <v>6</v>
      </c>
      <c r="M3571" t="s">
        <v>15599</v>
      </c>
      <c r="N3571" t="s">
        <v>685</v>
      </c>
      <c r="O3571" t="s">
        <v>9477</v>
      </c>
      <c r="P3571" t="s">
        <v>9477</v>
      </c>
      <c r="Y3571" t="s">
        <v>15602</v>
      </c>
    </row>
    <row r="3572" spans="1:25">
      <c r="A3572" t="s">
        <v>15603</v>
      </c>
      <c r="B3572" t="s">
        <v>15604</v>
      </c>
      <c r="D3572" t="s">
        <v>9473</v>
      </c>
      <c r="E3572" t="s">
        <v>9474</v>
      </c>
      <c r="H3572" t="s">
        <v>15605</v>
      </c>
      <c r="J3572" t="s">
        <v>54</v>
      </c>
      <c r="K3572" t="s">
        <v>55</v>
      </c>
      <c r="L3572">
        <v>6</v>
      </c>
      <c r="M3572" t="s">
        <v>15606</v>
      </c>
      <c r="N3572" t="s">
        <v>47</v>
      </c>
      <c r="O3572" t="s">
        <v>9477</v>
      </c>
      <c r="P3572" t="s">
        <v>9477</v>
      </c>
      <c r="Y3572" t="s">
        <v>15605</v>
      </c>
    </row>
    <row r="3573" spans="1:25">
      <c r="A3573" t="s">
        <v>15607</v>
      </c>
      <c r="B3573" t="s">
        <v>15608</v>
      </c>
      <c r="D3573" t="s">
        <v>9473</v>
      </c>
      <c r="E3573" t="s">
        <v>9474</v>
      </c>
      <c r="J3573" t="s">
        <v>90</v>
      </c>
      <c r="K3573" t="s">
        <v>91</v>
      </c>
      <c r="L3573">
        <v>6</v>
      </c>
      <c r="M3573" t="s">
        <v>15609</v>
      </c>
      <c r="N3573" t="s">
        <v>47</v>
      </c>
      <c r="O3573" t="s">
        <v>9477</v>
      </c>
      <c r="P3573" t="s">
        <v>9477</v>
      </c>
      <c r="Y3573" t="s">
        <v>15610</v>
      </c>
    </row>
    <row r="3574" spans="1:25">
      <c r="A3574" t="s">
        <v>15611</v>
      </c>
      <c r="B3574" t="s">
        <v>15612</v>
      </c>
      <c r="D3574" t="s">
        <v>9473</v>
      </c>
      <c r="E3574" t="s">
        <v>9474</v>
      </c>
      <c r="J3574" t="s">
        <v>44</v>
      </c>
      <c r="K3574" t="s">
        <v>45</v>
      </c>
      <c r="L3574">
        <v>6</v>
      </c>
      <c r="M3574" t="s">
        <v>15609</v>
      </c>
      <c r="N3574" t="s">
        <v>47</v>
      </c>
      <c r="O3574" t="s">
        <v>9477</v>
      </c>
      <c r="P3574" t="s">
        <v>9477</v>
      </c>
      <c r="Y3574" t="s">
        <v>15613</v>
      </c>
    </row>
    <row r="3575" spans="1:25">
      <c r="A3575" t="s">
        <v>15614</v>
      </c>
      <c r="B3575" t="s">
        <v>15615</v>
      </c>
      <c r="D3575" t="s">
        <v>9473</v>
      </c>
      <c r="E3575" t="s">
        <v>9474</v>
      </c>
      <c r="H3575" t="s">
        <v>15616</v>
      </c>
      <c r="J3575" t="s">
        <v>541</v>
      </c>
      <c r="K3575" t="s">
        <v>542</v>
      </c>
      <c r="L3575">
        <v>6</v>
      </c>
      <c r="M3575" t="s">
        <v>15617</v>
      </c>
      <c r="N3575" t="s">
        <v>685</v>
      </c>
      <c r="O3575" t="s">
        <v>9477</v>
      </c>
      <c r="P3575" t="s">
        <v>9477</v>
      </c>
      <c r="Y3575" t="s">
        <v>15616</v>
      </c>
    </row>
    <row r="3576" spans="1:25">
      <c r="A3576" t="s">
        <v>15618</v>
      </c>
      <c r="B3576" t="s">
        <v>15619</v>
      </c>
      <c r="D3576" t="s">
        <v>9473</v>
      </c>
      <c r="E3576" t="s">
        <v>9474</v>
      </c>
      <c r="J3576" t="s">
        <v>90</v>
      </c>
      <c r="K3576" t="s">
        <v>91</v>
      </c>
      <c r="L3576">
        <v>6</v>
      </c>
      <c r="M3576" t="s">
        <v>15620</v>
      </c>
      <c r="N3576" t="s">
        <v>47</v>
      </c>
      <c r="O3576" t="s">
        <v>9477</v>
      </c>
      <c r="P3576" t="s">
        <v>9477</v>
      </c>
      <c r="Y3576" t="s">
        <v>15621</v>
      </c>
    </row>
    <row r="3577" spans="1:25">
      <c r="A3577" t="s">
        <v>15622</v>
      </c>
      <c r="B3577" t="s">
        <v>15623</v>
      </c>
      <c r="D3577" t="s">
        <v>9473</v>
      </c>
      <c r="E3577" t="s">
        <v>9474</v>
      </c>
      <c r="J3577" t="s">
        <v>78</v>
      </c>
      <c r="K3577" t="s">
        <v>79</v>
      </c>
      <c r="L3577">
        <v>6</v>
      </c>
      <c r="M3577" t="s">
        <v>15624</v>
      </c>
      <c r="N3577" t="s">
        <v>47</v>
      </c>
      <c r="O3577" t="s">
        <v>9477</v>
      </c>
      <c r="P3577" t="s">
        <v>9477</v>
      </c>
      <c r="Y3577" t="s">
        <v>15625</v>
      </c>
    </row>
    <row r="3578" spans="1:25">
      <c r="A3578" t="s">
        <v>15626</v>
      </c>
      <c r="B3578" t="s">
        <v>15627</v>
      </c>
      <c r="D3578" t="s">
        <v>9473</v>
      </c>
      <c r="E3578" t="s">
        <v>9474</v>
      </c>
      <c r="J3578" t="s">
        <v>90</v>
      </c>
      <c r="K3578" t="s">
        <v>91</v>
      </c>
      <c r="L3578">
        <v>6</v>
      </c>
      <c r="M3578" t="s">
        <v>15624</v>
      </c>
      <c r="N3578" t="s">
        <v>47</v>
      </c>
      <c r="O3578" t="s">
        <v>9477</v>
      </c>
      <c r="P3578" t="s">
        <v>9477</v>
      </c>
      <c r="Y3578" t="s">
        <v>15628</v>
      </c>
    </row>
    <row r="3579" spans="1:25">
      <c r="A3579" t="s">
        <v>15629</v>
      </c>
      <c r="B3579" t="s">
        <v>15630</v>
      </c>
      <c r="D3579" t="s">
        <v>9473</v>
      </c>
      <c r="E3579" t="s">
        <v>9474</v>
      </c>
      <c r="J3579" t="s">
        <v>133</v>
      </c>
      <c r="K3579" t="s">
        <v>134</v>
      </c>
      <c r="L3579">
        <v>6</v>
      </c>
      <c r="M3579" t="s">
        <v>15624</v>
      </c>
      <c r="N3579" t="s">
        <v>135</v>
      </c>
      <c r="O3579" t="s">
        <v>9477</v>
      </c>
      <c r="P3579" t="s">
        <v>9477</v>
      </c>
      <c r="Y3579" t="s">
        <v>15631</v>
      </c>
    </row>
    <row r="3580" spans="1:25">
      <c r="A3580" t="s">
        <v>15632</v>
      </c>
      <c r="B3580" t="s">
        <v>15633</v>
      </c>
      <c r="D3580" t="s">
        <v>9473</v>
      </c>
      <c r="E3580" t="s">
        <v>9474</v>
      </c>
      <c r="J3580" t="s">
        <v>44</v>
      </c>
      <c r="K3580" t="s">
        <v>45</v>
      </c>
      <c r="L3580">
        <v>6</v>
      </c>
      <c r="M3580" t="s">
        <v>15624</v>
      </c>
      <c r="N3580" t="s">
        <v>47</v>
      </c>
      <c r="O3580" t="s">
        <v>9477</v>
      </c>
      <c r="P3580" t="s">
        <v>9477</v>
      </c>
      <c r="Y3580" t="s">
        <v>15634</v>
      </c>
    </row>
    <row r="3581" spans="1:25">
      <c r="A3581" t="s">
        <v>15635</v>
      </c>
      <c r="B3581" t="s">
        <v>15636</v>
      </c>
      <c r="D3581" t="s">
        <v>9473</v>
      </c>
      <c r="E3581" t="s">
        <v>9474</v>
      </c>
      <c r="H3581" t="s">
        <v>15637</v>
      </c>
      <c r="J3581" t="s">
        <v>133</v>
      </c>
      <c r="K3581" t="s">
        <v>134</v>
      </c>
      <c r="L3581">
        <v>6</v>
      </c>
      <c r="M3581" t="s">
        <v>15638</v>
      </c>
      <c r="N3581" t="s">
        <v>685</v>
      </c>
      <c r="O3581" t="s">
        <v>9477</v>
      </c>
      <c r="P3581" t="s">
        <v>9477</v>
      </c>
      <c r="Y3581" t="s">
        <v>15637</v>
      </c>
    </row>
    <row r="3582" spans="1:25">
      <c r="A3582" t="s">
        <v>15639</v>
      </c>
      <c r="B3582" t="s">
        <v>15640</v>
      </c>
      <c r="D3582" t="s">
        <v>9473</v>
      </c>
      <c r="E3582" t="s">
        <v>9474</v>
      </c>
      <c r="J3582" t="s">
        <v>54</v>
      </c>
      <c r="K3582" t="s">
        <v>55</v>
      </c>
      <c r="L3582">
        <v>6</v>
      </c>
      <c r="M3582" t="s">
        <v>15638</v>
      </c>
      <c r="N3582" t="s">
        <v>47</v>
      </c>
      <c r="O3582" t="s">
        <v>9477</v>
      </c>
      <c r="P3582" t="s">
        <v>9477</v>
      </c>
      <c r="Y3582" t="s">
        <v>15641</v>
      </c>
    </row>
    <row r="3583" spans="1:25">
      <c r="A3583" t="s">
        <v>15642</v>
      </c>
      <c r="B3583" t="s">
        <v>15643</v>
      </c>
      <c r="D3583" t="s">
        <v>9473</v>
      </c>
      <c r="E3583" t="s">
        <v>9474</v>
      </c>
      <c r="H3583" t="s">
        <v>15644</v>
      </c>
      <c r="J3583" t="s">
        <v>44</v>
      </c>
      <c r="K3583" t="s">
        <v>45</v>
      </c>
      <c r="L3583">
        <v>6</v>
      </c>
      <c r="M3583" t="s">
        <v>15638</v>
      </c>
      <c r="N3583" t="s">
        <v>47</v>
      </c>
      <c r="O3583" t="s">
        <v>9477</v>
      </c>
      <c r="P3583" t="s">
        <v>9477</v>
      </c>
      <c r="Y3583" t="s">
        <v>15644</v>
      </c>
    </row>
    <row r="3584" spans="1:25">
      <c r="A3584" t="s">
        <v>15645</v>
      </c>
      <c r="B3584" t="s">
        <v>15646</v>
      </c>
      <c r="D3584" t="s">
        <v>9473</v>
      </c>
      <c r="E3584" t="s">
        <v>9474</v>
      </c>
      <c r="H3584" t="s">
        <v>15647</v>
      </c>
      <c r="J3584" t="s">
        <v>353</v>
      </c>
      <c r="K3584" t="s">
        <v>354</v>
      </c>
      <c r="L3584">
        <v>6</v>
      </c>
      <c r="M3584" t="s">
        <v>15648</v>
      </c>
      <c r="N3584" t="s">
        <v>135</v>
      </c>
      <c r="O3584" t="s">
        <v>9477</v>
      </c>
      <c r="P3584" t="s">
        <v>9477</v>
      </c>
      <c r="Y3584" t="s">
        <v>15647</v>
      </c>
    </row>
    <row r="3585" spans="1:25">
      <c r="A3585" t="s">
        <v>15649</v>
      </c>
      <c r="B3585" t="s">
        <v>15650</v>
      </c>
      <c r="D3585" t="s">
        <v>9473</v>
      </c>
      <c r="E3585" t="s">
        <v>9474</v>
      </c>
      <c r="J3585" t="s">
        <v>133</v>
      </c>
      <c r="K3585" t="s">
        <v>134</v>
      </c>
      <c r="L3585">
        <v>6</v>
      </c>
      <c r="M3585" t="s">
        <v>15651</v>
      </c>
      <c r="N3585" t="s">
        <v>685</v>
      </c>
      <c r="O3585" t="s">
        <v>9477</v>
      </c>
      <c r="P3585" t="s">
        <v>9477</v>
      </c>
      <c r="Y3585" t="s">
        <v>15652</v>
      </c>
    </row>
    <row r="3586" spans="1:25">
      <c r="A3586" t="s">
        <v>15653</v>
      </c>
      <c r="B3586" t="s">
        <v>15654</v>
      </c>
      <c r="D3586" t="s">
        <v>9473</v>
      </c>
      <c r="E3586" t="s">
        <v>9474</v>
      </c>
      <c r="H3586" t="s">
        <v>15655</v>
      </c>
      <c r="J3586" t="s">
        <v>78</v>
      </c>
      <c r="K3586" t="s">
        <v>79</v>
      </c>
      <c r="L3586">
        <v>6</v>
      </c>
      <c r="M3586" t="s">
        <v>15656</v>
      </c>
      <c r="N3586" t="s">
        <v>47</v>
      </c>
      <c r="O3586" t="s">
        <v>9477</v>
      </c>
      <c r="P3586" t="s">
        <v>9477</v>
      </c>
      <c r="Y3586" t="s">
        <v>15655</v>
      </c>
    </row>
    <row r="3587" spans="1:25">
      <c r="A3587" t="s">
        <v>15657</v>
      </c>
      <c r="B3587" t="s">
        <v>15658</v>
      </c>
      <c r="D3587" t="s">
        <v>9473</v>
      </c>
      <c r="E3587" t="s">
        <v>9474</v>
      </c>
      <c r="J3587" t="s">
        <v>90</v>
      </c>
      <c r="K3587" t="s">
        <v>91</v>
      </c>
      <c r="L3587">
        <v>6</v>
      </c>
      <c r="M3587" t="s">
        <v>15659</v>
      </c>
      <c r="N3587" t="s">
        <v>47</v>
      </c>
      <c r="O3587" t="s">
        <v>9477</v>
      </c>
      <c r="P3587" t="s">
        <v>9477</v>
      </c>
      <c r="Y3587" t="s">
        <v>15660</v>
      </c>
    </row>
    <row r="3588" spans="1:25">
      <c r="A3588" t="s">
        <v>15661</v>
      </c>
      <c r="B3588" t="s">
        <v>15662</v>
      </c>
      <c r="D3588" t="s">
        <v>9473</v>
      </c>
      <c r="E3588" t="s">
        <v>9474</v>
      </c>
      <c r="J3588" t="s">
        <v>371</v>
      </c>
      <c r="K3588" t="s">
        <v>372</v>
      </c>
      <c r="L3588">
        <v>6</v>
      </c>
      <c r="M3588" t="s">
        <v>15663</v>
      </c>
      <c r="N3588" t="s">
        <v>47</v>
      </c>
      <c r="O3588" t="s">
        <v>9477</v>
      </c>
      <c r="P3588" t="s">
        <v>9477</v>
      </c>
      <c r="Y3588" t="s">
        <v>15664</v>
      </c>
    </row>
    <row r="3589" spans="1:25">
      <c r="A3589" t="s">
        <v>15665</v>
      </c>
      <c r="B3589" t="s">
        <v>15666</v>
      </c>
      <c r="D3589" t="s">
        <v>9473</v>
      </c>
      <c r="E3589" t="s">
        <v>9474</v>
      </c>
      <c r="H3589" t="s">
        <v>15667</v>
      </c>
      <c r="J3589" t="s">
        <v>90</v>
      </c>
      <c r="K3589" t="s">
        <v>91</v>
      </c>
      <c r="L3589">
        <v>6</v>
      </c>
      <c r="M3589" t="s">
        <v>15663</v>
      </c>
      <c r="N3589" t="s">
        <v>47</v>
      </c>
      <c r="O3589" t="s">
        <v>9477</v>
      </c>
      <c r="P3589" t="s">
        <v>9477</v>
      </c>
      <c r="Y3589" t="s">
        <v>15667</v>
      </c>
    </row>
    <row r="3590" spans="1:25">
      <c r="A3590" t="s">
        <v>15668</v>
      </c>
      <c r="B3590" t="s">
        <v>15669</v>
      </c>
      <c r="D3590" t="s">
        <v>9473</v>
      </c>
      <c r="E3590" t="s">
        <v>9474</v>
      </c>
      <c r="H3590" t="s">
        <v>15670</v>
      </c>
      <c r="J3590" t="s">
        <v>133</v>
      </c>
      <c r="K3590" t="s">
        <v>134</v>
      </c>
      <c r="L3590">
        <v>6</v>
      </c>
      <c r="M3590" t="s">
        <v>15671</v>
      </c>
      <c r="N3590" t="s">
        <v>685</v>
      </c>
      <c r="O3590" t="s">
        <v>9477</v>
      </c>
      <c r="P3590" t="s">
        <v>9477</v>
      </c>
      <c r="Y3590" t="s">
        <v>15670</v>
      </c>
    </row>
    <row r="3591" spans="1:25">
      <c r="A3591" t="s">
        <v>15672</v>
      </c>
      <c r="B3591" t="s">
        <v>15673</v>
      </c>
      <c r="D3591" t="s">
        <v>9473</v>
      </c>
      <c r="E3591" t="s">
        <v>9474</v>
      </c>
      <c r="J3591" t="s">
        <v>90</v>
      </c>
      <c r="K3591" t="s">
        <v>91</v>
      </c>
      <c r="L3591">
        <v>6</v>
      </c>
      <c r="M3591" t="s">
        <v>15674</v>
      </c>
      <c r="N3591" t="s">
        <v>47</v>
      </c>
      <c r="O3591" t="s">
        <v>9477</v>
      </c>
      <c r="P3591" t="s">
        <v>9477</v>
      </c>
      <c r="Y3591" t="s">
        <v>15675</v>
      </c>
    </row>
    <row r="3592" spans="1:25">
      <c r="A3592" t="s">
        <v>15676</v>
      </c>
      <c r="B3592" t="s">
        <v>15677</v>
      </c>
      <c r="D3592" t="s">
        <v>9473</v>
      </c>
      <c r="E3592" t="s">
        <v>9474</v>
      </c>
      <c r="J3592" t="s">
        <v>90</v>
      </c>
      <c r="K3592" t="s">
        <v>91</v>
      </c>
      <c r="L3592">
        <v>6</v>
      </c>
      <c r="M3592" t="s">
        <v>15678</v>
      </c>
      <c r="N3592" t="s">
        <v>47</v>
      </c>
      <c r="O3592" t="s">
        <v>9477</v>
      </c>
      <c r="P3592" t="s">
        <v>9477</v>
      </c>
      <c r="Y3592" t="s">
        <v>15679</v>
      </c>
    </row>
    <row r="3593" spans="1:25">
      <c r="A3593" t="s">
        <v>15680</v>
      </c>
      <c r="B3593" t="s">
        <v>15681</v>
      </c>
      <c r="D3593" t="s">
        <v>9473</v>
      </c>
      <c r="E3593" t="s">
        <v>9474</v>
      </c>
      <c r="H3593" t="s">
        <v>15682</v>
      </c>
      <c r="J3593" t="s">
        <v>90</v>
      </c>
      <c r="K3593" t="s">
        <v>91</v>
      </c>
      <c r="L3593">
        <v>6</v>
      </c>
      <c r="M3593" t="s">
        <v>15683</v>
      </c>
      <c r="N3593" t="s">
        <v>47</v>
      </c>
      <c r="O3593" t="s">
        <v>9477</v>
      </c>
      <c r="P3593" t="s">
        <v>9477</v>
      </c>
      <c r="Y3593" t="s">
        <v>15682</v>
      </c>
    </row>
    <row r="3594" spans="1:25">
      <c r="A3594" t="s">
        <v>15684</v>
      </c>
      <c r="B3594" t="s">
        <v>15685</v>
      </c>
      <c r="D3594" t="s">
        <v>9473</v>
      </c>
      <c r="E3594" t="s">
        <v>9474</v>
      </c>
      <c r="J3594" t="s">
        <v>133</v>
      </c>
      <c r="K3594" t="s">
        <v>134</v>
      </c>
      <c r="L3594">
        <v>6</v>
      </c>
      <c r="M3594" t="s">
        <v>15686</v>
      </c>
      <c r="N3594" t="s">
        <v>135</v>
      </c>
      <c r="O3594" t="s">
        <v>9477</v>
      </c>
      <c r="P3594" t="s">
        <v>9477</v>
      </c>
      <c r="Y3594" t="s">
        <v>15687</v>
      </c>
    </row>
    <row r="3595" spans="1:25">
      <c r="A3595" t="s">
        <v>15688</v>
      </c>
      <c r="B3595" t="s">
        <v>15689</v>
      </c>
      <c r="D3595" t="s">
        <v>9473</v>
      </c>
      <c r="E3595" t="s">
        <v>9474</v>
      </c>
      <c r="H3595" t="s">
        <v>15690</v>
      </c>
      <c r="J3595" t="s">
        <v>44</v>
      </c>
      <c r="K3595" t="s">
        <v>45</v>
      </c>
      <c r="L3595">
        <v>6</v>
      </c>
      <c r="M3595" t="s">
        <v>15691</v>
      </c>
      <c r="N3595" t="s">
        <v>47</v>
      </c>
      <c r="O3595" t="s">
        <v>9477</v>
      </c>
      <c r="P3595" t="s">
        <v>9477</v>
      </c>
      <c r="Y3595" t="s">
        <v>15690</v>
      </c>
    </row>
    <row r="3596" spans="1:25">
      <c r="A3596" t="s">
        <v>15692</v>
      </c>
      <c r="B3596" t="s">
        <v>15693</v>
      </c>
      <c r="D3596" t="s">
        <v>9473</v>
      </c>
      <c r="E3596" t="s">
        <v>9474</v>
      </c>
      <c r="H3596" t="s">
        <v>15694</v>
      </c>
      <c r="J3596" t="s">
        <v>54</v>
      </c>
      <c r="K3596" t="s">
        <v>55</v>
      </c>
      <c r="L3596">
        <v>6</v>
      </c>
      <c r="M3596" t="s">
        <v>15691</v>
      </c>
      <c r="N3596" t="s">
        <v>47</v>
      </c>
      <c r="O3596" t="s">
        <v>9477</v>
      </c>
      <c r="P3596" t="s">
        <v>9477</v>
      </c>
      <c r="Y3596" t="s">
        <v>15694</v>
      </c>
    </row>
    <row r="3597" spans="1:25">
      <c r="A3597" t="s">
        <v>15695</v>
      </c>
      <c r="B3597" t="s">
        <v>15696</v>
      </c>
      <c r="D3597" t="s">
        <v>9473</v>
      </c>
      <c r="E3597" t="s">
        <v>9474</v>
      </c>
      <c r="H3597" t="s">
        <v>15697</v>
      </c>
      <c r="J3597" t="s">
        <v>44</v>
      </c>
      <c r="K3597" t="s">
        <v>45</v>
      </c>
      <c r="L3597">
        <v>6</v>
      </c>
      <c r="M3597" t="s">
        <v>15691</v>
      </c>
      <c r="N3597" t="s">
        <v>47</v>
      </c>
      <c r="O3597" t="s">
        <v>9477</v>
      </c>
      <c r="P3597" t="s">
        <v>9477</v>
      </c>
      <c r="Y3597" t="s">
        <v>15697</v>
      </c>
    </row>
    <row r="3598" spans="1:25">
      <c r="A3598" t="s">
        <v>15698</v>
      </c>
      <c r="B3598" t="s">
        <v>15699</v>
      </c>
      <c r="D3598" t="s">
        <v>9473</v>
      </c>
      <c r="E3598" t="s">
        <v>9474</v>
      </c>
      <c r="J3598" t="s">
        <v>90</v>
      </c>
      <c r="K3598" t="s">
        <v>91</v>
      </c>
      <c r="L3598">
        <v>6</v>
      </c>
      <c r="M3598" t="s">
        <v>15691</v>
      </c>
      <c r="N3598" t="s">
        <v>47</v>
      </c>
      <c r="O3598" t="s">
        <v>9477</v>
      </c>
      <c r="P3598" t="s">
        <v>9477</v>
      </c>
      <c r="Y3598" t="s">
        <v>15700</v>
      </c>
    </row>
    <row r="3599" spans="1:25">
      <c r="A3599" t="s">
        <v>15701</v>
      </c>
      <c r="B3599" t="s">
        <v>15702</v>
      </c>
      <c r="D3599" t="s">
        <v>9473</v>
      </c>
      <c r="E3599" t="s">
        <v>9474</v>
      </c>
      <c r="J3599" t="s">
        <v>133</v>
      </c>
      <c r="K3599" t="s">
        <v>134</v>
      </c>
      <c r="L3599">
        <v>6</v>
      </c>
      <c r="M3599" t="s">
        <v>15703</v>
      </c>
      <c r="N3599" t="s">
        <v>685</v>
      </c>
      <c r="O3599" t="s">
        <v>9477</v>
      </c>
      <c r="P3599" t="s">
        <v>9477</v>
      </c>
      <c r="Y3599" t="s">
        <v>15704</v>
      </c>
    </row>
    <row r="3600" spans="1:25">
      <c r="A3600" t="s">
        <v>15705</v>
      </c>
      <c r="B3600" t="s">
        <v>15706</v>
      </c>
      <c r="D3600" t="s">
        <v>9473</v>
      </c>
      <c r="E3600" t="s">
        <v>9474</v>
      </c>
      <c r="J3600" t="s">
        <v>90</v>
      </c>
      <c r="K3600" t="s">
        <v>91</v>
      </c>
      <c r="L3600">
        <v>6</v>
      </c>
      <c r="M3600" t="s">
        <v>15707</v>
      </c>
      <c r="N3600" t="s">
        <v>47</v>
      </c>
      <c r="O3600" t="s">
        <v>9477</v>
      </c>
      <c r="P3600" t="s">
        <v>9477</v>
      </c>
      <c r="Y3600" t="s">
        <v>15708</v>
      </c>
    </row>
    <row r="3601" spans="1:25">
      <c r="A3601" t="s">
        <v>15709</v>
      </c>
      <c r="B3601" t="s">
        <v>15710</v>
      </c>
      <c r="D3601" t="s">
        <v>9473</v>
      </c>
      <c r="E3601" t="s">
        <v>9474</v>
      </c>
      <c r="J3601" t="s">
        <v>90</v>
      </c>
      <c r="K3601" t="s">
        <v>91</v>
      </c>
      <c r="L3601">
        <v>6</v>
      </c>
      <c r="M3601" t="s">
        <v>15711</v>
      </c>
      <c r="N3601" t="s">
        <v>47</v>
      </c>
      <c r="O3601" t="s">
        <v>9477</v>
      </c>
      <c r="P3601" t="s">
        <v>9477</v>
      </c>
      <c r="Y3601" t="s">
        <v>15712</v>
      </c>
    </row>
    <row r="3602" spans="1:25">
      <c r="A3602" t="s">
        <v>15713</v>
      </c>
      <c r="B3602" t="s">
        <v>15714</v>
      </c>
      <c r="D3602" t="s">
        <v>9473</v>
      </c>
      <c r="E3602" t="s">
        <v>9474</v>
      </c>
      <c r="J3602" t="s">
        <v>90</v>
      </c>
      <c r="K3602" t="s">
        <v>91</v>
      </c>
      <c r="L3602">
        <v>6</v>
      </c>
      <c r="M3602" t="s">
        <v>15715</v>
      </c>
      <c r="N3602" t="s">
        <v>47</v>
      </c>
      <c r="O3602" t="s">
        <v>9477</v>
      </c>
      <c r="P3602" t="s">
        <v>9477</v>
      </c>
      <c r="Y3602" t="s">
        <v>15716</v>
      </c>
    </row>
    <row r="3603" spans="1:25">
      <c r="A3603" t="s">
        <v>15717</v>
      </c>
      <c r="B3603" t="s">
        <v>15718</v>
      </c>
      <c r="D3603" t="s">
        <v>9473</v>
      </c>
      <c r="E3603" t="s">
        <v>9474</v>
      </c>
      <c r="H3603" t="s">
        <v>15719</v>
      </c>
      <c r="J3603" t="s">
        <v>54</v>
      </c>
      <c r="K3603" t="s">
        <v>55</v>
      </c>
      <c r="L3603">
        <v>6</v>
      </c>
      <c r="M3603" t="s">
        <v>15720</v>
      </c>
      <c r="N3603" t="s">
        <v>47</v>
      </c>
      <c r="O3603" t="s">
        <v>9477</v>
      </c>
      <c r="P3603" t="s">
        <v>9477</v>
      </c>
      <c r="Y3603" t="s">
        <v>15719</v>
      </c>
    </row>
    <row r="3604" spans="1:25">
      <c r="A3604" t="s">
        <v>15721</v>
      </c>
      <c r="B3604" t="s">
        <v>15722</v>
      </c>
      <c r="D3604" t="s">
        <v>9473</v>
      </c>
      <c r="E3604" t="s">
        <v>9474</v>
      </c>
      <c r="H3604" t="s">
        <v>15723</v>
      </c>
      <c r="J3604" t="s">
        <v>90</v>
      </c>
      <c r="K3604" t="s">
        <v>91</v>
      </c>
      <c r="L3604">
        <v>6</v>
      </c>
      <c r="M3604" t="s">
        <v>15724</v>
      </c>
      <c r="N3604" t="s">
        <v>47</v>
      </c>
      <c r="O3604" t="s">
        <v>9477</v>
      </c>
      <c r="P3604" t="s">
        <v>9477</v>
      </c>
      <c r="Y3604" t="s">
        <v>15723</v>
      </c>
    </row>
    <row r="3605" spans="1:25">
      <c r="A3605" t="s">
        <v>15725</v>
      </c>
      <c r="B3605" t="s">
        <v>15726</v>
      </c>
      <c r="D3605" t="s">
        <v>9473</v>
      </c>
      <c r="E3605" t="s">
        <v>9474</v>
      </c>
      <c r="J3605" t="s">
        <v>90</v>
      </c>
      <c r="K3605" t="s">
        <v>91</v>
      </c>
      <c r="L3605">
        <v>6</v>
      </c>
      <c r="M3605" t="s">
        <v>15724</v>
      </c>
      <c r="N3605" t="s">
        <v>47</v>
      </c>
      <c r="O3605" t="s">
        <v>9477</v>
      </c>
      <c r="P3605" t="s">
        <v>9477</v>
      </c>
      <c r="Y3605" t="s">
        <v>15727</v>
      </c>
    </row>
    <row r="3606" spans="1:25">
      <c r="A3606" t="s">
        <v>15728</v>
      </c>
      <c r="B3606" t="s">
        <v>15729</v>
      </c>
      <c r="D3606" t="s">
        <v>9473</v>
      </c>
      <c r="E3606" t="s">
        <v>9474</v>
      </c>
      <c r="J3606" t="s">
        <v>78</v>
      </c>
      <c r="K3606" t="s">
        <v>79</v>
      </c>
      <c r="L3606">
        <v>6</v>
      </c>
      <c r="M3606" t="s">
        <v>15730</v>
      </c>
      <c r="N3606" t="s">
        <v>47</v>
      </c>
      <c r="O3606" t="s">
        <v>9477</v>
      </c>
      <c r="P3606" t="s">
        <v>9477</v>
      </c>
      <c r="Y3606" t="s">
        <v>15731</v>
      </c>
    </row>
    <row r="3607" spans="1:25">
      <c r="A3607" t="s">
        <v>15732</v>
      </c>
      <c r="B3607" t="s">
        <v>15733</v>
      </c>
      <c r="D3607" t="s">
        <v>9473</v>
      </c>
      <c r="E3607" t="s">
        <v>9474</v>
      </c>
      <c r="J3607" t="s">
        <v>90</v>
      </c>
      <c r="K3607" t="s">
        <v>91</v>
      </c>
      <c r="L3607">
        <v>6</v>
      </c>
      <c r="M3607" t="s">
        <v>15734</v>
      </c>
      <c r="N3607" t="s">
        <v>47</v>
      </c>
      <c r="O3607" t="s">
        <v>9477</v>
      </c>
      <c r="P3607" t="s">
        <v>9477</v>
      </c>
      <c r="Y3607" t="s">
        <v>15735</v>
      </c>
    </row>
    <row r="3608" spans="1:25">
      <c r="A3608" t="s">
        <v>15736</v>
      </c>
      <c r="B3608" t="s">
        <v>15737</v>
      </c>
      <c r="D3608" t="s">
        <v>9473</v>
      </c>
      <c r="E3608" t="s">
        <v>9474</v>
      </c>
      <c r="J3608" t="s">
        <v>78</v>
      </c>
      <c r="K3608" t="s">
        <v>79</v>
      </c>
      <c r="L3608">
        <v>6</v>
      </c>
      <c r="M3608" t="s">
        <v>15734</v>
      </c>
      <c r="N3608" t="s">
        <v>47</v>
      </c>
      <c r="O3608" t="s">
        <v>9477</v>
      </c>
      <c r="P3608" t="s">
        <v>9477</v>
      </c>
      <c r="Y3608" t="s">
        <v>15738</v>
      </c>
    </row>
    <row r="3609" spans="1:25">
      <c r="A3609" t="s">
        <v>15739</v>
      </c>
      <c r="B3609" t="s">
        <v>15740</v>
      </c>
      <c r="D3609" t="s">
        <v>9473</v>
      </c>
      <c r="E3609" t="s">
        <v>9474</v>
      </c>
      <c r="J3609" t="s">
        <v>90</v>
      </c>
      <c r="K3609" t="s">
        <v>91</v>
      </c>
      <c r="L3609">
        <v>6</v>
      </c>
      <c r="M3609" t="s">
        <v>15741</v>
      </c>
      <c r="N3609" t="s">
        <v>47</v>
      </c>
      <c r="O3609" t="s">
        <v>9477</v>
      </c>
      <c r="P3609" t="s">
        <v>9477</v>
      </c>
      <c r="Y3609" t="s">
        <v>15742</v>
      </c>
    </row>
    <row r="3610" spans="1:25">
      <c r="A3610" t="s">
        <v>15743</v>
      </c>
      <c r="B3610" t="s">
        <v>15744</v>
      </c>
      <c r="D3610" t="s">
        <v>9473</v>
      </c>
      <c r="E3610" t="s">
        <v>9474</v>
      </c>
      <c r="J3610" t="s">
        <v>133</v>
      </c>
      <c r="K3610" t="s">
        <v>134</v>
      </c>
      <c r="L3610">
        <v>6</v>
      </c>
      <c r="M3610" t="s">
        <v>15745</v>
      </c>
      <c r="N3610" t="s">
        <v>135</v>
      </c>
      <c r="O3610" t="s">
        <v>9477</v>
      </c>
      <c r="P3610" t="s">
        <v>9477</v>
      </c>
      <c r="Y3610" t="s">
        <v>15746</v>
      </c>
    </row>
    <row r="3611" spans="1:25">
      <c r="A3611" t="s">
        <v>15747</v>
      </c>
      <c r="B3611" t="s">
        <v>15748</v>
      </c>
      <c r="D3611" t="s">
        <v>9473</v>
      </c>
      <c r="E3611" t="s">
        <v>9474</v>
      </c>
      <c r="J3611" t="s">
        <v>90</v>
      </c>
      <c r="K3611" t="s">
        <v>91</v>
      </c>
      <c r="L3611">
        <v>6</v>
      </c>
      <c r="M3611" t="s">
        <v>15749</v>
      </c>
      <c r="N3611" t="s">
        <v>47</v>
      </c>
      <c r="O3611" t="s">
        <v>9477</v>
      </c>
      <c r="P3611" t="s">
        <v>9477</v>
      </c>
      <c r="Y3611" t="s">
        <v>15750</v>
      </c>
    </row>
    <row r="3612" spans="1:25">
      <c r="A3612" t="s">
        <v>15751</v>
      </c>
      <c r="B3612" t="s">
        <v>15752</v>
      </c>
      <c r="D3612" t="s">
        <v>9473</v>
      </c>
      <c r="E3612" t="s">
        <v>9474</v>
      </c>
      <c r="H3612" t="s">
        <v>15753</v>
      </c>
      <c r="J3612" t="s">
        <v>133</v>
      </c>
      <c r="K3612" t="s">
        <v>134</v>
      </c>
      <c r="L3612">
        <v>6</v>
      </c>
      <c r="M3612" t="s">
        <v>15754</v>
      </c>
      <c r="N3612" t="s">
        <v>685</v>
      </c>
      <c r="O3612" t="s">
        <v>9477</v>
      </c>
      <c r="P3612" t="s">
        <v>9477</v>
      </c>
      <c r="Y3612" t="s">
        <v>15753</v>
      </c>
    </row>
    <row r="3613" spans="1:25">
      <c r="A3613" t="s">
        <v>15755</v>
      </c>
      <c r="B3613" t="s">
        <v>15756</v>
      </c>
      <c r="D3613" t="s">
        <v>9473</v>
      </c>
      <c r="E3613" t="s">
        <v>9474</v>
      </c>
      <c r="J3613" t="s">
        <v>44</v>
      </c>
      <c r="K3613" t="s">
        <v>45</v>
      </c>
      <c r="L3613">
        <v>6</v>
      </c>
      <c r="M3613" t="s">
        <v>15754</v>
      </c>
      <c r="N3613" t="s">
        <v>47</v>
      </c>
      <c r="O3613" t="s">
        <v>9477</v>
      </c>
      <c r="P3613" t="s">
        <v>9477</v>
      </c>
      <c r="Y3613" t="s">
        <v>15757</v>
      </c>
    </row>
    <row r="3614" spans="1:25">
      <c r="A3614" t="s">
        <v>15758</v>
      </c>
      <c r="B3614" t="s">
        <v>15759</v>
      </c>
      <c r="D3614" t="s">
        <v>9473</v>
      </c>
      <c r="E3614" t="s">
        <v>9474</v>
      </c>
      <c r="J3614" t="s">
        <v>44</v>
      </c>
      <c r="K3614" t="s">
        <v>45</v>
      </c>
      <c r="L3614">
        <v>6</v>
      </c>
      <c r="M3614" t="s">
        <v>15760</v>
      </c>
      <c r="N3614" t="s">
        <v>47</v>
      </c>
      <c r="O3614" t="s">
        <v>9477</v>
      </c>
      <c r="P3614" t="s">
        <v>9477</v>
      </c>
      <c r="Y3614" t="s">
        <v>15761</v>
      </c>
    </row>
    <row r="3615" spans="1:25">
      <c r="A3615" t="s">
        <v>15762</v>
      </c>
      <c r="B3615" t="s">
        <v>15763</v>
      </c>
      <c r="D3615" t="s">
        <v>9473</v>
      </c>
      <c r="E3615" t="s">
        <v>9474</v>
      </c>
      <c r="J3615" t="s">
        <v>44</v>
      </c>
      <c r="K3615" t="s">
        <v>45</v>
      </c>
      <c r="L3615">
        <v>6</v>
      </c>
      <c r="M3615" t="s">
        <v>15764</v>
      </c>
      <c r="N3615" t="s">
        <v>47</v>
      </c>
      <c r="O3615" t="s">
        <v>9477</v>
      </c>
      <c r="P3615" t="s">
        <v>9477</v>
      </c>
      <c r="Y3615" t="s">
        <v>15765</v>
      </c>
    </row>
    <row r="3616" spans="1:25">
      <c r="A3616" t="s">
        <v>15766</v>
      </c>
      <c r="B3616" t="s">
        <v>15767</v>
      </c>
      <c r="D3616" t="s">
        <v>9473</v>
      </c>
      <c r="E3616" t="s">
        <v>9474</v>
      </c>
      <c r="J3616" t="s">
        <v>44</v>
      </c>
      <c r="K3616" t="s">
        <v>45</v>
      </c>
      <c r="L3616">
        <v>6</v>
      </c>
      <c r="M3616" t="s">
        <v>15768</v>
      </c>
      <c r="N3616" t="s">
        <v>47</v>
      </c>
      <c r="O3616" t="s">
        <v>9477</v>
      </c>
      <c r="P3616" t="s">
        <v>9477</v>
      </c>
      <c r="Y3616" t="s">
        <v>15769</v>
      </c>
    </row>
    <row r="3617" spans="1:25">
      <c r="A3617" t="s">
        <v>15770</v>
      </c>
      <c r="B3617" t="s">
        <v>15771</v>
      </c>
      <c r="D3617" t="s">
        <v>9473</v>
      </c>
      <c r="E3617" t="s">
        <v>9474</v>
      </c>
      <c r="J3617" t="s">
        <v>44</v>
      </c>
      <c r="K3617" t="s">
        <v>45</v>
      </c>
      <c r="L3617">
        <v>6</v>
      </c>
      <c r="M3617" t="s">
        <v>15768</v>
      </c>
      <c r="N3617" t="s">
        <v>47</v>
      </c>
      <c r="O3617" t="s">
        <v>9477</v>
      </c>
      <c r="P3617" t="s">
        <v>9477</v>
      </c>
      <c r="Y3617" t="s">
        <v>15772</v>
      </c>
    </row>
    <row r="3618" spans="1:25">
      <c r="A3618" t="s">
        <v>15773</v>
      </c>
      <c r="B3618" t="s">
        <v>15774</v>
      </c>
      <c r="D3618" t="s">
        <v>9473</v>
      </c>
      <c r="E3618" t="s">
        <v>9474</v>
      </c>
      <c r="H3618" t="s">
        <v>15775</v>
      </c>
      <c r="J3618" t="s">
        <v>353</v>
      </c>
      <c r="K3618" t="s">
        <v>354</v>
      </c>
      <c r="L3618">
        <v>7</v>
      </c>
      <c r="M3618" t="s">
        <v>15776</v>
      </c>
      <c r="N3618" t="s">
        <v>685</v>
      </c>
      <c r="O3618" t="s">
        <v>9477</v>
      </c>
      <c r="P3618" t="s">
        <v>9477</v>
      </c>
      <c r="Y3618" t="s">
        <v>15775</v>
      </c>
    </row>
    <row r="3619" spans="1:25">
      <c r="A3619" t="s">
        <v>15777</v>
      </c>
      <c r="B3619" t="s">
        <v>15778</v>
      </c>
      <c r="D3619" t="s">
        <v>9473</v>
      </c>
      <c r="E3619" t="s">
        <v>9474</v>
      </c>
      <c r="J3619" t="s">
        <v>90</v>
      </c>
      <c r="K3619" t="s">
        <v>91</v>
      </c>
      <c r="L3619">
        <v>6</v>
      </c>
      <c r="M3619" t="s">
        <v>15779</v>
      </c>
      <c r="N3619" t="s">
        <v>47</v>
      </c>
      <c r="O3619" t="s">
        <v>9477</v>
      </c>
      <c r="P3619" t="s">
        <v>9477</v>
      </c>
      <c r="Y3619" t="s">
        <v>15780</v>
      </c>
    </row>
    <row r="3620" spans="1:25">
      <c r="A3620" t="s">
        <v>15781</v>
      </c>
      <c r="B3620" t="s">
        <v>15782</v>
      </c>
      <c r="D3620" t="s">
        <v>9473</v>
      </c>
      <c r="E3620" t="s">
        <v>9474</v>
      </c>
      <c r="J3620" t="s">
        <v>90</v>
      </c>
      <c r="K3620" t="s">
        <v>91</v>
      </c>
      <c r="L3620">
        <v>6</v>
      </c>
      <c r="M3620" t="s">
        <v>15779</v>
      </c>
      <c r="N3620" t="s">
        <v>47</v>
      </c>
      <c r="O3620" t="s">
        <v>9477</v>
      </c>
      <c r="P3620" t="s">
        <v>9477</v>
      </c>
      <c r="Y3620" t="s">
        <v>15783</v>
      </c>
    </row>
    <row r="3621" spans="1:25">
      <c r="A3621" t="s">
        <v>15784</v>
      </c>
      <c r="B3621" t="s">
        <v>15785</v>
      </c>
      <c r="D3621" t="s">
        <v>9473</v>
      </c>
      <c r="E3621" t="s">
        <v>9474</v>
      </c>
      <c r="H3621" t="s">
        <v>15786</v>
      </c>
      <c r="J3621" t="s">
        <v>78</v>
      </c>
      <c r="K3621" t="s">
        <v>79</v>
      </c>
      <c r="L3621">
        <v>6</v>
      </c>
      <c r="M3621" t="s">
        <v>15779</v>
      </c>
      <c r="N3621" t="s">
        <v>47</v>
      </c>
      <c r="O3621" t="s">
        <v>9477</v>
      </c>
      <c r="P3621" t="s">
        <v>9477</v>
      </c>
      <c r="Y3621" t="s">
        <v>15786</v>
      </c>
    </row>
    <row r="3622" spans="1:25">
      <c r="A3622" t="s">
        <v>15787</v>
      </c>
      <c r="B3622" t="s">
        <v>15788</v>
      </c>
      <c r="D3622" t="s">
        <v>9473</v>
      </c>
      <c r="E3622" t="s">
        <v>9474</v>
      </c>
      <c r="J3622" t="s">
        <v>44</v>
      </c>
      <c r="K3622" t="s">
        <v>45</v>
      </c>
      <c r="L3622">
        <v>6</v>
      </c>
      <c r="M3622" t="s">
        <v>15779</v>
      </c>
      <c r="N3622" t="s">
        <v>47</v>
      </c>
      <c r="O3622" t="s">
        <v>9477</v>
      </c>
      <c r="P3622" t="s">
        <v>9477</v>
      </c>
      <c r="Y3622" t="s">
        <v>15789</v>
      </c>
    </row>
    <row r="3623" spans="1:25">
      <c r="A3623" t="s">
        <v>15790</v>
      </c>
      <c r="B3623" t="s">
        <v>15791</v>
      </c>
      <c r="D3623" t="s">
        <v>9473</v>
      </c>
      <c r="E3623" t="s">
        <v>9474</v>
      </c>
      <c r="H3623" t="s">
        <v>15792</v>
      </c>
      <c r="J3623" t="s">
        <v>44</v>
      </c>
      <c r="K3623" t="s">
        <v>45</v>
      </c>
      <c r="L3623">
        <v>6</v>
      </c>
      <c r="M3623" t="s">
        <v>15779</v>
      </c>
      <c r="N3623" t="s">
        <v>47</v>
      </c>
      <c r="O3623" t="s">
        <v>9477</v>
      </c>
      <c r="P3623" t="s">
        <v>9477</v>
      </c>
      <c r="Y3623" t="s">
        <v>15792</v>
      </c>
    </row>
    <row r="3624" spans="1:25">
      <c r="A3624" t="s">
        <v>15793</v>
      </c>
      <c r="B3624" t="s">
        <v>15794</v>
      </c>
      <c r="D3624" t="s">
        <v>9473</v>
      </c>
      <c r="E3624" t="s">
        <v>9474</v>
      </c>
      <c r="J3624" t="s">
        <v>90</v>
      </c>
      <c r="K3624" t="s">
        <v>91</v>
      </c>
      <c r="L3624">
        <v>6</v>
      </c>
      <c r="M3624" t="s">
        <v>15795</v>
      </c>
      <c r="N3624" t="s">
        <v>47</v>
      </c>
      <c r="O3624" t="s">
        <v>9477</v>
      </c>
      <c r="P3624" t="s">
        <v>9477</v>
      </c>
      <c r="Y3624" t="s">
        <v>15796</v>
      </c>
    </row>
    <row r="3625" spans="1:25">
      <c r="A3625" t="s">
        <v>15797</v>
      </c>
      <c r="B3625" t="s">
        <v>15798</v>
      </c>
      <c r="D3625" t="s">
        <v>9473</v>
      </c>
      <c r="E3625" t="s">
        <v>9474</v>
      </c>
      <c r="J3625" t="s">
        <v>90</v>
      </c>
      <c r="K3625" t="s">
        <v>91</v>
      </c>
      <c r="L3625">
        <v>6</v>
      </c>
      <c r="M3625" t="s">
        <v>15795</v>
      </c>
      <c r="N3625" t="s">
        <v>47</v>
      </c>
      <c r="O3625" t="s">
        <v>9477</v>
      </c>
      <c r="P3625" t="s">
        <v>9477</v>
      </c>
      <c r="Y3625" t="s">
        <v>15799</v>
      </c>
    </row>
    <row r="3626" spans="1:25">
      <c r="A3626" t="s">
        <v>15800</v>
      </c>
      <c r="B3626" t="s">
        <v>15801</v>
      </c>
      <c r="D3626" t="s">
        <v>9473</v>
      </c>
      <c r="E3626" t="s">
        <v>9474</v>
      </c>
      <c r="J3626" t="s">
        <v>78</v>
      </c>
      <c r="K3626" t="s">
        <v>79</v>
      </c>
      <c r="L3626">
        <v>6</v>
      </c>
      <c r="M3626" t="s">
        <v>15802</v>
      </c>
      <c r="N3626" t="s">
        <v>47</v>
      </c>
      <c r="O3626" t="s">
        <v>9477</v>
      </c>
      <c r="P3626" t="s">
        <v>9477</v>
      </c>
      <c r="Y3626" t="s">
        <v>15803</v>
      </c>
    </row>
    <row r="3627" spans="1:25">
      <c r="A3627" t="s">
        <v>15804</v>
      </c>
      <c r="B3627" t="s">
        <v>15805</v>
      </c>
      <c r="D3627" t="s">
        <v>9473</v>
      </c>
      <c r="E3627" t="s">
        <v>9474</v>
      </c>
      <c r="J3627" t="s">
        <v>90</v>
      </c>
      <c r="K3627" t="s">
        <v>91</v>
      </c>
      <c r="L3627">
        <v>6</v>
      </c>
      <c r="M3627" t="s">
        <v>15806</v>
      </c>
      <c r="N3627" t="s">
        <v>47</v>
      </c>
      <c r="O3627" t="s">
        <v>9477</v>
      </c>
      <c r="P3627" t="s">
        <v>9477</v>
      </c>
      <c r="Y3627" t="s">
        <v>15807</v>
      </c>
    </row>
    <row r="3628" spans="1:25">
      <c r="A3628" t="s">
        <v>15808</v>
      </c>
      <c r="B3628" t="s">
        <v>15809</v>
      </c>
      <c r="D3628" t="s">
        <v>9473</v>
      </c>
      <c r="E3628" t="s">
        <v>9474</v>
      </c>
      <c r="J3628" t="s">
        <v>54</v>
      </c>
      <c r="K3628" t="s">
        <v>55</v>
      </c>
      <c r="L3628">
        <v>6</v>
      </c>
      <c r="M3628" t="s">
        <v>15810</v>
      </c>
      <c r="N3628" t="s">
        <v>47</v>
      </c>
      <c r="O3628" t="s">
        <v>9477</v>
      </c>
      <c r="P3628" t="s">
        <v>9477</v>
      </c>
      <c r="Y3628" t="s">
        <v>15811</v>
      </c>
    </row>
    <row r="3629" spans="1:25">
      <c r="A3629" t="s">
        <v>15812</v>
      </c>
      <c r="B3629" t="s">
        <v>15813</v>
      </c>
      <c r="D3629" t="s">
        <v>9473</v>
      </c>
      <c r="E3629" t="s">
        <v>9474</v>
      </c>
      <c r="J3629" t="s">
        <v>133</v>
      </c>
      <c r="K3629" t="s">
        <v>134</v>
      </c>
      <c r="L3629">
        <v>6</v>
      </c>
      <c r="M3629" t="s">
        <v>15814</v>
      </c>
      <c r="N3629" t="s">
        <v>290</v>
      </c>
      <c r="O3629" t="s">
        <v>9477</v>
      </c>
      <c r="P3629" t="s">
        <v>9477</v>
      </c>
      <c r="Y3629" t="s">
        <v>15815</v>
      </c>
    </row>
    <row r="3630" spans="1:25">
      <c r="A3630" t="s">
        <v>15816</v>
      </c>
      <c r="B3630" t="s">
        <v>15817</v>
      </c>
      <c r="D3630" t="s">
        <v>9473</v>
      </c>
      <c r="E3630" t="s">
        <v>9474</v>
      </c>
      <c r="J3630" t="s">
        <v>44</v>
      </c>
      <c r="K3630" t="s">
        <v>45</v>
      </c>
      <c r="L3630">
        <v>6</v>
      </c>
      <c r="M3630" t="s">
        <v>15814</v>
      </c>
      <c r="N3630" t="s">
        <v>47</v>
      </c>
      <c r="O3630" t="s">
        <v>9477</v>
      </c>
      <c r="P3630" t="s">
        <v>9477</v>
      </c>
      <c r="Y3630" t="s">
        <v>15818</v>
      </c>
    </row>
    <row r="3631" spans="1:25">
      <c r="A3631" t="s">
        <v>15819</v>
      </c>
      <c r="B3631" t="s">
        <v>15820</v>
      </c>
      <c r="D3631" t="s">
        <v>9473</v>
      </c>
      <c r="E3631" t="s">
        <v>9474</v>
      </c>
      <c r="J3631" t="s">
        <v>78</v>
      </c>
      <c r="K3631" t="s">
        <v>79</v>
      </c>
      <c r="L3631">
        <v>6</v>
      </c>
      <c r="M3631" t="s">
        <v>15814</v>
      </c>
      <c r="N3631" t="s">
        <v>47</v>
      </c>
      <c r="O3631" t="s">
        <v>9477</v>
      </c>
      <c r="P3631" t="s">
        <v>9477</v>
      </c>
      <c r="Y3631" t="s">
        <v>15821</v>
      </c>
    </row>
    <row r="3632" spans="1:25">
      <c r="A3632" t="s">
        <v>15822</v>
      </c>
      <c r="B3632" t="s">
        <v>15823</v>
      </c>
      <c r="D3632" t="s">
        <v>9473</v>
      </c>
      <c r="E3632" t="s">
        <v>9474</v>
      </c>
      <c r="J3632" t="s">
        <v>90</v>
      </c>
      <c r="K3632" t="s">
        <v>91</v>
      </c>
      <c r="L3632">
        <v>6</v>
      </c>
      <c r="M3632" t="s">
        <v>15814</v>
      </c>
      <c r="N3632" t="s">
        <v>47</v>
      </c>
      <c r="O3632" t="s">
        <v>9477</v>
      </c>
      <c r="P3632" t="s">
        <v>9477</v>
      </c>
      <c r="Y3632" t="s">
        <v>15824</v>
      </c>
    </row>
    <row r="3633" spans="1:25">
      <c r="A3633" t="s">
        <v>15825</v>
      </c>
      <c r="B3633" t="s">
        <v>15826</v>
      </c>
      <c r="D3633" t="s">
        <v>9473</v>
      </c>
      <c r="E3633" t="s">
        <v>9474</v>
      </c>
      <c r="H3633" t="s">
        <v>15827</v>
      </c>
      <c r="J3633" t="s">
        <v>90</v>
      </c>
      <c r="K3633" t="s">
        <v>91</v>
      </c>
      <c r="L3633">
        <v>6</v>
      </c>
      <c r="M3633" t="s">
        <v>15814</v>
      </c>
      <c r="N3633" t="s">
        <v>47</v>
      </c>
      <c r="O3633" t="s">
        <v>9477</v>
      </c>
      <c r="P3633" t="s">
        <v>9477</v>
      </c>
      <c r="Y3633" t="s">
        <v>15827</v>
      </c>
    </row>
    <row r="3634" spans="1:25">
      <c r="A3634" t="s">
        <v>15828</v>
      </c>
      <c r="B3634" t="s">
        <v>15829</v>
      </c>
      <c r="D3634" t="s">
        <v>9473</v>
      </c>
      <c r="E3634" t="s">
        <v>9474</v>
      </c>
      <c r="J3634" t="s">
        <v>371</v>
      </c>
      <c r="K3634" t="s">
        <v>372</v>
      </c>
      <c r="L3634">
        <v>6</v>
      </c>
      <c r="M3634" t="s">
        <v>15830</v>
      </c>
      <c r="N3634" t="s">
        <v>47</v>
      </c>
      <c r="O3634" t="s">
        <v>9477</v>
      </c>
      <c r="P3634" t="s">
        <v>9477</v>
      </c>
      <c r="Y3634" t="s">
        <v>15831</v>
      </c>
    </row>
    <row r="3635" spans="1:25">
      <c r="A3635" t="s">
        <v>15832</v>
      </c>
      <c r="B3635" t="s">
        <v>15833</v>
      </c>
      <c r="D3635" t="s">
        <v>9473</v>
      </c>
      <c r="E3635" t="s">
        <v>9474</v>
      </c>
      <c r="H3635" t="s">
        <v>15834</v>
      </c>
      <c r="J3635" t="s">
        <v>133</v>
      </c>
      <c r="K3635" t="s">
        <v>134</v>
      </c>
      <c r="L3635">
        <v>6</v>
      </c>
      <c r="M3635" t="s">
        <v>15830</v>
      </c>
      <c r="N3635" t="s">
        <v>135</v>
      </c>
      <c r="O3635" t="s">
        <v>9477</v>
      </c>
      <c r="P3635" t="s">
        <v>9477</v>
      </c>
      <c r="Y3635" t="s">
        <v>15834</v>
      </c>
    </row>
    <row r="3636" spans="1:25">
      <c r="A3636" t="s">
        <v>15835</v>
      </c>
      <c r="B3636" t="s">
        <v>15836</v>
      </c>
      <c r="D3636" t="s">
        <v>9473</v>
      </c>
      <c r="E3636" t="s">
        <v>9474</v>
      </c>
      <c r="J3636" t="s">
        <v>44</v>
      </c>
      <c r="K3636" t="s">
        <v>45</v>
      </c>
      <c r="L3636">
        <v>6</v>
      </c>
      <c r="M3636" t="s">
        <v>15830</v>
      </c>
      <c r="N3636" t="s">
        <v>47</v>
      </c>
      <c r="O3636" t="s">
        <v>9477</v>
      </c>
      <c r="P3636" t="s">
        <v>9477</v>
      </c>
      <c r="Y3636" t="s">
        <v>15837</v>
      </c>
    </row>
    <row r="3637" spans="1:25">
      <c r="A3637" t="s">
        <v>15838</v>
      </c>
      <c r="B3637" t="s">
        <v>15839</v>
      </c>
      <c r="D3637" t="s">
        <v>9473</v>
      </c>
      <c r="E3637" t="s">
        <v>9474</v>
      </c>
      <c r="J3637" t="s">
        <v>90</v>
      </c>
      <c r="K3637" t="s">
        <v>91</v>
      </c>
      <c r="L3637">
        <v>6</v>
      </c>
      <c r="M3637" t="s">
        <v>15830</v>
      </c>
      <c r="N3637" t="s">
        <v>47</v>
      </c>
      <c r="O3637" t="s">
        <v>9477</v>
      </c>
      <c r="P3637" t="s">
        <v>9477</v>
      </c>
      <c r="Y3637" t="s">
        <v>15840</v>
      </c>
    </row>
    <row r="3638" spans="1:25">
      <c r="A3638" t="s">
        <v>15841</v>
      </c>
      <c r="B3638" t="s">
        <v>15842</v>
      </c>
      <c r="D3638" t="s">
        <v>9473</v>
      </c>
      <c r="E3638" t="s">
        <v>9474</v>
      </c>
      <c r="J3638" t="s">
        <v>90</v>
      </c>
      <c r="K3638" t="s">
        <v>91</v>
      </c>
      <c r="L3638">
        <v>6</v>
      </c>
      <c r="M3638" t="s">
        <v>15830</v>
      </c>
      <c r="N3638" t="s">
        <v>47</v>
      </c>
      <c r="O3638" t="s">
        <v>9477</v>
      </c>
      <c r="P3638" t="s">
        <v>9477</v>
      </c>
      <c r="Y3638" t="s">
        <v>15843</v>
      </c>
    </row>
    <row r="3639" spans="1:25">
      <c r="A3639" t="s">
        <v>15844</v>
      </c>
      <c r="B3639" t="s">
        <v>15845</v>
      </c>
      <c r="D3639" t="s">
        <v>9473</v>
      </c>
      <c r="E3639" t="s">
        <v>9474</v>
      </c>
      <c r="J3639" t="s">
        <v>90</v>
      </c>
      <c r="K3639" t="s">
        <v>91</v>
      </c>
      <c r="L3639">
        <v>6</v>
      </c>
      <c r="M3639" t="s">
        <v>15846</v>
      </c>
      <c r="N3639" t="s">
        <v>47</v>
      </c>
      <c r="O3639" t="s">
        <v>9477</v>
      </c>
      <c r="P3639" t="s">
        <v>9477</v>
      </c>
      <c r="Y3639" t="s">
        <v>15847</v>
      </c>
    </row>
    <row r="3640" spans="1:25">
      <c r="A3640" t="s">
        <v>15848</v>
      </c>
      <c r="B3640" t="s">
        <v>15849</v>
      </c>
      <c r="D3640" t="s">
        <v>9473</v>
      </c>
      <c r="E3640" t="s">
        <v>9474</v>
      </c>
      <c r="H3640" t="s">
        <v>15850</v>
      </c>
      <c r="J3640" t="s">
        <v>133</v>
      </c>
      <c r="K3640" t="s">
        <v>134</v>
      </c>
      <c r="L3640">
        <v>6</v>
      </c>
      <c r="M3640" t="s">
        <v>15851</v>
      </c>
      <c r="N3640" t="s">
        <v>685</v>
      </c>
      <c r="O3640" t="s">
        <v>9477</v>
      </c>
      <c r="P3640" t="s">
        <v>9477</v>
      </c>
      <c r="Y3640" t="s">
        <v>15850</v>
      </c>
    </row>
    <row r="3641" spans="1:25">
      <c r="A3641" t="s">
        <v>15852</v>
      </c>
      <c r="B3641" t="s">
        <v>15853</v>
      </c>
      <c r="D3641" t="s">
        <v>9473</v>
      </c>
      <c r="E3641" t="s">
        <v>9474</v>
      </c>
      <c r="H3641" t="s">
        <v>15854</v>
      </c>
      <c r="J3641" t="s">
        <v>90</v>
      </c>
      <c r="K3641" t="s">
        <v>91</v>
      </c>
      <c r="L3641">
        <v>6</v>
      </c>
      <c r="M3641" t="s">
        <v>15851</v>
      </c>
      <c r="N3641" t="s">
        <v>47</v>
      </c>
      <c r="O3641" t="s">
        <v>9477</v>
      </c>
      <c r="P3641" t="s">
        <v>9477</v>
      </c>
      <c r="Y3641" t="s">
        <v>15854</v>
      </c>
    </row>
    <row r="3642" spans="1:25">
      <c r="A3642" t="s">
        <v>15855</v>
      </c>
      <c r="B3642" t="s">
        <v>15856</v>
      </c>
      <c r="D3642" t="s">
        <v>9473</v>
      </c>
      <c r="E3642" t="s">
        <v>9474</v>
      </c>
      <c r="J3642" t="s">
        <v>371</v>
      </c>
      <c r="K3642" t="s">
        <v>372</v>
      </c>
      <c r="L3642">
        <v>6</v>
      </c>
      <c r="M3642" t="s">
        <v>15857</v>
      </c>
      <c r="N3642" t="s">
        <v>47</v>
      </c>
      <c r="O3642" t="s">
        <v>9477</v>
      </c>
      <c r="P3642" t="s">
        <v>9477</v>
      </c>
      <c r="Y3642" t="s">
        <v>15858</v>
      </c>
    </row>
    <row r="3643" spans="1:25">
      <c r="A3643" t="s">
        <v>15859</v>
      </c>
      <c r="B3643" t="s">
        <v>15860</v>
      </c>
      <c r="D3643" t="s">
        <v>9473</v>
      </c>
      <c r="E3643" t="s">
        <v>9474</v>
      </c>
      <c r="J3643" t="s">
        <v>44</v>
      </c>
      <c r="K3643" t="s">
        <v>45</v>
      </c>
      <c r="L3643">
        <v>6</v>
      </c>
      <c r="M3643" t="s">
        <v>15861</v>
      </c>
      <c r="N3643" t="s">
        <v>47</v>
      </c>
      <c r="O3643" t="s">
        <v>9477</v>
      </c>
      <c r="P3643" t="s">
        <v>9477</v>
      </c>
      <c r="Y3643" t="s">
        <v>15862</v>
      </c>
    </row>
    <row r="3644" spans="1:25">
      <c r="A3644" t="s">
        <v>15863</v>
      </c>
      <c r="B3644" t="s">
        <v>15864</v>
      </c>
      <c r="D3644" t="s">
        <v>9473</v>
      </c>
      <c r="E3644" t="s">
        <v>9474</v>
      </c>
      <c r="H3644" t="s">
        <v>15865</v>
      </c>
      <c r="J3644" t="s">
        <v>54</v>
      </c>
      <c r="K3644" t="s">
        <v>55</v>
      </c>
      <c r="L3644">
        <v>6</v>
      </c>
      <c r="M3644" t="s">
        <v>15866</v>
      </c>
      <c r="N3644" t="s">
        <v>47</v>
      </c>
      <c r="O3644" t="s">
        <v>9477</v>
      </c>
      <c r="P3644" t="s">
        <v>9477</v>
      </c>
      <c r="Y3644" t="s">
        <v>15865</v>
      </c>
    </row>
    <row r="3645" spans="1:25">
      <c r="A3645" t="s">
        <v>15867</v>
      </c>
      <c r="B3645" t="s">
        <v>15868</v>
      </c>
      <c r="D3645" t="s">
        <v>9473</v>
      </c>
      <c r="E3645" t="s">
        <v>9474</v>
      </c>
      <c r="H3645" t="s">
        <v>15869</v>
      </c>
      <c r="J3645" t="s">
        <v>90</v>
      </c>
      <c r="K3645" t="s">
        <v>91</v>
      </c>
      <c r="L3645">
        <v>6</v>
      </c>
      <c r="M3645" t="s">
        <v>15870</v>
      </c>
      <c r="N3645" t="s">
        <v>47</v>
      </c>
      <c r="O3645" t="s">
        <v>9477</v>
      </c>
      <c r="P3645" t="s">
        <v>9477</v>
      </c>
      <c r="Y3645" t="s">
        <v>15869</v>
      </c>
    </row>
    <row r="3646" spans="1:25">
      <c r="A3646" t="s">
        <v>15871</v>
      </c>
      <c r="B3646" t="s">
        <v>15872</v>
      </c>
      <c r="D3646" t="s">
        <v>9473</v>
      </c>
      <c r="E3646" t="s">
        <v>9474</v>
      </c>
      <c r="J3646" t="s">
        <v>44</v>
      </c>
      <c r="K3646" t="s">
        <v>45</v>
      </c>
      <c r="L3646">
        <v>6</v>
      </c>
      <c r="M3646" t="s">
        <v>15873</v>
      </c>
      <c r="N3646" t="s">
        <v>47</v>
      </c>
      <c r="O3646" t="s">
        <v>9477</v>
      </c>
      <c r="P3646" t="s">
        <v>9477</v>
      </c>
      <c r="Y3646" t="s">
        <v>15874</v>
      </c>
    </row>
    <row r="3647" spans="1:25">
      <c r="A3647" t="s">
        <v>15875</v>
      </c>
      <c r="B3647" t="s">
        <v>15876</v>
      </c>
      <c r="D3647" t="s">
        <v>9473</v>
      </c>
      <c r="E3647" t="s">
        <v>9474</v>
      </c>
      <c r="H3647" t="s">
        <v>15877</v>
      </c>
      <c r="J3647" t="s">
        <v>90</v>
      </c>
      <c r="K3647" t="s">
        <v>91</v>
      </c>
      <c r="L3647">
        <v>6</v>
      </c>
      <c r="M3647" t="s">
        <v>15873</v>
      </c>
      <c r="N3647" t="s">
        <v>47</v>
      </c>
      <c r="O3647" t="s">
        <v>9477</v>
      </c>
      <c r="P3647" t="s">
        <v>9477</v>
      </c>
      <c r="Y3647" t="s">
        <v>15877</v>
      </c>
    </row>
    <row r="3648" spans="1:25">
      <c r="A3648" t="s">
        <v>15878</v>
      </c>
      <c r="B3648" t="s">
        <v>15879</v>
      </c>
      <c r="D3648" t="s">
        <v>9473</v>
      </c>
      <c r="E3648" t="s">
        <v>9474</v>
      </c>
      <c r="J3648" t="s">
        <v>44</v>
      </c>
      <c r="K3648" t="s">
        <v>45</v>
      </c>
      <c r="L3648">
        <v>6</v>
      </c>
      <c r="M3648" t="s">
        <v>15873</v>
      </c>
      <c r="N3648" t="s">
        <v>47</v>
      </c>
      <c r="O3648" t="s">
        <v>9477</v>
      </c>
      <c r="P3648" t="s">
        <v>9477</v>
      </c>
      <c r="Y3648" t="s">
        <v>15880</v>
      </c>
    </row>
    <row r="3649" spans="1:25">
      <c r="A3649" t="s">
        <v>15881</v>
      </c>
      <c r="B3649" t="s">
        <v>15882</v>
      </c>
      <c r="D3649" t="s">
        <v>9473</v>
      </c>
      <c r="E3649" t="s">
        <v>9474</v>
      </c>
      <c r="H3649" t="s">
        <v>15883</v>
      </c>
      <c r="J3649" t="s">
        <v>133</v>
      </c>
      <c r="K3649" t="s">
        <v>134</v>
      </c>
      <c r="L3649">
        <v>6</v>
      </c>
      <c r="M3649" t="s">
        <v>15884</v>
      </c>
      <c r="N3649" t="s">
        <v>290</v>
      </c>
      <c r="O3649" t="s">
        <v>9477</v>
      </c>
      <c r="P3649" t="s">
        <v>9477</v>
      </c>
      <c r="Y3649" t="s">
        <v>15883</v>
      </c>
    </row>
    <row r="3650" spans="1:25">
      <c r="A3650" t="s">
        <v>15885</v>
      </c>
      <c r="B3650" t="s">
        <v>15886</v>
      </c>
      <c r="D3650" t="s">
        <v>9473</v>
      </c>
      <c r="E3650" t="s">
        <v>9474</v>
      </c>
      <c r="J3650" t="s">
        <v>78</v>
      </c>
      <c r="K3650" t="s">
        <v>79</v>
      </c>
      <c r="L3650">
        <v>6</v>
      </c>
      <c r="M3650" t="s">
        <v>15887</v>
      </c>
      <c r="N3650" t="s">
        <v>47</v>
      </c>
      <c r="O3650" t="s">
        <v>9477</v>
      </c>
      <c r="P3650" t="s">
        <v>9477</v>
      </c>
      <c r="Y3650" t="s">
        <v>15888</v>
      </c>
    </row>
    <row r="3651" spans="1:25">
      <c r="A3651" t="s">
        <v>15889</v>
      </c>
      <c r="B3651" t="s">
        <v>15890</v>
      </c>
      <c r="D3651" t="s">
        <v>9473</v>
      </c>
      <c r="E3651" t="s">
        <v>9474</v>
      </c>
      <c r="H3651" t="s">
        <v>15891</v>
      </c>
      <c r="J3651" t="s">
        <v>90</v>
      </c>
      <c r="K3651" t="s">
        <v>91</v>
      </c>
      <c r="L3651">
        <v>6</v>
      </c>
      <c r="M3651" t="s">
        <v>15887</v>
      </c>
      <c r="N3651" t="s">
        <v>47</v>
      </c>
      <c r="O3651" t="s">
        <v>9477</v>
      </c>
      <c r="P3651" t="s">
        <v>9477</v>
      </c>
      <c r="Y3651" t="s">
        <v>15891</v>
      </c>
    </row>
    <row r="3652" spans="1:25">
      <c r="A3652" t="s">
        <v>15892</v>
      </c>
      <c r="B3652" t="s">
        <v>15893</v>
      </c>
      <c r="D3652" t="s">
        <v>9473</v>
      </c>
      <c r="E3652" t="s">
        <v>9474</v>
      </c>
      <c r="H3652" t="s">
        <v>15894</v>
      </c>
      <c r="J3652" t="s">
        <v>90</v>
      </c>
      <c r="K3652" t="s">
        <v>91</v>
      </c>
      <c r="L3652">
        <v>6</v>
      </c>
      <c r="M3652" t="s">
        <v>15895</v>
      </c>
      <c r="N3652" t="s">
        <v>47</v>
      </c>
      <c r="O3652" t="s">
        <v>9477</v>
      </c>
      <c r="P3652" t="s">
        <v>9477</v>
      </c>
      <c r="Y3652" t="s">
        <v>15894</v>
      </c>
    </row>
    <row r="3653" spans="1:25">
      <c r="A3653" t="s">
        <v>15896</v>
      </c>
      <c r="B3653" t="s">
        <v>15897</v>
      </c>
      <c r="D3653" t="s">
        <v>9473</v>
      </c>
      <c r="E3653" t="s">
        <v>9474</v>
      </c>
      <c r="J3653" t="s">
        <v>44</v>
      </c>
      <c r="K3653" t="s">
        <v>45</v>
      </c>
      <c r="L3653">
        <v>6</v>
      </c>
      <c r="M3653" t="s">
        <v>15895</v>
      </c>
      <c r="N3653" t="s">
        <v>47</v>
      </c>
      <c r="O3653" t="s">
        <v>9477</v>
      </c>
      <c r="P3653" t="s">
        <v>9477</v>
      </c>
      <c r="Y3653" t="s">
        <v>15898</v>
      </c>
    </row>
    <row r="3654" spans="1:25">
      <c r="A3654" t="s">
        <v>15899</v>
      </c>
      <c r="B3654" t="s">
        <v>15900</v>
      </c>
      <c r="D3654" t="s">
        <v>9473</v>
      </c>
      <c r="E3654" t="s">
        <v>9474</v>
      </c>
      <c r="J3654" t="s">
        <v>133</v>
      </c>
      <c r="K3654" t="s">
        <v>134</v>
      </c>
      <c r="L3654">
        <v>6</v>
      </c>
      <c r="M3654" t="s">
        <v>15901</v>
      </c>
      <c r="N3654" t="s">
        <v>685</v>
      </c>
      <c r="O3654" t="s">
        <v>9477</v>
      </c>
      <c r="P3654" t="s">
        <v>9477</v>
      </c>
      <c r="Y3654" t="s">
        <v>15902</v>
      </c>
    </row>
    <row r="3655" spans="1:25">
      <c r="A3655" t="s">
        <v>15903</v>
      </c>
      <c r="B3655" t="s">
        <v>15904</v>
      </c>
      <c r="D3655" t="s">
        <v>9473</v>
      </c>
      <c r="E3655" t="s">
        <v>9474</v>
      </c>
      <c r="H3655" t="s">
        <v>15905</v>
      </c>
      <c r="J3655" t="s">
        <v>133</v>
      </c>
      <c r="K3655" t="s">
        <v>134</v>
      </c>
      <c r="L3655">
        <v>6</v>
      </c>
      <c r="M3655" t="s">
        <v>15906</v>
      </c>
      <c r="N3655" t="s">
        <v>135</v>
      </c>
      <c r="O3655" t="s">
        <v>9477</v>
      </c>
      <c r="P3655" t="s">
        <v>9477</v>
      </c>
      <c r="Y3655" t="s">
        <v>15905</v>
      </c>
    </row>
    <row r="3656" spans="1:25">
      <c r="A3656" t="s">
        <v>15907</v>
      </c>
      <c r="B3656" t="s">
        <v>15908</v>
      </c>
      <c r="D3656" t="s">
        <v>9473</v>
      </c>
      <c r="E3656" t="s">
        <v>9474</v>
      </c>
      <c r="H3656" t="s">
        <v>15909</v>
      </c>
      <c r="J3656" t="s">
        <v>90</v>
      </c>
      <c r="K3656" t="s">
        <v>91</v>
      </c>
      <c r="L3656">
        <v>6</v>
      </c>
      <c r="M3656" t="s">
        <v>15910</v>
      </c>
      <c r="N3656" t="s">
        <v>47</v>
      </c>
      <c r="O3656" t="s">
        <v>9477</v>
      </c>
      <c r="P3656" t="s">
        <v>9477</v>
      </c>
      <c r="Y3656" t="s">
        <v>15909</v>
      </c>
    </row>
    <row r="3657" spans="1:25">
      <c r="A3657" t="s">
        <v>15911</v>
      </c>
      <c r="B3657" t="s">
        <v>15912</v>
      </c>
      <c r="D3657" t="s">
        <v>9473</v>
      </c>
      <c r="E3657" t="s">
        <v>9474</v>
      </c>
      <c r="J3657" t="s">
        <v>44</v>
      </c>
      <c r="K3657" t="s">
        <v>45</v>
      </c>
      <c r="L3657">
        <v>6</v>
      </c>
      <c r="M3657" t="s">
        <v>15910</v>
      </c>
      <c r="N3657" t="s">
        <v>47</v>
      </c>
      <c r="O3657" t="s">
        <v>9477</v>
      </c>
      <c r="P3657" t="s">
        <v>9477</v>
      </c>
      <c r="Y3657" t="s">
        <v>15913</v>
      </c>
    </row>
    <row r="3658" spans="1:25">
      <c r="A3658" t="s">
        <v>15914</v>
      </c>
      <c r="B3658" t="s">
        <v>15915</v>
      </c>
      <c r="D3658" t="s">
        <v>9473</v>
      </c>
      <c r="E3658" t="s">
        <v>9474</v>
      </c>
      <c r="J3658" t="s">
        <v>90</v>
      </c>
      <c r="K3658" t="s">
        <v>91</v>
      </c>
      <c r="L3658">
        <v>6</v>
      </c>
      <c r="M3658" t="s">
        <v>15910</v>
      </c>
      <c r="N3658" t="s">
        <v>47</v>
      </c>
      <c r="O3658" t="s">
        <v>9477</v>
      </c>
      <c r="P3658" t="s">
        <v>9477</v>
      </c>
      <c r="Y3658" t="s">
        <v>15916</v>
      </c>
    </row>
    <row r="3659" spans="1:25">
      <c r="A3659" t="s">
        <v>15917</v>
      </c>
      <c r="B3659" t="s">
        <v>15918</v>
      </c>
      <c r="D3659" t="s">
        <v>9473</v>
      </c>
      <c r="E3659" t="s">
        <v>9474</v>
      </c>
      <c r="J3659" t="s">
        <v>133</v>
      </c>
      <c r="K3659" t="s">
        <v>134</v>
      </c>
      <c r="L3659">
        <v>6</v>
      </c>
      <c r="M3659" t="s">
        <v>15919</v>
      </c>
      <c r="N3659" t="s">
        <v>290</v>
      </c>
      <c r="O3659" t="s">
        <v>9477</v>
      </c>
      <c r="P3659" t="s">
        <v>9477</v>
      </c>
      <c r="Y3659" t="s">
        <v>15920</v>
      </c>
    </row>
    <row r="3660" spans="1:25">
      <c r="A3660" t="s">
        <v>15921</v>
      </c>
      <c r="B3660" t="s">
        <v>15922</v>
      </c>
      <c r="D3660" t="s">
        <v>9473</v>
      </c>
      <c r="E3660" t="s">
        <v>9474</v>
      </c>
      <c r="H3660" t="s">
        <v>15923</v>
      </c>
      <c r="J3660" t="s">
        <v>78</v>
      </c>
      <c r="K3660" t="s">
        <v>79</v>
      </c>
      <c r="L3660">
        <v>6</v>
      </c>
      <c r="M3660" t="s">
        <v>15919</v>
      </c>
      <c r="N3660" t="s">
        <v>47</v>
      </c>
      <c r="O3660" t="s">
        <v>9477</v>
      </c>
      <c r="P3660" t="s">
        <v>9477</v>
      </c>
      <c r="Y3660" t="s">
        <v>15923</v>
      </c>
    </row>
    <row r="3661" spans="1:25">
      <c r="A3661" t="s">
        <v>15924</v>
      </c>
      <c r="B3661" t="s">
        <v>15925</v>
      </c>
      <c r="D3661" t="s">
        <v>9473</v>
      </c>
      <c r="E3661" t="s">
        <v>9474</v>
      </c>
      <c r="J3661" t="s">
        <v>44</v>
      </c>
      <c r="K3661" t="s">
        <v>45</v>
      </c>
      <c r="L3661">
        <v>6</v>
      </c>
      <c r="M3661" t="s">
        <v>15926</v>
      </c>
      <c r="N3661" t="s">
        <v>47</v>
      </c>
      <c r="O3661" t="s">
        <v>9477</v>
      </c>
      <c r="P3661" t="s">
        <v>9477</v>
      </c>
      <c r="Y3661" t="s">
        <v>15927</v>
      </c>
    </row>
    <row r="3662" spans="1:25">
      <c r="A3662" t="s">
        <v>15928</v>
      </c>
      <c r="B3662" t="s">
        <v>15929</v>
      </c>
      <c r="D3662" t="s">
        <v>9473</v>
      </c>
      <c r="E3662" t="s">
        <v>9474</v>
      </c>
      <c r="J3662" t="s">
        <v>78</v>
      </c>
      <c r="K3662" t="s">
        <v>79</v>
      </c>
      <c r="L3662">
        <v>6</v>
      </c>
      <c r="M3662" t="s">
        <v>15926</v>
      </c>
      <c r="N3662" t="s">
        <v>47</v>
      </c>
      <c r="O3662" t="s">
        <v>9477</v>
      </c>
      <c r="P3662" t="s">
        <v>9477</v>
      </c>
      <c r="Y3662" t="s">
        <v>15930</v>
      </c>
    </row>
    <row r="3663" spans="1:25">
      <c r="A3663" t="s">
        <v>15931</v>
      </c>
      <c r="B3663" t="s">
        <v>15932</v>
      </c>
      <c r="D3663" t="s">
        <v>9473</v>
      </c>
      <c r="E3663" t="s">
        <v>9474</v>
      </c>
      <c r="H3663" t="s">
        <v>15933</v>
      </c>
      <c r="J3663" t="s">
        <v>234</v>
      </c>
      <c r="K3663" t="s">
        <v>235</v>
      </c>
      <c r="L3663">
        <v>6</v>
      </c>
      <c r="M3663" t="s">
        <v>15934</v>
      </c>
      <c r="N3663" t="s">
        <v>47</v>
      </c>
      <c r="O3663" t="s">
        <v>9477</v>
      </c>
      <c r="P3663" t="s">
        <v>9477</v>
      </c>
      <c r="Y3663" t="s">
        <v>15933</v>
      </c>
    </row>
    <row r="3664" spans="1:25">
      <c r="A3664" t="s">
        <v>15935</v>
      </c>
      <c r="B3664" t="s">
        <v>15936</v>
      </c>
      <c r="D3664" t="s">
        <v>9473</v>
      </c>
      <c r="E3664" t="s">
        <v>9474</v>
      </c>
      <c r="H3664" t="s">
        <v>15937</v>
      </c>
      <c r="J3664" t="s">
        <v>78</v>
      </c>
      <c r="K3664" t="s">
        <v>79</v>
      </c>
      <c r="L3664">
        <v>6</v>
      </c>
      <c r="M3664" t="s">
        <v>15938</v>
      </c>
      <c r="N3664" t="s">
        <v>47</v>
      </c>
      <c r="O3664" t="s">
        <v>9477</v>
      </c>
      <c r="P3664" t="s">
        <v>9477</v>
      </c>
      <c r="Y3664" t="s">
        <v>15937</v>
      </c>
    </row>
    <row r="3665" spans="1:25">
      <c r="A3665" t="s">
        <v>15939</v>
      </c>
      <c r="B3665" t="s">
        <v>15940</v>
      </c>
      <c r="D3665" t="s">
        <v>9473</v>
      </c>
      <c r="E3665" t="s">
        <v>9474</v>
      </c>
      <c r="J3665" t="s">
        <v>54</v>
      </c>
      <c r="K3665" t="s">
        <v>55</v>
      </c>
      <c r="L3665">
        <v>6</v>
      </c>
      <c r="M3665" t="s">
        <v>15938</v>
      </c>
      <c r="N3665" t="s">
        <v>47</v>
      </c>
      <c r="O3665" t="s">
        <v>9477</v>
      </c>
      <c r="P3665" t="s">
        <v>9477</v>
      </c>
      <c r="Y3665" t="s">
        <v>15941</v>
      </c>
    </row>
    <row r="3666" spans="1:25">
      <c r="A3666" t="s">
        <v>15942</v>
      </c>
      <c r="B3666" t="s">
        <v>15943</v>
      </c>
      <c r="D3666" t="s">
        <v>9473</v>
      </c>
      <c r="E3666" t="s">
        <v>9474</v>
      </c>
      <c r="J3666" t="s">
        <v>44</v>
      </c>
      <c r="K3666" t="s">
        <v>45</v>
      </c>
      <c r="L3666">
        <v>6</v>
      </c>
      <c r="M3666" t="s">
        <v>15944</v>
      </c>
      <c r="N3666" t="s">
        <v>47</v>
      </c>
      <c r="O3666" t="s">
        <v>9477</v>
      </c>
      <c r="P3666" t="s">
        <v>9477</v>
      </c>
      <c r="Y3666" t="s">
        <v>15945</v>
      </c>
    </row>
    <row r="3667" spans="1:25">
      <c r="A3667" t="s">
        <v>15946</v>
      </c>
      <c r="B3667" t="s">
        <v>15947</v>
      </c>
      <c r="D3667" t="s">
        <v>9473</v>
      </c>
      <c r="E3667" t="s">
        <v>9474</v>
      </c>
      <c r="J3667" t="s">
        <v>78</v>
      </c>
      <c r="K3667" t="s">
        <v>79</v>
      </c>
      <c r="L3667">
        <v>6</v>
      </c>
      <c r="M3667" t="s">
        <v>15944</v>
      </c>
      <c r="N3667" t="s">
        <v>47</v>
      </c>
      <c r="O3667" t="s">
        <v>9477</v>
      </c>
      <c r="P3667" t="s">
        <v>9477</v>
      </c>
      <c r="Y3667" t="s">
        <v>15948</v>
      </c>
    </row>
    <row r="3668" spans="1:25">
      <c r="A3668" t="s">
        <v>15949</v>
      </c>
      <c r="B3668" t="s">
        <v>15950</v>
      </c>
      <c r="D3668" t="s">
        <v>9473</v>
      </c>
      <c r="E3668" t="s">
        <v>9474</v>
      </c>
      <c r="J3668" t="s">
        <v>90</v>
      </c>
      <c r="K3668" t="s">
        <v>91</v>
      </c>
      <c r="L3668">
        <v>6</v>
      </c>
      <c r="M3668" t="s">
        <v>15944</v>
      </c>
      <c r="N3668" t="s">
        <v>47</v>
      </c>
      <c r="O3668" t="s">
        <v>9477</v>
      </c>
      <c r="P3668" t="s">
        <v>9477</v>
      </c>
      <c r="Y3668" t="s">
        <v>15951</v>
      </c>
    </row>
    <row r="3669" spans="1:25">
      <c r="A3669" t="s">
        <v>15952</v>
      </c>
      <c r="B3669" t="s">
        <v>15953</v>
      </c>
      <c r="D3669" t="s">
        <v>9473</v>
      </c>
      <c r="E3669" t="s">
        <v>9474</v>
      </c>
      <c r="J3669" t="s">
        <v>78</v>
      </c>
      <c r="K3669" t="s">
        <v>79</v>
      </c>
      <c r="L3669">
        <v>6</v>
      </c>
      <c r="M3669" t="s">
        <v>15944</v>
      </c>
      <c r="N3669" t="s">
        <v>47</v>
      </c>
      <c r="O3669" t="s">
        <v>9477</v>
      </c>
      <c r="P3669" t="s">
        <v>9477</v>
      </c>
      <c r="Y3669" t="s">
        <v>15954</v>
      </c>
    </row>
    <row r="3670" spans="1:25">
      <c r="A3670" t="s">
        <v>15955</v>
      </c>
      <c r="B3670" t="s">
        <v>15956</v>
      </c>
      <c r="D3670" t="s">
        <v>9473</v>
      </c>
      <c r="E3670" t="s">
        <v>9474</v>
      </c>
      <c r="J3670" t="s">
        <v>497</v>
      </c>
      <c r="K3670" t="s">
        <v>498</v>
      </c>
      <c r="L3670">
        <v>6</v>
      </c>
      <c r="M3670" t="s">
        <v>15944</v>
      </c>
      <c r="N3670" t="s">
        <v>685</v>
      </c>
      <c r="O3670" t="s">
        <v>9477</v>
      </c>
      <c r="P3670" t="s">
        <v>9477</v>
      </c>
      <c r="Y3670" t="s">
        <v>15957</v>
      </c>
    </row>
    <row r="3671" spans="1:25">
      <c r="A3671" t="s">
        <v>15958</v>
      </c>
      <c r="B3671" t="s">
        <v>15959</v>
      </c>
      <c r="D3671" t="s">
        <v>9473</v>
      </c>
      <c r="E3671" t="s">
        <v>9474</v>
      </c>
      <c r="H3671" t="s">
        <v>15960</v>
      </c>
      <c r="J3671" t="s">
        <v>133</v>
      </c>
      <c r="K3671" t="s">
        <v>134</v>
      </c>
      <c r="L3671">
        <v>6</v>
      </c>
      <c r="M3671" t="s">
        <v>15961</v>
      </c>
      <c r="N3671" t="s">
        <v>290</v>
      </c>
      <c r="O3671" t="s">
        <v>9477</v>
      </c>
      <c r="P3671" t="s">
        <v>9477</v>
      </c>
      <c r="Y3671" t="s">
        <v>15960</v>
      </c>
    </row>
    <row r="3672" spans="1:25">
      <c r="A3672" t="s">
        <v>15962</v>
      </c>
      <c r="B3672" t="s">
        <v>15963</v>
      </c>
      <c r="D3672" t="s">
        <v>9473</v>
      </c>
      <c r="E3672" t="s">
        <v>9474</v>
      </c>
      <c r="H3672" t="s">
        <v>15964</v>
      </c>
      <c r="J3672" t="s">
        <v>78</v>
      </c>
      <c r="K3672" t="s">
        <v>79</v>
      </c>
      <c r="L3672">
        <v>6</v>
      </c>
      <c r="M3672" t="s">
        <v>15965</v>
      </c>
      <c r="N3672" t="s">
        <v>47</v>
      </c>
      <c r="O3672" t="s">
        <v>9477</v>
      </c>
      <c r="P3672" t="s">
        <v>9477</v>
      </c>
      <c r="Y3672" t="s">
        <v>15964</v>
      </c>
    </row>
    <row r="3673" spans="1:25">
      <c r="A3673" t="s">
        <v>15966</v>
      </c>
      <c r="B3673" t="s">
        <v>15967</v>
      </c>
      <c r="D3673" t="s">
        <v>9473</v>
      </c>
      <c r="E3673" t="s">
        <v>9474</v>
      </c>
      <c r="H3673" t="s">
        <v>15968</v>
      </c>
      <c r="J3673" t="s">
        <v>133</v>
      </c>
      <c r="K3673" t="s">
        <v>134</v>
      </c>
      <c r="L3673">
        <v>6</v>
      </c>
      <c r="M3673" t="s">
        <v>15969</v>
      </c>
      <c r="N3673" t="s">
        <v>290</v>
      </c>
      <c r="O3673" t="s">
        <v>9477</v>
      </c>
      <c r="P3673" t="s">
        <v>9477</v>
      </c>
      <c r="Y3673" t="s">
        <v>15968</v>
      </c>
    </row>
    <row r="3674" spans="1:25">
      <c r="A3674" t="s">
        <v>15970</v>
      </c>
      <c r="B3674" t="s">
        <v>15971</v>
      </c>
      <c r="D3674" t="s">
        <v>9473</v>
      </c>
      <c r="E3674" t="s">
        <v>9474</v>
      </c>
      <c r="J3674" t="s">
        <v>133</v>
      </c>
      <c r="K3674" t="s">
        <v>134</v>
      </c>
      <c r="L3674">
        <v>6</v>
      </c>
      <c r="M3674" t="s">
        <v>15972</v>
      </c>
      <c r="N3674" t="s">
        <v>135</v>
      </c>
      <c r="O3674" t="s">
        <v>9477</v>
      </c>
      <c r="P3674" t="s">
        <v>9477</v>
      </c>
      <c r="Y3674" t="s">
        <v>15973</v>
      </c>
    </row>
    <row r="3675" spans="1:25">
      <c r="A3675" t="s">
        <v>15974</v>
      </c>
      <c r="B3675" t="s">
        <v>15975</v>
      </c>
      <c r="D3675" t="s">
        <v>9473</v>
      </c>
      <c r="E3675" t="s">
        <v>9474</v>
      </c>
      <c r="H3675" t="s">
        <v>15976</v>
      </c>
      <c r="J3675" t="s">
        <v>90</v>
      </c>
      <c r="K3675" t="s">
        <v>91</v>
      </c>
      <c r="L3675">
        <v>6</v>
      </c>
      <c r="M3675" t="s">
        <v>15972</v>
      </c>
      <c r="N3675" t="s">
        <v>47</v>
      </c>
      <c r="O3675" t="s">
        <v>9477</v>
      </c>
      <c r="P3675" t="s">
        <v>9477</v>
      </c>
      <c r="Y3675" t="s">
        <v>15976</v>
      </c>
    </row>
    <row r="3676" spans="1:25">
      <c r="A3676" t="s">
        <v>15977</v>
      </c>
      <c r="B3676" t="s">
        <v>15978</v>
      </c>
      <c r="D3676" t="s">
        <v>9473</v>
      </c>
      <c r="E3676" t="s">
        <v>9474</v>
      </c>
      <c r="J3676" t="s">
        <v>371</v>
      </c>
      <c r="K3676" t="s">
        <v>372</v>
      </c>
      <c r="L3676">
        <v>6</v>
      </c>
      <c r="M3676" t="s">
        <v>15979</v>
      </c>
      <c r="N3676" t="s">
        <v>47</v>
      </c>
      <c r="O3676" t="s">
        <v>9477</v>
      </c>
      <c r="P3676" t="s">
        <v>9477</v>
      </c>
      <c r="Y3676" t="s">
        <v>15980</v>
      </c>
    </row>
    <row r="3677" spans="1:25">
      <c r="A3677" t="s">
        <v>15981</v>
      </c>
      <c r="B3677" t="s">
        <v>15982</v>
      </c>
      <c r="D3677" t="s">
        <v>9473</v>
      </c>
      <c r="E3677" t="s">
        <v>9474</v>
      </c>
      <c r="J3677" t="s">
        <v>90</v>
      </c>
      <c r="K3677" t="s">
        <v>91</v>
      </c>
      <c r="L3677">
        <v>6</v>
      </c>
      <c r="M3677" t="s">
        <v>15979</v>
      </c>
      <c r="N3677" t="s">
        <v>47</v>
      </c>
      <c r="O3677" t="s">
        <v>9477</v>
      </c>
      <c r="P3677" t="s">
        <v>9477</v>
      </c>
      <c r="Y3677" t="s">
        <v>15983</v>
      </c>
    </row>
    <row r="3678" spans="1:25">
      <c r="A3678" t="s">
        <v>15984</v>
      </c>
      <c r="B3678" t="s">
        <v>15985</v>
      </c>
      <c r="D3678" t="s">
        <v>9473</v>
      </c>
      <c r="E3678" t="s">
        <v>9474</v>
      </c>
      <c r="H3678" t="s">
        <v>15986</v>
      </c>
      <c r="J3678" t="s">
        <v>78</v>
      </c>
      <c r="K3678" t="s">
        <v>79</v>
      </c>
      <c r="L3678">
        <v>6</v>
      </c>
      <c r="M3678" t="s">
        <v>15979</v>
      </c>
      <c r="N3678" t="s">
        <v>47</v>
      </c>
      <c r="O3678" t="s">
        <v>9477</v>
      </c>
      <c r="P3678" t="s">
        <v>9477</v>
      </c>
      <c r="Y3678" t="s">
        <v>15986</v>
      </c>
    </row>
    <row r="3679" spans="1:25">
      <c r="A3679" t="s">
        <v>15987</v>
      </c>
      <c r="B3679" t="s">
        <v>15988</v>
      </c>
      <c r="D3679" t="s">
        <v>9473</v>
      </c>
      <c r="E3679" t="s">
        <v>9474</v>
      </c>
      <c r="J3679" t="s">
        <v>371</v>
      </c>
      <c r="K3679" t="s">
        <v>372</v>
      </c>
      <c r="L3679">
        <v>6</v>
      </c>
      <c r="M3679" t="s">
        <v>15989</v>
      </c>
      <c r="N3679" t="s">
        <v>47</v>
      </c>
      <c r="O3679" t="s">
        <v>9477</v>
      </c>
      <c r="P3679" t="s">
        <v>9477</v>
      </c>
      <c r="Y3679" t="s">
        <v>15990</v>
      </c>
    </row>
    <row r="3680" spans="1:25">
      <c r="A3680" t="s">
        <v>15991</v>
      </c>
      <c r="B3680" t="s">
        <v>15992</v>
      </c>
      <c r="D3680" t="s">
        <v>9473</v>
      </c>
      <c r="E3680" t="s">
        <v>9474</v>
      </c>
      <c r="H3680" t="s">
        <v>15993</v>
      </c>
      <c r="J3680" t="s">
        <v>287</v>
      </c>
      <c r="K3680" t="s">
        <v>288</v>
      </c>
      <c r="L3680">
        <v>6</v>
      </c>
      <c r="M3680" t="s">
        <v>15994</v>
      </c>
      <c r="N3680" t="s">
        <v>685</v>
      </c>
      <c r="O3680" t="s">
        <v>9477</v>
      </c>
      <c r="P3680" t="s">
        <v>9477</v>
      </c>
      <c r="Y3680" t="s">
        <v>15993</v>
      </c>
    </row>
    <row r="3681" spans="1:25">
      <c r="A3681" t="s">
        <v>15995</v>
      </c>
      <c r="B3681" t="s">
        <v>15996</v>
      </c>
      <c r="D3681" t="s">
        <v>9473</v>
      </c>
      <c r="E3681" t="s">
        <v>9474</v>
      </c>
      <c r="J3681" t="s">
        <v>371</v>
      </c>
      <c r="K3681" t="s">
        <v>372</v>
      </c>
      <c r="L3681">
        <v>6</v>
      </c>
      <c r="M3681" t="s">
        <v>15997</v>
      </c>
      <c r="N3681" t="s">
        <v>47</v>
      </c>
      <c r="O3681" t="s">
        <v>9477</v>
      </c>
      <c r="P3681" t="s">
        <v>9477</v>
      </c>
      <c r="Y3681" t="s">
        <v>15998</v>
      </c>
    </row>
    <row r="3682" spans="1:25">
      <c r="A3682" t="s">
        <v>15999</v>
      </c>
      <c r="B3682" t="s">
        <v>16000</v>
      </c>
      <c r="D3682" t="s">
        <v>9473</v>
      </c>
      <c r="E3682" t="s">
        <v>9474</v>
      </c>
      <c r="J3682" t="s">
        <v>90</v>
      </c>
      <c r="K3682" t="s">
        <v>91</v>
      </c>
      <c r="L3682">
        <v>6</v>
      </c>
      <c r="M3682" t="s">
        <v>15997</v>
      </c>
      <c r="N3682" t="s">
        <v>47</v>
      </c>
      <c r="O3682" t="s">
        <v>9477</v>
      </c>
      <c r="P3682" t="s">
        <v>9477</v>
      </c>
      <c r="Y3682" t="s">
        <v>16001</v>
      </c>
    </row>
    <row r="3683" spans="1:25">
      <c r="A3683" t="s">
        <v>16002</v>
      </c>
      <c r="B3683" t="s">
        <v>16003</v>
      </c>
      <c r="D3683" t="s">
        <v>9473</v>
      </c>
      <c r="E3683" t="s">
        <v>9474</v>
      </c>
      <c r="J3683" t="s">
        <v>44</v>
      </c>
      <c r="K3683" t="s">
        <v>45</v>
      </c>
      <c r="L3683">
        <v>6</v>
      </c>
      <c r="M3683" t="s">
        <v>15997</v>
      </c>
      <c r="N3683" t="s">
        <v>47</v>
      </c>
      <c r="O3683" t="s">
        <v>9477</v>
      </c>
      <c r="P3683" t="s">
        <v>9477</v>
      </c>
      <c r="Y3683" t="s">
        <v>16004</v>
      </c>
    </row>
    <row r="3684" spans="1:25">
      <c r="A3684" t="s">
        <v>16005</v>
      </c>
      <c r="B3684" t="s">
        <v>16006</v>
      </c>
      <c r="D3684" t="s">
        <v>9473</v>
      </c>
      <c r="E3684" t="s">
        <v>9474</v>
      </c>
      <c r="J3684" t="s">
        <v>90</v>
      </c>
      <c r="K3684" t="s">
        <v>91</v>
      </c>
      <c r="L3684">
        <v>6</v>
      </c>
      <c r="M3684" t="s">
        <v>16007</v>
      </c>
      <c r="N3684" t="s">
        <v>47</v>
      </c>
      <c r="O3684" t="s">
        <v>9477</v>
      </c>
      <c r="P3684" t="s">
        <v>9477</v>
      </c>
      <c r="Y3684" t="s">
        <v>16008</v>
      </c>
    </row>
    <row r="3685" spans="1:25">
      <c r="A3685" t="s">
        <v>16009</v>
      </c>
      <c r="B3685" t="s">
        <v>16010</v>
      </c>
      <c r="D3685" t="s">
        <v>9473</v>
      </c>
      <c r="E3685" t="s">
        <v>9474</v>
      </c>
      <c r="J3685" t="s">
        <v>90</v>
      </c>
      <c r="K3685" t="s">
        <v>91</v>
      </c>
      <c r="L3685">
        <v>6</v>
      </c>
      <c r="M3685" t="s">
        <v>16007</v>
      </c>
      <c r="N3685" t="s">
        <v>47</v>
      </c>
      <c r="O3685" t="s">
        <v>9477</v>
      </c>
      <c r="P3685" t="s">
        <v>9477</v>
      </c>
      <c r="Y3685" t="s">
        <v>16011</v>
      </c>
    </row>
    <row r="3686" spans="1:25">
      <c r="A3686" t="s">
        <v>16012</v>
      </c>
      <c r="B3686" t="s">
        <v>16013</v>
      </c>
      <c r="D3686" t="s">
        <v>9473</v>
      </c>
      <c r="E3686" t="s">
        <v>9474</v>
      </c>
      <c r="H3686" t="s">
        <v>16014</v>
      </c>
      <c r="J3686" t="s">
        <v>90</v>
      </c>
      <c r="K3686" t="s">
        <v>91</v>
      </c>
      <c r="L3686">
        <v>6</v>
      </c>
      <c r="M3686" t="s">
        <v>16007</v>
      </c>
      <c r="N3686" t="s">
        <v>47</v>
      </c>
      <c r="O3686" t="s">
        <v>9477</v>
      </c>
      <c r="P3686" t="s">
        <v>9477</v>
      </c>
      <c r="Y3686" t="s">
        <v>16014</v>
      </c>
    </row>
    <row r="3687" spans="1:25">
      <c r="A3687" t="s">
        <v>16015</v>
      </c>
      <c r="B3687" t="s">
        <v>16016</v>
      </c>
      <c r="D3687" t="s">
        <v>9473</v>
      </c>
      <c r="E3687" t="s">
        <v>9474</v>
      </c>
      <c r="J3687" t="s">
        <v>90</v>
      </c>
      <c r="K3687" t="s">
        <v>91</v>
      </c>
      <c r="L3687">
        <v>6</v>
      </c>
      <c r="M3687" t="s">
        <v>16007</v>
      </c>
      <c r="N3687" t="s">
        <v>47</v>
      </c>
      <c r="O3687" t="s">
        <v>9477</v>
      </c>
      <c r="P3687" t="s">
        <v>9477</v>
      </c>
      <c r="Y3687" t="s">
        <v>16017</v>
      </c>
    </row>
    <row r="3688" spans="1:25">
      <c r="A3688" t="s">
        <v>16018</v>
      </c>
      <c r="B3688" t="s">
        <v>16019</v>
      </c>
      <c r="D3688" t="s">
        <v>9473</v>
      </c>
      <c r="E3688" t="s">
        <v>9474</v>
      </c>
      <c r="H3688" t="s">
        <v>16020</v>
      </c>
      <c r="J3688" t="s">
        <v>497</v>
      </c>
      <c r="K3688" t="s">
        <v>498</v>
      </c>
      <c r="L3688">
        <v>6</v>
      </c>
      <c r="M3688" t="s">
        <v>16021</v>
      </c>
      <c r="N3688" t="s">
        <v>135</v>
      </c>
      <c r="O3688" t="s">
        <v>9477</v>
      </c>
      <c r="P3688" t="s">
        <v>9477</v>
      </c>
      <c r="Y3688" t="s">
        <v>16020</v>
      </c>
    </row>
    <row r="3689" spans="1:25">
      <c r="A3689" t="s">
        <v>16022</v>
      </c>
      <c r="B3689" t="s">
        <v>16023</v>
      </c>
      <c r="D3689" t="s">
        <v>9473</v>
      </c>
      <c r="E3689" t="s">
        <v>9474</v>
      </c>
      <c r="J3689" t="s">
        <v>44</v>
      </c>
      <c r="K3689" t="s">
        <v>45</v>
      </c>
      <c r="L3689">
        <v>6</v>
      </c>
      <c r="M3689" t="s">
        <v>16024</v>
      </c>
      <c r="N3689" t="s">
        <v>47</v>
      </c>
      <c r="O3689" t="s">
        <v>9477</v>
      </c>
      <c r="P3689" t="s">
        <v>9477</v>
      </c>
      <c r="Y3689" t="s">
        <v>16025</v>
      </c>
    </row>
    <row r="3690" spans="1:25">
      <c r="A3690" t="s">
        <v>16026</v>
      </c>
      <c r="B3690" t="s">
        <v>16027</v>
      </c>
      <c r="D3690" t="s">
        <v>9473</v>
      </c>
      <c r="E3690" t="s">
        <v>9474</v>
      </c>
      <c r="H3690" t="s">
        <v>16028</v>
      </c>
      <c r="J3690" t="s">
        <v>90</v>
      </c>
      <c r="K3690" t="s">
        <v>91</v>
      </c>
      <c r="L3690">
        <v>6</v>
      </c>
      <c r="M3690" t="s">
        <v>16029</v>
      </c>
      <c r="N3690" t="s">
        <v>47</v>
      </c>
      <c r="O3690" t="s">
        <v>9477</v>
      </c>
      <c r="P3690" t="s">
        <v>9477</v>
      </c>
      <c r="Y3690" t="s">
        <v>16028</v>
      </c>
    </row>
    <row r="3691" spans="1:25">
      <c r="A3691" t="s">
        <v>16030</v>
      </c>
      <c r="B3691" t="s">
        <v>16031</v>
      </c>
      <c r="D3691" t="s">
        <v>9473</v>
      </c>
      <c r="E3691" t="s">
        <v>9474</v>
      </c>
      <c r="J3691" t="s">
        <v>133</v>
      </c>
      <c r="K3691" t="s">
        <v>134</v>
      </c>
      <c r="L3691">
        <v>6</v>
      </c>
      <c r="M3691" t="s">
        <v>16032</v>
      </c>
      <c r="N3691" t="s">
        <v>290</v>
      </c>
      <c r="O3691" t="s">
        <v>9477</v>
      </c>
      <c r="P3691" t="s">
        <v>9477</v>
      </c>
      <c r="Y3691" t="s">
        <v>16033</v>
      </c>
    </row>
    <row r="3692" spans="1:25">
      <c r="A3692" t="s">
        <v>16034</v>
      </c>
      <c r="B3692" t="s">
        <v>16035</v>
      </c>
      <c r="D3692" t="s">
        <v>9473</v>
      </c>
      <c r="E3692" t="s">
        <v>9474</v>
      </c>
      <c r="J3692" t="s">
        <v>90</v>
      </c>
      <c r="K3692" t="s">
        <v>91</v>
      </c>
      <c r="L3692">
        <v>6</v>
      </c>
      <c r="M3692" t="s">
        <v>16036</v>
      </c>
      <c r="N3692" t="s">
        <v>47</v>
      </c>
      <c r="O3692" t="s">
        <v>9477</v>
      </c>
      <c r="P3692" t="s">
        <v>9477</v>
      </c>
      <c r="Y3692" t="s">
        <v>16037</v>
      </c>
    </row>
    <row r="3693" spans="1:25">
      <c r="A3693" t="s">
        <v>16038</v>
      </c>
      <c r="B3693" t="s">
        <v>16039</v>
      </c>
      <c r="D3693" t="s">
        <v>9473</v>
      </c>
      <c r="E3693" t="s">
        <v>9474</v>
      </c>
      <c r="J3693" t="s">
        <v>90</v>
      </c>
      <c r="K3693" t="s">
        <v>91</v>
      </c>
      <c r="L3693">
        <v>6</v>
      </c>
      <c r="M3693" t="s">
        <v>16040</v>
      </c>
      <c r="N3693" t="s">
        <v>47</v>
      </c>
      <c r="O3693" t="s">
        <v>9477</v>
      </c>
      <c r="P3693" t="s">
        <v>9477</v>
      </c>
      <c r="Y3693" t="s">
        <v>16041</v>
      </c>
    </row>
    <row r="3694" spans="1:25">
      <c r="A3694" t="s">
        <v>16042</v>
      </c>
      <c r="B3694" t="s">
        <v>16043</v>
      </c>
      <c r="D3694" t="s">
        <v>9473</v>
      </c>
      <c r="E3694" t="s">
        <v>9474</v>
      </c>
      <c r="J3694" t="s">
        <v>90</v>
      </c>
      <c r="K3694" t="s">
        <v>91</v>
      </c>
      <c r="L3694">
        <v>6</v>
      </c>
      <c r="M3694" t="s">
        <v>16040</v>
      </c>
      <c r="N3694" t="s">
        <v>47</v>
      </c>
      <c r="O3694" t="s">
        <v>9477</v>
      </c>
      <c r="P3694" t="s">
        <v>9477</v>
      </c>
      <c r="Y3694" t="s">
        <v>16044</v>
      </c>
    </row>
    <row r="3695" spans="1:25">
      <c r="A3695" t="s">
        <v>16045</v>
      </c>
      <c r="B3695" t="s">
        <v>16046</v>
      </c>
      <c r="D3695" t="s">
        <v>9473</v>
      </c>
      <c r="E3695" t="s">
        <v>9474</v>
      </c>
      <c r="J3695" t="s">
        <v>90</v>
      </c>
      <c r="K3695" t="s">
        <v>91</v>
      </c>
      <c r="L3695">
        <v>6</v>
      </c>
      <c r="M3695" t="s">
        <v>16040</v>
      </c>
      <c r="N3695" t="s">
        <v>47</v>
      </c>
      <c r="O3695" t="s">
        <v>9477</v>
      </c>
      <c r="P3695" t="s">
        <v>9477</v>
      </c>
      <c r="Y3695" t="s">
        <v>16047</v>
      </c>
    </row>
    <row r="3696" spans="1:25">
      <c r="A3696" t="s">
        <v>16048</v>
      </c>
      <c r="B3696" t="s">
        <v>16049</v>
      </c>
      <c r="D3696" t="s">
        <v>9473</v>
      </c>
      <c r="E3696" t="s">
        <v>9474</v>
      </c>
      <c r="J3696" t="s">
        <v>541</v>
      </c>
      <c r="K3696" t="s">
        <v>542</v>
      </c>
      <c r="L3696">
        <v>6</v>
      </c>
      <c r="M3696" t="s">
        <v>16040</v>
      </c>
      <c r="N3696" t="s">
        <v>290</v>
      </c>
      <c r="O3696" t="s">
        <v>9477</v>
      </c>
      <c r="P3696" t="s">
        <v>9477</v>
      </c>
      <c r="Y3696" t="s">
        <v>16050</v>
      </c>
    </row>
    <row r="3697" spans="1:25">
      <c r="A3697" t="s">
        <v>16051</v>
      </c>
      <c r="B3697" t="s">
        <v>16052</v>
      </c>
      <c r="D3697" t="s">
        <v>9473</v>
      </c>
      <c r="E3697" t="s">
        <v>9474</v>
      </c>
      <c r="J3697" t="s">
        <v>54</v>
      </c>
      <c r="K3697" t="s">
        <v>55</v>
      </c>
      <c r="L3697">
        <v>6</v>
      </c>
      <c r="M3697" t="s">
        <v>16053</v>
      </c>
      <c r="N3697" t="s">
        <v>47</v>
      </c>
      <c r="O3697" t="s">
        <v>9477</v>
      </c>
      <c r="P3697" t="s">
        <v>9477</v>
      </c>
      <c r="Y3697" t="s">
        <v>16054</v>
      </c>
    </row>
    <row r="3698" spans="1:25">
      <c r="A3698" t="s">
        <v>16055</v>
      </c>
      <c r="B3698" t="s">
        <v>16056</v>
      </c>
      <c r="D3698" t="s">
        <v>9473</v>
      </c>
      <c r="E3698" t="s">
        <v>9474</v>
      </c>
      <c r="H3698" t="s">
        <v>16057</v>
      </c>
      <c r="J3698" t="s">
        <v>44</v>
      </c>
      <c r="K3698" t="s">
        <v>45</v>
      </c>
      <c r="L3698">
        <v>6</v>
      </c>
      <c r="M3698" t="s">
        <v>16058</v>
      </c>
      <c r="N3698" t="s">
        <v>47</v>
      </c>
      <c r="O3698" t="s">
        <v>9477</v>
      </c>
      <c r="P3698" t="s">
        <v>9477</v>
      </c>
      <c r="Y3698" t="s">
        <v>16057</v>
      </c>
    </row>
    <row r="3699" spans="1:25">
      <c r="A3699" t="s">
        <v>16059</v>
      </c>
      <c r="B3699" t="s">
        <v>16060</v>
      </c>
      <c r="D3699" t="s">
        <v>9473</v>
      </c>
      <c r="E3699" t="s">
        <v>9474</v>
      </c>
      <c r="J3699" t="s">
        <v>54</v>
      </c>
      <c r="K3699" t="s">
        <v>55</v>
      </c>
      <c r="L3699">
        <v>6</v>
      </c>
      <c r="M3699" t="s">
        <v>16061</v>
      </c>
      <c r="N3699" t="s">
        <v>47</v>
      </c>
      <c r="O3699" t="s">
        <v>9477</v>
      </c>
      <c r="P3699" t="s">
        <v>9477</v>
      </c>
      <c r="Y3699" t="s">
        <v>16062</v>
      </c>
    </row>
    <row r="3700" spans="1:25">
      <c r="A3700" t="s">
        <v>16063</v>
      </c>
      <c r="B3700" t="s">
        <v>16064</v>
      </c>
      <c r="D3700" t="s">
        <v>9473</v>
      </c>
      <c r="E3700" t="s">
        <v>9474</v>
      </c>
      <c r="H3700" t="s">
        <v>16065</v>
      </c>
      <c r="J3700" t="s">
        <v>44</v>
      </c>
      <c r="K3700" t="s">
        <v>45</v>
      </c>
      <c r="L3700">
        <v>6</v>
      </c>
      <c r="M3700" t="s">
        <v>16066</v>
      </c>
      <c r="N3700" t="s">
        <v>47</v>
      </c>
      <c r="O3700" t="s">
        <v>9477</v>
      </c>
      <c r="P3700" t="s">
        <v>9477</v>
      </c>
      <c r="Y3700" t="s">
        <v>16065</v>
      </c>
    </row>
    <row r="3701" spans="1:25">
      <c r="A3701" t="s">
        <v>16067</v>
      </c>
      <c r="B3701" t="s">
        <v>16068</v>
      </c>
      <c r="D3701" t="s">
        <v>9473</v>
      </c>
      <c r="E3701" t="s">
        <v>9474</v>
      </c>
      <c r="J3701" t="s">
        <v>90</v>
      </c>
      <c r="K3701" t="s">
        <v>91</v>
      </c>
      <c r="L3701">
        <v>6</v>
      </c>
      <c r="M3701" t="s">
        <v>16066</v>
      </c>
      <c r="N3701" t="s">
        <v>47</v>
      </c>
      <c r="O3701" t="s">
        <v>9477</v>
      </c>
      <c r="P3701" t="s">
        <v>9477</v>
      </c>
      <c r="Y3701" t="s">
        <v>16069</v>
      </c>
    </row>
    <row r="3702" spans="1:25">
      <c r="A3702" t="s">
        <v>16070</v>
      </c>
      <c r="B3702" t="s">
        <v>16071</v>
      </c>
      <c r="D3702" t="s">
        <v>9473</v>
      </c>
      <c r="E3702" t="s">
        <v>9474</v>
      </c>
      <c r="J3702" t="s">
        <v>54</v>
      </c>
      <c r="K3702" t="s">
        <v>55</v>
      </c>
      <c r="L3702">
        <v>6</v>
      </c>
      <c r="M3702" t="s">
        <v>16066</v>
      </c>
      <c r="N3702" t="s">
        <v>47</v>
      </c>
      <c r="O3702" t="s">
        <v>9477</v>
      </c>
      <c r="P3702" t="s">
        <v>9477</v>
      </c>
      <c r="Y3702" t="s">
        <v>16072</v>
      </c>
    </row>
    <row r="3703" spans="1:25">
      <c r="A3703" t="s">
        <v>16073</v>
      </c>
      <c r="B3703" t="s">
        <v>16074</v>
      </c>
      <c r="D3703" t="s">
        <v>9473</v>
      </c>
      <c r="E3703" t="s">
        <v>9474</v>
      </c>
      <c r="H3703" t="s">
        <v>16075</v>
      </c>
      <c r="J3703" t="s">
        <v>90</v>
      </c>
      <c r="K3703" t="s">
        <v>91</v>
      </c>
      <c r="L3703">
        <v>6</v>
      </c>
      <c r="M3703" t="s">
        <v>16066</v>
      </c>
      <c r="N3703" t="s">
        <v>47</v>
      </c>
      <c r="O3703" t="s">
        <v>9477</v>
      </c>
      <c r="P3703" t="s">
        <v>9477</v>
      </c>
      <c r="Y3703" t="s">
        <v>16075</v>
      </c>
    </row>
    <row r="3704" spans="1:25">
      <c r="A3704" t="s">
        <v>16076</v>
      </c>
      <c r="B3704" t="s">
        <v>16077</v>
      </c>
      <c r="D3704" t="s">
        <v>9473</v>
      </c>
      <c r="E3704" t="s">
        <v>9474</v>
      </c>
      <c r="J3704" t="s">
        <v>90</v>
      </c>
      <c r="K3704" t="s">
        <v>91</v>
      </c>
      <c r="L3704">
        <v>6</v>
      </c>
      <c r="M3704" t="s">
        <v>16078</v>
      </c>
      <c r="N3704" t="s">
        <v>47</v>
      </c>
      <c r="O3704" t="s">
        <v>9477</v>
      </c>
      <c r="P3704" t="s">
        <v>9477</v>
      </c>
      <c r="Y3704" t="s">
        <v>16079</v>
      </c>
    </row>
    <row r="3705" spans="1:25">
      <c r="A3705" t="s">
        <v>16080</v>
      </c>
      <c r="B3705" t="s">
        <v>16081</v>
      </c>
      <c r="D3705" t="s">
        <v>9473</v>
      </c>
      <c r="E3705" t="s">
        <v>9474</v>
      </c>
      <c r="J3705" t="s">
        <v>78</v>
      </c>
      <c r="K3705" t="s">
        <v>79</v>
      </c>
      <c r="L3705">
        <v>6</v>
      </c>
      <c r="M3705" t="s">
        <v>16078</v>
      </c>
      <c r="N3705" t="s">
        <v>47</v>
      </c>
      <c r="O3705" t="s">
        <v>9477</v>
      </c>
      <c r="P3705" t="s">
        <v>9477</v>
      </c>
      <c r="Y3705" t="s">
        <v>16082</v>
      </c>
    </row>
    <row r="3706" spans="1:25">
      <c r="A3706" t="s">
        <v>16083</v>
      </c>
      <c r="B3706" t="s">
        <v>16084</v>
      </c>
      <c r="D3706" t="s">
        <v>9473</v>
      </c>
      <c r="E3706" t="s">
        <v>9474</v>
      </c>
      <c r="H3706" t="s">
        <v>16085</v>
      </c>
      <c r="J3706" t="s">
        <v>44</v>
      </c>
      <c r="K3706" t="s">
        <v>45</v>
      </c>
      <c r="L3706">
        <v>6</v>
      </c>
      <c r="M3706" t="s">
        <v>16086</v>
      </c>
      <c r="N3706" t="s">
        <v>47</v>
      </c>
      <c r="O3706" t="s">
        <v>9477</v>
      </c>
      <c r="P3706" t="s">
        <v>9477</v>
      </c>
      <c r="Y3706" t="s">
        <v>16085</v>
      </c>
    </row>
    <row r="3707" spans="1:25">
      <c r="A3707" t="s">
        <v>16087</v>
      </c>
      <c r="B3707" t="s">
        <v>16088</v>
      </c>
      <c r="D3707" t="s">
        <v>9473</v>
      </c>
      <c r="E3707" t="s">
        <v>9474</v>
      </c>
      <c r="J3707" t="s">
        <v>133</v>
      </c>
      <c r="K3707" t="s">
        <v>134</v>
      </c>
      <c r="L3707">
        <v>6</v>
      </c>
      <c r="M3707" t="s">
        <v>16086</v>
      </c>
      <c r="N3707" t="s">
        <v>135</v>
      </c>
      <c r="O3707" t="s">
        <v>9477</v>
      </c>
      <c r="P3707" t="s">
        <v>9477</v>
      </c>
      <c r="Y3707" t="s">
        <v>16089</v>
      </c>
    </row>
    <row r="3708" spans="1:25">
      <c r="A3708" t="s">
        <v>16090</v>
      </c>
      <c r="B3708" t="s">
        <v>16091</v>
      </c>
      <c r="D3708" t="s">
        <v>9473</v>
      </c>
      <c r="E3708" t="s">
        <v>9474</v>
      </c>
      <c r="H3708" t="s">
        <v>16092</v>
      </c>
      <c r="J3708" t="s">
        <v>90</v>
      </c>
      <c r="K3708" t="s">
        <v>91</v>
      </c>
      <c r="L3708">
        <v>6</v>
      </c>
      <c r="M3708" t="s">
        <v>16093</v>
      </c>
      <c r="N3708" t="s">
        <v>47</v>
      </c>
      <c r="O3708" t="s">
        <v>9477</v>
      </c>
      <c r="P3708" t="s">
        <v>9477</v>
      </c>
      <c r="Y3708" t="s">
        <v>16092</v>
      </c>
    </row>
    <row r="3709" spans="1:25">
      <c r="A3709" t="s">
        <v>16094</v>
      </c>
      <c r="B3709" t="s">
        <v>16095</v>
      </c>
      <c r="D3709" t="s">
        <v>9473</v>
      </c>
      <c r="E3709" t="s">
        <v>9474</v>
      </c>
      <c r="J3709" t="s">
        <v>90</v>
      </c>
      <c r="K3709" t="s">
        <v>91</v>
      </c>
      <c r="L3709">
        <v>6</v>
      </c>
      <c r="M3709" t="s">
        <v>16093</v>
      </c>
      <c r="N3709" t="s">
        <v>47</v>
      </c>
      <c r="O3709" t="s">
        <v>9477</v>
      </c>
      <c r="P3709" t="s">
        <v>9477</v>
      </c>
      <c r="Y3709" t="s">
        <v>16096</v>
      </c>
    </row>
    <row r="3710" spans="1:25">
      <c r="A3710" t="s">
        <v>16097</v>
      </c>
      <c r="B3710" t="s">
        <v>16098</v>
      </c>
      <c r="D3710" t="s">
        <v>9473</v>
      </c>
      <c r="E3710" t="s">
        <v>9474</v>
      </c>
      <c r="J3710" t="s">
        <v>44</v>
      </c>
      <c r="K3710" t="s">
        <v>45</v>
      </c>
      <c r="L3710">
        <v>6</v>
      </c>
      <c r="M3710" t="s">
        <v>16093</v>
      </c>
      <c r="N3710" t="s">
        <v>47</v>
      </c>
      <c r="O3710" t="s">
        <v>9477</v>
      </c>
      <c r="P3710" t="s">
        <v>9477</v>
      </c>
      <c r="Y3710" t="s">
        <v>16099</v>
      </c>
    </row>
    <row r="3711" spans="1:25">
      <c r="A3711" t="s">
        <v>16100</v>
      </c>
      <c r="B3711" t="s">
        <v>16101</v>
      </c>
      <c r="D3711" t="s">
        <v>9473</v>
      </c>
      <c r="E3711" t="s">
        <v>9474</v>
      </c>
      <c r="J3711" t="s">
        <v>44</v>
      </c>
      <c r="K3711" t="s">
        <v>45</v>
      </c>
      <c r="L3711">
        <v>6</v>
      </c>
      <c r="M3711" t="s">
        <v>16102</v>
      </c>
      <c r="N3711" t="s">
        <v>47</v>
      </c>
      <c r="O3711" t="s">
        <v>9477</v>
      </c>
      <c r="P3711" t="s">
        <v>9477</v>
      </c>
      <c r="Y3711" t="s">
        <v>16103</v>
      </c>
    </row>
    <row r="3712" spans="1:25">
      <c r="A3712" t="s">
        <v>16104</v>
      </c>
      <c r="B3712" t="s">
        <v>16105</v>
      </c>
      <c r="D3712" t="s">
        <v>9473</v>
      </c>
      <c r="E3712" t="s">
        <v>9474</v>
      </c>
      <c r="J3712" t="s">
        <v>90</v>
      </c>
      <c r="K3712" t="s">
        <v>91</v>
      </c>
      <c r="L3712">
        <v>6</v>
      </c>
      <c r="M3712" t="s">
        <v>16102</v>
      </c>
      <c r="N3712" t="s">
        <v>47</v>
      </c>
      <c r="O3712" t="s">
        <v>9477</v>
      </c>
      <c r="P3712" t="s">
        <v>9477</v>
      </c>
      <c r="Y3712" t="s">
        <v>16106</v>
      </c>
    </row>
    <row r="3713" spans="1:25">
      <c r="A3713" t="s">
        <v>16107</v>
      </c>
      <c r="B3713" t="s">
        <v>16108</v>
      </c>
      <c r="D3713" t="s">
        <v>9473</v>
      </c>
      <c r="E3713" t="s">
        <v>9474</v>
      </c>
      <c r="J3713" t="s">
        <v>78</v>
      </c>
      <c r="K3713" t="s">
        <v>79</v>
      </c>
      <c r="L3713">
        <v>6</v>
      </c>
      <c r="M3713" t="s">
        <v>16102</v>
      </c>
      <c r="N3713" t="s">
        <v>47</v>
      </c>
      <c r="O3713" t="s">
        <v>9477</v>
      </c>
      <c r="P3713" t="s">
        <v>9477</v>
      </c>
      <c r="Y3713" t="s">
        <v>16109</v>
      </c>
    </row>
    <row r="3714" spans="1:25">
      <c r="A3714" t="s">
        <v>16110</v>
      </c>
      <c r="B3714" t="s">
        <v>16111</v>
      </c>
      <c r="D3714" t="s">
        <v>9473</v>
      </c>
      <c r="E3714" t="s">
        <v>9474</v>
      </c>
      <c r="J3714" t="s">
        <v>90</v>
      </c>
      <c r="K3714" t="s">
        <v>91</v>
      </c>
      <c r="L3714">
        <v>6</v>
      </c>
      <c r="M3714" t="s">
        <v>16102</v>
      </c>
      <c r="N3714" t="s">
        <v>47</v>
      </c>
      <c r="O3714" t="s">
        <v>9477</v>
      </c>
      <c r="P3714" t="s">
        <v>9477</v>
      </c>
      <c r="Y3714" t="s">
        <v>16112</v>
      </c>
    </row>
    <row r="3715" spans="1:25">
      <c r="A3715" t="s">
        <v>16113</v>
      </c>
      <c r="B3715" t="s">
        <v>16114</v>
      </c>
      <c r="D3715" t="s">
        <v>9473</v>
      </c>
      <c r="E3715" t="s">
        <v>9474</v>
      </c>
      <c r="H3715" t="s">
        <v>16115</v>
      </c>
      <c r="J3715" t="s">
        <v>133</v>
      </c>
      <c r="K3715" t="s">
        <v>134</v>
      </c>
      <c r="L3715">
        <v>6</v>
      </c>
      <c r="M3715" t="s">
        <v>16116</v>
      </c>
      <c r="N3715" t="s">
        <v>290</v>
      </c>
      <c r="O3715" t="s">
        <v>9477</v>
      </c>
      <c r="P3715" t="s">
        <v>9477</v>
      </c>
      <c r="Y3715" t="s">
        <v>16115</v>
      </c>
    </row>
    <row r="3716" spans="1:25">
      <c r="A3716" t="s">
        <v>16117</v>
      </c>
      <c r="B3716" t="s">
        <v>16118</v>
      </c>
      <c r="D3716" t="s">
        <v>9473</v>
      </c>
      <c r="E3716" t="s">
        <v>9474</v>
      </c>
      <c r="J3716" t="s">
        <v>90</v>
      </c>
      <c r="K3716" t="s">
        <v>91</v>
      </c>
      <c r="L3716">
        <v>6</v>
      </c>
      <c r="M3716" t="s">
        <v>16119</v>
      </c>
      <c r="N3716" t="s">
        <v>47</v>
      </c>
      <c r="O3716" t="s">
        <v>9477</v>
      </c>
      <c r="P3716" t="s">
        <v>9477</v>
      </c>
      <c r="Y3716" t="s">
        <v>16120</v>
      </c>
    </row>
    <row r="3717" spans="1:25">
      <c r="A3717" t="s">
        <v>16121</v>
      </c>
      <c r="B3717" t="s">
        <v>16122</v>
      </c>
      <c r="D3717" t="s">
        <v>9473</v>
      </c>
      <c r="E3717" t="s">
        <v>9474</v>
      </c>
      <c r="H3717" t="s">
        <v>16123</v>
      </c>
      <c r="J3717" t="s">
        <v>133</v>
      </c>
      <c r="K3717" t="s">
        <v>134</v>
      </c>
      <c r="L3717">
        <v>6</v>
      </c>
      <c r="M3717" t="s">
        <v>16124</v>
      </c>
      <c r="N3717" t="s">
        <v>290</v>
      </c>
      <c r="O3717" t="s">
        <v>9477</v>
      </c>
      <c r="P3717" t="s">
        <v>9477</v>
      </c>
      <c r="Y3717" t="s">
        <v>16123</v>
      </c>
    </row>
    <row r="3718" spans="1:25">
      <c r="A3718" t="s">
        <v>16125</v>
      </c>
      <c r="B3718" t="s">
        <v>16126</v>
      </c>
      <c r="D3718" t="s">
        <v>9473</v>
      </c>
      <c r="E3718" t="s">
        <v>9474</v>
      </c>
      <c r="H3718" t="s">
        <v>16127</v>
      </c>
      <c r="J3718" t="s">
        <v>90</v>
      </c>
      <c r="K3718" t="s">
        <v>91</v>
      </c>
      <c r="L3718">
        <v>6</v>
      </c>
      <c r="M3718" t="s">
        <v>16128</v>
      </c>
      <c r="N3718" t="s">
        <v>47</v>
      </c>
      <c r="O3718" t="s">
        <v>9477</v>
      </c>
      <c r="P3718" t="s">
        <v>9477</v>
      </c>
      <c r="Y3718" t="s">
        <v>16127</v>
      </c>
    </row>
    <row r="3719" spans="1:25">
      <c r="A3719" t="s">
        <v>16129</v>
      </c>
      <c r="B3719" t="s">
        <v>16130</v>
      </c>
      <c r="D3719" t="s">
        <v>9473</v>
      </c>
      <c r="E3719" t="s">
        <v>9474</v>
      </c>
      <c r="J3719" t="s">
        <v>497</v>
      </c>
      <c r="K3719" t="s">
        <v>498</v>
      </c>
      <c r="L3719">
        <v>6</v>
      </c>
      <c r="M3719" t="s">
        <v>16128</v>
      </c>
      <c r="N3719" t="s">
        <v>685</v>
      </c>
      <c r="O3719" t="s">
        <v>9477</v>
      </c>
      <c r="P3719" t="s">
        <v>9477</v>
      </c>
      <c r="Y3719" t="s">
        <v>16131</v>
      </c>
    </row>
    <row r="3720" spans="1:25">
      <c r="A3720" t="s">
        <v>16132</v>
      </c>
      <c r="B3720" t="s">
        <v>16133</v>
      </c>
      <c r="D3720" t="s">
        <v>9473</v>
      </c>
      <c r="E3720" t="s">
        <v>9474</v>
      </c>
      <c r="J3720" t="s">
        <v>90</v>
      </c>
      <c r="K3720" t="s">
        <v>91</v>
      </c>
      <c r="L3720">
        <v>6</v>
      </c>
      <c r="M3720" t="s">
        <v>16128</v>
      </c>
      <c r="N3720" t="s">
        <v>47</v>
      </c>
      <c r="O3720" t="s">
        <v>9477</v>
      </c>
      <c r="P3720" t="s">
        <v>9477</v>
      </c>
      <c r="Y3720" t="s">
        <v>16134</v>
      </c>
    </row>
    <row r="3721" spans="1:25">
      <c r="A3721" t="s">
        <v>16135</v>
      </c>
      <c r="B3721" t="s">
        <v>16136</v>
      </c>
      <c r="D3721" t="s">
        <v>9473</v>
      </c>
      <c r="E3721" t="s">
        <v>9474</v>
      </c>
      <c r="J3721" t="s">
        <v>78</v>
      </c>
      <c r="K3721" t="s">
        <v>79</v>
      </c>
      <c r="L3721">
        <v>6</v>
      </c>
      <c r="M3721" t="s">
        <v>16128</v>
      </c>
      <c r="N3721" t="s">
        <v>47</v>
      </c>
      <c r="O3721" t="s">
        <v>9477</v>
      </c>
      <c r="P3721" t="s">
        <v>9477</v>
      </c>
      <c r="Y3721" t="s">
        <v>16137</v>
      </c>
    </row>
    <row r="3722" spans="1:25">
      <c r="A3722" t="s">
        <v>16138</v>
      </c>
      <c r="B3722" t="s">
        <v>16139</v>
      </c>
      <c r="D3722" t="s">
        <v>9473</v>
      </c>
      <c r="E3722" t="s">
        <v>9474</v>
      </c>
      <c r="J3722" t="s">
        <v>90</v>
      </c>
      <c r="K3722" t="s">
        <v>91</v>
      </c>
      <c r="L3722">
        <v>6</v>
      </c>
      <c r="M3722" t="s">
        <v>16128</v>
      </c>
      <c r="N3722" t="s">
        <v>47</v>
      </c>
      <c r="O3722" t="s">
        <v>9477</v>
      </c>
      <c r="P3722" t="s">
        <v>9477</v>
      </c>
      <c r="Y3722" t="s">
        <v>16140</v>
      </c>
    </row>
    <row r="3723" spans="1:25">
      <c r="A3723" t="s">
        <v>16141</v>
      </c>
      <c r="B3723" t="s">
        <v>16142</v>
      </c>
      <c r="D3723" t="s">
        <v>9473</v>
      </c>
      <c r="E3723" t="s">
        <v>9474</v>
      </c>
      <c r="J3723" t="s">
        <v>371</v>
      </c>
      <c r="K3723" t="s">
        <v>372</v>
      </c>
      <c r="L3723">
        <v>6</v>
      </c>
      <c r="M3723" t="s">
        <v>16143</v>
      </c>
      <c r="N3723" t="s">
        <v>47</v>
      </c>
      <c r="O3723" t="s">
        <v>9477</v>
      </c>
      <c r="P3723" t="s">
        <v>9477</v>
      </c>
      <c r="Y3723" t="s">
        <v>16144</v>
      </c>
    </row>
    <row r="3724" spans="1:25">
      <c r="A3724" t="s">
        <v>16145</v>
      </c>
      <c r="B3724" t="s">
        <v>16146</v>
      </c>
      <c r="D3724" t="s">
        <v>9473</v>
      </c>
      <c r="E3724" t="s">
        <v>9474</v>
      </c>
      <c r="J3724" t="s">
        <v>54</v>
      </c>
      <c r="K3724" t="s">
        <v>55</v>
      </c>
      <c r="L3724">
        <v>6</v>
      </c>
      <c r="M3724" t="s">
        <v>16143</v>
      </c>
      <c r="N3724" t="s">
        <v>47</v>
      </c>
      <c r="O3724" t="s">
        <v>9477</v>
      </c>
      <c r="P3724" t="s">
        <v>9477</v>
      </c>
      <c r="Y3724" t="s">
        <v>16147</v>
      </c>
    </row>
    <row r="3725" spans="1:25">
      <c r="A3725" t="s">
        <v>16148</v>
      </c>
      <c r="B3725" t="s">
        <v>16149</v>
      </c>
      <c r="D3725" t="s">
        <v>9473</v>
      </c>
      <c r="E3725" t="s">
        <v>9474</v>
      </c>
      <c r="H3725" t="s">
        <v>16150</v>
      </c>
      <c r="J3725" t="s">
        <v>353</v>
      </c>
      <c r="K3725" t="s">
        <v>354</v>
      </c>
      <c r="L3725">
        <v>7</v>
      </c>
      <c r="M3725" t="s">
        <v>16151</v>
      </c>
      <c r="N3725" t="s">
        <v>685</v>
      </c>
      <c r="O3725" t="s">
        <v>9477</v>
      </c>
      <c r="P3725" t="s">
        <v>9477</v>
      </c>
      <c r="Y3725" t="s">
        <v>16150</v>
      </c>
    </row>
    <row r="3726" spans="1:25">
      <c r="A3726" t="s">
        <v>16152</v>
      </c>
      <c r="B3726" t="s">
        <v>16153</v>
      </c>
      <c r="D3726" t="s">
        <v>9473</v>
      </c>
      <c r="E3726" t="s">
        <v>9474</v>
      </c>
      <c r="J3726" t="s">
        <v>54</v>
      </c>
      <c r="K3726" t="s">
        <v>55</v>
      </c>
      <c r="L3726">
        <v>6</v>
      </c>
      <c r="M3726" t="s">
        <v>16154</v>
      </c>
      <c r="N3726" t="s">
        <v>47</v>
      </c>
      <c r="O3726" t="s">
        <v>9477</v>
      </c>
      <c r="P3726" t="s">
        <v>9477</v>
      </c>
      <c r="Y3726" t="s">
        <v>16155</v>
      </c>
    </row>
    <row r="3727" spans="1:25">
      <c r="A3727" t="s">
        <v>16156</v>
      </c>
      <c r="B3727" t="s">
        <v>16157</v>
      </c>
      <c r="D3727" t="s">
        <v>9473</v>
      </c>
      <c r="E3727" t="s">
        <v>9474</v>
      </c>
      <c r="J3727" t="s">
        <v>90</v>
      </c>
      <c r="K3727" t="s">
        <v>91</v>
      </c>
      <c r="L3727">
        <v>6</v>
      </c>
      <c r="M3727" t="s">
        <v>16154</v>
      </c>
      <c r="N3727" t="s">
        <v>47</v>
      </c>
      <c r="O3727" t="s">
        <v>9477</v>
      </c>
      <c r="P3727" t="s">
        <v>9477</v>
      </c>
      <c r="Y3727" t="s">
        <v>16158</v>
      </c>
    </row>
    <row r="3728" spans="1:25">
      <c r="A3728" t="s">
        <v>16159</v>
      </c>
      <c r="B3728" t="s">
        <v>16160</v>
      </c>
      <c r="D3728" t="s">
        <v>9473</v>
      </c>
      <c r="E3728" t="s">
        <v>9474</v>
      </c>
      <c r="J3728" t="s">
        <v>78</v>
      </c>
      <c r="K3728" t="s">
        <v>79</v>
      </c>
      <c r="L3728">
        <v>6</v>
      </c>
      <c r="M3728" t="s">
        <v>16154</v>
      </c>
      <c r="N3728" t="s">
        <v>47</v>
      </c>
      <c r="O3728" t="s">
        <v>9477</v>
      </c>
      <c r="P3728" t="s">
        <v>9477</v>
      </c>
      <c r="Y3728" t="s">
        <v>16161</v>
      </c>
    </row>
    <row r="3729" spans="1:25">
      <c r="A3729" t="s">
        <v>16162</v>
      </c>
      <c r="B3729" t="s">
        <v>16163</v>
      </c>
      <c r="D3729" t="s">
        <v>9473</v>
      </c>
      <c r="E3729" t="s">
        <v>9474</v>
      </c>
      <c r="H3729" t="s">
        <v>16164</v>
      </c>
      <c r="J3729" t="s">
        <v>78</v>
      </c>
      <c r="K3729" t="s">
        <v>79</v>
      </c>
      <c r="L3729">
        <v>6</v>
      </c>
      <c r="M3729" t="s">
        <v>16165</v>
      </c>
      <c r="N3729" t="s">
        <v>47</v>
      </c>
      <c r="O3729" t="s">
        <v>9477</v>
      </c>
      <c r="P3729" t="s">
        <v>9477</v>
      </c>
      <c r="Y3729" t="s">
        <v>16164</v>
      </c>
    </row>
    <row r="3730" spans="1:25">
      <c r="A3730" t="s">
        <v>16166</v>
      </c>
      <c r="B3730" t="s">
        <v>16167</v>
      </c>
      <c r="D3730" t="s">
        <v>9473</v>
      </c>
      <c r="E3730" t="s">
        <v>9474</v>
      </c>
      <c r="H3730" t="s">
        <v>16168</v>
      </c>
      <c r="J3730" t="s">
        <v>78</v>
      </c>
      <c r="K3730" t="s">
        <v>79</v>
      </c>
      <c r="L3730">
        <v>6</v>
      </c>
      <c r="M3730" t="s">
        <v>16165</v>
      </c>
      <c r="N3730" t="s">
        <v>47</v>
      </c>
      <c r="O3730" t="s">
        <v>9477</v>
      </c>
      <c r="P3730" t="s">
        <v>9477</v>
      </c>
      <c r="Y3730" t="s">
        <v>16168</v>
      </c>
    </row>
    <row r="3731" spans="1:25">
      <c r="A3731" t="s">
        <v>16169</v>
      </c>
      <c r="B3731" t="s">
        <v>16170</v>
      </c>
      <c r="D3731" t="s">
        <v>9473</v>
      </c>
      <c r="E3731" t="s">
        <v>9474</v>
      </c>
      <c r="J3731" t="s">
        <v>90</v>
      </c>
      <c r="K3731" t="s">
        <v>91</v>
      </c>
      <c r="L3731">
        <v>6</v>
      </c>
      <c r="M3731" t="s">
        <v>16165</v>
      </c>
      <c r="N3731" t="s">
        <v>47</v>
      </c>
      <c r="O3731" t="s">
        <v>9477</v>
      </c>
      <c r="P3731" t="s">
        <v>9477</v>
      </c>
      <c r="Y3731" t="s">
        <v>16171</v>
      </c>
    </row>
    <row r="3732" spans="1:25">
      <c r="A3732" t="s">
        <v>16172</v>
      </c>
      <c r="B3732" t="s">
        <v>16173</v>
      </c>
      <c r="D3732" t="s">
        <v>9473</v>
      </c>
      <c r="E3732" t="s">
        <v>9474</v>
      </c>
      <c r="J3732" t="s">
        <v>90</v>
      </c>
      <c r="K3732" t="s">
        <v>91</v>
      </c>
      <c r="L3732">
        <v>6</v>
      </c>
      <c r="M3732" t="s">
        <v>16165</v>
      </c>
      <c r="N3732" t="s">
        <v>47</v>
      </c>
      <c r="O3732" t="s">
        <v>9477</v>
      </c>
      <c r="P3732" t="s">
        <v>9477</v>
      </c>
      <c r="Y3732" t="s">
        <v>16174</v>
      </c>
    </row>
    <row r="3733" spans="1:25">
      <c r="A3733" t="s">
        <v>16175</v>
      </c>
      <c r="B3733" t="s">
        <v>16176</v>
      </c>
      <c r="D3733" t="s">
        <v>9473</v>
      </c>
      <c r="E3733" t="s">
        <v>9474</v>
      </c>
      <c r="H3733" t="s">
        <v>16177</v>
      </c>
      <c r="J3733" t="s">
        <v>133</v>
      </c>
      <c r="K3733" t="s">
        <v>134</v>
      </c>
      <c r="L3733">
        <v>6</v>
      </c>
      <c r="M3733" t="s">
        <v>16178</v>
      </c>
      <c r="N3733" t="s">
        <v>290</v>
      </c>
      <c r="O3733" t="s">
        <v>9477</v>
      </c>
      <c r="P3733" t="s">
        <v>9477</v>
      </c>
      <c r="Y3733" t="s">
        <v>16177</v>
      </c>
    </row>
    <row r="3734" spans="1:25">
      <c r="A3734" t="s">
        <v>16179</v>
      </c>
      <c r="B3734" t="s">
        <v>16180</v>
      </c>
      <c r="D3734" t="s">
        <v>9473</v>
      </c>
      <c r="E3734" t="s">
        <v>9474</v>
      </c>
      <c r="H3734" t="s">
        <v>16181</v>
      </c>
      <c r="J3734" t="s">
        <v>497</v>
      </c>
      <c r="K3734" t="s">
        <v>498</v>
      </c>
      <c r="L3734">
        <v>6</v>
      </c>
      <c r="M3734" t="s">
        <v>16182</v>
      </c>
      <c r="N3734" t="s">
        <v>135</v>
      </c>
      <c r="O3734" t="s">
        <v>9477</v>
      </c>
      <c r="P3734" t="s">
        <v>9477</v>
      </c>
      <c r="Y3734" t="s">
        <v>16181</v>
      </c>
    </row>
    <row r="3735" spans="1:25">
      <c r="A3735" t="s">
        <v>16183</v>
      </c>
      <c r="B3735" t="s">
        <v>16184</v>
      </c>
      <c r="D3735" t="s">
        <v>9473</v>
      </c>
      <c r="E3735" t="s">
        <v>9474</v>
      </c>
      <c r="H3735" t="s">
        <v>16185</v>
      </c>
      <c r="J3735" t="s">
        <v>44</v>
      </c>
      <c r="K3735" t="s">
        <v>45</v>
      </c>
      <c r="L3735">
        <v>6</v>
      </c>
      <c r="M3735" t="s">
        <v>16186</v>
      </c>
      <c r="N3735" t="s">
        <v>47</v>
      </c>
      <c r="O3735" t="s">
        <v>9477</v>
      </c>
      <c r="P3735" t="s">
        <v>9477</v>
      </c>
      <c r="Y3735" t="s">
        <v>16185</v>
      </c>
    </row>
    <row r="3736" spans="1:25">
      <c r="A3736" t="s">
        <v>16187</v>
      </c>
      <c r="B3736" t="s">
        <v>16188</v>
      </c>
      <c r="D3736" t="s">
        <v>9473</v>
      </c>
      <c r="E3736" t="s">
        <v>9474</v>
      </c>
      <c r="H3736" t="s">
        <v>16189</v>
      </c>
      <c r="J3736" t="s">
        <v>78</v>
      </c>
      <c r="K3736" t="s">
        <v>79</v>
      </c>
      <c r="L3736">
        <v>6</v>
      </c>
      <c r="M3736" t="s">
        <v>16190</v>
      </c>
      <c r="N3736" t="s">
        <v>47</v>
      </c>
      <c r="O3736" t="s">
        <v>9477</v>
      </c>
      <c r="P3736" t="s">
        <v>9477</v>
      </c>
      <c r="Y3736" t="s">
        <v>16189</v>
      </c>
    </row>
    <row r="3737" spans="1:25">
      <c r="A3737" t="s">
        <v>16191</v>
      </c>
      <c r="B3737" t="s">
        <v>16192</v>
      </c>
      <c r="D3737" t="s">
        <v>9473</v>
      </c>
      <c r="E3737" t="s">
        <v>9474</v>
      </c>
      <c r="J3737" t="s">
        <v>133</v>
      </c>
      <c r="K3737" t="s">
        <v>134</v>
      </c>
      <c r="L3737">
        <v>6</v>
      </c>
      <c r="M3737" t="s">
        <v>16190</v>
      </c>
      <c r="N3737" t="s">
        <v>135</v>
      </c>
      <c r="O3737" t="s">
        <v>9477</v>
      </c>
      <c r="P3737" t="s">
        <v>9477</v>
      </c>
      <c r="Y3737" t="s">
        <v>16193</v>
      </c>
    </row>
    <row r="3738" spans="1:25">
      <c r="A3738" t="s">
        <v>16194</v>
      </c>
      <c r="B3738" t="s">
        <v>16195</v>
      </c>
      <c r="D3738" t="s">
        <v>9473</v>
      </c>
      <c r="E3738" t="s">
        <v>9474</v>
      </c>
      <c r="H3738" t="s">
        <v>16196</v>
      </c>
      <c r="J3738" t="s">
        <v>78</v>
      </c>
      <c r="K3738" t="s">
        <v>79</v>
      </c>
      <c r="L3738">
        <v>6</v>
      </c>
      <c r="M3738" t="s">
        <v>16190</v>
      </c>
      <c r="N3738" t="s">
        <v>47</v>
      </c>
      <c r="O3738" t="s">
        <v>9477</v>
      </c>
      <c r="P3738" t="s">
        <v>9477</v>
      </c>
      <c r="Y3738" t="s">
        <v>16196</v>
      </c>
    </row>
    <row r="3739" spans="1:25">
      <c r="A3739" t="s">
        <v>16197</v>
      </c>
      <c r="B3739" t="s">
        <v>16198</v>
      </c>
      <c r="D3739" t="s">
        <v>9473</v>
      </c>
      <c r="E3739" t="s">
        <v>9474</v>
      </c>
      <c r="J3739" t="s">
        <v>90</v>
      </c>
      <c r="K3739" t="s">
        <v>91</v>
      </c>
      <c r="L3739">
        <v>6</v>
      </c>
      <c r="M3739" t="s">
        <v>16199</v>
      </c>
      <c r="N3739" t="s">
        <v>47</v>
      </c>
      <c r="O3739" t="s">
        <v>9477</v>
      </c>
      <c r="P3739" t="s">
        <v>9477</v>
      </c>
      <c r="Y3739" t="s">
        <v>16200</v>
      </c>
    </row>
    <row r="3740" spans="1:25">
      <c r="A3740" t="s">
        <v>16201</v>
      </c>
      <c r="B3740" t="s">
        <v>16202</v>
      </c>
      <c r="D3740" t="s">
        <v>9473</v>
      </c>
      <c r="E3740" t="s">
        <v>9474</v>
      </c>
      <c r="J3740" t="s">
        <v>133</v>
      </c>
      <c r="K3740" t="s">
        <v>134</v>
      </c>
      <c r="L3740">
        <v>6</v>
      </c>
      <c r="M3740" t="s">
        <v>16199</v>
      </c>
      <c r="N3740" t="s">
        <v>290</v>
      </c>
      <c r="O3740" t="s">
        <v>9477</v>
      </c>
      <c r="P3740" t="s">
        <v>9477</v>
      </c>
      <c r="Y3740" t="s">
        <v>16203</v>
      </c>
    </row>
    <row r="3741" spans="1:25">
      <c r="A3741" t="s">
        <v>16204</v>
      </c>
      <c r="B3741" t="s">
        <v>16205</v>
      </c>
      <c r="D3741" t="s">
        <v>9473</v>
      </c>
      <c r="E3741" t="s">
        <v>9474</v>
      </c>
      <c r="H3741" t="s">
        <v>16206</v>
      </c>
      <c r="J3741" t="s">
        <v>133</v>
      </c>
      <c r="K3741" t="s">
        <v>134</v>
      </c>
      <c r="L3741">
        <v>6</v>
      </c>
      <c r="M3741" t="s">
        <v>16207</v>
      </c>
      <c r="N3741" t="s">
        <v>685</v>
      </c>
      <c r="O3741" t="s">
        <v>9477</v>
      </c>
      <c r="P3741" t="s">
        <v>9477</v>
      </c>
      <c r="Y3741" t="s">
        <v>16206</v>
      </c>
    </row>
    <row r="3742" spans="1:25">
      <c r="A3742" t="s">
        <v>16208</v>
      </c>
      <c r="B3742" t="s">
        <v>16209</v>
      </c>
      <c r="D3742" t="s">
        <v>9473</v>
      </c>
      <c r="E3742" t="s">
        <v>9474</v>
      </c>
      <c r="H3742" t="s">
        <v>16210</v>
      </c>
      <c r="J3742" t="s">
        <v>234</v>
      </c>
      <c r="K3742" t="s">
        <v>235</v>
      </c>
      <c r="L3742">
        <v>6</v>
      </c>
      <c r="M3742" t="s">
        <v>16211</v>
      </c>
      <c r="N3742" t="s">
        <v>47</v>
      </c>
      <c r="O3742" t="s">
        <v>9477</v>
      </c>
      <c r="P3742" t="s">
        <v>9477</v>
      </c>
      <c r="Y3742" t="s">
        <v>16210</v>
      </c>
    </row>
    <row r="3743" spans="1:25">
      <c r="A3743" t="s">
        <v>16212</v>
      </c>
      <c r="B3743" t="s">
        <v>16213</v>
      </c>
      <c r="D3743" t="s">
        <v>9473</v>
      </c>
      <c r="E3743" t="s">
        <v>9474</v>
      </c>
      <c r="H3743" t="s">
        <v>16214</v>
      </c>
      <c r="J3743" t="s">
        <v>234</v>
      </c>
      <c r="K3743" t="s">
        <v>235</v>
      </c>
      <c r="L3743">
        <v>6</v>
      </c>
      <c r="M3743" t="s">
        <v>16215</v>
      </c>
      <c r="N3743" t="s">
        <v>47</v>
      </c>
      <c r="O3743" t="s">
        <v>9477</v>
      </c>
      <c r="P3743" t="s">
        <v>9477</v>
      </c>
      <c r="Y3743" t="s">
        <v>16214</v>
      </c>
    </row>
    <row r="3744" spans="1:25">
      <c r="A3744" t="s">
        <v>16216</v>
      </c>
      <c r="B3744" t="s">
        <v>16217</v>
      </c>
      <c r="D3744" t="s">
        <v>9473</v>
      </c>
      <c r="E3744" t="s">
        <v>9474</v>
      </c>
      <c r="H3744" t="s">
        <v>16218</v>
      </c>
      <c r="J3744" t="s">
        <v>133</v>
      </c>
      <c r="K3744" t="s">
        <v>134</v>
      </c>
      <c r="L3744">
        <v>6</v>
      </c>
      <c r="M3744" t="s">
        <v>16219</v>
      </c>
      <c r="N3744" t="s">
        <v>135</v>
      </c>
      <c r="O3744" t="s">
        <v>9477</v>
      </c>
      <c r="P3744" t="s">
        <v>9477</v>
      </c>
      <c r="Y3744" t="s">
        <v>16218</v>
      </c>
    </row>
    <row r="3745" spans="1:25">
      <c r="A3745" t="s">
        <v>16220</v>
      </c>
      <c r="B3745" t="s">
        <v>16221</v>
      </c>
      <c r="D3745" t="s">
        <v>9473</v>
      </c>
      <c r="E3745" t="s">
        <v>9474</v>
      </c>
      <c r="J3745" t="s">
        <v>78</v>
      </c>
      <c r="K3745" t="s">
        <v>79</v>
      </c>
      <c r="L3745">
        <v>6</v>
      </c>
      <c r="M3745" t="s">
        <v>16219</v>
      </c>
      <c r="N3745" t="s">
        <v>47</v>
      </c>
      <c r="O3745" t="s">
        <v>9477</v>
      </c>
      <c r="P3745" t="s">
        <v>9477</v>
      </c>
      <c r="Y3745" t="s">
        <v>16222</v>
      </c>
    </row>
    <row r="3746" spans="1:25">
      <c r="A3746" t="s">
        <v>16223</v>
      </c>
      <c r="B3746" t="s">
        <v>16224</v>
      </c>
      <c r="D3746" t="s">
        <v>9473</v>
      </c>
      <c r="E3746" t="s">
        <v>9474</v>
      </c>
      <c r="J3746" t="s">
        <v>133</v>
      </c>
      <c r="K3746" t="s">
        <v>134</v>
      </c>
      <c r="L3746">
        <v>6</v>
      </c>
      <c r="M3746" t="s">
        <v>16225</v>
      </c>
      <c r="N3746" t="s">
        <v>290</v>
      </c>
      <c r="O3746" t="s">
        <v>9477</v>
      </c>
      <c r="P3746" t="s">
        <v>9477</v>
      </c>
      <c r="Y3746" t="s">
        <v>16226</v>
      </c>
    </row>
    <row r="3747" spans="1:25">
      <c r="A3747" t="s">
        <v>16227</v>
      </c>
      <c r="B3747" t="s">
        <v>16228</v>
      </c>
      <c r="D3747" t="s">
        <v>9473</v>
      </c>
      <c r="E3747" t="s">
        <v>9474</v>
      </c>
      <c r="H3747" t="s">
        <v>16229</v>
      </c>
      <c r="J3747" t="s">
        <v>44</v>
      </c>
      <c r="K3747" t="s">
        <v>45</v>
      </c>
      <c r="L3747">
        <v>6</v>
      </c>
      <c r="M3747" t="s">
        <v>16230</v>
      </c>
      <c r="N3747" t="s">
        <v>47</v>
      </c>
      <c r="O3747" t="s">
        <v>9477</v>
      </c>
      <c r="P3747" t="s">
        <v>9477</v>
      </c>
      <c r="Y3747" t="s">
        <v>16229</v>
      </c>
    </row>
    <row r="3748" spans="1:25">
      <c r="A3748" t="s">
        <v>16231</v>
      </c>
      <c r="B3748" t="s">
        <v>16232</v>
      </c>
      <c r="D3748" t="s">
        <v>9473</v>
      </c>
      <c r="E3748" t="s">
        <v>9474</v>
      </c>
      <c r="J3748" t="s">
        <v>44</v>
      </c>
      <c r="K3748" t="s">
        <v>45</v>
      </c>
      <c r="L3748">
        <v>6</v>
      </c>
      <c r="M3748" t="s">
        <v>16230</v>
      </c>
      <c r="N3748" t="s">
        <v>47</v>
      </c>
      <c r="O3748" t="s">
        <v>9477</v>
      </c>
      <c r="P3748" t="s">
        <v>9477</v>
      </c>
      <c r="Y3748" t="s">
        <v>16233</v>
      </c>
    </row>
    <row r="3749" spans="1:25">
      <c r="A3749" t="s">
        <v>16234</v>
      </c>
      <c r="B3749" t="s">
        <v>16235</v>
      </c>
      <c r="D3749" t="s">
        <v>9473</v>
      </c>
      <c r="E3749" t="s">
        <v>9474</v>
      </c>
      <c r="J3749" t="s">
        <v>54</v>
      </c>
      <c r="K3749" t="s">
        <v>55</v>
      </c>
      <c r="L3749">
        <v>6</v>
      </c>
      <c r="M3749" t="s">
        <v>16230</v>
      </c>
      <c r="N3749" t="s">
        <v>47</v>
      </c>
      <c r="O3749" t="s">
        <v>9477</v>
      </c>
      <c r="P3749" t="s">
        <v>9477</v>
      </c>
      <c r="Y3749" t="s">
        <v>16236</v>
      </c>
    </row>
    <row r="3750" spans="1:25">
      <c r="A3750" t="s">
        <v>16237</v>
      </c>
      <c r="B3750" t="s">
        <v>16238</v>
      </c>
      <c r="D3750" t="s">
        <v>9473</v>
      </c>
      <c r="E3750" t="s">
        <v>9474</v>
      </c>
      <c r="H3750" t="s">
        <v>16239</v>
      </c>
      <c r="J3750" t="s">
        <v>44</v>
      </c>
      <c r="K3750" t="s">
        <v>45</v>
      </c>
      <c r="L3750">
        <v>6</v>
      </c>
      <c r="M3750" t="s">
        <v>16240</v>
      </c>
      <c r="N3750" t="s">
        <v>47</v>
      </c>
      <c r="O3750" t="s">
        <v>9477</v>
      </c>
      <c r="P3750" t="s">
        <v>9477</v>
      </c>
      <c r="Y3750" t="s">
        <v>16239</v>
      </c>
    </row>
    <row r="3751" spans="1:25">
      <c r="A3751" t="s">
        <v>16241</v>
      </c>
      <c r="B3751" t="s">
        <v>16242</v>
      </c>
      <c r="D3751" t="s">
        <v>9473</v>
      </c>
      <c r="E3751" t="s">
        <v>9474</v>
      </c>
      <c r="J3751" t="s">
        <v>44</v>
      </c>
      <c r="K3751" t="s">
        <v>45</v>
      </c>
      <c r="L3751">
        <v>6</v>
      </c>
      <c r="M3751" t="s">
        <v>16243</v>
      </c>
      <c r="N3751" t="s">
        <v>47</v>
      </c>
      <c r="O3751" t="s">
        <v>9477</v>
      </c>
      <c r="P3751" t="s">
        <v>9477</v>
      </c>
      <c r="Y3751" t="s">
        <v>16244</v>
      </c>
    </row>
    <row r="3752" spans="1:25">
      <c r="A3752" t="s">
        <v>16245</v>
      </c>
      <c r="B3752" t="s">
        <v>16246</v>
      </c>
      <c r="D3752" t="s">
        <v>9473</v>
      </c>
      <c r="E3752" t="s">
        <v>9474</v>
      </c>
      <c r="J3752" t="s">
        <v>90</v>
      </c>
      <c r="K3752" t="s">
        <v>91</v>
      </c>
      <c r="L3752">
        <v>6</v>
      </c>
      <c r="M3752" t="s">
        <v>16247</v>
      </c>
      <c r="N3752" t="s">
        <v>47</v>
      </c>
      <c r="O3752" t="s">
        <v>9477</v>
      </c>
      <c r="P3752" t="s">
        <v>9477</v>
      </c>
      <c r="Y3752" t="s">
        <v>16248</v>
      </c>
    </row>
    <row r="3753" spans="1:25">
      <c r="A3753" t="s">
        <v>16249</v>
      </c>
      <c r="B3753" t="s">
        <v>16250</v>
      </c>
      <c r="D3753" t="s">
        <v>9473</v>
      </c>
      <c r="E3753" t="s">
        <v>9474</v>
      </c>
      <c r="H3753" t="s">
        <v>16251</v>
      </c>
      <c r="J3753" t="s">
        <v>133</v>
      </c>
      <c r="K3753" t="s">
        <v>134</v>
      </c>
      <c r="L3753">
        <v>6</v>
      </c>
      <c r="M3753" t="s">
        <v>16252</v>
      </c>
      <c r="N3753" t="s">
        <v>135</v>
      </c>
      <c r="O3753" t="s">
        <v>9477</v>
      </c>
      <c r="P3753" t="s">
        <v>9477</v>
      </c>
      <c r="Y3753" t="s">
        <v>16251</v>
      </c>
    </row>
    <row r="3754" spans="1:25">
      <c r="A3754" t="s">
        <v>16253</v>
      </c>
      <c r="B3754" t="s">
        <v>16254</v>
      </c>
      <c r="D3754" t="s">
        <v>9473</v>
      </c>
      <c r="E3754" t="s">
        <v>9474</v>
      </c>
      <c r="J3754" t="s">
        <v>54</v>
      </c>
      <c r="K3754" t="s">
        <v>55</v>
      </c>
      <c r="L3754">
        <v>6</v>
      </c>
      <c r="M3754" t="s">
        <v>16252</v>
      </c>
      <c r="N3754" t="s">
        <v>47</v>
      </c>
      <c r="O3754" t="s">
        <v>9477</v>
      </c>
      <c r="P3754" t="s">
        <v>9477</v>
      </c>
      <c r="Y3754" t="s">
        <v>16255</v>
      </c>
    </row>
    <row r="3755" spans="1:25">
      <c r="A3755" t="s">
        <v>16256</v>
      </c>
      <c r="B3755" t="s">
        <v>16257</v>
      </c>
      <c r="D3755" t="s">
        <v>9473</v>
      </c>
      <c r="E3755" t="s">
        <v>9474</v>
      </c>
      <c r="J3755" t="s">
        <v>90</v>
      </c>
      <c r="K3755" t="s">
        <v>91</v>
      </c>
      <c r="L3755">
        <v>6</v>
      </c>
      <c r="M3755" t="s">
        <v>16252</v>
      </c>
      <c r="N3755" t="s">
        <v>47</v>
      </c>
      <c r="O3755" t="s">
        <v>9477</v>
      </c>
      <c r="P3755" t="s">
        <v>9477</v>
      </c>
      <c r="Y3755" t="s">
        <v>16258</v>
      </c>
    </row>
    <row r="3756" spans="1:25">
      <c r="A3756" t="s">
        <v>16259</v>
      </c>
      <c r="B3756" t="s">
        <v>16260</v>
      </c>
      <c r="D3756" t="s">
        <v>9473</v>
      </c>
      <c r="E3756" t="s">
        <v>9474</v>
      </c>
      <c r="J3756" t="s">
        <v>90</v>
      </c>
      <c r="K3756" t="s">
        <v>91</v>
      </c>
      <c r="L3756">
        <v>6</v>
      </c>
      <c r="M3756" t="s">
        <v>16261</v>
      </c>
      <c r="N3756" t="s">
        <v>47</v>
      </c>
      <c r="O3756" t="s">
        <v>9477</v>
      </c>
      <c r="P3756" t="s">
        <v>9477</v>
      </c>
      <c r="Y3756" t="s">
        <v>16262</v>
      </c>
    </row>
    <row r="3757" spans="1:25">
      <c r="A3757" t="s">
        <v>16263</v>
      </c>
      <c r="B3757" t="s">
        <v>16264</v>
      </c>
      <c r="D3757" t="s">
        <v>9473</v>
      </c>
      <c r="E3757" t="s">
        <v>9474</v>
      </c>
      <c r="H3757" t="s">
        <v>16265</v>
      </c>
      <c r="J3757" t="s">
        <v>90</v>
      </c>
      <c r="K3757" t="s">
        <v>91</v>
      </c>
      <c r="L3757">
        <v>6</v>
      </c>
      <c r="M3757" t="s">
        <v>16261</v>
      </c>
      <c r="N3757" t="s">
        <v>47</v>
      </c>
      <c r="O3757" t="s">
        <v>9477</v>
      </c>
      <c r="P3757" t="s">
        <v>9477</v>
      </c>
      <c r="Y3757" t="s">
        <v>16265</v>
      </c>
    </row>
    <row r="3758" spans="1:25">
      <c r="A3758" t="s">
        <v>16266</v>
      </c>
      <c r="B3758" t="s">
        <v>16267</v>
      </c>
      <c r="D3758" t="s">
        <v>9473</v>
      </c>
      <c r="E3758" t="s">
        <v>9474</v>
      </c>
      <c r="H3758" t="s">
        <v>16268</v>
      </c>
      <c r="J3758" t="s">
        <v>90</v>
      </c>
      <c r="K3758" t="s">
        <v>91</v>
      </c>
      <c r="L3758">
        <v>6</v>
      </c>
      <c r="M3758" t="s">
        <v>16261</v>
      </c>
      <c r="N3758" t="s">
        <v>47</v>
      </c>
      <c r="O3758" t="s">
        <v>9477</v>
      </c>
      <c r="P3758" t="s">
        <v>9477</v>
      </c>
      <c r="Y3758" t="s">
        <v>16268</v>
      </c>
    </row>
    <row r="3759" spans="1:25">
      <c r="A3759" t="s">
        <v>16269</v>
      </c>
      <c r="B3759" t="s">
        <v>16270</v>
      </c>
      <c r="D3759" t="s">
        <v>9473</v>
      </c>
      <c r="E3759" t="s">
        <v>9474</v>
      </c>
      <c r="J3759" t="s">
        <v>90</v>
      </c>
      <c r="K3759" t="s">
        <v>91</v>
      </c>
      <c r="L3759">
        <v>6</v>
      </c>
      <c r="M3759" t="s">
        <v>16261</v>
      </c>
      <c r="N3759" t="s">
        <v>47</v>
      </c>
      <c r="O3759" t="s">
        <v>9477</v>
      </c>
      <c r="P3759" t="s">
        <v>9477</v>
      </c>
      <c r="Y3759" t="s">
        <v>16271</v>
      </c>
    </row>
    <row r="3760" spans="1:25">
      <c r="A3760" t="s">
        <v>16272</v>
      </c>
      <c r="B3760" t="s">
        <v>16273</v>
      </c>
      <c r="D3760" t="s">
        <v>9473</v>
      </c>
      <c r="E3760" t="s">
        <v>9474</v>
      </c>
      <c r="H3760" t="s">
        <v>16274</v>
      </c>
      <c r="J3760" t="s">
        <v>78</v>
      </c>
      <c r="K3760" t="s">
        <v>79</v>
      </c>
      <c r="L3760">
        <v>6</v>
      </c>
      <c r="M3760" t="s">
        <v>16275</v>
      </c>
      <c r="N3760" t="s">
        <v>47</v>
      </c>
      <c r="O3760" t="s">
        <v>9477</v>
      </c>
      <c r="P3760" t="s">
        <v>9477</v>
      </c>
      <c r="Y3760" t="s">
        <v>16274</v>
      </c>
    </row>
    <row r="3761" spans="1:25">
      <c r="A3761" t="s">
        <v>16276</v>
      </c>
      <c r="B3761" t="s">
        <v>16277</v>
      </c>
      <c r="D3761" t="s">
        <v>9473</v>
      </c>
      <c r="E3761" t="s">
        <v>9474</v>
      </c>
      <c r="J3761" t="s">
        <v>44</v>
      </c>
      <c r="K3761" t="s">
        <v>45</v>
      </c>
      <c r="L3761">
        <v>6</v>
      </c>
      <c r="M3761" t="s">
        <v>16278</v>
      </c>
      <c r="N3761" t="s">
        <v>47</v>
      </c>
      <c r="O3761" t="s">
        <v>9477</v>
      </c>
      <c r="P3761" t="s">
        <v>9477</v>
      </c>
      <c r="Y3761" t="s">
        <v>16279</v>
      </c>
    </row>
    <row r="3762" spans="1:25">
      <c r="A3762" t="s">
        <v>16280</v>
      </c>
      <c r="B3762" t="s">
        <v>16281</v>
      </c>
      <c r="D3762" t="s">
        <v>9473</v>
      </c>
      <c r="E3762" t="s">
        <v>9474</v>
      </c>
      <c r="H3762" t="s">
        <v>16282</v>
      </c>
      <c r="J3762" t="s">
        <v>133</v>
      </c>
      <c r="K3762" t="s">
        <v>134</v>
      </c>
      <c r="L3762">
        <v>6</v>
      </c>
      <c r="M3762" t="s">
        <v>16283</v>
      </c>
      <c r="N3762" t="s">
        <v>290</v>
      </c>
      <c r="O3762" t="s">
        <v>9477</v>
      </c>
      <c r="P3762" t="s">
        <v>9477</v>
      </c>
      <c r="Y3762" t="s">
        <v>16282</v>
      </c>
    </row>
    <row r="3763" spans="1:25">
      <c r="A3763" t="s">
        <v>16284</v>
      </c>
      <c r="B3763" t="s">
        <v>16285</v>
      </c>
      <c r="D3763" t="s">
        <v>9473</v>
      </c>
      <c r="E3763" t="s">
        <v>9474</v>
      </c>
      <c r="H3763" t="s">
        <v>16286</v>
      </c>
      <c r="J3763" t="s">
        <v>90</v>
      </c>
      <c r="K3763" t="s">
        <v>91</v>
      </c>
      <c r="L3763">
        <v>6</v>
      </c>
      <c r="M3763" t="s">
        <v>16287</v>
      </c>
      <c r="N3763" t="s">
        <v>47</v>
      </c>
      <c r="O3763" t="s">
        <v>9477</v>
      </c>
      <c r="P3763" t="s">
        <v>9477</v>
      </c>
      <c r="Y3763" t="s">
        <v>16286</v>
      </c>
    </row>
    <row r="3764" spans="1:25">
      <c r="A3764" t="s">
        <v>16288</v>
      </c>
      <c r="B3764" t="s">
        <v>16289</v>
      </c>
      <c r="D3764" t="s">
        <v>9473</v>
      </c>
      <c r="E3764" t="s">
        <v>9474</v>
      </c>
      <c r="J3764" t="s">
        <v>371</v>
      </c>
      <c r="K3764" t="s">
        <v>372</v>
      </c>
      <c r="L3764">
        <v>6</v>
      </c>
      <c r="M3764" t="s">
        <v>16287</v>
      </c>
      <c r="N3764" t="s">
        <v>47</v>
      </c>
      <c r="O3764" t="s">
        <v>9477</v>
      </c>
      <c r="P3764" t="s">
        <v>9477</v>
      </c>
      <c r="Y3764" t="s">
        <v>16290</v>
      </c>
    </row>
    <row r="3765" spans="1:25">
      <c r="A3765" t="s">
        <v>16291</v>
      </c>
      <c r="B3765" t="s">
        <v>16292</v>
      </c>
      <c r="D3765" t="s">
        <v>9473</v>
      </c>
      <c r="E3765" t="s">
        <v>9474</v>
      </c>
      <c r="J3765" t="s">
        <v>90</v>
      </c>
      <c r="K3765" t="s">
        <v>91</v>
      </c>
      <c r="L3765">
        <v>6</v>
      </c>
      <c r="M3765" t="s">
        <v>16287</v>
      </c>
      <c r="N3765" t="s">
        <v>47</v>
      </c>
      <c r="O3765" t="s">
        <v>9477</v>
      </c>
      <c r="P3765" t="s">
        <v>9477</v>
      </c>
      <c r="Y3765" t="s">
        <v>16293</v>
      </c>
    </row>
    <row r="3766" spans="1:25">
      <c r="A3766" t="s">
        <v>16294</v>
      </c>
      <c r="B3766" t="s">
        <v>16295</v>
      </c>
      <c r="D3766" t="s">
        <v>9473</v>
      </c>
      <c r="E3766" t="s">
        <v>9474</v>
      </c>
      <c r="J3766" t="s">
        <v>44</v>
      </c>
      <c r="K3766" t="s">
        <v>45</v>
      </c>
      <c r="L3766">
        <v>6</v>
      </c>
      <c r="M3766" t="s">
        <v>16296</v>
      </c>
      <c r="N3766" t="s">
        <v>47</v>
      </c>
      <c r="O3766" t="s">
        <v>9477</v>
      </c>
      <c r="P3766" t="s">
        <v>9477</v>
      </c>
      <c r="Y3766" t="s">
        <v>16297</v>
      </c>
    </row>
    <row r="3767" spans="1:25">
      <c r="A3767" t="s">
        <v>16298</v>
      </c>
      <c r="B3767" t="s">
        <v>16299</v>
      </c>
      <c r="D3767" t="s">
        <v>9473</v>
      </c>
      <c r="E3767" t="s">
        <v>9474</v>
      </c>
      <c r="H3767" t="s">
        <v>16300</v>
      </c>
      <c r="J3767" t="s">
        <v>133</v>
      </c>
      <c r="K3767" t="s">
        <v>134</v>
      </c>
      <c r="L3767">
        <v>6</v>
      </c>
      <c r="M3767" t="s">
        <v>16301</v>
      </c>
      <c r="N3767" t="s">
        <v>290</v>
      </c>
      <c r="O3767" t="s">
        <v>9477</v>
      </c>
      <c r="P3767" t="s">
        <v>9477</v>
      </c>
      <c r="Y3767" t="s">
        <v>16300</v>
      </c>
    </row>
    <row r="3768" spans="1:25">
      <c r="A3768" t="s">
        <v>16302</v>
      </c>
      <c r="B3768" t="s">
        <v>16303</v>
      </c>
      <c r="D3768" t="s">
        <v>9473</v>
      </c>
      <c r="E3768" t="s">
        <v>9474</v>
      </c>
      <c r="H3768" t="s">
        <v>16304</v>
      </c>
      <c r="J3768" t="s">
        <v>54</v>
      </c>
      <c r="K3768" t="s">
        <v>55</v>
      </c>
      <c r="L3768">
        <v>6</v>
      </c>
      <c r="M3768" t="s">
        <v>16305</v>
      </c>
      <c r="N3768" t="s">
        <v>47</v>
      </c>
      <c r="O3768" t="s">
        <v>9477</v>
      </c>
      <c r="P3768" t="s">
        <v>9477</v>
      </c>
      <c r="Y3768" t="s">
        <v>16304</v>
      </c>
    </row>
    <row r="3769" spans="1:25">
      <c r="A3769" t="s">
        <v>16306</v>
      </c>
      <c r="B3769" t="s">
        <v>16307</v>
      </c>
      <c r="D3769" t="s">
        <v>9473</v>
      </c>
      <c r="E3769" t="s">
        <v>9474</v>
      </c>
      <c r="J3769" t="s">
        <v>133</v>
      </c>
      <c r="K3769" t="s">
        <v>134</v>
      </c>
      <c r="L3769">
        <v>6</v>
      </c>
      <c r="M3769" t="s">
        <v>16308</v>
      </c>
      <c r="N3769" t="s">
        <v>135</v>
      </c>
      <c r="O3769" t="s">
        <v>9477</v>
      </c>
      <c r="P3769" t="s">
        <v>9477</v>
      </c>
      <c r="Y3769" t="s">
        <v>16309</v>
      </c>
    </row>
    <row r="3770" spans="1:25">
      <c r="A3770" t="s">
        <v>16310</v>
      </c>
      <c r="B3770" t="s">
        <v>16311</v>
      </c>
      <c r="D3770" t="s">
        <v>9473</v>
      </c>
      <c r="E3770" t="s">
        <v>9474</v>
      </c>
      <c r="J3770" t="s">
        <v>90</v>
      </c>
      <c r="K3770" t="s">
        <v>91</v>
      </c>
      <c r="L3770">
        <v>6</v>
      </c>
      <c r="M3770" t="s">
        <v>16312</v>
      </c>
      <c r="N3770" t="s">
        <v>47</v>
      </c>
      <c r="O3770" t="s">
        <v>9477</v>
      </c>
      <c r="P3770" t="s">
        <v>9477</v>
      </c>
      <c r="Y3770" t="s">
        <v>16313</v>
      </c>
    </row>
    <row r="3771" spans="1:25">
      <c r="A3771" t="s">
        <v>16314</v>
      </c>
      <c r="B3771" t="s">
        <v>16315</v>
      </c>
      <c r="D3771" t="s">
        <v>9473</v>
      </c>
      <c r="E3771" t="s">
        <v>9474</v>
      </c>
      <c r="H3771" t="s">
        <v>16316</v>
      </c>
      <c r="J3771" t="s">
        <v>90</v>
      </c>
      <c r="K3771" t="s">
        <v>91</v>
      </c>
      <c r="L3771">
        <v>6</v>
      </c>
      <c r="M3771" t="s">
        <v>16317</v>
      </c>
      <c r="N3771" t="s">
        <v>47</v>
      </c>
      <c r="O3771" t="s">
        <v>9477</v>
      </c>
      <c r="P3771" t="s">
        <v>9477</v>
      </c>
      <c r="Y3771" t="s">
        <v>16316</v>
      </c>
    </row>
    <row r="3772" spans="1:25">
      <c r="A3772" t="s">
        <v>16318</v>
      </c>
      <c r="B3772" t="s">
        <v>16319</v>
      </c>
      <c r="D3772" t="s">
        <v>9473</v>
      </c>
      <c r="E3772" t="s">
        <v>9474</v>
      </c>
      <c r="J3772" t="s">
        <v>44</v>
      </c>
      <c r="K3772" t="s">
        <v>45</v>
      </c>
      <c r="L3772">
        <v>6</v>
      </c>
      <c r="M3772" t="s">
        <v>16320</v>
      </c>
      <c r="N3772" t="s">
        <v>47</v>
      </c>
      <c r="O3772" t="s">
        <v>9477</v>
      </c>
      <c r="P3772" t="s">
        <v>9477</v>
      </c>
      <c r="Y3772" t="s">
        <v>16321</v>
      </c>
    </row>
    <row r="3773" spans="1:25">
      <c r="A3773" t="s">
        <v>16322</v>
      </c>
      <c r="B3773" t="s">
        <v>16323</v>
      </c>
      <c r="D3773" t="s">
        <v>9473</v>
      </c>
      <c r="E3773" t="s">
        <v>9474</v>
      </c>
      <c r="J3773" t="s">
        <v>54</v>
      </c>
      <c r="K3773" t="s">
        <v>55</v>
      </c>
      <c r="L3773">
        <v>6</v>
      </c>
      <c r="M3773" t="s">
        <v>16320</v>
      </c>
      <c r="N3773" t="s">
        <v>47</v>
      </c>
      <c r="O3773" t="s">
        <v>9477</v>
      </c>
      <c r="P3773" t="s">
        <v>9477</v>
      </c>
      <c r="Y3773" t="s">
        <v>16324</v>
      </c>
    </row>
    <row r="3774" spans="1:25">
      <c r="A3774" t="s">
        <v>16325</v>
      </c>
      <c r="B3774" t="s">
        <v>16326</v>
      </c>
      <c r="D3774" t="s">
        <v>9473</v>
      </c>
      <c r="E3774" t="s">
        <v>9474</v>
      </c>
      <c r="J3774" t="s">
        <v>44</v>
      </c>
      <c r="K3774" t="s">
        <v>45</v>
      </c>
      <c r="L3774">
        <v>6</v>
      </c>
      <c r="M3774" t="s">
        <v>16320</v>
      </c>
      <c r="N3774" t="s">
        <v>47</v>
      </c>
      <c r="O3774" t="s">
        <v>9477</v>
      </c>
      <c r="P3774" t="s">
        <v>9477</v>
      </c>
      <c r="Y3774" t="s">
        <v>16327</v>
      </c>
    </row>
    <row r="3775" spans="1:25">
      <c r="A3775" t="s">
        <v>16328</v>
      </c>
      <c r="B3775" t="s">
        <v>16329</v>
      </c>
      <c r="D3775" t="s">
        <v>9473</v>
      </c>
      <c r="E3775" t="s">
        <v>9474</v>
      </c>
      <c r="J3775" t="s">
        <v>90</v>
      </c>
      <c r="K3775" t="s">
        <v>91</v>
      </c>
      <c r="L3775">
        <v>6</v>
      </c>
      <c r="M3775" t="s">
        <v>16320</v>
      </c>
      <c r="N3775" t="s">
        <v>47</v>
      </c>
      <c r="O3775" t="s">
        <v>9477</v>
      </c>
      <c r="P3775" t="s">
        <v>9477</v>
      </c>
      <c r="Y3775" t="s">
        <v>16330</v>
      </c>
    </row>
    <row r="3776" spans="1:25">
      <c r="A3776" t="s">
        <v>16331</v>
      </c>
      <c r="B3776" t="s">
        <v>16332</v>
      </c>
      <c r="D3776" t="s">
        <v>9473</v>
      </c>
      <c r="E3776" t="s">
        <v>9474</v>
      </c>
      <c r="J3776" t="s">
        <v>90</v>
      </c>
      <c r="K3776" t="s">
        <v>91</v>
      </c>
      <c r="L3776">
        <v>6</v>
      </c>
      <c r="M3776" t="s">
        <v>16333</v>
      </c>
      <c r="N3776" t="s">
        <v>47</v>
      </c>
      <c r="O3776" t="s">
        <v>9477</v>
      </c>
      <c r="P3776" t="s">
        <v>9477</v>
      </c>
      <c r="Y3776" t="s">
        <v>16334</v>
      </c>
    </row>
    <row r="3777" spans="1:25">
      <c r="A3777" t="s">
        <v>16335</v>
      </c>
      <c r="B3777" t="s">
        <v>16336</v>
      </c>
      <c r="D3777" t="s">
        <v>9473</v>
      </c>
      <c r="E3777" t="s">
        <v>9474</v>
      </c>
      <c r="J3777" t="s">
        <v>54</v>
      </c>
      <c r="K3777" t="s">
        <v>55</v>
      </c>
      <c r="L3777">
        <v>6</v>
      </c>
      <c r="M3777" t="s">
        <v>16337</v>
      </c>
      <c r="N3777" t="s">
        <v>47</v>
      </c>
      <c r="O3777" t="s">
        <v>9477</v>
      </c>
      <c r="P3777" t="s">
        <v>9477</v>
      </c>
      <c r="Y3777" t="s">
        <v>16338</v>
      </c>
    </row>
    <row r="3778" spans="1:25">
      <c r="A3778" t="s">
        <v>16339</v>
      </c>
      <c r="B3778" t="s">
        <v>16340</v>
      </c>
      <c r="D3778" t="s">
        <v>9473</v>
      </c>
      <c r="E3778" t="s">
        <v>9474</v>
      </c>
      <c r="H3778" t="s">
        <v>16341</v>
      </c>
      <c r="J3778" t="s">
        <v>44</v>
      </c>
      <c r="K3778" t="s">
        <v>45</v>
      </c>
      <c r="L3778">
        <v>6</v>
      </c>
      <c r="M3778" t="s">
        <v>16342</v>
      </c>
      <c r="N3778" t="s">
        <v>47</v>
      </c>
      <c r="O3778" t="s">
        <v>9477</v>
      </c>
      <c r="P3778" t="s">
        <v>9477</v>
      </c>
      <c r="Y3778" t="s">
        <v>16341</v>
      </c>
    </row>
    <row r="3779" spans="1:25">
      <c r="A3779" t="s">
        <v>16343</v>
      </c>
      <c r="B3779" t="s">
        <v>16344</v>
      </c>
      <c r="D3779" t="s">
        <v>9473</v>
      </c>
      <c r="E3779" t="s">
        <v>9474</v>
      </c>
      <c r="H3779" t="s">
        <v>16345</v>
      </c>
      <c r="J3779" t="s">
        <v>78</v>
      </c>
      <c r="K3779" t="s">
        <v>79</v>
      </c>
      <c r="L3779">
        <v>6</v>
      </c>
      <c r="M3779" t="s">
        <v>16346</v>
      </c>
      <c r="N3779" t="s">
        <v>47</v>
      </c>
      <c r="O3779" t="s">
        <v>9477</v>
      </c>
      <c r="P3779" t="s">
        <v>9477</v>
      </c>
      <c r="Y3779" t="s">
        <v>16345</v>
      </c>
    </row>
    <row r="3780" spans="1:25">
      <c r="A3780" t="s">
        <v>16347</v>
      </c>
      <c r="B3780" t="s">
        <v>16348</v>
      </c>
      <c r="D3780" t="s">
        <v>9473</v>
      </c>
      <c r="E3780" t="s">
        <v>9474</v>
      </c>
      <c r="J3780" t="s">
        <v>90</v>
      </c>
      <c r="K3780" t="s">
        <v>91</v>
      </c>
      <c r="L3780">
        <v>6</v>
      </c>
      <c r="M3780" t="s">
        <v>16346</v>
      </c>
      <c r="N3780" t="s">
        <v>47</v>
      </c>
      <c r="O3780" t="s">
        <v>9477</v>
      </c>
      <c r="P3780" t="s">
        <v>9477</v>
      </c>
      <c r="Y3780" t="s">
        <v>16349</v>
      </c>
    </row>
    <row r="3781" spans="1:25">
      <c r="A3781" t="s">
        <v>16350</v>
      </c>
      <c r="B3781" t="s">
        <v>16351</v>
      </c>
      <c r="D3781" t="s">
        <v>9473</v>
      </c>
      <c r="E3781" t="s">
        <v>9474</v>
      </c>
      <c r="H3781" t="s">
        <v>16352</v>
      </c>
      <c r="J3781" t="s">
        <v>353</v>
      </c>
      <c r="K3781" t="s">
        <v>354</v>
      </c>
      <c r="L3781">
        <v>6</v>
      </c>
      <c r="M3781" t="s">
        <v>16346</v>
      </c>
      <c r="N3781" t="s">
        <v>135</v>
      </c>
      <c r="O3781" t="s">
        <v>9477</v>
      </c>
      <c r="P3781" t="s">
        <v>9477</v>
      </c>
      <c r="Y3781" t="s">
        <v>16352</v>
      </c>
    </row>
    <row r="3782" spans="1:25">
      <c r="A3782" t="s">
        <v>16353</v>
      </c>
      <c r="B3782" t="s">
        <v>16354</v>
      </c>
      <c r="D3782" t="s">
        <v>9473</v>
      </c>
      <c r="E3782" t="s">
        <v>9474</v>
      </c>
      <c r="J3782" t="s">
        <v>371</v>
      </c>
      <c r="K3782" t="s">
        <v>372</v>
      </c>
      <c r="L3782">
        <v>6</v>
      </c>
      <c r="M3782" t="s">
        <v>16355</v>
      </c>
      <c r="N3782" t="s">
        <v>47</v>
      </c>
      <c r="O3782" t="s">
        <v>9477</v>
      </c>
      <c r="P3782" t="s">
        <v>9477</v>
      </c>
      <c r="Y3782" t="s">
        <v>16356</v>
      </c>
    </row>
    <row r="3783" spans="1:25">
      <c r="A3783" t="s">
        <v>16357</v>
      </c>
      <c r="B3783" t="s">
        <v>16358</v>
      </c>
      <c r="D3783" t="s">
        <v>9473</v>
      </c>
      <c r="E3783" t="s">
        <v>9474</v>
      </c>
      <c r="H3783" t="s">
        <v>16359</v>
      </c>
      <c r="J3783" t="s">
        <v>133</v>
      </c>
      <c r="K3783" t="s">
        <v>134</v>
      </c>
      <c r="L3783">
        <v>6</v>
      </c>
      <c r="M3783" t="s">
        <v>16355</v>
      </c>
      <c r="N3783" t="s">
        <v>290</v>
      </c>
      <c r="O3783" t="s">
        <v>9477</v>
      </c>
      <c r="P3783" t="s">
        <v>9477</v>
      </c>
      <c r="Y3783" t="s">
        <v>16359</v>
      </c>
    </row>
    <row r="3784" spans="1:25">
      <c r="A3784" t="s">
        <v>16360</v>
      </c>
      <c r="B3784" t="s">
        <v>16361</v>
      </c>
      <c r="D3784" t="s">
        <v>9473</v>
      </c>
      <c r="E3784" t="s">
        <v>9474</v>
      </c>
      <c r="J3784" t="s">
        <v>54</v>
      </c>
      <c r="K3784" t="s">
        <v>55</v>
      </c>
      <c r="L3784">
        <v>6</v>
      </c>
      <c r="M3784" t="s">
        <v>16355</v>
      </c>
      <c r="N3784" t="s">
        <v>47</v>
      </c>
      <c r="O3784" t="s">
        <v>9477</v>
      </c>
      <c r="P3784" t="s">
        <v>9477</v>
      </c>
      <c r="Y3784" t="s">
        <v>16362</v>
      </c>
    </row>
    <row r="3785" spans="1:25">
      <c r="A3785" t="s">
        <v>16363</v>
      </c>
      <c r="B3785" t="s">
        <v>16364</v>
      </c>
      <c r="D3785" t="s">
        <v>9473</v>
      </c>
      <c r="E3785" t="s">
        <v>9474</v>
      </c>
      <c r="J3785" t="s">
        <v>90</v>
      </c>
      <c r="K3785" t="s">
        <v>91</v>
      </c>
      <c r="L3785">
        <v>6</v>
      </c>
      <c r="M3785" t="s">
        <v>16365</v>
      </c>
      <c r="N3785" t="s">
        <v>47</v>
      </c>
      <c r="O3785" t="s">
        <v>9477</v>
      </c>
      <c r="P3785" t="s">
        <v>9477</v>
      </c>
      <c r="Y3785" t="s">
        <v>16366</v>
      </c>
    </row>
    <row r="3786" spans="1:25">
      <c r="A3786" t="s">
        <v>16367</v>
      </c>
      <c r="B3786" t="s">
        <v>16368</v>
      </c>
      <c r="D3786" t="s">
        <v>9473</v>
      </c>
      <c r="E3786" t="s">
        <v>9474</v>
      </c>
      <c r="J3786" t="s">
        <v>54</v>
      </c>
      <c r="K3786" t="s">
        <v>55</v>
      </c>
      <c r="L3786">
        <v>6</v>
      </c>
      <c r="M3786" t="s">
        <v>16369</v>
      </c>
      <c r="N3786" t="s">
        <v>47</v>
      </c>
      <c r="O3786" t="s">
        <v>9477</v>
      </c>
      <c r="P3786" t="s">
        <v>9477</v>
      </c>
      <c r="Y3786" t="s">
        <v>16370</v>
      </c>
    </row>
    <row r="3787" spans="1:25">
      <c r="A3787" t="s">
        <v>16371</v>
      </c>
      <c r="B3787" t="s">
        <v>16372</v>
      </c>
      <c r="D3787" t="s">
        <v>9473</v>
      </c>
      <c r="E3787" t="s">
        <v>9474</v>
      </c>
      <c r="H3787" t="s">
        <v>16373</v>
      </c>
      <c r="J3787" t="s">
        <v>44</v>
      </c>
      <c r="K3787" t="s">
        <v>45</v>
      </c>
      <c r="L3787">
        <v>6</v>
      </c>
      <c r="M3787" t="s">
        <v>16369</v>
      </c>
      <c r="N3787" t="s">
        <v>47</v>
      </c>
      <c r="O3787" t="s">
        <v>9477</v>
      </c>
      <c r="P3787" t="s">
        <v>9477</v>
      </c>
      <c r="Y3787" t="s">
        <v>16373</v>
      </c>
    </row>
    <row r="3788" spans="1:25">
      <c r="A3788" t="s">
        <v>16374</v>
      </c>
      <c r="B3788" t="s">
        <v>16375</v>
      </c>
      <c r="D3788" t="s">
        <v>9473</v>
      </c>
      <c r="E3788" t="s">
        <v>9474</v>
      </c>
      <c r="J3788" t="s">
        <v>78</v>
      </c>
      <c r="K3788" t="s">
        <v>79</v>
      </c>
      <c r="L3788">
        <v>6</v>
      </c>
      <c r="M3788" t="s">
        <v>16376</v>
      </c>
      <c r="N3788" t="s">
        <v>47</v>
      </c>
      <c r="O3788" t="s">
        <v>9477</v>
      </c>
      <c r="P3788" t="s">
        <v>9477</v>
      </c>
      <c r="Y3788" t="s">
        <v>16377</v>
      </c>
    </row>
    <row r="3789" spans="1:25">
      <c r="A3789" t="s">
        <v>16378</v>
      </c>
      <c r="B3789" t="s">
        <v>16379</v>
      </c>
      <c r="D3789" t="s">
        <v>9473</v>
      </c>
      <c r="E3789" t="s">
        <v>9474</v>
      </c>
      <c r="H3789" t="s">
        <v>16380</v>
      </c>
      <c r="J3789" t="s">
        <v>234</v>
      </c>
      <c r="K3789" t="s">
        <v>235</v>
      </c>
      <c r="L3789">
        <v>6</v>
      </c>
      <c r="M3789" t="s">
        <v>16381</v>
      </c>
      <c r="N3789" t="s">
        <v>47</v>
      </c>
      <c r="O3789" t="s">
        <v>9477</v>
      </c>
      <c r="P3789" t="s">
        <v>9477</v>
      </c>
      <c r="Y3789" t="s">
        <v>16380</v>
      </c>
    </row>
    <row r="3790" spans="1:25">
      <c r="A3790" t="s">
        <v>16382</v>
      </c>
      <c r="B3790" t="s">
        <v>16383</v>
      </c>
      <c r="D3790" t="s">
        <v>9473</v>
      </c>
      <c r="E3790" t="s">
        <v>9474</v>
      </c>
      <c r="J3790" t="s">
        <v>78</v>
      </c>
      <c r="K3790" t="s">
        <v>79</v>
      </c>
      <c r="L3790">
        <v>6</v>
      </c>
      <c r="M3790" t="s">
        <v>16384</v>
      </c>
      <c r="N3790" t="s">
        <v>47</v>
      </c>
      <c r="O3790" t="s">
        <v>9477</v>
      </c>
      <c r="P3790" t="s">
        <v>9477</v>
      </c>
      <c r="Y3790" t="s">
        <v>16385</v>
      </c>
    </row>
    <row r="3791" spans="1:25">
      <c r="A3791" t="s">
        <v>16386</v>
      </c>
      <c r="B3791" t="s">
        <v>16387</v>
      </c>
      <c r="D3791" t="s">
        <v>9473</v>
      </c>
      <c r="E3791" t="s">
        <v>9474</v>
      </c>
      <c r="J3791" t="s">
        <v>90</v>
      </c>
      <c r="K3791" t="s">
        <v>91</v>
      </c>
      <c r="L3791">
        <v>6</v>
      </c>
      <c r="M3791" t="s">
        <v>16384</v>
      </c>
      <c r="N3791" t="s">
        <v>47</v>
      </c>
      <c r="O3791" t="s">
        <v>9477</v>
      </c>
      <c r="P3791" t="s">
        <v>9477</v>
      </c>
      <c r="Y3791" t="s">
        <v>16388</v>
      </c>
    </row>
    <row r="3792" spans="1:25">
      <c r="A3792" t="s">
        <v>16389</v>
      </c>
      <c r="B3792" t="s">
        <v>16390</v>
      </c>
      <c r="D3792" t="s">
        <v>9473</v>
      </c>
      <c r="E3792" t="s">
        <v>9474</v>
      </c>
      <c r="J3792" t="s">
        <v>78</v>
      </c>
      <c r="K3792" t="s">
        <v>79</v>
      </c>
      <c r="L3792">
        <v>6</v>
      </c>
      <c r="M3792" t="s">
        <v>16391</v>
      </c>
      <c r="N3792" t="s">
        <v>47</v>
      </c>
      <c r="O3792" t="s">
        <v>9477</v>
      </c>
      <c r="P3792" t="s">
        <v>9477</v>
      </c>
      <c r="Y3792" t="s">
        <v>16392</v>
      </c>
    </row>
    <row r="3793" spans="1:25">
      <c r="A3793" t="s">
        <v>16393</v>
      </c>
      <c r="B3793" t="s">
        <v>16394</v>
      </c>
      <c r="D3793" t="s">
        <v>9473</v>
      </c>
      <c r="E3793" t="s">
        <v>9474</v>
      </c>
      <c r="J3793" t="s">
        <v>90</v>
      </c>
      <c r="K3793" t="s">
        <v>91</v>
      </c>
      <c r="L3793">
        <v>6</v>
      </c>
      <c r="M3793" t="s">
        <v>16395</v>
      </c>
      <c r="N3793" t="s">
        <v>47</v>
      </c>
      <c r="O3793" t="s">
        <v>9477</v>
      </c>
      <c r="P3793" t="s">
        <v>9477</v>
      </c>
      <c r="Y3793" t="s">
        <v>16396</v>
      </c>
    </row>
    <row r="3794" spans="1:25">
      <c r="A3794" t="s">
        <v>16397</v>
      </c>
      <c r="B3794" t="s">
        <v>16398</v>
      </c>
      <c r="D3794" t="s">
        <v>9473</v>
      </c>
      <c r="E3794" t="s">
        <v>9474</v>
      </c>
      <c r="J3794" t="s">
        <v>54</v>
      </c>
      <c r="K3794" t="s">
        <v>55</v>
      </c>
      <c r="L3794">
        <v>6</v>
      </c>
      <c r="M3794" t="s">
        <v>16399</v>
      </c>
      <c r="N3794" t="s">
        <v>47</v>
      </c>
      <c r="O3794" t="s">
        <v>9477</v>
      </c>
      <c r="P3794" t="s">
        <v>9477</v>
      </c>
      <c r="Y3794" t="s">
        <v>16400</v>
      </c>
    </row>
    <row r="3795" spans="1:25">
      <c r="A3795" t="s">
        <v>16401</v>
      </c>
      <c r="B3795" t="s">
        <v>16402</v>
      </c>
      <c r="D3795" t="s">
        <v>9473</v>
      </c>
      <c r="E3795" t="s">
        <v>9474</v>
      </c>
      <c r="J3795" t="s">
        <v>133</v>
      </c>
      <c r="K3795" t="s">
        <v>134</v>
      </c>
      <c r="L3795">
        <v>6</v>
      </c>
      <c r="M3795" t="s">
        <v>16399</v>
      </c>
      <c r="N3795" t="s">
        <v>290</v>
      </c>
      <c r="O3795" t="s">
        <v>9477</v>
      </c>
      <c r="P3795" t="s">
        <v>9477</v>
      </c>
      <c r="Y3795" t="s">
        <v>16403</v>
      </c>
    </row>
    <row r="3796" spans="1:25">
      <c r="A3796" t="s">
        <v>16404</v>
      </c>
      <c r="B3796" t="s">
        <v>16405</v>
      </c>
      <c r="D3796" t="s">
        <v>9473</v>
      </c>
      <c r="E3796" t="s">
        <v>9474</v>
      </c>
      <c r="J3796" t="s">
        <v>44</v>
      </c>
      <c r="K3796" t="s">
        <v>45</v>
      </c>
      <c r="L3796">
        <v>6</v>
      </c>
      <c r="M3796" t="s">
        <v>16406</v>
      </c>
      <c r="N3796" t="s">
        <v>47</v>
      </c>
      <c r="O3796" t="s">
        <v>9477</v>
      </c>
      <c r="P3796" t="s">
        <v>9477</v>
      </c>
      <c r="Y3796" t="s">
        <v>16407</v>
      </c>
    </row>
    <row r="3797" spans="1:25">
      <c r="A3797" t="s">
        <v>16408</v>
      </c>
      <c r="B3797" t="s">
        <v>16409</v>
      </c>
      <c r="D3797" t="s">
        <v>9473</v>
      </c>
      <c r="E3797" t="s">
        <v>9474</v>
      </c>
      <c r="J3797" t="s">
        <v>497</v>
      </c>
      <c r="K3797" t="s">
        <v>498</v>
      </c>
      <c r="L3797">
        <v>6</v>
      </c>
      <c r="M3797" t="s">
        <v>16410</v>
      </c>
      <c r="N3797" t="s">
        <v>135</v>
      </c>
      <c r="O3797" t="s">
        <v>9477</v>
      </c>
      <c r="P3797" t="s">
        <v>9477</v>
      </c>
      <c r="Y3797" t="s">
        <v>16411</v>
      </c>
    </row>
    <row r="3798" spans="1:25">
      <c r="A3798" t="s">
        <v>16412</v>
      </c>
      <c r="B3798" t="s">
        <v>16413</v>
      </c>
      <c r="D3798" t="s">
        <v>9473</v>
      </c>
      <c r="E3798" t="s">
        <v>9474</v>
      </c>
      <c r="J3798" t="s">
        <v>90</v>
      </c>
      <c r="K3798" t="s">
        <v>91</v>
      </c>
      <c r="L3798">
        <v>6</v>
      </c>
      <c r="M3798" t="s">
        <v>16414</v>
      </c>
      <c r="N3798" t="s">
        <v>47</v>
      </c>
      <c r="O3798" t="s">
        <v>9477</v>
      </c>
      <c r="P3798" t="s">
        <v>9477</v>
      </c>
      <c r="Y3798" t="s">
        <v>16415</v>
      </c>
    </row>
    <row r="3799" spans="1:25">
      <c r="A3799" t="s">
        <v>16416</v>
      </c>
      <c r="B3799" t="s">
        <v>16417</v>
      </c>
      <c r="D3799" t="s">
        <v>9473</v>
      </c>
      <c r="E3799" t="s">
        <v>9474</v>
      </c>
      <c r="J3799" t="s">
        <v>90</v>
      </c>
      <c r="K3799" t="s">
        <v>91</v>
      </c>
      <c r="L3799">
        <v>6</v>
      </c>
      <c r="M3799" t="s">
        <v>16414</v>
      </c>
      <c r="N3799" t="s">
        <v>47</v>
      </c>
      <c r="O3799" t="s">
        <v>9477</v>
      </c>
      <c r="P3799" t="s">
        <v>9477</v>
      </c>
      <c r="Y3799" t="s">
        <v>16418</v>
      </c>
    </row>
    <row r="3800" spans="1:25">
      <c r="A3800" t="s">
        <v>16419</v>
      </c>
      <c r="B3800" t="s">
        <v>16420</v>
      </c>
      <c r="D3800" t="s">
        <v>9473</v>
      </c>
      <c r="E3800" t="s">
        <v>9474</v>
      </c>
      <c r="J3800" t="s">
        <v>90</v>
      </c>
      <c r="K3800" t="s">
        <v>91</v>
      </c>
      <c r="L3800">
        <v>6</v>
      </c>
      <c r="M3800" t="s">
        <v>16414</v>
      </c>
      <c r="N3800" t="s">
        <v>47</v>
      </c>
      <c r="O3800" t="s">
        <v>9477</v>
      </c>
      <c r="P3800" t="s">
        <v>9477</v>
      </c>
      <c r="Y3800" t="s">
        <v>16421</v>
      </c>
    </row>
    <row r="3801" spans="1:25">
      <c r="A3801" t="s">
        <v>16422</v>
      </c>
      <c r="B3801" t="s">
        <v>16423</v>
      </c>
      <c r="D3801" t="s">
        <v>9473</v>
      </c>
      <c r="E3801" t="s">
        <v>9474</v>
      </c>
      <c r="J3801" t="s">
        <v>90</v>
      </c>
      <c r="K3801" t="s">
        <v>91</v>
      </c>
      <c r="L3801">
        <v>6</v>
      </c>
      <c r="M3801" t="s">
        <v>16414</v>
      </c>
      <c r="N3801" t="s">
        <v>47</v>
      </c>
      <c r="O3801" t="s">
        <v>9477</v>
      </c>
      <c r="P3801" t="s">
        <v>9477</v>
      </c>
      <c r="Y3801" t="s">
        <v>16424</v>
      </c>
    </row>
    <row r="3802" spans="1:25">
      <c r="A3802" t="s">
        <v>16425</v>
      </c>
      <c r="B3802" t="s">
        <v>16426</v>
      </c>
      <c r="D3802" t="s">
        <v>9473</v>
      </c>
      <c r="E3802" t="s">
        <v>9474</v>
      </c>
      <c r="H3802" t="s">
        <v>16427</v>
      </c>
      <c r="J3802" t="s">
        <v>234</v>
      </c>
      <c r="K3802" t="s">
        <v>235</v>
      </c>
      <c r="L3802">
        <v>6</v>
      </c>
      <c r="M3802" t="s">
        <v>16428</v>
      </c>
      <c r="N3802" t="s">
        <v>47</v>
      </c>
      <c r="O3802" t="s">
        <v>9477</v>
      </c>
      <c r="P3802" t="s">
        <v>9477</v>
      </c>
      <c r="Y3802" t="s">
        <v>16427</v>
      </c>
    </row>
    <row r="3803" spans="1:25">
      <c r="A3803" t="s">
        <v>16429</v>
      </c>
      <c r="B3803" t="s">
        <v>16430</v>
      </c>
      <c r="D3803" t="s">
        <v>9473</v>
      </c>
      <c r="E3803" t="s">
        <v>9474</v>
      </c>
      <c r="J3803" t="s">
        <v>78</v>
      </c>
      <c r="K3803" t="s">
        <v>79</v>
      </c>
      <c r="L3803">
        <v>6</v>
      </c>
      <c r="M3803" t="s">
        <v>16431</v>
      </c>
      <c r="N3803" t="s">
        <v>47</v>
      </c>
      <c r="O3803" t="s">
        <v>9477</v>
      </c>
      <c r="P3803" t="s">
        <v>9477</v>
      </c>
      <c r="Y3803" t="s">
        <v>16432</v>
      </c>
    </row>
    <row r="3804" spans="1:25">
      <c r="A3804" t="s">
        <v>16433</v>
      </c>
      <c r="B3804" t="s">
        <v>16434</v>
      </c>
      <c r="D3804" t="s">
        <v>9473</v>
      </c>
      <c r="E3804" t="s">
        <v>9474</v>
      </c>
      <c r="H3804" t="s">
        <v>16435</v>
      </c>
      <c r="J3804" t="s">
        <v>133</v>
      </c>
      <c r="K3804" t="s">
        <v>134</v>
      </c>
      <c r="L3804">
        <v>6</v>
      </c>
      <c r="M3804" t="s">
        <v>16436</v>
      </c>
      <c r="N3804" t="s">
        <v>135</v>
      </c>
      <c r="O3804" t="s">
        <v>9477</v>
      </c>
      <c r="P3804" t="s">
        <v>9477</v>
      </c>
      <c r="Y3804" t="s">
        <v>16435</v>
      </c>
    </row>
    <row r="3805" spans="1:25">
      <c r="A3805" t="s">
        <v>16437</v>
      </c>
      <c r="B3805" t="s">
        <v>16438</v>
      </c>
      <c r="D3805" t="s">
        <v>9473</v>
      </c>
      <c r="E3805" t="s">
        <v>9474</v>
      </c>
      <c r="J3805" t="s">
        <v>54</v>
      </c>
      <c r="K3805" t="s">
        <v>55</v>
      </c>
      <c r="L3805">
        <v>6</v>
      </c>
      <c r="M3805" t="s">
        <v>16439</v>
      </c>
      <c r="N3805" t="s">
        <v>47</v>
      </c>
      <c r="O3805" t="s">
        <v>9477</v>
      </c>
      <c r="P3805" t="s">
        <v>9477</v>
      </c>
      <c r="Y3805" t="s">
        <v>16440</v>
      </c>
    </row>
    <row r="3806" spans="1:25">
      <c r="A3806" t="s">
        <v>16441</v>
      </c>
      <c r="B3806" t="s">
        <v>16442</v>
      </c>
      <c r="D3806" t="s">
        <v>9473</v>
      </c>
      <c r="E3806" t="s">
        <v>9474</v>
      </c>
      <c r="J3806" t="s">
        <v>497</v>
      </c>
      <c r="K3806" t="s">
        <v>498</v>
      </c>
      <c r="L3806">
        <v>6</v>
      </c>
      <c r="M3806" t="s">
        <v>16443</v>
      </c>
      <c r="N3806" t="s">
        <v>290</v>
      </c>
      <c r="O3806" t="s">
        <v>9477</v>
      </c>
      <c r="P3806" t="s">
        <v>9477</v>
      </c>
      <c r="Y3806" t="s">
        <v>16444</v>
      </c>
    </row>
    <row r="3807" spans="1:25">
      <c r="A3807" t="s">
        <v>16445</v>
      </c>
      <c r="B3807" t="s">
        <v>16446</v>
      </c>
      <c r="D3807" t="s">
        <v>9473</v>
      </c>
      <c r="E3807" t="s">
        <v>9474</v>
      </c>
      <c r="J3807" t="s">
        <v>90</v>
      </c>
      <c r="K3807" t="s">
        <v>91</v>
      </c>
      <c r="L3807">
        <v>6</v>
      </c>
      <c r="M3807" t="s">
        <v>16447</v>
      </c>
      <c r="N3807" t="s">
        <v>47</v>
      </c>
      <c r="O3807" t="s">
        <v>9477</v>
      </c>
      <c r="P3807" t="s">
        <v>9477</v>
      </c>
      <c r="Y3807" t="s">
        <v>16448</v>
      </c>
    </row>
    <row r="3808" spans="1:25">
      <c r="A3808" t="s">
        <v>16449</v>
      </c>
      <c r="B3808" t="s">
        <v>16450</v>
      </c>
      <c r="D3808" t="s">
        <v>9473</v>
      </c>
      <c r="E3808" t="s">
        <v>9474</v>
      </c>
      <c r="J3808" t="s">
        <v>90</v>
      </c>
      <c r="K3808" t="s">
        <v>91</v>
      </c>
      <c r="L3808">
        <v>6</v>
      </c>
      <c r="M3808" t="s">
        <v>16447</v>
      </c>
      <c r="N3808" t="s">
        <v>47</v>
      </c>
      <c r="O3808" t="s">
        <v>9477</v>
      </c>
      <c r="P3808" t="s">
        <v>9477</v>
      </c>
      <c r="Y3808" t="s">
        <v>16451</v>
      </c>
    </row>
    <row r="3809" spans="1:25">
      <c r="A3809" t="s">
        <v>16452</v>
      </c>
      <c r="B3809" t="s">
        <v>16453</v>
      </c>
      <c r="D3809" t="s">
        <v>9473</v>
      </c>
      <c r="E3809" t="s">
        <v>9474</v>
      </c>
      <c r="J3809" t="s">
        <v>54</v>
      </c>
      <c r="K3809" t="s">
        <v>55</v>
      </c>
      <c r="L3809">
        <v>6</v>
      </c>
      <c r="M3809" t="s">
        <v>16454</v>
      </c>
      <c r="N3809" t="s">
        <v>47</v>
      </c>
      <c r="O3809" t="s">
        <v>9477</v>
      </c>
      <c r="P3809" t="s">
        <v>9477</v>
      </c>
      <c r="Y3809" t="s">
        <v>16455</v>
      </c>
    </row>
    <row r="3810" spans="1:25">
      <c r="A3810" t="s">
        <v>16456</v>
      </c>
      <c r="B3810" t="s">
        <v>16457</v>
      </c>
      <c r="D3810" t="s">
        <v>9473</v>
      </c>
      <c r="E3810" t="s">
        <v>9474</v>
      </c>
      <c r="J3810" t="s">
        <v>44</v>
      </c>
      <c r="K3810" t="s">
        <v>45</v>
      </c>
      <c r="L3810">
        <v>6</v>
      </c>
      <c r="M3810" t="s">
        <v>16454</v>
      </c>
      <c r="N3810" t="s">
        <v>47</v>
      </c>
      <c r="O3810" t="s">
        <v>9477</v>
      </c>
      <c r="P3810" t="s">
        <v>9477</v>
      </c>
      <c r="Y3810" t="s">
        <v>16458</v>
      </c>
    </row>
    <row r="3811" spans="1:25">
      <c r="A3811" t="s">
        <v>16459</v>
      </c>
      <c r="B3811" t="s">
        <v>16460</v>
      </c>
      <c r="D3811" t="s">
        <v>9473</v>
      </c>
      <c r="E3811" t="s">
        <v>9474</v>
      </c>
      <c r="J3811" t="s">
        <v>44</v>
      </c>
      <c r="K3811" t="s">
        <v>45</v>
      </c>
      <c r="L3811">
        <v>6</v>
      </c>
      <c r="M3811" t="s">
        <v>16454</v>
      </c>
      <c r="N3811" t="s">
        <v>47</v>
      </c>
      <c r="O3811" t="s">
        <v>9477</v>
      </c>
      <c r="P3811" t="s">
        <v>9477</v>
      </c>
      <c r="Y3811" t="s">
        <v>16461</v>
      </c>
    </row>
    <row r="3812" spans="1:25">
      <c r="A3812" t="s">
        <v>16462</v>
      </c>
      <c r="B3812" t="s">
        <v>16463</v>
      </c>
      <c r="D3812" t="s">
        <v>9473</v>
      </c>
      <c r="E3812" t="s">
        <v>9474</v>
      </c>
      <c r="J3812" t="s">
        <v>54</v>
      </c>
      <c r="K3812" t="s">
        <v>55</v>
      </c>
      <c r="L3812">
        <v>6</v>
      </c>
      <c r="M3812" t="s">
        <v>16464</v>
      </c>
      <c r="N3812" t="s">
        <v>47</v>
      </c>
      <c r="O3812" t="s">
        <v>9477</v>
      </c>
      <c r="P3812" t="s">
        <v>9477</v>
      </c>
      <c r="Y3812" t="s">
        <v>16465</v>
      </c>
    </row>
    <row r="3813" spans="1:25">
      <c r="A3813" t="s">
        <v>16466</v>
      </c>
      <c r="B3813" t="s">
        <v>16467</v>
      </c>
      <c r="D3813" t="s">
        <v>9473</v>
      </c>
      <c r="E3813" t="s">
        <v>9474</v>
      </c>
      <c r="H3813" t="s">
        <v>16468</v>
      </c>
      <c r="J3813" t="s">
        <v>234</v>
      </c>
      <c r="K3813" t="s">
        <v>235</v>
      </c>
      <c r="L3813">
        <v>6</v>
      </c>
      <c r="M3813" t="s">
        <v>16469</v>
      </c>
      <c r="N3813" t="s">
        <v>47</v>
      </c>
      <c r="O3813" t="s">
        <v>9477</v>
      </c>
      <c r="P3813" t="s">
        <v>9477</v>
      </c>
      <c r="Y3813" t="s">
        <v>16468</v>
      </c>
    </row>
    <row r="3814" spans="1:25">
      <c r="A3814" t="s">
        <v>16470</v>
      </c>
      <c r="B3814" t="s">
        <v>16471</v>
      </c>
      <c r="D3814" t="s">
        <v>9473</v>
      </c>
      <c r="E3814" t="s">
        <v>9474</v>
      </c>
      <c r="H3814" t="s">
        <v>16472</v>
      </c>
      <c r="J3814" t="s">
        <v>234</v>
      </c>
      <c r="K3814" t="s">
        <v>235</v>
      </c>
      <c r="L3814">
        <v>6</v>
      </c>
      <c r="M3814" t="s">
        <v>16473</v>
      </c>
      <c r="N3814" t="s">
        <v>47</v>
      </c>
      <c r="O3814" t="s">
        <v>9477</v>
      </c>
      <c r="P3814" t="s">
        <v>9477</v>
      </c>
      <c r="Y3814" t="s">
        <v>16472</v>
      </c>
    </row>
    <row r="3815" spans="1:25">
      <c r="A3815" t="s">
        <v>16474</v>
      </c>
      <c r="B3815" t="s">
        <v>16475</v>
      </c>
      <c r="D3815" t="s">
        <v>9473</v>
      </c>
      <c r="E3815" t="s">
        <v>9474</v>
      </c>
      <c r="J3815" t="s">
        <v>54</v>
      </c>
      <c r="K3815" t="s">
        <v>55</v>
      </c>
      <c r="L3815">
        <v>6</v>
      </c>
      <c r="M3815" t="s">
        <v>16476</v>
      </c>
      <c r="N3815" t="s">
        <v>47</v>
      </c>
      <c r="O3815" t="s">
        <v>9477</v>
      </c>
      <c r="P3815" t="s">
        <v>9477</v>
      </c>
      <c r="Y3815" t="s">
        <v>16477</v>
      </c>
    </row>
    <row r="3816" spans="1:25">
      <c r="A3816" t="s">
        <v>16478</v>
      </c>
      <c r="B3816" t="s">
        <v>16479</v>
      </c>
      <c r="D3816" t="s">
        <v>9473</v>
      </c>
      <c r="E3816" t="s">
        <v>9474</v>
      </c>
      <c r="J3816" t="s">
        <v>78</v>
      </c>
      <c r="K3816" t="s">
        <v>79</v>
      </c>
      <c r="L3816">
        <v>6</v>
      </c>
      <c r="M3816" t="s">
        <v>16480</v>
      </c>
      <c r="N3816" t="s">
        <v>47</v>
      </c>
      <c r="O3816" t="s">
        <v>9477</v>
      </c>
      <c r="P3816" t="s">
        <v>9477</v>
      </c>
      <c r="Y3816" t="s">
        <v>16481</v>
      </c>
    </row>
    <row r="3817" spans="1:25">
      <c r="A3817" t="s">
        <v>16482</v>
      </c>
      <c r="B3817" t="s">
        <v>16483</v>
      </c>
      <c r="D3817" t="s">
        <v>9473</v>
      </c>
      <c r="E3817" t="s">
        <v>9474</v>
      </c>
      <c r="J3817" t="s">
        <v>90</v>
      </c>
      <c r="K3817" t="s">
        <v>91</v>
      </c>
      <c r="L3817">
        <v>6</v>
      </c>
      <c r="M3817" t="s">
        <v>16480</v>
      </c>
      <c r="N3817" t="s">
        <v>47</v>
      </c>
      <c r="O3817" t="s">
        <v>9477</v>
      </c>
      <c r="P3817" t="s">
        <v>9477</v>
      </c>
      <c r="Y3817" t="s">
        <v>16484</v>
      </c>
    </row>
    <row r="3818" spans="1:25">
      <c r="A3818" t="s">
        <v>16485</v>
      </c>
      <c r="B3818" t="s">
        <v>16486</v>
      </c>
      <c r="D3818" t="s">
        <v>9473</v>
      </c>
      <c r="E3818" t="s">
        <v>9474</v>
      </c>
      <c r="H3818" t="s">
        <v>16487</v>
      </c>
      <c r="J3818" t="s">
        <v>234</v>
      </c>
      <c r="K3818" t="s">
        <v>235</v>
      </c>
      <c r="L3818">
        <v>6</v>
      </c>
      <c r="M3818" t="s">
        <v>16488</v>
      </c>
      <c r="N3818" t="s">
        <v>47</v>
      </c>
      <c r="O3818" t="s">
        <v>9477</v>
      </c>
      <c r="P3818" t="s">
        <v>9477</v>
      </c>
      <c r="Y3818" t="s">
        <v>16487</v>
      </c>
    </row>
    <row r="3819" spans="1:25">
      <c r="A3819" t="s">
        <v>16489</v>
      </c>
      <c r="B3819" t="s">
        <v>16490</v>
      </c>
      <c r="D3819" t="s">
        <v>9473</v>
      </c>
      <c r="E3819" t="s">
        <v>9474</v>
      </c>
      <c r="J3819" t="s">
        <v>133</v>
      </c>
      <c r="K3819" t="s">
        <v>134</v>
      </c>
      <c r="L3819">
        <v>6</v>
      </c>
      <c r="M3819" t="s">
        <v>16491</v>
      </c>
      <c r="N3819" t="s">
        <v>290</v>
      </c>
      <c r="O3819" t="s">
        <v>9477</v>
      </c>
      <c r="P3819" t="s">
        <v>9477</v>
      </c>
      <c r="Y3819" t="s">
        <v>16492</v>
      </c>
    </row>
    <row r="3820" spans="1:25">
      <c r="A3820" t="s">
        <v>16493</v>
      </c>
      <c r="B3820" t="s">
        <v>16494</v>
      </c>
      <c r="D3820" t="s">
        <v>9473</v>
      </c>
      <c r="E3820" t="s">
        <v>9474</v>
      </c>
      <c r="H3820" t="s">
        <v>16495</v>
      </c>
      <c r="J3820" t="s">
        <v>78</v>
      </c>
      <c r="K3820" t="s">
        <v>79</v>
      </c>
      <c r="L3820">
        <v>6</v>
      </c>
      <c r="M3820" t="s">
        <v>16491</v>
      </c>
      <c r="N3820" t="s">
        <v>47</v>
      </c>
      <c r="O3820" t="s">
        <v>9477</v>
      </c>
      <c r="P3820" t="s">
        <v>9477</v>
      </c>
      <c r="Y3820" t="s">
        <v>16495</v>
      </c>
    </row>
    <row r="3821" spans="1:25">
      <c r="A3821" t="s">
        <v>16496</v>
      </c>
      <c r="B3821" t="s">
        <v>16497</v>
      </c>
      <c r="D3821" t="s">
        <v>9473</v>
      </c>
      <c r="E3821" t="s">
        <v>9474</v>
      </c>
      <c r="J3821" t="s">
        <v>44</v>
      </c>
      <c r="K3821" t="s">
        <v>45</v>
      </c>
      <c r="L3821">
        <v>6</v>
      </c>
      <c r="M3821" t="s">
        <v>16491</v>
      </c>
      <c r="N3821" t="s">
        <v>47</v>
      </c>
      <c r="O3821" t="s">
        <v>9477</v>
      </c>
      <c r="P3821" t="s">
        <v>9477</v>
      </c>
      <c r="Y3821" t="s">
        <v>16498</v>
      </c>
    </row>
    <row r="3822" spans="1:25">
      <c r="A3822" t="s">
        <v>16499</v>
      </c>
      <c r="B3822" t="s">
        <v>16500</v>
      </c>
      <c r="D3822" t="s">
        <v>9473</v>
      </c>
      <c r="E3822" t="s">
        <v>9474</v>
      </c>
      <c r="H3822" t="s">
        <v>16501</v>
      </c>
      <c r="J3822" t="s">
        <v>54</v>
      </c>
      <c r="K3822" t="s">
        <v>55</v>
      </c>
      <c r="L3822">
        <v>6</v>
      </c>
      <c r="M3822" t="s">
        <v>16502</v>
      </c>
      <c r="N3822" t="s">
        <v>47</v>
      </c>
      <c r="O3822" t="s">
        <v>9477</v>
      </c>
      <c r="P3822" t="s">
        <v>9477</v>
      </c>
      <c r="Y3822" t="s">
        <v>16501</v>
      </c>
    </row>
    <row r="3823" spans="1:25">
      <c r="A3823" t="s">
        <v>16503</v>
      </c>
      <c r="B3823" t="s">
        <v>16504</v>
      </c>
      <c r="D3823" t="s">
        <v>9473</v>
      </c>
      <c r="E3823" t="s">
        <v>9474</v>
      </c>
      <c r="J3823" t="s">
        <v>133</v>
      </c>
      <c r="K3823" t="s">
        <v>134</v>
      </c>
      <c r="L3823">
        <v>6</v>
      </c>
      <c r="M3823" t="s">
        <v>16505</v>
      </c>
      <c r="N3823" t="s">
        <v>135</v>
      </c>
      <c r="O3823" t="s">
        <v>9477</v>
      </c>
      <c r="P3823" t="s">
        <v>9477</v>
      </c>
      <c r="Y3823" t="s">
        <v>16506</v>
      </c>
    </row>
    <row r="3824" spans="1:25">
      <c r="A3824" t="s">
        <v>16507</v>
      </c>
      <c r="B3824" t="s">
        <v>16508</v>
      </c>
      <c r="D3824" t="s">
        <v>9473</v>
      </c>
      <c r="E3824" t="s">
        <v>9474</v>
      </c>
      <c r="J3824" t="s">
        <v>78</v>
      </c>
      <c r="K3824" t="s">
        <v>79</v>
      </c>
      <c r="L3824">
        <v>6</v>
      </c>
      <c r="M3824" t="s">
        <v>16505</v>
      </c>
      <c r="N3824" t="s">
        <v>47</v>
      </c>
      <c r="O3824" t="s">
        <v>9477</v>
      </c>
      <c r="P3824" t="s">
        <v>9477</v>
      </c>
      <c r="Y3824" t="s">
        <v>16509</v>
      </c>
    </row>
    <row r="3825" spans="1:25">
      <c r="A3825" t="s">
        <v>16510</v>
      </c>
      <c r="B3825" t="s">
        <v>16511</v>
      </c>
      <c r="D3825" t="s">
        <v>9473</v>
      </c>
      <c r="E3825" t="s">
        <v>9474</v>
      </c>
      <c r="H3825" t="s">
        <v>16512</v>
      </c>
      <c r="J3825" t="s">
        <v>371</v>
      </c>
      <c r="K3825" t="s">
        <v>372</v>
      </c>
      <c r="L3825">
        <v>6</v>
      </c>
      <c r="M3825" t="s">
        <v>16505</v>
      </c>
      <c r="N3825" t="s">
        <v>47</v>
      </c>
      <c r="O3825" t="s">
        <v>9477</v>
      </c>
      <c r="P3825" t="s">
        <v>9477</v>
      </c>
      <c r="Y3825" t="s">
        <v>16512</v>
      </c>
    </row>
    <row r="3826" spans="1:25">
      <c r="A3826" t="s">
        <v>16513</v>
      </c>
      <c r="B3826" t="s">
        <v>16514</v>
      </c>
      <c r="D3826" t="s">
        <v>9473</v>
      </c>
      <c r="E3826" t="s">
        <v>9474</v>
      </c>
      <c r="J3826" t="s">
        <v>90</v>
      </c>
      <c r="K3826" t="s">
        <v>91</v>
      </c>
      <c r="L3826">
        <v>6</v>
      </c>
      <c r="M3826" t="s">
        <v>16505</v>
      </c>
      <c r="N3826" t="s">
        <v>47</v>
      </c>
      <c r="O3826" t="s">
        <v>9477</v>
      </c>
      <c r="P3826" t="s">
        <v>9477</v>
      </c>
      <c r="Y3826" t="s">
        <v>16515</v>
      </c>
    </row>
    <row r="3827" spans="1:25">
      <c r="A3827" t="s">
        <v>16516</v>
      </c>
      <c r="B3827" t="s">
        <v>16517</v>
      </c>
      <c r="D3827" t="s">
        <v>9473</v>
      </c>
      <c r="E3827" t="s">
        <v>9474</v>
      </c>
      <c r="H3827" t="s">
        <v>16518</v>
      </c>
      <c r="J3827" t="s">
        <v>234</v>
      </c>
      <c r="K3827" t="s">
        <v>235</v>
      </c>
      <c r="L3827">
        <v>6</v>
      </c>
      <c r="M3827" t="s">
        <v>16519</v>
      </c>
      <c r="N3827" t="s">
        <v>47</v>
      </c>
      <c r="O3827" t="s">
        <v>9477</v>
      </c>
      <c r="P3827" t="s">
        <v>9477</v>
      </c>
      <c r="Y3827" t="s">
        <v>16518</v>
      </c>
    </row>
    <row r="3828" spans="1:25">
      <c r="A3828" t="s">
        <v>16520</v>
      </c>
      <c r="B3828" t="s">
        <v>16521</v>
      </c>
      <c r="D3828" t="s">
        <v>9473</v>
      </c>
      <c r="E3828" t="s">
        <v>9474</v>
      </c>
      <c r="J3828" t="s">
        <v>78</v>
      </c>
      <c r="K3828" t="s">
        <v>79</v>
      </c>
      <c r="L3828">
        <v>6</v>
      </c>
      <c r="M3828" t="s">
        <v>16522</v>
      </c>
      <c r="N3828" t="s">
        <v>47</v>
      </c>
      <c r="O3828" t="s">
        <v>9477</v>
      </c>
      <c r="P3828" t="s">
        <v>9477</v>
      </c>
      <c r="Y3828" t="s">
        <v>16523</v>
      </c>
    </row>
    <row r="3829" spans="1:25">
      <c r="A3829" t="s">
        <v>16524</v>
      </c>
      <c r="B3829" t="s">
        <v>16525</v>
      </c>
      <c r="D3829" t="s">
        <v>9473</v>
      </c>
      <c r="E3829" t="s">
        <v>9474</v>
      </c>
      <c r="H3829" t="s">
        <v>16526</v>
      </c>
      <c r="J3829" t="s">
        <v>765</v>
      </c>
      <c r="K3829" t="s">
        <v>766</v>
      </c>
      <c r="L3829">
        <v>6</v>
      </c>
      <c r="M3829" t="s">
        <v>16522</v>
      </c>
      <c r="N3829" t="s">
        <v>290</v>
      </c>
      <c r="O3829" t="s">
        <v>9477</v>
      </c>
      <c r="P3829" t="s">
        <v>9477</v>
      </c>
      <c r="Y3829" t="s">
        <v>16526</v>
      </c>
    </row>
    <row r="3830" spans="1:25">
      <c r="A3830" t="s">
        <v>16527</v>
      </c>
      <c r="B3830" t="s">
        <v>16528</v>
      </c>
      <c r="D3830" t="s">
        <v>9473</v>
      </c>
      <c r="E3830" t="s">
        <v>9474</v>
      </c>
      <c r="H3830" t="s">
        <v>16529</v>
      </c>
      <c r="J3830" t="s">
        <v>44</v>
      </c>
      <c r="K3830" t="s">
        <v>45</v>
      </c>
      <c r="L3830">
        <v>6</v>
      </c>
      <c r="M3830" t="s">
        <v>16522</v>
      </c>
      <c r="N3830" t="s">
        <v>47</v>
      </c>
      <c r="O3830" t="s">
        <v>9477</v>
      </c>
      <c r="P3830" t="s">
        <v>9477</v>
      </c>
      <c r="Y3830" t="s">
        <v>16529</v>
      </c>
    </row>
    <row r="3831" spans="1:25">
      <c r="A3831" t="s">
        <v>16530</v>
      </c>
      <c r="B3831" t="s">
        <v>16531</v>
      </c>
      <c r="D3831" t="s">
        <v>9473</v>
      </c>
      <c r="E3831" t="s">
        <v>9474</v>
      </c>
      <c r="J3831" t="s">
        <v>371</v>
      </c>
      <c r="K3831" t="s">
        <v>372</v>
      </c>
      <c r="L3831">
        <v>6</v>
      </c>
      <c r="M3831" t="s">
        <v>16522</v>
      </c>
      <c r="N3831" t="s">
        <v>47</v>
      </c>
      <c r="O3831" t="s">
        <v>9477</v>
      </c>
      <c r="P3831" t="s">
        <v>9477</v>
      </c>
      <c r="Y3831" t="s">
        <v>16532</v>
      </c>
    </row>
    <row r="3832" spans="1:25">
      <c r="A3832" t="s">
        <v>16533</v>
      </c>
      <c r="B3832" t="s">
        <v>16534</v>
      </c>
      <c r="D3832" t="s">
        <v>9473</v>
      </c>
      <c r="E3832" t="s">
        <v>9474</v>
      </c>
      <c r="H3832" t="s">
        <v>16535</v>
      </c>
      <c r="J3832" t="s">
        <v>234</v>
      </c>
      <c r="K3832" t="s">
        <v>235</v>
      </c>
      <c r="L3832">
        <v>6</v>
      </c>
      <c r="M3832" t="s">
        <v>16536</v>
      </c>
      <c r="N3832" t="s">
        <v>47</v>
      </c>
      <c r="O3832" t="s">
        <v>9477</v>
      </c>
      <c r="P3832" t="s">
        <v>9477</v>
      </c>
      <c r="Y3832" t="s">
        <v>16535</v>
      </c>
    </row>
    <row r="3833" spans="1:25">
      <c r="A3833" t="s">
        <v>16537</v>
      </c>
      <c r="B3833" t="s">
        <v>16538</v>
      </c>
      <c r="D3833" t="s">
        <v>9473</v>
      </c>
      <c r="E3833" t="s">
        <v>9474</v>
      </c>
      <c r="H3833" t="s">
        <v>16539</v>
      </c>
      <c r="J3833" t="s">
        <v>541</v>
      </c>
      <c r="K3833" t="s">
        <v>542</v>
      </c>
      <c r="L3833">
        <v>6</v>
      </c>
      <c r="M3833" t="s">
        <v>16540</v>
      </c>
      <c r="N3833" t="s">
        <v>290</v>
      </c>
      <c r="O3833" t="s">
        <v>9477</v>
      </c>
      <c r="P3833" t="s">
        <v>9477</v>
      </c>
      <c r="Y3833" t="s">
        <v>16539</v>
      </c>
    </row>
    <row r="3834" spans="1:25">
      <c r="A3834" t="s">
        <v>16541</v>
      </c>
      <c r="B3834" t="s">
        <v>16542</v>
      </c>
      <c r="D3834" t="s">
        <v>9473</v>
      </c>
      <c r="E3834" t="s">
        <v>9474</v>
      </c>
      <c r="J3834" t="s">
        <v>90</v>
      </c>
      <c r="K3834" t="s">
        <v>91</v>
      </c>
      <c r="L3834">
        <v>6</v>
      </c>
      <c r="M3834" t="s">
        <v>16540</v>
      </c>
      <c r="N3834" t="s">
        <v>47</v>
      </c>
      <c r="O3834" t="s">
        <v>9477</v>
      </c>
      <c r="P3834" t="s">
        <v>9477</v>
      </c>
      <c r="Y3834" t="s">
        <v>16543</v>
      </c>
    </row>
    <row r="3835" spans="1:25">
      <c r="A3835" t="s">
        <v>16544</v>
      </c>
      <c r="B3835" t="s">
        <v>16545</v>
      </c>
      <c r="D3835" t="s">
        <v>9473</v>
      </c>
      <c r="E3835" t="s">
        <v>9474</v>
      </c>
      <c r="H3835" t="s">
        <v>16546</v>
      </c>
      <c r="J3835" t="s">
        <v>78</v>
      </c>
      <c r="K3835" t="s">
        <v>79</v>
      </c>
      <c r="L3835">
        <v>6</v>
      </c>
      <c r="M3835" t="s">
        <v>16540</v>
      </c>
      <c r="N3835" t="s">
        <v>47</v>
      </c>
      <c r="O3835" t="s">
        <v>9477</v>
      </c>
      <c r="P3835" t="s">
        <v>9477</v>
      </c>
      <c r="Y3835" t="s">
        <v>16546</v>
      </c>
    </row>
    <row r="3836" spans="1:25">
      <c r="A3836" t="s">
        <v>16547</v>
      </c>
      <c r="B3836" t="s">
        <v>16548</v>
      </c>
      <c r="D3836" t="s">
        <v>9473</v>
      </c>
      <c r="E3836" t="s">
        <v>9474</v>
      </c>
      <c r="J3836" t="s">
        <v>90</v>
      </c>
      <c r="K3836" t="s">
        <v>91</v>
      </c>
      <c r="L3836">
        <v>6</v>
      </c>
      <c r="M3836" t="s">
        <v>16549</v>
      </c>
      <c r="N3836" t="s">
        <v>47</v>
      </c>
      <c r="O3836" t="s">
        <v>9477</v>
      </c>
      <c r="P3836" t="s">
        <v>9477</v>
      </c>
      <c r="Y3836" t="s">
        <v>16550</v>
      </c>
    </row>
    <row r="3837" spans="1:25">
      <c r="A3837" t="s">
        <v>16551</v>
      </c>
      <c r="B3837" t="s">
        <v>16552</v>
      </c>
      <c r="D3837" t="s">
        <v>9473</v>
      </c>
      <c r="E3837" t="s">
        <v>9474</v>
      </c>
      <c r="J3837" t="s">
        <v>90</v>
      </c>
      <c r="K3837" t="s">
        <v>91</v>
      </c>
      <c r="L3837">
        <v>6</v>
      </c>
      <c r="M3837" t="s">
        <v>16549</v>
      </c>
      <c r="N3837" t="s">
        <v>47</v>
      </c>
      <c r="O3837" t="s">
        <v>9477</v>
      </c>
      <c r="P3837" t="s">
        <v>9477</v>
      </c>
      <c r="Y3837" t="s">
        <v>16553</v>
      </c>
    </row>
    <row r="3838" spans="1:25">
      <c r="A3838" t="s">
        <v>16554</v>
      </c>
      <c r="B3838" t="s">
        <v>16555</v>
      </c>
      <c r="D3838" t="s">
        <v>9473</v>
      </c>
      <c r="E3838" t="s">
        <v>9474</v>
      </c>
      <c r="J3838" t="s">
        <v>54</v>
      </c>
      <c r="K3838" t="s">
        <v>55</v>
      </c>
      <c r="L3838">
        <v>6</v>
      </c>
      <c r="M3838" t="s">
        <v>16549</v>
      </c>
      <c r="N3838" t="s">
        <v>47</v>
      </c>
      <c r="O3838" t="s">
        <v>9477</v>
      </c>
      <c r="P3838" t="s">
        <v>9477</v>
      </c>
      <c r="Y3838" t="s">
        <v>16556</v>
      </c>
    </row>
    <row r="3839" spans="1:25">
      <c r="A3839" t="s">
        <v>16557</v>
      </c>
      <c r="B3839" t="s">
        <v>16558</v>
      </c>
      <c r="D3839" t="s">
        <v>9473</v>
      </c>
      <c r="E3839" t="s">
        <v>9474</v>
      </c>
      <c r="H3839" t="s">
        <v>16559</v>
      </c>
      <c r="J3839" t="s">
        <v>90</v>
      </c>
      <c r="K3839" t="s">
        <v>91</v>
      </c>
      <c r="L3839">
        <v>6</v>
      </c>
      <c r="M3839" t="s">
        <v>16549</v>
      </c>
      <c r="N3839" t="s">
        <v>47</v>
      </c>
      <c r="O3839" t="s">
        <v>9477</v>
      </c>
      <c r="P3839" t="s">
        <v>9477</v>
      </c>
      <c r="Y3839" t="s">
        <v>16559</v>
      </c>
    </row>
    <row r="3840" spans="1:25">
      <c r="A3840" t="s">
        <v>16560</v>
      </c>
      <c r="B3840" t="s">
        <v>16561</v>
      </c>
      <c r="D3840" t="s">
        <v>9473</v>
      </c>
      <c r="E3840" t="s">
        <v>9474</v>
      </c>
      <c r="H3840" t="s">
        <v>16562</v>
      </c>
      <c r="J3840" t="s">
        <v>133</v>
      </c>
      <c r="K3840" t="s">
        <v>134</v>
      </c>
      <c r="L3840">
        <v>6</v>
      </c>
      <c r="M3840" t="s">
        <v>16563</v>
      </c>
      <c r="N3840" t="s">
        <v>135</v>
      </c>
      <c r="O3840" t="s">
        <v>9477</v>
      </c>
      <c r="P3840" t="s">
        <v>9477</v>
      </c>
      <c r="Y3840" t="s">
        <v>16562</v>
      </c>
    </row>
    <row r="3841" spans="1:25">
      <c r="A3841" t="s">
        <v>16564</v>
      </c>
      <c r="B3841" t="s">
        <v>16565</v>
      </c>
      <c r="D3841" t="s">
        <v>9473</v>
      </c>
      <c r="E3841" t="s">
        <v>9474</v>
      </c>
      <c r="H3841" t="s">
        <v>16566</v>
      </c>
      <c r="J3841" t="s">
        <v>90</v>
      </c>
      <c r="K3841" t="s">
        <v>91</v>
      </c>
      <c r="L3841">
        <v>6</v>
      </c>
      <c r="M3841" t="s">
        <v>16567</v>
      </c>
      <c r="N3841" t="s">
        <v>47</v>
      </c>
      <c r="O3841" t="s">
        <v>9477</v>
      </c>
      <c r="P3841" t="s">
        <v>9477</v>
      </c>
      <c r="Y3841" t="s">
        <v>16566</v>
      </c>
    </row>
    <row r="3842" spans="1:25">
      <c r="A3842" t="s">
        <v>16568</v>
      </c>
      <c r="B3842" t="s">
        <v>16569</v>
      </c>
      <c r="D3842" t="s">
        <v>9473</v>
      </c>
      <c r="E3842" t="s">
        <v>9474</v>
      </c>
      <c r="J3842" t="s">
        <v>44</v>
      </c>
      <c r="K3842" t="s">
        <v>45</v>
      </c>
      <c r="L3842">
        <v>6</v>
      </c>
      <c r="M3842" t="s">
        <v>16570</v>
      </c>
      <c r="N3842" t="s">
        <v>47</v>
      </c>
      <c r="O3842" t="s">
        <v>9477</v>
      </c>
      <c r="P3842" t="s">
        <v>9477</v>
      </c>
      <c r="Y3842" t="s">
        <v>16571</v>
      </c>
    </row>
    <row r="3843" spans="1:25">
      <c r="A3843" t="s">
        <v>16572</v>
      </c>
      <c r="B3843" t="s">
        <v>16573</v>
      </c>
      <c r="D3843" t="s">
        <v>9473</v>
      </c>
      <c r="E3843" t="s">
        <v>9474</v>
      </c>
      <c r="J3843" t="s">
        <v>90</v>
      </c>
      <c r="K3843" t="s">
        <v>91</v>
      </c>
      <c r="L3843">
        <v>6</v>
      </c>
      <c r="M3843" t="s">
        <v>16574</v>
      </c>
      <c r="N3843" t="s">
        <v>47</v>
      </c>
      <c r="O3843" t="s">
        <v>9477</v>
      </c>
      <c r="P3843" t="s">
        <v>9477</v>
      </c>
      <c r="Y3843" t="s">
        <v>16575</v>
      </c>
    </row>
    <row r="3844" spans="1:25">
      <c r="A3844" t="s">
        <v>16576</v>
      </c>
      <c r="B3844" t="s">
        <v>16577</v>
      </c>
      <c r="D3844" t="s">
        <v>9473</v>
      </c>
      <c r="E3844" t="s">
        <v>9474</v>
      </c>
      <c r="H3844" t="s">
        <v>16578</v>
      </c>
      <c r="J3844" t="s">
        <v>133</v>
      </c>
      <c r="K3844" t="s">
        <v>134</v>
      </c>
      <c r="L3844">
        <v>6</v>
      </c>
      <c r="M3844" t="s">
        <v>16579</v>
      </c>
      <c r="N3844" t="s">
        <v>290</v>
      </c>
      <c r="O3844" t="s">
        <v>9477</v>
      </c>
      <c r="P3844" t="s">
        <v>9477</v>
      </c>
      <c r="Y3844" t="s">
        <v>16578</v>
      </c>
    </row>
    <row r="3845" spans="1:25">
      <c r="A3845" t="s">
        <v>16580</v>
      </c>
      <c r="B3845" t="s">
        <v>16581</v>
      </c>
      <c r="D3845" t="s">
        <v>9473</v>
      </c>
      <c r="E3845" t="s">
        <v>9474</v>
      </c>
      <c r="H3845" t="s">
        <v>16582</v>
      </c>
      <c r="J3845" t="s">
        <v>90</v>
      </c>
      <c r="K3845" t="s">
        <v>91</v>
      </c>
      <c r="L3845">
        <v>6</v>
      </c>
      <c r="M3845" t="s">
        <v>16583</v>
      </c>
      <c r="N3845" t="s">
        <v>47</v>
      </c>
      <c r="O3845" t="s">
        <v>9477</v>
      </c>
      <c r="P3845" t="s">
        <v>9477</v>
      </c>
      <c r="Y3845" t="s">
        <v>16582</v>
      </c>
    </row>
    <row r="3846" spans="1:25">
      <c r="A3846" t="s">
        <v>16584</v>
      </c>
      <c r="B3846" t="s">
        <v>16585</v>
      </c>
      <c r="D3846" t="s">
        <v>9473</v>
      </c>
      <c r="E3846" t="s">
        <v>9474</v>
      </c>
      <c r="J3846" t="s">
        <v>90</v>
      </c>
      <c r="K3846" t="s">
        <v>91</v>
      </c>
      <c r="L3846">
        <v>6</v>
      </c>
      <c r="M3846" t="s">
        <v>16583</v>
      </c>
      <c r="N3846" t="s">
        <v>47</v>
      </c>
      <c r="O3846" t="s">
        <v>9477</v>
      </c>
      <c r="P3846" t="s">
        <v>9477</v>
      </c>
      <c r="Y3846" t="s">
        <v>16586</v>
      </c>
    </row>
    <row r="3847" spans="1:25">
      <c r="A3847" t="s">
        <v>16587</v>
      </c>
      <c r="B3847" t="s">
        <v>16588</v>
      </c>
      <c r="D3847" t="s">
        <v>9473</v>
      </c>
      <c r="E3847" t="s">
        <v>9474</v>
      </c>
      <c r="J3847" t="s">
        <v>90</v>
      </c>
      <c r="K3847" t="s">
        <v>91</v>
      </c>
      <c r="L3847">
        <v>6</v>
      </c>
      <c r="M3847" t="s">
        <v>16583</v>
      </c>
      <c r="N3847" t="s">
        <v>47</v>
      </c>
      <c r="O3847" t="s">
        <v>9477</v>
      </c>
      <c r="P3847" t="s">
        <v>9477</v>
      </c>
      <c r="Y3847" t="s">
        <v>16589</v>
      </c>
    </row>
    <row r="3848" spans="1:25">
      <c r="A3848" t="s">
        <v>16590</v>
      </c>
      <c r="B3848" t="s">
        <v>16591</v>
      </c>
      <c r="D3848" t="s">
        <v>9473</v>
      </c>
      <c r="E3848" t="s">
        <v>9474</v>
      </c>
      <c r="J3848" t="s">
        <v>78</v>
      </c>
      <c r="K3848" t="s">
        <v>79</v>
      </c>
      <c r="L3848">
        <v>6</v>
      </c>
      <c r="M3848" t="s">
        <v>16592</v>
      </c>
      <c r="N3848" t="s">
        <v>47</v>
      </c>
      <c r="O3848" t="s">
        <v>9477</v>
      </c>
      <c r="P3848" t="s">
        <v>9477</v>
      </c>
      <c r="Y3848" t="s">
        <v>16593</v>
      </c>
    </row>
    <row r="3849" spans="1:25">
      <c r="A3849" t="s">
        <v>16594</v>
      </c>
      <c r="B3849" t="s">
        <v>16595</v>
      </c>
      <c r="D3849" t="s">
        <v>9473</v>
      </c>
      <c r="E3849" t="s">
        <v>9474</v>
      </c>
      <c r="J3849" t="s">
        <v>78</v>
      </c>
      <c r="K3849" t="s">
        <v>79</v>
      </c>
      <c r="L3849">
        <v>6</v>
      </c>
      <c r="M3849" t="s">
        <v>16596</v>
      </c>
      <c r="N3849" t="s">
        <v>47</v>
      </c>
      <c r="O3849" t="s">
        <v>9477</v>
      </c>
      <c r="P3849" t="s">
        <v>9477</v>
      </c>
      <c r="Y3849" t="s">
        <v>16597</v>
      </c>
    </row>
    <row r="3850" spans="1:25">
      <c r="A3850" t="s">
        <v>16598</v>
      </c>
      <c r="B3850" t="s">
        <v>16599</v>
      </c>
      <c r="D3850" t="s">
        <v>9473</v>
      </c>
      <c r="E3850" t="s">
        <v>9474</v>
      </c>
      <c r="J3850" t="s">
        <v>133</v>
      </c>
      <c r="K3850" t="s">
        <v>134</v>
      </c>
      <c r="L3850">
        <v>6</v>
      </c>
      <c r="M3850" t="s">
        <v>16600</v>
      </c>
      <c r="N3850" t="s">
        <v>135</v>
      </c>
      <c r="O3850" t="s">
        <v>9477</v>
      </c>
      <c r="P3850" t="s">
        <v>9477</v>
      </c>
      <c r="Y3850" t="s">
        <v>16601</v>
      </c>
    </row>
    <row r="3851" spans="1:25">
      <c r="A3851" t="s">
        <v>16602</v>
      </c>
      <c r="B3851" t="s">
        <v>16603</v>
      </c>
      <c r="D3851" t="s">
        <v>9473</v>
      </c>
      <c r="E3851" t="s">
        <v>9474</v>
      </c>
      <c r="H3851" t="s">
        <v>16604</v>
      </c>
      <c r="J3851" t="s">
        <v>44</v>
      </c>
      <c r="K3851" t="s">
        <v>45</v>
      </c>
      <c r="L3851">
        <v>6</v>
      </c>
      <c r="M3851" t="s">
        <v>16600</v>
      </c>
      <c r="N3851" t="s">
        <v>47</v>
      </c>
      <c r="O3851" t="s">
        <v>9477</v>
      </c>
      <c r="P3851" t="s">
        <v>9477</v>
      </c>
      <c r="Y3851" t="s">
        <v>16604</v>
      </c>
    </row>
    <row r="3852" spans="1:25">
      <c r="A3852" t="s">
        <v>16605</v>
      </c>
      <c r="B3852" t="s">
        <v>16606</v>
      </c>
      <c r="D3852" t="s">
        <v>9473</v>
      </c>
      <c r="E3852" t="s">
        <v>9474</v>
      </c>
      <c r="J3852" t="s">
        <v>78</v>
      </c>
      <c r="K3852" t="s">
        <v>79</v>
      </c>
      <c r="L3852">
        <v>6</v>
      </c>
      <c r="M3852" t="s">
        <v>16607</v>
      </c>
      <c r="N3852" t="s">
        <v>47</v>
      </c>
      <c r="O3852" t="s">
        <v>9477</v>
      </c>
      <c r="P3852" t="s">
        <v>9477</v>
      </c>
      <c r="Y3852" t="s">
        <v>16608</v>
      </c>
    </row>
    <row r="3853" spans="1:25">
      <c r="A3853" t="s">
        <v>16609</v>
      </c>
      <c r="B3853" t="s">
        <v>16610</v>
      </c>
      <c r="D3853" t="s">
        <v>9473</v>
      </c>
      <c r="E3853" t="s">
        <v>9474</v>
      </c>
      <c r="J3853" t="s">
        <v>90</v>
      </c>
      <c r="K3853" t="s">
        <v>91</v>
      </c>
      <c r="L3853">
        <v>6</v>
      </c>
      <c r="M3853" t="s">
        <v>16607</v>
      </c>
      <c r="N3853" t="s">
        <v>47</v>
      </c>
      <c r="O3853" t="s">
        <v>9477</v>
      </c>
      <c r="P3853" t="s">
        <v>9477</v>
      </c>
      <c r="Y3853" t="s">
        <v>16611</v>
      </c>
    </row>
    <row r="3854" spans="1:25">
      <c r="A3854" t="s">
        <v>16612</v>
      </c>
      <c r="B3854" t="s">
        <v>16613</v>
      </c>
      <c r="D3854" t="s">
        <v>9473</v>
      </c>
      <c r="E3854" t="s">
        <v>9474</v>
      </c>
      <c r="H3854" t="s">
        <v>16614</v>
      </c>
      <c r="J3854" t="s">
        <v>44</v>
      </c>
      <c r="K3854" t="s">
        <v>45</v>
      </c>
      <c r="L3854">
        <v>6</v>
      </c>
      <c r="M3854" t="s">
        <v>16607</v>
      </c>
      <c r="N3854" t="s">
        <v>47</v>
      </c>
      <c r="O3854" t="s">
        <v>9477</v>
      </c>
      <c r="P3854" t="s">
        <v>9477</v>
      </c>
      <c r="Y3854" t="s">
        <v>16614</v>
      </c>
    </row>
    <row r="3855" spans="1:25">
      <c r="A3855" t="s">
        <v>16615</v>
      </c>
      <c r="B3855" t="s">
        <v>16616</v>
      </c>
      <c r="D3855" t="s">
        <v>9473</v>
      </c>
      <c r="E3855" t="s">
        <v>9474</v>
      </c>
      <c r="H3855" t="s">
        <v>16617</v>
      </c>
      <c r="J3855" t="s">
        <v>90</v>
      </c>
      <c r="K3855" t="s">
        <v>91</v>
      </c>
      <c r="L3855">
        <v>6</v>
      </c>
      <c r="M3855" t="s">
        <v>16607</v>
      </c>
      <c r="N3855" t="s">
        <v>47</v>
      </c>
      <c r="O3855" t="s">
        <v>9477</v>
      </c>
      <c r="P3855" t="s">
        <v>9477</v>
      </c>
      <c r="Y3855" t="s">
        <v>16617</v>
      </c>
    </row>
    <row r="3856" spans="1:25">
      <c r="A3856" t="s">
        <v>16618</v>
      </c>
      <c r="B3856" t="s">
        <v>16619</v>
      </c>
      <c r="D3856" t="s">
        <v>9473</v>
      </c>
      <c r="E3856" t="s">
        <v>9474</v>
      </c>
      <c r="H3856" t="s">
        <v>16620</v>
      </c>
      <c r="J3856" t="s">
        <v>234</v>
      </c>
      <c r="K3856" t="s">
        <v>235</v>
      </c>
      <c r="L3856">
        <v>6</v>
      </c>
      <c r="M3856" t="s">
        <v>16621</v>
      </c>
      <c r="N3856" t="s">
        <v>47</v>
      </c>
      <c r="O3856" t="s">
        <v>9477</v>
      </c>
      <c r="P3856" t="s">
        <v>9477</v>
      </c>
      <c r="Y3856" t="s">
        <v>16620</v>
      </c>
    </row>
    <row r="3857" spans="1:25">
      <c r="A3857" t="s">
        <v>16622</v>
      </c>
      <c r="B3857" t="s">
        <v>16623</v>
      </c>
      <c r="D3857" t="s">
        <v>9473</v>
      </c>
      <c r="E3857" t="s">
        <v>9474</v>
      </c>
      <c r="J3857" t="s">
        <v>78</v>
      </c>
      <c r="K3857" t="s">
        <v>79</v>
      </c>
      <c r="L3857">
        <v>6</v>
      </c>
      <c r="M3857" t="s">
        <v>16624</v>
      </c>
      <c r="N3857" t="s">
        <v>47</v>
      </c>
      <c r="O3857" t="s">
        <v>9477</v>
      </c>
      <c r="P3857" t="s">
        <v>9477</v>
      </c>
      <c r="Y3857" t="s">
        <v>16625</v>
      </c>
    </row>
    <row r="3858" spans="1:25">
      <c r="A3858" t="s">
        <v>16626</v>
      </c>
      <c r="B3858" t="s">
        <v>16627</v>
      </c>
      <c r="D3858" t="s">
        <v>9473</v>
      </c>
      <c r="E3858" t="s">
        <v>9474</v>
      </c>
      <c r="H3858" t="s">
        <v>16628</v>
      </c>
      <c r="J3858" t="s">
        <v>353</v>
      </c>
      <c r="K3858" t="s">
        <v>354</v>
      </c>
      <c r="L3858">
        <v>6</v>
      </c>
      <c r="M3858" t="s">
        <v>16629</v>
      </c>
      <c r="N3858" t="s">
        <v>135</v>
      </c>
      <c r="O3858" t="s">
        <v>9477</v>
      </c>
      <c r="P3858" t="s">
        <v>9477</v>
      </c>
      <c r="Y3858" t="s">
        <v>16628</v>
      </c>
    </row>
    <row r="3859" spans="1:25">
      <c r="A3859" t="s">
        <v>16630</v>
      </c>
      <c r="B3859" t="s">
        <v>16631</v>
      </c>
      <c r="D3859" t="s">
        <v>9473</v>
      </c>
      <c r="E3859" t="s">
        <v>9474</v>
      </c>
      <c r="J3859" t="s">
        <v>90</v>
      </c>
      <c r="K3859" t="s">
        <v>91</v>
      </c>
      <c r="L3859">
        <v>6</v>
      </c>
      <c r="M3859" t="s">
        <v>16632</v>
      </c>
      <c r="N3859" t="s">
        <v>47</v>
      </c>
      <c r="O3859" t="s">
        <v>9477</v>
      </c>
      <c r="P3859" t="s">
        <v>9477</v>
      </c>
      <c r="Y3859" t="s">
        <v>16633</v>
      </c>
    </row>
    <row r="3860" spans="1:25">
      <c r="A3860" t="s">
        <v>16634</v>
      </c>
      <c r="B3860" t="s">
        <v>16635</v>
      </c>
      <c r="D3860" t="s">
        <v>9473</v>
      </c>
      <c r="E3860" t="s">
        <v>9474</v>
      </c>
      <c r="J3860" t="s">
        <v>44</v>
      </c>
      <c r="K3860" t="s">
        <v>45</v>
      </c>
      <c r="L3860">
        <v>6</v>
      </c>
      <c r="M3860" t="s">
        <v>16636</v>
      </c>
      <c r="N3860" t="s">
        <v>47</v>
      </c>
      <c r="O3860" t="s">
        <v>9477</v>
      </c>
      <c r="P3860" t="s">
        <v>9477</v>
      </c>
      <c r="Y3860" t="s">
        <v>16637</v>
      </c>
    </row>
    <row r="3861" spans="1:25">
      <c r="A3861" t="s">
        <v>16638</v>
      </c>
      <c r="B3861" t="s">
        <v>16639</v>
      </c>
      <c r="D3861" t="s">
        <v>9473</v>
      </c>
      <c r="E3861" t="s">
        <v>9474</v>
      </c>
      <c r="H3861" t="s">
        <v>16640</v>
      </c>
      <c r="J3861" t="s">
        <v>54</v>
      </c>
      <c r="K3861" t="s">
        <v>55</v>
      </c>
      <c r="L3861">
        <v>6</v>
      </c>
      <c r="M3861" t="s">
        <v>16641</v>
      </c>
      <c r="N3861" t="s">
        <v>47</v>
      </c>
      <c r="O3861" t="s">
        <v>9477</v>
      </c>
      <c r="P3861" t="s">
        <v>9477</v>
      </c>
      <c r="Y3861" t="s">
        <v>16640</v>
      </c>
    </row>
    <row r="3862" spans="1:25">
      <c r="A3862" t="s">
        <v>16642</v>
      </c>
      <c r="B3862" t="s">
        <v>16643</v>
      </c>
      <c r="D3862" t="s">
        <v>9473</v>
      </c>
      <c r="E3862" t="s">
        <v>9474</v>
      </c>
      <c r="J3862" t="s">
        <v>90</v>
      </c>
      <c r="K3862" t="s">
        <v>91</v>
      </c>
      <c r="L3862">
        <v>6</v>
      </c>
      <c r="M3862" t="s">
        <v>16644</v>
      </c>
      <c r="N3862" t="s">
        <v>47</v>
      </c>
      <c r="O3862" t="s">
        <v>9477</v>
      </c>
      <c r="P3862" t="s">
        <v>9477</v>
      </c>
      <c r="Y3862" t="s">
        <v>16645</v>
      </c>
    </row>
    <row r="3863" spans="1:25">
      <c r="A3863" t="s">
        <v>16646</v>
      </c>
      <c r="B3863" t="s">
        <v>16647</v>
      </c>
      <c r="D3863" t="s">
        <v>9473</v>
      </c>
      <c r="E3863" t="s">
        <v>9474</v>
      </c>
      <c r="J3863" t="s">
        <v>90</v>
      </c>
      <c r="K3863" t="s">
        <v>91</v>
      </c>
      <c r="L3863">
        <v>6</v>
      </c>
      <c r="M3863" t="s">
        <v>16644</v>
      </c>
      <c r="N3863" t="s">
        <v>47</v>
      </c>
      <c r="O3863" t="s">
        <v>9477</v>
      </c>
      <c r="P3863" t="s">
        <v>9477</v>
      </c>
      <c r="Y3863" t="s">
        <v>16648</v>
      </c>
    </row>
    <row r="3864" spans="1:25">
      <c r="A3864" t="s">
        <v>16649</v>
      </c>
      <c r="B3864" t="s">
        <v>16650</v>
      </c>
      <c r="D3864" t="s">
        <v>9473</v>
      </c>
      <c r="E3864" t="s">
        <v>9474</v>
      </c>
      <c r="J3864" t="s">
        <v>90</v>
      </c>
      <c r="K3864" t="s">
        <v>91</v>
      </c>
      <c r="L3864">
        <v>6</v>
      </c>
      <c r="M3864" t="s">
        <v>16651</v>
      </c>
      <c r="N3864" t="s">
        <v>47</v>
      </c>
      <c r="O3864" t="s">
        <v>9477</v>
      </c>
      <c r="P3864" t="s">
        <v>9477</v>
      </c>
      <c r="Y3864" t="s">
        <v>16652</v>
      </c>
    </row>
    <row r="3865" spans="1:25">
      <c r="A3865" t="s">
        <v>16653</v>
      </c>
      <c r="B3865" t="s">
        <v>16654</v>
      </c>
      <c r="D3865" t="s">
        <v>9473</v>
      </c>
      <c r="E3865" t="s">
        <v>9474</v>
      </c>
      <c r="J3865" t="s">
        <v>90</v>
      </c>
      <c r="K3865" t="s">
        <v>91</v>
      </c>
      <c r="L3865">
        <v>6</v>
      </c>
      <c r="M3865" t="s">
        <v>16655</v>
      </c>
      <c r="N3865" t="s">
        <v>47</v>
      </c>
      <c r="O3865" t="s">
        <v>9477</v>
      </c>
      <c r="P3865" t="s">
        <v>9477</v>
      </c>
      <c r="Y3865" t="s">
        <v>16656</v>
      </c>
    </row>
    <row r="3866" spans="1:25">
      <c r="A3866" t="s">
        <v>16657</v>
      </c>
      <c r="B3866" t="s">
        <v>16658</v>
      </c>
      <c r="D3866" t="s">
        <v>9473</v>
      </c>
      <c r="E3866" t="s">
        <v>9474</v>
      </c>
      <c r="H3866" t="s">
        <v>16659</v>
      </c>
      <c r="J3866" t="s">
        <v>78</v>
      </c>
      <c r="K3866" t="s">
        <v>79</v>
      </c>
      <c r="L3866">
        <v>6</v>
      </c>
      <c r="M3866" t="s">
        <v>16660</v>
      </c>
      <c r="N3866" t="s">
        <v>47</v>
      </c>
      <c r="O3866" t="s">
        <v>9477</v>
      </c>
      <c r="P3866" t="s">
        <v>9477</v>
      </c>
      <c r="Y3866" t="s">
        <v>16659</v>
      </c>
    </row>
    <row r="3867" spans="1:25">
      <c r="A3867" t="s">
        <v>16661</v>
      </c>
      <c r="B3867" t="s">
        <v>16662</v>
      </c>
      <c r="D3867" t="s">
        <v>9473</v>
      </c>
      <c r="E3867" t="s">
        <v>9474</v>
      </c>
      <c r="H3867" t="s">
        <v>16663</v>
      </c>
      <c r="J3867" t="s">
        <v>1827</v>
      </c>
      <c r="K3867" t="s">
        <v>1828</v>
      </c>
      <c r="L3867">
        <v>6</v>
      </c>
      <c r="M3867" t="s">
        <v>16664</v>
      </c>
      <c r="N3867" t="s">
        <v>47</v>
      </c>
      <c r="O3867" t="s">
        <v>9477</v>
      </c>
      <c r="P3867" t="s">
        <v>9477</v>
      </c>
      <c r="Y3867" t="s">
        <v>16663</v>
      </c>
    </row>
    <row r="3868" spans="1:25">
      <c r="A3868" t="s">
        <v>16665</v>
      </c>
      <c r="B3868" t="s">
        <v>16666</v>
      </c>
      <c r="D3868" t="s">
        <v>9473</v>
      </c>
      <c r="E3868" t="s">
        <v>9474</v>
      </c>
      <c r="J3868" t="s">
        <v>54</v>
      </c>
      <c r="K3868" t="s">
        <v>55</v>
      </c>
      <c r="L3868">
        <v>6</v>
      </c>
      <c r="M3868" t="s">
        <v>16664</v>
      </c>
      <c r="N3868" t="s">
        <v>47</v>
      </c>
      <c r="O3868" t="s">
        <v>9477</v>
      </c>
      <c r="P3868" t="s">
        <v>9477</v>
      </c>
      <c r="Y3868" t="s">
        <v>16667</v>
      </c>
    </row>
    <row r="3869" spans="1:25">
      <c r="A3869" t="s">
        <v>16668</v>
      </c>
      <c r="B3869" t="s">
        <v>16669</v>
      </c>
      <c r="D3869" t="s">
        <v>9473</v>
      </c>
      <c r="E3869" t="s">
        <v>9474</v>
      </c>
      <c r="J3869" t="s">
        <v>44</v>
      </c>
      <c r="K3869" t="s">
        <v>45</v>
      </c>
      <c r="L3869">
        <v>6</v>
      </c>
      <c r="M3869" t="s">
        <v>16664</v>
      </c>
      <c r="N3869" t="s">
        <v>47</v>
      </c>
      <c r="O3869" t="s">
        <v>9477</v>
      </c>
      <c r="P3869" t="s">
        <v>9477</v>
      </c>
      <c r="Y3869" t="s">
        <v>16670</v>
      </c>
    </row>
    <row r="3870" spans="1:25">
      <c r="A3870" t="s">
        <v>16671</v>
      </c>
      <c r="B3870" t="s">
        <v>16672</v>
      </c>
      <c r="D3870" t="s">
        <v>9473</v>
      </c>
      <c r="E3870" t="s">
        <v>9474</v>
      </c>
      <c r="J3870" t="s">
        <v>90</v>
      </c>
      <c r="K3870" t="s">
        <v>91</v>
      </c>
      <c r="L3870">
        <v>6</v>
      </c>
      <c r="M3870" t="s">
        <v>16664</v>
      </c>
      <c r="N3870" t="s">
        <v>47</v>
      </c>
      <c r="O3870" t="s">
        <v>9477</v>
      </c>
      <c r="P3870" t="s">
        <v>9477</v>
      </c>
      <c r="Y3870" t="s">
        <v>16673</v>
      </c>
    </row>
    <row r="3871" spans="1:25">
      <c r="A3871" t="s">
        <v>16674</v>
      </c>
      <c r="B3871" t="s">
        <v>16675</v>
      </c>
      <c r="D3871" t="s">
        <v>9473</v>
      </c>
      <c r="E3871" t="s">
        <v>9474</v>
      </c>
      <c r="H3871" t="s">
        <v>16676</v>
      </c>
      <c r="J3871" t="s">
        <v>234</v>
      </c>
      <c r="K3871" t="s">
        <v>235</v>
      </c>
      <c r="L3871">
        <v>6</v>
      </c>
      <c r="M3871" t="s">
        <v>16677</v>
      </c>
      <c r="N3871" t="s">
        <v>47</v>
      </c>
      <c r="O3871" t="s">
        <v>9477</v>
      </c>
      <c r="P3871" t="s">
        <v>9477</v>
      </c>
      <c r="Y3871" t="s">
        <v>16676</v>
      </c>
    </row>
    <row r="3872" spans="1:25">
      <c r="A3872" t="s">
        <v>16678</v>
      </c>
      <c r="B3872" t="s">
        <v>16679</v>
      </c>
      <c r="D3872" t="s">
        <v>9473</v>
      </c>
      <c r="E3872" t="s">
        <v>9474</v>
      </c>
      <c r="H3872" t="s">
        <v>16680</v>
      </c>
      <c r="J3872" t="s">
        <v>234</v>
      </c>
      <c r="K3872" t="s">
        <v>235</v>
      </c>
      <c r="L3872">
        <v>6</v>
      </c>
      <c r="M3872" t="s">
        <v>16681</v>
      </c>
      <c r="N3872" t="s">
        <v>47</v>
      </c>
      <c r="O3872" t="s">
        <v>9477</v>
      </c>
      <c r="P3872" t="s">
        <v>9477</v>
      </c>
      <c r="Y3872" t="s">
        <v>16680</v>
      </c>
    </row>
    <row r="3873" spans="1:25">
      <c r="A3873" t="s">
        <v>16682</v>
      </c>
      <c r="B3873" t="s">
        <v>16683</v>
      </c>
      <c r="D3873" t="s">
        <v>9473</v>
      </c>
      <c r="E3873" t="s">
        <v>9474</v>
      </c>
      <c r="H3873" t="s">
        <v>16684</v>
      </c>
      <c r="J3873" t="s">
        <v>234</v>
      </c>
      <c r="K3873" t="s">
        <v>235</v>
      </c>
      <c r="L3873">
        <v>6</v>
      </c>
      <c r="M3873" t="s">
        <v>16685</v>
      </c>
      <c r="N3873" t="s">
        <v>47</v>
      </c>
      <c r="O3873" t="s">
        <v>9477</v>
      </c>
      <c r="P3873" t="s">
        <v>9477</v>
      </c>
      <c r="Y3873" t="s">
        <v>16684</v>
      </c>
    </row>
    <row r="3874" spans="1:25">
      <c r="A3874" t="s">
        <v>16686</v>
      </c>
      <c r="B3874" t="s">
        <v>16687</v>
      </c>
      <c r="D3874" t="s">
        <v>9473</v>
      </c>
      <c r="E3874" t="s">
        <v>9474</v>
      </c>
      <c r="H3874" t="s">
        <v>16688</v>
      </c>
      <c r="J3874" t="s">
        <v>234</v>
      </c>
      <c r="K3874" t="s">
        <v>235</v>
      </c>
      <c r="L3874">
        <v>6</v>
      </c>
      <c r="M3874" t="s">
        <v>16689</v>
      </c>
      <c r="N3874" t="s">
        <v>47</v>
      </c>
      <c r="O3874" t="s">
        <v>9477</v>
      </c>
      <c r="P3874" t="s">
        <v>9477</v>
      </c>
      <c r="Y3874" t="s">
        <v>16688</v>
      </c>
    </row>
    <row r="3875" spans="1:25">
      <c r="A3875" t="s">
        <v>16690</v>
      </c>
      <c r="B3875" t="s">
        <v>16691</v>
      </c>
      <c r="D3875" t="s">
        <v>9473</v>
      </c>
      <c r="E3875" t="s">
        <v>9474</v>
      </c>
      <c r="H3875" t="s">
        <v>16692</v>
      </c>
      <c r="J3875" t="s">
        <v>234</v>
      </c>
      <c r="K3875" t="s">
        <v>235</v>
      </c>
      <c r="L3875">
        <v>6</v>
      </c>
      <c r="M3875" t="s">
        <v>16693</v>
      </c>
      <c r="N3875" t="s">
        <v>47</v>
      </c>
      <c r="O3875" t="s">
        <v>9477</v>
      </c>
      <c r="P3875" t="s">
        <v>9477</v>
      </c>
      <c r="Y3875" t="s">
        <v>16692</v>
      </c>
    </row>
    <row r="3876" spans="1:25">
      <c r="A3876" t="s">
        <v>16694</v>
      </c>
      <c r="B3876" t="s">
        <v>16695</v>
      </c>
      <c r="D3876" t="s">
        <v>9473</v>
      </c>
      <c r="E3876" t="s">
        <v>9474</v>
      </c>
      <c r="H3876" t="s">
        <v>16696</v>
      </c>
      <c r="J3876" t="s">
        <v>234</v>
      </c>
      <c r="K3876" t="s">
        <v>235</v>
      </c>
      <c r="L3876">
        <v>6</v>
      </c>
      <c r="M3876" t="s">
        <v>16697</v>
      </c>
      <c r="N3876" t="s">
        <v>47</v>
      </c>
      <c r="O3876" t="s">
        <v>9477</v>
      </c>
      <c r="P3876" t="s">
        <v>9477</v>
      </c>
      <c r="Y3876" t="s">
        <v>16696</v>
      </c>
    </row>
    <row r="3877" spans="1:25">
      <c r="A3877" t="s">
        <v>16698</v>
      </c>
      <c r="B3877" t="s">
        <v>16699</v>
      </c>
      <c r="D3877" t="s">
        <v>9473</v>
      </c>
      <c r="E3877" t="s">
        <v>9474</v>
      </c>
      <c r="H3877" t="s">
        <v>16700</v>
      </c>
      <c r="J3877" t="s">
        <v>234</v>
      </c>
      <c r="K3877" t="s">
        <v>235</v>
      </c>
      <c r="L3877">
        <v>6</v>
      </c>
      <c r="M3877" t="s">
        <v>16701</v>
      </c>
      <c r="N3877" t="s">
        <v>47</v>
      </c>
      <c r="O3877" t="s">
        <v>9477</v>
      </c>
      <c r="P3877" t="s">
        <v>9477</v>
      </c>
      <c r="Y3877" t="s">
        <v>16700</v>
      </c>
    </row>
    <row r="3878" spans="1:25">
      <c r="A3878" t="s">
        <v>16702</v>
      </c>
      <c r="B3878" t="s">
        <v>16703</v>
      </c>
      <c r="D3878" t="s">
        <v>9473</v>
      </c>
      <c r="E3878" t="s">
        <v>9474</v>
      </c>
      <c r="J3878" t="s">
        <v>371</v>
      </c>
      <c r="K3878" t="s">
        <v>372</v>
      </c>
      <c r="L3878">
        <v>6</v>
      </c>
      <c r="M3878" t="s">
        <v>16704</v>
      </c>
      <c r="N3878" t="s">
        <v>47</v>
      </c>
      <c r="O3878" t="s">
        <v>9477</v>
      </c>
      <c r="P3878" t="s">
        <v>9477</v>
      </c>
      <c r="Y3878" t="s">
        <v>16705</v>
      </c>
    </row>
    <row r="3879" spans="1:25">
      <c r="A3879" t="s">
        <v>16706</v>
      </c>
      <c r="B3879" t="s">
        <v>16707</v>
      </c>
      <c r="D3879" t="s">
        <v>9473</v>
      </c>
      <c r="E3879" t="s">
        <v>9474</v>
      </c>
      <c r="J3879" t="s">
        <v>44</v>
      </c>
      <c r="K3879" t="s">
        <v>45</v>
      </c>
      <c r="L3879">
        <v>6</v>
      </c>
      <c r="M3879" t="s">
        <v>16704</v>
      </c>
      <c r="N3879" t="s">
        <v>47</v>
      </c>
      <c r="O3879" t="s">
        <v>9477</v>
      </c>
      <c r="P3879" t="s">
        <v>9477</v>
      </c>
      <c r="Y3879" t="s">
        <v>16708</v>
      </c>
    </row>
    <row r="3880" spans="1:25">
      <c r="A3880" t="s">
        <v>16709</v>
      </c>
      <c r="B3880" t="s">
        <v>16710</v>
      </c>
      <c r="D3880" t="s">
        <v>9473</v>
      </c>
      <c r="E3880" t="s">
        <v>9474</v>
      </c>
      <c r="J3880" t="s">
        <v>78</v>
      </c>
      <c r="K3880" t="s">
        <v>79</v>
      </c>
      <c r="L3880">
        <v>6</v>
      </c>
      <c r="M3880" t="s">
        <v>16711</v>
      </c>
      <c r="N3880" t="s">
        <v>47</v>
      </c>
      <c r="O3880" t="s">
        <v>9477</v>
      </c>
      <c r="P3880" t="s">
        <v>9477</v>
      </c>
      <c r="Y3880" t="s">
        <v>16712</v>
      </c>
    </row>
    <row r="3881" spans="1:25">
      <c r="A3881" t="s">
        <v>16713</v>
      </c>
      <c r="B3881" t="s">
        <v>16714</v>
      </c>
      <c r="D3881" t="s">
        <v>9473</v>
      </c>
      <c r="E3881" t="s">
        <v>9474</v>
      </c>
      <c r="H3881" t="s">
        <v>16715</v>
      </c>
      <c r="J3881" t="s">
        <v>78</v>
      </c>
      <c r="K3881" t="s">
        <v>79</v>
      </c>
      <c r="L3881">
        <v>6</v>
      </c>
      <c r="M3881" t="s">
        <v>16716</v>
      </c>
      <c r="N3881" t="s">
        <v>47</v>
      </c>
      <c r="O3881" t="s">
        <v>9477</v>
      </c>
      <c r="P3881" t="s">
        <v>9477</v>
      </c>
      <c r="Y3881" t="s">
        <v>16715</v>
      </c>
    </row>
    <row r="3882" spans="1:25">
      <c r="A3882" t="s">
        <v>16717</v>
      </c>
      <c r="B3882" t="s">
        <v>16718</v>
      </c>
      <c r="D3882" t="s">
        <v>9473</v>
      </c>
      <c r="E3882" t="s">
        <v>9474</v>
      </c>
      <c r="J3882" t="s">
        <v>44</v>
      </c>
      <c r="K3882" t="s">
        <v>45</v>
      </c>
      <c r="L3882">
        <v>6</v>
      </c>
      <c r="M3882" t="s">
        <v>16716</v>
      </c>
      <c r="N3882" t="s">
        <v>47</v>
      </c>
      <c r="O3882" t="s">
        <v>9477</v>
      </c>
      <c r="P3882" t="s">
        <v>9477</v>
      </c>
      <c r="Y3882" t="s">
        <v>16719</v>
      </c>
    </row>
    <row r="3883" spans="1:25">
      <c r="A3883" t="s">
        <v>16720</v>
      </c>
      <c r="B3883" t="s">
        <v>16721</v>
      </c>
      <c r="D3883" t="s">
        <v>9473</v>
      </c>
      <c r="E3883" t="s">
        <v>9474</v>
      </c>
      <c r="J3883" t="s">
        <v>54</v>
      </c>
      <c r="K3883" t="s">
        <v>55</v>
      </c>
      <c r="L3883">
        <v>6</v>
      </c>
      <c r="M3883" t="s">
        <v>16716</v>
      </c>
      <c r="N3883" t="s">
        <v>47</v>
      </c>
      <c r="O3883" t="s">
        <v>9477</v>
      </c>
      <c r="P3883" t="s">
        <v>9477</v>
      </c>
      <c r="Y3883" t="s">
        <v>16722</v>
      </c>
    </row>
    <row r="3884" spans="1:25">
      <c r="A3884" t="s">
        <v>16723</v>
      </c>
      <c r="B3884" t="s">
        <v>16724</v>
      </c>
      <c r="D3884" t="s">
        <v>9473</v>
      </c>
      <c r="E3884" t="s">
        <v>9474</v>
      </c>
      <c r="J3884" t="s">
        <v>78</v>
      </c>
      <c r="K3884" t="s">
        <v>79</v>
      </c>
      <c r="L3884">
        <v>6</v>
      </c>
      <c r="M3884" t="s">
        <v>16725</v>
      </c>
      <c r="N3884" t="s">
        <v>47</v>
      </c>
      <c r="O3884" t="s">
        <v>9477</v>
      </c>
      <c r="P3884" t="s">
        <v>9477</v>
      </c>
      <c r="Y3884" t="s">
        <v>16726</v>
      </c>
    </row>
    <row r="3885" spans="1:25">
      <c r="A3885" t="s">
        <v>16727</v>
      </c>
      <c r="B3885" t="s">
        <v>16728</v>
      </c>
      <c r="D3885" t="s">
        <v>9473</v>
      </c>
      <c r="E3885" t="s">
        <v>9474</v>
      </c>
      <c r="J3885" t="s">
        <v>44</v>
      </c>
      <c r="K3885" t="s">
        <v>45</v>
      </c>
      <c r="L3885">
        <v>6</v>
      </c>
      <c r="M3885" t="s">
        <v>16729</v>
      </c>
      <c r="N3885" t="s">
        <v>47</v>
      </c>
      <c r="O3885" t="s">
        <v>9477</v>
      </c>
      <c r="P3885" t="s">
        <v>9477</v>
      </c>
      <c r="Y3885" t="s">
        <v>16730</v>
      </c>
    </row>
    <row r="3886" spans="1:25">
      <c r="A3886" t="s">
        <v>16731</v>
      </c>
      <c r="B3886" t="s">
        <v>16732</v>
      </c>
      <c r="D3886" t="s">
        <v>9473</v>
      </c>
      <c r="E3886" t="s">
        <v>9474</v>
      </c>
      <c r="H3886" t="s">
        <v>16733</v>
      </c>
      <c r="J3886" t="s">
        <v>133</v>
      </c>
      <c r="K3886" t="s">
        <v>134</v>
      </c>
      <c r="L3886">
        <v>6</v>
      </c>
      <c r="M3886" t="s">
        <v>16734</v>
      </c>
      <c r="N3886" t="s">
        <v>685</v>
      </c>
      <c r="O3886" t="s">
        <v>9477</v>
      </c>
      <c r="P3886" t="s">
        <v>9477</v>
      </c>
      <c r="Y3886" t="s">
        <v>16733</v>
      </c>
    </row>
    <row r="3887" spans="1:25">
      <c r="A3887" t="s">
        <v>16735</v>
      </c>
      <c r="B3887" t="s">
        <v>16736</v>
      </c>
      <c r="D3887" t="s">
        <v>9473</v>
      </c>
      <c r="E3887" t="s">
        <v>9474</v>
      </c>
      <c r="J3887" t="s">
        <v>90</v>
      </c>
      <c r="K3887" t="s">
        <v>91</v>
      </c>
      <c r="L3887">
        <v>6</v>
      </c>
      <c r="M3887" t="s">
        <v>16737</v>
      </c>
      <c r="N3887" t="s">
        <v>47</v>
      </c>
      <c r="O3887" t="s">
        <v>9477</v>
      </c>
      <c r="P3887" t="s">
        <v>9477</v>
      </c>
      <c r="Y3887" t="s">
        <v>16738</v>
      </c>
    </row>
    <row r="3888" spans="1:25">
      <c r="A3888" t="s">
        <v>16739</v>
      </c>
      <c r="B3888" t="s">
        <v>16740</v>
      </c>
      <c r="D3888" t="s">
        <v>9473</v>
      </c>
      <c r="E3888" t="s">
        <v>9474</v>
      </c>
      <c r="J3888" t="s">
        <v>44</v>
      </c>
      <c r="K3888" t="s">
        <v>45</v>
      </c>
      <c r="L3888">
        <v>6</v>
      </c>
      <c r="M3888" t="s">
        <v>16741</v>
      </c>
      <c r="N3888" t="s">
        <v>47</v>
      </c>
      <c r="O3888" t="s">
        <v>9477</v>
      </c>
      <c r="P3888" t="s">
        <v>9477</v>
      </c>
      <c r="Y3888" t="s">
        <v>16742</v>
      </c>
    </row>
    <row r="3889" spans="1:25">
      <c r="A3889" t="s">
        <v>16743</v>
      </c>
      <c r="B3889" t="s">
        <v>16744</v>
      </c>
      <c r="D3889" t="s">
        <v>9473</v>
      </c>
      <c r="E3889" t="s">
        <v>9474</v>
      </c>
      <c r="H3889" t="s">
        <v>16745</v>
      </c>
      <c r="J3889" t="s">
        <v>78</v>
      </c>
      <c r="K3889" t="s">
        <v>79</v>
      </c>
      <c r="L3889">
        <v>6</v>
      </c>
      <c r="M3889" t="s">
        <v>16741</v>
      </c>
      <c r="N3889" t="s">
        <v>47</v>
      </c>
      <c r="O3889" t="s">
        <v>9477</v>
      </c>
      <c r="P3889" t="s">
        <v>9477</v>
      </c>
      <c r="Y3889" t="s">
        <v>16745</v>
      </c>
    </row>
    <row r="3890" spans="1:25">
      <c r="A3890" t="s">
        <v>16746</v>
      </c>
      <c r="B3890" t="s">
        <v>16747</v>
      </c>
      <c r="D3890" t="s">
        <v>9473</v>
      </c>
      <c r="E3890" t="s">
        <v>9474</v>
      </c>
      <c r="H3890" t="s">
        <v>16748</v>
      </c>
      <c r="J3890" t="s">
        <v>90</v>
      </c>
      <c r="K3890" t="s">
        <v>91</v>
      </c>
      <c r="L3890">
        <v>6</v>
      </c>
      <c r="M3890" t="s">
        <v>16749</v>
      </c>
      <c r="N3890" t="s">
        <v>47</v>
      </c>
      <c r="O3890" t="s">
        <v>9477</v>
      </c>
      <c r="P3890" t="s">
        <v>9477</v>
      </c>
      <c r="Y3890" t="s">
        <v>16748</v>
      </c>
    </row>
    <row r="3891" spans="1:25">
      <c r="A3891" t="s">
        <v>16750</v>
      </c>
      <c r="B3891" t="s">
        <v>16751</v>
      </c>
      <c r="D3891" t="s">
        <v>9473</v>
      </c>
      <c r="E3891" t="s">
        <v>9474</v>
      </c>
      <c r="H3891" t="s">
        <v>16752</v>
      </c>
      <c r="J3891" t="s">
        <v>133</v>
      </c>
      <c r="K3891" t="s">
        <v>134</v>
      </c>
      <c r="L3891">
        <v>6</v>
      </c>
      <c r="M3891" t="s">
        <v>16753</v>
      </c>
      <c r="N3891" t="s">
        <v>685</v>
      </c>
      <c r="O3891" t="s">
        <v>9477</v>
      </c>
      <c r="P3891" t="s">
        <v>9477</v>
      </c>
      <c r="Y3891" t="s">
        <v>16752</v>
      </c>
    </row>
    <row r="3892" spans="1:25">
      <c r="A3892" t="s">
        <v>16754</v>
      </c>
      <c r="B3892" t="s">
        <v>16755</v>
      </c>
      <c r="D3892" t="s">
        <v>9473</v>
      </c>
      <c r="E3892" t="s">
        <v>9474</v>
      </c>
      <c r="H3892" t="s">
        <v>16756</v>
      </c>
      <c r="J3892" t="s">
        <v>54</v>
      </c>
      <c r="K3892" t="s">
        <v>55</v>
      </c>
      <c r="L3892">
        <v>6</v>
      </c>
      <c r="M3892" t="s">
        <v>16753</v>
      </c>
      <c r="N3892" t="s">
        <v>47</v>
      </c>
      <c r="O3892" t="s">
        <v>9477</v>
      </c>
      <c r="P3892" t="s">
        <v>9477</v>
      </c>
      <c r="Y3892" t="s">
        <v>16756</v>
      </c>
    </row>
    <row r="3893" spans="1:25">
      <c r="A3893" t="s">
        <v>16757</v>
      </c>
      <c r="B3893" t="s">
        <v>16758</v>
      </c>
      <c r="D3893" t="s">
        <v>9473</v>
      </c>
      <c r="E3893" t="s">
        <v>9474</v>
      </c>
      <c r="H3893" t="s">
        <v>16759</v>
      </c>
      <c r="J3893" t="s">
        <v>78</v>
      </c>
      <c r="K3893" t="s">
        <v>79</v>
      </c>
      <c r="L3893">
        <v>6</v>
      </c>
      <c r="M3893" t="s">
        <v>16753</v>
      </c>
      <c r="N3893" t="s">
        <v>47</v>
      </c>
      <c r="O3893" t="s">
        <v>9477</v>
      </c>
      <c r="P3893" t="s">
        <v>9477</v>
      </c>
      <c r="Y3893" t="s">
        <v>16759</v>
      </c>
    </row>
    <row r="3894" spans="1:25">
      <c r="A3894" t="s">
        <v>16760</v>
      </c>
      <c r="B3894" t="s">
        <v>16761</v>
      </c>
      <c r="D3894" t="s">
        <v>9473</v>
      </c>
      <c r="E3894" t="s">
        <v>9474</v>
      </c>
      <c r="J3894" t="s">
        <v>44</v>
      </c>
      <c r="K3894" t="s">
        <v>45</v>
      </c>
      <c r="L3894">
        <v>6</v>
      </c>
      <c r="M3894" t="s">
        <v>16753</v>
      </c>
      <c r="N3894" t="s">
        <v>47</v>
      </c>
      <c r="O3894" t="s">
        <v>9477</v>
      </c>
      <c r="P3894" t="s">
        <v>9477</v>
      </c>
      <c r="Y3894" t="s">
        <v>16762</v>
      </c>
    </row>
    <row r="3895" spans="1:25">
      <c r="A3895" t="s">
        <v>16763</v>
      </c>
      <c r="B3895" t="s">
        <v>16764</v>
      </c>
      <c r="D3895" t="s">
        <v>9473</v>
      </c>
      <c r="E3895" t="s">
        <v>9474</v>
      </c>
      <c r="J3895" t="s">
        <v>133</v>
      </c>
      <c r="K3895" t="s">
        <v>134</v>
      </c>
      <c r="L3895">
        <v>6</v>
      </c>
      <c r="M3895" t="s">
        <v>16765</v>
      </c>
      <c r="N3895" t="s">
        <v>685</v>
      </c>
      <c r="O3895" t="s">
        <v>9477</v>
      </c>
      <c r="P3895" t="s">
        <v>9477</v>
      </c>
      <c r="Y3895" t="s">
        <v>16766</v>
      </c>
    </row>
    <row r="3896" spans="1:25">
      <c r="A3896" t="s">
        <v>16767</v>
      </c>
      <c r="B3896" t="s">
        <v>16768</v>
      </c>
      <c r="D3896" t="s">
        <v>9473</v>
      </c>
      <c r="E3896" t="s">
        <v>9474</v>
      </c>
      <c r="H3896" t="s">
        <v>16769</v>
      </c>
      <c r="J3896" t="s">
        <v>78</v>
      </c>
      <c r="K3896" t="s">
        <v>79</v>
      </c>
      <c r="L3896">
        <v>6</v>
      </c>
      <c r="M3896" t="s">
        <v>16765</v>
      </c>
      <c r="N3896" t="s">
        <v>47</v>
      </c>
      <c r="O3896" t="s">
        <v>9477</v>
      </c>
      <c r="P3896" t="s">
        <v>9477</v>
      </c>
      <c r="Y3896" t="s">
        <v>16769</v>
      </c>
    </row>
    <row r="3897" spans="1:25">
      <c r="A3897" t="s">
        <v>16770</v>
      </c>
      <c r="B3897" t="s">
        <v>16771</v>
      </c>
      <c r="D3897" t="s">
        <v>9473</v>
      </c>
      <c r="E3897" t="s">
        <v>9474</v>
      </c>
      <c r="H3897" t="s">
        <v>16772</v>
      </c>
      <c r="J3897" t="s">
        <v>133</v>
      </c>
      <c r="K3897" t="s">
        <v>134</v>
      </c>
      <c r="L3897">
        <v>6</v>
      </c>
      <c r="M3897" t="s">
        <v>16773</v>
      </c>
      <c r="N3897" t="s">
        <v>685</v>
      </c>
      <c r="O3897" t="s">
        <v>9477</v>
      </c>
      <c r="P3897" t="s">
        <v>9477</v>
      </c>
      <c r="Y3897" t="s">
        <v>16772</v>
      </c>
    </row>
    <row r="3898" spans="1:25">
      <c r="A3898" t="s">
        <v>16774</v>
      </c>
      <c r="B3898" t="s">
        <v>16775</v>
      </c>
      <c r="D3898" t="s">
        <v>9473</v>
      </c>
      <c r="E3898" t="s">
        <v>9474</v>
      </c>
      <c r="J3898" t="s">
        <v>287</v>
      </c>
      <c r="K3898" t="s">
        <v>288</v>
      </c>
      <c r="L3898">
        <v>8</v>
      </c>
      <c r="M3898" t="s">
        <v>16776</v>
      </c>
      <c r="N3898" t="s">
        <v>685</v>
      </c>
      <c r="O3898" t="s">
        <v>9477</v>
      </c>
      <c r="P3898" t="s">
        <v>9477</v>
      </c>
      <c r="Y3898" t="s">
        <v>16777</v>
      </c>
    </row>
    <row r="3899" spans="1:25">
      <c r="A3899" t="s">
        <v>16778</v>
      </c>
      <c r="B3899" t="s">
        <v>16779</v>
      </c>
      <c r="D3899" t="s">
        <v>9473</v>
      </c>
      <c r="E3899" t="s">
        <v>9474</v>
      </c>
      <c r="J3899" t="s">
        <v>371</v>
      </c>
      <c r="K3899" t="s">
        <v>372</v>
      </c>
      <c r="L3899">
        <v>6</v>
      </c>
      <c r="M3899" t="s">
        <v>16780</v>
      </c>
      <c r="N3899" t="s">
        <v>47</v>
      </c>
      <c r="O3899" t="s">
        <v>9477</v>
      </c>
      <c r="P3899" t="s">
        <v>9477</v>
      </c>
      <c r="Y3899" t="s">
        <v>16781</v>
      </c>
    </row>
    <row r="3900" spans="1:25">
      <c r="A3900" t="s">
        <v>16782</v>
      </c>
      <c r="B3900" t="s">
        <v>16783</v>
      </c>
      <c r="D3900" t="s">
        <v>9473</v>
      </c>
      <c r="E3900" t="s">
        <v>9474</v>
      </c>
      <c r="J3900" t="s">
        <v>78</v>
      </c>
      <c r="K3900" t="s">
        <v>79</v>
      </c>
      <c r="L3900">
        <v>6</v>
      </c>
      <c r="M3900" t="s">
        <v>16784</v>
      </c>
      <c r="N3900" t="s">
        <v>47</v>
      </c>
      <c r="O3900" t="s">
        <v>9477</v>
      </c>
      <c r="P3900" t="s">
        <v>9477</v>
      </c>
      <c r="Y3900" t="s">
        <v>16785</v>
      </c>
    </row>
    <row r="3901" spans="1:25">
      <c r="A3901" t="s">
        <v>16786</v>
      </c>
      <c r="B3901" t="s">
        <v>16787</v>
      </c>
      <c r="D3901" t="s">
        <v>9473</v>
      </c>
      <c r="E3901" t="s">
        <v>9474</v>
      </c>
      <c r="J3901" t="s">
        <v>90</v>
      </c>
      <c r="K3901" t="s">
        <v>91</v>
      </c>
      <c r="L3901">
        <v>6</v>
      </c>
      <c r="M3901" t="s">
        <v>16788</v>
      </c>
      <c r="N3901" t="s">
        <v>47</v>
      </c>
      <c r="O3901" t="s">
        <v>9477</v>
      </c>
      <c r="P3901" t="s">
        <v>9477</v>
      </c>
      <c r="Y3901" t="s">
        <v>16789</v>
      </c>
    </row>
    <row r="3902" spans="1:25">
      <c r="A3902" t="s">
        <v>16790</v>
      </c>
      <c r="B3902" t="s">
        <v>16791</v>
      </c>
      <c r="D3902" t="s">
        <v>9473</v>
      </c>
      <c r="E3902" t="s">
        <v>9474</v>
      </c>
      <c r="H3902" t="s">
        <v>16792</v>
      </c>
      <c r="J3902" t="s">
        <v>133</v>
      </c>
      <c r="K3902" t="s">
        <v>134</v>
      </c>
      <c r="L3902">
        <v>6</v>
      </c>
      <c r="M3902" t="s">
        <v>16793</v>
      </c>
      <c r="N3902" t="s">
        <v>685</v>
      </c>
      <c r="O3902" t="s">
        <v>9477</v>
      </c>
      <c r="P3902" t="s">
        <v>9477</v>
      </c>
      <c r="Y3902" t="s">
        <v>16792</v>
      </c>
    </row>
    <row r="3903" spans="1:25">
      <c r="A3903" t="s">
        <v>16794</v>
      </c>
      <c r="B3903" t="s">
        <v>16795</v>
      </c>
      <c r="D3903" t="s">
        <v>9473</v>
      </c>
      <c r="E3903" t="s">
        <v>9474</v>
      </c>
      <c r="H3903" t="s">
        <v>16796</v>
      </c>
      <c r="J3903" t="s">
        <v>90</v>
      </c>
      <c r="K3903" t="s">
        <v>91</v>
      </c>
      <c r="L3903">
        <v>6</v>
      </c>
      <c r="M3903" t="s">
        <v>16797</v>
      </c>
      <c r="N3903" t="s">
        <v>47</v>
      </c>
      <c r="O3903" t="s">
        <v>9477</v>
      </c>
      <c r="P3903" t="s">
        <v>9477</v>
      </c>
      <c r="Y3903" t="s">
        <v>16796</v>
      </c>
    </row>
    <row r="3904" spans="1:25">
      <c r="A3904" t="s">
        <v>16798</v>
      </c>
      <c r="B3904" t="s">
        <v>16799</v>
      </c>
      <c r="D3904" t="s">
        <v>9473</v>
      </c>
      <c r="E3904" t="s">
        <v>9474</v>
      </c>
      <c r="J3904" t="s">
        <v>54</v>
      </c>
      <c r="K3904" t="s">
        <v>55</v>
      </c>
      <c r="L3904">
        <v>6</v>
      </c>
      <c r="M3904" t="s">
        <v>16797</v>
      </c>
      <c r="N3904" t="s">
        <v>47</v>
      </c>
      <c r="O3904" t="s">
        <v>9477</v>
      </c>
      <c r="P3904" t="s">
        <v>9477</v>
      </c>
      <c r="Y3904" t="s">
        <v>16800</v>
      </c>
    </row>
    <row r="3905" spans="1:25">
      <c r="A3905" t="s">
        <v>16801</v>
      </c>
      <c r="B3905" t="s">
        <v>16802</v>
      </c>
      <c r="D3905" t="s">
        <v>9473</v>
      </c>
      <c r="E3905" t="s">
        <v>9474</v>
      </c>
      <c r="J3905" t="s">
        <v>90</v>
      </c>
      <c r="K3905" t="s">
        <v>91</v>
      </c>
      <c r="L3905">
        <v>6</v>
      </c>
      <c r="M3905" t="s">
        <v>16803</v>
      </c>
      <c r="N3905" t="s">
        <v>47</v>
      </c>
      <c r="O3905" t="s">
        <v>9477</v>
      </c>
      <c r="P3905" t="s">
        <v>9477</v>
      </c>
      <c r="Y3905" t="s">
        <v>16804</v>
      </c>
    </row>
    <row r="3906" spans="1:25">
      <c r="A3906" t="s">
        <v>16805</v>
      </c>
      <c r="B3906" t="s">
        <v>16806</v>
      </c>
      <c r="D3906" t="s">
        <v>9473</v>
      </c>
      <c r="E3906" t="s">
        <v>9474</v>
      </c>
      <c r="J3906" t="s">
        <v>90</v>
      </c>
      <c r="K3906" t="s">
        <v>91</v>
      </c>
      <c r="L3906">
        <v>6</v>
      </c>
      <c r="M3906" t="s">
        <v>16803</v>
      </c>
      <c r="N3906" t="s">
        <v>47</v>
      </c>
      <c r="O3906" t="s">
        <v>9477</v>
      </c>
      <c r="P3906" t="s">
        <v>9477</v>
      </c>
      <c r="Y3906" t="s">
        <v>16807</v>
      </c>
    </row>
    <row r="3907" spans="1:25">
      <c r="A3907" t="s">
        <v>16808</v>
      </c>
      <c r="B3907" t="s">
        <v>16809</v>
      </c>
      <c r="D3907" t="s">
        <v>9473</v>
      </c>
      <c r="E3907" t="s">
        <v>9474</v>
      </c>
      <c r="J3907" t="s">
        <v>54</v>
      </c>
      <c r="K3907" t="s">
        <v>55</v>
      </c>
      <c r="L3907">
        <v>6</v>
      </c>
      <c r="M3907" t="s">
        <v>16803</v>
      </c>
      <c r="N3907" t="s">
        <v>47</v>
      </c>
      <c r="O3907" t="s">
        <v>9477</v>
      </c>
      <c r="P3907" t="s">
        <v>9477</v>
      </c>
      <c r="Y3907" t="s">
        <v>16810</v>
      </c>
    </row>
    <row r="3908" spans="1:25">
      <c r="A3908" t="s">
        <v>16811</v>
      </c>
      <c r="B3908" t="s">
        <v>16812</v>
      </c>
      <c r="D3908" t="s">
        <v>9473</v>
      </c>
      <c r="E3908" t="s">
        <v>9474</v>
      </c>
      <c r="H3908" t="s">
        <v>16813</v>
      </c>
      <c r="J3908" t="s">
        <v>44</v>
      </c>
      <c r="K3908" t="s">
        <v>45</v>
      </c>
      <c r="L3908">
        <v>6</v>
      </c>
      <c r="M3908" t="s">
        <v>16814</v>
      </c>
      <c r="N3908" t="s">
        <v>47</v>
      </c>
      <c r="O3908" t="s">
        <v>9477</v>
      </c>
      <c r="P3908" t="s">
        <v>9477</v>
      </c>
      <c r="Y3908" t="s">
        <v>16813</v>
      </c>
    </row>
    <row r="3909" spans="1:25">
      <c r="A3909" t="s">
        <v>16815</v>
      </c>
      <c r="B3909" t="s">
        <v>16816</v>
      </c>
      <c r="D3909" t="s">
        <v>9473</v>
      </c>
      <c r="E3909" t="s">
        <v>9474</v>
      </c>
      <c r="J3909" t="s">
        <v>90</v>
      </c>
      <c r="K3909" t="s">
        <v>91</v>
      </c>
      <c r="L3909">
        <v>6</v>
      </c>
      <c r="M3909" t="s">
        <v>16817</v>
      </c>
      <c r="N3909" t="s">
        <v>47</v>
      </c>
      <c r="O3909" t="s">
        <v>9477</v>
      </c>
      <c r="P3909" t="s">
        <v>9477</v>
      </c>
      <c r="Y3909" t="s">
        <v>16818</v>
      </c>
    </row>
    <row r="3910" spans="1:25">
      <c r="A3910" t="s">
        <v>16819</v>
      </c>
      <c r="B3910" t="s">
        <v>16820</v>
      </c>
      <c r="D3910" t="s">
        <v>9473</v>
      </c>
      <c r="E3910" t="s">
        <v>9474</v>
      </c>
      <c r="J3910" t="s">
        <v>44</v>
      </c>
      <c r="K3910" t="s">
        <v>45</v>
      </c>
      <c r="L3910">
        <v>6</v>
      </c>
      <c r="M3910" t="s">
        <v>16821</v>
      </c>
      <c r="N3910" t="s">
        <v>47</v>
      </c>
      <c r="O3910" t="s">
        <v>9477</v>
      </c>
      <c r="P3910" t="s">
        <v>9477</v>
      </c>
      <c r="Y3910" t="s">
        <v>16822</v>
      </c>
    </row>
    <row r="3911" spans="1:25">
      <c r="A3911" t="s">
        <v>16823</v>
      </c>
      <c r="B3911" t="s">
        <v>16824</v>
      </c>
      <c r="D3911" t="s">
        <v>9473</v>
      </c>
      <c r="E3911" t="s">
        <v>9474</v>
      </c>
      <c r="J3911" t="s">
        <v>90</v>
      </c>
      <c r="K3911" t="s">
        <v>91</v>
      </c>
      <c r="L3911">
        <v>6</v>
      </c>
      <c r="M3911" t="s">
        <v>16821</v>
      </c>
      <c r="N3911" t="s">
        <v>47</v>
      </c>
      <c r="O3911" t="s">
        <v>9477</v>
      </c>
      <c r="P3911" t="s">
        <v>9477</v>
      </c>
      <c r="Y3911" t="s">
        <v>16825</v>
      </c>
    </row>
    <row r="3912" spans="1:25">
      <c r="A3912" t="s">
        <v>16826</v>
      </c>
      <c r="B3912" t="s">
        <v>16827</v>
      </c>
      <c r="D3912" t="s">
        <v>9473</v>
      </c>
      <c r="E3912" t="s">
        <v>9474</v>
      </c>
      <c r="J3912" t="s">
        <v>90</v>
      </c>
      <c r="K3912" t="s">
        <v>91</v>
      </c>
      <c r="L3912">
        <v>6</v>
      </c>
      <c r="M3912" t="s">
        <v>16828</v>
      </c>
      <c r="N3912" t="s">
        <v>47</v>
      </c>
      <c r="O3912" t="s">
        <v>9477</v>
      </c>
      <c r="P3912" t="s">
        <v>9477</v>
      </c>
      <c r="Y3912" t="s">
        <v>16829</v>
      </c>
    </row>
    <row r="3913" spans="1:25">
      <c r="A3913" t="s">
        <v>16830</v>
      </c>
      <c r="B3913" t="s">
        <v>16831</v>
      </c>
      <c r="D3913" t="s">
        <v>9473</v>
      </c>
      <c r="E3913" t="s">
        <v>9474</v>
      </c>
      <c r="J3913" t="s">
        <v>133</v>
      </c>
      <c r="K3913" t="s">
        <v>134</v>
      </c>
      <c r="L3913">
        <v>6</v>
      </c>
      <c r="M3913" t="s">
        <v>16828</v>
      </c>
      <c r="N3913" t="s">
        <v>685</v>
      </c>
      <c r="O3913" t="s">
        <v>9477</v>
      </c>
      <c r="P3913" t="s">
        <v>9477</v>
      </c>
      <c r="Y3913" t="s">
        <v>16832</v>
      </c>
    </row>
    <row r="3914" spans="1:25">
      <c r="A3914" t="s">
        <v>16833</v>
      </c>
      <c r="B3914" t="s">
        <v>16834</v>
      </c>
      <c r="D3914" t="s">
        <v>9473</v>
      </c>
      <c r="E3914" t="s">
        <v>9474</v>
      </c>
      <c r="J3914" t="s">
        <v>90</v>
      </c>
      <c r="K3914" t="s">
        <v>91</v>
      </c>
      <c r="L3914">
        <v>6</v>
      </c>
      <c r="M3914" t="s">
        <v>16835</v>
      </c>
      <c r="N3914" t="s">
        <v>47</v>
      </c>
      <c r="O3914" t="s">
        <v>9477</v>
      </c>
      <c r="P3914" t="s">
        <v>9477</v>
      </c>
      <c r="Y3914" t="s">
        <v>16836</v>
      </c>
    </row>
    <row r="3915" spans="1:25">
      <c r="A3915" t="s">
        <v>16837</v>
      </c>
      <c r="B3915" t="s">
        <v>16838</v>
      </c>
      <c r="D3915" t="s">
        <v>9473</v>
      </c>
      <c r="E3915" t="s">
        <v>9474</v>
      </c>
      <c r="J3915" t="s">
        <v>78</v>
      </c>
      <c r="K3915" t="s">
        <v>79</v>
      </c>
      <c r="L3915">
        <v>6</v>
      </c>
      <c r="M3915" t="s">
        <v>16839</v>
      </c>
      <c r="N3915" t="s">
        <v>47</v>
      </c>
      <c r="O3915" t="s">
        <v>9477</v>
      </c>
      <c r="P3915" t="s">
        <v>9477</v>
      </c>
      <c r="Y3915" t="s">
        <v>16840</v>
      </c>
    </row>
    <row r="3916" spans="1:25">
      <c r="A3916" t="s">
        <v>16841</v>
      </c>
      <c r="B3916" t="s">
        <v>16842</v>
      </c>
      <c r="D3916" t="s">
        <v>9473</v>
      </c>
      <c r="E3916" t="s">
        <v>9474</v>
      </c>
      <c r="J3916" t="s">
        <v>133</v>
      </c>
      <c r="K3916" t="s">
        <v>134</v>
      </c>
      <c r="L3916">
        <v>6</v>
      </c>
      <c r="M3916" t="s">
        <v>16843</v>
      </c>
      <c r="N3916" t="s">
        <v>685</v>
      </c>
      <c r="O3916" t="s">
        <v>9477</v>
      </c>
      <c r="P3916" t="s">
        <v>9477</v>
      </c>
      <c r="Y3916" t="s">
        <v>16844</v>
      </c>
    </row>
    <row r="3917" spans="1:25">
      <c r="A3917" t="s">
        <v>16845</v>
      </c>
      <c r="B3917" t="s">
        <v>16846</v>
      </c>
      <c r="D3917" t="s">
        <v>9473</v>
      </c>
      <c r="E3917" t="s">
        <v>9474</v>
      </c>
      <c r="J3917" t="s">
        <v>90</v>
      </c>
      <c r="K3917" t="s">
        <v>91</v>
      </c>
      <c r="L3917">
        <v>6</v>
      </c>
      <c r="M3917" t="s">
        <v>16843</v>
      </c>
      <c r="N3917" t="s">
        <v>47</v>
      </c>
      <c r="O3917" t="s">
        <v>9477</v>
      </c>
      <c r="P3917" t="s">
        <v>9477</v>
      </c>
      <c r="Y3917" t="s">
        <v>16847</v>
      </c>
    </row>
    <row r="3918" spans="1:25">
      <c r="A3918" t="s">
        <v>16848</v>
      </c>
      <c r="B3918" t="s">
        <v>16849</v>
      </c>
      <c r="D3918" t="s">
        <v>9473</v>
      </c>
      <c r="E3918" t="s">
        <v>9474</v>
      </c>
      <c r="J3918" t="s">
        <v>54</v>
      </c>
      <c r="K3918" t="s">
        <v>55</v>
      </c>
      <c r="L3918">
        <v>6</v>
      </c>
      <c r="M3918" t="s">
        <v>16850</v>
      </c>
      <c r="N3918" t="s">
        <v>47</v>
      </c>
      <c r="O3918" t="s">
        <v>9477</v>
      </c>
      <c r="P3918" t="s">
        <v>9477</v>
      </c>
      <c r="Y3918" t="s">
        <v>16851</v>
      </c>
    </row>
    <row r="3919" spans="1:25">
      <c r="A3919" t="s">
        <v>16852</v>
      </c>
      <c r="B3919" t="s">
        <v>16853</v>
      </c>
      <c r="D3919" t="s">
        <v>9473</v>
      </c>
      <c r="E3919" t="s">
        <v>9474</v>
      </c>
      <c r="H3919" t="s">
        <v>16854</v>
      </c>
      <c r="J3919" t="s">
        <v>133</v>
      </c>
      <c r="K3919" t="s">
        <v>134</v>
      </c>
      <c r="L3919">
        <v>6</v>
      </c>
      <c r="M3919" t="s">
        <v>16855</v>
      </c>
      <c r="N3919" t="s">
        <v>685</v>
      </c>
      <c r="O3919" t="s">
        <v>9477</v>
      </c>
      <c r="P3919" t="s">
        <v>9477</v>
      </c>
      <c r="Y3919" t="s">
        <v>16854</v>
      </c>
    </row>
    <row r="3920" spans="1:25">
      <c r="A3920" t="s">
        <v>16856</v>
      </c>
      <c r="B3920" t="s">
        <v>16857</v>
      </c>
      <c r="D3920" t="s">
        <v>9473</v>
      </c>
      <c r="E3920" t="s">
        <v>9474</v>
      </c>
      <c r="H3920" t="s">
        <v>16858</v>
      </c>
      <c r="J3920" t="s">
        <v>234</v>
      </c>
      <c r="K3920" t="s">
        <v>235</v>
      </c>
      <c r="L3920">
        <v>6</v>
      </c>
      <c r="M3920" t="s">
        <v>16859</v>
      </c>
      <c r="N3920" t="s">
        <v>47</v>
      </c>
      <c r="O3920" t="s">
        <v>9477</v>
      </c>
      <c r="P3920" t="s">
        <v>9477</v>
      </c>
      <c r="Y3920" t="s">
        <v>16858</v>
      </c>
    </row>
    <row r="3921" spans="1:25">
      <c r="A3921" t="s">
        <v>16860</v>
      </c>
      <c r="B3921" t="s">
        <v>16861</v>
      </c>
      <c r="D3921" t="s">
        <v>9473</v>
      </c>
      <c r="E3921" t="s">
        <v>9474</v>
      </c>
      <c r="H3921" t="s">
        <v>16862</v>
      </c>
      <c r="J3921" t="s">
        <v>234</v>
      </c>
      <c r="K3921" t="s">
        <v>235</v>
      </c>
      <c r="L3921">
        <v>6</v>
      </c>
      <c r="M3921" t="s">
        <v>16863</v>
      </c>
      <c r="N3921" t="s">
        <v>47</v>
      </c>
      <c r="O3921" t="s">
        <v>9477</v>
      </c>
      <c r="P3921" t="s">
        <v>9477</v>
      </c>
      <c r="Y3921" t="s">
        <v>16862</v>
      </c>
    </row>
    <row r="3922" spans="1:25">
      <c r="A3922" t="s">
        <v>16864</v>
      </c>
      <c r="B3922" t="s">
        <v>16865</v>
      </c>
      <c r="D3922" t="s">
        <v>9473</v>
      </c>
      <c r="E3922" t="s">
        <v>9474</v>
      </c>
      <c r="J3922" t="s">
        <v>54</v>
      </c>
      <c r="K3922" t="s">
        <v>55</v>
      </c>
      <c r="L3922">
        <v>6</v>
      </c>
      <c r="M3922" t="s">
        <v>16866</v>
      </c>
      <c r="N3922" t="s">
        <v>47</v>
      </c>
      <c r="O3922" t="s">
        <v>9477</v>
      </c>
      <c r="P3922" t="s">
        <v>9477</v>
      </c>
      <c r="Y3922" t="s">
        <v>16867</v>
      </c>
    </row>
    <row r="3923" spans="1:25">
      <c r="A3923" t="s">
        <v>16868</v>
      </c>
      <c r="B3923" t="s">
        <v>16869</v>
      </c>
      <c r="D3923" t="s">
        <v>9473</v>
      </c>
      <c r="E3923" t="s">
        <v>9474</v>
      </c>
      <c r="J3923" t="s">
        <v>44</v>
      </c>
      <c r="K3923" t="s">
        <v>45</v>
      </c>
      <c r="L3923">
        <v>6</v>
      </c>
      <c r="M3923" t="s">
        <v>16870</v>
      </c>
      <c r="N3923" t="s">
        <v>47</v>
      </c>
      <c r="O3923" t="s">
        <v>9477</v>
      </c>
      <c r="P3923" t="s">
        <v>9477</v>
      </c>
      <c r="Y3923" t="s">
        <v>16871</v>
      </c>
    </row>
    <row r="3924" spans="1:25">
      <c r="A3924" t="s">
        <v>16872</v>
      </c>
      <c r="B3924" t="s">
        <v>16873</v>
      </c>
      <c r="D3924" t="s">
        <v>9473</v>
      </c>
      <c r="E3924" t="s">
        <v>9474</v>
      </c>
      <c r="J3924" t="s">
        <v>54</v>
      </c>
      <c r="K3924" t="s">
        <v>55</v>
      </c>
      <c r="L3924">
        <v>6</v>
      </c>
      <c r="M3924" t="s">
        <v>16870</v>
      </c>
      <c r="N3924" t="s">
        <v>47</v>
      </c>
      <c r="O3924" t="s">
        <v>9477</v>
      </c>
      <c r="P3924" t="s">
        <v>9477</v>
      </c>
      <c r="Y3924" t="s">
        <v>16874</v>
      </c>
    </row>
    <row r="3925" spans="1:25">
      <c r="A3925" t="s">
        <v>16875</v>
      </c>
      <c r="B3925" t="s">
        <v>16876</v>
      </c>
      <c r="D3925" t="s">
        <v>9473</v>
      </c>
      <c r="E3925" t="s">
        <v>9474</v>
      </c>
      <c r="J3925" t="s">
        <v>90</v>
      </c>
      <c r="K3925" t="s">
        <v>91</v>
      </c>
      <c r="L3925">
        <v>6</v>
      </c>
      <c r="M3925" t="s">
        <v>16877</v>
      </c>
      <c r="N3925" t="s">
        <v>47</v>
      </c>
      <c r="O3925" t="s">
        <v>9477</v>
      </c>
      <c r="P3925" t="s">
        <v>9477</v>
      </c>
      <c r="Y3925" t="s">
        <v>16878</v>
      </c>
    </row>
    <row r="3926" spans="1:25">
      <c r="A3926" t="s">
        <v>16879</v>
      </c>
      <c r="B3926" t="s">
        <v>16880</v>
      </c>
      <c r="D3926" t="s">
        <v>9473</v>
      </c>
      <c r="E3926" t="s">
        <v>9474</v>
      </c>
      <c r="J3926" t="s">
        <v>44</v>
      </c>
      <c r="K3926" t="s">
        <v>45</v>
      </c>
      <c r="L3926">
        <v>6</v>
      </c>
      <c r="M3926" t="s">
        <v>16877</v>
      </c>
      <c r="N3926" t="s">
        <v>47</v>
      </c>
      <c r="O3926" t="s">
        <v>9477</v>
      </c>
      <c r="P3926" t="s">
        <v>9477</v>
      </c>
      <c r="Y3926" t="s">
        <v>16881</v>
      </c>
    </row>
    <row r="3927" spans="1:25">
      <c r="A3927" t="s">
        <v>16882</v>
      </c>
      <c r="B3927" t="s">
        <v>16883</v>
      </c>
      <c r="D3927" t="s">
        <v>9473</v>
      </c>
      <c r="E3927" t="s">
        <v>9474</v>
      </c>
      <c r="J3927" t="s">
        <v>90</v>
      </c>
      <c r="K3927" t="s">
        <v>91</v>
      </c>
      <c r="L3927">
        <v>6</v>
      </c>
      <c r="M3927" t="s">
        <v>16884</v>
      </c>
      <c r="N3927" t="s">
        <v>47</v>
      </c>
      <c r="O3927" t="s">
        <v>9477</v>
      </c>
      <c r="P3927" t="s">
        <v>9477</v>
      </c>
      <c r="Y3927" t="s">
        <v>16885</v>
      </c>
    </row>
    <row r="3928" spans="1:25">
      <c r="A3928" t="s">
        <v>16886</v>
      </c>
      <c r="B3928" t="s">
        <v>16887</v>
      </c>
      <c r="D3928" t="s">
        <v>9473</v>
      </c>
      <c r="E3928" t="s">
        <v>9474</v>
      </c>
      <c r="J3928" t="s">
        <v>133</v>
      </c>
      <c r="K3928" t="s">
        <v>134</v>
      </c>
      <c r="L3928">
        <v>6</v>
      </c>
      <c r="M3928" t="s">
        <v>16888</v>
      </c>
      <c r="N3928" t="s">
        <v>685</v>
      </c>
      <c r="O3928" t="s">
        <v>9477</v>
      </c>
      <c r="P3928" t="s">
        <v>9477</v>
      </c>
      <c r="Y3928" t="s">
        <v>16889</v>
      </c>
    </row>
    <row r="3929" spans="1:25">
      <c r="A3929" t="s">
        <v>16890</v>
      </c>
      <c r="B3929" t="s">
        <v>16891</v>
      </c>
      <c r="D3929" t="s">
        <v>9473</v>
      </c>
      <c r="E3929" t="s">
        <v>9474</v>
      </c>
      <c r="J3929" t="s">
        <v>78</v>
      </c>
      <c r="K3929" t="s">
        <v>79</v>
      </c>
      <c r="L3929">
        <v>6</v>
      </c>
      <c r="M3929" t="s">
        <v>16888</v>
      </c>
      <c r="N3929" t="s">
        <v>47</v>
      </c>
      <c r="O3929" t="s">
        <v>9477</v>
      </c>
      <c r="P3929" t="s">
        <v>9477</v>
      </c>
      <c r="Y3929" t="s">
        <v>16892</v>
      </c>
    </row>
    <row r="3930" spans="1:25">
      <c r="A3930" t="s">
        <v>16893</v>
      </c>
      <c r="B3930" t="s">
        <v>16894</v>
      </c>
      <c r="D3930" t="s">
        <v>9473</v>
      </c>
      <c r="E3930" t="s">
        <v>9474</v>
      </c>
      <c r="H3930" t="s">
        <v>16895</v>
      </c>
      <c r="J3930" t="s">
        <v>234</v>
      </c>
      <c r="K3930" t="s">
        <v>235</v>
      </c>
      <c r="L3930">
        <v>6</v>
      </c>
      <c r="M3930" t="s">
        <v>16896</v>
      </c>
      <c r="N3930" t="s">
        <v>47</v>
      </c>
      <c r="O3930" t="s">
        <v>9477</v>
      </c>
      <c r="P3930" t="s">
        <v>9477</v>
      </c>
      <c r="Y3930" t="s">
        <v>16895</v>
      </c>
    </row>
    <row r="3931" spans="1:25">
      <c r="A3931" t="s">
        <v>16897</v>
      </c>
      <c r="B3931" t="s">
        <v>16898</v>
      </c>
      <c r="D3931" t="s">
        <v>9473</v>
      </c>
      <c r="E3931" t="s">
        <v>9474</v>
      </c>
      <c r="J3931" t="s">
        <v>78</v>
      </c>
      <c r="K3931" t="s">
        <v>79</v>
      </c>
      <c r="L3931">
        <v>6</v>
      </c>
      <c r="M3931" t="s">
        <v>16899</v>
      </c>
      <c r="N3931" t="s">
        <v>47</v>
      </c>
      <c r="O3931" t="s">
        <v>9477</v>
      </c>
      <c r="P3931" t="s">
        <v>9477</v>
      </c>
      <c r="Y3931" t="s">
        <v>16900</v>
      </c>
    </row>
    <row r="3932" spans="1:25">
      <c r="A3932" t="s">
        <v>16901</v>
      </c>
      <c r="B3932" t="s">
        <v>16902</v>
      </c>
      <c r="D3932" t="s">
        <v>9473</v>
      </c>
      <c r="E3932" t="s">
        <v>9474</v>
      </c>
      <c r="J3932" t="s">
        <v>90</v>
      </c>
      <c r="K3932" t="s">
        <v>91</v>
      </c>
      <c r="L3932">
        <v>6</v>
      </c>
      <c r="M3932" t="s">
        <v>16899</v>
      </c>
      <c r="N3932" t="s">
        <v>47</v>
      </c>
      <c r="O3932" t="s">
        <v>9477</v>
      </c>
      <c r="P3932" t="s">
        <v>9477</v>
      </c>
      <c r="Y3932" t="s">
        <v>16903</v>
      </c>
    </row>
    <row r="3933" spans="1:25">
      <c r="A3933" t="s">
        <v>16904</v>
      </c>
      <c r="B3933" t="s">
        <v>16905</v>
      </c>
      <c r="D3933" t="s">
        <v>9473</v>
      </c>
      <c r="E3933" t="s">
        <v>9474</v>
      </c>
      <c r="H3933" t="s">
        <v>16906</v>
      </c>
      <c r="J3933" t="s">
        <v>78</v>
      </c>
      <c r="K3933" t="s">
        <v>79</v>
      </c>
      <c r="L3933">
        <v>6</v>
      </c>
      <c r="M3933" t="s">
        <v>16899</v>
      </c>
      <c r="N3933" t="s">
        <v>47</v>
      </c>
      <c r="O3933" t="s">
        <v>9477</v>
      </c>
      <c r="P3933" t="s">
        <v>9477</v>
      </c>
      <c r="Y3933" t="s">
        <v>16906</v>
      </c>
    </row>
    <row r="3934" spans="1:25">
      <c r="A3934" t="s">
        <v>16907</v>
      </c>
      <c r="B3934" t="s">
        <v>16908</v>
      </c>
      <c r="D3934" t="s">
        <v>9473</v>
      </c>
      <c r="E3934" t="s">
        <v>9474</v>
      </c>
      <c r="J3934" t="s">
        <v>54</v>
      </c>
      <c r="K3934" t="s">
        <v>55</v>
      </c>
      <c r="L3934">
        <v>6</v>
      </c>
      <c r="M3934" t="s">
        <v>16899</v>
      </c>
      <c r="N3934" t="s">
        <v>47</v>
      </c>
      <c r="O3934" t="s">
        <v>9477</v>
      </c>
      <c r="P3934" t="s">
        <v>9477</v>
      </c>
      <c r="Y3934" t="s">
        <v>16909</v>
      </c>
    </row>
    <row r="3935" spans="1:25">
      <c r="A3935" t="s">
        <v>16910</v>
      </c>
      <c r="B3935" t="s">
        <v>16911</v>
      </c>
      <c r="D3935" t="s">
        <v>9473</v>
      </c>
      <c r="E3935" t="s">
        <v>9474</v>
      </c>
      <c r="J3935" t="s">
        <v>90</v>
      </c>
      <c r="K3935" t="s">
        <v>91</v>
      </c>
      <c r="L3935">
        <v>6</v>
      </c>
      <c r="M3935" t="s">
        <v>16912</v>
      </c>
      <c r="N3935" t="s">
        <v>47</v>
      </c>
      <c r="O3935" t="s">
        <v>9477</v>
      </c>
      <c r="P3935" t="s">
        <v>9477</v>
      </c>
      <c r="Y3935" t="s">
        <v>16913</v>
      </c>
    </row>
    <row r="3936" spans="1:25">
      <c r="A3936" t="s">
        <v>16914</v>
      </c>
      <c r="B3936" t="s">
        <v>16915</v>
      </c>
      <c r="D3936" t="s">
        <v>9473</v>
      </c>
      <c r="E3936" t="s">
        <v>9474</v>
      </c>
      <c r="J3936" t="s">
        <v>90</v>
      </c>
      <c r="K3936" t="s">
        <v>91</v>
      </c>
      <c r="L3936">
        <v>6</v>
      </c>
      <c r="M3936" t="s">
        <v>16916</v>
      </c>
      <c r="N3936" t="s">
        <v>47</v>
      </c>
      <c r="O3936" t="s">
        <v>9477</v>
      </c>
      <c r="P3936" t="s">
        <v>9477</v>
      </c>
      <c r="Y3936" t="s">
        <v>16917</v>
      </c>
    </row>
    <row r="3937" spans="1:25">
      <c r="A3937" t="s">
        <v>16918</v>
      </c>
      <c r="B3937" t="s">
        <v>16919</v>
      </c>
      <c r="D3937" t="s">
        <v>9473</v>
      </c>
      <c r="E3937" t="s">
        <v>9474</v>
      </c>
      <c r="J3937" t="s">
        <v>54</v>
      </c>
      <c r="K3937" t="s">
        <v>55</v>
      </c>
      <c r="L3937">
        <v>6</v>
      </c>
      <c r="M3937" t="s">
        <v>16920</v>
      </c>
      <c r="N3937" t="s">
        <v>47</v>
      </c>
      <c r="O3937" t="s">
        <v>9477</v>
      </c>
      <c r="P3937" t="s">
        <v>9477</v>
      </c>
      <c r="Y3937" t="s">
        <v>16921</v>
      </c>
    </row>
    <row r="3938" spans="1:25">
      <c r="A3938" t="s">
        <v>16922</v>
      </c>
      <c r="B3938" t="s">
        <v>16923</v>
      </c>
      <c r="D3938" t="s">
        <v>9473</v>
      </c>
      <c r="E3938" t="s">
        <v>9474</v>
      </c>
      <c r="J3938" t="s">
        <v>44</v>
      </c>
      <c r="K3938" t="s">
        <v>45</v>
      </c>
      <c r="L3938">
        <v>6</v>
      </c>
      <c r="M3938" t="s">
        <v>16920</v>
      </c>
      <c r="N3938" t="s">
        <v>47</v>
      </c>
      <c r="O3938" t="s">
        <v>9477</v>
      </c>
      <c r="P3938" t="s">
        <v>9477</v>
      </c>
      <c r="Y3938" t="s">
        <v>16924</v>
      </c>
    </row>
    <row r="3939" spans="1:25">
      <c r="A3939" t="s">
        <v>16925</v>
      </c>
      <c r="B3939" t="s">
        <v>16926</v>
      </c>
      <c r="D3939" t="s">
        <v>9473</v>
      </c>
      <c r="E3939" t="s">
        <v>9474</v>
      </c>
      <c r="J3939" t="s">
        <v>44</v>
      </c>
      <c r="K3939" t="s">
        <v>45</v>
      </c>
      <c r="L3939">
        <v>6</v>
      </c>
      <c r="M3939" t="s">
        <v>16920</v>
      </c>
      <c r="N3939" t="s">
        <v>47</v>
      </c>
      <c r="O3939" t="s">
        <v>9477</v>
      </c>
      <c r="P3939" t="s">
        <v>9477</v>
      </c>
      <c r="Y3939" t="s">
        <v>16927</v>
      </c>
    </row>
    <row r="3940" spans="1:25">
      <c r="A3940" t="s">
        <v>16928</v>
      </c>
      <c r="B3940" t="s">
        <v>16929</v>
      </c>
      <c r="D3940" t="s">
        <v>9473</v>
      </c>
      <c r="E3940" t="s">
        <v>9474</v>
      </c>
      <c r="J3940" t="s">
        <v>54</v>
      </c>
      <c r="K3940" t="s">
        <v>55</v>
      </c>
      <c r="L3940">
        <v>6</v>
      </c>
      <c r="M3940" t="s">
        <v>16920</v>
      </c>
      <c r="N3940" t="s">
        <v>47</v>
      </c>
      <c r="O3940" t="s">
        <v>9477</v>
      </c>
      <c r="P3940" t="s">
        <v>9477</v>
      </c>
      <c r="Y3940" t="s">
        <v>16930</v>
      </c>
    </row>
    <row r="3941" spans="1:25">
      <c r="A3941" t="s">
        <v>16931</v>
      </c>
      <c r="B3941" t="s">
        <v>16932</v>
      </c>
      <c r="D3941" t="s">
        <v>9473</v>
      </c>
      <c r="E3941" t="s">
        <v>9474</v>
      </c>
      <c r="H3941" t="s">
        <v>16933</v>
      </c>
      <c r="J3941" t="s">
        <v>234</v>
      </c>
      <c r="K3941" t="s">
        <v>235</v>
      </c>
      <c r="L3941">
        <v>6</v>
      </c>
      <c r="M3941" t="s">
        <v>16934</v>
      </c>
      <c r="N3941" t="s">
        <v>47</v>
      </c>
      <c r="O3941" t="s">
        <v>9477</v>
      </c>
      <c r="P3941" t="s">
        <v>9477</v>
      </c>
      <c r="Y3941" t="s">
        <v>16933</v>
      </c>
    </row>
    <row r="3942" spans="1:25">
      <c r="A3942" t="s">
        <v>16935</v>
      </c>
      <c r="B3942" t="s">
        <v>16936</v>
      </c>
      <c r="D3942" t="s">
        <v>9473</v>
      </c>
      <c r="E3942" t="s">
        <v>9474</v>
      </c>
      <c r="H3942" t="s">
        <v>16937</v>
      </c>
      <c r="J3942" t="s">
        <v>234</v>
      </c>
      <c r="K3942" t="s">
        <v>235</v>
      </c>
      <c r="L3942">
        <v>6</v>
      </c>
      <c r="M3942" t="s">
        <v>16938</v>
      </c>
      <c r="N3942" t="s">
        <v>47</v>
      </c>
      <c r="O3942" t="s">
        <v>9477</v>
      </c>
      <c r="P3942" t="s">
        <v>9477</v>
      </c>
      <c r="Y3942" t="s">
        <v>16937</v>
      </c>
    </row>
    <row r="3943" spans="1:25">
      <c r="A3943" t="s">
        <v>16939</v>
      </c>
      <c r="B3943" t="s">
        <v>16940</v>
      </c>
      <c r="D3943" t="s">
        <v>9473</v>
      </c>
      <c r="E3943" t="s">
        <v>9474</v>
      </c>
      <c r="H3943" t="s">
        <v>16941</v>
      </c>
      <c r="J3943" t="s">
        <v>234</v>
      </c>
      <c r="K3943" t="s">
        <v>235</v>
      </c>
      <c r="L3943">
        <v>6</v>
      </c>
      <c r="M3943" t="s">
        <v>16942</v>
      </c>
      <c r="N3943" t="s">
        <v>47</v>
      </c>
      <c r="O3943" t="s">
        <v>9477</v>
      </c>
      <c r="P3943" t="s">
        <v>9477</v>
      </c>
      <c r="Y3943" t="s">
        <v>16941</v>
      </c>
    </row>
    <row r="3944" spans="1:25">
      <c r="A3944" t="s">
        <v>16943</v>
      </c>
      <c r="B3944" t="s">
        <v>16944</v>
      </c>
      <c r="D3944" t="s">
        <v>9473</v>
      </c>
      <c r="E3944" t="s">
        <v>9474</v>
      </c>
      <c r="H3944" t="s">
        <v>16945</v>
      </c>
      <c r="J3944" t="s">
        <v>78</v>
      </c>
      <c r="K3944" t="s">
        <v>79</v>
      </c>
      <c r="L3944">
        <v>6</v>
      </c>
      <c r="M3944" t="s">
        <v>16946</v>
      </c>
      <c r="N3944" t="s">
        <v>47</v>
      </c>
      <c r="O3944" t="s">
        <v>9477</v>
      </c>
      <c r="P3944" t="s">
        <v>9477</v>
      </c>
      <c r="Y3944" t="s">
        <v>16945</v>
      </c>
    </row>
    <row r="3945" spans="1:25">
      <c r="A3945" t="s">
        <v>16947</v>
      </c>
      <c r="B3945" t="s">
        <v>16948</v>
      </c>
      <c r="D3945" t="s">
        <v>9473</v>
      </c>
      <c r="E3945" t="s">
        <v>9474</v>
      </c>
      <c r="J3945" t="s">
        <v>54</v>
      </c>
      <c r="K3945" t="s">
        <v>55</v>
      </c>
      <c r="L3945">
        <v>6</v>
      </c>
      <c r="M3945" t="s">
        <v>16949</v>
      </c>
      <c r="N3945" t="s">
        <v>47</v>
      </c>
      <c r="O3945" t="s">
        <v>9477</v>
      </c>
      <c r="P3945" t="s">
        <v>9477</v>
      </c>
      <c r="Y3945" t="s">
        <v>16950</v>
      </c>
    </row>
    <row r="3946" spans="1:25">
      <c r="A3946" t="s">
        <v>16951</v>
      </c>
      <c r="B3946" t="s">
        <v>16952</v>
      </c>
      <c r="D3946" t="s">
        <v>9473</v>
      </c>
      <c r="E3946" t="s">
        <v>9474</v>
      </c>
      <c r="J3946" t="s">
        <v>44</v>
      </c>
      <c r="K3946" t="s">
        <v>45</v>
      </c>
      <c r="L3946">
        <v>6</v>
      </c>
      <c r="M3946" t="s">
        <v>16953</v>
      </c>
      <c r="N3946" t="s">
        <v>47</v>
      </c>
      <c r="O3946" t="s">
        <v>9477</v>
      </c>
      <c r="P3946" t="s">
        <v>9477</v>
      </c>
      <c r="Y3946" t="s">
        <v>16954</v>
      </c>
    </row>
    <row r="3947" spans="1:25">
      <c r="A3947" t="s">
        <v>16955</v>
      </c>
      <c r="B3947" t="s">
        <v>16956</v>
      </c>
      <c r="D3947" t="s">
        <v>9473</v>
      </c>
      <c r="E3947" t="s">
        <v>9474</v>
      </c>
      <c r="H3947" t="s">
        <v>16957</v>
      </c>
      <c r="J3947" t="s">
        <v>44</v>
      </c>
      <c r="K3947" t="s">
        <v>45</v>
      </c>
      <c r="L3947">
        <v>6</v>
      </c>
      <c r="M3947" t="s">
        <v>16958</v>
      </c>
      <c r="N3947" t="s">
        <v>47</v>
      </c>
      <c r="O3947" t="s">
        <v>9477</v>
      </c>
      <c r="P3947" t="s">
        <v>9477</v>
      </c>
      <c r="Y3947" t="s">
        <v>16957</v>
      </c>
    </row>
    <row r="3948" spans="1:25">
      <c r="A3948" t="s">
        <v>16959</v>
      </c>
      <c r="B3948" t="s">
        <v>16960</v>
      </c>
      <c r="D3948" t="s">
        <v>9473</v>
      </c>
      <c r="E3948" t="s">
        <v>9474</v>
      </c>
      <c r="H3948" t="s">
        <v>16961</v>
      </c>
      <c r="J3948" t="s">
        <v>44</v>
      </c>
      <c r="K3948" t="s">
        <v>45</v>
      </c>
      <c r="L3948">
        <v>6</v>
      </c>
      <c r="M3948" t="s">
        <v>16958</v>
      </c>
      <c r="N3948" t="s">
        <v>47</v>
      </c>
      <c r="O3948" t="s">
        <v>9477</v>
      </c>
      <c r="P3948" t="s">
        <v>9477</v>
      </c>
      <c r="Y3948" t="s">
        <v>16961</v>
      </c>
    </row>
    <row r="3949" spans="1:25">
      <c r="A3949" t="s">
        <v>16962</v>
      </c>
      <c r="B3949" t="s">
        <v>16963</v>
      </c>
      <c r="D3949" t="s">
        <v>9473</v>
      </c>
      <c r="E3949" t="s">
        <v>9474</v>
      </c>
      <c r="J3949" t="s">
        <v>54</v>
      </c>
      <c r="K3949" t="s">
        <v>55</v>
      </c>
      <c r="L3949">
        <v>6</v>
      </c>
      <c r="M3949" t="s">
        <v>16958</v>
      </c>
      <c r="N3949" t="s">
        <v>47</v>
      </c>
      <c r="O3949" t="s">
        <v>9477</v>
      </c>
      <c r="P3949" t="s">
        <v>9477</v>
      </c>
      <c r="Y3949" t="s">
        <v>16964</v>
      </c>
    </row>
    <row r="3950" spans="1:25">
      <c r="A3950" t="s">
        <v>16965</v>
      </c>
      <c r="B3950" t="s">
        <v>16966</v>
      </c>
      <c r="D3950" t="s">
        <v>9473</v>
      </c>
      <c r="E3950" t="s">
        <v>9474</v>
      </c>
      <c r="J3950" t="s">
        <v>54</v>
      </c>
      <c r="K3950" t="s">
        <v>55</v>
      </c>
      <c r="L3950">
        <v>6</v>
      </c>
      <c r="M3950" t="s">
        <v>16967</v>
      </c>
      <c r="N3950" t="s">
        <v>47</v>
      </c>
      <c r="O3950" t="s">
        <v>9477</v>
      </c>
      <c r="P3950" t="s">
        <v>9477</v>
      </c>
      <c r="Y3950" t="s">
        <v>16968</v>
      </c>
    </row>
    <row r="3951" spans="1:25">
      <c r="A3951" t="s">
        <v>16969</v>
      </c>
      <c r="B3951" t="s">
        <v>16970</v>
      </c>
      <c r="D3951" t="s">
        <v>9473</v>
      </c>
      <c r="E3951" t="s">
        <v>9474</v>
      </c>
      <c r="H3951" t="s">
        <v>16971</v>
      </c>
      <c r="J3951" t="s">
        <v>353</v>
      </c>
      <c r="K3951" t="s">
        <v>354</v>
      </c>
      <c r="L3951">
        <v>7</v>
      </c>
      <c r="M3951" t="s">
        <v>16967</v>
      </c>
      <c r="N3951" t="s">
        <v>685</v>
      </c>
      <c r="O3951" t="s">
        <v>9477</v>
      </c>
      <c r="P3951" t="s">
        <v>9477</v>
      </c>
      <c r="Y3951" t="s">
        <v>16971</v>
      </c>
    </row>
    <row r="3952" spans="1:25">
      <c r="A3952" t="s">
        <v>16972</v>
      </c>
      <c r="B3952" t="s">
        <v>16973</v>
      </c>
      <c r="D3952" t="s">
        <v>9473</v>
      </c>
      <c r="E3952" t="s">
        <v>9474</v>
      </c>
      <c r="J3952" t="s">
        <v>78</v>
      </c>
      <c r="K3952" t="s">
        <v>79</v>
      </c>
      <c r="L3952">
        <v>6</v>
      </c>
      <c r="M3952" t="s">
        <v>16974</v>
      </c>
      <c r="N3952" t="s">
        <v>47</v>
      </c>
      <c r="O3952" t="s">
        <v>9477</v>
      </c>
      <c r="P3952" t="s">
        <v>9477</v>
      </c>
      <c r="Y3952" t="s">
        <v>16975</v>
      </c>
    </row>
    <row r="3953" spans="1:25">
      <c r="A3953" t="s">
        <v>16976</v>
      </c>
      <c r="B3953" t="s">
        <v>16977</v>
      </c>
      <c r="D3953" t="s">
        <v>9473</v>
      </c>
      <c r="E3953" t="s">
        <v>9474</v>
      </c>
      <c r="J3953" t="s">
        <v>44</v>
      </c>
      <c r="K3953" t="s">
        <v>45</v>
      </c>
      <c r="L3953">
        <v>6</v>
      </c>
      <c r="M3953" t="s">
        <v>16974</v>
      </c>
      <c r="N3953" t="s">
        <v>47</v>
      </c>
      <c r="O3953" t="s">
        <v>9477</v>
      </c>
      <c r="P3953" t="s">
        <v>9477</v>
      </c>
      <c r="Y3953" t="s">
        <v>16978</v>
      </c>
    </row>
    <row r="3954" spans="1:25">
      <c r="A3954" t="s">
        <v>16979</v>
      </c>
      <c r="B3954" t="s">
        <v>16980</v>
      </c>
      <c r="D3954" t="s">
        <v>9473</v>
      </c>
      <c r="E3954" t="s">
        <v>9474</v>
      </c>
      <c r="J3954" t="s">
        <v>90</v>
      </c>
      <c r="K3954" t="s">
        <v>91</v>
      </c>
      <c r="L3954">
        <v>6</v>
      </c>
      <c r="M3954" t="s">
        <v>16981</v>
      </c>
      <c r="N3954" t="s">
        <v>47</v>
      </c>
      <c r="O3954" t="s">
        <v>9477</v>
      </c>
      <c r="P3954" t="s">
        <v>9477</v>
      </c>
      <c r="Y3954" t="s">
        <v>16982</v>
      </c>
    </row>
    <row r="3955" spans="1:25">
      <c r="A3955" t="s">
        <v>16983</v>
      </c>
      <c r="B3955" t="s">
        <v>16984</v>
      </c>
      <c r="D3955" t="s">
        <v>9473</v>
      </c>
      <c r="E3955" t="s">
        <v>9474</v>
      </c>
      <c r="J3955" t="s">
        <v>90</v>
      </c>
      <c r="K3955" t="s">
        <v>91</v>
      </c>
      <c r="L3955">
        <v>6</v>
      </c>
      <c r="M3955" t="s">
        <v>16981</v>
      </c>
      <c r="N3955" t="s">
        <v>47</v>
      </c>
      <c r="O3955" t="s">
        <v>9477</v>
      </c>
      <c r="P3955" t="s">
        <v>9477</v>
      </c>
      <c r="Y3955" t="s">
        <v>16985</v>
      </c>
    </row>
    <row r="3956" spans="1:25">
      <c r="A3956" t="s">
        <v>16986</v>
      </c>
      <c r="B3956" t="s">
        <v>16987</v>
      </c>
      <c r="D3956" t="s">
        <v>9473</v>
      </c>
      <c r="E3956" t="s">
        <v>9474</v>
      </c>
      <c r="J3956" t="s">
        <v>90</v>
      </c>
      <c r="K3956" t="s">
        <v>91</v>
      </c>
      <c r="L3956">
        <v>6</v>
      </c>
      <c r="M3956" t="s">
        <v>16988</v>
      </c>
      <c r="N3956" t="s">
        <v>47</v>
      </c>
      <c r="O3956" t="s">
        <v>9477</v>
      </c>
      <c r="P3956" t="s">
        <v>9477</v>
      </c>
      <c r="Y3956" t="s">
        <v>16989</v>
      </c>
    </row>
    <row r="3957" spans="1:25">
      <c r="A3957" t="s">
        <v>16990</v>
      </c>
      <c r="B3957" t="s">
        <v>16991</v>
      </c>
      <c r="D3957" t="s">
        <v>9473</v>
      </c>
      <c r="E3957" t="s">
        <v>9474</v>
      </c>
      <c r="J3957" t="s">
        <v>78</v>
      </c>
      <c r="K3957" t="s">
        <v>79</v>
      </c>
      <c r="L3957">
        <v>6</v>
      </c>
      <c r="M3957" t="s">
        <v>16988</v>
      </c>
      <c r="N3957" t="s">
        <v>47</v>
      </c>
      <c r="O3957" t="s">
        <v>9477</v>
      </c>
      <c r="P3957" t="s">
        <v>9477</v>
      </c>
      <c r="Y3957" t="s">
        <v>16992</v>
      </c>
    </row>
    <row r="3958" spans="1:25">
      <c r="A3958" t="s">
        <v>16993</v>
      </c>
      <c r="B3958" t="s">
        <v>16994</v>
      </c>
      <c r="D3958" t="s">
        <v>9473</v>
      </c>
      <c r="E3958" t="s">
        <v>9474</v>
      </c>
      <c r="H3958" t="s">
        <v>16995</v>
      </c>
      <c r="J3958" t="s">
        <v>234</v>
      </c>
      <c r="K3958" t="s">
        <v>235</v>
      </c>
      <c r="L3958">
        <v>6</v>
      </c>
      <c r="M3958" t="s">
        <v>16996</v>
      </c>
      <c r="N3958" t="s">
        <v>47</v>
      </c>
      <c r="O3958" t="s">
        <v>9477</v>
      </c>
      <c r="P3958" t="s">
        <v>9477</v>
      </c>
      <c r="Y3958" t="s">
        <v>16995</v>
      </c>
    </row>
    <row r="3959" spans="1:25">
      <c r="A3959" t="s">
        <v>16997</v>
      </c>
      <c r="B3959" t="s">
        <v>16998</v>
      </c>
      <c r="D3959" t="s">
        <v>9473</v>
      </c>
      <c r="E3959" t="s">
        <v>9474</v>
      </c>
      <c r="J3959" t="s">
        <v>78</v>
      </c>
      <c r="K3959" t="s">
        <v>79</v>
      </c>
      <c r="L3959">
        <v>6</v>
      </c>
      <c r="M3959" t="s">
        <v>16999</v>
      </c>
      <c r="N3959" t="s">
        <v>47</v>
      </c>
      <c r="O3959" t="s">
        <v>9477</v>
      </c>
      <c r="P3959" t="s">
        <v>9477</v>
      </c>
      <c r="Y3959" t="s">
        <v>17000</v>
      </c>
    </row>
    <row r="3960" spans="1:25">
      <c r="A3960" t="s">
        <v>17001</v>
      </c>
      <c r="B3960" t="s">
        <v>17002</v>
      </c>
      <c r="D3960" t="s">
        <v>9473</v>
      </c>
      <c r="E3960" t="s">
        <v>9474</v>
      </c>
      <c r="H3960" t="s">
        <v>17003</v>
      </c>
      <c r="J3960" t="s">
        <v>497</v>
      </c>
      <c r="K3960" t="s">
        <v>498</v>
      </c>
      <c r="L3960">
        <v>6</v>
      </c>
      <c r="M3960" t="s">
        <v>16999</v>
      </c>
      <c r="N3960" t="s">
        <v>685</v>
      </c>
      <c r="O3960" t="s">
        <v>9477</v>
      </c>
      <c r="P3960" t="s">
        <v>9477</v>
      </c>
      <c r="Y3960" t="s">
        <v>17003</v>
      </c>
    </row>
    <row r="3961" spans="1:25">
      <c r="A3961" t="s">
        <v>17004</v>
      </c>
      <c r="B3961" t="s">
        <v>17005</v>
      </c>
      <c r="D3961" t="s">
        <v>9473</v>
      </c>
      <c r="E3961" t="s">
        <v>9474</v>
      </c>
      <c r="H3961" t="s">
        <v>17006</v>
      </c>
      <c r="J3961" t="s">
        <v>78</v>
      </c>
      <c r="K3961" t="s">
        <v>79</v>
      </c>
      <c r="L3961">
        <v>6</v>
      </c>
      <c r="M3961" t="s">
        <v>16999</v>
      </c>
      <c r="N3961" t="s">
        <v>47</v>
      </c>
      <c r="O3961" t="s">
        <v>9477</v>
      </c>
      <c r="P3961" t="s">
        <v>9477</v>
      </c>
      <c r="Y3961" t="s">
        <v>17006</v>
      </c>
    </row>
    <row r="3962" spans="1:25">
      <c r="A3962" t="s">
        <v>17007</v>
      </c>
      <c r="B3962" t="s">
        <v>17008</v>
      </c>
      <c r="D3962" t="s">
        <v>9473</v>
      </c>
      <c r="E3962" t="s">
        <v>9474</v>
      </c>
      <c r="H3962" t="s">
        <v>17009</v>
      </c>
      <c r="J3962" t="s">
        <v>90</v>
      </c>
      <c r="K3962" t="s">
        <v>91</v>
      </c>
      <c r="L3962">
        <v>6</v>
      </c>
      <c r="M3962" t="s">
        <v>17010</v>
      </c>
      <c r="N3962" t="s">
        <v>47</v>
      </c>
      <c r="O3962" t="s">
        <v>9477</v>
      </c>
      <c r="P3962" t="s">
        <v>9477</v>
      </c>
      <c r="Y3962" t="s">
        <v>17009</v>
      </c>
    </row>
    <row r="3963" spans="1:25">
      <c r="A3963" t="s">
        <v>17011</v>
      </c>
      <c r="B3963" t="s">
        <v>17012</v>
      </c>
      <c r="D3963" t="s">
        <v>9473</v>
      </c>
      <c r="E3963" t="s">
        <v>9474</v>
      </c>
      <c r="H3963" t="s">
        <v>17013</v>
      </c>
      <c r="J3963" t="s">
        <v>390</v>
      </c>
      <c r="K3963" t="s">
        <v>390</v>
      </c>
      <c r="L3963">
        <v>6</v>
      </c>
      <c r="M3963" t="s">
        <v>17010</v>
      </c>
      <c r="N3963" t="s">
        <v>290</v>
      </c>
      <c r="O3963" t="s">
        <v>9477</v>
      </c>
      <c r="P3963" t="s">
        <v>17014</v>
      </c>
      <c r="Y3963" t="s">
        <v>17013</v>
      </c>
    </row>
    <row r="3964" spans="1:25">
      <c r="A3964" t="s">
        <v>17015</v>
      </c>
      <c r="B3964" t="s">
        <v>17016</v>
      </c>
      <c r="D3964" t="s">
        <v>9473</v>
      </c>
      <c r="E3964" t="s">
        <v>9474</v>
      </c>
      <c r="J3964" t="s">
        <v>54</v>
      </c>
      <c r="K3964" t="s">
        <v>55</v>
      </c>
      <c r="L3964">
        <v>6</v>
      </c>
      <c r="M3964" t="s">
        <v>17017</v>
      </c>
      <c r="N3964" t="s">
        <v>47</v>
      </c>
      <c r="O3964" t="s">
        <v>9477</v>
      </c>
      <c r="P3964" t="s">
        <v>9477</v>
      </c>
      <c r="Y3964" t="s">
        <v>17018</v>
      </c>
    </row>
    <row r="3965" spans="1:25">
      <c r="A3965" t="s">
        <v>17019</v>
      </c>
      <c r="B3965" t="s">
        <v>17020</v>
      </c>
      <c r="D3965" t="s">
        <v>9473</v>
      </c>
      <c r="E3965" t="s">
        <v>9474</v>
      </c>
      <c r="J3965" t="s">
        <v>44</v>
      </c>
      <c r="K3965" t="s">
        <v>45</v>
      </c>
      <c r="L3965">
        <v>6</v>
      </c>
      <c r="M3965" t="s">
        <v>17017</v>
      </c>
      <c r="N3965" t="s">
        <v>47</v>
      </c>
      <c r="O3965" t="s">
        <v>9477</v>
      </c>
      <c r="P3965" t="s">
        <v>9477</v>
      </c>
      <c r="Y3965" t="s">
        <v>17021</v>
      </c>
    </row>
    <row r="3966" spans="1:25">
      <c r="A3966" t="s">
        <v>17022</v>
      </c>
      <c r="B3966" t="s">
        <v>17023</v>
      </c>
      <c r="D3966" t="s">
        <v>9473</v>
      </c>
      <c r="E3966" t="s">
        <v>9474</v>
      </c>
      <c r="J3966" t="s">
        <v>54</v>
      </c>
      <c r="K3966" t="s">
        <v>55</v>
      </c>
      <c r="L3966">
        <v>6</v>
      </c>
      <c r="M3966" t="s">
        <v>17017</v>
      </c>
      <c r="N3966" t="s">
        <v>47</v>
      </c>
      <c r="O3966" t="s">
        <v>9477</v>
      </c>
      <c r="P3966" t="s">
        <v>9477</v>
      </c>
      <c r="Y3966" t="s">
        <v>17024</v>
      </c>
    </row>
    <row r="3967" spans="1:25">
      <c r="A3967" t="s">
        <v>17025</v>
      </c>
      <c r="B3967" t="s">
        <v>17026</v>
      </c>
      <c r="D3967" t="s">
        <v>9473</v>
      </c>
      <c r="E3967" t="s">
        <v>9474</v>
      </c>
      <c r="J3967" t="s">
        <v>44</v>
      </c>
      <c r="K3967" t="s">
        <v>45</v>
      </c>
      <c r="L3967">
        <v>6</v>
      </c>
      <c r="M3967" t="s">
        <v>17027</v>
      </c>
      <c r="N3967" t="s">
        <v>47</v>
      </c>
      <c r="O3967" t="s">
        <v>9477</v>
      </c>
      <c r="P3967" t="s">
        <v>9477</v>
      </c>
      <c r="Y3967" t="s">
        <v>17028</v>
      </c>
    </row>
    <row r="3968" spans="1:25">
      <c r="A3968" t="s">
        <v>17029</v>
      </c>
      <c r="B3968" t="s">
        <v>17030</v>
      </c>
      <c r="D3968" t="s">
        <v>9473</v>
      </c>
      <c r="E3968" t="s">
        <v>9474</v>
      </c>
      <c r="J3968" t="s">
        <v>90</v>
      </c>
      <c r="K3968" t="s">
        <v>91</v>
      </c>
      <c r="L3968">
        <v>6</v>
      </c>
      <c r="M3968" t="s">
        <v>17027</v>
      </c>
      <c r="N3968" t="s">
        <v>47</v>
      </c>
      <c r="O3968" t="s">
        <v>9477</v>
      </c>
      <c r="P3968" t="s">
        <v>9477</v>
      </c>
      <c r="Y3968" t="s">
        <v>17031</v>
      </c>
    </row>
    <row r="3969" spans="1:25">
      <c r="A3969" t="s">
        <v>17032</v>
      </c>
      <c r="B3969" t="s">
        <v>17033</v>
      </c>
      <c r="D3969" t="s">
        <v>9473</v>
      </c>
      <c r="E3969" t="s">
        <v>9474</v>
      </c>
      <c r="J3969" t="s">
        <v>90</v>
      </c>
      <c r="K3969" t="s">
        <v>91</v>
      </c>
      <c r="L3969">
        <v>6</v>
      </c>
      <c r="M3969" t="s">
        <v>17027</v>
      </c>
      <c r="N3969" t="s">
        <v>47</v>
      </c>
      <c r="O3969" t="s">
        <v>9477</v>
      </c>
      <c r="P3969" t="s">
        <v>9477</v>
      </c>
      <c r="Y3969" t="s">
        <v>17034</v>
      </c>
    </row>
    <row r="3970" spans="1:25">
      <c r="A3970" t="s">
        <v>17035</v>
      </c>
      <c r="B3970" t="s">
        <v>17036</v>
      </c>
      <c r="D3970" t="s">
        <v>9473</v>
      </c>
      <c r="E3970" t="s">
        <v>9474</v>
      </c>
      <c r="H3970" t="s">
        <v>17037</v>
      </c>
      <c r="J3970" t="s">
        <v>133</v>
      </c>
      <c r="K3970" t="s">
        <v>134</v>
      </c>
      <c r="L3970">
        <v>6</v>
      </c>
      <c r="M3970" t="s">
        <v>17038</v>
      </c>
      <c r="N3970" t="s">
        <v>290</v>
      </c>
      <c r="O3970" t="s">
        <v>9477</v>
      </c>
      <c r="P3970" t="s">
        <v>9477</v>
      </c>
      <c r="Y3970" t="s">
        <v>17037</v>
      </c>
    </row>
    <row r="3971" spans="1:25">
      <c r="A3971" t="s">
        <v>17039</v>
      </c>
      <c r="B3971" t="s">
        <v>17040</v>
      </c>
      <c r="D3971" t="s">
        <v>9473</v>
      </c>
      <c r="E3971" t="s">
        <v>9474</v>
      </c>
      <c r="H3971" t="s">
        <v>17041</v>
      </c>
      <c r="J3971" t="s">
        <v>234</v>
      </c>
      <c r="K3971" t="s">
        <v>235</v>
      </c>
      <c r="L3971">
        <v>6</v>
      </c>
      <c r="M3971" t="s">
        <v>17042</v>
      </c>
      <c r="N3971" t="s">
        <v>47</v>
      </c>
      <c r="O3971" t="s">
        <v>9477</v>
      </c>
      <c r="P3971" t="s">
        <v>9477</v>
      </c>
      <c r="Y3971" t="s">
        <v>17041</v>
      </c>
    </row>
    <row r="3972" spans="1:25">
      <c r="A3972" t="s">
        <v>17043</v>
      </c>
      <c r="B3972" t="s">
        <v>17044</v>
      </c>
      <c r="D3972" t="s">
        <v>9473</v>
      </c>
      <c r="E3972" t="s">
        <v>9474</v>
      </c>
      <c r="H3972" t="s">
        <v>17045</v>
      </c>
      <c r="J3972" t="s">
        <v>765</v>
      </c>
      <c r="K3972" t="s">
        <v>766</v>
      </c>
      <c r="L3972">
        <v>6</v>
      </c>
      <c r="M3972" t="s">
        <v>17046</v>
      </c>
      <c r="N3972" t="s">
        <v>685</v>
      </c>
      <c r="O3972" t="s">
        <v>9477</v>
      </c>
      <c r="P3972" t="s">
        <v>9477</v>
      </c>
      <c r="Y3972" t="s">
        <v>17045</v>
      </c>
    </row>
    <row r="3973" spans="1:25">
      <c r="A3973" t="s">
        <v>17047</v>
      </c>
      <c r="B3973" t="s">
        <v>17048</v>
      </c>
      <c r="D3973" t="s">
        <v>9473</v>
      </c>
      <c r="E3973" t="s">
        <v>9474</v>
      </c>
      <c r="H3973" t="s">
        <v>17049</v>
      </c>
      <c r="J3973" t="s">
        <v>497</v>
      </c>
      <c r="K3973" t="s">
        <v>498</v>
      </c>
      <c r="L3973">
        <v>10</v>
      </c>
      <c r="M3973" t="s">
        <v>17046</v>
      </c>
      <c r="N3973" t="s">
        <v>290</v>
      </c>
      <c r="O3973" t="s">
        <v>9477</v>
      </c>
      <c r="P3973" t="s">
        <v>9477</v>
      </c>
      <c r="Y3973" t="s">
        <v>17049</v>
      </c>
    </row>
    <row r="3974" spans="1:25">
      <c r="A3974" t="s">
        <v>17050</v>
      </c>
      <c r="B3974" t="s">
        <v>17051</v>
      </c>
      <c r="D3974" t="s">
        <v>9473</v>
      </c>
      <c r="E3974" t="s">
        <v>9474</v>
      </c>
      <c r="J3974" t="s">
        <v>90</v>
      </c>
      <c r="K3974" t="s">
        <v>91</v>
      </c>
      <c r="L3974">
        <v>6</v>
      </c>
      <c r="M3974" t="s">
        <v>17052</v>
      </c>
      <c r="N3974" t="s">
        <v>47</v>
      </c>
      <c r="O3974" t="s">
        <v>9477</v>
      </c>
      <c r="P3974" t="s">
        <v>9477</v>
      </c>
      <c r="Y3974" t="s">
        <v>17053</v>
      </c>
    </row>
    <row r="3975" spans="1:25">
      <c r="A3975" t="s">
        <v>17054</v>
      </c>
      <c r="B3975" t="s">
        <v>17055</v>
      </c>
      <c r="D3975" t="s">
        <v>9473</v>
      </c>
      <c r="E3975" t="s">
        <v>9474</v>
      </c>
      <c r="H3975" t="s">
        <v>17056</v>
      </c>
      <c r="J3975" t="s">
        <v>78</v>
      </c>
      <c r="K3975" t="s">
        <v>79</v>
      </c>
      <c r="L3975">
        <v>6</v>
      </c>
      <c r="M3975" t="s">
        <v>17057</v>
      </c>
      <c r="N3975" t="s">
        <v>47</v>
      </c>
      <c r="O3975" t="s">
        <v>9477</v>
      </c>
      <c r="P3975" t="s">
        <v>9477</v>
      </c>
      <c r="Y3975" t="s">
        <v>17056</v>
      </c>
    </row>
    <row r="3976" spans="1:25">
      <c r="A3976" t="s">
        <v>17058</v>
      </c>
      <c r="B3976" t="s">
        <v>17059</v>
      </c>
      <c r="D3976" t="s">
        <v>9473</v>
      </c>
      <c r="E3976" t="s">
        <v>9474</v>
      </c>
      <c r="H3976" t="s">
        <v>17060</v>
      </c>
      <c r="J3976" t="s">
        <v>133</v>
      </c>
      <c r="K3976" t="s">
        <v>134</v>
      </c>
      <c r="L3976">
        <v>6</v>
      </c>
      <c r="M3976" t="s">
        <v>17057</v>
      </c>
      <c r="N3976" t="s">
        <v>135</v>
      </c>
      <c r="O3976" t="s">
        <v>9477</v>
      </c>
      <c r="P3976" t="s">
        <v>9477</v>
      </c>
      <c r="Y3976" t="s">
        <v>17060</v>
      </c>
    </row>
    <row r="3977" spans="1:25">
      <c r="A3977" t="s">
        <v>17061</v>
      </c>
      <c r="B3977" t="s">
        <v>17062</v>
      </c>
      <c r="D3977" t="s">
        <v>9473</v>
      </c>
      <c r="E3977" t="s">
        <v>9474</v>
      </c>
      <c r="J3977" t="s">
        <v>90</v>
      </c>
      <c r="K3977" t="s">
        <v>91</v>
      </c>
      <c r="L3977">
        <v>6</v>
      </c>
      <c r="M3977" t="s">
        <v>17057</v>
      </c>
      <c r="N3977" t="s">
        <v>47</v>
      </c>
      <c r="O3977" t="s">
        <v>9477</v>
      </c>
      <c r="P3977" t="s">
        <v>9477</v>
      </c>
      <c r="Y3977" t="s">
        <v>17063</v>
      </c>
    </row>
    <row r="3978" spans="1:25">
      <c r="A3978" t="s">
        <v>17064</v>
      </c>
      <c r="B3978" t="s">
        <v>17065</v>
      </c>
      <c r="D3978" t="s">
        <v>9473</v>
      </c>
      <c r="E3978" t="s">
        <v>9474</v>
      </c>
      <c r="J3978" t="s">
        <v>54</v>
      </c>
      <c r="K3978" t="s">
        <v>55</v>
      </c>
      <c r="L3978">
        <v>6</v>
      </c>
      <c r="M3978" t="s">
        <v>17066</v>
      </c>
      <c r="N3978" t="s">
        <v>47</v>
      </c>
      <c r="O3978" t="s">
        <v>9477</v>
      </c>
      <c r="P3978" t="s">
        <v>9477</v>
      </c>
      <c r="Y3978" t="s">
        <v>17067</v>
      </c>
    </row>
    <row r="3979" spans="1:25">
      <c r="A3979" t="s">
        <v>17068</v>
      </c>
      <c r="B3979" t="s">
        <v>17069</v>
      </c>
      <c r="D3979" t="s">
        <v>9473</v>
      </c>
      <c r="E3979" t="s">
        <v>9474</v>
      </c>
      <c r="J3979" t="s">
        <v>90</v>
      </c>
      <c r="K3979" t="s">
        <v>91</v>
      </c>
      <c r="L3979">
        <v>6</v>
      </c>
      <c r="M3979" t="s">
        <v>17066</v>
      </c>
      <c r="N3979" t="s">
        <v>47</v>
      </c>
      <c r="O3979" t="s">
        <v>9477</v>
      </c>
      <c r="P3979" t="s">
        <v>9477</v>
      </c>
      <c r="Y3979" t="s">
        <v>17070</v>
      </c>
    </row>
    <row r="3980" spans="1:25">
      <c r="A3980" t="s">
        <v>17071</v>
      </c>
      <c r="B3980" t="s">
        <v>17072</v>
      </c>
      <c r="D3980" t="s">
        <v>9473</v>
      </c>
      <c r="E3980" t="s">
        <v>9474</v>
      </c>
      <c r="J3980" t="s">
        <v>44</v>
      </c>
      <c r="K3980" t="s">
        <v>45</v>
      </c>
      <c r="L3980">
        <v>6</v>
      </c>
      <c r="M3980" t="s">
        <v>17066</v>
      </c>
      <c r="N3980" t="s">
        <v>47</v>
      </c>
      <c r="O3980" t="s">
        <v>9477</v>
      </c>
      <c r="P3980" t="s">
        <v>9477</v>
      </c>
      <c r="Y3980" t="s">
        <v>17073</v>
      </c>
    </row>
    <row r="3981" spans="1:25">
      <c r="A3981" t="s">
        <v>17074</v>
      </c>
      <c r="B3981" t="s">
        <v>17075</v>
      </c>
      <c r="D3981" t="s">
        <v>9473</v>
      </c>
      <c r="E3981" t="s">
        <v>9474</v>
      </c>
      <c r="H3981" t="s">
        <v>17076</v>
      </c>
      <c r="J3981" t="s">
        <v>133</v>
      </c>
      <c r="K3981" t="s">
        <v>134</v>
      </c>
      <c r="L3981">
        <v>6</v>
      </c>
      <c r="M3981" t="s">
        <v>17077</v>
      </c>
      <c r="N3981" t="s">
        <v>685</v>
      </c>
      <c r="O3981" t="s">
        <v>9477</v>
      </c>
      <c r="P3981" t="s">
        <v>9477</v>
      </c>
      <c r="Y3981" t="s">
        <v>17076</v>
      </c>
    </row>
    <row r="3982" spans="1:25">
      <c r="A3982" t="s">
        <v>17078</v>
      </c>
      <c r="B3982" t="s">
        <v>17079</v>
      </c>
      <c r="D3982" t="s">
        <v>9473</v>
      </c>
      <c r="E3982" t="s">
        <v>9474</v>
      </c>
      <c r="J3982" t="s">
        <v>90</v>
      </c>
      <c r="K3982" t="s">
        <v>91</v>
      </c>
      <c r="L3982">
        <v>6</v>
      </c>
      <c r="M3982" t="s">
        <v>17080</v>
      </c>
      <c r="N3982" t="s">
        <v>47</v>
      </c>
      <c r="O3982" t="s">
        <v>9477</v>
      </c>
      <c r="P3982" t="s">
        <v>9477</v>
      </c>
      <c r="Y3982" t="s">
        <v>17081</v>
      </c>
    </row>
    <row r="3983" spans="1:25">
      <c r="A3983" t="s">
        <v>17082</v>
      </c>
      <c r="B3983" t="s">
        <v>17083</v>
      </c>
      <c r="D3983" t="s">
        <v>9473</v>
      </c>
      <c r="E3983" t="s">
        <v>9474</v>
      </c>
      <c r="H3983" t="s">
        <v>17084</v>
      </c>
      <c r="J3983" t="s">
        <v>78</v>
      </c>
      <c r="K3983" t="s">
        <v>79</v>
      </c>
      <c r="L3983">
        <v>6</v>
      </c>
      <c r="M3983" t="s">
        <v>17085</v>
      </c>
      <c r="N3983" t="s">
        <v>47</v>
      </c>
      <c r="O3983" t="s">
        <v>9477</v>
      </c>
      <c r="P3983" t="s">
        <v>9477</v>
      </c>
      <c r="Y3983" t="s">
        <v>17084</v>
      </c>
    </row>
    <row r="3984" spans="1:25">
      <c r="A3984" t="s">
        <v>17086</v>
      </c>
      <c r="B3984" t="s">
        <v>17087</v>
      </c>
      <c r="D3984" t="s">
        <v>9473</v>
      </c>
      <c r="E3984" t="s">
        <v>9474</v>
      </c>
      <c r="J3984" t="s">
        <v>90</v>
      </c>
      <c r="K3984" t="s">
        <v>91</v>
      </c>
      <c r="L3984">
        <v>6</v>
      </c>
      <c r="M3984" t="s">
        <v>17088</v>
      </c>
      <c r="N3984" t="s">
        <v>47</v>
      </c>
      <c r="O3984" t="s">
        <v>9477</v>
      </c>
      <c r="P3984" t="s">
        <v>9477</v>
      </c>
      <c r="Y3984" t="s">
        <v>17089</v>
      </c>
    </row>
    <row r="3985" spans="1:25">
      <c r="A3985" t="s">
        <v>17090</v>
      </c>
      <c r="B3985" t="s">
        <v>17091</v>
      </c>
      <c r="D3985" t="s">
        <v>9473</v>
      </c>
      <c r="E3985" t="s">
        <v>9474</v>
      </c>
      <c r="J3985" t="s">
        <v>54</v>
      </c>
      <c r="K3985" t="s">
        <v>55</v>
      </c>
      <c r="L3985">
        <v>6</v>
      </c>
      <c r="M3985" t="s">
        <v>17088</v>
      </c>
      <c r="N3985" t="s">
        <v>47</v>
      </c>
      <c r="O3985" t="s">
        <v>9477</v>
      </c>
      <c r="P3985" t="s">
        <v>9477</v>
      </c>
      <c r="Y3985" t="s">
        <v>17092</v>
      </c>
    </row>
    <row r="3986" spans="1:25">
      <c r="A3986" t="s">
        <v>17093</v>
      </c>
      <c r="B3986" t="s">
        <v>17094</v>
      </c>
      <c r="D3986" t="s">
        <v>9473</v>
      </c>
      <c r="E3986" t="s">
        <v>9474</v>
      </c>
      <c r="H3986" t="s">
        <v>17095</v>
      </c>
      <c r="J3986" t="s">
        <v>133</v>
      </c>
      <c r="K3986" t="s">
        <v>134</v>
      </c>
      <c r="L3986">
        <v>6</v>
      </c>
      <c r="M3986" t="s">
        <v>17096</v>
      </c>
      <c r="N3986" t="s">
        <v>685</v>
      </c>
      <c r="O3986" t="s">
        <v>9477</v>
      </c>
      <c r="P3986" t="s">
        <v>9477</v>
      </c>
      <c r="Y3986" t="s">
        <v>17095</v>
      </c>
    </row>
    <row r="3987" spans="1:25">
      <c r="A3987" t="s">
        <v>17097</v>
      </c>
      <c r="B3987" t="s">
        <v>17098</v>
      </c>
      <c r="D3987" t="s">
        <v>9473</v>
      </c>
      <c r="E3987" t="s">
        <v>9474</v>
      </c>
      <c r="J3987" t="s">
        <v>90</v>
      </c>
      <c r="K3987" t="s">
        <v>91</v>
      </c>
      <c r="L3987">
        <v>6</v>
      </c>
      <c r="M3987" t="s">
        <v>17096</v>
      </c>
      <c r="N3987" t="s">
        <v>47</v>
      </c>
      <c r="O3987" t="s">
        <v>9477</v>
      </c>
      <c r="P3987" t="s">
        <v>9477</v>
      </c>
      <c r="Y3987" t="s">
        <v>17099</v>
      </c>
    </row>
    <row r="3988" spans="1:25">
      <c r="A3988" t="s">
        <v>17100</v>
      </c>
      <c r="B3988" t="s">
        <v>17101</v>
      </c>
      <c r="D3988" t="s">
        <v>9473</v>
      </c>
      <c r="E3988" t="s">
        <v>9474</v>
      </c>
      <c r="J3988" t="s">
        <v>90</v>
      </c>
      <c r="K3988" t="s">
        <v>91</v>
      </c>
      <c r="L3988">
        <v>6</v>
      </c>
      <c r="M3988" t="s">
        <v>17102</v>
      </c>
      <c r="N3988" t="s">
        <v>47</v>
      </c>
      <c r="O3988" t="s">
        <v>9477</v>
      </c>
      <c r="P3988" t="s">
        <v>9477</v>
      </c>
      <c r="Y3988" t="s">
        <v>17103</v>
      </c>
    </row>
    <row r="3989" spans="1:25">
      <c r="A3989" t="s">
        <v>17104</v>
      </c>
      <c r="B3989" t="s">
        <v>17105</v>
      </c>
      <c r="D3989" t="s">
        <v>9473</v>
      </c>
      <c r="E3989" t="s">
        <v>9474</v>
      </c>
      <c r="H3989" t="s">
        <v>17106</v>
      </c>
      <c r="J3989" t="s">
        <v>234</v>
      </c>
      <c r="K3989" t="s">
        <v>235</v>
      </c>
      <c r="L3989">
        <v>6</v>
      </c>
      <c r="M3989" t="s">
        <v>17107</v>
      </c>
      <c r="N3989" t="s">
        <v>47</v>
      </c>
      <c r="O3989" t="s">
        <v>9477</v>
      </c>
      <c r="P3989" t="s">
        <v>9477</v>
      </c>
      <c r="Y3989" t="s">
        <v>17106</v>
      </c>
    </row>
    <row r="3990" spans="1:25">
      <c r="A3990" t="s">
        <v>17108</v>
      </c>
      <c r="B3990" t="s">
        <v>17109</v>
      </c>
      <c r="D3990" t="s">
        <v>9473</v>
      </c>
      <c r="E3990" t="s">
        <v>9474</v>
      </c>
      <c r="J3990" t="s">
        <v>78</v>
      </c>
      <c r="K3990" t="s">
        <v>79</v>
      </c>
      <c r="L3990">
        <v>6</v>
      </c>
      <c r="M3990" t="s">
        <v>17110</v>
      </c>
      <c r="N3990" t="s">
        <v>47</v>
      </c>
      <c r="O3990" t="s">
        <v>9477</v>
      </c>
      <c r="P3990" t="s">
        <v>9477</v>
      </c>
      <c r="Y3990" t="s">
        <v>17111</v>
      </c>
    </row>
    <row r="3991" spans="1:25">
      <c r="A3991" t="s">
        <v>17112</v>
      </c>
      <c r="B3991" t="s">
        <v>17113</v>
      </c>
      <c r="D3991" t="s">
        <v>9473</v>
      </c>
      <c r="E3991" t="s">
        <v>9474</v>
      </c>
      <c r="H3991" t="s">
        <v>17114</v>
      </c>
      <c r="J3991" t="s">
        <v>90</v>
      </c>
      <c r="K3991" t="s">
        <v>91</v>
      </c>
      <c r="L3991">
        <v>6</v>
      </c>
      <c r="M3991" t="s">
        <v>17110</v>
      </c>
      <c r="N3991" t="s">
        <v>47</v>
      </c>
      <c r="O3991" t="s">
        <v>9477</v>
      </c>
      <c r="P3991" t="s">
        <v>9477</v>
      </c>
      <c r="Y3991" t="s">
        <v>17114</v>
      </c>
    </row>
    <row r="3992" spans="1:25">
      <c r="A3992" t="s">
        <v>17115</v>
      </c>
      <c r="B3992" t="s">
        <v>17116</v>
      </c>
      <c r="D3992" t="s">
        <v>9473</v>
      </c>
      <c r="E3992" t="s">
        <v>9474</v>
      </c>
      <c r="H3992" t="s">
        <v>17117</v>
      </c>
      <c r="J3992" t="s">
        <v>90</v>
      </c>
      <c r="K3992" t="s">
        <v>91</v>
      </c>
      <c r="L3992">
        <v>6</v>
      </c>
      <c r="M3992" t="s">
        <v>17118</v>
      </c>
      <c r="N3992" t="s">
        <v>47</v>
      </c>
      <c r="O3992" t="s">
        <v>9477</v>
      </c>
      <c r="P3992" t="s">
        <v>9477</v>
      </c>
      <c r="Y3992" t="s">
        <v>17117</v>
      </c>
    </row>
    <row r="3993" spans="1:25">
      <c r="A3993" t="s">
        <v>17119</v>
      </c>
      <c r="B3993" t="s">
        <v>17120</v>
      </c>
      <c r="D3993" t="s">
        <v>9473</v>
      </c>
      <c r="E3993" t="s">
        <v>9474</v>
      </c>
      <c r="J3993" t="s">
        <v>90</v>
      </c>
      <c r="K3993" t="s">
        <v>91</v>
      </c>
      <c r="L3993">
        <v>6</v>
      </c>
      <c r="M3993" t="s">
        <v>17121</v>
      </c>
      <c r="N3993" t="s">
        <v>47</v>
      </c>
      <c r="O3993" t="s">
        <v>9477</v>
      </c>
      <c r="P3993" t="s">
        <v>9477</v>
      </c>
      <c r="Y3993" t="s">
        <v>17122</v>
      </c>
    </row>
    <row r="3994" spans="1:25">
      <c r="A3994" t="s">
        <v>17123</v>
      </c>
      <c r="B3994" t="s">
        <v>17124</v>
      </c>
      <c r="D3994" t="s">
        <v>9473</v>
      </c>
      <c r="E3994" t="s">
        <v>9474</v>
      </c>
      <c r="H3994" t="s">
        <v>17125</v>
      </c>
      <c r="J3994" t="s">
        <v>90</v>
      </c>
      <c r="K3994" t="s">
        <v>91</v>
      </c>
      <c r="L3994">
        <v>6</v>
      </c>
      <c r="M3994" t="s">
        <v>17126</v>
      </c>
      <c r="N3994" t="s">
        <v>47</v>
      </c>
      <c r="O3994" t="s">
        <v>9477</v>
      </c>
      <c r="P3994" t="s">
        <v>9477</v>
      </c>
      <c r="Y3994" t="s">
        <v>17125</v>
      </c>
    </row>
    <row r="3995" spans="1:25">
      <c r="A3995" t="s">
        <v>17127</v>
      </c>
      <c r="B3995" t="s">
        <v>17128</v>
      </c>
      <c r="D3995" t="s">
        <v>9473</v>
      </c>
      <c r="E3995" t="s">
        <v>9474</v>
      </c>
      <c r="J3995" t="s">
        <v>371</v>
      </c>
      <c r="K3995" t="s">
        <v>372</v>
      </c>
      <c r="L3995">
        <v>6</v>
      </c>
      <c r="M3995" t="s">
        <v>17129</v>
      </c>
      <c r="N3995" t="s">
        <v>47</v>
      </c>
      <c r="O3995" t="s">
        <v>9477</v>
      </c>
      <c r="P3995" t="s">
        <v>9477</v>
      </c>
      <c r="Y3995" t="s">
        <v>17130</v>
      </c>
    </row>
    <row r="3996" spans="1:25">
      <c r="A3996" t="s">
        <v>17131</v>
      </c>
      <c r="B3996" t="s">
        <v>17132</v>
      </c>
      <c r="D3996" t="s">
        <v>9473</v>
      </c>
      <c r="E3996" t="s">
        <v>9474</v>
      </c>
      <c r="J3996" t="s">
        <v>353</v>
      </c>
      <c r="K3996" t="s">
        <v>354</v>
      </c>
      <c r="L3996">
        <v>6</v>
      </c>
      <c r="M3996" t="s">
        <v>17129</v>
      </c>
      <c r="N3996" t="s">
        <v>685</v>
      </c>
      <c r="O3996" t="s">
        <v>9477</v>
      </c>
      <c r="P3996" t="s">
        <v>9477</v>
      </c>
      <c r="Y3996" t="s">
        <v>17133</v>
      </c>
    </row>
    <row r="3997" spans="1:25">
      <c r="A3997" t="s">
        <v>17134</v>
      </c>
      <c r="B3997" t="s">
        <v>17135</v>
      </c>
      <c r="D3997" t="s">
        <v>9473</v>
      </c>
      <c r="E3997" t="s">
        <v>9474</v>
      </c>
      <c r="J3997" t="s">
        <v>54</v>
      </c>
      <c r="K3997" t="s">
        <v>55</v>
      </c>
      <c r="L3997">
        <v>6</v>
      </c>
      <c r="M3997" t="s">
        <v>17129</v>
      </c>
      <c r="N3997" t="s">
        <v>47</v>
      </c>
      <c r="O3997" t="s">
        <v>9477</v>
      </c>
      <c r="P3997" t="s">
        <v>9477</v>
      </c>
      <c r="Y3997" t="s">
        <v>17136</v>
      </c>
    </row>
    <row r="3998" spans="1:25">
      <c r="A3998" t="s">
        <v>17137</v>
      </c>
      <c r="B3998" t="s">
        <v>17138</v>
      </c>
      <c r="D3998" t="s">
        <v>9473</v>
      </c>
      <c r="E3998" t="s">
        <v>9474</v>
      </c>
      <c r="J3998" t="s">
        <v>133</v>
      </c>
      <c r="K3998" t="s">
        <v>134</v>
      </c>
      <c r="L3998">
        <v>6</v>
      </c>
      <c r="M3998" t="s">
        <v>17129</v>
      </c>
      <c r="N3998" t="s">
        <v>685</v>
      </c>
      <c r="O3998" t="s">
        <v>9477</v>
      </c>
      <c r="P3998" t="s">
        <v>9477</v>
      </c>
      <c r="Y3998" t="s">
        <v>17139</v>
      </c>
    </row>
    <row r="3999" spans="1:25">
      <c r="A3999" t="s">
        <v>17140</v>
      </c>
      <c r="B3999" t="s">
        <v>17141</v>
      </c>
      <c r="D3999" t="s">
        <v>9473</v>
      </c>
      <c r="E3999" t="s">
        <v>9474</v>
      </c>
      <c r="J3999" t="s">
        <v>90</v>
      </c>
      <c r="K3999" t="s">
        <v>91</v>
      </c>
      <c r="L3999">
        <v>6</v>
      </c>
      <c r="M3999" t="s">
        <v>17142</v>
      </c>
      <c r="N3999" t="s">
        <v>47</v>
      </c>
      <c r="O3999" t="s">
        <v>9477</v>
      </c>
      <c r="P3999" t="s">
        <v>9477</v>
      </c>
      <c r="Y3999" t="s">
        <v>17143</v>
      </c>
    </row>
    <row r="4000" spans="1:25">
      <c r="A4000" t="s">
        <v>17144</v>
      </c>
      <c r="B4000" t="s">
        <v>17145</v>
      </c>
      <c r="D4000" t="s">
        <v>9473</v>
      </c>
      <c r="E4000" t="s">
        <v>9474</v>
      </c>
      <c r="J4000" t="s">
        <v>44</v>
      </c>
      <c r="K4000" t="s">
        <v>45</v>
      </c>
      <c r="L4000">
        <v>6</v>
      </c>
      <c r="M4000" t="s">
        <v>17146</v>
      </c>
      <c r="N4000" t="s">
        <v>47</v>
      </c>
      <c r="O4000" t="s">
        <v>9477</v>
      </c>
      <c r="P4000" t="s">
        <v>9477</v>
      </c>
      <c r="Y4000" t="s">
        <v>17147</v>
      </c>
    </row>
    <row r="4001" spans="1:25">
      <c r="A4001" t="s">
        <v>17148</v>
      </c>
      <c r="B4001" t="s">
        <v>17149</v>
      </c>
      <c r="D4001" t="s">
        <v>9473</v>
      </c>
      <c r="E4001" t="s">
        <v>9474</v>
      </c>
      <c r="H4001" t="s">
        <v>17150</v>
      </c>
      <c r="J4001" t="s">
        <v>90</v>
      </c>
      <c r="K4001" t="s">
        <v>91</v>
      </c>
      <c r="L4001">
        <v>6</v>
      </c>
      <c r="M4001" t="s">
        <v>17146</v>
      </c>
      <c r="N4001" t="s">
        <v>47</v>
      </c>
      <c r="O4001" t="s">
        <v>9477</v>
      </c>
      <c r="P4001" t="s">
        <v>9477</v>
      </c>
      <c r="Y4001" t="s">
        <v>17150</v>
      </c>
    </row>
    <row r="4002" spans="1:25">
      <c r="A4002" t="s">
        <v>17151</v>
      </c>
      <c r="B4002" t="s">
        <v>17152</v>
      </c>
      <c r="D4002" t="s">
        <v>9473</v>
      </c>
      <c r="E4002" t="s">
        <v>9474</v>
      </c>
      <c r="J4002" t="s">
        <v>78</v>
      </c>
      <c r="K4002" t="s">
        <v>79</v>
      </c>
      <c r="L4002">
        <v>6</v>
      </c>
      <c r="M4002" t="s">
        <v>17146</v>
      </c>
      <c r="N4002" t="s">
        <v>47</v>
      </c>
      <c r="O4002" t="s">
        <v>9477</v>
      </c>
      <c r="P4002" t="s">
        <v>9477</v>
      </c>
      <c r="Y4002" t="s">
        <v>17153</v>
      </c>
    </row>
    <row r="4003" spans="1:25">
      <c r="A4003" t="s">
        <v>17154</v>
      </c>
      <c r="B4003" t="s">
        <v>17155</v>
      </c>
      <c r="D4003" t="s">
        <v>9473</v>
      </c>
      <c r="E4003" t="s">
        <v>9474</v>
      </c>
      <c r="J4003" t="s">
        <v>133</v>
      </c>
      <c r="K4003" t="s">
        <v>134</v>
      </c>
      <c r="L4003">
        <v>6</v>
      </c>
      <c r="M4003" t="s">
        <v>17156</v>
      </c>
      <c r="N4003" t="s">
        <v>135</v>
      </c>
      <c r="O4003" t="s">
        <v>9477</v>
      </c>
      <c r="P4003" t="s">
        <v>9477</v>
      </c>
      <c r="Y4003" t="s">
        <v>17157</v>
      </c>
    </row>
    <row r="4004" spans="1:25">
      <c r="A4004" t="s">
        <v>17158</v>
      </c>
      <c r="B4004" t="s">
        <v>17159</v>
      </c>
      <c r="D4004" t="s">
        <v>9473</v>
      </c>
      <c r="E4004" t="s">
        <v>9474</v>
      </c>
      <c r="J4004" t="s">
        <v>78</v>
      </c>
      <c r="K4004" t="s">
        <v>79</v>
      </c>
      <c r="L4004">
        <v>6</v>
      </c>
      <c r="M4004" t="s">
        <v>17160</v>
      </c>
      <c r="N4004" t="s">
        <v>47</v>
      </c>
      <c r="O4004" t="s">
        <v>9477</v>
      </c>
      <c r="P4004" t="s">
        <v>9477</v>
      </c>
      <c r="Y4004" t="s">
        <v>17161</v>
      </c>
    </row>
    <row r="4005" spans="1:25">
      <c r="A4005" t="s">
        <v>17162</v>
      </c>
      <c r="B4005" t="s">
        <v>17163</v>
      </c>
      <c r="D4005" t="s">
        <v>9473</v>
      </c>
      <c r="E4005" t="s">
        <v>9474</v>
      </c>
      <c r="J4005" t="s">
        <v>90</v>
      </c>
      <c r="K4005" t="s">
        <v>91</v>
      </c>
      <c r="L4005">
        <v>6</v>
      </c>
      <c r="M4005" t="s">
        <v>17164</v>
      </c>
      <c r="N4005" t="s">
        <v>47</v>
      </c>
      <c r="O4005" t="s">
        <v>9477</v>
      </c>
      <c r="P4005" t="s">
        <v>9477</v>
      </c>
      <c r="Y4005" t="s">
        <v>17165</v>
      </c>
    </row>
    <row r="4006" spans="1:25">
      <c r="A4006" t="s">
        <v>17166</v>
      </c>
      <c r="B4006" t="s">
        <v>17167</v>
      </c>
      <c r="D4006" t="s">
        <v>9473</v>
      </c>
      <c r="E4006" t="s">
        <v>9474</v>
      </c>
      <c r="J4006" t="s">
        <v>541</v>
      </c>
      <c r="K4006" t="s">
        <v>542</v>
      </c>
      <c r="L4006">
        <v>6</v>
      </c>
      <c r="M4006" t="s">
        <v>17168</v>
      </c>
      <c r="N4006" t="s">
        <v>290</v>
      </c>
      <c r="O4006" t="s">
        <v>9477</v>
      </c>
      <c r="P4006" t="s">
        <v>9477</v>
      </c>
      <c r="Y4006" t="s">
        <v>17169</v>
      </c>
    </row>
    <row r="4007" spans="1:25">
      <c r="A4007" t="s">
        <v>17170</v>
      </c>
      <c r="B4007" t="s">
        <v>17171</v>
      </c>
      <c r="D4007" t="s">
        <v>9473</v>
      </c>
      <c r="E4007" t="s">
        <v>9474</v>
      </c>
      <c r="J4007" t="s">
        <v>90</v>
      </c>
      <c r="K4007" t="s">
        <v>91</v>
      </c>
      <c r="L4007">
        <v>6</v>
      </c>
      <c r="M4007" t="s">
        <v>17172</v>
      </c>
      <c r="N4007" t="s">
        <v>47</v>
      </c>
      <c r="O4007" t="s">
        <v>9477</v>
      </c>
      <c r="P4007" t="s">
        <v>9477</v>
      </c>
      <c r="Y4007" t="s">
        <v>17173</v>
      </c>
    </row>
    <row r="4008" spans="1:25">
      <c r="A4008" t="s">
        <v>17174</v>
      </c>
      <c r="B4008" t="s">
        <v>17175</v>
      </c>
      <c r="D4008" t="s">
        <v>9473</v>
      </c>
      <c r="E4008" t="s">
        <v>9474</v>
      </c>
      <c r="J4008" t="s">
        <v>44</v>
      </c>
      <c r="K4008" t="s">
        <v>45</v>
      </c>
      <c r="L4008">
        <v>6</v>
      </c>
      <c r="M4008" t="s">
        <v>17176</v>
      </c>
      <c r="N4008" t="s">
        <v>47</v>
      </c>
      <c r="O4008" t="s">
        <v>9477</v>
      </c>
      <c r="P4008" t="s">
        <v>9477</v>
      </c>
      <c r="Y4008" t="s">
        <v>17177</v>
      </c>
    </row>
    <row r="4009" spans="1:25">
      <c r="A4009" t="s">
        <v>17178</v>
      </c>
      <c r="B4009" t="s">
        <v>17179</v>
      </c>
      <c r="D4009" t="s">
        <v>9473</v>
      </c>
      <c r="E4009" t="s">
        <v>9474</v>
      </c>
      <c r="J4009" t="s">
        <v>353</v>
      </c>
      <c r="K4009" t="s">
        <v>354</v>
      </c>
      <c r="L4009">
        <v>6</v>
      </c>
      <c r="M4009" t="s">
        <v>17176</v>
      </c>
      <c r="N4009" t="s">
        <v>135</v>
      </c>
      <c r="O4009" t="s">
        <v>9477</v>
      </c>
      <c r="P4009" t="s">
        <v>9477</v>
      </c>
      <c r="Y4009" t="s">
        <v>17180</v>
      </c>
    </row>
    <row r="4010" spans="1:25">
      <c r="A4010" t="s">
        <v>17181</v>
      </c>
      <c r="B4010" t="s">
        <v>17182</v>
      </c>
      <c r="D4010" t="s">
        <v>9473</v>
      </c>
      <c r="E4010" t="s">
        <v>9474</v>
      </c>
      <c r="H4010" t="s">
        <v>17183</v>
      </c>
      <c r="J4010" t="s">
        <v>234</v>
      </c>
      <c r="K4010" t="s">
        <v>235</v>
      </c>
      <c r="L4010">
        <v>6</v>
      </c>
      <c r="M4010" t="s">
        <v>17184</v>
      </c>
      <c r="N4010" t="s">
        <v>47</v>
      </c>
      <c r="O4010" t="s">
        <v>9477</v>
      </c>
      <c r="P4010" t="s">
        <v>9477</v>
      </c>
      <c r="Y4010" t="s">
        <v>17183</v>
      </c>
    </row>
    <row r="4011" spans="1:25">
      <c r="A4011" t="s">
        <v>17185</v>
      </c>
      <c r="B4011" t="s">
        <v>17186</v>
      </c>
      <c r="D4011" t="s">
        <v>9473</v>
      </c>
      <c r="E4011" t="s">
        <v>9474</v>
      </c>
      <c r="J4011" t="s">
        <v>90</v>
      </c>
      <c r="K4011" t="s">
        <v>91</v>
      </c>
      <c r="L4011">
        <v>6</v>
      </c>
      <c r="M4011" t="s">
        <v>17187</v>
      </c>
      <c r="N4011" t="s">
        <v>47</v>
      </c>
      <c r="O4011" t="s">
        <v>9477</v>
      </c>
      <c r="P4011" t="s">
        <v>9477</v>
      </c>
      <c r="Y4011" t="s">
        <v>17188</v>
      </c>
    </row>
    <row r="4012" spans="1:25">
      <c r="A4012" t="s">
        <v>17189</v>
      </c>
      <c r="B4012" t="s">
        <v>17190</v>
      </c>
      <c r="D4012" t="s">
        <v>9473</v>
      </c>
      <c r="E4012" t="s">
        <v>9474</v>
      </c>
      <c r="J4012" t="s">
        <v>133</v>
      </c>
      <c r="K4012" t="s">
        <v>134</v>
      </c>
      <c r="L4012">
        <v>6</v>
      </c>
      <c r="M4012" t="s">
        <v>17191</v>
      </c>
      <c r="N4012" t="s">
        <v>290</v>
      </c>
      <c r="O4012" t="s">
        <v>9477</v>
      </c>
      <c r="P4012" t="s">
        <v>9477</v>
      </c>
      <c r="Y4012" t="s">
        <v>17192</v>
      </c>
    </row>
    <row r="4013" spans="1:25">
      <c r="A4013" t="s">
        <v>17193</v>
      </c>
      <c r="B4013" t="s">
        <v>17194</v>
      </c>
      <c r="D4013" t="s">
        <v>9473</v>
      </c>
      <c r="E4013" t="s">
        <v>9474</v>
      </c>
      <c r="J4013" t="s">
        <v>44</v>
      </c>
      <c r="K4013" t="s">
        <v>45</v>
      </c>
      <c r="L4013">
        <v>6</v>
      </c>
      <c r="M4013" t="s">
        <v>17195</v>
      </c>
      <c r="N4013" t="s">
        <v>47</v>
      </c>
      <c r="O4013" t="s">
        <v>9477</v>
      </c>
      <c r="P4013" t="s">
        <v>9477</v>
      </c>
      <c r="Y4013" t="s">
        <v>17196</v>
      </c>
    </row>
    <row r="4014" spans="1:25">
      <c r="A4014" t="s">
        <v>17197</v>
      </c>
      <c r="B4014" t="s">
        <v>17198</v>
      </c>
      <c r="D4014" t="s">
        <v>9473</v>
      </c>
      <c r="E4014" t="s">
        <v>9474</v>
      </c>
      <c r="J4014" t="s">
        <v>133</v>
      </c>
      <c r="K4014" t="s">
        <v>134</v>
      </c>
      <c r="L4014">
        <v>6</v>
      </c>
      <c r="M4014" t="s">
        <v>17199</v>
      </c>
      <c r="N4014" t="s">
        <v>685</v>
      </c>
      <c r="O4014" t="s">
        <v>9477</v>
      </c>
      <c r="P4014" t="s">
        <v>9477</v>
      </c>
      <c r="Y4014" t="s">
        <v>17200</v>
      </c>
    </row>
    <row r="4015" spans="1:25">
      <c r="A4015" t="s">
        <v>17201</v>
      </c>
      <c r="B4015" t="s">
        <v>17202</v>
      </c>
      <c r="D4015" t="s">
        <v>9473</v>
      </c>
      <c r="E4015" t="s">
        <v>9474</v>
      </c>
      <c r="H4015" t="s">
        <v>17203</v>
      </c>
      <c r="J4015" t="s">
        <v>90</v>
      </c>
      <c r="K4015" t="s">
        <v>91</v>
      </c>
      <c r="L4015">
        <v>6</v>
      </c>
      <c r="M4015" t="s">
        <v>17204</v>
      </c>
      <c r="N4015" t="s">
        <v>47</v>
      </c>
      <c r="O4015" t="s">
        <v>9477</v>
      </c>
      <c r="P4015" t="s">
        <v>9477</v>
      </c>
      <c r="Y4015" t="s">
        <v>17203</v>
      </c>
    </row>
    <row r="4016" spans="1:25">
      <c r="A4016" t="s">
        <v>17205</v>
      </c>
      <c r="B4016" t="s">
        <v>17206</v>
      </c>
      <c r="D4016" t="s">
        <v>9473</v>
      </c>
      <c r="E4016" t="s">
        <v>9474</v>
      </c>
      <c r="J4016" t="s">
        <v>371</v>
      </c>
      <c r="K4016" t="s">
        <v>372</v>
      </c>
      <c r="L4016">
        <v>6</v>
      </c>
      <c r="M4016" t="s">
        <v>17204</v>
      </c>
      <c r="N4016" t="s">
        <v>47</v>
      </c>
      <c r="O4016" t="s">
        <v>9477</v>
      </c>
      <c r="P4016" t="s">
        <v>9477</v>
      </c>
      <c r="Y4016" t="s">
        <v>17207</v>
      </c>
    </row>
    <row r="4017" spans="1:25">
      <c r="A4017" t="s">
        <v>17208</v>
      </c>
      <c r="B4017" t="s">
        <v>17209</v>
      </c>
      <c r="D4017" t="s">
        <v>9473</v>
      </c>
      <c r="E4017" t="s">
        <v>9474</v>
      </c>
      <c r="J4017" t="s">
        <v>90</v>
      </c>
      <c r="K4017" t="s">
        <v>91</v>
      </c>
      <c r="L4017">
        <v>6</v>
      </c>
      <c r="M4017" t="s">
        <v>17204</v>
      </c>
      <c r="N4017" t="s">
        <v>47</v>
      </c>
      <c r="O4017" t="s">
        <v>9477</v>
      </c>
      <c r="P4017" t="s">
        <v>9477</v>
      </c>
      <c r="Y4017" t="s">
        <v>17210</v>
      </c>
    </row>
    <row r="4018" spans="1:25">
      <c r="A4018" t="s">
        <v>17211</v>
      </c>
      <c r="B4018" t="s">
        <v>17212</v>
      </c>
      <c r="D4018" t="s">
        <v>9473</v>
      </c>
      <c r="E4018" t="s">
        <v>9474</v>
      </c>
      <c r="J4018" t="s">
        <v>44</v>
      </c>
      <c r="K4018" t="s">
        <v>45</v>
      </c>
      <c r="L4018">
        <v>6</v>
      </c>
      <c r="M4018" t="s">
        <v>17213</v>
      </c>
      <c r="N4018" t="s">
        <v>47</v>
      </c>
      <c r="O4018" t="s">
        <v>9477</v>
      </c>
      <c r="P4018" t="s">
        <v>9477</v>
      </c>
      <c r="Y4018" t="s">
        <v>17214</v>
      </c>
    </row>
    <row r="4019" spans="1:25">
      <c r="A4019" t="s">
        <v>17215</v>
      </c>
      <c r="B4019" t="s">
        <v>17216</v>
      </c>
      <c r="D4019" t="s">
        <v>9473</v>
      </c>
      <c r="E4019" t="s">
        <v>9474</v>
      </c>
      <c r="J4019" t="s">
        <v>90</v>
      </c>
      <c r="K4019" t="s">
        <v>91</v>
      </c>
      <c r="L4019">
        <v>6</v>
      </c>
      <c r="M4019" t="s">
        <v>17213</v>
      </c>
      <c r="N4019" t="s">
        <v>47</v>
      </c>
      <c r="O4019" t="s">
        <v>9477</v>
      </c>
      <c r="P4019" t="s">
        <v>9477</v>
      </c>
      <c r="Y4019" t="s">
        <v>17217</v>
      </c>
    </row>
    <row r="4020" spans="1:25">
      <c r="A4020" t="s">
        <v>17218</v>
      </c>
      <c r="B4020" t="s">
        <v>17219</v>
      </c>
      <c r="D4020" t="s">
        <v>9473</v>
      </c>
      <c r="E4020" t="s">
        <v>9474</v>
      </c>
      <c r="H4020" t="s">
        <v>17220</v>
      </c>
      <c r="J4020" t="s">
        <v>90</v>
      </c>
      <c r="K4020" t="s">
        <v>91</v>
      </c>
      <c r="L4020">
        <v>6</v>
      </c>
      <c r="M4020" t="s">
        <v>17221</v>
      </c>
      <c r="N4020" t="s">
        <v>47</v>
      </c>
      <c r="O4020" t="s">
        <v>9477</v>
      </c>
      <c r="P4020" t="s">
        <v>9477</v>
      </c>
      <c r="Y4020" t="s">
        <v>17220</v>
      </c>
    </row>
    <row r="4021" spans="1:25">
      <c r="A4021" t="s">
        <v>17222</v>
      </c>
      <c r="B4021" t="s">
        <v>17223</v>
      </c>
      <c r="D4021" t="s">
        <v>9473</v>
      </c>
      <c r="E4021" t="s">
        <v>9474</v>
      </c>
      <c r="J4021" t="s">
        <v>90</v>
      </c>
      <c r="K4021" t="s">
        <v>91</v>
      </c>
      <c r="L4021">
        <v>6</v>
      </c>
      <c r="M4021" t="s">
        <v>17221</v>
      </c>
      <c r="N4021" t="s">
        <v>47</v>
      </c>
      <c r="O4021" t="s">
        <v>9477</v>
      </c>
      <c r="P4021" t="s">
        <v>9477</v>
      </c>
      <c r="Y4021" t="s">
        <v>17224</v>
      </c>
    </row>
    <row r="4022" spans="1:25">
      <c r="A4022" t="s">
        <v>17225</v>
      </c>
      <c r="B4022" t="s">
        <v>17226</v>
      </c>
      <c r="D4022" t="s">
        <v>9473</v>
      </c>
      <c r="E4022" t="s">
        <v>9474</v>
      </c>
      <c r="J4022" t="s">
        <v>54</v>
      </c>
      <c r="K4022" t="s">
        <v>55</v>
      </c>
      <c r="L4022">
        <v>6</v>
      </c>
      <c r="M4022" t="s">
        <v>17221</v>
      </c>
      <c r="N4022" t="s">
        <v>47</v>
      </c>
      <c r="O4022" t="s">
        <v>9477</v>
      </c>
      <c r="P4022" t="s">
        <v>9477</v>
      </c>
      <c r="Y4022" t="s">
        <v>17227</v>
      </c>
    </row>
    <row r="4023" spans="1:25">
      <c r="A4023" t="s">
        <v>17228</v>
      </c>
      <c r="B4023" t="s">
        <v>17229</v>
      </c>
      <c r="D4023" t="s">
        <v>9473</v>
      </c>
      <c r="E4023" t="s">
        <v>9474</v>
      </c>
      <c r="H4023" t="s">
        <v>17230</v>
      </c>
      <c r="J4023" t="s">
        <v>90</v>
      </c>
      <c r="K4023" t="s">
        <v>91</v>
      </c>
      <c r="L4023">
        <v>6</v>
      </c>
      <c r="M4023" t="s">
        <v>17221</v>
      </c>
      <c r="N4023" t="s">
        <v>47</v>
      </c>
      <c r="O4023" t="s">
        <v>9477</v>
      </c>
      <c r="P4023" t="s">
        <v>9477</v>
      </c>
      <c r="Y4023" t="s">
        <v>17230</v>
      </c>
    </row>
    <row r="4024" spans="1:25">
      <c r="A4024" t="s">
        <v>17231</v>
      </c>
      <c r="B4024" t="s">
        <v>17232</v>
      </c>
      <c r="D4024" t="s">
        <v>9473</v>
      </c>
      <c r="E4024" t="s">
        <v>9474</v>
      </c>
      <c r="J4024" t="s">
        <v>133</v>
      </c>
      <c r="K4024" t="s">
        <v>134</v>
      </c>
      <c r="L4024">
        <v>6</v>
      </c>
      <c r="M4024" t="s">
        <v>17233</v>
      </c>
      <c r="N4024" t="s">
        <v>135</v>
      </c>
      <c r="O4024" t="s">
        <v>9477</v>
      </c>
      <c r="P4024" t="s">
        <v>9477</v>
      </c>
      <c r="Y4024" t="s">
        <v>17234</v>
      </c>
    </row>
    <row r="4025" spans="1:25">
      <c r="A4025" t="s">
        <v>17235</v>
      </c>
      <c r="B4025" t="s">
        <v>17236</v>
      </c>
      <c r="D4025" t="s">
        <v>9473</v>
      </c>
      <c r="E4025" t="s">
        <v>9474</v>
      </c>
      <c r="H4025" t="s">
        <v>17237</v>
      </c>
      <c r="J4025" t="s">
        <v>90</v>
      </c>
      <c r="K4025" t="s">
        <v>91</v>
      </c>
      <c r="L4025">
        <v>6</v>
      </c>
      <c r="M4025" t="s">
        <v>17233</v>
      </c>
      <c r="N4025" t="s">
        <v>47</v>
      </c>
      <c r="O4025" t="s">
        <v>9477</v>
      </c>
      <c r="P4025" t="s">
        <v>9477</v>
      </c>
      <c r="Y4025" t="s">
        <v>17237</v>
      </c>
    </row>
    <row r="4026" spans="1:25">
      <c r="A4026" t="s">
        <v>17238</v>
      </c>
      <c r="B4026" t="s">
        <v>17239</v>
      </c>
      <c r="D4026" t="s">
        <v>9473</v>
      </c>
      <c r="E4026" t="s">
        <v>9474</v>
      </c>
      <c r="J4026" t="s">
        <v>44</v>
      </c>
      <c r="K4026" t="s">
        <v>45</v>
      </c>
      <c r="L4026">
        <v>6</v>
      </c>
      <c r="M4026" t="s">
        <v>17233</v>
      </c>
      <c r="N4026" t="s">
        <v>47</v>
      </c>
      <c r="O4026" t="s">
        <v>9477</v>
      </c>
      <c r="P4026" t="s">
        <v>9477</v>
      </c>
      <c r="Y4026" t="s">
        <v>17240</v>
      </c>
    </row>
    <row r="4027" spans="1:25">
      <c r="A4027" t="s">
        <v>17241</v>
      </c>
      <c r="B4027" t="s">
        <v>17242</v>
      </c>
      <c r="D4027" t="s">
        <v>9473</v>
      </c>
      <c r="E4027" t="s">
        <v>9474</v>
      </c>
      <c r="H4027" t="s">
        <v>17243</v>
      </c>
      <c r="J4027" t="s">
        <v>133</v>
      </c>
      <c r="K4027" t="s">
        <v>134</v>
      </c>
      <c r="L4027">
        <v>6</v>
      </c>
      <c r="M4027" t="s">
        <v>17244</v>
      </c>
      <c r="N4027" t="s">
        <v>685</v>
      </c>
      <c r="O4027" t="s">
        <v>9477</v>
      </c>
      <c r="P4027" t="s">
        <v>9477</v>
      </c>
      <c r="Y4027" t="s">
        <v>17243</v>
      </c>
    </row>
    <row r="4028" spans="1:25">
      <c r="A4028" t="s">
        <v>17245</v>
      </c>
      <c r="B4028" t="s">
        <v>17246</v>
      </c>
      <c r="D4028" t="s">
        <v>9473</v>
      </c>
      <c r="E4028" t="s">
        <v>9474</v>
      </c>
      <c r="J4028" t="s">
        <v>287</v>
      </c>
      <c r="K4028" t="s">
        <v>288</v>
      </c>
      <c r="L4028">
        <v>6</v>
      </c>
      <c r="M4028" t="s">
        <v>17247</v>
      </c>
      <c r="N4028" t="s">
        <v>685</v>
      </c>
      <c r="O4028" t="s">
        <v>9477</v>
      </c>
      <c r="P4028" t="s">
        <v>9477</v>
      </c>
      <c r="Y4028" t="s">
        <v>17248</v>
      </c>
    </row>
    <row r="4029" spans="1:25">
      <c r="A4029" t="s">
        <v>17249</v>
      </c>
      <c r="B4029" t="s">
        <v>17250</v>
      </c>
      <c r="D4029" t="s">
        <v>9473</v>
      </c>
      <c r="E4029" t="s">
        <v>9474</v>
      </c>
      <c r="J4029" t="s">
        <v>44</v>
      </c>
      <c r="K4029" t="s">
        <v>45</v>
      </c>
      <c r="L4029">
        <v>6</v>
      </c>
      <c r="M4029" t="s">
        <v>17247</v>
      </c>
      <c r="N4029" t="s">
        <v>47</v>
      </c>
      <c r="O4029" t="s">
        <v>9477</v>
      </c>
      <c r="P4029" t="s">
        <v>9477</v>
      </c>
      <c r="Y4029" t="s">
        <v>17251</v>
      </c>
    </row>
    <row r="4030" spans="1:25">
      <c r="A4030" t="s">
        <v>17252</v>
      </c>
      <c r="B4030" t="s">
        <v>17253</v>
      </c>
      <c r="D4030" t="s">
        <v>9473</v>
      </c>
      <c r="E4030" t="s">
        <v>9474</v>
      </c>
      <c r="J4030" t="s">
        <v>78</v>
      </c>
      <c r="K4030" t="s">
        <v>79</v>
      </c>
      <c r="L4030">
        <v>6</v>
      </c>
      <c r="M4030" t="s">
        <v>17247</v>
      </c>
      <c r="N4030" t="s">
        <v>47</v>
      </c>
      <c r="O4030" t="s">
        <v>9477</v>
      </c>
      <c r="P4030" t="s">
        <v>9477</v>
      </c>
      <c r="Y4030" t="s">
        <v>17254</v>
      </c>
    </row>
    <row r="4031" spans="1:25">
      <c r="A4031" t="s">
        <v>17255</v>
      </c>
      <c r="B4031" t="s">
        <v>17256</v>
      </c>
      <c r="D4031" t="s">
        <v>9473</v>
      </c>
      <c r="E4031" t="s">
        <v>9474</v>
      </c>
      <c r="J4031" t="s">
        <v>371</v>
      </c>
      <c r="K4031" t="s">
        <v>372</v>
      </c>
      <c r="L4031">
        <v>6</v>
      </c>
      <c r="M4031" t="s">
        <v>17257</v>
      </c>
      <c r="N4031" t="s">
        <v>47</v>
      </c>
      <c r="O4031" t="s">
        <v>9477</v>
      </c>
      <c r="P4031" t="s">
        <v>9477</v>
      </c>
      <c r="Y4031" t="s">
        <v>17258</v>
      </c>
    </row>
    <row r="4032" spans="1:25">
      <c r="A4032" t="s">
        <v>17259</v>
      </c>
      <c r="B4032" t="s">
        <v>17260</v>
      </c>
      <c r="D4032" t="s">
        <v>9473</v>
      </c>
      <c r="E4032" t="s">
        <v>9474</v>
      </c>
      <c r="J4032" t="s">
        <v>90</v>
      </c>
      <c r="K4032" t="s">
        <v>91</v>
      </c>
      <c r="L4032">
        <v>6</v>
      </c>
      <c r="M4032" t="s">
        <v>17257</v>
      </c>
      <c r="N4032" t="s">
        <v>47</v>
      </c>
      <c r="O4032" t="s">
        <v>9477</v>
      </c>
      <c r="P4032" t="s">
        <v>9477</v>
      </c>
      <c r="Y4032" t="s">
        <v>17261</v>
      </c>
    </row>
    <row r="4033" spans="1:25">
      <c r="A4033" t="s">
        <v>17262</v>
      </c>
      <c r="B4033" t="s">
        <v>17263</v>
      </c>
      <c r="D4033" t="s">
        <v>9473</v>
      </c>
      <c r="E4033" t="s">
        <v>9474</v>
      </c>
      <c r="J4033" t="s">
        <v>44</v>
      </c>
      <c r="K4033" t="s">
        <v>45</v>
      </c>
      <c r="L4033">
        <v>6</v>
      </c>
      <c r="M4033" t="s">
        <v>17264</v>
      </c>
      <c r="N4033" t="s">
        <v>47</v>
      </c>
      <c r="O4033" t="s">
        <v>9477</v>
      </c>
      <c r="P4033" t="s">
        <v>9477</v>
      </c>
      <c r="Y4033" t="s">
        <v>17265</v>
      </c>
    </row>
    <row r="4034" spans="1:25">
      <c r="A4034" t="s">
        <v>17266</v>
      </c>
      <c r="B4034" t="s">
        <v>17267</v>
      </c>
      <c r="D4034" t="s">
        <v>9473</v>
      </c>
      <c r="E4034" t="s">
        <v>9474</v>
      </c>
      <c r="J4034" t="s">
        <v>90</v>
      </c>
      <c r="K4034" t="s">
        <v>91</v>
      </c>
      <c r="L4034">
        <v>6</v>
      </c>
      <c r="M4034" t="s">
        <v>17264</v>
      </c>
      <c r="N4034" t="s">
        <v>47</v>
      </c>
      <c r="O4034" t="s">
        <v>9477</v>
      </c>
      <c r="P4034" t="s">
        <v>9477</v>
      </c>
      <c r="Y4034" t="s">
        <v>17268</v>
      </c>
    </row>
    <row r="4035" spans="1:25">
      <c r="A4035" t="s">
        <v>17269</v>
      </c>
      <c r="B4035" t="s">
        <v>17270</v>
      </c>
      <c r="D4035" t="s">
        <v>9473</v>
      </c>
      <c r="E4035" t="s">
        <v>9474</v>
      </c>
      <c r="H4035" t="s">
        <v>17271</v>
      </c>
      <c r="J4035" t="s">
        <v>90</v>
      </c>
      <c r="K4035" t="s">
        <v>91</v>
      </c>
      <c r="L4035">
        <v>6</v>
      </c>
      <c r="M4035" t="s">
        <v>17272</v>
      </c>
      <c r="N4035" t="s">
        <v>47</v>
      </c>
      <c r="O4035" t="s">
        <v>9477</v>
      </c>
      <c r="P4035" t="s">
        <v>9477</v>
      </c>
      <c r="Y4035" t="s">
        <v>17271</v>
      </c>
    </row>
    <row r="4036" spans="1:25">
      <c r="A4036" t="s">
        <v>17273</v>
      </c>
      <c r="B4036" t="s">
        <v>17274</v>
      </c>
      <c r="D4036" t="s">
        <v>9473</v>
      </c>
      <c r="E4036" t="s">
        <v>9474</v>
      </c>
      <c r="J4036" t="s">
        <v>133</v>
      </c>
      <c r="K4036" t="s">
        <v>134</v>
      </c>
      <c r="L4036">
        <v>6</v>
      </c>
      <c r="M4036" t="s">
        <v>17275</v>
      </c>
      <c r="N4036" t="s">
        <v>135</v>
      </c>
      <c r="O4036" t="s">
        <v>9477</v>
      </c>
      <c r="P4036" t="s">
        <v>9477</v>
      </c>
      <c r="Y4036" t="s">
        <v>17276</v>
      </c>
    </row>
    <row r="4037" spans="1:25">
      <c r="A4037" t="s">
        <v>17277</v>
      </c>
      <c r="B4037" t="s">
        <v>17278</v>
      </c>
      <c r="D4037" t="s">
        <v>9473</v>
      </c>
      <c r="E4037" t="s">
        <v>9474</v>
      </c>
      <c r="J4037" t="s">
        <v>44</v>
      </c>
      <c r="K4037" t="s">
        <v>45</v>
      </c>
      <c r="L4037">
        <v>6</v>
      </c>
      <c r="M4037" t="s">
        <v>17275</v>
      </c>
      <c r="N4037" t="s">
        <v>47</v>
      </c>
      <c r="O4037" t="s">
        <v>9477</v>
      </c>
      <c r="P4037" t="s">
        <v>9477</v>
      </c>
      <c r="Y4037" t="s">
        <v>17279</v>
      </c>
    </row>
    <row r="4038" spans="1:25">
      <c r="A4038" t="s">
        <v>17280</v>
      </c>
      <c r="B4038" t="s">
        <v>17281</v>
      </c>
      <c r="D4038" t="s">
        <v>9473</v>
      </c>
      <c r="E4038" t="s">
        <v>9474</v>
      </c>
      <c r="J4038" t="s">
        <v>90</v>
      </c>
      <c r="K4038" t="s">
        <v>91</v>
      </c>
      <c r="L4038">
        <v>6</v>
      </c>
      <c r="M4038" t="s">
        <v>17282</v>
      </c>
      <c r="N4038" t="s">
        <v>47</v>
      </c>
      <c r="O4038" t="s">
        <v>9477</v>
      </c>
      <c r="P4038" t="s">
        <v>9477</v>
      </c>
      <c r="Y4038" t="s">
        <v>17283</v>
      </c>
    </row>
    <row r="4039" spans="1:25">
      <c r="A4039" t="s">
        <v>17284</v>
      </c>
      <c r="B4039" t="s">
        <v>17285</v>
      </c>
      <c r="D4039" t="s">
        <v>9473</v>
      </c>
      <c r="E4039" t="s">
        <v>9474</v>
      </c>
      <c r="J4039" t="s">
        <v>78</v>
      </c>
      <c r="K4039" t="s">
        <v>79</v>
      </c>
      <c r="L4039">
        <v>6</v>
      </c>
      <c r="M4039" t="s">
        <v>17286</v>
      </c>
      <c r="N4039" t="s">
        <v>47</v>
      </c>
      <c r="O4039" t="s">
        <v>9477</v>
      </c>
      <c r="P4039" t="s">
        <v>9477</v>
      </c>
      <c r="Y4039" t="s">
        <v>17287</v>
      </c>
    </row>
    <row r="4040" spans="1:25">
      <c r="A4040" t="s">
        <v>17288</v>
      </c>
      <c r="B4040" t="s">
        <v>17289</v>
      </c>
      <c r="D4040" t="s">
        <v>9473</v>
      </c>
      <c r="E4040" t="s">
        <v>9474</v>
      </c>
      <c r="H4040" t="s">
        <v>17290</v>
      </c>
      <c r="J4040" t="s">
        <v>133</v>
      </c>
      <c r="K4040" t="s">
        <v>134</v>
      </c>
      <c r="L4040">
        <v>6</v>
      </c>
      <c r="M4040" t="s">
        <v>17286</v>
      </c>
      <c r="N4040" t="s">
        <v>685</v>
      </c>
      <c r="O4040" t="s">
        <v>9477</v>
      </c>
      <c r="P4040" t="s">
        <v>9477</v>
      </c>
      <c r="Y4040" t="s">
        <v>17290</v>
      </c>
    </row>
    <row r="4041" spans="1:25">
      <c r="A4041" t="s">
        <v>17291</v>
      </c>
      <c r="B4041" t="s">
        <v>17292</v>
      </c>
      <c r="D4041" t="s">
        <v>9473</v>
      </c>
      <c r="E4041" t="s">
        <v>9474</v>
      </c>
      <c r="H4041" t="s">
        <v>17293</v>
      </c>
      <c r="J4041" t="s">
        <v>90</v>
      </c>
      <c r="K4041" t="s">
        <v>91</v>
      </c>
      <c r="L4041">
        <v>6</v>
      </c>
      <c r="M4041" t="s">
        <v>17294</v>
      </c>
      <c r="N4041" t="s">
        <v>47</v>
      </c>
      <c r="O4041" t="s">
        <v>9477</v>
      </c>
      <c r="P4041" t="s">
        <v>9477</v>
      </c>
      <c r="Y4041" t="s">
        <v>17293</v>
      </c>
    </row>
    <row r="4042" spans="1:25">
      <c r="A4042" t="s">
        <v>17295</v>
      </c>
      <c r="B4042" t="s">
        <v>17296</v>
      </c>
      <c r="D4042" t="s">
        <v>9473</v>
      </c>
      <c r="E4042" t="s">
        <v>9474</v>
      </c>
      <c r="H4042" t="s">
        <v>17297</v>
      </c>
      <c r="J4042" t="s">
        <v>133</v>
      </c>
      <c r="K4042" t="s">
        <v>134</v>
      </c>
      <c r="L4042">
        <v>6</v>
      </c>
      <c r="M4042" t="s">
        <v>17298</v>
      </c>
      <c r="N4042" t="s">
        <v>135</v>
      </c>
      <c r="O4042" t="s">
        <v>9477</v>
      </c>
      <c r="P4042" t="s">
        <v>9477</v>
      </c>
      <c r="Y4042" t="s">
        <v>17297</v>
      </c>
    </row>
    <row r="4043" spans="1:25">
      <c r="A4043" t="s">
        <v>17299</v>
      </c>
      <c r="B4043" t="s">
        <v>17300</v>
      </c>
      <c r="D4043" t="s">
        <v>9473</v>
      </c>
      <c r="E4043" t="s">
        <v>9474</v>
      </c>
      <c r="J4043" t="s">
        <v>90</v>
      </c>
      <c r="K4043" t="s">
        <v>91</v>
      </c>
      <c r="L4043">
        <v>6</v>
      </c>
      <c r="M4043" t="s">
        <v>17298</v>
      </c>
      <c r="N4043" t="s">
        <v>47</v>
      </c>
      <c r="O4043" t="s">
        <v>9477</v>
      </c>
      <c r="P4043" t="s">
        <v>9477</v>
      </c>
      <c r="Y4043" t="s">
        <v>17301</v>
      </c>
    </row>
    <row r="4044" spans="1:25">
      <c r="A4044" t="s">
        <v>17302</v>
      </c>
      <c r="B4044" t="s">
        <v>17303</v>
      </c>
      <c r="D4044" t="s">
        <v>9473</v>
      </c>
      <c r="E4044" t="s">
        <v>9474</v>
      </c>
      <c r="H4044" t="s">
        <v>17304</v>
      </c>
      <c r="J4044" t="s">
        <v>44</v>
      </c>
      <c r="K4044" t="s">
        <v>45</v>
      </c>
      <c r="L4044">
        <v>6</v>
      </c>
      <c r="M4044" t="s">
        <v>17305</v>
      </c>
      <c r="N4044" t="s">
        <v>47</v>
      </c>
      <c r="O4044" t="s">
        <v>9477</v>
      </c>
      <c r="P4044" t="s">
        <v>9477</v>
      </c>
      <c r="Y4044" t="s">
        <v>17304</v>
      </c>
    </row>
    <row r="4045" spans="1:25">
      <c r="A4045" t="s">
        <v>17306</v>
      </c>
      <c r="B4045" t="s">
        <v>17307</v>
      </c>
      <c r="D4045" t="s">
        <v>9473</v>
      </c>
      <c r="E4045" t="s">
        <v>9474</v>
      </c>
      <c r="J4045" t="s">
        <v>90</v>
      </c>
      <c r="K4045" t="s">
        <v>91</v>
      </c>
      <c r="L4045">
        <v>6</v>
      </c>
      <c r="M4045" t="s">
        <v>17305</v>
      </c>
      <c r="N4045" t="s">
        <v>47</v>
      </c>
      <c r="O4045" t="s">
        <v>9477</v>
      </c>
      <c r="P4045" t="s">
        <v>9477</v>
      </c>
      <c r="Y4045" t="s">
        <v>17308</v>
      </c>
    </row>
    <row r="4046" spans="1:25">
      <c r="A4046" t="s">
        <v>17309</v>
      </c>
      <c r="B4046" t="s">
        <v>17310</v>
      </c>
      <c r="D4046" t="s">
        <v>9473</v>
      </c>
      <c r="E4046" t="s">
        <v>9474</v>
      </c>
      <c r="H4046" t="s">
        <v>17311</v>
      </c>
      <c r="J4046" t="s">
        <v>234</v>
      </c>
      <c r="K4046" t="s">
        <v>235</v>
      </c>
      <c r="L4046">
        <v>6</v>
      </c>
      <c r="M4046" t="s">
        <v>17312</v>
      </c>
      <c r="N4046" t="s">
        <v>47</v>
      </c>
      <c r="O4046" t="s">
        <v>9477</v>
      </c>
      <c r="P4046" t="s">
        <v>9477</v>
      </c>
      <c r="Y4046" t="s">
        <v>17311</v>
      </c>
    </row>
    <row r="4047" spans="1:25">
      <c r="A4047" t="s">
        <v>17313</v>
      </c>
      <c r="B4047" t="s">
        <v>17314</v>
      </c>
      <c r="D4047" t="s">
        <v>9473</v>
      </c>
      <c r="E4047" t="s">
        <v>9474</v>
      </c>
      <c r="J4047" t="s">
        <v>54</v>
      </c>
      <c r="K4047" t="s">
        <v>55</v>
      </c>
      <c r="L4047">
        <v>6</v>
      </c>
      <c r="M4047" t="s">
        <v>17315</v>
      </c>
      <c r="N4047" t="s">
        <v>47</v>
      </c>
      <c r="O4047" t="s">
        <v>9477</v>
      </c>
      <c r="P4047" t="s">
        <v>9477</v>
      </c>
      <c r="Y4047" t="s">
        <v>17316</v>
      </c>
    </row>
    <row r="4048" spans="1:25">
      <c r="A4048" t="s">
        <v>17317</v>
      </c>
      <c r="B4048" t="s">
        <v>17318</v>
      </c>
      <c r="D4048" t="s">
        <v>9473</v>
      </c>
      <c r="E4048" t="s">
        <v>9474</v>
      </c>
      <c r="J4048" t="s">
        <v>497</v>
      </c>
      <c r="K4048" t="s">
        <v>498</v>
      </c>
      <c r="L4048">
        <v>6</v>
      </c>
      <c r="M4048" t="s">
        <v>17319</v>
      </c>
      <c r="N4048" t="s">
        <v>685</v>
      </c>
      <c r="O4048" t="s">
        <v>9477</v>
      </c>
      <c r="P4048" t="s">
        <v>9477</v>
      </c>
      <c r="Y4048" t="s">
        <v>17320</v>
      </c>
    </row>
    <row r="4049" spans="1:25">
      <c r="A4049" t="s">
        <v>17321</v>
      </c>
      <c r="B4049" t="s">
        <v>17322</v>
      </c>
      <c r="D4049" t="s">
        <v>9473</v>
      </c>
      <c r="E4049" t="s">
        <v>9474</v>
      </c>
      <c r="J4049" t="s">
        <v>54</v>
      </c>
      <c r="K4049" t="s">
        <v>55</v>
      </c>
      <c r="L4049">
        <v>6</v>
      </c>
      <c r="M4049" t="s">
        <v>17319</v>
      </c>
      <c r="N4049" t="s">
        <v>47</v>
      </c>
      <c r="O4049" t="s">
        <v>9477</v>
      </c>
      <c r="P4049" t="s">
        <v>9477</v>
      </c>
      <c r="Y4049" t="s">
        <v>17323</v>
      </c>
    </row>
    <row r="4050" spans="1:25">
      <c r="A4050" t="s">
        <v>17324</v>
      </c>
      <c r="B4050" t="s">
        <v>17325</v>
      </c>
      <c r="D4050" t="s">
        <v>9473</v>
      </c>
      <c r="E4050" t="s">
        <v>9474</v>
      </c>
      <c r="H4050" t="s">
        <v>17326</v>
      </c>
      <c r="J4050" t="s">
        <v>44</v>
      </c>
      <c r="K4050" t="s">
        <v>45</v>
      </c>
      <c r="L4050">
        <v>6</v>
      </c>
      <c r="M4050" t="s">
        <v>17327</v>
      </c>
      <c r="N4050" t="s">
        <v>47</v>
      </c>
      <c r="O4050" t="s">
        <v>9477</v>
      </c>
      <c r="P4050" t="s">
        <v>9477</v>
      </c>
      <c r="Y4050" t="s">
        <v>17326</v>
      </c>
    </row>
    <row r="4051" spans="1:25">
      <c r="A4051" t="s">
        <v>17328</v>
      </c>
      <c r="B4051" t="s">
        <v>17329</v>
      </c>
      <c r="D4051" t="s">
        <v>9473</v>
      </c>
      <c r="E4051" t="s">
        <v>9474</v>
      </c>
      <c r="J4051" t="s">
        <v>78</v>
      </c>
      <c r="K4051" t="s">
        <v>79</v>
      </c>
      <c r="L4051">
        <v>6</v>
      </c>
      <c r="M4051" t="s">
        <v>17330</v>
      </c>
      <c r="N4051" t="s">
        <v>47</v>
      </c>
      <c r="O4051" t="s">
        <v>9477</v>
      </c>
      <c r="P4051" t="s">
        <v>9477</v>
      </c>
      <c r="Y4051" t="s">
        <v>17331</v>
      </c>
    </row>
    <row r="4052" spans="1:25">
      <c r="A4052" t="s">
        <v>17332</v>
      </c>
      <c r="B4052" t="s">
        <v>17333</v>
      </c>
      <c r="D4052" t="s">
        <v>9473</v>
      </c>
      <c r="E4052" t="s">
        <v>9474</v>
      </c>
      <c r="J4052" t="s">
        <v>54</v>
      </c>
      <c r="K4052" t="s">
        <v>55</v>
      </c>
      <c r="L4052">
        <v>6</v>
      </c>
      <c r="M4052" t="s">
        <v>17334</v>
      </c>
      <c r="N4052" t="s">
        <v>47</v>
      </c>
      <c r="O4052" t="s">
        <v>9477</v>
      </c>
      <c r="P4052" t="s">
        <v>9477</v>
      </c>
      <c r="Y4052" t="s">
        <v>17335</v>
      </c>
    </row>
    <row r="4053" spans="1:25">
      <c r="A4053" t="s">
        <v>17336</v>
      </c>
      <c r="B4053" t="s">
        <v>17337</v>
      </c>
      <c r="D4053" t="s">
        <v>9473</v>
      </c>
      <c r="E4053" t="s">
        <v>9474</v>
      </c>
      <c r="J4053" t="s">
        <v>497</v>
      </c>
      <c r="K4053" t="s">
        <v>498</v>
      </c>
      <c r="L4053">
        <v>6</v>
      </c>
      <c r="M4053" t="s">
        <v>17338</v>
      </c>
      <c r="N4053" t="s">
        <v>685</v>
      </c>
      <c r="O4053" t="s">
        <v>9477</v>
      </c>
      <c r="P4053" t="s">
        <v>9477</v>
      </c>
      <c r="Y4053" t="s">
        <v>17339</v>
      </c>
    </row>
    <row r="4054" spans="1:25">
      <c r="A4054" t="s">
        <v>17340</v>
      </c>
      <c r="B4054" t="s">
        <v>17341</v>
      </c>
      <c r="D4054" t="s">
        <v>9473</v>
      </c>
      <c r="E4054" t="s">
        <v>9474</v>
      </c>
      <c r="H4054" t="s">
        <v>17342</v>
      </c>
      <c r="J4054" t="s">
        <v>44</v>
      </c>
      <c r="K4054" t="s">
        <v>45</v>
      </c>
      <c r="L4054">
        <v>6</v>
      </c>
      <c r="M4054" t="s">
        <v>17343</v>
      </c>
      <c r="N4054" t="s">
        <v>47</v>
      </c>
      <c r="O4054" t="s">
        <v>9477</v>
      </c>
      <c r="P4054" t="s">
        <v>9477</v>
      </c>
      <c r="Y4054" t="s">
        <v>17342</v>
      </c>
    </row>
    <row r="4055" spans="1:25">
      <c r="A4055" t="s">
        <v>17344</v>
      </c>
      <c r="B4055" t="s">
        <v>17345</v>
      </c>
      <c r="D4055" t="s">
        <v>9473</v>
      </c>
      <c r="E4055" t="s">
        <v>9474</v>
      </c>
      <c r="J4055" t="s">
        <v>44</v>
      </c>
      <c r="K4055" t="s">
        <v>45</v>
      </c>
      <c r="L4055">
        <v>6</v>
      </c>
      <c r="M4055" t="s">
        <v>17346</v>
      </c>
      <c r="N4055" t="s">
        <v>47</v>
      </c>
      <c r="O4055" t="s">
        <v>9477</v>
      </c>
      <c r="P4055" t="s">
        <v>9477</v>
      </c>
      <c r="Y4055" t="s">
        <v>17347</v>
      </c>
    </row>
    <row r="4056" spans="1:25">
      <c r="A4056" t="s">
        <v>17348</v>
      </c>
      <c r="B4056" t="s">
        <v>17349</v>
      </c>
      <c r="D4056" t="s">
        <v>9473</v>
      </c>
      <c r="E4056" t="s">
        <v>9474</v>
      </c>
      <c r="H4056" t="s">
        <v>17350</v>
      </c>
      <c r="J4056" t="s">
        <v>54</v>
      </c>
      <c r="K4056" t="s">
        <v>55</v>
      </c>
      <c r="L4056">
        <v>6</v>
      </c>
      <c r="M4056" t="s">
        <v>17351</v>
      </c>
      <c r="N4056" t="s">
        <v>47</v>
      </c>
      <c r="O4056" t="s">
        <v>9477</v>
      </c>
      <c r="P4056" t="s">
        <v>9477</v>
      </c>
      <c r="Y4056" t="s">
        <v>17350</v>
      </c>
    </row>
    <row r="4057" spans="1:25">
      <c r="A4057" t="s">
        <v>17352</v>
      </c>
      <c r="B4057" t="s">
        <v>17353</v>
      </c>
      <c r="D4057" t="s">
        <v>9473</v>
      </c>
      <c r="E4057" t="s">
        <v>9474</v>
      </c>
      <c r="J4057" t="s">
        <v>54</v>
      </c>
      <c r="K4057" t="s">
        <v>55</v>
      </c>
      <c r="L4057">
        <v>6</v>
      </c>
      <c r="M4057" t="s">
        <v>17354</v>
      </c>
      <c r="N4057" t="s">
        <v>47</v>
      </c>
      <c r="O4057" t="s">
        <v>9477</v>
      </c>
      <c r="P4057" t="s">
        <v>9477</v>
      </c>
      <c r="Y4057" t="s">
        <v>17355</v>
      </c>
    </row>
    <row r="4058" spans="1:25">
      <c r="A4058" t="s">
        <v>17356</v>
      </c>
      <c r="B4058" t="s">
        <v>17357</v>
      </c>
      <c r="D4058" t="s">
        <v>9473</v>
      </c>
      <c r="E4058" t="s">
        <v>9474</v>
      </c>
      <c r="J4058" t="s">
        <v>90</v>
      </c>
      <c r="K4058" t="s">
        <v>91</v>
      </c>
      <c r="L4058">
        <v>6</v>
      </c>
      <c r="M4058" t="s">
        <v>17354</v>
      </c>
      <c r="N4058" t="s">
        <v>47</v>
      </c>
      <c r="O4058" t="s">
        <v>9477</v>
      </c>
      <c r="P4058" t="s">
        <v>9477</v>
      </c>
      <c r="Y4058" t="s">
        <v>17358</v>
      </c>
    </row>
    <row r="4059" spans="1:25">
      <c r="A4059" t="s">
        <v>17359</v>
      </c>
      <c r="B4059" t="s">
        <v>17360</v>
      </c>
      <c r="D4059" t="s">
        <v>9473</v>
      </c>
      <c r="E4059" t="s">
        <v>9474</v>
      </c>
      <c r="H4059" t="s">
        <v>17361</v>
      </c>
      <c r="J4059" t="s">
        <v>234</v>
      </c>
      <c r="K4059" t="s">
        <v>235</v>
      </c>
      <c r="L4059">
        <v>6</v>
      </c>
      <c r="M4059" t="s">
        <v>17362</v>
      </c>
      <c r="N4059" t="s">
        <v>47</v>
      </c>
      <c r="O4059" t="s">
        <v>9477</v>
      </c>
      <c r="P4059" t="s">
        <v>9477</v>
      </c>
      <c r="Y4059" t="s">
        <v>17361</v>
      </c>
    </row>
    <row r="4060" spans="1:25">
      <c r="A4060" t="s">
        <v>17363</v>
      </c>
      <c r="B4060" t="s">
        <v>17364</v>
      </c>
      <c r="D4060" t="s">
        <v>9473</v>
      </c>
      <c r="E4060" t="s">
        <v>9474</v>
      </c>
      <c r="J4060" t="s">
        <v>78</v>
      </c>
      <c r="K4060" t="s">
        <v>79</v>
      </c>
      <c r="L4060">
        <v>6</v>
      </c>
      <c r="M4060" t="s">
        <v>17365</v>
      </c>
      <c r="N4060" t="s">
        <v>47</v>
      </c>
      <c r="O4060" t="s">
        <v>9477</v>
      </c>
      <c r="P4060" t="s">
        <v>9477</v>
      </c>
      <c r="Y4060" t="s">
        <v>17366</v>
      </c>
    </row>
    <row r="4061" spans="1:25">
      <c r="A4061" t="s">
        <v>17367</v>
      </c>
      <c r="B4061" t="s">
        <v>17368</v>
      </c>
      <c r="D4061" t="s">
        <v>9473</v>
      </c>
      <c r="E4061" t="s">
        <v>9474</v>
      </c>
      <c r="H4061" t="s">
        <v>17369</v>
      </c>
      <c r="J4061" t="s">
        <v>133</v>
      </c>
      <c r="K4061" t="s">
        <v>134</v>
      </c>
      <c r="L4061">
        <v>6</v>
      </c>
      <c r="M4061" t="s">
        <v>17370</v>
      </c>
      <c r="N4061" t="s">
        <v>135</v>
      </c>
      <c r="O4061" t="s">
        <v>9477</v>
      </c>
      <c r="P4061" t="s">
        <v>9477</v>
      </c>
      <c r="Y4061" t="s">
        <v>17369</v>
      </c>
    </row>
    <row r="4062" spans="1:25">
      <c r="A4062" t="s">
        <v>17371</v>
      </c>
      <c r="B4062" t="s">
        <v>17372</v>
      </c>
      <c r="D4062" t="s">
        <v>9473</v>
      </c>
      <c r="E4062" t="s">
        <v>9474</v>
      </c>
      <c r="J4062" t="s">
        <v>78</v>
      </c>
      <c r="K4062" t="s">
        <v>79</v>
      </c>
      <c r="L4062">
        <v>6</v>
      </c>
      <c r="M4062" t="s">
        <v>17373</v>
      </c>
      <c r="N4062" t="s">
        <v>47</v>
      </c>
      <c r="O4062" t="s">
        <v>9477</v>
      </c>
      <c r="P4062" t="s">
        <v>9477</v>
      </c>
      <c r="Y4062" t="s">
        <v>17374</v>
      </c>
    </row>
    <row r="4063" spans="1:25">
      <c r="A4063" t="s">
        <v>17375</v>
      </c>
      <c r="B4063" t="s">
        <v>17376</v>
      </c>
      <c r="D4063" t="s">
        <v>9473</v>
      </c>
      <c r="E4063" t="s">
        <v>9474</v>
      </c>
      <c r="J4063" t="s">
        <v>44</v>
      </c>
      <c r="K4063" t="s">
        <v>45</v>
      </c>
      <c r="L4063">
        <v>6</v>
      </c>
      <c r="M4063" t="s">
        <v>17373</v>
      </c>
      <c r="N4063" t="s">
        <v>47</v>
      </c>
      <c r="O4063" t="s">
        <v>9477</v>
      </c>
      <c r="P4063" t="s">
        <v>9477</v>
      </c>
      <c r="Y4063" t="s">
        <v>17377</v>
      </c>
    </row>
    <row r="4064" spans="1:25">
      <c r="A4064" t="s">
        <v>17378</v>
      </c>
      <c r="B4064" t="s">
        <v>17379</v>
      </c>
      <c r="D4064" t="s">
        <v>9473</v>
      </c>
      <c r="E4064" t="s">
        <v>9474</v>
      </c>
      <c r="J4064" t="s">
        <v>54</v>
      </c>
      <c r="K4064" t="s">
        <v>55</v>
      </c>
      <c r="L4064">
        <v>6</v>
      </c>
      <c r="M4064" t="s">
        <v>17380</v>
      </c>
      <c r="N4064" t="s">
        <v>47</v>
      </c>
      <c r="O4064" t="s">
        <v>9477</v>
      </c>
      <c r="P4064" t="s">
        <v>9477</v>
      </c>
      <c r="Y4064" t="s">
        <v>17381</v>
      </c>
    </row>
    <row r="4065" spans="1:25">
      <c r="A4065" t="s">
        <v>17382</v>
      </c>
      <c r="B4065" t="s">
        <v>17383</v>
      </c>
      <c r="D4065" t="s">
        <v>9473</v>
      </c>
      <c r="E4065" t="s">
        <v>9474</v>
      </c>
      <c r="J4065" t="s">
        <v>3829</v>
      </c>
      <c r="K4065" t="s">
        <v>3830</v>
      </c>
      <c r="L4065">
        <v>6</v>
      </c>
      <c r="M4065" t="s">
        <v>17384</v>
      </c>
      <c r="N4065" t="s">
        <v>685</v>
      </c>
      <c r="O4065" t="s">
        <v>9477</v>
      </c>
      <c r="P4065" t="s">
        <v>9477</v>
      </c>
      <c r="Y4065" t="s">
        <v>17385</v>
      </c>
    </row>
    <row r="4066" spans="1:25">
      <c r="A4066" t="s">
        <v>17386</v>
      </c>
      <c r="B4066" t="s">
        <v>17387</v>
      </c>
      <c r="D4066" t="s">
        <v>9473</v>
      </c>
      <c r="E4066" t="s">
        <v>9474</v>
      </c>
      <c r="H4066" t="s">
        <v>17388</v>
      </c>
      <c r="J4066" t="s">
        <v>90</v>
      </c>
      <c r="K4066" t="s">
        <v>91</v>
      </c>
      <c r="L4066">
        <v>6</v>
      </c>
      <c r="M4066" t="s">
        <v>17384</v>
      </c>
      <c r="N4066" t="s">
        <v>47</v>
      </c>
      <c r="O4066" t="s">
        <v>9477</v>
      </c>
      <c r="P4066" t="s">
        <v>9477</v>
      </c>
      <c r="Y4066" t="s">
        <v>17388</v>
      </c>
    </row>
    <row r="4067" spans="1:25">
      <c r="A4067" t="s">
        <v>17389</v>
      </c>
      <c r="B4067" t="s">
        <v>17390</v>
      </c>
      <c r="D4067" t="s">
        <v>9473</v>
      </c>
      <c r="E4067" t="s">
        <v>9474</v>
      </c>
      <c r="J4067" t="s">
        <v>371</v>
      </c>
      <c r="K4067" t="s">
        <v>372</v>
      </c>
      <c r="L4067">
        <v>6</v>
      </c>
      <c r="M4067" t="s">
        <v>17384</v>
      </c>
      <c r="N4067" t="s">
        <v>47</v>
      </c>
      <c r="O4067" t="s">
        <v>9477</v>
      </c>
      <c r="P4067" t="s">
        <v>9477</v>
      </c>
      <c r="Y4067" t="s">
        <v>17391</v>
      </c>
    </row>
    <row r="4068" spans="1:25">
      <c r="A4068" t="s">
        <v>17392</v>
      </c>
      <c r="B4068" t="s">
        <v>17393</v>
      </c>
      <c r="D4068" t="s">
        <v>9473</v>
      </c>
      <c r="E4068" t="s">
        <v>9474</v>
      </c>
      <c r="J4068" t="s">
        <v>90</v>
      </c>
      <c r="K4068" t="s">
        <v>91</v>
      </c>
      <c r="L4068">
        <v>6</v>
      </c>
      <c r="M4068" t="s">
        <v>17394</v>
      </c>
      <c r="N4068" t="s">
        <v>47</v>
      </c>
      <c r="O4068" t="s">
        <v>9477</v>
      </c>
      <c r="P4068" t="s">
        <v>9477</v>
      </c>
      <c r="Y4068" t="s">
        <v>17395</v>
      </c>
    </row>
    <row r="4069" spans="1:25">
      <c r="A4069" t="s">
        <v>17396</v>
      </c>
      <c r="B4069" t="s">
        <v>17397</v>
      </c>
      <c r="D4069" t="s">
        <v>9473</v>
      </c>
      <c r="E4069" t="s">
        <v>9474</v>
      </c>
      <c r="H4069" t="s">
        <v>17398</v>
      </c>
      <c r="J4069" t="s">
        <v>90</v>
      </c>
      <c r="K4069" t="s">
        <v>91</v>
      </c>
      <c r="L4069">
        <v>6</v>
      </c>
      <c r="M4069" t="s">
        <v>17399</v>
      </c>
      <c r="N4069" t="s">
        <v>47</v>
      </c>
      <c r="O4069" t="s">
        <v>9477</v>
      </c>
      <c r="P4069" t="s">
        <v>9477</v>
      </c>
      <c r="Y4069" t="s">
        <v>17398</v>
      </c>
    </row>
    <row r="4070" spans="1:25">
      <c r="A4070" t="s">
        <v>17400</v>
      </c>
      <c r="B4070" t="s">
        <v>17401</v>
      </c>
      <c r="D4070" t="s">
        <v>9473</v>
      </c>
      <c r="E4070" t="s">
        <v>9474</v>
      </c>
      <c r="J4070" t="s">
        <v>44</v>
      </c>
      <c r="K4070" t="s">
        <v>45</v>
      </c>
      <c r="L4070">
        <v>6</v>
      </c>
      <c r="M4070" t="s">
        <v>17399</v>
      </c>
      <c r="N4070" t="s">
        <v>47</v>
      </c>
      <c r="O4070" t="s">
        <v>9477</v>
      </c>
      <c r="P4070" t="s">
        <v>9477</v>
      </c>
      <c r="Y4070" t="s">
        <v>17402</v>
      </c>
    </row>
    <row r="4071" spans="1:25">
      <c r="A4071" t="s">
        <v>17403</v>
      </c>
      <c r="B4071" t="s">
        <v>17404</v>
      </c>
      <c r="D4071" t="s">
        <v>9473</v>
      </c>
      <c r="E4071" t="s">
        <v>9474</v>
      </c>
      <c r="H4071" t="s">
        <v>17405</v>
      </c>
      <c r="J4071" t="s">
        <v>78</v>
      </c>
      <c r="K4071" t="s">
        <v>79</v>
      </c>
      <c r="L4071">
        <v>6</v>
      </c>
      <c r="M4071" t="s">
        <v>17399</v>
      </c>
      <c r="N4071" t="s">
        <v>47</v>
      </c>
      <c r="O4071" t="s">
        <v>9477</v>
      </c>
      <c r="P4071" t="s">
        <v>9477</v>
      </c>
      <c r="Y4071" t="s">
        <v>17405</v>
      </c>
    </row>
    <row r="4072" spans="1:25">
      <c r="A4072" t="s">
        <v>17406</v>
      </c>
      <c r="B4072" t="s">
        <v>17407</v>
      </c>
      <c r="D4072" t="s">
        <v>9473</v>
      </c>
      <c r="E4072" t="s">
        <v>9474</v>
      </c>
      <c r="J4072" t="s">
        <v>371</v>
      </c>
      <c r="K4072" t="s">
        <v>372</v>
      </c>
      <c r="L4072">
        <v>6</v>
      </c>
      <c r="M4072" t="s">
        <v>17408</v>
      </c>
      <c r="N4072" t="s">
        <v>47</v>
      </c>
      <c r="O4072" t="s">
        <v>9477</v>
      </c>
      <c r="P4072" t="s">
        <v>9477</v>
      </c>
      <c r="Y4072" t="s">
        <v>17409</v>
      </c>
    </row>
    <row r="4073" spans="1:25">
      <c r="A4073" t="s">
        <v>17410</v>
      </c>
      <c r="B4073" t="s">
        <v>17411</v>
      </c>
      <c r="D4073" t="s">
        <v>9473</v>
      </c>
      <c r="E4073" t="s">
        <v>9474</v>
      </c>
      <c r="J4073" t="s">
        <v>1827</v>
      </c>
      <c r="K4073" t="s">
        <v>1828</v>
      </c>
      <c r="L4073">
        <v>6</v>
      </c>
      <c r="M4073" t="s">
        <v>17412</v>
      </c>
      <c r="N4073" t="s">
        <v>47</v>
      </c>
      <c r="O4073" t="s">
        <v>9477</v>
      </c>
      <c r="P4073" t="s">
        <v>9477</v>
      </c>
      <c r="Y4073" t="s">
        <v>17413</v>
      </c>
    </row>
    <row r="4074" spans="1:25">
      <c r="A4074" t="s">
        <v>17414</v>
      </c>
      <c r="B4074" t="s">
        <v>17415</v>
      </c>
      <c r="D4074" t="s">
        <v>9473</v>
      </c>
      <c r="E4074" t="s">
        <v>9474</v>
      </c>
      <c r="J4074" t="s">
        <v>78</v>
      </c>
      <c r="K4074" t="s">
        <v>79</v>
      </c>
      <c r="L4074">
        <v>6</v>
      </c>
      <c r="M4074" t="s">
        <v>17412</v>
      </c>
      <c r="N4074" t="s">
        <v>47</v>
      </c>
      <c r="O4074" t="s">
        <v>9477</v>
      </c>
      <c r="P4074" t="s">
        <v>9477</v>
      </c>
      <c r="Y4074" t="s">
        <v>17416</v>
      </c>
    </row>
    <row r="4075" spans="1:25">
      <c r="A4075" t="s">
        <v>17417</v>
      </c>
      <c r="B4075" t="s">
        <v>17418</v>
      </c>
      <c r="D4075" t="s">
        <v>9473</v>
      </c>
      <c r="E4075" t="s">
        <v>9474</v>
      </c>
      <c r="H4075" t="s">
        <v>17419</v>
      </c>
      <c r="J4075" t="s">
        <v>133</v>
      </c>
      <c r="K4075" t="s">
        <v>134</v>
      </c>
      <c r="L4075">
        <v>6</v>
      </c>
      <c r="M4075" t="s">
        <v>17420</v>
      </c>
      <c r="N4075" t="s">
        <v>135</v>
      </c>
      <c r="O4075" t="s">
        <v>9477</v>
      </c>
      <c r="P4075" t="s">
        <v>9477</v>
      </c>
      <c r="Y4075" t="s">
        <v>17419</v>
      </c>
    </row>
    <row r="4076" spans="1:25">
      <c r="A4076" t="s">
        <v>17421</v>
      </c>
      <c r="B4076" t="s">
        <v>17422</v>
      </c>
      <c r="D4076" t="s">
        <v>9473</v>
      </c>
      <c r="E4076" t="s">
        <v>9474</v>
      </c>
      <c r="H4076" t="s">
        <v>17423</v>
      </c>
      <c r="J4076" t="s">
        <v>78</v>
      </c>
      <c r="K4076" t="s">
        <v>79</v>
      </c>
      <c r="L4076">
        <v>6</v>
      </c>
      <c r="M4076" t="s">
        <v>17424</v>
      </c>
      <c r="N4076" t="s">
        <v>47</v>
      </c>
      <c r="O4076" t="s">
        <v>9477</v>
      </c>
      <c r="P4076" t="s">
        <v>9477</v>
      </c>
      <c r="Y4076" t="s">
        <v>17423</v>
      </c>
    </row>
    <row r="4077" spans="1:25">
      <c r="A4077" t="s">
        <v>17425</v>
      </c>
      <c r="B4077" t="s">
        <v>17426</v>
      </c>
      <c r="D4077" t="s">
        <v>9473</v>
      </c>
      <c r="E4077" t="s">
        <v>9474</v>
      </c>
      <c r="J4077" t="s">
        <v>54</v>
      </c>
      <c r="K4077" t="s">
        <v>55</v>
      </c>
      <c r="L4077">
        <v>6</v>
      </c>
      <c r="M4077" t="s">
        <v>17424</v>
      </c>
      <c r="N4077" t="s">
        <v>47</v>
      </c>
      <c r="O4077" t="s">
        <v>9477</v>
      </c>
      <c r="P4077" t="s">
        <v>9477</v>
      </c>
      <c r="Y4077" t="s">
        <v>17427</v>
      </c>
    </row>
    <row r="4078" spans="1:25">
      <c r="A4078" t="s">
        <v>17428</v>
      </c>
      <c r="B4078" t="s">
        <v>17429</v>
      </c>
      <c r="D4078" t="s">
        <v>9473</v>
      </c>
      <c r="E4078" t="s">
        <v>9474</v>
      </c>
      <c r="J4078" t="s">
        <v>90</v>
      </c>
      <c r="K4078" t="s">
        <v>91</v>
      </c>
      <c r="L4078">
        <v>6</v>
      </c>
      <c r="M4078" t="s">
        <v>17430</v>
      </c>
      <c r="N4078" t="s">
        <v>47</v>
      </c>
      <c r="O4078" t="s">
        <v>9477</v>
      </c>
      <c r="P4078" t="s">
        <v>9477</v>
      </c>
      <c r="Y4078" t="s">
        <v>17431</v>
      </c>
    </row>
    <row r="4079" spans="1:25">
      <c r="A4079" t="s">
        <v>17432</v>
      </c>
      <c r="B4079" t="s">
        <v>17433</v>
      </c>
      <c r="D4079" t="s">
        <v>9473</v>
      </c>
      <c r="E4079" t="s">
        <v>9474</v>
      </c>
      <c r="J4079" t="s">
        <v>90</v>
      </c>
      <c r="K4079" t="s">
        <v>91</v>
      </c>
      <c r="L4079">
        <v>6</v>
      </c>
      <c r="M4079" t="s">
        <v>17434</v>
      </c>
      <c r="N4079" t="s">
        <v>47</v>
      </c>
      <c r="O4079" t="s">
        <v>9477</v>
      </c>
      <c r="P4079" t="s">
        <v>9477</v>
      </c>
      <c r="Y4079" t="s">
        <v>17435</v>
      </c>
    </row>
    <row r="4080" spans="1:25">
      <c r="A4080" t="s">
        <v>17436</v>
      </c>
      <c r="B4080" t="s">
        <v>17437</v>
      </c>
      <c r="D4080" t="s">
        <v>9473</v>
      </c>
      <c r="E4080" t="s">
        <v>9474</v>
      </c>
      <c r="J4080" t="s">
        <v>54</v>
      </c>
      <c r="K4080" t="s">
        <v>55</v>
      </c>
      <c r="L4080">
        <v>6</v>
      </c>
      <c r="M4080" t="s">
        <v>17434</v>
      </c>
      <c r="N4080" t="s">
        <v>47</v>
      </c>
      <c r="O4080" t="s">
        <v>9477</v>
      </c>
      <c r="P4080" t="s">
        <v>9477</v>
      </c>
      <c r="Y4080" t="s">
        <v>17438</v>
      </c>
    </row>
    <row r="4081" spans="1:25">
      <c r="A4081" t="s">
        <v>17439</v>
      </c>
      <c r="B4081" t="s">
        <v>17440</v>
      </c>
      <c r="D4081" t="s">
        <v>9473</v>
      </c>
      <c r="E4081" t="s">
        <v>9474</v>
      </c>
      <c r="H4081" t="s">
        <v>17441</v>
      </c>
      <c r="J4081" t="s">
        <v>90</v>
      </c>
      <c r="K4081" t="s">
        <v>91</v>
      </c>
      <c r="L4081">
        <v>6</v>
      </c>
      <c r="M4081" t="s">
        <v>17442</v>
      </c>
      <c r="N4081" t="s">
        <v>47</v>
      </c>
      <c r="O4081" t="s">
        <v>9477</v>
      </c>
      <c r="P4081" t="s">
        <v>9477</v>
      </c>
      <c r="Y4081" t="s">
        <v>17441</v>
      </c>
    </row>
    <row r="4082" spans="1:25">
      <c r="A4082" t="s">
        <v>17443</v>
      </c>
      <c r="B4082" t="s">
        <v>17444</v>
      </c>
      <c r="D4082" t="s">
        <v>9473</v>
      </c>
      <c r="E4082" t="s">
        <v>9474</v>
      </c>
      <c r="J4082" t="s">
        <v>90</v>
      </c>
      <c r="K4082" t="s">
        <v>91</v>
      </c>
      <c r="L4082">
        <v>6</v>
      </c>
      <c r="M4082" t="s">
        <v>17442</v>
      </c>
      <c r="N4082" t="s">
        <v>47</v>
      </c>
      <c r="O4082" t="s">
        <v>9477</v>
      </c>
      <c r="P4082" t="s">
        <v>9477</v>
      </c>
      <c r="Y4082" t="s">
        <v>17445</v>
      </c>
    </row>
    <row r="4083" spans="1:25">
      <c r="A4083" t="s">
        <v>17446</v>
      </c>
      <c r="B4083" t="s">
        <v>17447</v>
      </c>
      <c r="D4083" t="s">
        <v>9473</v>
      </c>
      <c r="E4083" t="s">
        <v>9474</v>
      </c>
      <c r="J4083" t="s">
        <v>78</v>
      </c>
      <c r="K4083" t="s">
        <v>79</v>
      </c>
      <c r="L4083">
        <v>6</v>
      </c>
      <c r="M4083" t="s">
        <v>17442</v>
      </c>
      <c r="N4083" t="s">
        <v>47</v>
      </c>
      <c r="O4083" t="s">
        <v>9477</v>
      </c>
      <c r="P4083" t="s">
        <v>9477</v>
      </c>
      <c r="Y4083" t="s">
        <v>17448</v>
      </c>
    </row>
    <row r="4084" spans="1:25">
      <c r="A4084" t="s">
        <v>17449</v>
      </c>
      <c r="B4084" t="s">
        <v>17450</v>
      </c>
      <c r="D4084" t="s">
        <v>9473</v>
      </c>
      <c r="E4084" t="s">
        <v>9474</v>
      </c>
      <c r="J4084" t="s">
        <v>541</v>
      </c>
      <c r="K4084" t="s">
        <v>542</v>
      </c>
      <c r="L4084">
        <v>6</v>
      </c>
      <c r="M4084" t="s">
        <v>17442</v>
      </c>
      <c r="N4084" t="s">
        <v>290</v>
      </c>
      <c r="O4084" t="s">
        <v>9477</v>
      </c>
      <c r="P4084" t="s">
        <v>9477</v>
      </c>
      <c r="Y4084" t="s">
        <v>17451</v>
      </c>
    </row>
    <row r="4085" spans="1:25">
      <c r="A4085" t="s">
        <v>17452</v>
      </c>
      <c r="B4085" t="s">
        <v>17453</v>
      </c>
      <c r="D4085" t="s">
        <v>9473</v>
      </c>
      <c r="E4085" t="s">
        <v>9474</v>
      </c>
      <c r="J4085" t="s">
        <v>78</v>
      </c>
      <c r="K4085" t="s">
        <v>79</v>
      </c>
      <c r="L4085">
        <v>6</v>
      </c>
      <c r="M4085" t="s">
        <v>17454</v>
      </c>
      <c r="N4085" t="s">
        <v>47</v>
      </c>
      <c r="O4085" t="s">
        <v>9477</v>
      </c>
      <c r="P4085" t="s">
        <v>9477</v>
      </c>
      <c r="Y4085" t="s">
        <v>17455</v>
      </c>
    </row>
    <row r="4086" spans="1:25">
      <c r="A4086" t="s">
        <v>17456</v>
      </c>
      <c r="B4086" t="s">
        <v>17457</v>
      </c>
      <c r="D4086" t="s">
        <v>9473</v>
      </c>
      <c r="E4086" t="s">
        <v>9474</v>
      </c>
      <c r="J4086" t="s">
        <v>133</v>
      </c>
      <c r="K4086" t="s">
        <v>134</v>
      </c>
      <c r="L4086">
        <v>6</v>
      </c>
      <c r="M4086" t="s">
        <v>17458</v>
      </c>
      <c r="N4086" t="s">
        <v>135</v>
      </c>
      <c r="O4086" t="s">
        <v>9477</v>
      </c>
      <c r="P4086" t="s">
        <v>9477</v>
      </c>
      <c r="Y4086" t="s">
        <v>17459</v>
      </c>
    </row>
    <row r="4087" spans="1:25">
      <c r="A4087" t="s">
        <v>17460</v>
      </c>
      <c r="B4087" t="s">
        <v>17461</v>
      </c>
      <c r="D4087" t="s">
        <v>9473</v>
      </c>
      <c r="E4087" t="s">
        <v>9474</v>
      </c>
      <c r="J4087" t="s">
        <v>90</v>
      </c>
      <c r="K4087" t="s">
        <v>91</v>
      </c>
      <c r="L4087">
        <v>6</v>
      </c>
      <c r="M4087" t="s">
        <v>17462</v>
      </c>
      <c r="N4087" t="s">
        <v>47</v>
      </c>
      <c r="O4087" t="s">
        <v>9477</v>
      </c>
      <c r="P4087" t="s">
        <v>9477</v>
      </c>
      <c r="Y4087" t="s">
        <v>17463</v>
      </c>
    </row>
    <row r="4088" spans="1:25">
      <c r="A4088" t="s">
        <v>17464</v>
      </c>
      <c r="B4088" t="s">
        <v>17465</v>
      </c>
      <c r="D4088" t="s">
        <v>9473</v>
      </c>
      <c r="E4088" t="s">
        <v>9474</v>
      </c>
      <c r="J4088" t="s">
        <v>90</v>
      </c>
      <c r="K4088" t="s">
        <v>91</v>
      </c>
      <c r="L4088">
        <v>6</v>
      </c>
      <c r="M4088" t="s">
        <v>17462</v>
      </c>
      <c r="N4088" t="s">
        <v>47</v>
      </c>
      <c r="O4088" t="s">
        <v>9477</v>
      </c>
      <c r="P4088" t="s">
        <v>9477</v>
      </c>
      <c r="Y4088" t="s">
        <v>17466</v>
      </c>
    </row>
    <row r="4089" spans="1:25">
      <c r="A4089" t="s">
        <v>17467</v>
      </c>
      <c r="B4089" t="s">
        <v>17468</v>
      </c>
      <c r="D4089" t="s">
        <v>9473</v>
      </c>
      <c r="E4089" t="s">
        <v>9474</v>
      </c>
      <c r="H4089" t="s">
        <v>17469</v>
      </c>
      <c r="J4089" t="s">
        <v>234</v>
      </c>
      <c r="K4089" t="s">
        <v>235</v>
      </c>
      <c r="L4089">
        <v>6</v>
      </c>
      <c r="M4089" t="s">
        <v>17470</v>
      </c>
      <c r="N4089" t="s">
        <v>47</v>
      </c>
      <c r="O4089" t="s">
        <v>9477</v>
      </c>
      <c r="P4089" t="s">
        <v>9477</v>
      </c>
      <c r="Y4089" t="s">
        <v>17469</v>
      </c>
    </row>
    <row r="4090" spans="1:25">
      <c r="A4090" t="s">
        <v>17471</v>
      </c>
      <c r="B4090" t="s">
        <v>17472</v>
      </c>
      <c r="D4090" t="s">
        <v>9473</v>
      </c>
      <c r="E4090" t="s">
        <v>9474</v>
      </c>
      <c r="H4090" t="s">
        <v>17473</v>
      </c>
      <c r="J4090" t="s">
        <v>54</v>
      </c>
      <c r="K4090" t="s">
        <v>55</v>
      </c>
      <c r="L4090">
        <v>6</v>
      </c>
      <c r="M4090" t="s">
        <v>17474</v>
      </c>
      <c r="N4090" t="s">
        <v>47</v>
      </c>
      <c r="O4090" t="s">
        <v>9477</v>
      </c>
      <c r="P4090" t="s">
        <v>9477</v>
      </c>
      <c r="Y4090" t="s">
        <v>17473</v>
      </c>
    </row>
    <row r="4091" spans="1:25">
      <c r="A4091" t="s">
        <v>17475</v>
      </c>
      <c r="B4091" t="s">
        <v>17476</v>
      </c>
      <c r="D4091" t="s">
        <v>9473</v>
      </c>
      <c r="E4091" t="s">
        <v>9474</v>
      </c>
      <c r="J4091" t="s">
        <v>90</v>
      </c>
      <c r="K4091" t="s">
        <v>91</v>
      </c>
      <c r="L4091">
        <v>6</v>
      </c>
      <c r="M4091" t="s">
        <v>17477</v>
      </c>
      <c r="N4091" t="s">
        <v>47</v>
      </c>
      <c r="O4091" t="s">
        <v>9477</v>
      </c>
      <c r="P4091" t="s">
        <v>9477</v>
      </c>
      <c r="Y4091" t="s">
        <v>17478</v>
      </c>
    </row>
    <row r="4092" spans="1:25">
      <c r="A4092" t="s">
        <v>17479</v>
      </c>
      <c r="B4092" t="s">
        <v>17480</v>
      </c>
      <c r="D4092" t="s">
        <v>9473</v>
      </c>
      <c r="E4092" t="s">
        <v>9474</v>
      </c>
      <c r="J4092" t="s">
        <v>44</v>
      </c>
      <c r="K4092" t="s">
        <v>45</v>
      </c>
      <c r="L4092">
        <v>6</v>
      </c>
      <c r="M4092" t="s">
        <v>17481</v>
      </c>
      <c r="N4092" t="s">
        <v>47</v>
      </c>
      <c r="O4092" t="s">
        <v>9477</v>
      </c>
      <c r="P4092" t="s">
        <v>9477</v>
      </c>
      <c r="Y4092" t="s">
        <v>17482</v>
      </c>
    </row>
    <row r="4093" spans="1:25">
      <c r="A4093" t="s">
        <v>17483</v>
      </c>
      <c r="B4093" t="s">
        <v>17484</v>
      </c>
      <c r="D4093" t="s">
        <v>9473</v>
      </c>
      <c r="E4093" t="s">
        <v>9474</v>
      </c>
      <c r="H4093" t="s">
        <v>17485</v>
      </c>
      <c r="J4093" t="s">
        <v>44</v>
      </c>
      <c r="K4093" t="s">
        <v>45</v>
      </c>
      <c r="L4093">
        <v>6</v>
      </c>
      <c r="M4093" t="s">
        <v>17486</v>
      </c>
      <c r="N4093" t="s">
        <v>47</v>
      </c>
      <c r="O4093" t="s">
        <v>9477</v>
      </c>
      <c r="P4093" t="s">
        <v>9477</v>
      </c>
      <c r="Y4093" t="s">
        <v>17485</v>
      </c>
    </row>
    <row r="4094" spans="1:25">
      <c r="A4094" t="s">
        <v>17487</v>
      </c>
      <c r="B4094" t="s">
        <v>17488</v>
      </c>
      <c r="D4094" t="s">
        <v>9473</v>
      </c>
      <c r="E4094" t="s">
        <v>9474</v>
      </c>
      <c r="J4094" t="s">
        <v>133</v>
      </c>
      <c r="K4094" t="s">
        <v>134</v>
      </c>
      <c r="L4094">
        <v>6</v>
      </c>
      <c r="M4094" t="s">
        <v>17489</v>
      </c>
      <c r="N4094" t="s">
        <v>290</v>
      </c>
      <c r="O4094" t="s">
        <v>9477</v>
      </c>
      <c r="P4094" t="s">
        <v>9477</v>
      </c>
      <c r="Y4094" t="s">
        <v>17490</v>
      </c>
    </row>
    <row r="4095" spans="1:25">
      <c r="A4095" t="s">
        <v>17491</v>
      </c>
      <c r="B4095" t="s">
        <v>17492</v>
      </c>
      <c r="D4095" t="s">
        <v>9473</v>
      </c>
      <c r="E4095" t="s">
        <v>9474</v>
      </c>
      <c r="J4095" t="s">
        <v>78</v>
      </c>
      <c r="K4095" t="s">
        <v>79</v>
      </c>
      <c r="L4095">
        <v>6</v>
      </c>
      <c r="M4095" t="s">
        <v>17493</v>
      </c>
      <c r="N4095" t="s">
        <v>47</v>
      </c>
      <c r="O4095" t="s">
        <v>9477</v>
      </c>
      <c r="P4095" t="s">
        <v>9477</v>
      </c>
      <c r="Y4095" t="s">
        <v>17494</v>
      </c>
    </row>
    <row r="4096" spans="1:25">
      <c r="A4096" t="s">
        <v>17495</v>
      </c>
      <c r="B4096" t="s">
        <v>17496</v>
      </c>
      <c r="D4096" t="s">
        <v>9473</v>
      </c>
      <c r="E4096" t="s">
        <v>9474</v>
      </c>
      <c r="J4096" t="s">
        <v>1827</v>
      </c>
      <c r="K4096" t="s">
        <v>1828</v>
      </c>
      <c r="L4096">
        <v>6</v>
      </c>
      <c r="M4096" t="s">
        <v>17497</v>
      </c>
      <c r="N4096" t="s">
        <v>47</v>
      </c>
      <c r="O4096" t="s">
        <v>9477</v>
      </c>
      <c r="P4096" t="s">
        <v>9477</v>
      </c>
      <c r="Y4096" t="s">
        <v>17498</v>
      </c>
    </row>
    <row r="4097" spans="1:25">
      <c r="A4097" t="s">
        <v>17499</v>
      </c>
      <c r="B4097" t="s">
        <v>17500</v>
      </c>
      <c r="D4097" t="s">
        <v>9473</v>
      </c>
      <c r="E4097" t="s">
        <v>9474</v>
      </c>
      <c r="J4097" t="s">
        <v>133</v>
      </c>
      <c r="K4097" t="s">
        <v>134</v>
      </c>
      <c r="L4097">
        <v>6</v>
      </c>
      <c r="M4097" t="s">
        <v>17501</v>
      </c>
      <c r="N4097" t="s">
        <v>135</v>
      </c>
      <c r="O4097" t="s">
        <v>9477</v>
      </c>
      <c r="P4097" t="s">
        <v>9477</v>
      </c>
      <c r="Y4097" t="s">
        <v>17502</v>
      </c>
    </row>
    <row r="4098" spans="1:25">
      <c r="A4098" t="s">
        <v>17503</v>
      </c>
      <c r="B4098" t="s">
        <v>17504</v>
      </c>
      <c r="D4098" t="s">
        <v>9473</v>
      </c>
      <c r="E4098" t="s">
        <v>9474</v>
      </c>
      <c r="J4098" t="s">
        <v>90</v>
      </c>
      <c r="K4098" t="s">
        <v>91</v>
      </c>
      <c r="L4098">
        <v>6</v>
      </c>
      <c r="M4098" t="s">
        <v>17505</v>
      </c>
      <c r="N4098" t="s">
        <v>47</v>
      </c>
      <c r="O4098" t="s">
        <v>9477</v>
      </c>
      <c r="P4098" t="s">
        <v>9477</v>
      </c>
      <c r="Y4098" t="s">
        <v>17506</v>
      </c>
    </row>
    <row r="4099" spans="1:25">
      <c r="A4099" t="s">
        <v>17507</v>
      </c>
      <c r="B4099" t="s">
        <v>17508</v>
      </c>
      <c r="D4099" t="s">
        <v>9473</v>
      </c>
      <c r="E4099" t="s">
        <v>9474</v>
      </c>
      <c r="H4099" t="s">
        <v>17509</v>
      </c>
      <c r="J4099" t="s">
        <v>78</v>
      </c>
      <c r="K4099" t="s">
        <v>79</v>
      </c>
      <c r="L4099">
        <v>6</v>
      </c>
      <c r="M4099" t="s">
        <v>17510</v>
      </c>
      <c r="N4099" t="s">
        <v>47</v>
      </c>
      <c r="O4099" t="s">
        <v>9477</v>
      </c>
      <c r="P4099" t="s">
        <v>9477</v>
      </c>
      <c r="Y4099" t="s">
        <v>17509</v>
      </c>
    </row>
    <row r="4100" spans="1:25">
      <c r="A4100" t="s">
        <v>17511</v>
      </c>
      <c r="B4100" t="s">
        <v>17512</v>
      </c>
      <c r="D4100" t="s">
        <v>9473</v>
      </c>
      <c r="E4100" t="s">
        <v>9474</v>
      </c>
      <c r="J4100" t="s">
        <v>44</v>
      </c>
      <c r="K4100" t="s">
        <v>45</v>
      </c>
      <c r="L4100">
        <v>6</v>
      </c>
      <c r="M4100" t="s">
        <v>17513</v>
      </c>
      <c r="N4100" t="s">
        <v>47</v>
      </c>
      <c r="O4100" t="s">
        <v>9477</v>
      </c>
      <c r="P4100" t="s">
        <v>9477</v>
      </c>
      <c r="Y4100" t="s">
        <v>17514</v>
      </c>
    </row>
    <row r="4101" spans="1:25">
      <c r="A4101" t="s">
        <v>17515</v>
      </c>
      <c r="B4101" t="s">
        <v>17516</v>
      </c>
      <c r="D4101" t="s">
        <v>9473</v>
      </c>
      <c r="E4101" t="s">
        <v>9474</v>
      </c>
      <c r="J4101" t="s">
        <v>44</v>
      </c>
      <c r="K4101" t="s">
        <v>45</v>
      </c>
      <c r="L4101">
        <v>6</v>
      </c>
      <c r="M4101" t="s">
        <v>17517</v>
      </c>
      <c r="N4101" t="s">
        <v>47</v>
      </c>
      <c r="O4101" t="s">
        <v>9477</v>
      </c>
      <c r="P4101" t="s">
        <v>9477</v>
      </c>
      <c r="Y4101" t="s">
        <v>17518</v>
      </c>
    </row>
    <row r="4102" spans="1:25">
      <c r="A4102" t="s">
        <v>17519</v>
      </c>
      <c r="B4102" t="s">
        <v>17520</v>
      </c>
      <c r="D4102" t="s">
        <v>9473</v>
      </c>
      <c r="E4102" t="s">
        <v>9474</v>
      </c>
      <c r="J4102" t="s">
        <v>54</v>
      </c>
      <c r="K4102" t="s">
        <v>55</v>
      </c>
      <c r="L4102">
        <v>6</v>
      </c>
      <c r="M4102" t="s">
        <v>17521</v>
      </c>
      <c r="N4102" t="s">
        <v>47</v>
      </c>
      <c r="O4102" t="s">
        <v>9477</v>
      </c>
      <c r="P4102" t="s">
        <v>9477</v>
      </c>
      <c r="Y4102" t="s">
        <v>17522</v>
      </c>
    </row>
    <row r="4103" spans="1:25">
      <c r="A4103" t="s">
        <v>17523</v>
      </c>
      <c r="B4103" t="s">
        <v>17524</v>
      </c>
      <c r="D4103" t="s">
        <v>9473</v>
      </c>
      <c r="E4103" t="s">
        <v>9474</v>
      </c>
      <c r="H4103" t="s">
        <v>17525</v>
      </c>
      <c r="J4103" t="s">
        <v>90</v>
      </c>
      <c r="K4103" t="s">
        <v>91</v>
      </c>
      <c r="L4103">
        <v>6</v>
      </c>
      <c r="M4103" t="s">
        <v>17526</v>
      </c>
      <c r="N4103" t="s">
        <v>47</v>
      </c>
      <c r="O4103" t="s">
        <v>9477</v>
      </c>
      <c r="P4103" t="s">
        <v>9477</v>
      </c>
      <c r="Y4103" t="s">
        <v>17525</v>
      </c>
    </row>
    <row r="4104" spans="1:25">
      <c r="A4104" t="s">
        <v>17527</v>
      </c>
      <c r="B4104" t="s">
        <v>17528</v>
      </c>
      <c r="D4104" t="s">
        <v>9473</v>
      </c>
      <c r="E4104" t="s">
        <v>9474</v>
      </c>
      <c r="J4104" t="s">
        <v>90</v>
      </c>
      <c r="K4104" t="s">
        <v>91</v>
      </c>
      <c r="L4104">
        <v>6</v>
      </c>
      <c r="M4104" t="s">
        <v>17526</v>
      </c>
      <c r="N4104" t="s">
        <v>47</v>
      </c>
      <c r="O4104" t="s">
        <v>9477</v>
      </c>
      <c r="P4104" t="s">
        <v>9477</v>
      </c>
      <c r="Y4104" t="s">
        <v>17529</v>
      </c>
    </row>
    <row r="4105" spans="1:25">
      <c r="A4105" t="s">
        <v>17530</v>
      </c>
      <c r="B4105" t="s">
        <v>17531</v>
      </c>
      <c r="D4105" t="s">
        <v>9473</v>
      </c>
      <c r="E4105" t="s">
        <v>9474</v>
      </c>
      <c r="J4105" t="s">
        <v>44</v>
      </c>
      <c r="K4105" t="s">
        <v>45</v>
      </c>
      <c r="L4105">
        <v>6</v>
      </c>
      <c r="M4105" t="s">
        <v>17532</v>
      </c>
      <c r="N4105" t="s">
        <v>47</v>
      </c>
      <c r="O4105" t="s">
        <v>9477</v>
      </c>
      <c r="P4105" t="s">
        <v>9477</v>
      </c>
      <c r="Y4105" t="s">
        <v>17533</v>
      </c>
    </row>
    <row r="4106" spans="1:25">
      <c r="A4106" t="s">
        <v>17534</v>
      </c>
      <c r="B4106" t="s">
        <v>17535</v>
      </c>
      <c r="D4106" t="s">
        <v>9473</v>
      </c>
      <c r="E4106" t="s">
        <v>9474</v>
      </c>
      <c r="J4106" t="s">
        <v>90</v>
      </c>
      <c r="K4106" t="s">
        <v>91</v>
      </c>
      <c r="L4106">
        <v>6</v>
      </c>
      <c r="M4106" t="s">
        <v>17536</v>
      </c>
      <c r="N4106" t="s">
        <v>47</v>
      </c>
      <c r="O4106" t="s">
        <v>9477</v>
      </c>
      <c r="P4106" t="s">
        <v>9477</v>
      </c>
      <c r="Y4106" t="s">
        <v>17537</v>
      </c>
    </row>
    <row r="4107" spans="1:25">
      <c r="A4107" t="s">
        <v>17538</v>
      </c>
      <c r="B4107" t="s">
        <v>17539</v>
      </c>
      <c r="D4107" t="s">
        <v>9473</v>
      </c>
      <c r="E4107" t="s">
        <v>9474</v>
      </c>
      <c r="J4107" t="s">
        <v>44</v>
      </c>
      <c r="K4107" t="s">
        <v>45</v>
      </c>
      <c r="L4107">
        <v>6</v>
      </c>
      <c r="M4107" t="s">
        <v>17536</v>
      </c>
      <c r="N4107" t="s">
        <v>47</v>
      </c>
      <c r="O4107" t="s">
        <v>9477</v>
      </c>
      <c r="P4107" t="s">
        <v>9477</v>
      </c>
      <c r="Y4107" t="s">
        <v>17540</v>
      </c>
    </row>
    <row r="4108" spans="1:25">
      <c r="A4108" t="s">
        <v>17541</v>
      </c>
      <c r="B4108" t="s">
        <v>17542</v>
      </c>
      <c r="D4108" t="s">
        <v>9473</v>
      </c>
      <c r="E4108" t="s">
        <v>9474</v>
      </c>
      <c r="J4108" t="s">
        <v>90</v>
      </c>
      <c r="K4108" t="s">
        <v>91</v>
      </c>
      <c r="L4108">
        <v>6</v>
      </c>
      <c r="M4108" t="s">
        <v>17543</v>
      </c>
      <c r="N4108" t="s">
        <v>47</v>
      </c>
      <c r="O4108" t="s">
        <v>9477</v>
      </c>
      <c r="P4108" t="s">
        <v>9477</v>
      </c>
      <c r="Y4108" t="s">
        <v>17544</v>
      </c>
    </row>
    <row r="4109" spans="1:25">
      <c r="A4109" t="s">
        <v>17545</v>
      </c>
      <c r="B4109" t="s">
        <v>17546</v>
      </c>
      <c r="D4109" t="s">
        <v>9473</v>
      </c>
      <c r="E4109" t="s">
        <v>9474</v>
      </c>
      <c r="J4109" t="s">
        <v>44</v>
      </c>
      <c r="K4109" t="s">
        <v>45</v>
      </c>
      <c r="L4109">
        <v>6</v>
      </c>
      <c r="M4109" t="s">
        <v>17547</v>
      </c>
      <c r="N4109" t="s">
        <v>47</v>
      </c>
      <c r="O4109" t="s">
        <v>9477</v>
      </c>
      <c r="P4109" t="s">
        <v>9477</v>
      </c>
      <c r="Y4109" t="s">
        <v>17548</v>
      </c>
    </row>
    <row r="4110" spans="1:25">
      <c r="A4110" t="s">
        <v>17549</v>
      </c>
      <c r="B4110" t="s">
        <v>17550</v>
      </c>
      <c r="D4110" t="s">
        <v>9473</v>
      </c>
      <c r="E4110" t="s">
        <v>9474</v>
      </c>
      <c r="H4110" t="s">
        <v>17551</v>
      </c>
      <c r="J4110" t="s">
        <v>133</v>
      </c>
      <c r="K4110" t="s">
        <v>134</v>
      </c>
      <c r="L4110">
        <v>6</v>
      </c>
      <c r="M4110" t="s">
        <v>17547</v>
      </c>
      <c r="N4110" t="s">
        <v>685</v>
      </c>
      <c r="O4110" t="s">
        <v>9477</v>
      </c>
      <c r="P4110" t="s">
        <v>9477</v>
      </c>
      <c r="Y4110" t="s">
        <v>17551</v>
      </c>
    </row>
    <row r="4111" spans="1:25">
      <c r="A4111" t="s">
        <v>17552</v>
      </c>
      <c r="B4111" t="s">
        <v>17553</v>
      </c>
      <c r="D4111" t="s">
        <v>9473</v>
      </c>
      <c r="E4111" t="s">
        <v>9474</v>
      </c>
      <c r="J4111" t="s">
        <v>44</v>
      </c>
      <c r="K4111" t="s">
        <v>45</v>
      </c>
      <c r="L4111">
        <v>6</v>
      </c>
      <c r="M4111" t="s">
        <v>17547</v>
      </c>
      <c r="N4111" t="s">
        <v>47</v>
      </c>
      <c r="O4111" t="s">
        <v>9477</v>
      </c>
      <c r="P4111" t="s">
        <v>9477</v>
      </c>
      <c r="Y4111" t="s">
        <v>17554</v>
      </c>
    </row>
    <row r="4112" spans="1:25">
      <c r="A4112" t="s">
        <v>17555</v>
      </c>
      <c r="B4112" t="s">
        <v>17556</v>
      </c>
      <c r="D4112" t="s">
        <v>9473</v>
      </c>
      <c r="E4112" t="s">
        <v>9474</v>
      </c>
      <c r="J4112" t="s">
        <v>54</v>
      </c>
      <c r="K4112" t="s">
        <v>55</v>
      </c>
      <c r="L4112">
        <v>6</v>
      </c>
      <c r="M4112" t="s">
        <v>17557</v>
      </c>
      <c r="N4112" t="s">
        <v>47</v>
      </c>
      <c r="O4112" t="s">
        <v>9477</v>
      </c>
      <c r="P4112" t="s">
        <v>9477</v>
      </c>
      <c r="Y4112" t="s">
        <v>17558</v>
      </c>
    </row>
    <row r="4113" spans="1:25">
      <c r="A4113" t="s">
        <v>17559</v>
      </c>
      <c r="B4113" t="s">
        <v>17560</v>
      </c>
      <c r="D4113" t="s">
        <v>9473</v>
      </c>
      <c r="E4113" t="s">
        <v>9474</v>
      </c>
      <c r="J4113" t="s">
        <v>78</v>
      </c>
      <c r="K4113" t="s">
        <v>79</v>
      </c>
      <c r="L4113">
        <v>6</v>
      </c>
      <c r="M4113" t="s">
        <v>17561</v>
      </c>
      <c r="N4113" t="s">
        <v>47</v>
      </c>
      <c r="O4113" t="s">
        <v>9477</v>
      </c>
      <c r="P4113" t="s">
        <v>9477</v>
      </c>
      <c r="Y4113" t="s">
        <v>17562</v>
      </c>
    </row>
    <row r="4114" spans="1:25">
      <c r="A4114" t="s">
        <v>17563</v>
      </c>
      <c r="B4114" t="s">
        <v>17564</v>
      </c>
      <c r="D4114" t="s">
        <v>9473</v>
      </c>
      <c r="E4114" t="s">
        <v>9474</v>
      </c>
      <c r="J4114" t="s">
        <v>133</v>
      </c>
      <c r="K4114" t="s">
        <v>134</v>
      </c>
      <c r="L4114">
        <v>6</v>
      </c>
      <c r="M4114" t="s">
        <v>17565</v>
      </c>
      <c r="N4114" t="s">
        <v>685</v>
      </c>
      <c r="O4114" t="s">
        <v>9477</v>
      </c>
      <c r="P4114" t="s">
        <v>9477</v>
      </c>
      <c r="Y4114" t="s">
        <v>17566</v>
      </c>
    </row>
    <row r="4115" spans="1:25">
      <c r="A4115" t="s">
        <v>17567</v>
      </c>
      <c r="B4115" t="s">
        <v>17568</v>
      </c>
      <c r="D4115" t="s">
        <v>9473</v>
      </c>
      <c r="E4115" t="s">
        <v>9474</v>
      </c>
      <c r="J4115" t="s">
        <v>765</v>
      </c>
      <c r="K4115" t="s">
        <v>766</v>
      </c>
      <c r="L4115">
        <v>6</v>
      </c>
      <c r="M4115" t="s">
        <v>17565</v>
      </c>
      <c r="N4115" t="s">
        <v>290</v>
      </c>
      <c r="O4115" t="s">
        <v>9477</v>
      </c>
      <c r="P4115" t="s">
        <v>9477</v>
      </c>
      <c r="Y4115" t="s">
        <v>17569</v>
      </c>
    </row>
    <row r="4116" spans="1:25">
      <c r="A4116" t="s">
        <v>17570</v>
      </c>
      <c r="B4116" t="s">
        <v>17571</v>
      </c>
      <c r="D4116" t="s">
        <v>9473</v>
      </c>
      <c r="E4116" t="s">
        <v>9474</v>
      </c>
      <c r="J4116" t="s">
        <v>54</v>
      </c>
      <c r="K4116" t="s">
        <v>55</v>
      </c>
      <c r="L4116">
        <v>6</v>
      </c>
      <c r="M4116" t="s">
        <v>17572</v>
      </c>
      <c r="N4116" t="s">
        <v>47</v>
      </c>
      <c r="O4116" t="s">
        <v>9477</v>
      </c>
      <c r="P4116" t="s">
        <v>9477</v>
      </c>
      <c r="Y4116" t="s">
        <v>17573</v>
      </c>
    </row>
    <row r="4117" spans="1:25">
      <c r="A4117" t="s">
        <v>17574</v>
      </c>
      <c r="B4117" t="s">
        <v>17575</v>
      </c>
      <c r="D4117" t="s">
        <v>9473</v>
      </c>
      <c r="E4117" t="s">
        <v>9474</v>
      </c>
      <c r="H4117" t="s">
        <v>17576</v>
      </c>
      <c r="J4117" t="s">
        <v>541</v>
      </c>
      <c r="K4117" t="s">
        <v>542</v>
      </c>
      <c r="L4117">
        <v>6</v>
      </c>
      <c r="M4117" t="s">
        <v>17577</v>
      </c>
      <c r="N4117" t="s">
        <v>290</v>
      </c>
      <c r="O4117" t="s">
        <v>9477</v>
      </c>
      <c r="P4117" t="s">
        <v>9477</v>
      </c>
      <c r="Y4117" t="s">
        <v>17576</v>
      </c>
    </row>
    <row r="4118" spans="1:25">
      <c r="A4118" t="s">
        <v>17578</v>
      </c>
      <c r="B4118" t="s">
        <v>17579</v>
      </c>
      <c r="D4118" t="s">
        <v>9473</v>
      </c>
      <c r="E4118" t="s">
        <v>9474</v>
      </c>
      <c r="J4118" t="s">
        <v>78</v>
      </c>
      <c r="K4118" t="s">
        <v>79</v>
      </c>
      <c r="L4118">
        <v>6</v>
      </c>
      <c r="M4118" t="s">
        <v>17580</v>
      </c>
      <c r="N4118" t="s">
        <v>47</v>
      </c>
      <c r="O4118" t="s">
        <v>9477</v>
      </c>
      <c r="P4118" t="s">
        <v>9477</v>
      </c>
      <c r="Y4118" t="s">
        <v>17581</v>
      </c>
    </row>
    <row r="4119" spans="1:25">
      <c r="A4119" t="s">
        <v>17582</v>
      </c>
      <c r="B4119" t="s">
        <v>17583</v>
      </c>
      <c r="D4119" t="s">
        <v>9473</v>
      </c>
      <c r="E4119" t="s">
        <v>9474</v>
      </c>
      <c r="J4119" t="s">
        <v>90</v>
      </c>
      <c r="K4119" t="s">
        <v>91</v>
      </c>
      <c r="L4119">
        <v>6</v>
      </c>
      <c r="M4119" t="s">
        <v>17584</v>
      </c>
      <c r="N4119" t="s">
        <v>47</v>
      </c>
      <c r="O4119" t="s">
        <v>9477</v>
      </c>
      <c r="P4119" t="s">
        <v>9477</v>
      </c>
      <c r="Y4119" t="s">
        <v>17585</v>
      </c>
    </row>
    <row r="4120" spans="1:25">
      <c r="A4120" t="s">
        <v>17586</v>
      </c>
      <c r="B4120" t="s">
        <v>17587</v>
      </c>
      <c r="D4120" t="s">
        <v>9473</v>
      </c>
      <c r="E4120" t="s">
        <v>9474</v>
      </c>
      <c r="J4120" t="s">
        <v>90</v>
      </c>
      <c r="K4120" t="s">
        <v>91</v>
      </c>
      <c r="L4120">
        <v>6</v>
      </c>
      <c r="M4120" t="s">
        <v>17588</v>
      </c>
      <c r="N4120" t="s">
        <v>47</v>
      </c>
      <c r="O4120" t="s">
        <v>9477</v>
      </c>
      <c r="P4120" t="s">
        <v>9477</v>
      </c>
      <c r="Y4120" t="s">
        <v>17589</v>
      </c>
    </row>
    <row r="4121" spans="1:25">
      <c r="A4121" t="s">
        <v>17590</v>
      </c>
      <c r="B4121" t="s">
        <v>17591</v>
      </c>
      <c r="D4121" t="s">
        <v>9473</v>
      </c>
      <c r="E4121" t="s">
        <v>9474</v>
      </c>
      <c r="J4121" t="s">
        <v>5964</v>
      </c>
      <c r="K4121" t="s">
        <v>5965</v>
      </c>
      <c r="L4121">
        <v>6</v>
      </c>
      <c r="M4121" t="s">
        <v>17588</v>
      </c>
      <c r="N4121" t="s">
        <v>135</v>
      </c>
      <c r="O4121" t="s">
        <v>9477</v>
      </c>
      <c r="P4121" t="s">
        <v>9477</v>
      </c>
      <c r="Y4121" t="s">
        <v>17592</v>
      </c>
    </row>
    <row r="4122" spans="1:25">
      <c r="A4122" t="s">
        <v>17593</v>
      </c>
      <c r="B4122" t="s">
        <v>17594</v>
      </c>
      <c r="D4122" t="s">
        <v>9473</v>
      </c>
      <c r="E4122" t="s">
        <v>9474</v>
      </c>
      <c r="J4122" t="s">
        <v>54</v>
      </c>
      <c r="K4122" t="s">
        <v>55</v>
      </c>
      <c r="L4122">
        <v>6</v>
      </c>
      <c r="M4122" t="s">
        <v>17595</v>
      </c>
      <c r="N4122" t="s">
        <v>47</v>
      </c>
      <c r="O4122" t="s">
        <v>9477</v>
      </c>
      <c r="P4122" t="s">
        <v>9477</v>
      </c>
      <c r="Y4122" t="s">
        <v>17596</v>
      </c>
    </row>
    <row r="4123" spans="1:25">
      <c r="A4123" t="s">
        <v>17597</v>
      </c>
      <c r="B4123" t="s">
        <v>17598</v>
      </c>
      <c r="D4123" t="s">
        <v>9473</v>
      </c>
      <c r="E4123" t="s">
        <v>9474</v>
      </c>
      <c r="H4123" t="s">
        <v>17599</v>
      </c>
      <c r="J4123" t="s">
        <v>78</v>
      </c>
      <c r="K4123" t="s">
        <v>79</v>
      </c>
      <c r="L4123">
        <v>6</v>
      </c>
      <c r="M4123" t="s">
        <v>17600</v>
      </c>
      <c r="N4123" t="s">
        <v>47</v>
      </c>
      <c r="O4123" t="s">
        <v>9477</v>
      </c>
      <c r="P4123" t="s">
        <v>9477</v>
      </c>
      <c r="Y4123" t="s">
        <v>17599</v>
      </c>
    </row>
    <row r="4124" spans="1:25">
      <c r="A4124" t="s">
        <v>17601</v>
      </c>
      <c r="B4124" t="s">
        <v>17602</v>
      </c>
      <c r="D4124" t="s">
        <v>9473</v>
      </c>
      <c r="E4124" t="s">
        <v>9474</v>
      </c>
      <c r="H4124" t="s">
        <v>17603</v>
      </c>
      <c r="J4124" t="s">
        <v>497</v>
      </c>
      <c r="K4124" t="s">
        <v>498</v>
      </c>
      <c r="L4124">
        <v>6</v>
      </c>
      <c r="M4124" t="s">
        <v>17600</v>
      </c>
      <c r="N4124" t="s">
        <v>290</v>
      </c>
      <c r="O4124" t="s">
        <v>9477</v>
      </c>
      <c r="P4124" t="s">
        <v>9477</v>
      </c>
      <c r="Y4124" t="s">
        <v>17603</v>
      </c>
    </row>
    <row r="4125" spans="1:25">
      <c r="A4125" t="s">
        <v>17604</v>
      </c>
      <c r="B4125" t="s">
        <v>17605</v>
      </c>
      <c r="D4125" t="s">
        <v>9473</v>
      </c>
      <c r="E4125" t="s">
        <v>9474</v>
      </c>
      <c r="J4125" t="s">
        <v>90</v>
      </c>
      <c r="K4125" t="s">
        <v>91</v>
      </c>
      <c r="L4125">
        <v>6</v>
      </c>
      <c r="M4125" t="s">
        <v>17600</v>
      </c>
      <c r="N4125" t="s">
        <v>47</v>
      </c>
      <c r="O4125" t="s">
        <v>9477</v>
      </c>
      <c r="P4125" t="s">
        <v>9477</v>
      </c>
      <c r="Y4125" t="s">
        <v>17606</v>
      </c>
    </row>
    <row r="4126" spans="1:25">
      <c r="A4126" t="s">
        <v>17607</v>
      </c>
      <c r="B4126" t="s">
        <v>17608</v>
      </c>
      <c r="D4126" t="s">
        <v>9473</v>
      </c>
      <c r="E4126" t="s">
        <v>9474</v>
      </c>
      <c r="H4126" t="s">
        <v>17609</v>
      </c>
      <c r="J4126" t="s">
        <v>78</v>
      </c>
      <c r="K4126" t="s">
        <v>79</v>
      </c>
      <c r="L4126">
        <v>6</v>
      </c>
      <c r="M4126" t="s">
        <v>17610</v>
      </c>
      <c r="N4126" t="s">
        <v>47</v>
      </c>
      <c r="O4126" t="s">
        <v>9477</v>
      </c>
      <c r="P4126" t="s">
        <v>9477</v>
      </c>
      <c r="Y4126" t="s">
        <v>17609</v>
      </c>
    </row>
    <row r="4127" spans="1:25">
      <c r="A4127" t="s">
        <v>17611</v>
      </c>
      <c r="B4127" t="s">
        <v>17612</v>
      </c>
      <c r="D4127" t="s">
        <v>9473</v>
      </c>
      <c r="E4127" t="s">
        <v>9474</v>
      </c>
      <c r="H4127" t="s">
        <v>17613</v>
      </c>
      <c r="J4127" t="s">
        <v>44</v>
      </c>
      <c r="K4127" t="s">
        <v>45</v>
      </c>
      <c r="L4127">
        <v>6</v>
      </c>
      <c r="M4127" t="s">
        <v>17610</v>
      </c>
      <c r="N4127" t="s">
        <v>47</v>
      </c>
      <c r="O4127" t="s">
        <v>9477</v>
      </c>
      <c r="P4127" t="s">
        <v>9477</v>
      </c>
      <c r="Y4127" t="s">
        <v>17613</v>
      </c>
    </row>
    <row r="4128" spans="1:25">
      <c r="A4128" t="s">
        <v>17614</v>
      </c>
      <c r="B4128" t="s">
        <v>17615</v>
      </c>
      <c r="D4128" t="s">
        <v>9473</v>
      </c>
      <c r="E4128" t="s">
        <v>9474</v>
      </c>
      <c r="H4128" t="s">
        <v>17616</v>
      </c>
      <c r="J4128" t="s">
        <v>44</v>
      </c>
      <c r="K4128" t="s">
        <v>45</v>
      </c>
      <c r="L4128">
        <v>6</v>
      </c>
      <c r="M4128" t="s">
        <v>17617</v>
      </c>
      <c r="N4128" t="s">
        <v>47</v>
      </c>
      <c r="O4128" t="s">
        <v>9477</v>
      </c>
      <c r="P4128" t="s">
        <v>9477</v>
      </c>
      <c r="Y4128" t="s">
        <v>17616</v>
      </c>
    </row>
    <row r="4129" spans="1:25">
      <c r="A4129" t="s">
        <v>17618</v>
      </c>
      <c r="B4129" t="s">
        <v>17619</v>
      </c>
      <c r="D4129" t="s">
        <v>9473</v>
      </c>
      <c r="E4129" t="s">
        <v>9474</v>
      </c>
      <c r="J4129" t="s">
        <v>44</v>
      </c>
      <c r="K4129" t="s">
        <v>45</v>
      </c>
      <c r="L4129">
        <v>6</v>
      </c>
      <c r="M4129" t="s">
        <v>17617</v>
      </c>
      <c r="N4129" t="s">
        <v>47</v>
      </c>
      <c r="O4129" t="s">
        <v>9477</v>
      </c>
      <c r="P4129" t="s">
        <v>9477</v>
      </c>
      <c r="Y4129" t="s">
        <v>17620</v>
      </c>
    </row>
    <row r="4130" spans="1:25">
      <c r="A4130" t="s">
        <v>17621</v>
      </c>
      <c r="B4130" t="s">
        <v>17622</v>
      </c>
      <c r="D4130" t="s">
        <v>9473</v>
      </c>
      <c r="E4130" t="s">
        <v>9474</v>
      </c>
      <c r="J4130" t="s">
        <v>44</v>
      </c>
      <c r="K4130" t="s">
        <v>45</v>
      </c>
      <c r="L4130">
        <v>6</v>
      </c>
      <c r="M4130" t="s">
        <v>17617</v>
      </c>
      <c r="N4130" t="s">
        <v>47</v>
      </c>
      <c r="O4130" t="s">
        <v>9477</v>
      </c>
      <c r="P4130" t="s">
        <v>9477</v>
      </c>
      <c r="Y4130" t="s">
        <v>17623</v>
      </c>
    </row>
    <row r="4131" spans="1:25">
      <c r="A4131" t="s">
        <v>17624</v>
      </c>
      <c r="B4131" t="s">
        <v>17625</v>
      </c>
      <c r="D4131" t="s">
        <v>9473</v>
      </c>
      <c r="E4131" t="s">
        <v>9474</v>
      </c>
      <c r="J4131" t="s">
        <v>54</v>
      </c>
      <c r="K4131" t="s">
        <v>55</v>
      </c>
      <c r="L4131">
        <v>6</v>
      </c>
      <c r="M4131" t="s">
        <v>17626</v>
      </c>
      <c r="N4131" t="s">
        <v>47</v>
      </c>
      <c r="O4131" t="s">
        <v>9477</v>
      </c>
      <c r="P4131" t="s">
        <v>9477</v>
      </c>
      <c r="Y4131" t="s">
        <v>17627</v>
      </c>
    </row>
    <row r="4132" spans="1:25">
      <c r="A4132" t="s">
        <v>17628</v>
      </c>
      <c r="B4132" t="s">
        <v>17629</v>
      </c>
      <c r="D4132" t="s">
        <v>9473</v>
      </c>
      <c r="E4132" t="s">
        <v>9474</v>
      </c>
      <c r="J4132" t="s">
        <v>44</v>
      </c>
      <c r="K4132" t="s">
        <v>45</v>
      </c>
      <c r="L4132">
        <v>6</v>
      </c>
      <c r="M4132" t="s">
        <v>17630</v>
      </c>
      <c r="N4132" t="s">
        <v>47</v>
      </c>
      <c r="O4132" t="s">
        <v>9477</v>
      </c>
      <c r="P4132" t="s">
        <v>9477</v>
      </c>
      <c r="Y4132" t="s">
        <v>17631</v>
      </c>
    </row>
    <row r="4133" spans="1:25">
      <c r="A4133" t="s">
        <v>17632</v>
      </c>
      <c r="B4133" t="s">
        <v>17633</v>
      </c>
      <c r="D4133" t="s">
        <v>9473</v>
      </c>
      <c r="E4133" t="s">
        <v>9474</v>
      </c>
      <c r="J4133" t="s">
        <v>90</v>
      </c>
      <c r="K4133" t="s">
        <v>91</v>
      </c>
      <c r="L4133">
        <v>6</v>
      </c>
      <c r="M4133" t="s">
        <v>17634</v>
      </c>
      <c r="N4133" t="s">
        <v>47</v>
      </c>
      <c r="O4133" t="s">
        <v>9477</v>
      </c>
      <c r="P4133" t="s">
        <v>9477</v>
      </c>
      <c r="Y4133" t="s">
        <v>17635</v>
      </c>
    </row>
    <row r="4134" spans="1:25">
      <c r="A4134" t="s">
        <v>17636</v>
      </c>
      <c r="B4134" t="s">
        <v>17637</v>
      </c>
      <c r="D4134" t="s">
        <v>9473</v>
      </c>
      <c r="E4134" t="s">
        <v>9474</v>
      </c>
      <c r="J4134" t="s">
        <v>44</v>
      </c>
      <c r="K4134" t="s">
        <v>45</v>
      </c>
      <c r="L4134">
        <v>6</v>
      </c>
      <c r="M4134" t="s">
        <v>17634</v>
      </c>
      <c r="N4134" t="s">
        <v>47</v>
      </c>
      <c r="O4134" t="s">
        <v>9477</v>
      </c>
      <c r="P4134" t="s">
        <v>9477</v>
      </c>
      <c r="Y4134" t="s">
        <v>17638</v>
      </c>
    </row>
    <row r="4135" spans="1:25">
      <c r="A4135" t="s">
        <v>17639</v>
      </c>
      <c r="B4135" t="s">
        <v>17640</v>
      </c>
      <c r="D4135" t="s">
        <v>9473</v>
      </c>
      <c r="E4135" t="s">
        <v>9474</v>
      </c>
      <c r="J4135" t="s">
        <v>44</v>
      </c>
      <c r="K4135" t="s">
        <v>45</v>
      </c>
      <c r="L4135">
        <v>6</v>
      </c>
      <c r="M4135" t="s">
        <v>17634</v>
      </c>
      <c r="N4135" t="s">
        <v>47</v>
      </c>
      <c r="O4135" t="s">
        <v>9477</v>
      </c>
      <c r="P4135" t="s">
        <v>9477</v>
      </c>
      <c r="Y4135" t="s">
        <v>17641</v>
      </c>
    </row>
    <row r="4136" spans="1:25">
      <c r="A4136" t="s">
        <v>17642</v>
      </c>
      <c r="B4136" t="s">
        <v>17643</v>
      </c>
      <c r="D4136" t="s">
        <v>9473</v>
      </c>
      <c r="E4136" t="s">
        <v>9474</v>
      </c>
      <c r="J4136" t="s">
        <v>90</v>
      </c>
      <c r="K4136" t="s">
        <v>91</v>
      </c>
      <c r="L4136">
        <v>6</v>
      </c>
      <c r="M4136" t="s">
        <v>17644</v>
      </c>
      <c r="N4136" t="s">
        <v>47</v>
      </c>
      <c r="O4136" t="s">
        <v>9477</v>
      </c>
      <c r="P4136" t="s">
        <v>9477</v>
      </c>
      <c r="Y4136" t="s">
        <v>17645</v>
      </c>
    </row>
    <row r="4137" spans="1:25">
      <c r="A4137" t="s">
        <v>17646</v>
      </c>
      <c r="B4137" t="s">
        <v>17647</v>
      </c>
      <c r="D4137" t="s">
        <v>9473</v>
      </c>
      <c r="E4137" t="s">
        <v>9474</v>
      </c>
      <c r="H4137" t="s">
        <v>17648</v>
      </c>
      <c r="J4137" t="s">
        <v>133</v>
      </c>
      <c r="K4137" t="s">
        <v>134</v>
      </c>
      <c r="L4137">
        <v>6</v>
      </c>
      <c r="M4137" t="s">
        <v>17644</v>
      </c>
      <c r="N4137" t="s">
        <v>135</v>
      </c>
      <c r="O4137" t="s">
        <v>9477</v>
      </c>
      <c r="P4137" t="s">
        <v>9477</v>
      </c>
      <c r="Y4137" t="s">
        <v>17648</v>
      </c>
    </row>
    <row r="4138" spans="1:25">
      <c r="A4138" t="s">
        <v>17649</v>
      </c>
      <c r="B4138" t="s">
        <v>17650</v>
      </c>
      <c r="D4138" t="s">
        <v>9473</v>
      </c>
      <c r="E4138" t="s">
        <v>9474</v>
      </c>
      <c r="J4138" t="s">
        <v>90</v>
      </c>
      <c r="K4138" t="s">
        <v>91</v>
      </c>
      <c r="L4138">
        <v>6</v>
      </c>
      <c r="M4138" t="s">
        <v>17644</v>
      </c>
      <c r="N4138" t="s">
        <v>47</v>
      </c>
      <c r="O4138" t="s">
        <v>9477</v>
      </c>
      <c r="P4138" t="s">
        <v>9477</v>
      </c>
      <c r="Y4138" t="s">
        <v>17651</v>
      </c>
    </row>
    <row r="4139" spans="1:25">
      <c r="A4139" t="s">
        <v>17652</v>
      </c>
      <c r="B4139" t="s">
        <v>17653</v>
      </c>
      <c r="D4139" t="s">
        <v>9473</v>
      </c>
      <c r="E4139" t="s">
        <v>9474</v>
      </c>
      <c r="H4139" t="s">
        <v>17654</v>
      </c>
      <c r="J4139" t="s">
        <v>133</v>
      </c>
      <c r="K4139" t="s">
        <v>134</v>
      </c>
      <c r="L4139">
        <v>6</v>
      </c>
      <c r="M4139" t="s">
        <v>17655</v>
      </c>
      <c r="N4139" t="s">
        <v>685</v>
      </c>
      <c r="O4139" t="s">
        <v>9477</v>
      </c>
      <c r="P4139" t="s">
        <v>9477</v>
      </c>
      <c r="Y4139" t="s">
        <v>17654</v>
      </c>
    </row>
    <row r="4140" spans="1:25">
      <c r="A4140" t="s">
        <v>17656</v>
      </c>
      <c r="B4140" t="s">
        <v>17657</v>
      </c>
      <c r="D4140" t="s">
        <v>9473</v>
      </c>
      <c r="E4140" t="s">
        <v>9474</v>
      </c>
      <c r="J4140" t="s">
        <v>44</v>
      </c>
      <c r="K4140" t="s">
        <v>45</v>
      </c>
      <c r="L4140">
        <v>6</v>
      </c>
      <c r="M4140" t="s">
        <v>17658</v>
      </c>
      <c r="N4140" t="s">
        <v>47</v>
      </c>
      <c r="O4140" t="s">
        <v>9477</v>
      </c>
      <c r="P4140" t="s">
        <v>9477</v>
      </c>
      <c r="Y4140" t="s">
        <v>17659</v>
      </c>
    </row>
    <row r="4141" spans="1:25">
      <c r="A4141" t="s">
        <v>17660</v>
      </c>
      <c r="B4141" t="s">
        <v>17661</v>
      </c>
      <c r="D4141" t="s">
        <v>9473</v>
      </c>
      <c r="E4141" t="s">
        <v>9474</v>
      </c>
      <c r="J4141" t="s">
        <v>78</v>
      </c>
      <c r="K4141" t="s">
        <v>79</v>
      </c>
      <c r="L4141">
        <v>6</v>
      </c>
      <c r="M4141" t="s">
        <v>17662</v>
      </c>
      <c r="N4141" t="s">
        <v>47</v>
      </c>
      <c r="O4141" t="s">
        <v>9477</v>
      </c>
      <c r="P4141" t="s">
        <v>9477</v>
      </c>
      <c r="Y4141" t="s">
        <v>17663</v>
      </c>
    </row>
    <row r="4142" spans="1:25">
      <c r="A4142" t="s">
        <v>17664</v>
      </c>
      <c r="B4142" t="s">
        <v>17665</v>
      </c>
      <c r="D4142" t="s">
        <v>9473</v>
      </c>
      <c r="E4142" t="s">
        <v>9474</v>
      </c>
      <c r="H4142" t="s">
        <v>17666</v>
      </c>
      <c r="J4142" t="s">
        <v>133</v>
      </c>
      <c r="K4142" t="s">
        <v>134</v>
      </c>
      <c r="L4142">
        <v>6</v>
      </c>
      <c r="M4142" t="s">
        <v>17667</v>
      </c>
      <c r="N4142" t="s">
        <v>290</v>
      </c>
      <c r="O4142" t="s">
        <v>9477</v>
      </c>
      <c r="P4142" t="s">
        <v>9477</v>
      </c>
      <c r="Y4142" t="s">
        <v>17666</v>
      </c>
    </row>
    <row r="4143" spans="1:25">
      <c r="A4143" t="s">
        <v>17668</v>
      </c>
      <c r="B4143" t="s">
        <v>17669</v>
      </c>
      <c r="D4143" t="s">
        <v>9473</v>
      </c>
      <c r="E4143" t="s">
        <v>9474</v>
      </c>
      <c r="J4143" t="s">
        <v>90</v>
      </c>
      <c r="K4143" t="s">
        <v>91</v>
      </c>
      <c r="L4143">
        <v>6</v>
      </c>
      <c r="M4143" t="s">
        <v>17670</v>
      </c>
      <c r="N4143" t="s">
        <v>47</v>
      </c>
      <c r="O4143" t="s">
        <v>9477</v>
      </c>
      <c r="P4143" t="s">
        <v>9477</v>
      </c>
      <c r="Y4143" t="s">
        <v>17671</v>
      </c>
    </row>
    <row r="4144" spans="1:25">
      <c r="A4144" t="s">
        <v>17672</v>
      </c>
      <c r="B4144" t="s">
        <v>17673</v>
      </c>
      <c r="D4144" t="s">
        <v>9473</v>
      </c>
      <c r="E4144" t="s">
        <v>9474</v>
      </c>
      <c r="H4144" t="s">
        <v>17674</v>
      </c>
      <c r="J4144" t="s">
        <v>90</v>
      </c>
      <c r="K4144" t="s">
        <v>91</v>
      </c>
      <c r="L4144">
        <v>6</v>
      </c>
      <c r="M4144" t="s">
        <v>17675</v>
      </c>
      <c r="N4144" t="s">
        <v>47</v>
      </c>
      <c r="O4144" t="s">
        <v>9477</v>
      </c>
      <c r="P4144" t="s">
        <v>9477</v>
      </c>
      <c r="Y4144" t="s">
        <v>17674</v>
      </c>
    </row>
    <row r="4145" spans="1:25">
      <c r="A4145" t="s">
        <v>17676</v>
      </c>
      <c r="B4145" t="s">
        <v>17677</v>
      </c>
      <c r="D4145" t="s">
        <v>9473</v>
      </c>
      <c r="E4145" t="s">
        <v>9474</v>
      </c>
      <c r="J4145" t="s">
        <v>78</v>
      </c>
      <c r="K4145" t="s">
        <v>79</v>
      </c>
      <c r="L4145">
        <v>6</v>
      </c>
      <c r="M4145" t="s">
        <v>17675</v>
      </c>
      <c r="N4145" t="s">
        <v>47</v>
      </c>
      <c r="O4145" t="s">
        <v>9477</v>
      </c>
      <c r="P4145" t="s">
        <v>9477</v>
      </c>
      <c r="Y4145" t="s">
        <v>17678</v>
      </c>
    </row>
    <row r="4146" spans="1:25">
      <c r="A4146" t="s">
        <v>17679</v>
      </c>
      <c r="B4146" t="s">
        <v>17680</v>
      </c>
      <c r="D4146" t="s">
        <v>9473</v>
      </c>
      <c r="E4146" t="s">
        <v>9474</v>
      </c>
      <c r="H4146" t="s">
        <v>17681</v>
      </c>
      <c r="J4146" t="s">
        <v>371</v>
      </c>
      <c r="K4146" t="s">
        <v>372</v>
      </c>
      <c r="L4146">
        <v>6</v>
      </c>
      <c r="M4146" t="s">
        <v>17675</v>
      </c>
      <c r="N4146" t="s">
        <v>47</v>
      </c>
      <c r="O4146" t="s">
        <v>9477</v>
      </c>
      <c r="P4146" t="s">
        <v>9477</v>
      </c>
      <c r="Y4146" t="s">
        <v>17681</v>
      </c>
    </row>
    <row r="4147" spans="1:25">
      <c r="A4147" t="s">
        <v>17682</v>
      </c>
      <c r="B4147" t="s">
        <v>17683</v>
      </c>
      <c r="D4147" t="s">
        <v>9473</v>
      </c>
      <c r="E4147" t="s">
        <v>9474</v>
      </c>
      <c r="H4147" t="s">
        <v>17684</v>
      </c>
      <c r="J4147" t="s">
        <v>353</v>
      </c>
      <c r="K4147" t="s">
        <v>354</v>
      </c>
      <c r="L4147">
        <v>6</v>
      </c>
      <c r="M4147" t="s">
        <v>17685</v>
      </c>
      <c r="N4147" t="s">
        <v>135</v>
      </c>
      <c r="O4147" t="s">
        <v>9477</v>
      </c>
      <c r="P4147" t="s">
        <v>9477</v>
      </c>
      <c r="Y4147" t="s">
        <v>17684</v>
      </c>
    </row>
    <row r="4148" spans="1:25">
      <c r="A4148" t="s">
        <v>17686</v>
      </c>
      <c r="B4148" t="s">
        <v>17687</v>
      </c>
      <c r="D4148" t="s">
        <v>9473</v>
      </c>
      <c r="E4148" t="s">
        <v>9474</v>
      </c>
      <c r="J4148" t="s">
        <v>54</v>
      </c>
      <c r="K4148" t="s">
        <v>55</v>
      </c>
      <c r="L4148">
        <v>6</v>
      </c>
      <c r="M4148" t="s">
        <v>17688</v>
      </c>
      <c r="N4148" t="s">
        <v>47</v>
      </c>
      <c r="O4148" t="s">
        <v>9477</v>
      </c>
      <c r="P4148" t="s">
        <v>9477</v>
      </c>
      <c r="Y4148" t="s">
        <v>17689</v>
      </c>
    </row>
    <row r="4149" spans="1:25">
      <c r="A4149" t="s">
        <v>17690</v>
      </c>
      <c r="B4149" t="s">
        <v>17691</v>
      </c>
      <c r="D4149" t="s">
        <v>9473</v>
      </c>
      <c r="E4149" t="s">
        <v>9474</v>
      </c>
      <c r="J4149" t="s">
        <v>90</v>
      </c>
      <c r="K4149" t="s">
        <v>91</v>
      </c>
      <c r="L4149">
        <v>6</v>
      </c>
      <c r="M4149" t="s">
        <v>17688</v>
      </c>
      <c r="N4149" t="s">
        <v>47</v>
      </c>
      <c r="O4149" t="s">
        <v>9477</v>
      </c>
      <c r="P4149" t="s">
        <v>9477</v>
      </c>
      <c r="Y4149" t="s">
        <v>17692</v>
      </c>
    </row>
    <row r="4150" spans="1:25">
      <c r="A4150" t="s">
        <v>17693</v>
      </c>
      <c r="B4150" t="s">
        <v>17694</v>
      </c>
      <c r="D4150" t="s">
        <v>9473</v>
      </c>
      <c r="E4150" t="s">
        <v>9474</v>
      </c>
      <c r="J4150" t="s">
        <v>90</v>
      </c>
      <c r="K4150" t="s">
        <v>91</v>
      </c>
      <c r="L4150">
        <v>6</v>
      </c>
      <c r="M4150" t="s">
        <v>17695</v>
      </c>
      <c r="N4150" t="s">
        <v>47</v>
      </c>
      <c r="O4150" t="s">
        <v>9477</v>
      </c>
      <c r="P4150" t="s">
        <v>9477</v>
      </c>
      <c r="Y4150" t="s">
        <v>17696</v>
      </c>
    </row>
    <row r="4151" spans="1:25">
      <c r="A4151" t="s">
        <v>17697</v>
      </c>
      <c r="B4151" t="s">
        <v>17698</v>
      </c>
      <c r="D4151" t="s">
        <v>9473</v>
      </c>
      <c r="E4151" t="s">
        <v>9474</v>
      </c>
      <c r="H4151" t="s">
        <v>17699</v>
      </c>
      <c r="J4151" t="s">
        <v>133</v>
      </c>
      <c r="K4151" t="s">
        <v>134</v>
      </c>
      <c r="L4151">
        <v>7</v>
      </c>
      <c r="M4151" t="s">
        <v>17700</v>
      </c>
      <c r="N4151" t="s">
        <v>685</v>
      </c>
      <c r="O4151" t="s">
        <v>9477</v>
      </c>
      <c r="P4151" t="s">
        <v>9477</v>
      </c>
      <c r="Y4151" t="s">
        <v>17699</v>
      </c>
    </row>
    <row r="4152" spans="1:25">
      <c r="A4152" t="s">
        <v>17701</v>
      </c>
      <c r="B4152" t="s">
        <v>17702</v>
      </c>
      <c r="D4152" t="s">
        <v>9473</v>
      </c>
      <c r="E4152" t="s">
        <v>9474</v>
      </c>
      <c r="J4152" t="s">
        <v>90</v>
      </c>
      <c r="K4152" t="s">
        <v>91</v>
      </c>
      <c r="L4152">
        <v>6</v>
      </c>
      <c r="M4152" t="s">
        <v>17700</v>
      </c>
      <c r="N4152" t="s">
        <v>47</v>
      </c>
      <c r="O4152" t="s">
        <v>9477</v>
      </c>
      <c r="P4152" t="s">
        <v>9477</v>
      </c>
      <c r="Y4152" t="s">
        <v>17703</v>
      </c>
    </row>
    <row r="4153" spans="1:25">
      <c r="A4153" t="s">
        <v>17704</v>
      </c>
      <c r="B4153" t="s">
        <v>17705</v>
      </c>
      <c r="D4153" t="s">
        <v>9473</v>
      </c>
      <c r="E4153" t="s">
        <v>9474</v>
      </c>
      <c r="J4153" t="s">
        <v>44</v>
      </c>
      <c r="K4153" t="s">
        <v>45</v>
      </c>
      <c r="L4153">
        <v>6</v>
      </c>
      <c r="M4153" t="s">
        <v>17700</v>
      </c>
      <c r="N4153" t="s">
        <v>47</v>
      </c>
      <c r="O4153" t="s">
        <v>9477</v>
      </c>
      <c r="P4153" t="s">
        <v>9477</v>
      </c>
      <c r="Y4153" t="s">
        <v>17706</v>
      </c>
    </row>
    <row r="4154" spans="1:25">
      <c r="A4154" t="s">
        <v>17707</v>
      </c>
      <c r="B4154" t="s">
        <v>17708</v>
      </c>
      <c r="D4154" t="s">
        <v>9473</v>
      </c>
      <c r="E4154" t="s">
        <v>9474</v>
      </c>
      <c r="J4154" t="s">
        <v>90</v>
      </c>
      <c r="K4154" t="s">
        <v>91</v>
      </c>
      <c r="L4154">
        <v>6</v>
      </c>
      <c r="M4154" t="s">
        <v>17700</v>
      </c>
      <c r="N4154" t="s">
        <v>47</v>
      </c>
      <c r="O4154" t="s">
        <v>9477</v>
      </c>
      <c r="P4154" t="s">
        <v>9477</v>
      </c>
      <c r="Y4154" t="s">
        <v>17709</v>
      </c>
    </row>
    <row r="4155" spans="1:25">
      <c r="A4155" t="s">
        <v>17710</v>
      </c>
      <c r="B4155" t="s">
        <v>17711</v>
      </c>
      <c r="D4155" t="s">
        <v>9473</v>
      </c>
      <c r="E4155" t="s">
        <v>9474</v>
      </c>
      <c r="J4155" t="s">
        <v>90</v>
      </c>
      <c r="K4155" t="s">
        <v>91</v>
      </c>
      <c r="L4155">
        <v>6</v>
      </c>
      <c r="M4155" t="s">
        <v>17712</v>
      </c>
      <c r="N4155" t="s">
        <v>47</v>
      </c>
      <c r="O4155" t="s">
        <v>9477</v>
      </c>
      <c r="P4155" t="s">
        <v>9477</v>
      </c>
      <c r="Y4155" t="s">
        <v>17713</v>
      </c>
    </row>
    <row r="4156" spans="1:25">
      <c r="A4156" t="s">
        <v>17714</v>
      </c>
      <c r="B4156" t="s">
        <v>17715</v>
      </c>
      <c r="D4156" t="s">
        <v>9473</v>
      </c>
      <c r="E4156" t="s">
        <v>9474</v>
      </c>
      <c r="H4156" t="s">
        <v>17716</v>
      </c>
      <c r="J4156" t="s">
        <v>133</v>
      </c>
      <c r="K4156" t="s">
        <v>134</v>
      </c>
      <c r="L4156">
        <v>6</v>
      </c>
      <c r="M4156" t="s">
        <v>17717</v>
      </c>
      <c r="N4156" t="s">
        <v>290</v>
      </c>
      <c r="O4156" t="s">
        <v>9477</v>
      </c>
      <c r="P4156" t="s">
        <v>9477</v>
      </c>
      <c r="Y4156" t="s">
        <v>17716</v>
      </c>
    </row>
    <row r="4157" spans="1:25">
      <c r="A4157" t="s">
        <v>17718</v>
      </c>
      <c r="B4157" t="s">
        <v>17719</v>
      </c>
      <c r="D4157" t="s">
        <v>9473</v>
      </c>
      <c r="E4157" t="s">
        <v>9474</v>
      </c>
      <c r="H4157" t="s">
        <v>17720</v>
      </c>
      <c r="J4157" t="s">
        <v>90</v>
      </c>
      <c r="K4157" t="s">
        <v>91</v>
      </c>
      <c r="L4157">
        <v>6</v>
      </c>
      <c r="M4157" t="s">
        <v>17721</v>
      </c>
      <c r="N4157" t="s">
        <v>47</v>
      </c>
      <c r="O4157" t="s">
        <v>9477</v>
      </c>
      <c r="P4157" t="s">
        <v>9477</v>
      </c>
      <c r="Y4157" t="s">
        <v>17720</v>
      </c>
    </row>
    <row r="4158" spans="1:25">
      <c r="A4158" t="s">
        <v>17722</v>
      </c>
      <c r="B4158" t="s">
        <v>17723</v>
      </c>
      <c r="D4158" t="s">
        <v>9473</v>
      </c>
      <c r="E4158" t="s">
        <v>9474</v>
      </c>
      <c r="J4158" t="s">
        <v>78</v>
      </c>
      <c r="K4158" t="s">
        <v>79</v>
      </c>
      <c r="L4158">
        <v>6</v>
      </c>
      <c r="M4158" t="s">
        <v>17721</v>
      </c>
      <c r="N4158" t="s">
        <v>47</v>
      </c>
      <c r="O4158" t="s">
        <v>9477</v>
      </c>
      <c r="P4158" t="s">
        <v>9477</v>
      </c>
      <c r="Y4158" t="s">
        <v>17724</v>
      </c>
    </row>
    <row r="4159" spans="1:25">
      <c r="A4159" t="s">
        <v>17725</v>
      </c>
      <c r="B4159" t="s">
        <v>17726</v>
      </c>
      <c r="D4159" t="s">
        <v>9473</v>
      </c>
      <c r="E4159" t="s">
        <v>9474</v>
      </c>
      <c r="H4159" t="s">
        <v>17727</v>
      </c>
      <c r="J4159" t="s">
        <v>90</v>
      </c>
      <c r="K4159" t="s">
        <v>91</v>
      </c>
      <c r="L4159">
        <v>6</v>
      </c>
      <c r="M4159" t="s">
        <v>17728</v>
      </c>
      <c r="N4159" t="s">
        <v>47</v>
      </c>
      <c r="O4159" t="s">
        <v>9477</v>
      </c>
      <c r="P4159" t="s">
        <v>9477</v>
      </c>
      <c r="Y4159" t="s">
        <v>17727</v>
      </c>
    </row>
    <row r="4160" spans="1:25">
      <c r="A4160" t="s">
        <v>17729</v>
      </c>
      <c r="B4160" t="s">
        <v>17730</v>
      </c>
      <c r="D4160" t="s">
        <v>9473</v>
      </c>
      <c r="E4160" t="s">
        <v>9474</v>
      </c>
      <c r="H4160" t="s">
        <v>17731</v>
      </c>
      <c r="J4160" t="s">
        <v>90</v>
      </c>
      <c r="K4160" t="s">
        <v>91</v>
      </c>
      <c r="L4160">
        <v>6</v>
      </c>
      <c r="M4160" t="s">
        <v>17732</v>
      </c>
      <c r="N4160" t="s">
        <v>47</v>
      </c>
      <c r="O4160" t="s">
        <v>9477</v>
      </c>
      <c r="P4160" t="s">
        <v>9477</v>
      </c>
      <c r="Y4160" t="s">
        <v>17731</v>
      </c>
    </row>
    <row r="4161" spans="1:25">
      <c r="A4161" t="s">
        <v>17733</v>
      </c>
      <c r="B4161" t="s">
        <v>17734</v>
      </c>
      <c r="D4161" t="s">
        <v>9473</v>
      </c>
      <c r="E4161" t="s">
        <v>9474</v>
      </c>
      <c r="H4161" t="s">
        <v>17735</v>
      </c>
      <c r="J4161" t="s">
        <v>234</v>
      </c>
      <c r="K4161" t="s">
        <v>235</v>
      </c>
      <c r="L4161">
        <v>6</v>
      </c>
      <c r="M4161" t="s">
        <v>17736</v>
      </c>
      <c r="N4161" t="s">
        <v>47</v>
      </c>
      <c r="O4161" t="s">
        <v>9477</v>
      </c>
      <c r="P4161" t="s">
        <v>9477</v>
      </c>
      <c r="Y4161" t="s">
        <v>17735</v>
      </c>
    </row>
    <row r="4162" spans="1:25">
      <c r="A4162" t="s">
        <v>17737</v>
      </c>
      <c r="B4162" t="s">
        <v>17738</v>
      </c>
      <c r="D4162" t="s">
        <v>9473</v>
      </c>
      <c r="E4162" t="s">
        <v>9474</v>
      </c>
      <c r="J4162" t="s">
        <v>90</v>
      </c>
      <c r="K4162" t="s">
        <v>91</v>
      </c>
      <c r="L4162">
        <v>6</v>
      </c>
      <c r="M4162" t="s">
        <v>17739</v>
      </c>
      <c r="N4162" t="s">
        <v>47</v>
      </c>
      <c r="O4162" t="s">
        <v>9477</v>
      </c>
      <c r="P4162" t="s">
        <v>9477</v>
      </c>
      <c r="Y4162" t="s">
        <v>17740</v>
      </c>
    </row>
    <row r="4163" spans="1:25">
      <c r="A4163" t="s">
        <v>17741</v>
      </c>
      <c r="B4163" t="s">
        <v>17742</v>
      </c>
      <c r="D4163" t="s">
        <v>9473</v>
      </c>
      <c r="E4163" t="s">
        <v>9474</v>
      </c>
      <c r="J4163" t="s">
        <v>90</v>
      </c>
      <c r="K4163" t="s">
        <v>91</v>
      </c>
      <c r="L4163">
        <v>6</v>
      </c>
      <c r="M4163" t="s">
        <v>17743</v>
      </c>
      <c r="N4163" t="s">
        <v>47</v>
      </c>
      <c r="O4163" t="s">
        <v>9477</v>
      </c>
      <c r="P4163" t="s">
        <v>9477</v>
      </c>
      <c r="Y4163" t="s">
        <v>17744</v>
      </c>
    </row>
    <row r="4164" spans="1:25">
      <c r="A4164" t="s">
        <v>17745</v>
      </c>
      <c r="B4164" t="s">
        <v>17746</v>
      </c>
      <c r="D4164" t="s">
        <v>9473</v>
      </c>
      <c r="E4164" t="s">
        <v>9474</v>
      </c>
      <c r="J4164" t="s">
        <v>44</v>
      </c>
      <c r="K4164" t="s">
        <v>45</v>
      </c>
      <c r="L4164">
        <v>6</v>
      </c>
      <c r="M4164" t="s">
        <v>17743</v>
      </c>
      <c r="N4164" t="s">
        <v>47</v>
      </c>
      <c r="O4164" t="s">
        <v>9477</v>
      </c>
      <c r="P4164" t="s">
        <v>9477</v>
      </c>
      <c r="Y4164" t="s">
        <v>17747</v>
      </c>
    </row>
    <row r="4165" spans="1:25">
      <c r="A4165" t="s">
        <v>17748</v>
      </c>
      <c r="B4165" t="s">
        <v>17749</v>
      </c>
      <c r="D4165" t="s">
        <v>9473</v>
      </c>
      <c r="E4165" t="s">
        <v>9474</v>
      </c>
      <c r="J4165" t="s">
        <v>78</v>
      </c>
      <c r="K4165" t="s">
        <v>79</v>
      </c>
      <c r="L4165">
        <v>6</v>
      </c>
      <c r="M4165" t="s">
        <v>17750</v>
      </c>
      <c r="N4165" t="s">
        <v>47</v>
      </c>
      <c r="O4165" t="s">
        <v>9477</v>
      </c>
      <c r="P4165" t="s">
        <v>9477</v>
      </c>
      <c r="Y4165" t="s">
        <v>17751</v>
      </c>
    </row>
    <row r="4166" spans="1:25">
      <c r="A4166" t="s">
        <v>17752</v>
      </c>
      <c r="B4166" t="s">
        <v>17753</v>
      </c>
      <c r="D4166" t="s">
        <v>9473</v>
      </c>
      <c r="E4166" t="s">
        <v>9474</v>
      </c>
      <c r="H4166" t="s">
        <v>17754</v>
      </c>
      <c r="J4166" t="s">
        <v>133</v>
      </c>
      <c r="K4166" t="s">
        <v>134</v>
      </c>
      <c r="L4166">
        <v>6</v>
      </c>
      <c r="M4166" t="s">
        <v>17755</v>
      </c>
      <c r="N4166" t="s">
        <v>685</v>
      </c>
      <c r="O4166" t="s">
        <v>9477</v>
      </c>
      <c r="P4166" t="s">
        <v>9477</v>
      </c>
      <c r="Y4166" t="s">
        <v>17754</v>
      </c>
    </row>
    <row r="4167" spans="1:25">
      <c r="A4167" t="s">
        <v>17756</v>
      </c>
      <c r="B4167" t="s">
        <v>17757</v>
      </c>
      <c r="D4167" t="s">
        <v>9473</v>
      </c>
      <c r="E4167" t="s">
        <v>9474</v>
      </c>
      <c r="J4167" t="s">
        <v>133</v>
      </c>
      <c r="K4167" t="s">
        <v>134</v>
      </c>
      <c r="L4167">
        <v>6</v>
      </c>
      <c r="M4167" t="s">
        <v>17755</v>
      </c>
      <c r="N4167" t="s">
        <v>290</v>
      </c>
      <c r="O4167" t="s">
        <v>9477</v>
      </c>
      <c r="P4167" t="s">
        <v>9477</v>
      </c>
      <c r="Y4167" t="s">
        <v>17758</v>
      </c>
    </row>
    <row r="4168" spans="1:25">
      <c r="A4168" t="s">
        <v>17759</v>
      </c>
      <c r="B4168" t="s">
        <v>17760</v>
      </c>
      <c r="D4168" t="s">
        <v>9473</v>
      </c>
      <c r="E4168" t="s">
        <v>9474</v>
      </c>
      <c r="H4168" t="s">
        <v>17761</v>
      </c>
      <c r="J4168" t="s">
        <v>90</v>
      </c>
      <c r="K4168" t="s">
        <v>91</v>
      </c>
      <c r="L4168">
        <v>6</v>
      </c>
      <c r="M4168" t="s">
        <v>17762</v>
      </c>
      <c r="N4168" t="s">
        <v>47</v>
      </c>
      <c r="O4168" t="s">
        <v>9477</v>
      </c>
      <c r="P4168" t="s">
        <v>9477</v>
      </c>
      <c r="Y4168" t="s">
        <v>17761</v>
      </c>
    </row>
    <row r="4169" spans="1:25">
      <c r="A4169" t="s">
        <v>17763</v>
      </c>
      <c r="B4169" t="s">
        <v>17764</v>
      </c>
      <c r="D4169" t="s">
        <v>9473</v>
      </c>
      <c r="E4169" t="s">
        <v>9474</v>
      </c>
      <c r="H4169" t="s">
        <v>17765</v>
      </c>
      <c r="J4169" t="s">
        <v>90</v>
      </c>
      <c r="K4169" t="s">
        <v>91</v>
      </c>
      <c r="L4169">
        <v>6</v>
      </c>
      <c r="M4169" t="s">
        <v>17766</v>
      </c>
      <c r="N4169" t="s">
        <v>47</v>
      </c>
      <c r="O4169" t="s">
        <v>9477</v>
      </c>
      <c r="P4169" t="s">
        <v>9477</v>
      </c>
      <c r="Y4169" t="s">
        <v>17765</v>
      </c>
    </row>
    <row r="4170" spans="1:25">
      <c r="A4170" t="s">
        <v>17767</v>
      </c>
      <c r="B4170" t="s">
        <v>17768</v>
      </c>
      <c r="D4170" t="s">
        <v>9473</v>
      </c>
      <c r="E4170" t="s">
        <v>9474</v>
      </c>
      <c r="J4170" t="s">
        <v>287</v>
      </c>
      <c r="K4170" t="s">
        <v>288</v>
      </c>
      <c r="L4170">
        <v>6</v>
      </c>
      <c r="M4170" t="s">
        <v>17769</v>
      </c>
      <c r="N4170" t="s">
        <v>685</v>
      </c>
      <c r="O4170" t="s">
        <v>9477</v>
      </c>
      <c r="P4170" t="s">
        <v>9477</v>
      </c>
      <c r="Y4170" t="s">
        <v>17770</v>
      </c>
    </row>
    <row r="4171" spans="1:25">
      <c r="A4171" t="s">
        <v>17771</v>
      </c>
      <c r="B4171" t="s">
        <v>17772</v>
      </c>
      <c r="D4171" t="s">
        <v>9473</v>
      </c>
      <c r="E4171" t="s">
        <v>9474</v>
      </c>
      <c r="J4171" t="s">
        <v>78</v>
      </c>
      <c r="K4171" t="s">
        <v>79</v>
      </c>
      <c r="L4171">
        <v>6</v>
      </c>
      <c r="M4171" t="s">
        <v>17769</v>
      </c>
      <c r="N4171" t="s">
        <v>47</v>
      </c>
      <c r="O4171" t="s">
        <v>9477</v>
      </c>
      <c r="P4171" t="s">
        <v>9477</v>
      </c>
      <c r="Y4171" t="s">
        <v>17773</v>
      </c>
    </row>
    <row r="4172" spans="1:25">
      <c r="A4172" t="s">
        <v>17774</v>
      </c>
      <c r="B4172" t="s">
        <v>17775</v>
      </c>
      <c r="D4172" t="s">
        <v>9473</v>
      </c>
      <c r="E4172" t="s">
        <v>9474</v>
      </c>
      <c r="J4172" t="s">
        <v>44</v>
      </c>
      <c r="K4172" t="s">
        <v>45</v>
      </c>
      <c r="L4172">
        <v>6</v>
      </c>
      <c r="M4172" t="s">
        <v>17776</v>
      </c>
      <c r="N4172" t="s">
        <v>47</v>
      </c>
      <c r="O4172" t="s">
        <v>9477</v>
      </c>
      <c r="P4172" t="s">
        <v>9477</v>
      </c>
      <c r="Y4172" t="s">
        <v>17777</v>
      </c>
    </row>
    <row r="4173" spans="1:25">
      <c r="A4173" t="s">
        <v>17778</v>
      </c>
      <c r="B4173" t="s">
        <v>17779</v>
      </c>
      <c r="D4173" t="s">
        <v>9473</v>
      </c>
      <c r="E4173" t="s">
        <v>9474</v>
      </c>
      <c r="J4173" t="s">
        <v>90</v>
      </c>
      <c r="K4173" t="s">
        <v>91</v>
      </c>
      <c r="L4173">
        <v>6</v>
      </c>
      <c r="M4173" t="s">
        <v>17780</v>
      </c>
      <c r="N4173" t="s">
        <v>47</v>
      </c>
      <c r="O4173" t="s">
        <v>9477</v>
      </c>
      <c r="P4173" t="s">
        <v>9477</v>
      </c>
      <c r="Y4173" t="s">
        <v>17781</v>
      </c>
    </row>
    <row r="4174" spans="1:25">
      <c r="A4174" t="s">
        <v>17782</v>
      </c>
      <c r="B4174" t="s">
        <v>17783</v>
      </c>
      <c r="D4174" t="s">
        <v>9473</v>
      </c>
      <c r="E4174" t="s">
        <v>9474</v>
      </c>
      <c r="J4174" t="s">
        <v>54</v>
      </c>
      <c r="K4174" t="s">
        <v>55</v>
      </c>
      <c r="L4174">
        <v>6</v>
      </c>
      <c r="M4174" t="s">
        <v>17784</v>
      </c>
      <c r="N4174" t="s">
        <v>47</v>
      </c>
      <c r="O4174" t="s">
        <v>9477</v>
      </c>
      <c r="P4174" t="s">
        <v>9477</v>
      </c>
      <c r="Y4174" t="s">
        <v>17785</v>
      </c>
    </row>
    <row r="4175" spans="1:25">
      <c r="A4175" t="s">
        <v>17786</v>
      </c>
      <c r="B4175" t="s">
        <v>17787</v>
      </c>
      <c r="D4175" t="s">
        <v>9473</v>
      </c>
      <c r="E4175" t="s">
        <v>9474</v>
      </c>
      <c r="J4175" t="s">
        <v>44</v>
      </c>
      <c r="K4175" t="s">
        <v>45</v>
      </c>
      <c r="L4175">
        <v>6</v>
      </c>
      <c r="M4175" t="s">
        <v>17788</v>
      </c>
      <c r="N4175" t="s">
        <v>47</v>
      </c>
      <c r="O4175" t="s">
        <v>9477</v>
      </c>
      <c r="P4175" t="s">
        <v>9477</v>
      </c>
      <c r="Y4175" t="s">
        <v>17789</v>
      </c>
    </row>
    <row r="4176" spans="1:25">
      <c r="A4176" t="s">
        <v>17790</v>
      </c>
      <c r="B4176" t="s">
        <v>17791</v>
      </c>
      <c r="D4176" t="s">
        <v>9473</v>
      </c>
      <c r="E4176" t="s">
        <v>9474</v>
      </c>
      <c r="J4176" t="s">
        <v>353</v>
      </c>
      <c r="K4176" t="s">
        <v>354</v>
      </c>
      <c r="L4176">
        <v>6</v>
      </c>
      <c r="M4176" t="s">
        <v>17792</v>
      </c>
      <c r="N4176" t="s">
        <v>135</v>
      </c>
      <c r="O4176" t="s">
        <v>9477</v>
      </c>
      <c r="P4176" t="s">
        <v>9477</v>
      </c>
      <c r="Y4176" t="s">
        <v>17793</v>
      </c>
    </row>
    <row r="4177" spans="1:25">
      <c r="A4177" t="s">
        <v>17794</v>
      </c>
      <c r="B4177" t="s">
        <v>17795</v>
      </c>
      <c r="D4177" t="s">
        <v>9473</v>
      </c>
      <c r="E4177" t="s">
        <v>9474</v>
      </c>
      <c r="J4177" t="s">
        <v>90</v>
      </c>
      <c r="K4177" t="s">
        <v>91</v>
      </c>
      <c r="L4177">
        <v>6</v>
      </c>
      <c r="M4177" t="s">
        <v>17792</v>
      </c>
      <c r="N4177" t="s">
        <v>47</v>
      </c>
      <c r="O4177" t="s">
        <v>9477</v>
      </c>
      <c r="P4177" t="s">
        <v>9477</v>
      </c>
      <c r="Y4177" t="s">
        <v>17796</v>
      </c>
    </row>
    <row r="4178" spans="1:25">
      <c r="A4178" t="s">
        <v>17797</v>
      </c>
      <c r="B4178" t="s">
        <v>17798</v>
      </c>
      <c r="D4178" t="s">
        <v>9473</v>
      </c>
      <c r="E4178" t="s">
        <v>9474</v>
      </c>
      <c r="J4178" t="s">
        <v>90</v>
      </c>
      <c r="K4178" t="s">
        <v>91</v>
      </c>
      <c r="L4178">
        <v>6</v>
      </c>
      <c r="M4178" t="s">
        <v>17799</v>
      </c>
      <c r="N4178" t="s">
        <v>47</v>
      </c>
      <c r="O4178" t="s">
        <v>9477</v>
      </c>
      <c r="P4178" t="s">
        <v>9477</v>
      </c>
      <c r="Y4178" t="s">
        <v>17800</v>
      </c>
    </row>
    <row r="4179" spans="1:25">
      <c r="A4179" t="s">
        <v>17801</v>
      </c>
      <c r="B4179" t="s">
        <v>17802</v>
      </c>
      <c r="D4179" t="s">
        <v>9473</v>
      </c>
      <c r="E4179" t="s">
        <v>9474</v>
      </c>
      <c r="J4179" t="s">
        <v>353</v>
      </c>
      <c r="K4179" t="s">
        <v>354</v>
      </c>
      <c r="L4179">
        <v>6</v>
      </c>
      <c r="M4179" t="s">
        <v>17803</v>
      </c>
      <c r="N4179" t="s">
        <v>135</v>
      </c>
      <c r="O4179" t="s">
        <v>9477</v>
      </c>
      <c r="P4179" t="s">
        <v>9477</v>
      </c>
      <c r="Y4179" t="s">
        <v>17804</v>
      </c>
    </row>
    <row r="4180" spans="1:25">
      <c r="A4180" t="s">
        <v>17805</v>
      </c>
      <c r="B4180" t="s">
        <v>17806</v>
      </c>
      <c r="D4180" t="s">
        <v>9473</v>
      </c>
      <c r="E4180" t="s">
        <v>9474</v>
      </c>
      <c r="J4180" t="s">
        <v>90</v>
      </c>
      <c r="K4180" t="s">
        <v>91</v>
      </c>
      <c r="L4180">
        <v>6</v>
      </c>
      <c r="M4180" t="s">
        <v>17807</v>
      </c>
      <c r="N4180" t="s">
        <v>47</v>
      </c>
      <c r="O4180" t="s">
        <v>9477</v>
      </c>
      <c r="P4180" t="s">
        <v>9477</v>
      </c>
      <c r="Y4180" t="s">
        <v>17808</v>
      </c>
    </row>
    <row r="4181" spans="1:25">
      <c r="A4181" t="s">
        <v>17809</v>
      </c>
      <c r="B4181" t="s">
        <v>17810</v>
      </c>
      <c r="D4181" t="s">
        <v>9473</v>
      </c>
      <c r="E4181" t="s">
        <v>9474</v>
      </c>
      <c r="H4181" t="s">
        <v>17811</v>
      </c>
      <c r="J4181" t="s">
        <v>44</v>
      </c>
      <c r="K4181" t="s">
        <v>45</v>
      </c>
      <c r="L4181">
        <v>6</v>
      </c>
      <c r="M4181" t="s">
        <v>17812</v>
      </c>
      <c r="N4181" t="s">
        <v>47</v>
      </c>
      <c r="O4181" t="s">
        <v>9477</v>
      </c>
      <c r="P4181" t="s">
        <v>9477</v>
      </c>
      <c r="Y4181" t="s">
        <v>17811</v>
      </c>
    </row>
    <row r="4182" spans="1:25">
      <c r="A4182" t="s">
        <v>17813</v>
      </c>
      <c r="B4182" t="s">
        <v>17814</v>
      </c>
      <c r="D4182" t="s">
        <v>9473</v>
      </c>
      <c r="E4182" t="s">
        <v>9474</v>
      </c>
      <c r="H4182" t="s">
        <v>17815</v>
      </c>
      <c r="J4182" t="s">
        <v>133</v>
      </c>
      <c r="K4182" t="s">
        <v>134</v>
      </c>
      <c r="L4182">
        <v>6</v>
      </c>
      <c r="M4182" t="s">
        <v>17812</v>
      </c>
      <c r="N4182" t="s">
        <v>290</v>
      </c>
      <c r="O4182" t="s">
        <v>9477</v>
      </c>
      <c r="P4182" t="s">
        <v>9477</v>
      </c>
      <c r="Y4182" t="s">
        <v>17815</v>
      </c>
    </row>
    <row r="4183" spans="1:25">
      <c r="A4183" t="s">
        <v>17816</v>
      </c>
      <c r="B4183" t="s">
        <v>17817</v>
      </c>
      <c r="D4183" t="s">
        <v>9473</v>
      </c>
      <c r="E4183" t="s">
        <v>9474</v>
      </c>
      <c r="J4183" t="s">
        <v>90</v>
      </c>
      <c r="K4183" t="s">
        <v>91</v>
      </c>
      <c r="L4183">
        <v>6</v>
      </c>
      <c r="M4183" t="s">
        <v>17812</v>
      </c>
      <c r="N4183" t="s">
        <v>47</v>
      </c>
      <c r="O4183" t="s">
        <v>9477</v>
      </c>
      <c r="P4183" t="s">
        <v>9477</v>
      </c>
      <c r="Y4183" t="s">
        <v>17818</v>
      </c>
    </row>
    <row r="4184" spans="1:25">
      <c r="A4184" t="s">
        <v>17819</v>
      </c>
      <c r="B4184" t="s">
        <v>17820</v>
      </c>
      <c r="D4184" t="s">
        <v>9473</v>
      </c>
      <c r="E4184" t="s">
        <v>9474</v>
      </c>
      <c r="J4184" t="s">
        <v>54</v>
      </c>
      <c r="K4184" t="s">
        <v>55</v>
      </c>
      <c r="L4184">
        <v>6</v>
      </c>
      <c r="M4184" t="s">
        <v>17812</v>
      </c>
      <c r="N4184" t="s">
        <v>47</v>
      </c>
      <c r="O4184" t="s">
        <v>9477</v>
      </c>
      <c r="P4184" t="s">
        <v>9477</v>
      </c>
      <c r="Y4184" t="s">
        <v>17821</v>
      </c>
    </row>
    <row r="4185" spans="1:25">
      <c r="A4185" t="s">
        <v>17822</v>
      </c>
      <c r="B4185" t="s">
        <v>17823</v>
      </c>
      <c r="D4185" t="s">
        <v>9473</v>
      </c>
      <c r="E4185" t="s">
        <v>9474</v>
      </c>
      <c r="J4185" t="s">
        <v>44</v>
      </c>
      <c r="K4185" t="s">
        <v>45</v>
      </c>
      <c r="L4185">
        <v>6</v>
      </c>
      <c r="M4185" t="s">
        <v>17824</v>
      </c>
      <c r="N4185" t="s">
        <v>47</v>
      </c>
      <c r="O4185" t="s">
        <v>9477</v>
      </c>
      <c r="P4185" t="s">
        <v>9477</v>
      </c>
      <c r="Y4185" t="s">
        <v>17825</v>
      </c>
    </row>
    <row r="4186" spans="1:25">
      <c r="A4186" t="s">
        <v>17826</v>
      </c>
      <c r="B4186" t="s">
        <v>17827</v>
      </c>
      <c r="D4186" t="s">
        <v>9473</v>
      </c>
      <c r="E4186" t="s">
        <v>9474</v>
      </c>
      <c r="H4186" t="s">
        <v>17828</v>
      </c>
      <c r="J4186" t="s">
        <v>54</v>
      </c>
      <c r="K4186" t="s">
        <v>55</v>
      </c>
      <c r="L4186">
        <v>6</v>
      </c>
      <c r="M4186" t="s">
        <v>17829</v>
      </c>
      <c r="N4186" t="s">
        <v>47</v>
      </c>
      <c r="O4186" t="s">
        <v>9477</v>
      </c>
      <c r="P4186" t="s">
        <v>9477</v>
      </c>
      <c r="Y4186" t="s">
        <v>17828</v>
      </c>
    </row>
    <row r="4187" spans="1:25">
      <c r="A4187" t="s">
        <v>17830</v>
      </c>
      <c r="B4187" t="s">
        <v>17831</v>
      </c>
      <c r="D4187" t="s">
        <v>9473</v>
      </c>
      <c r="E4187" t="s">
        <v>9474</v>
      </c>
      <c r="J4187" t="s">
        <v>90</v>
      </c>
      <c r="K4187" t="s">
        <v>91</v>
      </c>
      <c r="L4187">
        <v>6</v>
      </c>
      <c r="M4187" t="s">
        <v>17829</v>
      </c>
      <c r="N4187" t="s">
        <v>47</v>
      </c>
      <c r="O4187" t="s">
        <v>9477</v>
      </c>
      <c r="P4187" t="s">
        <v>9477</v>
      </c>
      <c r="Y4187" t="s">
        <v>17832</v>
      </c>
    </row>
    <row r="4188" spans="1:25">
      <c r="A4188" t="s">
        <v>17833</v>
      </c>
      <c r="B4188" t="s">
        <v>17834</v>
      </c>
      <c r="D4188" t="s">
        <v>9473</v>
      </c>
      <c r="E4188" t="s">
        <v>9474</v>
      </c>
      <c r="J4188" t="s">
        <v>54</v>
      </c>
      <c r="K4188" t="s">
        <v>55</v>
      </c>
      <c r="L4188">
        <v>6</v>
      </c>
      <c r="M4188" t="s">
        <v>17829</v>
      </c>
      <c r="N4188" t="s">
        <v>47</v>
      </c>
      <c r="O4188" t="s">
        <v>9477</v>
      </c>
      <c r="P4188" t="s">
        <v>9477</v>
      </c>
      <c r="Y4188" t="s">
        <v>17835</v>
      </c>
    </row>
    <row r="4189" spans="1:25">
      <c r="A4189" t="s">
        <v>17836</v>
      </c>
      <c r="B4189" t="s">
        <v>17837</v>
      </c>
      <c r="D4189" t="s">
        <v>9473</v>
      </c>
      <c r="E4189" t="s">
        <v>9474</v>
      </c>
      <c r="J4189" t="s">
        <v>90</v>
      </c>
      <c r="K4189" t="s">
        <v>91</v>
      </c>
      <c r="L4189">
        <v>6</v>
      </c>
      <c r="M4189" t="s">
        <v>17838</v>
      </c>
      <c r="N4189" t="s">
        <v>47</v>
      </c>
      <c r="O4189" t="s">
        <v>9477</v>
      </c>
      <c r="P4189" t="s">
        <v>9477</v>
      </c>
      <c r="Y4189" t="s">
        <v>17839</v>
      </c>
    </row>
    <row r="4190" spans="1:25">
      <c r="A4190" t="s">
        <v>17840</v>
      </c>
      <c r="B4190" t="s">
        <v>17841</v>
      </c>
      <c r="D4190" t="s">
        <v>9473</v>
      </c>
      <c r="E4190" t="s">
        <v>9474</v>
      </c>
      <c r="J4190" t="s">
        <v>133</v>
      </c>
      <c r="K4190" t="s">
        <v>134</v>
      </c>
      <c r="L4190">
        <v>6</v>
      </c>
      <c r="M4190" t="s">
        <v>17842</v>
      </c>
      <c r="N4190" t="s">
        <v>135</v>
      </c>
      <c r="O4190" t="s">
        <v>9477</v>
      </c>
      <c r="P4190" t="s">
        <v>9477</v>
      </c>
      <c r="Y4190" t="s">
        <v>17843</v>
      </c>
    </row>
    <row r="4191" spans="1:25">
      <c r="A4191" t="s">
        <v>17844</v>
      </c>
      <c r="B4191" t="s">
        <v>17845</v>
      </c>
      <c r="D4191" t="s">
        <v>9473</v>
      </c>
      <c r="E4191" t="s">
        <v>9474</v>
      </c>
      <c r="H4191" t="s">
        <v>17846</v>
      </c>
      <c r="J4191" t="s">
        <v>78</v>
      </c>
      <c r="K4191" t="s">
        <v>79</v>
      </c>
      <c r="L4191">
        <v>6</v>
      </c>
      <c r="M4191" t="s">
        <v>17847</v>
      </c>
      <c r="N4191" t="s">
        <v>47</v>
      </c>
      <c r="O4191" t="s">
        <v>9477</v>
      </c>
      <c r="P4191" t="s">
        <v>9477</v>
      </c>
      <c r="Y4191" t="s">
        <v>17846</v>
      </c>
    </row>
    <row r="4192" spans="1:25">
      <c r="A4192" t="s">
        <v>17848</v>
      </c>
      <c r="B4192" t="s">
        <v>17849</v>
      </c>
      <c r="D4192" t="s">
        <v>9473</v>
      </c>
      <c r="E4192" t="s">
        <v>9474</v>
      </c>
      <c r="H4192" t="s">
        <v>17850</v>
      </c>
      <c r="J4192" t="s">
        <v>78</v>
      </c>
      <c r="K4192" t="s">
        <v>79</v>
      </c>
      <c r="L4192">
        <v>6</v>
      </c>
      <c r="M4192" t="s">
        <v>17847</v>
      </c>
      <c r="N4192" t="s">
        <v>47</v>
      </c>
      <c r="O4192" t="s">
        <v>9477</v>
      </c>
      <c r="P4192" t="s">
        <v>9477</v>
      </c>
      <c r="Y4192" t="s">
        <v>17850</v>
      </c>
    </row>
    <row r="4193" spans="1:25">
      <c r="A4193" t="s">
        <v>17851</v>
      </c>
      <c r="B4193" t="s">
        <v>17852</v>
      </c>
      <c r="D4193" t="s">
        <v>9473</v>
      </c>
      <c r="E4193" t="s">
        <v>9474</v>
      </c>
      <c r="J4193" t="s">
        <v>497</v>
      </c>
      <c r="K4193" t="s">
        <v>498</v>
      </c>
      <c r="L4193">
        <v>6</v>
      </c>
      <c r="M4193" t="s">
        <v>17853</v>
      </c>
      <c r="N4193" t="s">
        <v>685</v>
      </c>
      <c r="O4193" t="s">
        <v>9477</v>
      </c>
      <c r="P4193" t="s">
        <v>9477</v>
      </c>
      <c r="Y4193" t="s">
        <v>17854</v>
      </c>
    </row>
    <row r="4194" spans="1:25">
      <c r="A4194" t="s">
        <v>17855</v>
      </c>
      <c r="B4194" t="s">
        <v>17856</v>
      </c>
      <c r="D4194" t="s">
        <v>9473</v>
      </c>
      <c r="E4194" t="s">
        <v>9474</v>
      </c>
      <c r="J4194" t="s">
        <v>44</v>
      </c>
      <c r="K4194" t="s">
        <v>45</v>
      </c>
      <c r="L4194">
        <v>6</v>
      </c>
      <c r="M4194" t="s">
        <v>17857</v>
      </c>
      <c r="N4194" t="s">
        <v>47</v>
      </c>
      <c r="O4194" t="s">
        <v>9477</v>
      </c>
      <c r="P4194" t="s">
        <v>9477</v>
      </c>
      <c r="Y4194" t="s">
        <v>17858</v>
      </c>
    </row>
    <row r="4195" spans="1:25">
      <c r="A4195" t="s">
        <v>17859</v>
      </c>
      <c r="B4195" t="s">
        <v>17860</v>
      </c>
      <c r="D4195" t="s">
        <v>9473</v>
      </c>
      <c r="E4195" t="s">
        <v>9474</v>
      </c>
      <c r="J4195" t="s">
        <v>78</v>
      </c>
      <c r="K4195" t="s">
        <v>79</v>
      </c>
      <c r="L4195">
        <v>6</v>
      </c>
      <c r="M4195" t="s">
        <v>17861</v>
      </c>
      <c r="N4195" t="s">
        <v>47</v>
      </c>
      <c r="O4195" t="s">
        <v>9477</v>
      </c>
      <c r="P4195" t="s">
        <v>9477</v>
      </c>
      <c r="Y4195" t="s">
        <v>17862</v>
      </c>
    </row>
    <row r="4196" spans="1:25">
      <c r="A4196" t="s">
        <v>17863</v>
      </c>
      <c r="B4196" t="s">
        <v>17864</v>
      </c>
      <c r="D4196" t="s">
        <v>9473</v>
      </c>
      <c r="E4196" t="s">
        <v>9474</v>
      </c>
      <c r="J4196" t="s">
        <v>353</v>
      </c>
      <c r="K4196" t="s">
        <v>354</v>
      </c>
      <c r="L4196">
        <v>6</v>
      </c>
      <c r="M4196" t="s">
        <v>17865</v>
      </c>
      <c r="N4196" t="s">
        <v>685</v>
      </c>
      <c r="O4196" t="s">
        <v>9477</v>
      </c>
      <c r="P4196" t="s">
        <v>9477</v>
      </c>
      <c r="Y4196" t="s">
        <v>17866</v>
      </c>
    </row>
    <row r="4197" spans="1:25">
      <c r="A4197" t="s">
        <v>17867</v>
      </c>
      <c r="B4197" t="s">
        <v>17868</v>
      </c>
      <c r="D4197" t="s">
        <v>9473</v>
      </c>
      <c r="E4197" t="s">
        <v>9474</v>
      </c>
      <c r="J4197" t="s">
        <v>90</v>
      </c>
      <c r="K4197" t="s">
        <v>91</v>
      </c>
      <c r="L4197">
        <v>6</v>
      </c>
      <c r="M4197" t="s">
        <v>17865</v>
      </c>
      <c r="N4197" t="s">
        <v>47</v>
      </c>
      <c r="O4197" t="s">
        <v>9477</v>
      </c>
      <c r="P4197" t="s">
        <v>9477</v>
      </c>
      <c r="Y4197" t="s">
        <v>17869</v>
      </c>
    </row>
    <row r="4198" spans="1:25">
      <c r="A4198" t="s">
        <v>17870</v>
      </c>
      <c r="B4198" t="s">
        <v>17871</v>
      </c>
      <c r="D4198" t="s">
        <v>9473</v>
      </c>
      <c r="E4198" t="s">
        <v>9474</v>
      </c>
      <c r="J4198" t="s">
        <v>90</v>
      </c>
      <c r="K4198" t="s">
        <v>91</v>
      </c>
      <c r="L4198">
        <v>6</v>
      </c>
      <c r="M4198" t="s">
        <v>17865</v>
      </c>
      <c r="N4198" t="s">
        <v>47</v>
      </c>
      <c r="O4198" t="s">
        <v>9477</v>
      </c>
      <c r="P4198" t="s">
        <v>9477</v>
      </c>
      <c r="Y4198" t="s">
        <v>17872</v>
      </c>
    </row>
    <row r="4199" spans="1:25">
      <c r="A4199" t="s">
        <v>17873</v>
      </c>
      <c r="B4199" t="s">
        <v>17874</v>
      </c>
      <c r="D4199" t="s">
        <v>9473</v>
      </c>
      <c r="E4199" t="s">
        <v>9474</v>
      </c>
      <c r="J4199" t="s">
        <v>541</v>
      </c>
      <c r="K4199" t="s">
        <v>542</v>
      </c>
      <c r="L4199">
        <v>6</v>
      </c>
      <c r="M4199" t="s">
        <v>17875</v>
      </c>
      <c r="N4199" t="s">
        <v>290</v>
      </c>
      <c r="O4199" t="s">
        <v>9477</v>
      </c>
      <c r="P4199" t="s">
        <v>9477</v>
      </c>
      <c r="Y4199" t="s">
        <v>17876</v>
      </c>
    </row>
    <row r="4200" spans="1:25">
      <c r="A4200" t="s">
        <v>17877</v>
      </c>
      <c r="B4200" t="s">
        <v>17878</v>
      </c>
      <c r="D4200" t="s">
        <v>9473</v>
      </c>
      <c r="E4200" t="s">
        <v>9474</v>
      </c>
      <c r="J4200" t="s">
        <v>44</v>
      </c>
      <c r="K4200" t="s">
        <v>45</v>
      </c>
      <c r="L4200">
        <v>6</v>
      </c>
      <c r="M4200" t="s">
        <v>17879</v>
      </c>
      <c r="N4200" t="s">
        <v>47</v>
      </c>
      <c r="O4200" t="s">
        <v>9477</v>
      </c>
      <c r="P4200" t="s">
        <v>9477</v>
      </c>
      <c r="Y4200" t="s">
        <v>17880</v>
      </c>
    </row>
    <row r="4201" spans="1:25">
      <c r="A4201" t="s">
        <v>17881</v>
      </c>
      <c r="B4201" t="s">
        <v>17882</v>
      </c>
      <c r="D4201" t="s">
        <v>9473</v>
      </c>
      <c r="E4201" t="s">
        <v>9474</v>
      </c>
      <c r="H4201" t="s">
        <v>17883</v>
      </c>
      <c r="J4201" t="s">
        <v>133</v>
      </c>
      <c r="K4201" t="s">
        <v>134</v>
      </c>
      <c r="L4201">
        <v>6</v>
      </c>
      <c r="M4201" t="s">
        <v>17884</v>
      </c>
      <c r="N4201" t="s">
        <v>685</v>
      </c>
      <c r="O4201" t="s">
        <v>9477</v>
      </c>
      <c r="P4201" t="s">
        <v>9477</v>
      </c>
      <c r="Y4201" t="s">
        <v>17883</v>
      </c>
    </row>
    <row r="4202" spans="1:25">
      <c r="A4202" t="s">
        <v>17885</v>
      </c>
      <c r="B4202" t="s">
        <v>17886</v>
      </c>
      <c r="D4202" t="s">
        <v>9473</v>
      </c>
      <c r="E4202" t="s">
        <v>9474</v>
      </c>
      <c r="J4202" t="s">
        <v>90</v>
      </c>
      <c r="K4202" t="s">
        <v>91</v>
      </c>
      <c r="L4202">
        <v>6</v>
      </c>
      <c r="M4202" t="s">
        <v>17887</v>
      </c>
      <c r="N4202" t="s">
        <v>47</v>
      </c>
      <c r="O4202" t="s">
        <v>9477</v>
      </c>
      <c r="P4202" t="s">
        <v>9477</v>
      </c>
      <c r="Y4202" t="s">
        <v>17888</v>
      </c>
    </row>
    <row r="4203" spans="1:25">
      <c r="A4203" t="s">
        <v>17889</v>
      </c>
      <c r="B4203" t="s">
        <v>17890</v>
      </c>
      <c r="D4203" t="s">
        <v>9473</v>
      </c>
      <c r="E4203" t="s">
        <v>9474</v>
      </c>
      <c r="H4203" t="s">
        <v>17891</v>
      </c>
      <c r="J4203" t="s">
        <v>90</v>
      </c>
      <c r="K4203" t="s">
        <v>91</v>
      </c>
      <c r="L4203">
        <v>6</v>
      </c>
      <c r="M4203" t="s">
        <v>17887</v>
      </c>
      <c r="N4203" t="s">
        <v>47</v>
      </c>
      <c r="O4203" t="s">
        <v>9477</v>
      </c>
      <c r="P4203" t="s">
        <v>9477</v>
      </c>
      <c r="Y4203" t="s">
        <v>17891</v>
      </c>
    </row>
    <row r="4204" spans="1:25">
      <c r="A4204" t="s">
        <v>17892</v>
      </c>
      <c r="B4204" t="s">
        <v>17893</v>
      </c>
      <c r="D4204" t="s">
        <v>9473</v>
      </c>
      <c r="E4204" t="s">
        <v>9474</v>
      </c>
      <c r="J4204" t="s">
        <v>78</v>
      </c>
      <c r="K4204" t="s">
        <v>79</v>
      </c>
      <c r="L4204">
        <v>6</v>
      </c>
      <c r="M4204" t="s">
        <v>17887</v>
      </c>
      <c r="N4204" t="s">
        <v>47</v>
      </c>
      <c r="O4204" t="s">
        <v>9477</v>
      </c>
      <c r="P4204" t="s">
        <v>9477</v>
      </c>
      <c r="Y4204" t="s">
        <v>17894</v>
      </c>
    </row>
    <row r="4205" spans="1:25">
      <c r="A4205" t="s">
        <v>17895</v>
      </c>
      <c r="B4205" t="s">
        <v>17896</v>
      </c>
      <c r="D4205" t="s">
        <v>9473</v>
      </c>
      <c r="E4205" t="s">
        <v>9474</v>
      </c>
      <c r="J4205" t="s">
        <v>133</v>
      </c>
      <c r="K4205" t="s">
        <v>134</v>
      </c>
      <c r="L4205">
        <v>6</v>
      </c>
      <c r="M4205" t="s">
        <v>17887</v>
      </c>
      <c r="N4205" t="s">
        <v>685</v>
      </c>
      <c r="O4205" t="s">
        <v>9477</v>
      </c>
      <c r="P4205" t="s">
        <v>9477</v>
      </c>
      <c r="Y4205" t="s">
        <v>17897</v>
      </c>
    </row>
    <row r="4206" spans="1:25">
      <c r="A4206" t="s">
        <v>17898</v>
      </c>
      <c r="B4206" t="s">
        <v>17899</v>
      </c>
      <c r="D4206" t="s">
        <v>9473</v>
      </c>
      <c r="E4206" t="s">
        <v>9474</v>
      </c>
      <c r="J4206" t="s">
        <v>44</v>
      </c>
      <c r="K4206" t="s">
        <v>45</v>
      </c>
      <c r="L4206">
        <v>6</v>
      </c>
      <c r="M4206" t="s">
        <v>17900</v>
      </c>
      <c r="N4206" t="s">
        <v>47</v>
      </c>
      <c r="O4206" t="s">
        <v>9477</v>
      </c>
      <c r="P4206" t="s">
        <v>9477</v>
      </c>
      <c r="Y4206" t="s">
        <v>17901</v>
      </c>
    </row>
    <row r="4207" spans="1:25">
      <c r="A4207" t="s">
        <v>17902</v>
      </c>
      <c r="B4207" t="s">
        <v>17903</v>
      </c>
      <c r="D4207" t="s">
        <v>9473</v>
      </c>
      <c r="E4207" t="s">
        <v>9474</v>
      </c>
      <c r="J4207" t="s">
        <v>44</v>
      </c>
      <c r="K4207" t="s">
        <v>45</v>
      </c>
      <c r="L4207">
        <v>6</v>
      </c>
      <c r="M4207" t="s">
        <v>17904</v>
      </c>
      <c r="N4207" t="s">
        <v>47</v>
      </c>
      <c r="O4207" t="s">
        <v>9477</v>
      </c>
      <c r="P4207" t="s">
        <v>9477</v>
      </c>
      <c r="Y4207" t="s">
        <v>17905</v>
      </c>
    </row>
    <row r="4208" spans="1:25">
      <c r="A4208" t="s">
        <v>17906</v>
      </c>
      <c r="B4208" t="s">
        <v>17907</v>
      </c>
      <c r="D4208" t="s">
        <v>9473</v>
      </c>
      <c r="E4208" t="s">
        <v>9474</v>
      </c>
      <c r="J4208" t="s">
        <v>44</v>
      </c>
      <c r="K4208" t="s">
        <v>45</v>
      </c>
      <c r="L4208">
        <v>6</v>
      </c>
      <c r="M4208" t="s">
        <v>17908</v>
      </c>
      <c r="N4208" t="s">
        <v>47</v>
      </c>
      <c r="O4208" t="s">
        <v>9477</v>
      </c>
      <c r="P4208" t="s">
        <v>9477</v>
      </c>
      <c r="Y4208" t="s">
        <v>17909</v>
      </c>
    </row>
    <row r="4209" spans="1:25">
      <c r="A4209" t="s">
        <v>17910</v>
      </c>
      <c r="B4209" t="s">
        <v>17911</v>
      </c>
      <c r="D4209" t="s">
        <v>9473</v>
      </c>
      <c r="E4209" t="s">
        <v>9474</v>
      </c>
      <c r="H4209" t="s">
        <v>17912</v>
      </c>
      <c r="J4209" t="s">
        <v>78</v>
      </c>
      <c r="K4209" t="s">
        <v>79</v>
      </c>
      <c r="L4209">
        <v>6</v>
      </c>
      <c r="M4209" t="s">
        <v>17913</v>
      </c>
      <c r="N4209" t="s">
        <v>47</v>
      </c>
      <c r="O4209" t="s">
        <v>9477</v>
      </c>
      <c r="P4209" t="s">
        <v>9477</v>
      </c>
      <c r="Y4209" t="s">
        <v>17912</v>
      </c>
    </row>
    <row r="4210" spans="1:25">
      <c r="A4210" t="s">
        <v>17914</v>
      </c>
      <c r="B4210" t="s">
        <v>17915</v>
      </c>
      <c r="D4210" t="s">
        <v>9473</v>
      </c>
      <c r="E4210" t="s">
        <v>9474</v>
      </c>
      <c r="J4210" t="s">
        <v>44</v>
      </c>
      <c r="K4210" t="s">
        <v>45</v>
      </c>
      <c r="L4210">
        <v>6</v>
      </c>
      <c r="M4210" t="s">
        <v>17916</v>
      </c>
      <c r="N4210" t="s">
        <v>47</v>
      </c>
      <c r="O4210" t="s">
        <v>9477</v>
      </c>
      <c r="P4210" t="s">
        <v>9477</v>
      </c>
      <c r="Y4210" t="s">
        <v>17917</v>
      </c>
    </row>
    <row r="4211" spans="1:25">
      <c r="A4211" t="s">
        <v>17918</v>
      </c>
      <c r="B4211" t="s">
        <v>17919</v>
      </c>
      <c r="D4211" t="s">
        <v>9473</v>
      </c>
      <c r="E4211" t="s">
        <v>9474</v>
      </c>
      <c r="J4211" t="s">
        <v>90</v>
      </c>
      <c r="K4211" t="s">
        <v>91</v>
      </c>
      <c r="L4211">
        <v>6</v>
      </c>
      <c r="M4211" t="s">
        <v>17916</v>
      </c>
      <c r="N4211" t="s">
        <v>47</v>
      </c>
      <c r="O4211" t="s">
        <v>9477</v>
      </c>
      <c r="P4211" t="s">
        <v>9477</v>
      </c>
      <c r="Y4211" t="s">
        <v>17920</v>
      </c>
    </row>
    <row r="4212" spans="1:25">
      <c r="A4212" t="s">
        <v>17921</v>
      </c>
      <c r="B4212" t="s">
        <v>17922</v>
      </c>
      <c r="D4212" t="s">
        <v>9473</v>
      </c>
      <c r="E4212" t="s">
        <v>9474</v>
      </c>
      <c r="J4212" t="s">
        <v>78</v>
      </c>
      <c r="K4212" t="s">
        <v>79</v>
      </c>
      <c r="L4212">
        <v>6</v>
      </c>
      <c r="M4212" t="s">
        <v>17916</v>
      </c>
      <c r="N4212" t="s">
        <v>47</v>
      </c>
      <c r="O4212" t="s">
        <v>9477</v>
      </c>
      <c r="P4212" t="s">
        <v>9477</v>
      </c>
      <c r="Y4212" t="s">
        <v>17923</v>
      </c>
    </row>
    <row r="4213" spans="1:25">
      <c r="A4213" t="s">
        <v>17924</v>
      </c>
      <c r="B4213" t="s">
        <v>17925</v>
      </c>
      <c r="D4213" t="s">
        <v>9473</v>
      </c>
      <c r="E4213" t="s">
        <v>9474</v>
      </c>
      <c r="J4213" t="s">
        <v>353</v>
      </c>
      <c r="K4213" t="s">
        <v>354</v>
      </c>
      <c r="L4213">
        <v>6</v>
      </c>
      <c r="M4213" t="s">
        <v>17926</v>
      </c>
      <c r="N4213" t="s">
        <v>135</v>
      </c>
      <c r="O4213" t="s">
        <v>9477</v>
      </c>
      <c r="P4213" t="s">
        <v>9477</v>
      </c>
      <c r="Y4213" t="s">
        <v>17927</v>
      </c>
    </row>
    <row r="4214" spans="1:25">
      <c r="A4214" t="s">
        <v>17928</v>
      </c>
      <c r="B4214" t="s">
        <v>17929</v>
      </c>
      <c r="D4214" t="s">
        <v>9473</v>
      </c>
      <c r="E4214" t="s">
        <v>9474</v>
      </c>
      <c r="H4214" t="s">
        <v>17930</v>
      </c>
      <c r="J4214" t="s">
        <v>90</v>
      </c>
      <c r="K4214" t="s">
        <v>91</v>
      </c>
      <c r="L4214">
        <v>6</v>
      </c>
      <c r="M4214" t="s">
        <v>17926</v>
      </c>
      <c r="N4214" t="s">
        <v>47</v>
      </c>
      <c r="O4214" t="s">
        <v>9477</v>
      </c>
      <c r="P4214" t="s">
        <v>9477</v>
      </c>
      <c r="Y4214" t="s">
        <v>17930</v>
      </c>
    </row>
    <row r="4215" spans="1:25">
      <c r="A4215" t="s">
        <v>17931</v>
      </c>
      <c r="B4215" t="s">
        <v>17932</v>
      </c>
      <c r="D4215" t="s">
        <v>9473</v>
      </c>
      <c r="E4215" t="s">
        <v>9474</v>
      </c>
      <c r="J4215" t="s">
        <v>90</v>
      </c>
      <c r="K4215" t="s">
        <v>91</v>
      </c>
      <c r="L4215">
        <v>6</v>
      </c>
      <c r="M4215" t="s">
        <v>17926</v>
      </c>
      <c r="N4215" t="s">
        <v>47</v>
      </c>
      <c r="O4215" t="s">
        <v>9477</v>
      </c>
      <c r="P4215" t="s">
        <v>9477</v>
      </c>
      <c r="Y4215" t="s">
        <v>17933</v>
      </c>
    </row>
    <row r="4216" spans="1:25">
      <c r="A4216" t="s">
        <v>17934</v>
      </c>
      <c r="B4216" t="s">
        <v>17935</v>
      </c>
      <c r="D4216" t="s">
        <v>9473</v>
      </c>
      <c r="E4216" t="s">
        <v>9474</v>
      </c>
      <c r="J4216" t="s">
        <v>133</v>
      </c>
      <c r="K4216" t="s">
        <v>134</v>
      </c>
      <c r="L4216">
        <v>6</v>
      </c>
      <c r="M4216" t="s">
        <v>17926</v>
      </c>
      <c r="N4216" t="s">
        <v>685</v>
      </c>
      <c r="O4216" t="s">
        <v>9477</v>
      </c>
      <c r="P4216" t="s">
        <v>9477</v>
      </c>
      <c r="Y4216" t="s">
        <v>17936</v>
      </c>
    </row>
    <row r="4217" spans="1:25">
      <c r="A4217" t="s">
        <v>17937</v>
      </c>
      <c r="B4217" t="s">
        <v>17938</v>
      </c>
      <c r="D4217" t="s">
        <v>9473</v>
      </c>
      <c r="E4217" t="s">
        <v>9474</v>
      </c>
      <c r="J4217" t="s">
        <v>90</v>
      </c>
      <c r="K4217" t="s">
        <v>91</v>
      </c>
      <c r="L4217">
        <v>6</v>
      </c>
      <c r="M4217" t="s">
        <v>17939</v>
      </c>
      <c r="N4217" t="s">
        <v>47</v>
      </c>
      <c r="O4217" t="s">
        <v>9477</v>
      </c>
      <c r="P4217" t="s">
        <v>9477</v>
      </c>
      <c r="Y4217" t="s">
        <v>17940</v>
      </c>
    </row>
    <row r="4218" spans="1:25">
      <c r="A4218" t="s">
        <v>17941</v>
      </c>
      <c r="B4218" t="s">
        <v>17942</v>
      </c>
      <c r="D4218" t="s">
        <v>9473</v>
      </c>
      <c r="E4218" t="s">
        <v>9474</v>
      </c>
      <c r="H4218" t="s">
        <v>17943</v>
      </c>
      <c r="J4218" t="s">
        <v>90</v>
      </c>
      <c r="K4218" t="s">
        <v>91</v>
      </c>
      <c r="L4218">
        <v>6</v>
      </c>
      <c r="M4218" t="s">
        <v>17939</v>
      </c>
      <c r="N4218" t="s">
        <v>47</v>
      </c>
      <c r="O4218" t="s">
        <v>9477</v>
      </c>
      <c r="P4218" t="s">
        <v>9477</v>
      </c>
      <c r="Y4218" t="s">
        <v>17943</v>
      </c>
    </row>
    <row r="4219" spans="1:25">
      <c r="A4219" t="s">
        <v>17944</v>
      </c>
      <c r="B4219" t="s">
        <v>17945</v>
      </c>
      <c r="D4219" t="s">
        <v>9473</v>
      </c>
      <c r="E4219" t="s">
        <v>9474</v>
      </c>
      <c r="J4219" t="s">
        <v>78</v>
      </c>
      <c r="K4219" t="s">
        <v>79</v>
      </c>
      <c r="L4219">
        <v>6</v>
      </c>
      <c r="M4219" t="s">
        <v>17946</v>
      </c>
      <c r="N4219" t="s">
        <v>47</v>
      </c>
      <c r="O4219" t="s">
        <v>9477</v>
      </c>
      <c r="P4219" t="s">
        <v>9477</v>
      </c>
      <c r="Y4219" t="s">
        <v>17947</v>
      </c>
    </row>
    <row r="4220" spans="1:25">
      <c r="A4220" t="s">
        <v>17948</v>
      </c>
      <c r="B4220" t="s">
        <v>17949</v>
      </c>
      <c r="D4220" t="s">
        <v>9473</v>
      </c>
      <c r="E4220" t="s">
        <v>9474</v>
      </c>
      <c r="J4220" t="s">
        <v>371</v>
      </c>
      <c r="K4220" t="s">
        <v>372</v>
      </c>
      <c r="L4220">
        <v>6</v>
      </c>
      <c r="M4220" t="s">
        <v>17946</v>
      </c>
      <c r="N4220" t="s">
        <v>47</v>
      </c>
      <c r="O4220" t="s">
        <v>9477</v>
      </c>
      <c r="P4220" t="s">
        <v>9477</v>
      </c>
      <c r="Y4220" t="s">
        <v>17950</v>
      </c>
    </row>
    <row r="4221" spans="1:25">
      <c r="A4221" t="s">
        <v>17951</v>
      </c>
      <c r="B4221" t="s">
        <v>17952</v>
      </c>
      <c r="D4221" t="s">
        <v>9473</v>
      </c>
      <c r="E4221" t="s">
        <v>9474</v>
      </c>
      <c r="J4221" t="s">
        <v>90</v>
      </c>
      <c r="K4221" t="s">
        <v>91</v>
      </c>
      <c r="L4221">
        <v>6</v>
      </c>
      <c r="M4221" t="s">
        <v>17953</v>
      </c>
      <c r="N4221" t="s">
        <v>47</v>
      </c>
      <c r="O4221" t="s">
        <v>9477</v>
      </c>
      <c r="P4221" t="s">
        <v>9477</v>
      </c>
      <c r="Y4221" t="s">
        <v>17954</v>
      </c>
    </row>
    <row r="4222" spans="1:25">
      <c r="A4222" t="s">
        <v>17955</v>
      </c>
      <c r="B4222" t="s">
        <v>17956</v>
      </c>
      <c r="D4222" t="s">
        <v>9473</v>
      </c>
      <c r="E4222" t="s">
        <v>9474</v>
      </c>
      <c r="H4222" t="s">
        <v>17957</v>
      </c>
      <c r="J4222" t="s">
        <v>497</v>
      </c>
      <c r="K4222" t="s">
        <v>498</v>
      </c>
      <c r="L4222">
        <v>6</v>
      </c>
      <c r="M4222" t="s">
        <v>17953</v>
      </c>
      <c r="N4222" t="s">
        <v>685</v>
      </c>
      <c r="O4222" t="s">
        <v>9477</v>
      </c>
      <c r="P4222" t="s">
        <v>9477</v>
      </c>
      <c r="Y4222" t="s">
        <v>17957</v>
      </c>
    </row>
    <row r="4223" spans="1:25">
      <c r="A4223" t="s">
        <v>17958</v>
      </c>
      <c r="B4223" t="s">
        <v>17959</v>
      </c>
      <c r="D4223" t="s">
        <v>9473</v>
      </c>
      <c r="E4223" t="s">
        <v>9474</v>
      </c>
      <c r="J4223" t="s">
        <v>90</v>
      </c>
      <c r="K4223" t="s">
        <v>91</v>
      </c>
      <c r="L4223">
        <v>6</v>
      </c>
      <c r="M4223" t="s">
        <v>17953</v>
      </c>
      <c r="N4223" t="s">
        <v>47</v>
      </c>
      <c r="O4223" t="s">
        <v>9477</v>
      </c>
      <c r="P4223" t="s">
        <v>9477</v>
      </c>
      <c r="Y4223" t="s">
        <v>17960</v>
      </c>
    </row>
    <row r="4224" spans="1:25">
      <c r="A4224" t="s">
        <v>17961</v>
      </c>
      <c r="B4224" t="s">
        <v>17962</v>
      </c>
      <c r="D4224" t="s">
        <v>9473</v>
      </c>
      <c r="E4224" t="s">
        <v>9474</v>
      </c>
      <c r="J4224" t="s">
        <v>353</v>
      </c>
      <c r="K4224" t="s">
        <v>354</v>
      </c>
      <c r="L4224">
        <v>6</v>
      </c>
      <c r="M4224" t="s">
        <v>17953</v>
      </c>
      <c r="N4224" t="s">
        <v>135</v>
      </c>
      <c r="O4224" t="s">
        <v>9477</v>
      </c>
      <c r="P4224" t="s">
        <v>9477</v>
      </c>
      <c r="Y4224" t="s">
        <v>17963</v>
      </c>
    </row>
    <row r="4225" spans="1:25">
      <c r="A4225" t="s">
        <v>17964</v>
      </c>
      <c r="B4225" t="s">
        <v>17965</v>
      </c>
      <c r="D4225" t="s">
        <v>9473</v>
      </c>
      <c r="E4225" t="s">
        <v>9474</v>
      </c>
      <c r="J4225" t="s">
        <v>133</v>
      </c>
      <c r="K4225" t="s">
        <v>134</v>
      </c>
      <c r="L4225">
        <v>6</v>
      </c>
      <c r="M4225" t="s">
        <v>17966</v>
      </c>
      <c r="N4225" t="s">
        <v>685</v>
      </c>
      <c r="O4225" t="s">
        <v>9477</v>
      </c>
      <c r="P4225" t="s">
        <v>9477</v>
      </c>
      <c r="Y4225" t="s">
        <v>17967</v>
      </c>
    </row>
    <row r="4226" spans="1:25">
      <c r="A4226" t="s">
        <v>17968</v>
      </c>
      <c r="B4226" t="s">
        <v>17969</v>
      </c>
      <c r="D4226" t="s">
        <v>9473</v>
      </c>
      <c r="E4226" t="s">
        <v>9474</v>
      </c>
      <c r="J4226" t="s">
        <v>90</v>
      </c>
      <c r="K4226" t="s">
        <v>91</v>
      </c>
      <c r="L4226">
        <v>6</v>
      </c>
      <c r="M4226" t="s">
        <v>17966</v>
      </c>
      <c r="N4226" t="s">
        <v>47</v>
      </c>
      <c r="O4226" t="s">
        <v>9477</v>
      </c>
      <c r="P4226" t="s">
        <v>9477</v>
      </c>
      <c r="Y4226" t="s">
        <v>17970</v>
      </c>
    </row>
    <row r="4227" spans="1:25">
      <c r="A4227" t="s">
        <v>17971</v>
      </c>
      <c r="B4227" t="s">
        <v>17972</v>
      </c>
      <c r="D4227" t="s">
        <v>9473</v>
      </c>
      <c r="E4227" t="s">
        <v>9474</v>
      </c>
      <c r="J4227" t="s">
        <v>44</v>
      </c>
      <c r="K4227" t="s">
        <v>45</v>
      </c>
      <c r="L4227">
        <v>6</v>
      </c>
      <c r="M4227" t="s">
        <v>17973</v>
      </c>
      <c r="N4227" t="s">
        <v>47</v>
      </c>
      <c r="O4227" t="s">
        <v>9477</v>
      </c>
      <c r="P4227" t="s">
        <v>9477</v>
      </c>
      <c r="Y4227" t="s">
        <v>17974</v>
      </c>
    </row>
    <row r="4228" spans="1:25">
      <c r="A4228" t="s">
        <v>17975</v>
      </c>
      <c r="B4228" t="s">
        <v>17976</v>
      </c>
      <c r="D4228" t="s">
        <v>9473</v>
      </c>
      <c r="E4228" t="s">
        <v>9474</v>
      </c>
      <c r="J4228" t="s">
        <v>54</v>
      </c>
      <c r="K4228" t="s">
        <v>55</v>
      </c>
      <c r="L4228">
        <v>6</v>
      </c>
      <c r="M4228" t="s">
        <v>17977</v>
      </c>
      <c r="N4228" t="s">
        <v>47</v>
      </c>
      <c r="O4228" t="s">
        <v>9477</v>
      </c>
      <c r="P4228" t="s">
        <v>9477</v>
      </c>
      <c r="Y4228" t="s">
        <v>17978</v>
      </c>
    </row>
    <row r="4229" spans="1:25">
      <c r="A4229" t="s">
        <v>17979</v>
      </c>
      <c r="B4229" t="s">
        <v>17980</v>
      </c>
      <c r="D4229" t="s">
        <v>9473</v>
      </c>
      <c r="E4229" t="s">
        <v>9474</v>
      </c>
      <c r="J4229" t="s">
        <v>133</v>
      </c>
      <c r="K4229" t="s">
        <v>134</v>
      </c>
      <c r="L4229">
        <v>6</v>
      </c>
      <c r="M4229" t="s">
        <v>17981</v>
      </c>
      <c r="N4229" t="s">
        <v>685</v>
      </c>
      <c r="O4229" t="s">
        <v>9477</v>
      </c>
      <c r="P4229" t="s">
        <v>9477</v>
      </c>
      <c r="Y4229" t="s">
        <v>17982</v>
      </c>
    </row>
    <row r="4230" spans="1:25">
      <c r="A4230" t="s">
        <v>17983</v>
      </c>
      <c r="B4230" t="s">
        <v>17984</v>
      </c>
      <c r="D4230" t="s">
        <v>9473</v>
      </c>
      <c r="E4230" t="s">
        <v>9474</v>
      </c>
      <c r="H4230" t="s">
        <v>17985</v>
      </c>
      <c r="J4230" t="s">
        <v>234</v>
      </c>
      <c r="K4230" t="s">
        <v>235</v>
      </c>
      <c r="L4230">
        <v>6</v>
      </c>
      <c r="M4230" t="s">
        <v>17986</v>
      </c>
      <c r="N4230" t="s">
        <v>47</v>
      </c>
      <c r="O4230" t="s">
        <v>9477</v>
      </c>
      <c r="P4230" t="s">
        <v>9477</v>
      </c>
      <c r="Y4230" t="s">
        <v>17985</v>
      </c>
    </row>
    <row r="4231" spans="1:25">
      <c r="A4231" t="s">
        <v>17987</v>
      </c>
      <c r="B4231" t="s">
        <v>17988</v>
      </c>
      <c r="D4231" t="s">
        <v>9473</v>
      </c>
      <c r="E4231" t="s">
        <v>9474</v>
      </c>
      <c r="J4231" t="s">
        <v>54</v>
      </c>
      <c r="K4231" t="s">
        <v>55</v>
      </c>
      <c r="L4231">
        <v>6</v>
      </c>
      <c r="M4231" t="s">
        <v>17989</v>
      </c>
      <c r="N4231" t="s">
        <v>47</v>
      </c>
      <c r="O4231" t="s">
        <v>9477</v>
      </c>
      <c r="P4231" t="s">
        <v>9477</v>
      </c>
      <c r="Y4231" t="s">
        <v>17990</v>
      </c>
    </row>
    <row r="4232" spans="1:25">
      <c r="A4232" t="s">
        <v>17991</v>
      </c>
      <c r="B4232" t="s">
        <v>17992</v>
      </c>
      <c r="D4232" t="s">
        <v>9473</v>
      </c>
      <c r="E4232" t="s">
        <v>9474</v>
      </c>
      <c r="J4232" t="s">
        <v>90</v>
      </c>
      <c r="K4232" t="s">
        <v>91</v>
      </c>
      <c r="L4232">
        <v>6</v>
      </c>
      <c r="M4232" t="s">
        <v>17993</v>
      </c>
      <c r="N4232" t="s">
        <v>47</v>
      </c>
      <c r="O4232" t="s">
        <v>9477</v>
      </c>
      <c r="P4232" t="s">
        <v>9477</v>
      </c>
      <c r="Y4232" t="s">
        <v>17994</v>
      </c>
    </row>
    <row r="4233" spans="1:25">
      <c r="A4233" t="s">
        <v>17995</v>
      </c>
      <c r="B4233" t="s">
        <v>17996</v>
      </c>
      <c r="D4233" t="s">
        <v>9473</v>
      </c>
      <c r="E4233" t="s">
        <v>9474</v>
      </c>
      <c r="J4233" t="s">
        <v>44</v>
      </c>
      <c r="K4233" t="s">
        <v>45</v>
      </c>
      <c r="L4233">
        <v>6</v>
      </c>
      <c r="M4233" t="s">
        <v>17997</v>
      </c>
      <c r="N4233" t="s">
        <v>47</v>
      </c>
      <c r="O4233" t="s">
        <v>9477</v>
      </c>
      <c r="P4233" t="s">
        <v>9477</v>
      </c>
      <c r="Y4233" t="s">
        <v>17998</v>
      </c>
    </row>
    <row r="4234" spans="1:25">
      <c r="A4234" t="s">
        <v>17999</v>
      </c>
      <c r="B4234" t="s">
        <v>18000</v>
      </c>
      <c r="D4234" t="s">
        <v>9473</v>
      </c>
      <c r="E4234" t="s">
        <v>9474</v>
      </c>
      <c r="H4234" t="s">
        <v>18001</v>
      </c>
      <c r="J4234" t="s">
        <v>44</v>
      </c>
      <c r="K4234" t="s">
        <v>45</v>
      </c>
      <c r="L4234">
        <v>6</v>
      </c>
      <c r="M4234" t="s">
        <v>18002</v>
      </c>
      <c r="N4234" t="s">
        <v>47</v>
      </c>
      <c r="O4234" t="s">
        <v>9477</v>
      </c>
      <c r="P4234" t="s">
        <v>9477</v>
      </c>
      <c r="Y4234" t="s">
        <v>18001</v>
      </c>
    </row>
    <row r="4235" spans="1:25">
      <c r="A4235" t="s">
        <v>18003</v>
      </c>
      <c r="B4235" t="s">
        <v>18004</v>
      </c>
      <c r="D4235" t="s">
        <v>9473</v>
      </c>
      <c r="E4235" t="s">
        <v>9474</v>
      </c>
      <c r="H4235" t="s">
        <v>18005</v>
      </c>
      <c r="J4235" t="s">
        <v>927</v>
      </c>
      <c r="K4235" t="s">
        <v>928</v>
      </c>
      <c r="L4235">
        <v>6</v>
      </c>
      <c r="M4235" t="s">
        <v>18006</v>
      </c>
      <c r="N4235" t="s">
        <v>135</v>
      </c>
      <c r="O4235" t="s">
        <v>9477</v>
      </c>
      <c r="P4235" t="s">
        <v>9477</v>
      </c>
      <c r="Y4235" t="s">
        <v>18005</v>
      </c>
    </row>
    <row r="4236" spans="1:25">
      <c r="A4236" t="s">
        <v>18007</v>
      </c>
      <c r="B4236" t="s">
        <v>18008</v>
      </c>
      <c r="D4236" t="s">
        <v>9473</v>
      </c>
      <c r="E4236" t="s">
        <v>9474</v>
      </c>
      <c r="H4236" t="s">
        <v>18009</v>
      </c>
      <c r="J4236" t="s">
        <v>234</v>
      </c>
      <c r="K4236" t="s">
        <v>235</v>
      </c>
      <c r="L4236">
        <v>6</v>
      </c>
      <c r="M4236" t="s">
        <v>18010</v>
      </c>
      <c r="N4236" t="s">
        <v>47</v>
      </c>
      <c r="O4236" t="s">
        <v>9477</v>
      </c>
      <c r="P4236" t="s">
        <v>9477</v>
      </c>
      <c r="Y4236" t="s">
        <v>18009</v>
      </c>
    </row>
    <row r="4237" spans="1:25">
      <c r="A4237" t="s">
        <v>18011</v>
      </c>
      <c r="B4237" t="s">
        <v>18012</v>
      </c>
      <c r="D4237" t="s">
        <v>9473</v>
      </c>
      <c r="E4237" t="s">
        <v>9474</v>
      </c>
      <c r="J4237" t="s">
        <v>44</v>
      </c>
      <c r="K4237" t="s">
        <v>45</v>
      </c>
      <c r="L4237">
        <v>6</v>
      </c>
      <c r="M4237" t="s">
        <v>18013</v>
      </c>
      <c r="N4237" t="s">
        <v>47</v>
      </c>
      <c r="O4237" t="s">
        <v>9477</v>
      </c>
      <c r="P4237" t="s">
        <v>9477</v>
      </c>
      <c r="Y4237" t="s">
        <v>18014</v>
      </c>
    </row>
    <row r="4238" spans="1:25">
      <c r="A4238" t="s">
        <v>18015</v>
      </c>
      <c r="B4238" t="s">
        <v>18016</v>
      </c>
      <c r="D4238" t="s">
        <v>9473</v>
      </c>
      <c r="E4238" t="s">
        <v>9474</v>
      </c>
      <c r="J4238" t="s">
        <v>44</v>
      </c>
      <c r="K4238" t="s">
        <v>45</v>
      </c>
      <c r="L4238">
        <v>6</v>
      </c>
      <c r="M4238" t="s">
        <v>18013</v>
      </c>
      <c r="N4238" t="s">
        <v>47</v>
      </c>
      <c r="O4238" t="s">
        <v>9477</v>
      </c>
      <c r="P4238" t="s">
        <v>9477</v>
      </c>
      <c r="Y4238" t="s">
        <v>18017</v>
      </c>
    </row>
    <row r="4239" spans="1:25">
      <c r="A4239" t="s">
        <v>18018</v>
      </c>
      <c r="B4239" t="s">
        <v>18019</v>
      </c>
      <c r="D4239" t="s">
        <v>9473</v>
      </c>
      <c r="E4239" t="s">
        <v>9474</v>
      </c>
      <c r="H4239" t="s">
        <v>18020</v>
      </c>
      <c r="J4239" t="s">
        <v>78</v>
      </c>
      <c r="K4239" t="s">
        <v>79</v>
      </c>
      <c r="L4239">
        <v>6</v>
      </c>
      <c r="M4239" t="s">
        <v>18021</v>
      </c>
      <c r="N4239" t="s">
        <v>47</v>
      </c>
      <c r="O4239" t="s">
        <v>9477</v>
      </c>
      <c r="P4239" t="s">
        <v>9477</v>
      </c>
      <c r="Y4239" t="s">
        <v>18020</v>
      </c>
    </row>
    <row r="4240" spans="1:25">
      <c r="A4240" t="s">
        <v>18022</v>
      </c>
      <c r="B4240" t="s">
        <v>18023</v>
      </c>
      <c r="D4240" t="s">
        <v>9473</v>
      </c>
      <c r="E4240" t="s">
        <v>9474</v>
      </c>
      <c r="J4240" t="s">
        <v>78</v>
      </c>
      <c r="K4240" t="s">
        <v>79</v>
      </c>
      <c r="L4240">
        <v>6</v>
      </c>
      <c r="M4240" t="s">
        <v>18021</v>
      </c>
      <c r="N4240" t="s">
        <v>47</v>
      </c>
      <c r="O4240" t="s">
        <v>9477</v>
      </c>
      <c r="P4240" t="s">
        <v>9477</v>
      </c>
      <c r="Y4240" t="s">
        <v>18024</v>
      </c>
    </row>
    <row r="4241" spans="1:25">
      <c r="A4241" t="s">
        <v>18025</v>
      </c>
      <c r="B4241" t="s">
        <v>18026</v>
      </c>
      <c r="D4241" t="s">
        <v>9473</v>
      </c>
      <c r="E4241" t="s">
        <v>9474</v>
      </c>
      <c r="J4241" t="s">
        <v>54</v>
      </c>
      <c r="K4241" t="s">
        <v>55</v>
      </c>
      <c r="L4241">
        <v>6</v>
      </c>
      <c r="M4241" t="s">
        <v>18027</v>
      </c>
      <c r="N4241" t="s">
        <v>47</v>
      </c>
      <c r="O4241" t="s">
        <v>9477</v>
      </c>
      <c r="P4241" t="s">
        <v>9477</v>
      </c>
      <c r="Y4241" t="s">
        <v>18028</v>
      </c>
    </row>
    <row r="4242" spans="1:25">
      <c r="A4242" t="s">
        <v>18029</v>
      </c>
      <c r="B4242" t="s">
        <v>18030</v>
      </c>
      <c r="D4242" t="s">
        <v>9473</v>
      </c>
      <c r="E4242" t="s">
        <v>9474</v>
      </c>
      <c r="J4242" t="s">
        <v>90</v>
      </c>
      <c r="K4242" t="s">
        <v>91</v>
      </c>
      <c r="L4242">
        <v>6</v>
      </c>
      <c r="M4242" t="s">
        <v>18031</v>
      </c>
      <c r="N4242" t="s">
        <v>47</v>
      </c>
      <c r="O4242" t="s">
        <v>9477</v>
      </c>
      <c r="P4242" t="s">
        <v>9477</v>
      </c>
      <c r="Y4242" t="s">
        <v>18032</v>
      </c>
    </row>
    <row r="4243" spans="1:25">
      <c r="A4243" t="s">
        <v>18033</v>
      </c>
      <c r="B4243" t="s">
        <v>18034</v>
      </c>
      <c r="D4243" t="s">
        <v>9473</v>
      </c>
      <c r="E4243" t="s">
        <v>9474</v>
      </c>
      <c r="J4243" t="s">
        <v>90</v>
      </c>
      <c r="K4243" t="s">
        <v>91</v>
      </c>
      <c r="L4243">
        <v>6</v>
      </c>
      <c r="M4243" t="s">
        <v>18035</v>
      </c>
      <c r="N4243" t="s">
        <v>47</v>
      </c>
      <c r="O4243" t="s">
        <v>9477</v>
      </c>
      <c r="P4243" t="s">
        <v>9477</v>
      </c>
      <c r="Y4243" t="s">
        <v>18036</v>
      </c>
    </row>
    <row r="4244" spans="1:25">
      <c r="A4244" t="s">
        <v>18037</v>
      </c>
      <c r="B4244" t="s">
        <v>18038</v>
      </c>
      <c r="D4244" t="s">
        <v>9473</v>
      </c>
      <c r="E4244" t="s">
        <v>9474</v>
      </c>
      <c r="J4244" t="s">
        <v>90</v>
      </c>
      <c r="K4244" t="s">
        <v>91</v>
      </c>
      <c r="L4244">
        <v>6</v>
      </c>
      <c r="M4244" t="s">
        <v>18035</v>
      </c>
      <c r="N4244" t="s">
        <v>47</v>
      </c>
      <c r="O4244" t="s">
        <v>9477</v>
      </c>
      <c r="P4244" t="s">
        <v>9477</v>
      </c>
      <c r="Y4244" t="s">
        <v>18039</v>
      </c>
    </row>
    <row r="4245" spans="1:25">
      <c r="A4245" t="s">
        <v>18040</v>
      </c>
      <c r="B4245" t="s">
        <v>18041</v>
      </c>
      <c r="D4245" t="s">
        <v>9473</v>
      </c>
      <c r="E4245" t="s">
        <v>9474</v>
      </c>
      <c r="H4245" t="s">
        <v>18042</v>
      </c>
      <c r="J4245" t="s">
        <v>78</v>
      </c>
      <c r="K4245" t="s">
        <v>79</v>
      </c>
      <c r="L4245">
        <v>6</v>
      </c>
      <c r="M4245" t="s">
        <v>18043</v>
      </c>
      <c r="N4245" t="s">
        <v>47</v>
      </c>
      <c r="O4245" t="s">
        <v>9477</v>
      </c>
      <c r="P4245" t="s">
        <v>9477</v>
      </c>
      <c r="Y4245" t="s">
        <v>18042</v>
      </c>
    </row>
    <row r="4246" spans="1:25">
      <c r="A4246" t="s">
        <v>18044</v>
      </c>
      <c r="B4246" t="s">
        <v>18045</v>
      </c>
      <c r="D4246" t="s">
        <v>9473</v>
      </c>
      <c r="E4246" t="s">
        <v>9474</v>
      </c>
      <c r="J4246" t="s">
        <v>90</v>
      </c>
      <c r="K4246" t="s">
        <v>91</v>
      </c>
      <c r="L4246">
        <v>6</v>
      </c>
      <c r="M4246" t="s">
        <v>18046</v>
      </c>
      <c r="N4246" t="s">
        <v>47</v>
      </c>
      <c r="O4246" t="s">
        <v>9477</v>
      </c>
      <c r="P4246" t="s">
        <v>9477</v>
      </c>
      <c r="Y4246" t="s">
        <v>18047</v>
      </c>
    </row>
    <row r="4247" spans="1:25">
      <c r="A4247" t="s">
        <v>18048</v>
      </c>
      <c r="B4247" t="s">
        <v>18049</v>
      </c>
      <c r="D4247" t="s">
        <v>9473</v>
      </c>
      <c r="E4247" t="s">
        <v>9474</v>
      </c>
      <c r="H4247" t="s">
        <v>18050</v>
      </c>
      <c r="J4247" t="s">
        <v>133</v>
      </c>
      <c r="K4247" t="s">
        <v>134</v>
      </c>
      <c r="L4247">
        <v>6</v>
      </c>
      <c r="M4247" t="s">
        <v>18046</v>
      </c>
      <c r="N4247" t="s">
        <v>135</v>
      </c>
      <c r="O4247" t="s">
        <v>9477</v>
      </c>
      <c r="P4247" t="s">
        <v>9477</v>
      </c>
      <c r="Y4247" t="s">
        <v>18050</v>
      </c>
    </row>
    <row r="4248" spans="1:25">
      <c r="A4248" t="s">
        <v>18051</v>
      </c>
      <c r="B4248" t="s">
        <v>18052</v>
      </c>
      <c r="D4248" t="s">
        <v>9473</v>
      </c>
      <c r="E4248" t="s">
        <v>9474</v>
      </c>
      <c r="H4248" t="s">
        <v>18053</v>
      </c>
      <c r="J4248" t="s">
        <v>90</v>
      </c>
      <c r="K4248" t="s">
        <v>91</v>
      </c>
      <c r="L4248">
        <v>6</v>
      </c>
      <c r="M4248" t="s">
        <v>18046</v>
      </c>
      <c r="N4248" t="s">
        <v>47</v>
      </c>
      <c r="O4248" t="s">
        <v>9477</v>
      </c>
      <c r="P4248" t="s">
        <v>9477</v>
      </c>
      <c r="Y4248" t="s">
        <v>18053</v>
      </c>
    </row>
    <row r="4249" spans="1:25">
      <c r="A4249" t="s">
        <v>18054</v>
      </c>
      <c r="B4249" t="s">
        <v>18055</v>
      </c>
      <c r="D4249" t="s">
        <v>9473</v>
      </c>
      <c r="E4249" t="s">
        <v>9474</v>
      </c>
      <c r="H4249" t="s">
        <v>18056</v>
      </c>
      <c r="J4249" t="s">
        <v>44</v>
      </c>
      <c r="K4249" t="s">
        <v>45</v>
      </c>
      <c r="L4249">
        <v>6</v>
      </c>
      <c r="M4249" t="s">
        <v>18057</v>
      </c>
      <c r="N4249" t="s">
        <v>47</v>
      </c>
      <c r="O4249" t="s">
        <v>9477</v>
      </c>
      <c r="P4249" t="s">
        <v>9477</v>
      </c>
      <c r="Y4249" t="s">
        <v>18056</v>
      </c>
    </row>
    <row r="4250" spans="1:25">
      <c r="A4250" t="s">
        <v>18058</v>
      </c>
      <c r="B4250" t="s">
        <v>18059</v>
      </c>
      <c r="D4250" t="s">
        <v>9473</v>
      </c>
      <c r="E4250" t="s">
        <v>9474</v>
      </c>
      <c r="H4250" t="s">
        <v>18060</v>
      </c>
      <c r="J4250" t="s">
        <v>44</v>
      </c>
      <c r="K4250" t="s">
        <v>45</v>
      </c>
      <c r="L4250">
        <v>6</v>
      </c>
      <c r="M4250" t="s">
        <v>18057</v>
      </c>
      <c r="N4250" t="s">
        <v>47</v>
      </c>
      <c r="O4250" t="s">
        <v>9477</v>
      </c>
      <c r="P4250" t="s">
        <v>9477</v>
      </c>
      <c r="Y4250" t="s">
        <v>18060</v>
      </c>
    </row>
    <row r="4251" spans="1:25">
      <c r="A4251" t="s">
        <v>18061</v>
      </c>
      <c r="B4251" t="s">
        <v>18062</v>
      </c>
      <c r="D4251" t="s">
        <v>9473</v>
      </c>
      <c r="E4251" t="s">
        <v>9474</v>
      </c>
      <c r="H4251" t="s">
        <v>18063</v>
      </c>
      <c r="J4251" t="s">
        <v>78</v>
      </c>
      <c r="K4251" t="s">
        <v>79</v>
      </c>
      <c r="L4251">
        <v>6</v>
      </c>
      <c r="M4251" t="s">
        <v>18057</v>
      </c>
      <c r="N4251" t="s">
        <v>47</v>
      </c>
      <c r="O4251" t="s">
        <v>9477</v>
      </c>
      <c r="P4251" t="s">
        <v>9477</v>
      </c>
      <c r="Y4251" t="s">
        <v>18063</v>
      </c>
    </row>
    <row r="4252" spans="1:25">
      <c r="A4252" t="s">
        <v>18064</v>
      </c>
      <c r="B4252" t="s">
        <v>18065</v>
      </c>
      <c r="D4252" t="s">
        <v>9473</v>
      </c>
      <c r="E4252" t="s">
        <v>9474</v>
      </c>
      <c r="H4252" t="s">
        <v>18066</v>
      </c>
      <c r="J4252" t="s">
        <v>44</v>
      </c>
      <c r="K4252" t="s">
        <v>45</v>
      </c>
      <c r="L4252">
        <v>6</v>
      </c>
      <c r="M4252" t="s">
        <v>18067</v>
      </c>
      <c r="N4252" t="s">
        <v>47</v>
      </c>
      <c r="O4252" t="s">
        <v>9477</v>
      </c>
      <c r="P4252" t="s">
        <v>9477</v>
      </c>
      <c r="Y4252" t="s">
        <v>18066</v>
      </c>
    </row>
    <row r="4253" spans="1:25">
      <c r="A4253" t="s">
        <v>18068</v>
      </c>
      <c r="B4253" t="s">
        <v>18069</v>
      </c>
      <c r="D4253" t="s">
        <v>9473</v>
      </c>
      <c r="E4253" t="s">
        <v>9474</v>
      </c>
      <c r="J4253" t="s">
        <v>90</v>
      </c>
      <c r="K4253" t="s">
        <v>91</v>
      </c>
      <c r="L4253">
        <v>6</v>
      </c>
      <c r="M4253" t="s">
        <v>18070</v>
      </c>
      <c r="N4253" t="s">
        <v>47</v>
      </c>
      <c r="O4253" t="s">
        <v>9477</v>
      </c>
      <c r="P4253" t="s">
        <v>9477</v>
      </c>
      <c r="Y4253" t="s">
        <v>18071</v>
      </c>
    </row>
    <row r="4254" spans="1:25">
      <c r="A4254" t="s">
        <v>18072</v>
      </c>
      <c r="B4254" t="s">
        <v>18073</v>
      </c>
      <c r="D4254" t="s">
        <v>9473</v>
      </c>
      <c r="E4254" t="s">
        <v>9474</v>
      </c>
      <c r="H4254" t="s">
        <v>18074</v>
      </c>
      <c r="J4254" t="s">
        <v>54</v>
      </c>
      <c r="K4254" t="s">
        <v>55</v>
      </c>
      <c r="L4254">
        <v>6</v>
      </c>
      <c r="M4254" t="s">
        <v>18075</v>
      </c>
      <c r="N4254" t="s">
        <v>290</v>
      </c>
      <c r="O4254" t="s">
        <v>9477</v>
      </c>
      <c r="P4254" t="s">
        <v>9477</v>
      </c>
      <c r="Y4254" t="s">
        <v>18074</v>
      </c>
    </row>
    <row r="4255" spans="1:25">
      <c r="A4255" t="s">
        <v>18076</v>
      </c>
      <c r="B4255" t="s">
        <v>18077</v>
      </c>
      <c r="D4255" t="s">
        <v>9473</v>
      </c>
      <c r="E4255" t="s">
        <v>9474</v>
      </c>
      <c r="H4255" t="s">
        <v>18078</v>
      </c>
      <c r="J4255" t="s">
        <v>44</v>
      </c>
      <c r="K4255" t="s">
        <v>45</v>
      </c>
      <c r="L4255">
        <v>6</v>
      </c>
      <c r="M4255" t="s">
        <v>18079</v>
      </c>
      <c r="N4255" t="s">
        <v>47</v>
      </c>
      <c r="O4255" t="s">
        <v>9477</v>
      </c>
      <c r="P4255" t="s">
        <v>9477</v>
      </c>
      <c r="Y4255" t="s">
        <v>18078</v>
      </c>
    </row>
    <row r="4256" spans="1:25">
      <c r="A4256" t="s">
        <v>18080</v>
      </c>
      <c r="B4256" t="s">
        <v>18081</v>
      </c>
      <c r="D4256" t="s">
        <v>9473</v>
      </c>
      <c r="E4256" t="s">
        <v>9474</v>
      </c>
      <c r="J4256" t="s">
        <v>44</v>
      </c>
      <c r="K4256" t="s">
        <v>45</v>
      </c>
      <c r="L4256">
        <v>6</v>
      </c>
      <c r="M4256" t="s">
        <v>18082</v>
      </c>
      <c r="N4256" t="s">
        <v>47</v>
      </c>
      <c r="O4256" t="s">
        <v>9477</v>
      </c>
      <c r="P4256" t="s">
        <v>9477</v>
      </c>
      <c r="Y4256" t="s">
        <v>18083</v>
      </c>
    </row>
    <row r="4257" spans="1:25">
      <c r="A4257" t="s">
        <v>18084</v>
      </c>
      <c r="B4257" t="s">
        <v>18085</v>
      </c>
      <c r="D4257" t="s">
        <v>9473</v>
      </c>
      <c r="E4257" t="s">
        <v>9474</v>
      </c>
      <c r="H4257" t="s">
        <v>18086</v>
      </c>
      <c r="J4257" t="s">
        <v>541</v>
      </c>
      <c r="K4257" t="s">
        <v>542</v>
      </c>
      <c r="L4257">
        <v>6</v>
      </c>
      <c r="M4257" t="s">
        <v>18082</v>
      </c>
      <c r="N4257" t="s">
        <v>290</v>
      </c>
      <c r="O4257" t="s">
        <v>9477</v>
      </c>
      <c r="P4257" t="s">
        <v>9477</v>
      </c>
      <c r="Y4257" t="s">
        <v>18086</v>
      </c>
    </row>
    <row r="4258" spans="1:25">
      <c r="A4258" t="s">
        <v>18087</v>
      </c>
      <c r="B4258" t="s">
        <v>18088</v>
      </c>
      <c r="D4258" t="s">
        <v>9473</v>
      </c>
      <c r="E4258" t="s">
        <v>9474</v>
      </c>
      <c r="J4258" t="s">
        <v>353</v>
      </c>
      <c r="K4258" t="s">
        <v>354</v>
      </c>
      <c r="L4258">
        <v>6</v>
      </c>
      <c r="M4258" t="s">
        <v>18089</v>
      </c>
      <c r="N4258" t="s">
        <v>135</v>
      </c>
      <c r="O4258" t="s">
        <v>9477</v>
      </c>
      <c r="P4258" t="s">
        <v>9477</v>
      </c>
      <c r="Y4258" t="s">
        <v>18090</v>
      </c>
    </row>
    <row r="4259" spans="1:25">
      <c r="A4259" t="s">
        <v>18091</v>
      </c>
      <c r="B4259" t="s">
        <v>18092</v>
      </c>
      <c r="D4259" t="s">
        <v>9473</v>
      </c>
      <c r="E4259" t="s">
        <v>9474</v>
      </c>
      <c r="J4259" t="s">
        <v>90</v>
      </c>
      <c r="K4259" t="s">
        <v>91</v>
      </c>
      <c r="L4259">
        <v>6</v>
      </c>
      <c r="M4259" t="s">
        <v>18089</v>
      </c>
      <c r="N4259" t="s">
        <v>47</v>
      </c>
      <c r="O4259" t="s">
        <v>9477</v>
      </c>
      <c r="P4259" t="s">
        <v>9477</v>
      </c>
      <c r="Y4259" t="s">
        <v>18093</v>
      </c>
    </row>
    <row r="4260" spans="1:25">
      <c r="A4260" t="s">
        <v>18094</v>
      </c>
      <c r="B4260" t="s">
        <v>18095</v>
      </c>
      <c r="D4260" t="s">
        <v>9473</v>
      </c>
      <c r="E4260" t="s">
        <v>9474</v>
      </c>
      <c r="J4260" t="s">
        <v>133</v>
      </c>
      <c r="K4260" t="s">
        <v>134</v>
      </c>
      <c r="L4260">
        <v>6</v>
      </c>
      <c r="M4260" t="s">
        <v>18096</v>
      </c>
      <c r="N4260" t="s">
        <v>685</v>
      </c>
      <c r="O4260" t="s">
        <v>9477</v>
      </c>
      <c r="P4260" t="s">
        <v>9477</v>
      </c>
      <c r="Y4260" t="s">
        <v>18097</v>
      </c>
    </row>
    <row r="4261" spans="1:25">
      <c r="A4261" t="s">
        <v>18098</v>
      </c>
      <c r="B4261" t="s">
        <v>18099</v>
      </c>
      <c r="D4261" t="s">
        <v>9473</v>
      </c>
      <c r="E4261" t="s">
        <v>9474</v>
      </c>
      <c r="J4261" t="s">
        <v>44</v>
      </c>
      <c r="K4261" t="s">
        <v>45</v>
      </c>
      <c r="L4261">
        <v>6</v>
      </c>
      <c r="M4261" t="s">
        <v>18100</v>
      </c>
      <c r="N4261" t="s">
        <v>47</v>
      </c>
      <c r="O4261" t="s">
        <v>9477</v>
      </c>
      <c r="P4261" t="s">
        <v>9477</v>
      </c>
      <c r="Y4261" t="s">
        <v>18101</v>
      </c>
    </row>
    <row r="4262" spans="1:25">
      <c r="A4262" t="s">
        <v>18102</v>
      </c>
      <c r="B4262" t="s">
        <v>18103</v>
      </c>
      <c r="D4262" t="s">
        <v>9473</v>
      </c>
      <c r="E4262" t="s">
        <v>9474</v>
      </c>
      <c r="J4262" t="s">
        <v>90</v>
      </c>
      <c r="K4262" t="s">
        <v>91</v>
      </c>
      <c r="L4262">
        <v>6</v>
      </c>
      <c r="M4262" t="s">
        <v>18104</v>
      </c>
      <c r="N4262" t="s">
        <v>47</v>
      </c>
      <c r="O4262" t="s">
        <v>9477</v>
      </c>
      <c r="P4262" t="s">
        <v>9477</v>
      </c>
      <c r="Y4262" t="s">
        <v>18105</v>
      </c>
    </row>
    <row r="4263" spans="1:25">
      <c r="A4263" t="s">
        <v>18106</v>
      </c>
      <c r="B4263" t="s">
        <v>18107</v>
      </c>
      <c r="D4263" t="s">
        <v>9473</v>
      </c>
      <c r="E4263" t="s">
        <v>9474</v>
      </c>
      <c r="J4263" t="s">
        <v>78</v>
      </c>
      <c r="K4263" t="s">
        <v>79</v>
      </c>
      <c r="L4263">
        <v>6</v>
      </c>
      <c r="M4263" t="s">
        <v>18108</v>
      </c>
      <c r="N4263" t="s">
        <v>47</v>
      </c>
      <c r="O4263" t="s">
        <v>9477</v>
      </c>
      <c r="P4263" t="s">
        <v>9477</v>
      </c>
      <c r="Y4263" t="s">
        <v>18109</v>
      </c>
    </row>
    <row r="4264" spans="1:25">
      <c r="A4264" t="s">
        <v>18110</v>
      </c>
      <c r="B4264" t="s">
        <v>18111</v>
      </c>
      <c r="D4264" t="s">
        <v>9473</v>
      </c>
      <c r="E4264" t="s">
        <v>9474</v>
      </c>
      <c r="J4264" t="s">
        <v>90</v>
      </c>
      <c r="K4264" t="s">
        <v>91</v>
      </c>
      <c r="L4264">
        <v>6</v>
      </c>
      <c r="M4264" t="s">
        <v>18112</v>
      </c>
      <c r="N4264" t="s">
        <v>47</v>
      </c>
      <c r="O4264" t="s">
        <v>9477</v>
      </c>
      <c r="P4264" t="s">
        <v>9477</v>
      </c>
      <c r="Y4264" t="s">
        <v>18113</v>
      </c>
    </row>
    <row r="4265" spans="1:25">
      <c r="A4265" t="s">
        <v>18114</v>
      </c>
      <c r="B4265" t="s">
        <v>18115</v>
      </c>
      <c r="D4265" t="s">
        <v>9473</v>
      </c>
      <c r="E4265" t="s">
        <v>9474</v>
      </c>
      <c r="J4265" t="s">
        <v>90</v>
      </c>
      <c r="K4265" t="s">
        <v>91</v>
      </c>
      <c r="L4265">
        <v>6</v>
      </c>
      <c r="M4265" t="s">
        <v>18116</v>
      </c>
      <c r="N4265" t="s">
        <v>47</v>
      </c>
      <c r="O4265" t="s">
        <v>9477</v>
      </c>
      <c r="P4265" t="s">
        <v>9477</v>
      </c>
      <c r="Y4265" t="s">
        <v>18117</v>
      </c>
    </row>
    <row r="4266" spans="1:25">
      <c r="A4266" t="s">
        <v>18118</v>
      </c>
      <c r="B4266" t="s">
        <v>18119</v>
      </c>
      <c r="D4266" t="s">
        <v>9473</v>
      </c>
      <c r="E4266" t="s">
        <v>9474</v>
      </c>
      <c r="H4266" t="s">
        <v>18120</v>
      </c>
      <c r="J4266" t="s">
        <v>44</v>
      </c>
      <c r="K4266" t="s">
        <v>45</v>
      </c>
      <c r="L4266">
        <v>6</v>
      </c>
      <c r="M4266" t="s">
        <v>18116</v>
      </c>
      <c r="N4266" t="s">
        <v>47</v>
      </c>
      <c r="O4266" t="s">
        <v>9477</v>
      </c>
      <c r="P4266" t="s">
        <v>9477</v>
      </c>
      <c r="Y4266" t="s">
        <v>18120</v>
      </c>
    </row>
    <row r="4267" spans="1:25">
      <c r="A4267" t="s">
        <v>18121</v>
      </c>
      <c r="B4267" t="s">
        <v>18122</v>
      </c>
      <c r="D4267" t="s">
        <v>9473</v>
      </c>
      <c r="E4267" t="s">
        <v>9474</v>
      </c>
      <c r="J4267" t="s">
        <v>90</v>
      </c>
      <c r="K4267" t="s">
        <v>91</v>
      </c>
      <c r="L4267">
        <v>6</v>
      </c>
      <c r="M4267" t="s">
        <v>18123</v>
      </c>
      <c r="N4267" t="s">
        <v>47</v>
      </c>
      <c r="O4267" t="s">
        <v>9477</v>
      </c>
      <c r="P4267" t="s">
        <v>9477</v>
      </c>
      <c r="Y4267" t="s">
        <v>18124</v>
      </c>
    </row>
    <row r="4268" spans="1:25">
      <c r="A4268" t="s">
        <v>18125</v>
      </c>
      <c r="B4268" t="s">
        <v>18126</v>
      </c>
      <c r="D4268" t="s">
        <v>9473</v>
      </c>
      <c r="E4268" t="s">
        <v>9474</v>
      </c>
      <c r="J4268" t="s">
        <v>44</v>
      </c>
      <c r="K4268" t="s">
        <v>45</v>
      </c>
      <c r="L4268">
        <v>6</v>
      </c>
      <c r="M4268" t="s">
        <v>18127</v>
      </c>
      <c r="N4268" t="s">
        <v>47</v>
      </c>
      <c r="O4268" t="s">
        <v>9477</v>
      </c>
      <c r="P4268" t="s">
        <v>9477</v>
      </c>
      <c r="Y4268" t="s">
        <v>18128</v>
      </c>
    </row>
    <row r="4269" spans="1:25">
      <c r="A4269" t="s">
        <v>18129</v>
      </c>
      <c r="B4269" t="s">
        <v>18130</v>
      </c>
      <c r="D4269" t="s">
        <v>9473</v>
      </c>
      <c r="E4269" t="s">
        <v>9474</v>
      </c>
      <c r="J4269" t="s">
        <v>78</v>
      </c>
      <c r="K4269" t="s">
        <v>79</v>
      </c>
      <c r="L4269">
        <v>6</v>
      </c>
      <c r="M4269" t="s">
        <v>18127</v>
      </c>
      <c r="N4269" t="s">
        <v>47</v>
      </c>
      <c r="O4269" t="s">
        <v>9477</v>
      </c>
      <c r="P4269" t="s">
        <v>9477</v>
      </c>
      <c r="Y4269" t="s">
        <v>18131</v>
      </c>
    </row>
    <row r="4270" spans="1:25">
      <c r="A4270" t="s">
        <v>18132</v>
      </c>
      <c r="B4270" t="s">
        <v>18133</v>
      </c>
      <c r="D4270" t="s">
        <v>9473</v>
      </c>
      <c r="E4270" t="s">
        <v>9474</v>
      </c>
      <c r="J4270" t="s">
        <v>133</v>
      </c>
      <c r="K4270" t="s">
        <v>134</v>
      </c>
      <c r="L4270">
        <v>6</v>
      </c>
      <c r="M4270" t="s">
        <v>18127</v>
      </c>
      <c r="N4270" t="s">
        <v>290</v>
      </c>
      <c r="O4270" t="s">
        <v>9477</v>
      </c>
      <c r="P4270" t="s">
        <v>9477</v>
      </c>
      <c r="Y4270" t="s">
        <v>18134</v>
      </c>
    </row>
    <row r="4271" spans="1:25">
      <c r="A4271" t="s">
        <v>18135</v>
      </c>
      <c r="B4271" t="s">
        <v>18136</v>
      </c>
      <c r="D4271" t="s">
        <v>9473</v>
      </c>
      <c r="E4271" t="s">
        <v>9474</v>
      </c>
      <c r="J4271" t="s">
        <v>90</v>
      </c>
      <c r="K4271" t="s">
        <v>91</v>
      </c>
      <c r="L4271">
        <v>6</v>
      </c>
      <c r="M4271" t="s">
        <v>18127</v>
      </c>
      <c r="N4271" t="s">
        <v>47</v>
      </c>
      <c r="O4271" t="s">
        <v>9477</v>
      </c>
      <c r="P4271" t="s">
        <v>9477</v>
      </c>
      <c r="Y4271" t="s">
        <v>18137</v>
      </c>
    </row>
    <row r="4272" spans="1:25">
      <c r="A4272" t="s">
        <v>18138</v>
      </c>
      <c r="B4272" t="s">
        <v>18139</v>
      </c>
      <c r="D4272" t="s">
        <v>9473</v>
      </c>
      <c r="E4272" t="s">
        <v>9474</v>
      </c>
      <c r="J4272" t="s">
        <v>90</v>
      </c>
      <c r="K4272" t="s">
        <v>91</v>
      </c>
      <c r="L4272">
        <v>6</v>
      </c>
      <c r="M4272" t="s">
        <v>18140</v>
      </c>
      <c r="N4272" t="s">
        <v>47</v>
      </c>
      <c r="O4272" t="s">
        <v>9477</v>
      </c>
      <c r="P4272" t="s">
        <v>9477</v>
      </c>
      <c r="Y4272" t="s">
        <v>18141</v>
      </c>
    </row>
    <row r="4273" spans="1:25">
      <c r="A4273" t="s">
        <v>18142</v>
      </c>
      <c r="B4273" t="s">
        <v>18143</v>
      </c>
      <c r="D4273" t="s">
        <v>9473</v>
      </c>
      <c r="E4273" t="s">
        <v>9474</v>
      </c>
      <c r="J4273" t="s">
        <v>44</v>
      </c>
      <c r="K4273" t="s">
        <v>45</v>
      </c>
      <c r="L4273">
        <v>6</v>
      </c>
      <c r="M4273" t="s">
        <v>18140</v>
      </c>
      <c r="N4273" t="s">
        <v>47</v>
      </c>
      <c r="O4273" t="s">
        <v>9477</v>
      </c>
      <c r="P4273" t="s">
        <v>9477</v>
      </c>
      <c r="Y4273" t="s">
        <v>18144</v>
      </c>
    </row>
    <row r="4274" spans="1:25">
      <c r="A4274" t="s">
        <v>18145</v>
      </c>
      <c r="B4274" t="s">
        <v>18146</v>
      </c>
      <c r="D4274" t="s">
        <v>9473</v>
      </c>
      <c r="E4274" t="s">
        <v>9474</v>
      </c>
      <c r="H4274" t="s">
        <v>18147</v>
      </c>
      <c r="J4274" t="s">
        <v>44</v>
      </c>
      <c r="K4274" t="s">
        <v>45</v>
      </c>
      <c r="L4274">
        <v>6</v>
      </c>
      <c r="M4274" t="s">
        <v>18148</v>
      </c>
      <c r="N4274" t="s">
        <v>47</v>
      </c>
      <c r="O4274" t="s">
        <v>9477</v>
      </c>
      <c r="P4274" t="s">
        <v>9477</v>
      </c>
      <c r="Y4274" t="s">
        <v>18147</v>
      </c>
    </row>
    <row r="4275" spans="1:25">
      <c r="A4275" t="s">
        <v>18149</v>
      </c>
      <c r="B4275" t="s">
        <v>18150</v>
      </c>
      <c r="D4275" t="s">
        <v>9473</v>
      </c>
      <c r="E4275" t="s">
        <v>9474</v>
      </c>
      <c r="J4275" t="s">
        <v>90</v>
      </c>
      <c r="K4275" t="s">
        <v>91</v>
      </c>
      <c r="L4275">
        <v>6</v>
      </c>
      <c r="M4275" t="s">
        <v>18151</v>
      </c>
      <c r="N4275" t="s">
        <v>47</v>
      </c>
      <c r="O4275" t="s">
        <v>9477</v>
      </c>
      <c r="P4275" t="s">
        <v>9477</v>
      </c>
      <c r="Y4275" t="s">
        <v>18152</v>
      </c>
    </row>
    <row r="4276" spans="1:25">
      <c r="A4276" t="s">
        <v>18153</v>
      </c>
      <c r="B4276" t="s">
        <v>18154</v>
      </c>
      <c r="D4276" t="s">
        <v>9473</v>
      </c>
      <c r="E4276" t="s">
        <v>9474</v>
      </c>
      <c r="J4276" t="s">
        <v>44</v>
      </c>
      <c r="K4276" t="s">
        <v>45</v>
      </c>
      <c r="L4276">
        <v>6</v>
      </c>
      <c r="M4276" t="s">
        <v>18155</v>
      </c>
      <c r="N4276" t="s">
        <v>47</v>
      </c>
      <c r="O4276" t="s">
        <v>9477</v>
      </c>
      <c r="P4276" t="s">
        <v>9477</v>
      </c>
      <c r="Y4276" t="s">
        <v>18156</v>
      </c>
    </row>
    <row r="4277" spans="1:25">
      <c r="A4277" t="s">
        <v>18157</v>
      </c>
      <c r="B4277" t="s">
        <v>18158</v>
      </c>
      <c r="D4277" t="s">
        <v>9473</v>
      </c>
      <c r="E4277" t="s">
        <v>9474</v>
      </c>
      <c r="J4277" t="s">
        <v>371</v>
      </c>
      <c r="K4277" t="s">
        <v>372</v>
      </c>
      <c r="L4277">
        <v>6</v>
      </c>
      <c r="M4277" t="s">
        <v>18159</v>
      </c>
      <c r="N4277" t="s">
        <v>47</v>
      </c>
      <c r="O4277" t="s">
        <v>9477</v>
      </c>
      <c r="P4277" t="s">
        <v>9477</v>
      </c>
      <c r="Y4277" t="s">
        <v>18160</v>
      </c>
    </row>
    <row r="4278" spans="1:25">
      <c r="A4278" t="s">
        <v>18161</v>
      </c>
      <c r="B4278" t="s">
        <v>18162</v>
      </c>
      <c r="D4278" t="s">
        <v>9473</v>
      </c>
      <c r="E4278" t="s">
        <v>9474</v>
      </c>
      <c r="J4278" t="s">
        <v>44</v>
      </c>
      <c r="K4278" t="s">
        <v>45</v>
      </c>
      <c r="L4278">
        <v>6</v>
      </c>
      <c r="M4278" t="s">
        <v>18159</v>
      </c>
      <c r="N4278" t="s">
        <v>47</v>
      </c>
      <c r="O4278" t="s">
        <v>9477</v>
      </c>
      <c r="P4278" t="s">
        <v>9477</v>
      </c>
      <c r="Y4278" t="s">
        <v>18163</v>
      </c>
    </row>
    <row r="4279" spans="1:25">
      <c r="A4279" t="s">
        <v>18164</v>
      </c>
      <c r="B4279" t="s">
        <v>18165</v>
      </c>
      <c r="D4279" t="s">
        <v>9473</v>
      </c>
      <c r="E4279" t="s">
        <v>9474</v>
      </c>
      <c r="J4279" t="s">
        <v>54</v>
      </c>
      <c r="K4279" t="s">
        <v>55</v>
      </c>
      <c r="L4279">
        <v>6</v>
      </c>
      <c r="M4279" t="s">
        <v>18159</v>
      </c>
      <c r="N4279" t="s">
        <v>47</v>
      </c>
      <c r="O4279" t="s">
        <v>9477</v>
      </c>
      <c r="P4279" t="s">
        <v>9477</v>
      </c>
      <c r="Y4279" t="s">
        <v>18166</v>
      </c>
    </row>
    <row r="4280" spans="1:25">
      <c r="A4280" t="s">
        <v>18167</v>
      </c>
      <c r="B4280" t="s">
        <v>18168</v>
      </c>
      <c r="D4280" t="s">
        <v>9473</v>
      </c>
      <c r="E4280" t="s">
        <v>9474</v>
      </c>
      <c r="J4280" t="s">
        <v>44</v>
      </c>
      <c r="K4280" t="s">
        <v>45</v>
      </c>
      <c r="L4280">
        <v>6</v>
      </c>
      <c r="M4280" t="s">
        <v>18169</v>
      </c>
      <c r="N4280" t="s">
        <v>47</v>
      </c>
      <c r="O4280" t="s">
        <v>9477</v>
      </c>
      <c r="P4280" t="s">
        <v>9477</v>
      </c>
      <c r="Y4280" t="s">
        <v>18170</v>
      </c>
    </row>
    <row r="4281" spans="1:25">
      <c r="A4281" t="s">
        <v>18171</v>
      </c>
      <c r="B4281" t="s">
        <v>18172</v>
      </c>
      <c r="D4281" t="s">
        <v>9473</v>
      </c>
      <c r="E4281" t="s">
        <v>9474</v>
      </c>
      <c r="J4281" t="s">
        <v>133</v>
      </c>
      <c r="K4281" t="s">
        <v>134</v>
      </c>
      <c r="L4281">
        <v>6</v>
      </c>
      <c r="M4281" t="s">
        <v>18173</v>
      </c>
      <c r="N4281" t="s">
        <v>135</v>
      </c>
      <c r="O4281" t="s">
        <v>9477</v>
      </c>
      <c r="P4281" t="s">
        <v>9477</v>
      </c>
      <c r="Y4281" t="s">
        <v>18174</v>
      </c>
    </row>
    <row r="4282" spans="1:25">
      <c r="A4282" t="s">
        <v>18175</v>
      </c>
      <c r="B4282" t="s">
        <v>18176</v>
      </c>
      <c r="D4282" t="s">
        <v>9473</v>
      </c>
      <c r="E4282" t="s">
        <v>9474</v>
      </c>
      <c r="J4282" t="s">
        <v>54</v>
      </c>
      <c r="K4282" t="s">
        <v>55</v>
      </c>
      <c r="L4282">
        <v>6</v>
      </c>
      <c r="M4282" t="s">
        <v>18173</v>
      </c>
      <c r="N4282" t="s">
        <v>47</v>
      </c>
      <c r="O4282" t="s">
        <v>9477</v>
      </c>
      <c r="P4282" t="s">
        <v>9477</v>
      </c>
      <c r="Y4282" t="s">
        <v>18177</v>
      </c>
    </row>
    <row r="4283" spans="1:25">
      <c r="A4283" t="s">
        <v>18178</v>
      </c>
      <c r="B4283" t="s">
        <v>18179</v>
      </c>
      <c r="D4283" t="s">
        <v>9473</v>
      </c>
      <c r="E4283" t="s">
        <v>9474</v>
      </c>
      <c r="H4283" t="s">
        <v>18180</v>
      </c>
      <c r="J4283" t="s">
        <v>1827</v>
      </c>
      <c r="K4283" t="s">
        <v>1828</v>
      </c>
      <c r="L4283">
        <v>6</v>
      </c>
      <c r="M4283" t="s">
        <v>18181</v>
      </c>
      <c r="N4283" t="s">
        <v>47</v>
      </c>
      <c r="O4283" t="s">
        <v>9477</v>
      </c>
      <c r="P4283" t="s">
        <v>9477</v>
      </c>
      <c r="Y4283" t="s">
        <v>18180</v>
      </c>
    </row>
    <row r="4284" spans="1:25">
      <c r="A4284" t="s">
        <v>18182</v>
      </c>
      <c r="B4284" t="s">
        <v>18183</v>
      </c>
      <c r="D4284" t="s">
        <v>9473</v>
      </c>
      <c r="E4284" t="s">
        <v>9474</v>
      </c>
      <c r="J4284" t="s">
        <v>90</v>
      </c>
      <c r="K4284" t="s">
        <v>91</v>
      </c>
      <c r="L4284">
        <v>6</v>
      </c>
      <c r="M4284" t="s">
        <v>18184</v>
      </c>
      <c r="N4284" t="s">
        <v>47</v>
      </c>
      <c r="O4284" t="s">
        <v>9477</v>
      </c>
      <c r="P4284" t="s">
        <v>9477</v>
      </c>
      <c r="Y4284" t="s">
        <v>18185</v>
      </c>
    </row>
    <row r="4285" spans="1:25">
      <c r="A4285" t="s">
        <v>18186</v>
      </c>
      <c r="B4285" t="s">
        <v>18187</v>
      </c>
      <c r="D4285" t="s">
        <v>9473</v>
      </c>
      <c r="E4285" t="s">
        <v>9474</v>
      </c>
      <c r="J4285" t="s">
        <v>90</v>
      </c>
      <c r="K4285" t="s">
        <v>91</v>
      </c>
      <c r="L4285">
        <v>6</v>
      </c>
      <c r="M4285" t="s">
        <v>18188</v>
      </c>
      <c r="N4285" t="s">
        <v>47</v>
      </c>
      <c r="O4285" t="s">
        <v>9477</v>
      </c>
      <c r="P4285" t="s">
        <v>9477</v>
      </c>
      <c r="Y4285" t="s">
        <v>18189</v>
      </c>
    </row>
    <row r="4286" spans="1:25">
      <c r="A4286" t="s">
        <v>18190</v>
      </c>
      <c r="B4286" t="s">
        <v>18191</v>
      </c>
      <c r="D4286" t="s">
        <v>9473</v>
      </c>
      <c r="E4286" t="s">
        <v>9474</v>
      </c>
      <c r="J4286" t="s">
        <v>54</v>
      </c>
      <c r="K4286" t="s">
        <v>55</v>
      </c>
      <c r="L4286">
        <v>6</v>
      </c>
      <c r="M4286" t="s">
        <v>18192</v>
      </c>
      <c r="N4286" t="s">
        <v>47</v>
      </c>
      <c r="O4286" t="s">
        <v>9477</v>
      </c>
      <c r="P4286" t="s">
        <v>9477</v>
      </c>
      <c r="Y4286" t="s">
        <v>18193</v>
      </c>
    </row>
    <row r="4287" spans="1:25">
      <c r="A4287" t="s">
        <v>18194</v>
      </c>
      <c r="B4287" t="s">
        <v>18195</v>
      </c>
      <c r="D4287" t="s">
        <v>9473</v>
      </c>
      <c r="E4287" t="s">
        <v>9474</v>
      </c>
      <c r="J4287" t="s">
        <v>90</v>
      </c>
      <c r="K4287" t="s">
        <v>91</v>
      </c>
      <c r="L4287">
        <v>6</v>
      </c>
      <c r="M4287" t="s">
        <v>18196</v>
      </c>
      <c r="N4287" t="s">
        <v>47</v>
      </c>
      <c r="O4287" t="s">
        <v>9477</v>
      </c>
      <c r="P4287" t="s">
        <v>9477</v>
      </c>
      <c r="Y4287" t="s">
        <v>18197</v>
      </c>
    </row>
    <row r="4288" spans="1:25">
      <c r="A4288" t="s">
        <v>18198</v>
      </c>
      <c r="B4288" t="s">
        <v>18199</v>
      </c>
      <c r="D4288" t="s">
        <v>9473</v>
      </c>
      <c r="E4288" t="s">
        <v>9474</v>
      </c>
      <c r="J4288" t="s">
        <v>133</v>
      </c>
      <c r="K4288" t="s">
        <v>134</v>
      </c>
      <c r="L4288">
        <v>6</v>
      </c>
      <c r="M4288" t="s">
        <v>18200</v>
      </c>
      <c r="N4288" t="s">
        <v>685</v>
      </c>
      <c r="O4288" t="s">
        <v>9477</v>
      </c>
      <c r="P4288" t="s">
        <v>9477</v>
      </c>
      <c r="Y4288" t="s">
        <v>18201</v>
      </c>
    </row>
    <row r="4289" spans="1:25">
      <c r="A4289" t="s">
        <v>18202</v>
      </c>
      <c r="B4289" t="s">
        <v>18203</v>
      </c>
      <c r="D4289" t="s">
        <v>9473</v>
      </c>
      <c r="E4289" t="s">
        <v>9474</v>
      </c>
      <c r="J4289" t="s">
        <v>44</v>
      </c>
      <c r="K4289" t="s">
        <v>45</v>
      </c>
      <c r="L4289">
        <v>6</v>
      </c>
      <c r="M4289" t="s">
        <v>18200</v>
      </c>
      <c r="N4289" t="s">
        <v>47</v>
      </c>
      <c r="O4289" t="s">
        <v>9477</v>
      </c>
      <c r="P4289" t="s">
        <v>9477</v>
      </c>
      <c r="Y4289" t="s">
        <v>18204</v>
      </c>
    </row>
    <row r="4290" spans="1:25">
      <c r="A4290" t="s">
        <v>18205</v>
      </c>
      <c r="B4290" t="s">
        <v>18206</v>
      </c>
      <c r="D4290" t="s">
        <v>9473</v>
      </c>
      <c r="E4290" t="s">
        <v>9474</v>
      </c>
      <c r="J4290" t="s">
        <v>44</v>
      </c>
      <c r="K4290" t="s">
        <v>45</v>
      </c>
      <c r="L4290">
        <v>6</v>
      </c>
      <c r="M4290" t="s">
        <v>18207</v>
      </c>
      <c r="N4290" t="s">
        <v>47</v>
      </c>
      <c r="O4290" t="s">
        <v>9477</v>
      </c>
      <c r="P4290" t="s">
        <v>9477</v>
      </c>
      <c r="Y4290" t="s">
        <v>18208</v>
      </c>
    </row>
    <row r="4291" spans="1:25">
      <c r="A4291" t="s">
        <v>18209</v>
      </c>
      <c r="B4291" t="s">
        <v>18210</v>
      </c>
      <c r="D4291" t="s">
        <v>9473</v>
      </c>
      <c r="E4291" t="s">
        <v>9474</v>
      </c>
      <c r="H4291" t="s">
        <v>18211</v>
      </c>
      <c r="J4291" t="s">
        <v>234</v>
      </c>
      <c r="K4291" t="s">
        <v>235</v>
      </c>
      <c r="L4291">
        <v>6</v>
      </c>
      <c r="M4291" t="s">
        <v>18212</v>
      </c>
      <c r="N4291" t="s">
        <v>47</v>
      </c>
      <c r="O4291" t="s">
        <v>9477</v>
      </c>
      <c r="P4291" t="s">
        <v>9477</v>
      </c>
      <c r="Y4291" t="s">
        <v>18211</v>
      </c>
    </row>
    <row r="4292" spans="1:25">
      <c r="A4292" t="s">
        <v>18213</v>
      </c>
      <c r="B4292" t="s">
        <v>18214</v>
      </c>
      <c r="D4292" t="s">
        <v>9473</v>
      </c>
      <c r="E4292" t="s">
        <v>9474</v>
      </c>
      <c r="H4292" t="s">
        <v>18215</v>
      </c>
      <c r="J4292" t="s">
        <v>54</v>
      </c>
      <c r="K4292" t="s">
        <v>55</v>
      </c>
      <c r="L4292">
        <v>6</v>
      </c>
      <c r="M4292" t="s">
        <v>18216</v>
      </c>
      <c r="N4292" t="s">
        <v>47</v>
      </c>
      <c r="O4292" t="s">
        <v>9477</v>
      </c>
      <c r="P4292" t="s">
        <v>9477</v>
      </c>
      <c r="Y4292" t="s">
        <v>18215</v>
      </c>
    </row>
    <row r="4293" spans="1:25">
      <c r="A4293" t="s">
        <v>18217</v>
      </c>
      <c r="B4293" t="s">
        <v>18218</v>
      </c>
      <c r="D4293" t="s">
        <v>9473</v>
      </c>
      <c r="E4293" t="s">
        <v>9474</v>
      </c>
      <c r="J4293" t="s">
        <v>765</v>
      </c>
      <c r="K4293" t="s">
        <v>766</v>
      </c>
      <c r="L4293">
        <v>6</v>
      </c>
      <c r="M4293" t="s">
        <v>18219</v>
      </c>
      <c r="N4293" t="s">
        <v>685</v>
      </c>
      <c r="O4293" t="s">
        <v>9477</v>
      </c>
      <c r="P4293" t="s">
        <v>9477</v>
      </c>
      <c r="Y4293" t="s">
        <v>18220</v>
      </c>
    </row>
    <row r="4294" spans="1:25">
      <c r="A4294" t="s">
        <v>18221</v>
      </c>
      <c r="B4294" t="s">
        <v>18222</v>
      </c>
      <c r="D4294" t="s">
        <v>9473</v>
      </c>
      <c r="E4294" t="s">
        <v>9474</v>
      </c>
      <c r="J4294" t="s">
        <v>90</v>
      </c>
      <c r="K4294" t="s">
        <v>91</v>
      </c>
      <c r="L4294">
        <v>6</v>
      </c>
      <c r="M4294" t="s">
        <v>18219</v>
      </c>
      <c r="N4294" t="s">
        <v>47</v>
      </c>
      <c r="O4294" t="s">
        <v>9477</v>
      </c>
      <c r="P4294" t="s">
        <v>9477</v>
      </c>
      <c r="Y4294" t="s">
        <v>18223</v>
      </c>
    </row>
    <row r="4295" spans="1:25">
      <c r="A4295" t="s">
        <v>18224</v>
      </c>
      <c r="B4295" t="s">
        <v>18225</v>
      </c>
      <c r="D4295" t="s">
        <v>9473</v>
      </c>
      <c r="E4295" t="s">
        <v>9474</v>
      </c>
      <c r="J4295" t="s">
        <v>54</v>
      </c>
      <c r="K4295" t="s">
        <v>55</v>
      </c>
      <c r="L4295">
        <v>6</v>
      </c>
      <c r="M4295" t="s">
        <v>18226</v>
      </c>
      <c r="N4295" t="s">
        <v>47</v>
      </c>
      <c r="O4295" t="s">
        <v>9477</v>
      </c>
      <c r="P4295" t="s">
        <v>9477</v>
      </c>
      <c r="Y4295" t="s">
        <v>18227</v>
      </c>
    </row>
    <row r="4296" spans="1:25">
      <c r="A4296" t="s">
        <v>18228</v>
      </c>
      <c r="B4296" t="s">
        <v>18229</v>
      </c>
      <c r="D4296" t="s">
        <v>9473</v>
      </c>
      <c r="E4296" t="s">
        <v>9474</v>
      </c>
      <c r="J4296" t="s">
        <v>44</v>
      </c>
      <c r="K4296" t="s">
        <v>45</v>
      </c>
      <c r="L4296">
        <v>6</v>
      </c>
      <c r="M4296" t="s">
        <v>18226</v>
      </c>
      <c r="N4296" t="s">
        <v>47</v>
      </c>
      <c r="O4296" t="s">
        <v>9477</v>
      </c>
      <c r="P4296" t="s">
        <v>9477</v>
      </c>
      <c r="Y4296" t="s">
        <v>18230</v>
      </c>
    </row>
    <row r="4297" spans="1:25">
      <c r="A4297" t="s">
        <v>18231</v>
      </c>
      <c r="B4297" t="s">
        <v>18232</v>
      </c>
      <c r="D4297" t="s">
        <v>9473</v>
      </c>
      <c r="E4297" t="s">
        <v>9474</v>
      </c>
      <c r="H4297" t="s">
        <v>18233</v>
      </c>
      <c r="J4297" t="s">
        <v>234</v>
      </c>
      <c r="K4297" t="s">
        <v>235</v>
      </c>
      <c r="L4297">
        <v>6</v>
      </c>
      <c r="M4297" t="s">
        <v>18234</v>
      </c>
      <c r="N4297" t="s">
        <v>47</v>
      </c>
      <c r="O4297" t="s">
        <v>9477</v>
      </c>
      <c r="P4297" t="s">
        <v>9477</v>
      </c>
      <c r="Y4297" t="s">
        <v>18233</v>
      </c>
    </row>
    <row r="4298" spans="1:25">
      <c r="A4298" t="s">
        <v>18235</v>
      </c>
      <c r="B4298" t="s">
        <v>18236</v>
      </c>
      <c r="D4298" t="s">
        <v>9473</v>
      </c>
      <c r="E4298" t="s">
        <v>9474</v>
      </c>
      <c r="H4298" t="s">
        <v>18237</v>
      </c>
      <c r="J4298" t="s">
        <v>90</v>
      </c>
      <c r="K4298" t="s">
        <v>91</v>
      </c>
      <c r="L4298">
        <v>6</v>
      </c>
      <c r="M4298" t="s">
        <v>18238</v>
      </c>
      <c r="N4298" t="s">
        <v>47</v>
      </c>
      <c r="O4298" t="s">
        <v>9477</v>
      </c>
      <c r="P4298" t="s">
        <v>9477</v>
      </c>
      <c r="Y4298" t="s">
        <v>18237</v>
      </c>
    </row>
    <row r="4299" spans="1:25">
      <c r="A4299" t="s">
        <v>18239</v>
      </c>
      <c r="B4299" t="s">
        <v>18240</v>
      </c>
      <c r="D4299" t="s">
        <v>9473</v>
      </c>
      <c r="E4299" t="s">
        <v>9474</v>
      </c>
      <c r="J4299" t="s">
        <v>44</v>
      </c>
      <c r="K4299" t="s">
        <v>45</v>
      </c>
      <c r="L4299">
        <v>6</v>
      </c>
      <c r="M4299" t="s">
        <v>18241</v>
      </c>
      <c r="N4299" t="s">
        <v>47</v>
      </c>
      <c r="O4299" t="s">
        <v>9477</v>
      </c>
      <c r="P4299" t="s">
        <v>9477</v>
      </c>
      <c r="Y4299" t="s">
        <v>18242</v>
      </c>
    </row>
    <row r="4300" spans="1:25">
      <c r="A4300" t="s">
        <v>18243</v>
      </c>
      <c r="B4300" t="s">
        <v>18244</v>
      </c>
      <c r="D4300" t="s">
        <v>9473</v>
      </c>
      <c r="E4300" t="s">
        <v>9474</v>
      </c>
      <c r="J4300" t="s">
        <v>90</v>
      </c>
      <c r="K4300" t="s">
        <v>91</v>
      </c>
      <c r="L4300">
        <v>6</v>
      </c>
      <c r="M4300" t="s">
        <v>18245</v>
      </c>
      <c r="N4300" t="s">
        <v>47</v>
      </c>
      <c r="O4300" t="s">
        <v>9477</v>
      </c>
      <c r="P4300" t="s">
        <v>9477</v>
      </c>
      <c r="Y4300" t="s">
        <v>18246</v>
      </c>
    </row>
    <row r="4301" spans="1:25">
      <c r="A4301" t="s">
        <v>18247</v>
      </c>
      <c r="B4301" t="s">
        <v>18248</v>
      </c>
      <c r="D4301" t="s">
        <v>9473</v>
      </c>
      <c r="E4301" t="s">
        <v>9474</v>
      </c>
      <c r="J4301" t="s">
        <v>133</v>
      </c>
      <c r="K4301" t="s">
        <v>134</v>
      </c>
      <c r="L4301">
        <v>6</v>
      </c>
      <c r="M4301" t="s">
        <v>18249</v>
      </c>
      <c r="N4301" t="s">
        <v>685</v>
      </c>
      <c r="O4301" t="s">
        <v>9477</v>
      </c>
      <c r="P4301" t="s">
        <v>9477</v>
      </c>
      <c r="Y4301" t="s">
        <v>18250</v>
      </c>
    </row>
    <row r="4302" spans="1:25">
      <c r="A4302" t="s">
        <v>18251</v>
      </c>
      <c r="B4302" t="s">
        <v>18252</v>
      </c>
      <c r="D4302" t="s">
        <v>9473</v>
      </c>
      <c r="E4302" t="s">
        <v>9474</v>
      </c>
      <c r="H4302" t="s">
        <v>18253</v>
      </c>
      <c r="J4302" t="s">
        <v>90</v>
      </c>
      <c r="K4302" t="s">
        <v>91</v>
      </c>
      <c r="L4302">
        <v>6</v>
      </c>
      <c r="M4302" t="s">
        <v>18254</v>
      </c>
      <c r="N4302" t="s">
        <v>47</v>
      </c>
      <c r="O4302" t="s">
        <v>9477</v>
      </c>
      <c r="P4302" t="s">
        <v>9477</v>
      </c>
      <c r="Y4302" t="s">
        <v>18253</v>
      </c>
    </row>
    <row r="4303" spans="1:25">
      <c r="A4303" t="s">
        <v>18255</v>
      </c>
      <c r="B4303" t="s">
        <v>18256</v>
      </c>
      <c r="D4303" t="s">
        <v>9473</v>
      </c>
      <c r="E4303" t="s">
        <v>9474</v>
      </c>
      <c r="J4303" t="s">
        <v>90</v>
      </c>
      <c r="K4303" t="s">
        <v>91</v>
      </c>
      <c r="L4303">
        <v>6</v>
      </c>
      <c r="M4303" t="s">
        <v>18257</v>
      </c>
      <c r="N4303" t="s">
        <v>47</v>
      </c>
      <c r="O4303" t="s">
        <v>9477</v>
      </c>
      <c r="P4303" t="s">
        <v>9477</v>
      </c>
      <c r="Y4303" t="s">
        <v>18258</v>
      </c>
    </row>
    <row r="4304" spans="1:25">
      <c r="A4304" t="s">
        <v>18259</v>
      </c>
      <c r="B4304" t="s">
        <v>18260</v>
      </c>
      <c r="D4304" t="s">
        <v>9473</v>
      </c>
      <c r="E4304" t="s">
        <v>9474</v>
      </c>
      <c r="H4304" t="s">
        <v>18261</v>
      </c>
      <c r="J4304" t="s">
        <v>78</v>
      </c>
      <c r="K4304" t="s">
        <v>79</v>
      </c>
      <c r="L4304">
        <v>6</v>
      </c>
      <c r="M4304" t="s">
        <v>18262</v>
      </c>
      <c r="N4304" t="s">
        <v>47</v>
      </c>
      <c r="O4304" t="s">
        <v>9477</v>
      </c>
      <c r="P4304" t="s">
        <v>9477</v>
      </c>
      <c r="Y4304" t="s">
        <v>18261</v>
      </c>
    </row>
    <row r="4305" spans="1:25">
      <c r="A4305" t="s">
        <v>18263</v>
      </c>
      <c r="B4305" t="s">
        <v>18264</v>
      </c>
      <c r="D4305" t="s">
        <v>9473</v>
      </c>
      <c r="E4305" t="s">
        <v>9474</v>
      </c>
      <c r="H4305" t="s">
        <v>18265</v>
      </c>
      <c r="J4305" t="s">
        <v>133</v>
      </c>
      <c r="K4305" t="s">
        <v>134</v>
      </c>
      <c r="L4305">
        <v>6</v>
      </c>
      <c r="M4305" t="s">
        <v>18266</v>
      </c>
      <c r="N4305" t="s">
        <v>290</v>
      </c>
      <c r="O4305" t="s">
        <v>9477</v>
      </c>
      <c r="P4305" t="s">
        <v>9477</v>
      </c>
      <c r="Y4305" t="s">
        <v>18265</v>
      </c>
    </row>
    <row r="4306" spans="1:25">
      <c r="A4306" t="s">
        <v>18267</v>
      </c>
      <c r="B4306" t="s">
        <v>18268</v>
      </c>
      <c r="D4306" t="s">
        <v>9473</v>
      </c>
      <c r="E4306" t="s">
        <v>9474</v>
      </c>
      <c r="J4306" t="s">
        <v>90</v>
      </c>
      <c r="K4306" t="s">
        <v>91</v>
      </c>
      <c r="L4306">
        <v>6</v>
      </c>
      <c r="M4306" t="s">
        <v>18269</v>
      </c>
      <c r="N4306" t="s">
        <v>47</v>
      </c>
      <c r="O4306" t="s">
        <v>9477</v>
      </c>
      <c r="P4306" t="s">
        <v>9477</v>
      </c>
      <c r="Y4306" t="s">
        <v>18270</v>
      </c>
    </row>
    <row r="4307" spans="1:25">
      <c r="A4307" t="s">
        <v>18271</v>
      </c>
      <c r="B4307" t="s">
        <v>18272</v>
      </c>
      <c r="D4307" t="s">
        <v>9473</v>
      </c>
      <c r="E4307" t="s">
        <v>9474</v>
      </c>
      <c r="J4307" t="s">
        <v>133</v>
      </c>
      <c r="K4307" t="s">
        <v>134</v>
      </c>
      <c r="L4307">
        <v>6</v>
      </c>
      <c r="M4307" t="s">
        <v>18273</v>
      </c>
      <c r="N4307" t="s">
        <v>685</v>
      </c>
      <c r="O4307" t="s">
        <v>9477</v>
      </c>
      <c r="P4307" t="s">
        <v>9477</v>
      </c>
      <c r="Y4307" t="s">
        <v>18274</v>
      </c>
    </row>
    <row r="4308" spans="1:25">
      <c r="A4308" t="s">
        <v>18275</v>
      </c>
      <c r="B4308" t="s">
        <v>18276</v>
      </c>
      <c r="D4308" t="s">
        <v>9473</v>
      </c>
      <c r="E4308" t="s">
        <v>9474</v>
      </c>
      <c r="J4308" t="s">
        <v>54</v>
      </c>
      <c r="K4308" t="s">
        <v>55</v>
      </c>
      <c r="L4308">
        <v>6</v>
      </c>
      <c r="M4308" t="s">
        <v>18273</v>
      </c>
      <c r="N4308" t="s">
        <v>47</v>
      </c>
      <c r="O4308" t="s">
        <v>9477</v>
      </c>
      <c r="P4308" t="s">
        <v>9477</v>
      </c>
      <c r="Y4308" t="s">
        <v>18277</v>
      </c>
    </row>
    <row r="4309" spans="1:25">
      <c r="A4309" t="s">
        <v>18278</v>
      </c>
      <c r="B4309" t="s">
        <v>18279</v>
      </c>
      <c r="D4309" t="s">
        <v>9473</v>
      </c>
      <c r="E4309" t="s">
        <v>9474</v>
      </c>
      <c r="H4309" t="s">
        <v>18280</v>
      </c>
      <c r="J4309" t="s">
        <v>234</v>
      </c>
      <c r="K4309" t="s">
        <v>235</v>
      </c>
      <c r="L4309">
        <v>6</v>
      </c>
      <c r="M4309" t="s">
        <v>18281</v>
      </c>
      <c r="N4309" t="s">
        <v>47</v>
      </c>
      <c r="O4309" t="s">
        <v>9477</v>
      </c>
      <c r="P4309" t="s">
        <v>9477</v>
      </c>
      <c r="Y4309" t="s">
        <v>18280</v>
      </c>
    </row>
    <row r="4310" spans="1:25">
      <c r="A4310" t="s">
        <v>18282</v>
      </c>
      <c r="B4310" t="s">
        <v>18283</v>
      </c>
      <c r="D4310" t="s">
        <v>9473</v>
      </c>
      <c r="E4310" t="s">
        <v>9474</v>
      </c>
      <c r="J4310" t="s">
        <v>44</v>
      </c>
      <c r="K4310" t="s">
        <v>45</v>
      </c>
      <c r="L4310">
        <v>6</v>
      </c>
      <c r="M4310" t="s">
        <v>18284</v>
      </c>
      <c r="N4310" t="s">
        <v>47</v>
      </c>
      <c r="O4310" t="s">
        <v>9477</v>
      </c>
      <c r="P4310" t="s">
        <v>9477</v>
      </c>
      <c r="Y4310" t="s">
        <v>18285</v>
      </c>
    </row>
    <row r="4311" spans="1:25">
      <c r="A4311" t="s">
        <v>18286</v>
      </c>
      <c r="B4311" t="s">
        <v>18287</v>
      </c>
      <c r="D4311" t="s">
        <v>9473</v>
      </c>
      <c r="E4311" t="s">
        <v>9474</v>
      </c>
      <c r="J4311" t="s">
        <v>90</v>
      </c>
      <c r="K4311" t="s">
        <v>91</v>
      </c>
      <c r="L4311">
        <v>6</v>
      </c>
      <c r="M4311" t="s">
        <v>18288</v>
      </c>
      <c r="N4311" t="s">
        <v>47</v>
      </c>
      <c r="O4311" t="s">
        <v>9477</v>
      </c>
      <c r="P4311" t="s">
        <v>9477</v>
      </c>
      <c r="Y4311" t="s">
        <v>18289</v>
      </c>
    </row>
    <row r="4312" spans="1:25">
      <c r="A4312" t="s">
        <v>18290</v>
      </c>
      <c r="B4312" t="s">
        <v>18291</v>
      </c>
      <c r="D4312" t="s">
        <v>9473</v>
      </c>
      <c r="E4312" t="s">
        <v>9474</v>
      </c>
      <c r="H4312" t="s">
        <v>18292</v>
      </c>
      <c r="J4312" t="s">
        <v>133</v>
      </c>
      <c r="K4312" t="s">
        <v>134</v>
      </c>
      <c r="L4312">
        <v>6</v>
      </c>
      <c r="M4312" t="s">
        <v>18293</v>
      </c>
      <c r="N4312" t="s">
        <v>685</v>
      </c>
      <c r="O4312" t="s">
        <v>9477</v>
      </c>
      <c r="P4312" t="s">
        <v>9477</v>
      </c>
      <c r="Y4312" t="s">
        <v>18292</v>
      </c>
    </row>
    <row r="4313" spans="1:25">
      <c r="A4313" t="s">
        <v>18294</v>
      </c>
      <c r="B4313" t="s">
        <v>18295</v>
      </c>
      <c r="D4313" t="s">
        <v>9473</v>
      </c>
      <c r="E4313" t="s">
        <v>9474</v>
      </c>
      <c r="H4313" t="s">
        <v>18296</v>
      </c>
      <c r="J4313" t="s">
        <v>90</v>
      </c>
      <c r="K4313" t="s">
        <v>91</v>
      </c>
      <c r="L4313">
        <v>6</v>
      </c>
      <c r="M4313" t="s">
        <v>18297</v>
      </c>
      <c r="N4313" t="s">
        <v>47</v>
      </c>
      <c r="O4313" t="s">
        <v>9477</v>
      </c>
      <c r="P4313" t="s">
        <v>9477</v>
      </c>
      <c r="Y4313" t="s">
        <v>18296</v>
      </c>
    </row>
    <row r="4314" spans="1:25">
      <c r="A4314" t="s">
        <v>18298</v>
      </c>
      <c r="B4314" t="s">
        <v>18299</v>
      </c>
      <c r="D4314" t="s">
        <v>9473</v>
      </c>
      <c r="E4314" t="s">
        <v>9474</v>
      </c>
      <c r="H4314" t="s">
        <v>18300</v>
      </c>
      <c r="J4314" t="s">
        <v>44</v>
      </c>
      <c r="K4314" t="s">
        <v>45</v>
      </c>
      <c r="L4314">
        <v>6</v>
      </c>
      <c r="M4314" t="s">
        <v>18301</v>
      </c>
      <c r="N4314" t="s">
        <v>47</v>
      </c>
      <c r="O4314" t="s">
        <v>9477</v>
      </c>
      <c r="P4314" t="s">
        <v>9477</v>
      </c>
      <c r="Y4314" t="s">
        <v>18300</v>
      </c>
    </row>
    <row r="4315" spans="1:25">
      <c r="A4315" t="s">
        <v>18302</v>
      </c>
      <c r="B4315" t="s">
        <v>18303</v>
      </c>
      <c r="D4315" t="s">
        <v>9473</v>
      </c>
      <c r="E4315" t="s">
        <v>9474</v>
      </c>
      <c r="J4315" t="s">
        <v>90</v>
      </c>
      <c r="K4315" t="s">
        <v>91</v>
      </c>
      <c r="L4315">
        <v>6</v>
      </c>
      <c r="M4315" t="s">
        <v>18304</v>
      </c>
      <c r="N4315" t="s">
        <v>47</v>
      </c>
      <c r="O4315" t="s">
        <v>9477</v>
      </c>
      <c r="P4315" t="s">
        <v>9477</v>
      </c>
      <c r="Y4315" t="s">
        <v>18305</v>
      </c>
    </row>
    <row r="4316" spans="1:25">
      <c r="A4316" t="s">
        <v>18306</v>
      </c>
      <c r="B4316" t="s">
        <v>18307</v>
      </c>
      <c r="D4316" t="s">
        <v>9473</v>
      </c>
      <c r="E4316" t="s">
        <v>9474</v>
      </c>
      <c r="H4316" t="s">
        <v>18308</v>
      </c>
      <c r="J4316" t="s">
        <v>90</v>
      </c>
      <c r="K4316" t="s">
        <v>91</v>
      </c>
      <c r="L4316">
        <v>6</v>
      </c>
      <c r="M4316" t="s">
        <v>18309</v>
      </c>
      <c r="N4316" t="s">
        <v>47</v>
      </c>
      <c r="O4316" t="s">
        <v>9477</v>
      </c>
      <c r="P4316" t="s">
        <v>9477</v>
      </c>
      <c r="Y4316" t="s">
        <v>18308</v>
      </c>
    </row>
    <row r="4317" spans="1:25">
      <c r="A4317" t="s">
        <v>18310</v>
      </c>
      <c r="B4317" t="s">
        <v>18311</v>
      </c>
      <c r="D4317" t="s">
        <v>9473</v>
      </c>
      <c r="E4317" t="s">
        <v>9474</v>
      </c>
      <c r="J4317" t="s">
        <v>44</v>
      </c>
      <c r="K4317" t="s">
        <v>45</v>
      </c>
      <c r="L4317">
        <v>6</v>
      </c>
      <c r="M4317" t="s">
        <v>18312</v>
      </c>
      <c r="N4317" t="s">
        <v>47</v>
      </c>
      <c r="O4317" t="s">
        <v>9477</v>
      </c>
      <c r="P4317" t="s">
        <v>9477</v>
      </c>
      <c r="Y4317" t="s">
        <v>18313</v>
      </c>
    </row>
    <row r="4318" spans="1:25">
      <c r="A4318" t="s">
        <v>18314</v>
      </c>
      <c r="B4318" t="s">
        <v>18315</v>
      </c>
      <c r="D4318" t="s">
        <v>9473</v>
      </c>
      <c r="E4318" t="s">
        <v>9474</v>
      </c>
      <c r="H4318" t="s">
        <v>18316</v>
      </c>
      <c r="J4318" t="s">
        <v>90</v>
      </c>
      <c r="K4318" t="s">
        <v>91</v>
      </c>
      <c r="L4318">
        <v>6</v>
      </c>
      <c r="M4318" t="s">
        <v>18317</v>
      </c>
      <c r="N4318" t="s">
        <v>47</v>
      </c>
      <c r="O4318" t="s">
        <v>9477</v>
      </c>
      <c r="P4318" t="s">
        <v>9477</v>
      </c>
      <c r="Y4318" t="s">
        <v>18316</v>
      </c>
    </row>
    <row r="4319" spans="1:25">
      <c r="A4319" t="s">
        <v>18318</v>
      </c>
      <c r="B4319" t="s">
        <v>18319</v>
      </c>
      <c r="D4319" t="s">
        <v>9473</v>
      </c>
      <c r="E4319" t="s">
        <v>9474</v>
      </c>
      <c r="J4319" t="s">
        <v>90</v>
      </c>
      <c r="K4319" t="s">
        <v>91</v>
      </c>
      <c r="L4319">
        <v>6</v>
      </c>
      <c r="M4319" t="s">
        <v>18317</v>
      </c>
      <c r="N4319" t="s">
        <v>47</v>
      </c>
      <c r="O4319" t="s">
        <v>9477</v>
      </c>
      <c r="P4319" t="s">
        <v>9477</v>
      </c>
      <c r="Y4319" t="s">
        <v>18320</v>
      </c>
    </row>
    <row r="4320" spans="1:25">
      <c r="A4320" t="s">
        <v>18321</v>
      </c>
      <c r="B4320" t="s">
        <v>18322</v>
      </c>
      <c r="D4320" t="s">
        <v>9473</v>
      </c>
      <c r="E4320" t="s">
        <v>9474</v>
      </c>
      <c r="J4320" t="s">
        <v>54</v>
      </c>
      <c r="K4320" t="s">
        <v>55</v>
      </c>
      <c r="L4320">
        <v>6</v>
      </c>
      <c r="M4320" t="s">
        <v>18317</v>
      </c>
      <c r="N4320" t="s">
        <v>47</v>
      </c>
      <c r="O4320" t="s">
        <v>9477</v>
      </c>
      <c r="P4320" t="s">
        <v>9477</v>
      </c>
      <c r="Y4320" t="s">
        <v>18323</v>
      </c>
    </row>
    <row r="4321" spans="1:25">
      <c r="A4321" t="s">
        <v>18324</v>
      </c>
      <c r="B4321" t="s">
        <v>18325</v>
      </c>
      <c r="D4321" t="s">
        <v>9473</v>
      </c>
      <c r="E4321" t="s">
        <v>9474</v>
      </c>
      <c r="J4321" t="s">
        <v>44</v>
      </c>
      <c r="K4321" t="s">
        <v>45</v>
      </c>
      <c r="L4321">
        <v>6</v>
      </c>
      <c r="M4321" t="s">
        <v>18326</v>
      </c>
      <c r="N4321" t="s">
        <v>47</v>
      </c>
      <c r="O4321" t="s">
        <v>9477</v>
      </c>
      <c r="P4321" t="s">
        <v>9477</v>
      </c>
      <c r="Y4321" t="s">
        <v>18327</v>
      </c>
    </row>
    <row r="4322" spans="1:25">
      <c r="A4322" t="s">
        <v>18328</v>
      </c>
      <c r="B4322" t="s">
        <v>18329</v>
      </c>
      <c r="D4322" t="s">
        <v>9473</v>
      </c>
      <c r="E4322" t="s">
        <v>9474</v>
      </c>
      <c r="J4322" t="s">
        <v>44</v>
      </c>
      <c r="K4322" t="s">
        <v>45</v>
      </c>
      <c r="L4322">
        <v>6</v>
      </c>
      <c r="M4322" t="s">
        <v>18330</v>
      </c>
      <c r="N4322" t="s">
        <v>47</v>
      </c>
      <c r="O4322" t="s">
        <v>9477</v>
      </c>
      <c r="P4322" t="s">
        <v>9477</v>
      </c>
      <c r="Y4322" t="s">
        <v>18331</v>
      </c>
    </row>
    <row r="4323" spans="1:25">
      <c r="A4323" t="s">
        <v>18332</v>
      </c>
      <c r="B4323" t="s">
        <v>18333</v>
      </c>
      <c r="D4323" t="s">
        <v>9473</v>
      </c>
      <c r="E4323" t="s">
        <v>9474</v>
      </c>
      <c r="H4323" t="s">
        <v>18334</v>
      </c>
      <c r="J4323" t="s">
        <v>90</v>
      </c>
      <c r="K4323" t="s">
        <v>91</v>
      </c>
      <c r="L4323">
        <v>6</v>
      </c>
      <c r="M4323" t="s">
        <v>18335</v>
      </c>
      <c r="N4323" t="s">
        <v>47</v>
      </c>
      <c r="O4323" t="s">
        <v>9477</v>
      </c>
      <c r="P4323" t="s">
        <v>9477</v>
      </c>
      <c r="Y4323" t="s">
        <v>18334</v>
      </c>
    </row>
    <row r="4324" spans="1:25">
      <c r="A4324" t="s">
        <v>18336</v>
      </c>
      <c r="B4324" t="s">
        <v>18337</v>
      </c>
      <c r="D4324" t="s">
        <v>9473</v>
      </c>
      <c r="E4324" t="s">
        <v>9474</v>
      </c>
      <c r="J4324" t="s">
        <v>44</v>
      </c>
      <c r="K4324" t="s">
        <v>45</v>
      </c>
      <c r="L4324">
        <v>6</v>
      </c>
      <c r="M4324" t="s">
        <v>18338</v>
      </c>
      <c r="N4324" t="s">
        <v>47</v>
      </c>
      <c r="O4324" t="s">
        <v>9477</v>
      </c>
      <c r="P4324" t="s">
        <v>9477</v>
      </c>
      <c r="Y4324" t="s">
        <v>18339</v>
      </c>
    </row>
    <row r="4325" spans="1:25">
      <c r="A4325" t="s">
        <v>18340</v>
      </c>
      <c r="B4325" t="s">
        <v>18341</v>
      </c>
      <c r="D4325" t="s">
        <v>9473</v>
      </c>
      <c r="E4325" t="s">
        <v>9474</v>
      </c>
      <c r="H4325" t="s">
        <v>18342</v>
      </c>
      <c r="J4325" t="s">
        <v>78</v>
      </c>
      <c r="K4325" t="s">
        <v>79</v>
      </c>
      <c r="L4325">
        <v>6</v>
      </c>
      <c r="M4325" t="s">
        <v>18343</v>
      </c>
      <c r="N4325" t="s">
        <v>47</v>
      </c>
      <c r="O4325" t="s">
        <v>9477</v>
      </c>
      <c r="P4325" t="s">
        <v>9477</v>
      </c>
      <c r="Y4325" t="s">
        <v>18342</v>
      </c>
    </row>
    <row r="4326" spans="1:25">
      <c r="A4326" t="s">
        <v>18344</v>
      </c>
      <c r="B4326" t="s">
        <v>18345</v>
      </c>
      <c r="D4326" t="s">
        <v>9473</v>
      </c>
      <c r="E4326" t="s">
        <v>9474</v>
      </c>
      <c r="J4326" t="s">
        <v>133</v>
      </c>
      <c r="K4326" t="s">
        <v>134</v>
      </c>
      <c r="L4326">
        <v>6</v>
      </c>
      <c r="M4326" t="s">
        <v>18346</v>
      </c>
      <c r="N4326" t="s">
        <v>685</v>
      </c>
      <c r="O4326" t="s">
        <v>9477</v>
      </c>
      <c r="P4326" t="s">
        <v>9477</v>
      </c>
      <c r="Y4326" t="s">
        <v>18347</v>
      </c>
    </row>
    <row r="4327" spans="1:25">
      <c r="A4327" t="s">
        <v>18348</v>
      </c>
      <c r="B4327" t="s">
        <v>18349</v>
      </c>
      <c r="D4327" t="s">
        <v>9473</v>
      </c>
      <c r="E4327" t="s">
        <v>9474</v>
      </c>
      <c r="H4327" t="s">
        <v>18350</v>
      </c>
      <c r="J4327" t="s">
        <v>90</v>
      </c>
      <c r="K4327" t="s">
        <v>91</v>
      </c>
      <c r="L4327">
        <v>6</v>
      </c>
      <c r="M4327" t="s">
        <v>18351</v>
      </c>
      <c r="N4327" t="s">
        <v>47</v>
      </c>
      <c r="O4327" t="s">
        <v>9477</v>
      </c>
      <c r="P4327" t="s">
        <v>9477</v>
      </c>
      <c r="Y4327" t="s">
        <v>18350</v>
      </c>
    </row>
    <row r="4328" spans="1:25">
      <c r="A4328" t="s">
        <v>18352</v>
      </c>
      <c r="B4328" t="s">
        <v>18353</v>
      </c>
      <c r="D4328" t="s">
        <v>9473</v>
      </c>
      <c r="E4328" t="s">
        <v>9474</v>
      </c>
      <c r="J4328" t="s">
        <v>90</v>
      </c>
      <c r="K4328" t="s">
        <v>91</v>
      </c>
      <c r="L4328">
        <v>6</v>
      </c>
      <c r="M4328" t="s">
        <v>18354</v>
      </c>
      <c r="N4328" t="s">
        <v>47</v>
      </c>
      <c r="O4328" t="s">
        <v>9477</v>
      </c>
      <c r="P4328" t="s">
        <v>9477</v>
      </c>
      <c r="Y4328" t="s">
        <v>18355</v>
      </c>
    </row>
    <row r="4329" spans="1:25">
      <c r="A4329" t="s">
        <v>18356</v>
      </c>
      <c r="B4329" t="s">
        <v>18357</v>
      </c>
      <c r="D4329" t="s">
        <v>9473</v>
      </c>
      <c r="E4329" t="s">
        <v>9474</v>
      </c>
      <c r="J4329" t="s">
        <v>90</v>
      </c>
      <c r="K4329" t="s">
        <v>91</v>
      </c>
      <c r="L4329">
        <v>6</v>
      </c>
      <c r="M4329" t="s">
        <v>18354</v>
      </c>
      <c r="N4329" t="s">
        <v>47</v>
      </c>
      <c r="O4329" t="s">
        <v>9477</v>
      </c>
      <c r="P4329" t="s">
        <v>9477</v>
      </c>
      <c r="Y4329" t="s">
        <v>18358</v>
      </c>
    </row>
    <row r="4330" spans="1:25">
      <c r="A4330" t="s">
        <v>18359</v>
      </c>
      <c r="B4330" t="s">
        <v>18360</v>
      </c>
      <c r="D4330" t="s">
        <v>9473</v>
      </c>
      <c r="E4330" t="s">
        <v>9474</v>
      </c>
      <c r="J4330" t="s">
        <v>371</v>
      </c>
      <c r="K4330" t="s">
        <v>372</v>
      </c>
      <c r="L4330">
        <v>6</v>
      </c>
      <c r="M4330" t="s">
        <v>18354</v>
      </c>
      <c r="N4330" t="s">
        <v>47</v>
      </c>
      <c r="O4330" t="s">
        <v>9477</v>
      </c>
      <c r="P4330" t="s">
        <v>9477</v>
      </c>
      <c r="Y4330" t="s">
        <v>18361</v>
      </c>
    </row>
    <row r="4331" spans="1:25">
      <c r="A4331" t="s">
        <v>18362</v>
      </c>
      <c r="B4331" t="s">
        <v>18363</v>
      </c>
      <c r="D4331" t="s">
        <v>9473</v>
      </c>
      <c r="E4331" t="s">
        <v>9474</v>
      </c>
      <c r="J4331" t="s">
        <v>371</v>
      </c>
      <c r="K4331" t="s">
        <v>372</v>
      </c>
      <c r="L4331">
        <v>6</v>
      </c>
      <c r="M4331" t="s">
        <v>18364</v>
      </c>
      <c r="N4331" t="s">
        <v>47</v>
      </c>
      <c r="O4331" t="s">
        <v>9477</v>
      </c>
      <c r="P4331" t="s">
        <v>9477</v>
      </c>
      <c r="Y4331" t="s">
        <v>18365</v>
      </c>
    </row>
    <row r="4332" spans="1:25">
      <c r="A4332" t="s">
        <v>18366</v>
      </c>
      <c r="B4332" t="s">
        <v>18367</v>
      </c>
      <c r="D4332" t="s">
        <v>9473</v>
      </c>
      <c r="E4332" t="s">
        <v>9474</v>
      </c>
      <c r="H4332" t="s">
        <v>18368</v>
      </c>
      <c r="J4332" t="s">
        <v>133</v>
      </c>
      <c r="K4332" t="s">
        <v>134</v>
      </c>
      <c r="L4332">
        <v>6</v>
      </c>
      <c r="M4332" t="s">
        <v>18369</v>
      </c>
      <c r="N4332" t="s">
        <v>685</v>
      </c>
      <c r="O4332" t="s">
        <v>9477</v>
      </c>
      <c r="P4332" t="s">
        <v>9477</v>
      </c>
      <c r="Y4332" t="s">
        <v>18368</v>
      </c>
    </row>
    <row r="4333" spans="1:25">
      <c r="A4333" t="s">
        <v>18370</v>
      </c>
      <c r="B4333" t="s">
        <v>18371</v>
      </c>
      <c r="D4333" t="s">
        <v>9473</v>
      </c>
      <c r="E4333" t="s">
        <v>9474</v>
      </c>
      <c r="J4333" t="s">
        <v>90</v>
      </c>
      <c r="K4333" t="s">
        <v>91</v>
      </c>
      <c r="L4333">
        <v>6</v>
      </c>
      <c r="M4333" t="s">
        <v>18372</v>
      </c>
      <c r="N4333" t="s">
        <v>47</v>
      </c>
      <c r="O4333" t="s">
        <v>9477</v>
      </c>
      <c r="P4333" t="s">
        <v>9477</v>
      </c>
      <c r="Y4333" t="s">
        <v>18373</v>
      </c>
    </row>
    <row r="4334" spans="1:25">
      <c r="A4334" t="s">
        <v>18374</v>
      </c>
      <c r="B4334" t="s">
        <v>18375</v>
      </c>
      <c r="D4334" t="s">
        <v>9473</v>
      </c>
      <c r="E4334" t="s">
        <v>9474</v>
      </c>
      <c r="H4334" t="s">
        <v>18376</v>
      </c>
      <c r="J4334" t="s">
        <v>78</v>
      </c>
      <c r="K4334" t="s">
        <v>79</v>
      </c>
      <c r="L4334">
        <v>6</v>
      </c>
      <c r="M4334" t="s">
        <v>18377</v>
      </c>
      <c r="N4334" t="s">
        <v>47</v>
      </c>
      <c r="O4334" t="s">
        <v>9477</v>
      </c>
      <c r="P4334" t="s">
        <v>9477</v>
      </c>
      <c r="Y4334" t="s">
        <v>18376</v>
      </c>
    </row>
    <row r="4335" spans="1:25">
      <c r="A4335" t="s">
        <v>18378</v>
      </c>
      <c r="B4335" t="s">
        <v>18379</v>
      </c>
      <c r="D4335" t="s">
        <v>9473</v>
      </c>
      <c r="E4335" t="s">
        <v>9474</v>
      </c>
      <c r="J4335" t="s">
        <v>90</v>
      </c>
      <c r="K4335" t="s">
        <v>91</v>
      </c>
      <c r="L4335">
        <v>6</v>
      </c>
      <c r="M4335" t="s">
        <v>18377</v>
      </c>
      <c r="N4335" t="s">
        <v>47</v>
      </c>
      <c r="O4335" t="s">
        <v>9477</v>
      </c>
      <c r="P4335" t="s">
        <v>9477</v>
      </c>
      <c r="Y4335" t="s">
        <v>18380</v>
      </c>
    </row>
    <row r="4336" spans="1:25">
      <c r="A4336" t="s">
        <v>18381</v>
      </c>
      <c r="B4336" t="s">
        <v>18382</v>
      </c>
      <c r="D4336" t="s">
        <v>9473</v>
      </c>
      <c r="E4336" t="s">
        <v>9474</v>
      </c>
      <c r="J4336" t="s">
        <v>90</v>
      </c>
      <c r="K4336" t="s">
        <v>91</v>
      </c>
      <c r="L4336">
        <v>6</v>
      </c>
      <c r="M4336" t="s">
        <v>18383</v>
      </c>
      <c r="N4336" t="s">
        <v>47</v>
      </c>
      <c r="O4336" t="s">
        <v>9477</v>
      </c>
      <c r="P4336" t="s">
        <v>9477</v>
      </c>
      <c r="Y4336" t="s">
        <v>18384</v>
      </c>
    </row>
    <row r="4337" spans="1:25">
      <c r="A4337" t="s">
        <v>18385</v>
      </c>
      <c r="B4337" t="s">
        <v>18386</v>
      </c>
      <c r="D4337" t="s">
        <v>9473</v>
      </c>
      <c r="E4337" t="s">
        <v>9474</v>
      </c>
      <c r="J4337" t="s">
        <v>44</v>
      </c>
      <c r="K4337" t="s">
        <v>45</v>
      </c>
      <c r="L4337">
        <v>6</v>
      </c>
      <c r="M4337" t="s">
        <v>18387</v>
      </c>
      <c r="N4337" t="s">
        <v>47</v>
      </c>
      <c r="O4337" t="s">
        <v>9477</v>
      </c>
      <c r="P4337" t="s">
        <v>9477</v>
      </c>
      <c r="Y4337" t="s">
        <v>18388</v>
      </c>
    </row>
    <row r="4338" spans="1:25">
      <c r="A4338" t="s">
        <v>18389</v>
      </c>
      <c r="B4338" t="s">
        <v>18390</v>
      </c>
      <c r="D4338" t="s">
        <v>9473</v>
      </c>
      <c r="E4338" t="s">
        <v>9474</v>
      </c>
      <c r="J4338" t="s">
        <v>90</v>
      </c>
      <c r="K4338" t="s">
        <v>91</v>
      </c>
      <c r="L4338">
        <v>6</v>
      </c>
      <c r="M4338" t="s">
        <v>18387</v>
      </c>
      <c r="N4338" t="s">
        <v>47</v>
      </c>
      <c r="O4338" t="s">
        <v>9477</v>
      </c>
      <c r="P4338" t="s">
        <v>9477</v>
      </c>
      <c r="Y4338" t="s">
        <v>18391</v>
      </c>
    </row>
    <row r="4339" spans="1:25">
      <c r="A4339" t="s">
        <v>18392</v>
      </c>
      <c r="B4339" t="s">
        <v>18393</v>
      </c>
      <c r="D4339" t="s">
        <v>9473</v>
      </c>
      <c r="E4339" t="s">
        <v>9474</v>
      </c>
      <c r="H4339" t="s">
        <v>18394</v>
      </c>
      <c r="J4339" t="s">
        <v>541</v>
      </c>
      <c r="K4339" t="s">
        <v>542</v>
      </c>
      <c r="L4339">
        <v>6</v>
      </c>
      <c r="M4339" t="s">
        <v>18387</v>
      </c>
      <c r="N4339" t="s">
        <v>685</v>
      </c>
      <c r="O4339" t="s">
        <v>9477</v>
      </c>
      <c r="P4339" t="s">
        <v>9477</v>
      </c>
      <c r="Y4339" t="s">
        <v>18394</v>
      </c>
    </row>
    <row r="4340" spans="1:25">
      <c r="A4340" t="s">
        <v>18395</v>
      </c>
      <c r="B4340" t="s">
        <v>18396</v>
      </c>
      <c r="D4340" t="s">
        <v>9473</v>
      </c>
      <c r="E4340" t="s">
        <v>9474</v>
      </c>
      <c r="J4340" t="s">
        <v>44</v>
      </c>
      <c r="K4340" t="s">
        <v>45</v>
      </c>
      <c r="L4340">
        <v>6</v>
      </c>
      <c r="M4340" t="s">
        <v>18397</v>
      </c>
      <c r="N4340" t="s">
        <v>47</v>
      </c>
      <c r="O4340" t="s">
        <v>9477</v>
      </c>
      <c r="P4340" t="s">
        <v>9477</v>
      </c>
      <c r="Y4340" t="s">
        <v>18398</v>
      </c>
    </row>
    <row r="4341" spans="1:25">
      <c r="A4341" t="s">
        <v>18399</v>
      </c>
      <c r="B4341" t="s">
        <v>18400</v>
      </c>
      <c r="D4341" t="s">
        <v>9473</v>
      </c>
      <c r="E4341" t="s">
        <v>9474</v>
      </c>
      <c r="H4341" t="s">
        <v>18401</v>
      </c>
      <c r="J4341" t="s">
        <v>90</v>
      </c>
      <c r="K4341" t="s">
        <v>91</v>
      </c>
      <c r="L4341">
        <v>6</v>
      </c>
      <c r="M4341" t="s">
        <v>18402</v>
      </c>
      <c r="N4341" t="s">
        <v>47</v>
      </c>
      <c r="O4341" t="s">
        <v>9477</v>
      </c>
      <c r="P4341" t="s">
        <v>9477</v>
      </c>
      <c r="Y4341" t="s">
        <v>18401</v>
      </c>
    </row>
    <row r="4342" spans="1:25">
      <c r="A4342" t="s">
        <v>18403</v>
      </c>
      <c r="B4342" t="s">
        <v>18404</v>
      </c>
      <c r="D4342" t="s">
        <v>9473</v>
      </c>
      <c r="E4342" t="s">
        <v>9474</v>
      </c>
      <c r="J4342" t="s">
        <v>44</v>
      </c>
      <c r="K4342" t="s">
        <v>45</v>
      </c>
      <c r="L4342">
        <v>6</v>
      </c>
      <c r="M4342" t="s">
        <v>18405</v>
      </c>
      <c r="N4342" t="s">
        <v>47</v>
      </c>
      <c r="O4342" t="s">
        <v>9477</v>
      </c>
      <c r="P4342" t="s">
        <v>9477</v>
      </c>
      <c r="Y4342" t="s">
        <v>18406</v>
      </c>
    </row>
    <row r="4343" spans="1:25">
      <c r="A4343" t="s">
        <v>18407</v>
      </c>
      <c r="B4343" t="s">
        <v>18408</v>
      </c>
      <c r="D4343" t="s">
        <v>9473</v>
      </c>
      <c r="E4343" t="s">
        <v>9474</v>
      </c>
      <c r="J4343" t="s">
        <v>90</v>
      </c>
      <c r="K4343" t="s">
        <v>91</v>
      </c>
      <c r="L4343">
        <v>6</v>
      </c>
      <c r="M4343" t="s">
        <v>18409</v>
      </c>
      <c r="N4343" t="s">
        <v>47</v>
      </c>
      <c r="O4343" t="s">
        <v>9477</v>
      </c>
      <c r="P4343" t="s">
        <v>9477</v>
      </c>
      <c r="Y4343" t="s">
        <v>18410</v>
      </c>
    </row>
    <row r="4344" spans="1:25">
      <c r="A4344" t="s">
        <v>18411</v>
      </c>
      <c r="B4344" t="s">
        <v>18412</v>
      </c>
      <c r="D4344" t="s">
        <v>9473</v>
      </c>
      <c r="E4344" t="s">
        <v>9474</v>
      </c>
      <c r="J4344" t="s">
        <v>44</v>
      </c>
      <c r="K4344" t="s">
        <v>45</v>
      </c>
      <c r="L4344">
        <v>6</v>
      </c>
      <c r="M4344" t="s">
        <v>18413</v>
      </c>
      <c r="N4344" t="s">
        <v>47</v>
      </c>
      <c r="O4344" t="s">
        <v>9477</v>
      </c>
      <c r="P4344" t="s">
        <v>9477</v>
      </c>
      <c r="Y4344" t="s">
        <v>18414</v>
      </c>
    </row>
    <row r="4345" spans="1:25">
      <c r="A4345" t="s">
        <v>18415</v>
      </c>
      <c r="B4345" t="s">
        <v>18416</v>
      </c>
      <c r="D4345" t="s">
        <v>9473</v>
      </c>
      <c r="E4345" t="s">
        <v>9474</v>
      </c>
      <c r="H4345" t="s">
        <v>18417</v>
      </c>
      <c r="J4345" t="s">
        <v>44</v>
      </c>
      <c r="K4345" t="s">
        <v>45</v>
      </c>
      <c r="L4345">
        <v>6</v>
      </c>
      <c r="M4345" t="s">
        <v>18418</v>
      </c>
      <c r="N4345" t="s">
        <v>47</v>
      </c>
      <c r="O4345" t="s">
        <v>9477</v>
      </c>
      <c r="P4345" t="s">
        <v>9477</v>
      </c>
      <c r="Y4345" t="s">
        <v>18417</v>
      </c>
    </row>
    <row r="4346" spans="1:25">
      <c r="A4346" t="s">
        <v>18419</v>
      </c>
      <c r="B4346" t="s">
        <v>18420</v>
      </c>
      <c r="D4346" t="s">
        <v>9473</v>
      </c>
      <c r="E4346" t="s">
        <v>9474</v>
      </c>
      <c r="J4346" t="s">
        <v>133</v>
      </c>
      <c r="K4346" t="s">
        <v>134</v>
      </c>
      <c r="L4346">
        <v>6</v>
      </c>
      <c r="M4346" t="s">
        <v>18418</v>
      </c>
      <c r="N4346" t="s">
        <v>290</v>
      </c>
      <c r="O4346" t="s">
        <v>9477</v>
      </c>
      <c r="P4346" t="s">
        <v>9477</v>
      </c>
      <c r="Y4346" t="s">
        <v>18421</v>
      </c>
    </row>
    <row r="4347" spans="1:25">
      <c r="A4347" t="s">
        <v>18422</v>
      </c>
      <c r="B4347" t="s">
        <v>18423</v>
      </c>
      <c r="D4347" t="s">
        <v>9473</v>
      </c>
      <c r="E4347" t="s">
        <v>9474</v>
      </c>
      <c r="H4347" t="s">
        <v>18424</v>
      </c>
      <c r="J4347" t="s">
        <v>44</v>
      </c>
      <c r="K4347" t="s">
        <v>45</v>
      </c>
      <c r="L4347">
        <v>6</v>
      </c>
      <c r="M4347" t="s">
        <v>18425</v>
      </c>
      <c r="N4347" t="s">
        <v>47</v>
      </c>
      <c r="O4347" t="s">
        <v>9477</v>
      </c>
      <c r="P4347" t="s">
        <v>9477</v>
      </c>
      <c r="Y4347" t="s">
        <v>18424</v>
      </c>
    </row>
    <row r="4348" spans="1:25">
      <c r="A4348" t="s">
        <v>18426</v>
      </c>
      <c r="B4348" t="s">
        <v>18427</v>
      </c>
      <c r="D4348" t="s">
        <v>9473</v>
      </c>
      <c r="E4348" t="s">
        <v>9474</v>
      </c>
      <c r="J4348" t="s">
        <v>54</v>
      </c>
      <c r="K4348" t="s">
        <v>55</v>
      </c>
      <c r="L4348">
        <v>6</v>
      </c>
      <c r="M4348" t="s">
        <v>18428</v>
      </c>
      <c r="N4348" t="s">
        <v>47</v>
      </c>
      <c r="O4348" t="s">
        <v>9477</v>
      </c>
      <c r="P4348" t="s">
        <v>9477</v>
      </c>
      <c r="Y4348" t="s">
        <v>18429</v>
      </c>
    </row>
    <row r="4349" spans="1:25">
      <c r="A4349" t="s">
        <v>18430</v>
      </c>
      <c r="B4349" t="s">
        <v>18431</v>
      </c>
      <c r="D4349" t="s">
        <v>9473</v>
      </c>
      <c r="E4349" t="s">
        <v>9474</v>
      </c>
      <c r="J4349" t="s">
        <v>44</v>
      </c>
      <c r="K4349" t="s">
        <v>45</v>
      </c>
      <c r="L4349">
        <v>6</v>
      </c>
      <c r="M4349" t="s">
        <v>18428</v>
      </c>
      <c r="N4349" t="s">
        <v>47</v>
      </c>
      <c r="O4349" t="s">
        <v>9477</v>
      </c>
      <c r="P4349" t="s">
        <v>9477</v>
      </c>
      <c r="Y4349" t="s">
        <v>18432</v>
      </c>
    </row>
    <row r="4350" spans="1:25">
      <c r="A4350" t="s">
        <v>18433</v>
      </c>
      <c r="B4350" t="s">
        <v>18434</v>
      </c>
      <c r="D4350" t="s">
        <v>9473</v>
      </c>
      <c r="E4350" t="s">
        <v>9474</v>
      </c>
      <c r="J4350" t="s">
        <v>7250</v>
      </c>
      <c r="K4350" t="s">
        <v>7251</v>
      </c>
      <c r="L4350">
        <v>6</v>
      </c>
      <c r="M4350" t="s">
        <v>18435</v>
      </c>
      <c r="N4350" t="s">
        <v>685</v>
      </c>
      <c r="O4350" t="s">
        <v>9477</v>
      </c>
      <c r="P4350" t="s">
        <v>9477</v>
      </c>
      <c r="Y4350" t="s">
        <v>18436</v>
      </c>
    </row>
    <row r="4351" spans="1:25">
      <c r="A4351" t="s">
        <v>18437</v>
      </c>
      <c r="B4351" t="s">
        <v>18438</v>
      </c>
      <c r="D4351" t="s">
        <v>9473</v>
      </c>
      <c r="E4351" t="s">
        <v>9474</v>
      </c>
      <c r="J4351" t="s">
        <v>371</v>
      </c>
      <c r="K4351" t="s">
        <v>372</v>
      </c>
      <c r="L4351">
        <v>6</v>
      </c>
      <c r="M4351" t="s">
        <v>18439</v>
      </c>
      <c r="N4351" t="s">
        <v>47</v>
      </c>
      <c r="O4351" t="s">
        <v>9477</v>
      </c>
      <c r="P4351" t="s">
        <v>9477</v>
      </c>
      <c r="Y4351" t="s">
        <v>18440</v>
      </c>
    </row>
    <row r="4352" spans="1:25">
      <c r="A4352" t="s">
        <v>18441</v>
      </c>
      <c r="B4352" t="s">
        <v>18442</v>
      </c>
      <c r="D4352" t="s">
        <v>9473</v>
      </c>
      <c r="E4352" t="s">
        <v>9474</v>
      </c>
      <c r="H4352" t="s">
        <v>18443</v>
      </c>
      <c r="J4352" t="s">
        <v>90</v>
      </c>
      <c r="K4352" t="s">
        <v>91</v>
      </c>
      <c r="L4352">
        <v>6</v>
      </c>
      <c r="M4352" t="s">
        <v>18444</v>
      </c>
      <c r="N4352" t="s">
        <v>47</v>
      </c>
      <c r="O4352" t="s">
        <v>9477</v>
      </c>
      <c r="P4352" t="s">
        <v>9477</v>
      </c>
      <c r="Y4352" t="s">
        <v>18443</v>
      </c>
    </row>
    <row r="4353" spans="1:25">
      <c r="A4353" t="s">
        <v>18445</v>
      </c>
      <c r="B4353" t="s">
        <v>18446</v>
      </c>
      <c r="D4353" t="s">
        <v>9473</v>
      </c>
      <c r="E4353" t="s">
        <v>9474</v>
      </c>
      <c r="J4353" t="s">
        <v>90</v>
      </c>
      <c r="K4353" t="s">
        <v>91</v>
      </c>
      <c r="L4353">
        <v>6</v>
      </c>
      <c r="M4353" t="s">
        <v>18444</v>
      </c>
      <c r="N4353" t="s">
        <v>47</v>
      </c>
      <c r="O4353" t="s">
        <v>9477</v>
      </c>
      <c r="P4353" t="s">
        <v>9477</v>
      </c>
      <c r="Y4353" t="s">
        <v>18447</v>
      </c>
    </row>
    <row r="4354" spans="1:25">
      <c r="A4354" t="s">
        <v>18448</v>
      </c>
      <c r="B4354" t="s">
        <v>18449</v>
      </c>
      <c r="D4354" t="s">
        <v>9473</v>
      </c>
      <c r="E4354" t="s">
        <v>9474</v>
      </c>
      <c r="H4354" t="s">
        <v>18450</v>
      </c>
      <c r="J4354" t="s">
        <v>54</v>
      </c>
      <c r="K4354" t="s">
        <v>55</v>
      </c>
      <c r="L4354">
        <v>6</v>
      </c>
      <c r="M4354" t="s">
        <v>18451</v>
      </c>
      <c r="N4354" t="s">
        <v>47</v>
      </c>
      <c r="O4354" t="s">
        <v>9477</v>
      </c>
      <c r="P4354" t="s">
        <v>9477</v>
      </c>
      <c r="Y4354" t="s">
        <v>18450</v>
      </c>
    </row>
    <row r="4355" spans="1:25">
      <c r="A4355" t="s">
        <v>18452</v>
      </c>
      <c r="B4355" t="s">
        <v>18453</v>
      </c>
      <c r="D4355" t="s">
        <v>9473</v>
      </c>
      <c r="E4355" t="s">
        <v>9474</v>
      </c>
      <c r="J4355" t="s">
        <v>44</v>
      </c>
      <c r="K4355" t="s">
        <v>45</v>
      </c>
      <c r="L4355">
        <v>6</v>
      </c>
      <c r="M4355" t="s">
        <v>18454</v>
      </c>
      <c r="N4355" t="s">
        <v>47</v>
      </c>
      <c r="O4355" t="s">
        <v>9477</v>
      </c>
      <c r="P4355" t="s">
        <v>9477</v>
      </c>
      <c r="Y4355" t="s">
        <v>18455</v>
      </c>
    </row>
    <row r="4356" spans="1:25">
      <c r="A4356" t="s">
        <v>18456</v>
      </c>
      <c r="B4356" t="s">
        <v>18457</v>
      </c>
      <c r="D4356" t="s">
        <v>9473</v>
      </c>
      <c r="E4356" t="s">
        <v>9474</v>
      </c>
      <c r="J4356" t="s">
        <v>90</v>
      </c>
      <c r="K4356" t="s">
        <v>91</v>
      </c>
      <c r="L4356">
        <v>6</v>
      </c>
      <c r="M4356" t="s">
        <v>18454</v>
      </c>
      <c r="N4356" t="s">
        <v>47</v>
      </c>
      <c r="O4356" t="s">
        <v>9477</v>
      </c>
      <c r="P4356" t="s">
        <v>9477</v>
      </c>
      <c r="Y4356" t="s">
        <v>18458</v>
      </c>
    </row>
    <row r="4357" spans="1:25">
      <c r="A4357" t="s">
        <v>18459</v>
      </c>
      <c r="B4357" t="s">
        <v>18460</v>
      </c>
      <c r="D4357" t="s">
        <v>9473</v>
      </c>
      <c r="E4357" t="s">
        <v>9474</v>
      </c>
      <c r="H4357" t="s">
        <v>18461</v>
      </c>
      <c r="J4357" t="s">
        <v>44</v>
      </c>
      <c r="K4357" t="s">
        <v>45</v>
      </c>
      <c r="L4357">
        <v>6</v>
      </c>
      <c r="M4357" t="s">
        <v>18454</v>
      </c>
      <c r="N4357" t="s">
        <v>47</v>
      </c>
      <c r="O4357" t="s">
        <v>9477</v>
      </c>
      <c r="P4357" t="s">
        <v>9477</v>
      </c>
      <c r="Y4357" t="s">
        <v>18461</v>
      </c>
    </row>
    <row r="4358" spans="1:25">
      <c r="A4358" t="s">
        <v>18462</v>
      </c>
      <c r="B4358" t="s">
        <v>18463</v>
      </c>
      <c r="D4358" t="s">
        <v>9473</v>
      </c>
      <c r="E4358" t="s">
        <v>9474</v>
      </c>
      <c r="J4358" t="s">
        <v>78</v>
      </c>
      <c r="K4358" t="s">
        <v>79</v>
      </c>
      <c r="L4358">
        <v>6</v>
      </c>
      <c r="M4358" t="s">
        <v>18464</v>
      </c>
      <c r="N4358" t="s">
        <v>47</v>
      </c>
      <c r="O4358" t="s">
        <v>9477</v>
      </c>
      <c r="P4358" t="s">
        <v>9477</v>
      </c>
      <c r="Y4358" t="s">
        <v>18465</v>
      </c>
    </row>
    <row r="4359" spans="1:25">
      <c r="A4359" t="s">
        <v>18466</v>
      </c>
      <c r="B4359" t="s">
        <v>18467</v>
      </c>
      <c r="D4359" t="s">
        <v>9473</v>
      </c>
      <c r="E4359" t="s">
        <v>9474</v>
      </c>
      <c r="J4359" t="s">
        <v>90</v>
      </c>
      <c r="K4359" t="s">
        <v>91</v>
      </c>
      <c r="L4359">
        <v>6</v>
      </c>
      <c r="M4359" t="s">
        <v>18468</v>
      </c>
      <c r="N4359" t="s">
        <v>47</v>
      </c>
      <c r="O4359" t="s">
        <v>9477</v>
      </c>
      <c r="P4359" t="s">
        <v>9477</v>
      </c>
      <c r="Y4359" t="s">
        <v>18469</v>
      </c>
    </row>
    <row r="4360" spans="1:25">
      <c r="A4360" t="s">
        <v>18470</v>
      </c>
      <c r="B4360" t="s">
        <v>18471</v>
      </c>
      <c r="D4360" t="s">
        <v>9473</v>
      </c>
      <c r="E4360" t="s">
        <v>9474</v>
      </c>
      <c r="J4360" t="s">
        <v>133</v>
      </c>
      <c r="K4360" t="s">
        <v>134</v>
      </c>
      <c r="L4360">
        <v>6</v>
      </c>
      <c r="M4360" t="s">
        <v>18468</v>
      </c>
      <c r="N4360" t="s">
        <v>685</v>
      </c>
      <c r="O4360" t="s">
        <v>9477</v>
      </c>
      <c r="P4360" t="s">
        <v>9477</v>
      </c>
      <c r="Y4360" t="s">
        <v>18472</v>
      </c>
    </row>
    <row r="4361" spans="1:25">
      <c r="A4361" t="s">
        <v>18473</v>
      </c>
      <c r="B4361" t="s">
        <v>18474</v>
      </c>
      <c r="D4361" t="s">
        <v>9473</v>
      </c>
      <c r="E4361" t="s">
        <v>9474</v>
      </c>
      <c r="J4361" t="s">
        <v>90</v>
      </c>
      <c r="K4361" t="s">
        <v>91</v>
      </c>
      <c r="L4361">
        <v>6</v>
      </c>
      <c r="M4361" t="s">
        <v>18468</v>
      </c>
      <c r="N4361" t="s">
        <v>47</v>
      </c>
      <c r="O4361" t="s">
        <v>9477</v>
      </c>
      <c r="P4361" t="s">
        <v>9477</v>
      </c>
      <c r="Y4361" t="s">
        <v>18475</v>
      </c>
    </row>
    <row r="4362" spans="1:25">
      <c r="A4362" t="s">
        <v>18476</v>
      </c>
      <c r="B4362" t="s">
        <v>18477</v>
      </c>
      <c r="D4362" t="s">
        <v>9473</v>
      </c>
      <c r="E4362" t="s">
        <v>9474</v>
      </c>
      <c r="H4362" t="s">
        <v>18478</v>
      </c>
      <c r="J4362" t="s">
        <v>234</v>
      </c>
      <c r="K4362" t="s">
        <v>235</v>
      </c>
      <c r="L4362">
        <v>6</v>
      </c>
      <c r="M4362" t="s">
        <v>18479</v>
      </c>
      <c r="N4362" t="s">
        <v>47</v>
      </c>
      <c r="O4362" t="s">
        <v>9477</v>
      </c>
      <c r="P4362" t="s">
        <v>9477</v>
      </c>
      <c r="Y4362" t="s">
        <v>18478</v>
      </c>
    </row>
    <row r="4363" spans="1:25">
      <c r="A4363" t="s">
        <v>18480</v>
      </c>
      <c r="B4363" t="s">
        <v>18481</v>
      </c>
      <c r="D4363" t="s">
        <v>9473</v>
      </c>
      <c r="E4363" t="s">
        <v>9474</v>
      </c>
      <c r="J4363" t="s">
        <v>90</v>
      </c>
      <c r="K4363" t="s">
        <v>91</v>
      </c>
      <c r="L4363">
        <v>6</v>
      </c>
      <c r="M4363" t="s">
        <v>18482</v>
      </c>
      <c r="N4363" t="s">
        <v>47</v>
      </c>
      <c r="O4363" t="s">
        <v>9477</v>
      </c>
      <c r="P4363" t="s">
        <v>9477</v>
      </c>
      <c r="Y4363" t="s">
        <v>18483</v>
      </c>
    </row>
    <row r="4364" spans="1:25">
      <c r="A4364" t="s">
        <v>18484</v>
      </c>
      <c r="B4364" t="s">
        <v>18485</v>
      </c>
      <c r="D4364" t="s">
        <v>9473</v>
      </c>
      <c r="E4364" t="s">
        <v>9474</v>
      </c>
      <c r="H4364" t="s">
        <v>18486</v>
      </c>
      <c r="J4364" t="s">
        <v>78</v>
      </c>
      <c r="K4364" t="s">
        <v>79</v>
      </c>
      <c r="L4364">
        <v>6</v>
      </c>
      <c r="M4364" t="s">
        <v>18487</v>
      </c>
      <c r="N4364" t="s">
        <v>47</v>
      </c>
      <c r="O4364" t="s">
        <v>9477</v>
      </c>
      <c r="P4364" t="s">
        <v>9477</v>
      </c>
      <c r="Y4364" t="s">
        <v>18486</v>
      </c>
    </row>
    <row r="4365" spans="1:25">
      <c r="A4365" t="s">
        <v>18488</v>
      </c>
      <c r="B4365" t="s">
        <v>18489</v>
      </c>
      <c r="D4365" t="s">
        <v>9473</v>
      </c>
      <c r="E4365" t="s">
        <v>9474</v>
      </c>
      <c r="H4365" t="s">
        <v>18490</v>
      </c>
      <c r="J4365" t="s">
        <v>90</v>
      </c>
      <c r="K4365" t="s">
        <v>91</v>
      </c>
      <c r="L4365">
        <v>6</v>
      </c>
      <c r="M4365" t="s">
        <v>18487</v>
      </c>
      <c r="N4365" t="s">
        <v>47</v>
      </c>
      <c r="O4365" t="s">
        <v>9477</v>
      </c>
      <c r="P4365" t="s">
        <v>9477</v>
      </c>
      <c r="Y4365" t="s">
        <v>18490</v>
      </c>
    </row>
    <row r="4366" spans="1:25">
      <c r="A4366" t="s">
        <v>18491</v>
      </c>
      <c r="B4366" t="s">
        <v>18492</v>
      </c>
      <c r="D4366" t="s">
        <v>9473</v>
      </c>
      <c r="E4366" t="s">
        <v>9474</v>
      </c>
      <c r="J4366" t="s">
        <v>133</v>
      </c>
      <c r="K4366" t="s">
        <v>134</v>
      </c>
      <c r="L4366">
        <v>6</v>
      </c>
      <c r="M4366" t="s">
        <v>18487</v>
      </c>
      <c r="N4366" t="s">
        <v>290</v>
      </c>
      <c r="O4366" t="s">
        <v>9477</v>
      </c>
      <c r="P4366" t="s">
        <v>9477</v>
      </c>
      <c r="Y4366" t="s">
        <v>18493</v>
      </c>
    </row>
    <row r="4367" spans="1:25">
      <c r="A4367" t="s">
        <v>18494</v>
      </c>
      <c r="B4367" t="s">
        <v>18495</v>
      </c>
      <c r="D4367" t="s">
        <v>9473</v>
      </c>
      <c r="E4367" t="s">
        <v>9474</v>
      </c>
      <c r="H4367" t="s">
        <v>18496</v>
      </c>
      <c r="J4367" t="s">
        <v>44</v>
      </c>
      <c r="K4367" t="s">
        <v>45</v>
      </c>
      <c r="L4367">
        <v>6</v>
      </c>
      <c r="M4367" t="s">
        <v>18497</v>
      </c>
      <c r="N4367" t="s">
        <v>47</v>
      </c>
      <c r="O4367" t="s">
        <v>9477</v>
      </c>
      <c r="P4367" t="s">
        <v>9477</v>
      </c>
      <c r="Y4367" t="s">
        <v>18496</v>
      </c>
    </row>
    <row r="4368" spans="1:25">
      <c r="A4368" t="s">
        <v>18498</v>
      </c>
      <c r="B4368" t="s">
        <v>18499</v>
      </c>
      <c r="D4368" t="s">
        <v>9473</v>
      </c>
      <c r="E4368" t="s">
        <v>9474</v>
      </c>
      <c r="J4368" t="s">
        <v>44</v>
      </c>
      <c r="K4368" t="s">
        <v>45</v>
      </c>
      <c r="L4368">
        <v>6</v>
      </c>
      <c r="M4368" t="s">
        <v>18500</v>
      </c>
      <c r="N4368" t="s">
        <v>47</v>
      </c>
      <c r="O4368" t="s">
        <v>9477</v>
      </c>
      <c r="P4368" t="s">
        <v>9477</v>
      </c>
      <c r="Y4368" t="s">
        <v>18501</v>
      </c>
    </row>
    <row r="4369" spans="1:25">
      <c r="A4369" t="s">
        <v>18502</v>
      </c>
      <c r="B4369" t="s">
        <v>18503</v>
      </c>
      <c r="D4369" t="s">
        <v>9473</v>
      </c>
      <c r="E4369" t="s">
        <v>9474</v>
      </c>
      <c r="J4369" t="s">
        <v>765</v>
      </c>
      <c r="K4369" t="s">
        <v>766</v>
      </c>
      <c r="L4369">
        <v>6</v>
      </c>
      <c r="M4369" t="s">
        <v>18504</v>
      </c>
      <c r="N4369" t="s">
        <v>685</v>
      </c>
      <c r="O4369" t="s">
        <v>9477</v>
      </c>
      <c r="P4369" t="s">
        <v>9477</v>
      </c>
      <c r="Y4369" t="s">
        <v>18505</v>
      </c>
    </row>
    <row r="4370" spans="1:25">
      <c r="A4370" t="s">
        <v>18506</v>
      </c>
      <c r="B4370" t="s">
        <v>18507</v>
      </c>
      <c r="D4370" t="s">
        <v>9473</v>
      </c>
      <c r="E4370" t="s">
        <v>9474</v>
      </c>
      <c r="J4370" t="s">
        <v>44</v>
      </c>
      <c r="K4370" t="s">
        <v>45</v>
      </c>
      <c r="L4370">
        <v>6</v>
      </c>
      <c r="M4370" t="s">
        <v>18508</v>
      </c>
      <c r="N4370" t="s">
        <v>47</v>
      </c>
      <c r="O4370" t="s">
        <v>9477</v>
      </c>
      <c r="P4370" t="s">
        <v>9477</v>
      </c>
      <c r="Y4370" t="s">
        <v>18509</v>
      </c>
    </row>
    <row r="4371" spans="1:25">
      <c r="A4371" t="s">
        <v>18510</v>
      </c>
      <c r="B4371" t="s">
        <v>18511</v>
      </c>
      <c r="D4371" t="s">
        <v>9473</v>
      </c>
      <c r="E4371" t="s">
        <v>9474</v>
      </c>
      <c r="J4371" t="s">
        <v>90</v>
      </c>
      <c r="K4371" t="s">
        <v>91</v>
      </c>
      <c r="L4371">
        <v>6</v>
      </c>
      <c r="M4371" t="s">
        <v>18508</v>
      </c>
      <c r="N4371" t="s">
        <v>47</v>
      </c>
      <c r="O4371" t="s">
        <v>9477</v>
      </c>
      <c r="P4371" t="s">
        <v>9477</v>
      </c>
      <c r="Y4371" t="s">
        <v>18512</v>
      </c>
    </row>
    <row r="4372" spans="1:25">
      <c r="A4372" t="s">
        <v>18513</v>
      </c>
      <c r="B4372" t="s">
        <v>18514</v>
      </c>
      <c r="D4372" t="s">
        <v>9473</v>
      </c>
      <c r="E4372" t="s">
        <v>9474</v>
      </c>
      <c r="H4372" t="s">
        <v>18515</v>
      </c>
      <c r="J4372" t="s">
        <v>78</v>
      </c>
      <c r="K4372" t="s">
        <v>79</v>
      </c>
      <c r="L4372">
        <v>6</v>
      </c>
      <c r="M4372" t="s">
        <v>18516</v>
      </c>
      <c r="N4372" t="s">
        <v>47</v>
      </c>
      <c r="O4372" t="s">
        <v>9477</v>
      </c>
      <c r="P4372" t="s">
        <v>9477</v>
      </c>
      <c r="Y4372" t="s">
        <v>18515</v>
      </c>
    </row>
    <row r="4373" spans="1:25">
      <c r="A4373" t="s">
        <v>18517</v>
      </c>
      <c r="B4373" t="s">
        <v>18518</v>
      </c>
      <c r="D4373" t="s">
        <v>9473</v>
      </c>
      <c r="E4373" t="s">
        <v>9474</v>
      </c>
      <c r="J4373" t="s">
        <v>54</v>
      </c>
      <c r="K4373" t="s">
        <v>55</v>
      </c>
      <c r="L4373">
        <v>6</v>
      </c>
      <c r="M4373" t="s">
        <v>18519</v>
      </c>
      <c r="N4373" t="s">
        <v>47</v>
      </c>
      <c r="O4373" t="s">
        <v>9477</v>
      </c>
      <c r="P4373" t="s">
        <v>9477</v>
      </c>
      <c r="Y4373" t="s">
        <v>18520</v>
      </c>
    </row>
    <row r="4374" spans="1:25">
      <c r="A4374" t="s">
        <v>18521</v>
      </c>
      <c r="B4374" t="s">
        <v>18522</v>
      </c>
      <c r="D4374" t="s">
        <v>9473</v>
      </c>
      <c r="E4374" t="s">
        <v>9474</v>
      </c>
      <c r="H4374" t="s">
        <v>18523</v>
      </c>
      <c r="J4374" t="s">
        <v>133</v>
      </c>
      <c r="K4374" t="s">
        <v>134</v>
      </c>
      <c r="L4374">
        <v>6</v>
      </c>
      <c r="M4374" t="s">
        <v>18524</v>
      </c>
      <c r="N4374" t="s">
        <v>290</v>
      </c>
      <c r="O4374" t="s">
        <v>9477</v>
      </c>
      <c r="P4374" t="s">
        <v>9477</v>
      </c>
      <c r="Y4374" t="s">
        <v>18523</v>
      </c>
    </row>
    <row r="4375" spans="1:25">
      <c r="A4375" t="s">
        <v>18525</v>
      </c>
      <c r="B4375" t="s">
        <v>18526</v>
      </c>
      <c r="D4375" t="s">
        <v>9473</v>
      </c>
      <c r="E4375" t="s">
        <v>9474</v>
      </c>
      <c r="H4375" t="s">
        <v>18527</v>
      </c>
      <c r="J4375" t="s">
        <v>497</v>
      </c>
      <c r="K4375" t="s">
        <v>498</v>
      </c>
      <c r="L4375">
        <v>6</v>
      </c>
      <c r="M4375" t="s">
        <v>18524</v>
      </c>
      <c r="N4375" t="s">
        <v>685</v>
      </c>
      <c r="O4375" t="s">
        <v>9477</v>
      </c>
      <c r="P4375" t="s">
        <v>9477</v>
      </c>
      <c r="Y4375" t="s">
        <v>18527</v>
      </c>
    </row>
    <row r="4376" spans="1:25">
      <c r="A4376" t="s">
        <v>18528</v>
      </c>
      <c r="B4376" t="s">
        <v>18529</v>
      </c>
      <c r="D4376" t="s">
        <v>9473</v>
      </c>
      <c r="E4376" t="s">
        <v>9474</v>
      </c>
      <c r="J4376" t="s">
        <v>90</v>
      </c>
      <c r="K4376" t="s">
        <v>91</v>
      </c>
      <c r="L4376">
        <v>6</v>
      </c>
      <c r="M4376" t="s">
        <v>18530</v>
      </c>
      <c r="N4376" t="s">
        <v>47</v>
      </c>
      <c r="O4376" t="s">
        <v>9477</v>
      </c>
      <c r="P4376" t="s">
        <v>9477</v>
      </c>
      <c r="Y4376" t="s">
        <v>18531</v>
      </c>
    </row>
    <row r="4377" spans="1:25">
      <c r="A4377" t="s">
        <v>18532</v>
      </c>
      <c r="B4377" t="s">
        <v>18533</v>
      </c>
      <c r="D4377" t="s">
        <v>9473</v>
      </c>
      <c r="E4377" t="s">
        <v>9474</v>
      </c>
      <c r="J4377" t="s">
        <v>44</v>
      </c>
      <c r="K4377" t="s">
        <v>45</v>
      </c>
      <c r="L4377">
        <v>6</v>
      </c>
      <c r="M4377" t="s">
        <v>18534</v>
      </c>
      <c r="N4377" t="s">
        <v>47</v>
      </c>
      <c r="O4377" t="s">
        <v>9477</v>
      </c>
      <c r="P4377" t="s">
        <v>9477</v>
      </c>
      <c r="Y4377" t="s">
        <v>18535</v>
      </c>
    </row>
    <row r="4378" spans="1:25">
      <c r="A4378" t="s">
        <v>18536</v>
      </c>
      <c r="B4378" t="s">
        <v>18537</v>
      </c>
      <c r="D4378" t="s">
        <v>9473</v>
      </c>
      <c r="E4378" t="s">
        <v>9474</v>
      </c>
      <c r="H4378" t="s">
        <v>18538</v>
      </c>
      <c r="J4378" t="s">
        <v>133</v>
      </c>
      <c r="K4378" t="s">
        <v>134</v>
      </c>
      <c r="L4378">
        <v>7</v>
      </c>
      <c r="M4378" t="s">
        <v>18539</v>
      </c>
      <c r="N4378" t="s">
        <v>685</v>
      </c>
      <c r="O4378" t="s">
        <v>9477</v>
      </c>
      <c r="P4378" t="s">
        <v>9477</v>
      </c>
      <c r="Y4378" t="s">
        <v>18538</v>
      </c>
    </row>
    <row r="4379" spans="1:25">
      <c r="A4379" t="s">
        <v>18540</v>
      </c>
      <c r="B4379" t="s">
        <v>18541</v>
      </c>
      <c r="D4379" t="s">
        <v>9473</v>
      </c>
      <c r="E4379" t="s">
        <v>9474</v>
      </c>
      <c r="J4379" t="s">
        <v>90</v>
      </c>
      <c r="K4379" t="s">
        <v>91</v>
      </c>
      <c r="L4379">
        <v>6</v>
      </c>
      <c r="M4379" t="s">
        <v>18542</v>
      </c>
      <c r="N4379" t="s">
        <v>47</v>
      </c>
      <c r="O4379" t="s">
        <v>9477</v>
      </c>
      <c r="P4379" t="s">
        <v>9477</v>
      </c>
      <c r="Y4379" t="s">
        <v>18543</v>
      </c>
    </row>
    <row r="4380" spans="1:25">
      <c r="A4380" t="s">
        <v>18544</v>
      </c>
      <c r="B4380" t="s">
        <v>18545</v>
      </c>
      <c r="D4380" t="s">
        <v>9473</v>
      </c>
      <c r="E4380" t="s">
        <v>9474</v>
      </c>
      <c r="J4380" t="s">
        <v>78</v>
      </c>
      <c r="K4380" t="s">
        <v>79</v>
      </c>
      <c r="L4380">
        <v>6</v>
      </c>
      <c r="M4380" t="s">
        <v>18542</v>
      </c>
      <c r="N4380" t="s">
        <v>47</v>
      </c>
      <c r="O4380" t="s">
        <v>9477</v>
      </c>
      <c r="P4380" t="s">
        <v>9477</v>
      </c>
      <c r="Y4380" t="s">
        <v>18546</v>
      </c>
    </row>
    <row r="4381" spans="1:25">
      <c r="A4381" t="s">
        <v>18547</v>
      </c>
      <c r="B4381" t="s">
        <v>18548</v>
      </c>
      <c r="D4381" t="s">
        <v>9473</v>
      </c>
      <c r="E4381" t="s">
        <v>9474</v>
      </c>
      <c r="J4381" t="s">
        <v>44</v>
      </c>
      <c r="K4381" t="s">
        <v>45</v>
      </c>
      <c r="L4381">
        <v>6</v>
      </c>
      <c r="M4381" t="s">
        <v>18542</v>
      </c>
      <c r="N4381" t="s">
        <v>47</v>
      </c>
      <c r="O4381" t="s">
        <v>9477</v>
      </c>
      <c r="P4381" t="s">
        <v>9477</v>
      </c>
      <c r="Y4381" t="s">
        <v>18549</v>
      </c>
    </row>
    <row r="4382" spans="1:25">
      <c r="A4382" t="s">
        <v>18550</v>
      </c>
      <c r="B4382" t="s">
        <v>18551</v>
      </c>
      <c r="D4382" t="s">
        <v>9473</v>
      </c>
      <c r="E4382" t="s">
        <v>9474</v>
      </c>
      <c r="J4382" t="s">
        <v>54</v>
      </c>
      <c r="K4382" t="s">
        <v>55</v>
      </c>
      <c r="L4382">
        <v>6</v>
      </c>
      <c r="M4382" t="s">
        <v>18542</v>
      </c>
      <c r="N4382" t="s">
        <v>47</v>
      </c>
      <c r="O4382" t="s">
        <v>9477</v>
      </c>
      <c r="P4382" t="s">
        <v>9477</v>
      </c>
      <c r="Y4382" t="s">
        <v>18552</v>
      </c>
    </row>
    <row r="4383" spans="1:25">
      <c r="A4383" t="s">
        <v>18553</v>
      </c>
      <c r="B4383" t="s">
        <v>18554</v>
      </c>
      <c r="D4383" t="s">
        <v>9473</v>
      </c>
      <c r="E4383" t="s">
        <v>9474</v>
      </c>
      <c r="H4383" t="s">
        <v>18555</v>
      </c>
      <c r="J4383" t="s">
        <v>234</v>
      </c>
      <c r="K4383" t="s">
        <v>235</v>
      </c>
      <c r="L4383">
        <v>6</v>
      </c>
      <c r="M4383" t="s">
        <v>18556</v>
      </c>
      <c r="N4383" t="s">
        <v>47</v>
      </c>
      <c r="O4383" t="s">
        <v>9477</v>
      </c>
      <c r="P4383" t="s">
        <v>9477</v>
      </c>
      <c r="Y4383" t="s">
        <v>18555</v>
      </c>
    </row>
    <row r="4384" spans="1:25">
      <c r="A4384" t="s">
        <v>18557</v>
      </c>
      <c r="B4384" t="s">
        <v>18558</v>
      </c>
      <c r="D4384" t="s">
        <v>9473</v>
      </c>
      <c r="E4384" t="s">
        <v>9474</v>
      </c>
      <c r="J4384" t="s">
        <v>90</v>
      </c>
      <c r="K4384" t="s">
        <v>91</v>
      </c>
      <c r="L4384">
        <v>6</v>
      </c>
      <c r="M4384" t="s">
        <v>18559</v>
      </c>
      <c r="N4384" t="s">
        <v>47</v>
      </c>
      <c r="O4384" t="s">
        <v>9477</v>
      </c>
      <c r="P4384" t="s">
        <v>9477</v>
      </c>
      <c r="Y4384" t="s">
        <v>18560</v>
      </c>
    </row>
    <row r="4385" spans="1:25">
      <c r="A4385" t="s">
        <v>18561</v>
      </c>
      <c r="B4385" t="s">
        <v>18562</v>
      </c>
      <c r="D4385" t="s">
        <v>9473</v>
      </c>
      <c r="E4385" t="s">
        <v>9474</v>
      </c>
      <c r="H4385" t="s">
        <v>18563</v>
      </c>
      <c r="J4385" t="s">
        <v>90</v>
      </c>
      <c r="K4385" t="s">
        <v>91</v>
      </c>
      <c r="L4385">
        <v>6</v>
      </c>
      <c r="M4385" t="s">
        <v>18559</v>
      </c>
      <c r="N4385" t="s">
        <v>47</v>
      </c>
      <c r="O4385" t="s">
        <v>9477</v>
      </c>
      <c r="P4385" t="s">
        <v>9477</v>
      </c>
      <c r="Y4385" t="s">
        <v>18563</v>
      </c>
    </row>
    <row r="4386" spans="1:25">
      <c r="A4386" t="s">
        <v>18564</v>
      </c>
      <c r="B4386" t="s">
        <v>18565</v>
      </c>
      <c r="D4386" t="s">
        <v>9473</v>
      </c>
      <c r="E4386" t="s">
        <v>9474</v>
      </c>
      <c r="J4386" t="s">
        <v>78</v>
      </c>
      <c r="K4386" t="s">
        <v>79</v>
      </c>
      <c r="L4386">
        <v>6</v>
      </c>
      <c r="M4386" t="s">
        <v>18559</v>
      </c>
      <c r="N4386" t="s">
        <v>47</v>
      </c>
      <c r="O4386" t="s">
        <v>9477</v>
      </c>
      <c r="P4386" t="s">
        <v>9477</v>
      </c>
      <c r="Y4386" t="s">
        <v>18566</v>
      </c>
    </row>
    <row r="4387" spans="1:25">
      <c r="A4387" t="s">
        <v>18567</v>
      </c>
      <c r="B4387" t="s">
        <v>18568</v>
      </c>
      <c r="D4387" t="s">
        <v>9473</v>
      </c>
      <c r="E4387" t="s">
        <v>9474</v>
      </c>
      <c r="H4387" t="s">
        <v>18569</v>
      </c>
      <c r="J4387" t="s">
        <v>234</v>
      </c>
      <c r="K4387" t="s">
        <v>235</v>
      </c>
      <c r="L4387">
        <v>6</v>
      </c>
      <c r="M4387" t="s">
        <v>18570</v>
      </c>
      <c r="N4387" t="s">
        <v>47</v>
      </c>
      <c r="O4387" t="s">
        <v>9477</v>
      </c>
      <c r="P4387" t="s">
        <v>9477</v>
      </c>
      <c r="Y4387" t="s">
        <v>18569</v>
      </c>
    </row>
    <row r="4388" spans="1:25">
      <c r="A4388" t="s">
        <v>18571</v>
      </c>
      <c r="B4388" t="s">
        <v>18572</v>
      </c>
      <c r="D4388" t="s">
        <v>9473</v>
      </c>
      <c r="E4388" t="s">
        <v>9474</v>
      </c>
      <c r="J4388" t="s">
        <v>44</v>
      </c>
      <c r="K4388" t="s">
        <v>45</v>
      </c>
      <c r="L4388">
        <v>6</v>
      </c>
      <c r="M4388" t="s">
        <v>18573</v>
      </c>
      <c r="N4388" t="s">
        <v>47</v>
      </c>
      <c r="O4388" t="s">
        <v>9477</v>
      </c>
      <c r="P4388" t="s">
        <v>9477</v>
      </c>
      <c r="Y4388" t="s">
        <v>18574</v>
      </c>
    </row>
    <row r="4389" spans="1:25">
      <c r="A4389" t="s">
        <v>18575</v>
      </c>
      <c r="B4389" t="s">
        <v>18576</v>
      </c>
      <c r="D4389" t="s">
        <v>9473</v>
      </c>
      <c r="E4389" t="s">
        <v>9474</v>
      </c>
      <c r="J4389" t="s">
        <v>371</v>
      </c>
      <c r="K4389" t="s">
        <v>372</v>
      </c>
      <c r="L4389">
        <v>6</v>
      </c>
      <c r="M4389" t="s">
        <v>18573</v>
      </c>
      <c r="N4389" t="s">
        <v>47</v>
      </c>
      <c r="O4389" t="s">
        <v>9477</v>
      </c>
      <c r="P4389" t="s">
        <v>9477</v>
      </c>
      <c r="Y4389" t="s">
        <v>18577</v>
      </c>
    </row>
    <row r="4390" spans="1:25">
      <c r="A4390" t="s">
        <v>18578</v>
      </c>
      <c r="B4390" t="s">
        <v>18579</v>
      </c>
      <c r="D4390" t="s">
        <v>9473</v>
      </c>
      <c r="E4390" t="s">
        <v>9474</v>
      </c>
      <c r="J4390" t="s">
        <v>44</v>
      </c>
      <c r="K4390" t="s">
        <v>45</v>
      </c>
      <c r="L4390">
        <v>6</v>
      </c>
      <c r="M4390" t="s">
        <v>18573</v>
      </c>
      <c r="N4390" t="s">
        <v>47</v>
      </c>
      <c r="O4390" t="s">
        <v>9477</v>
      </c>
      <c r="P4390" t="s">
        <v>9477</v>
      </c>
      <c r="Y4390" t="s">
        <v>18580</v>
      </c>
    </row>
    <row r="4391" spans="1:25">
      <c r="A4391" t="s">
        <v>18581</v>
      </c>
      <c r="B4391" t="s">
        <v>18582</v>
      </c>
      <c r="D4391" t="s">
        <v>9473</v>
      </c>
      <c r="E4391" t="s">
        <v>9474</v>
      </c>
      <c r="J4391" t="s">
        <v>78</v>
      </c>
      <c r="K4391" t="s">
        <v>79</v>
      </c>
      <c r="L4391">
        <v>6</v>
      </c>
      <c r="M4391" t="s">
        <v>18583</v>
      </c>
      <c r="N4391" t="s">
        <v>47</v>
      </c>
      <c r="O4391" t="s">
        <v>9477</v>
      </c>
      <c r="P4391" t="s">
        <v>9477</v>
      </c>
      <c r="Y4391" t="s">
        <v>18584</v>
      </c>
    </row>
    <row r="4392" spans="1:25">
      <c r="A4392" t="s">
        <v>18585</v>
      </c>
      <c r="B4392" t="s">
        <v>18586</v>
      </c>
      <c r="D4392" t="s">
        <v>9473</v>
      </c>
      <c r="E4392" t="s">
        <v>9474</v>
      </c>
      <c r="J4392" t="s">
        <v>90</v>
      </c>
      <c r="K4392" t="s">
        <v>91</v>
      </c>
      <c r="L4392">
        <v>6</v>
      </c>
      <c r="M4392" t="s">
        <v>18583</v>
      </c>
      <c r="N4392" t="s">
        <v>47</v>
      </c>
      <c r="O4392" t="s">
        <v>9477</v>
      </c>
      <c r="P4392" t="s">
        <v>9477</v>
      </c>
      <c r="Y4392" t="s">
        <v>18587</v>
      </c>
    </row>
    <row r="4393" spans="1:25">
      <c r="A4393" t="s">
        <v>18588</v>
      </c>
      <c r="B4393" t="s">
        <v>18589</v>
      </c>
      <c r="D4393" t="s">
        <v>9473</v>
      </c>
      <c r="E4393" t="s">
        <v>9474</v>
      </c>
      <c r="H4393" t="s">
        <v>18590</v>
      </c>
      <c r="J4393" t="s">
        <v>44</v>
      </c>
      <c r="K4393" t="s">
        <v>45</v>
      </c>
      <c r="L4393">
        <v>6</v>
      </c>
      <c r="M4393" t="s">
        <v>18591</v>
      </c>
      <c r="N4393" t="s">
        <v>47</v>
      </c>
      <c r="O4393" t="s">
        <v>9477</v>
      </c>
      <c r="P4393" t="s">
        <v>9477</v>
      </c>
      <c r="Y4393" t="s">
        <v>18590</v>
      </c>
    </row>
    <row r="4394" spans="1:25">
      <c r="A4394" t="s">
        <v>18592</v>
      </c>
      <c r="B4394" t="s">
        <v>18593</v>
      </c>
      <c r="D4394" t="s">
        <v>9473</v>
      </c>
      <c r="E4394" t="s">
        <v>9474</v>
      </c>
      <c r="J4394" t="s">
        <v>78</v>
      </c>
      <c r="K4394" t="s">
        <v>79</v>
      </c>
      <c r="L4394">
        <v>6</v>
      </c>
      <c r="M4394" t="s">
        <v>18591</v>
      </c>
      <c r="N4394" t="s">
        <v>47</v>
      </c>
      <c r="O4394" t="s">
        <v>9477</v>
      </c>
      <c r="P4394" t="s">
        <v>9477</v>
      </c>
      <c r="Y4394" t="s">
        <v>18594</v>
      </c>
    </row>
    <row r="4395" spans="1:25">
      <c r="A4395" t="s">
        <v>18595</v>
      </c>
      <c r="B4395" t="s">
        <v>18596</v>
      </c>
      <c r="D4395" t="s">
        <v>9473</v>
      </c>
      <c r="E4395" t="s">
        <v>9474</v>
      </c>
      <c r="H4395" t="s">
        <v>18597</v>
      </c>
      <c r="J4395" t="s">
        <v>90</v>
      </c>
      <c r="K4395" t="s">
        <v>91</v>
      </c>
      <c r="L4395">
        <v>6</v>
      </c>
      <c r="M4395" t="s">
        <v>18598</v>
      </c>
      <c r="N4395" t="s">
        <v>47</v>
      </c>
      <c r="O4395" t="s">
        <v>9477</v>
      </c>
      <c r="P4395" t="s">
        <v>9477</v>
      </c>
      <c r="Y4395" t="s">
        <v>18597</v>
      </c>
    </row>
    <row r="4396" spans="1:25">
      <c r="A4396" t="s">
        <v>18599</v>
      </c>
      <c r="B4396" t="s">
        <v>18600</v>
      </c>
      <c r="D4396" t="s">
        <v>9473</v>
      </c>
      <c r="E4396" t="s">
        <v>9474</v>
      </c>
      <c r="J4396" t="s">
        <v>44</v>
      </c>
      <c r="K4396" t="s">
        <v>45</v>
      </c>
      <c r="L4396">
        <v>6</v>
      </c>
      <c r="M4396" t="s">
        <v>18601</v>
      </c>
      <c r="N4396" t="s">
        <v>47</v>
      </c>
      <c r="O4396" t="s">
        <v>9477</v>
      </c>
      <c r="P4396" t="s">
        <v>9477</v>
      </c>
      <c r="Y4396" t="s">
        <v>18602</v>
      </c>
    </row>
    <row r="4397" spans="1:25">
      <c r="A4397" t="s">
        <v>18603</v>
      </c>
      <c r="B4397" t="s">
        <v>18604</v>
      </c>
      <c r="D4397" t="s">
        <v>9473</v>
      </c>
      <c r="E4397" t="s">
        <v>9474</v>
      </c>
      <c r="J4397" t="s">
        <v>133</v>
      </c>
      <c r="K4397" t="s">
        <v>134</v>
      </c>
      <c r="L4397">
        <v>6</v>
      </c>
      <c r="M4397" t="s">
        <v>18605</v>
      </c>
      <c r="N4397" t="s">
        <v>135</v>
      </c>
      <c r="O4397" t="s">
        <v>9477</v>
      </c>
      <c r="P4397" t="s">
        <v>9477</v>
      </c>
      <c r="Y4397" t="s">
        <v>18606</v>
      </c>
    </row>
    <row r="4398" spans="1:25">
      <c r="A4398" t="s">
        <v>18607</v>
      </c>
      <c r="B4398" t="s">
        <v>18608</v>
      </c>
      <c r="D4398" t="s">
        <v>9473</v>
      </c>
      <c r="E4398" t="s">
        <v>9474</v>
      </c>
      <c r="J4398" t="s">
        <v>90</v>
      </c>
      <c r="K4398" t="s">
        <v>91</v>
      </c>
      <c r="L4398">
        <v>6</v>
      </c>
      <c r="M4398" t="s">
        <v>18609</v>
      </c>
      <c r="N4398" t="s">
        <v>47</v>
      </c>
      <c r="O4398" t="s">
        <v>9477</v>
      </c>
      <c r="P4398" t="s">
        <v>9477</v>
      </c>
      <c r="Y4398" t="s">
        <v>18610</v>
      </c>
    </row>
    <row r="4399" spans="1:25">
      <c r="A4399" t="s">
        <v>18611</v>
      </c>
      <c r="B4399" t="s">
        <v>18612</v>
      </c>
      <c r="D4399" t="s">
        <v>9473</v>
      </c>
      <c r="E4399" t="s">
        <v>9474</v>
      </c>
      <c r="J4399" t="s">
        <v>90</v>
      </c>
      <c r="K4399" t="s">
        <v>91</v>
      </c>
      <c r="L4399">
        <v>6</v>
      </c>
      <c r="M4399" t="s">
        <v>18613</v>
      </c>
      <c r="N4399" t="s">
        <v>47</v>
      </c>
      <c r="O4399" t="s">
        <v>9477</v>
      </c>
      <c r="P4399" t="s">
        <v>9477</v>
      </c>
      <c r="Y4399" t="s">
        <v>18614</v>
      </c>
    </row>
    <row r="4400" spans="1:25">
      <c r="A4400" t="s">
        <v>18615</v>
      </c>
      <c r="B4400" t="s">
        <v>18616</v>
      </c>
      <c r="D4400" t="s">
        <v>9473</v>
      </c>
      <c r="E4400" t="s">
        <v>9474</v>
      </c>
      <c r="J4400" t="s">
        <v>90</v>
      </c>
      <c r="K4400" t="s">
        <v>91</v>
      </c>
      <c r="L4400">
        <v>6</v>
      </c>
      <c r="M4400" t="s">
        <v>18617</v>
      </c>
      <c r="N4400" t="s">
        <v>47</v>
      </c>
      <c r="O4400" t="s">
        <v>9477</v>
      </c>
      <c r="P4400" t="s">
        <v>9477</v>
      </c>
      <c r="Y4400" t="s">
        <v>18618</v>
      </c>
    </row>
    <row r="4401" spans="1:25">
      <c r="A4401" t="s">
        <v>18619</v>
      </c>
      <c r="B4401" t="s">
        <v>18620</v>
      </c>
      <c r="D4401" t="s">
        <v>9473</v>
      </c>
      <c r="E4401" t="s">
        <v>9474</v>
      </c>
      <c r="J4401" t="s">
        <v>90</v>
      </c>
      <c r="K4401" t="s">
        <v>91</v>
      </c>
      <c r="L4401">
        <v>6</v>
      </c>
      <c r="M4401" t="s">
        <v>18621</v>
      </c>
      <c r="N4401" t="s">
        <v>47</v>
      </c>
      <c r="O4401" t="s">
        <v>9477</v>
      </c>
      <c r="P4401" t="s">
        <v>9477</v>
      </c>
      <c r="Y4401" t="s">
        <v>18622</v>
      </c>
    </row>
    <row r="4402" spans="1:25">
      <c r="A4402" t="s">
        <v>18623</v>
      </c>
      <c r="B4402" t="s">
        <v>18624</v>
      </c>
      <c r="D4402" t="s">
        <v>9473</v>
      </c>
      <c r="E4402" t="s">
        <v>9474</v>
      </c>
      <c r="J4402" t="s">
        <v>90</v>
      </c>
      <c r="K4402" t="s">
        <v>91</v>
      </c>
      <c r="L4402">
        <v>6</v>
      </c>
      <c r="M4402" t="s">
        <v>18621</v>
      </c>
      <c r="N4402" t="s">
        <v>47</v>
      </c>
      <c r="O4402" t="s">
        <v>9477</v>
      </c>
      <c r="P4402" t="s">
        <v>9477</v>
      </c>
      <c r="Y4402" t="s">
        <v>18625</v>
      </c>
    </row>
    <row r="4403" spans="1:25">
      <c r="A4403" t="s">
        <v>18626</v>
      </c>
      <c r="B4403" t="s">
        <v>18627</v>
      </c>
      <c r="D4403" t="s">
        <v>9473</v>
      </c>
      <c r="E4403" t="s">
        <v>9474</v>
      </c>
      <c r="H4403" t="s">
        <v>18628</v>
      </c>
      <c r="J4403" t="s">
        <v>54</v>
      </c>
      <c r="K4403" t="s">
        <v>55</v>
      </c>
      <c r="L4403">
        <v>6</v>
      </c>
      <c r="M4403" t="s">
        <v>18621</v>
      </c>
      <c r="N4403" t="s">
        <v>47</v>
      </c>
      <c r="O4403" t="s">
        <v>9477</v>
      </c>
      <c r="P4403" t="s">
        <v>9477</v>
      </c>
      <c r="Y4403" t="s">
        <v>18628</v>
      </c>
    </row>
    <row r="4404" spans="1:25">
      <c r="A4404" t="s">
        <v>18629</v>
      </c>
      <c r="B4404" t="s">
        <v>18630</v>
      </c>
      <c r="D4404" t="s">
        <v>9473</v>
      </c>
      <c r="E4404" t="s">
        <v>9474</v>
      </c>
      <c r="H4404" t="s">
        <v>18631</v>
      </c>
      <c r="J4404" t="s">
        <v>497</v>
      </c>
      <c r="K4404" t="s">
        <v>498</v>
      </c>
      <c r="L4404">
        <v>6</v>
      </c>
      <c r="M4404" t="s">
        <v>18632</v>
      </c>
      <c r="N4404" t="s">
        <v>135</v>
      </c>
      <c r="O4404" t="s">
        <v>9477</v>
      </c>
      <c r="P4404" t="s">
        <v>9477</v>
      </c>
      <c r="Y4404" t="s">
        <v>18631</v>
      </c>
    </row>
    <row r="4405" spans="1:25">
      <c r="A4405" t="s">
        <v>18633</v>
      </c>
      <c r="B4405" t="s">
        <v>18634</v>
      </c>
      <c r="D4405" t="s">
        <v>9473</v>
      </c>
      <c r="E4405" t="s">
        <v>9474</v>
      </c>
      <c r="J4405" t="s">
        <v>78</v>
      </c>
      <c r="K4405" t="s">
        <v>79</v>
      </c>
      <c r="L4405">
        <v>6</v>
      </c>
      <c r="M4405" t="s">
        <v>18635</v>
      </c>
      <c r="N4405" t="s">
        <v>47</v>
      </c>
      <c r="O4405" t="s">
        <v>9477</v>
      </c>
      <c r="P4405" t="s">
        <v>9477</v>
      </c>
      <c r="Y4405" t="s">
        <v>18636</v>
      </c>
    </row>
    <row r="4406" spans="1:25">
      <c r="A4406" t="s">
        <v>18637</v>
      </c>
      <c r="B4406" t="s">
        <v>18638</v>
      </c>
      <c r="D4406" t="s">
        <v>9473</v>
      </c>
      <c r="E4406" t="s">
        <v>9474</v>
      </c>
      <c r="J4406" t="s">
        <v>44</v>
      </c>
      <c r="K4406" t="s">
        <v>45</v>
      </c>
      <c r="L4406">
        <v>6</v>
      </c>
      <c r="M4406" t="s">
        <v>18639</v>
      </c>
      <c r="N4406" t="s">
        <v>47</v>
      </c>
      <c r="O4406" t="s">
        <v>9477</v>
      </c>
      <c r="P4406" t="s">
        <v>9477</v>
      </c>
      <c r="Y4406" t="s">
        <v>18640</v>
      </c>
    </row>
    <row r="4407" spans="1:25">
      <c r="A4407" t="s">
        <v>18641</v>
      </c>
      <c r="B4407" t="s">
        <v>18642</v>
      </c>
      <c r="D4407" t="s">
        <v>9473</v>
      </c>
      <c r="E4407" t="s">
        <v>9474</v>
      </c>
      <c r="H4407" t="s">
        <v>18643</v>
      </c>
      <c r="J4407" t="s">
        <v>44</v>
      </c>
      <c r="K4407" t="s">
        <v>45</v>
      </c>
      <c r="L4407">
        <v>6</v>
      </c>
      <c r="M4407" t="s">
        <v>18644</v>
      </c>
      <c r="N4407" t="s">
        <v>47</v>
      </c>
      <c r="O4407" t="s">
        <v>9477</v>
      </c>
      <c r="P4407" t="s">
        <v>9477</v>
      </c>
      <c r="Y4407" t="s">
        <v>18643</v>
      </c>
    </row>
    <row r="4408" spans="1:25">
      <c r="A4408" t="s">
        <v>18645</v>
      </c>
      <c r="B4408" t="s">
        <v>18646</v>
      </c>
      <c r="D4408" t="s">
        <v>9473</v>
      </c>
      <c r="E4408" t="s">
        <v>9474</v>
      </c>
      <c r="H4408" t="s">
        <v>18647</v>
      </c>
      <c r="J4408" t="s">
        <v>2948</v>
      </c>
      <c r="K4408" t="s">
        <v>2949</v>
      </c>
      <c r="L4408">
        <v>6</v>
      </c>
      <c r="M4408" t="s">
        <v>18648</v>
      </c>
      <c r="N4408" t="s">
        <v>290</v>
      </c>
      <c r="O4408" t="s">
        <v>9477</v>
      </c>
      <c r="P4408" t="s">
        <v>9477</v>
      </c>
      <c r="Y4408" t="s">
        <v>18647</v>
      </c>
    </row>
    <row r="4409" spans="1:25">
      <c r="A4409" t="s">
        <v>18649</v>
      </c>
      <c r="B4409" t="s">
        <v>18650</v>
      </c>
      <c r="D4409" t="s">
        <v>9473</v>
      </c>
      <c r="E4409" t="s">
        <v>9474</v>
      </c>
      <c r="H4409" t="s">
        <v>18651</v>
      </c>
      <c r="J4409" t="s">
        <v>497</v>
      </c>
      <c r="K4409" t="s">
        <v>498</v>
      </c>
      <c r="L4409">
        <v>6</v>
      </c>
      <c r="M4409" t="s">
        <v>18648</v>
      </c>
      <c r="N4409" t="s">
        <v>685</v>
      </c>
      <c r="O4409" t="s">
        <v>9477</v>
      </c>
      <c r="P4409" t="s">
        <v>9477</v>
      </c>
      <c r="Y4409" t="s">
        <v>18651</v>
      </c>
    </row>
    <row r="4410" spans="1:25">
      <c r="A4410" t="s">
        <v>18652</v>
      </c>
      <c r="B4410" t="s">
        <v>18653</v>
      </c>
      <c r="D4410" t="s">
        <v>9473</v>
      </c>
      <c r="E4410" t="s">
        <v>9474</v>
      </c>
      <c r="J4410" t="s">
        <v>54</v>
      </c>
      <c r="K4410" t="s">
        <v>55</v>
      </c>
      <c r="L4410">
        <v>6</v>
      </c>
      <c r="M4410" t="s">
        <v>18648</v>
      </c>
      <c r="N4410" t="s">
        <v>47</v>
      </c>
      <c r="O4410" t="s">
        <v>9477</v>
      </c>
      <c r="P4410" t="s">
        <v>9477</v>
      </c>
      <c r="Y4410" t="s">
        <v>18654</v>
      </c>
    </row>
    <row r="4411" spans="1:25">
      <c r="A4411" t="s">
        <v>18655</v>
      </c>
      <c r="B4411" t="s">
        <v>18656</v>
      </c>
      <c r="D4411" t="s">
        <v>9473</v>
      </c>
      <c r="E4411" t="s">
        <v>9474</v>
      </c>
      <c r="J4411" t="s">
        <v>44</v>
      </c>
      <c r="K4411" t="s">
        <v>45</v>
      </c>
      <c r="L4411">
        <v>6</v>
      </c>
      <c r="M4411" t="s">
        <v>18648</v>
      </c>
      <c r="N4411" t="s">
        <v>47</v>
      </c>
      <c r="O4411" t="s">
        <v>9477</v>
      </c>
      <c r="P4411" t="s">
        <v>9477</v>
      </c>
      <c r="Y4411" t="s">
        <v>18657</v>
      </c>
    </row>
    <row r="4412" spans="1:25">
      <c r="A4412" t="s">
        <v>18658</v>
      </c>
      <c r="B4412" t="s">
        <v>18659</v>
      </c>
      <c r="D4412" t="s">
        <v>9473</v>
      </c>
      <c r="E4412" t="s">
        <v>9474</v>
      </c>
      <c r="H4412" t="s">
        <v>18660</v>
      </c>
      <c r="J4412" t="s">
        <v>353</v>
      </c>
      <c r="K4412" t="s">
        <v>354</v>
      </c>
      <c r="L4412">
        <v>6</v>
      </c>
      <c r="M4412" t="s">
        <v>18661</v>
      </c>
      <c r="N4412" t="s">
        <v>135</v>
      </c>
      <c r="O4412" t="s">
        <v>9477</v>
      </c>
      <c r="P4412" t="s">
        <v>9477</v>
      </c>
      <c r="Y4412" t="s">
        <v>18660</v>
      </c>
    </row>
    <row r="4413" spans="1:25">
      <c r="A4413" t="s">
        <v>18662</v>
      </c>
      <c r="B4413" t="s">
        <v>18663</v>
      </c>
      <c r="D4413" t="s">
        <v>9473</v>
      </c>
      <c r="E4413" t="s">
        <v>9474</v>
      </c>
      <c r="J4413" t="s">
        <v>44</v>
      </c>
      <c r="K4413" t="s">
        <v>45</v>
      </c>
      <c r="L4413">
        <v>6</v>
      </c>
      <c r="M4413" t="s">
        <v>18664</v>
      </c>
      <c r="N4413" t="s">
        <v>47</v>
      </c>
      <c r="O4413" t="s">
        <v>9477</v>
      </c>
      <c r="P4413" t="s">
        <v>9477</v>
      </c>
      <c r="Y4413" t="s">
        <v>18665</v>
      </c>
    </row>
    <row r="4414" spans="1:25">
      <c r="A4414" t="s">
        <v>18666</v>
      </c>
      <c r="B4414" t="s">
        <v>18667</v>
      </c>
      <c r="D4414" t="s">
        <v>9473</v>
      </c>
      <c r="E4414" t="s">
        <v>9474</v>
      </c>
      <c r="J4414" t="s">
        <v>54</v>
      </c>
      <c r="K4414" t="s">
        <v>55</v>
      </c>
      <c r="L4414">
        <v>6</v>
      </c>
      <c r="M4414" t="s">
        <v>18664</v>
      </c>
      <c r="N4414" t="s">
        <v>47</v>
      </c>
      <c r="O4414" t="s">
        <v>9477</v>
      </c>
      <c r="P4414" t="s">
        <v>9477</v>
      </c>
      <c r="Y4414" t="s">
        <v>18668</v>
      </c>
    </row>
    <row r="4415" spans="1:25">
      <c r="A4415" t="s">
        <v>18669</v>
      </c>
      <c r="B4415" t="s">
        <v>18670</v>
      </c>
      <c r="D4415" t="s">
        <v>9473</v>
      </c>
      <c r="E4415" t="s">
        <v>9474</v>
      </c>
      <c r="J4415" t="s">
        <v>90</v>
      </c>
      <c r="K4415" t="s">
        <v>91</v>
      </c>
      <c r="L4415">
        <v>6</v>
      </c>
      <c r="M4415" t="s">
        <v>18664</v>
      </c>
      <c r="N4415" t="s">
        <v>47</v>
      </c>
      <c r="O4415" t="s">
        <v>9477</v>
      </c>
      <c r="P4415" t="s">
        <v>9477</v>
      </c>
      <c r="Y4415" t="s">
        <v>18671</v>
      </c>
    </row>
    <row r="4416" spans="1:25">
      <c r="A4416" t="s">
        <v>18672</v>
      </c>
      <c r="B4416" t="s">
        <v>18673</v>
      </c>
      <c r="D4416" t="s">
        <v>9473</v>
      </c>
      <c r="E4416" t="s">
        <v>9474</v>
      </c>
      <c r="H4416" t="s">
        <v>18674</v>
      </c>
      <c r="J4416" t="s">
        <v>90</v>
      </c>
      <c r="K4416" t="s">
        <v>91</v>
      </c>
      <c r="L4416">
        <v>6</v>
      </c>
      <c r="M4416" t="s">
        <v>18675</v>
      </c>
      <c r="N4416" t="s">
        <v>47</v>
      </c>
      <c r="O4416" t="s">
        <v>9477</v>
      </c>
      <c r="P4416" t="s">
        <v>9477</v>
      </c>
      <c r="Y4416" t="s">
        <v>18674</v>
      </c>
    </row>
    <row r="4417" spans="1:25">
      <c r="A4417" t="s">
        <v>18676</v>
      </c>
      <c r="B4417" t="s">
        <v>18677</v>
      </c>
      <c r="D4417" t="s">
        <v>9473</v>
      </c>
      <c r="E4417" t="s">
        <v>9474</v>
      </c>
      <c r="J4417" t="s">
        <v>90</v>
      </c>
      <c r="K4417" t="s">
        <v>91</v>
      </c>
      <c r="L4417">
        <v>6</v>
      </c>
      <c r="M4417" t="s">
        <v>18678</v>
      </c>
      <c r="N4417" t="s">
        <v>47</v>
      </c>
      <c r="O4417" t="s">
        <v>9477</v>
      </c>
      <c r="P4417" t="s">
        <v>9477</v>
      </c>
      <c r="Y4417" t="s">
        <v>18679</v>
      </c>
    </row>
    <row r="4418" spans="1:25">
      <c r="A4418" t="s">
        <v>18680</v>
      </c>
      <c r="B4418" t="s">
        <v>18681</v>
      </c>
      <c r="D4418" t="s">
        <v>9473</v>
      </c>
      <c r="E4418" t="s">
        <v>9474</v>
      </c>
      <c r="J4418" t="s">
        <v>353</v>
      </c>
      <c r="K4418" t="s">
        <v>354</v>
      </c>
      <c r="L4418">
        <v>6</v>
      </c>
      <c r="M4418" t="s">
        <v>18682</v>
      </c>
      <c r="N4418" t="s">
        <v>135</v>
      </c>
      <c r="O4418" t="s">
        <v>9477</v>
      </c>
      <c r="P4418" t="s">
        <v>9477</v>
      </c>
      <c r="Y4418" t="s">
        <v>18683</v>
      </c>
    </row>
    <row r="4419" spans="1:25">
      <c r="A4419" t="s">
        <v>18684</v>
      </c>
      <c r="B4419" t="s">
        <v>18685</v>
      </c>
      <c r="D4419" t="s">
        <v>9473</v>
      </c>
      <c r="E4419" t="s">
        <v>9474</v>
      </c>
      <c r="J4419" t="s">
        <v>44</v>
      </c>
      <c r="K4419" t="s">
        <v>45</v>
      </c>
      <c r="L4419">
        <v>6</v>
      </c>
      <c r="M4419" t="s">
        <v>18686</v>
      </c>
      <c r="N4419" t="s">
        <v>47</v>
      </c>
      <c r="O4419" t="s">
        <v>9477</v>
      </c>
      <c r="P4419" t="s">
        <v>9477</v>
      </c>
      <c r="Y4419" t="s">
        <v>18687</v>
      </c>
    </row>
    <row r="4420" spans="1:25">
      <c r="A4420" t="s">
        <v>18688</v>
      </c>
      <c r="B4420" t="s">
        <v>18689</v>
      </c>
      <c r="D4420" t="s">
        <v>9473</v>
      </c>
      <c r="E4420" t="s">
        <v>9474</v>
      </c>
      <c r="J4420" t="s">
        <v>133</v>
      </c>
      <c r="K4420" t="s">
        <v>134</v>
      </c>
      <c r="L4420">
        <v>6</v>
      </c>
      <c r="M4420" t="s">
        <v>18690</v>
      </c>
      <c r="N4420" t="s">
        <v>685</v>
      </c>
      <c r="O4420" t="s">
        <v>9477</v>
      </c>
      <c r="P4420" t="s">
        <v>9477</v>
      </c>
      <c r="Y4420" t="s">
        <v>18691</v>
      </c>
    </row>
    <row r="4421" spans="1:25">
      <c r="A4421" t="s">
        <v>18692</v>
      </c>
      <c r="B4421" t="s">
        <v>18693</v>
      </c>
      <c r="D4421" t="s">
        <v>9473</v>
      </c>
      <c r="E4421" t="s">
        <v>9474</v>
      </c>
      <c r="J4421" t="s">
        <v>54</v>
      </c>
      <c r="K4421" t="s">
        <v>55</v>
      </c>
      <c r="L4421">
        <v>6</v>
      </c>
      <c r="M4421" t="s">
        <v>18690</v>
      </c>
      <c r="N4421" t="s">
        <v>47</v>
      </c>
      <c r="O4421" t="s">
        <v>9477</v>
      </c>
      <c r="P4421" t="s">
        <v>9477</v>
      </c>
      <c r="Y4421" t="s">
        <v>18694</v>
      </c>
    </row>
    <row r="4422" spans="1:25">
      <c r="A4422" t="s">
        <v>18695</v>
      </c>
      <c r="B4422" t="s">
        <v>18696</v>
      </c>
      <c r="D4422" t="s">
        <v>9473</v>
      </c>
      <c r="E4422" t="s">
        <v>9474</v>
      </c>
      <c r="J4422" t="s">
        <v>90</v>
      </c>
      <c r="K4422" t="s">
        <v>91</v>
      </c>
      <c r="L4422">
        <v>6</v>
      </c>
      <c r="M4422" t="s">
        <v>18690</v>
      </c>
      <c r="N4422" t="s">
        <v>47</v>
      </c>
      <c r="O4422" t="s">
        <v>9477</v>
      </c>
      <c r="P4422" t="s">
        <v>9477</v>
      </c>
      <c r="Y4422" t="s">
        <v>18697</v>
      </c>
    </row>
    <row r="4423" spans="1:25">
      <c r="A4423" t="s">
        <v>18698</v>
      </c>
      <c r="B4423" t="s">
        <v>18699</v>
      </c>
      <c r="D4423" t="s">
        <v>9473</v>
      </c>
      <c r="E4423" t="s">
        <v>9474</v>
      </c>
      <c r="J4423" t="s">
        <v>90</v>
      </c>
      <c r="K4423" t="s">
        <v>91</v>
      </c>
      <c r="L4423">
        <v>6</v>
      </c>
      <c r="M4423" t="s">
        <v>18690</v>
      </c>
      <c r="N4423" t="s">
        <v>47</v>
      </c>
      <c r="O4423" t="s">
        <v>9477</v>
      </c>
      <c r="P4423" t="s">
        <v>9477</v>
      </c>
      <c r="Y4423" t="s">
        <v>18700</v>
      </c>
    </row>
    <row r="4424" spans="1:25">
      <c r="A4424" t="s">
        <v>18701</v>
      </c>
      <c r="B4424" t="s">
        <v>18702</v>
      </c>
      <c r="D4424" t="s">
        <v>9473</v>
      </c>
      <c r="E4424" t="s">
        <v>9474</v>
      </c>
      <c r="J4424" t="s">
        <v>44</v>
      </c>
      <c r="K4424" t="s">
        <v>45</v>
      </c>
      <c r="L4424">
        <v>6</v>
      </c>
      <c r="M4424" t="s">
        <v>18703</v>
      </c>
      <c r="N4424" t="s">
        <v>47</v>
      </c>
      <c r="O4424" t="s">
        <v>9477</v>
      </c>
      <c r="P4424" t="s">
        <v>9477</v>
      </c>
      <c r="Y4424" t="s">
        <v>18704</v>
      </c>
    </row>
    <row r="4425" spans="1:25">
      <c r="A4425" t="s">
        <v>18705</v>
      </c>
      <c r="B4425" t="s">
        <v>18706</v>
      </c>
      <c r="D4425" t="s">
        <v>9473</v>
      </c>
      <c r="E4425" t="s">
        <v>9474</v>
      </c>
      <c r="J4425" t="s">
        <v>44</v>
      </c>
      <c r="K4425" t="s">
        <v>45</v>
      </c>
      <c r="L4425">
        <v>6</v>
      </c>
      <c r="M4425" t="s">
        <v>18707</v>
      </c>
      <c r="N4425" t="s">
        <v>47</v>
      </c>
      <c r="O4425" t="s">
        <v>9477</v>
      </c>
      <c r="P4425" t="s">
        <v>9477</v>
      </c>
      <c r="Y4425" t="s">
        <v>18708</v>
      </c>
    </row>
    <row r="4426" spans="1:25">
      <c r="A4426" t="s">
        <v>18709</v>
      </c>
      <c r="B4426" t="s">
        <v>18710</v>
      </c>
      <c r="D4426" t="s">
        <v>9473</v>
      </c>
      <c r="E4426" t="s">
        <v>9474</v>
      </c>
      <c r="H4426" t="s">
        <v>18711</v>
      </c>
      <c r="J4426" t="s">
        <v>90</v>
      </c>
      <c r="K4426" t="s">
        <v>91</v>
      </c>
      <c r="L4426">
        <v>6</v>
      </c>
      <c r="M4426" t="s">
        <v>18712</v>
      </c>
      <c r="N4426" t="s">
        <v>47</v>
      </c>
      <c r="O4426" t="s">
        <v>9477</v>
      </c>
      <c r="P4426" t="s">
        <v>9477</v>
      </c>
      <c r="Y4426" t="s">
        <v>18711</v>
      </c>
    </row>
    <row r="4427" spans="1:25">
      <c r="A4427" t="s">
        <v>18713</v>
      </c>
      <c r="B4427" t="s">
        <v>18714</v>
      </c>
      <c r="D4427" t="s">
        <v>9473</v>
      </c>
      <c r="E4427" t="s">
        <v>9474</v>
      </c>
      <c r="J4427" t="s">
        <v>1827</v>
      </c>
      <c r="K4427" t="s">
        <v>1828</v>
      </c>
      <c r="L4427">
        <v>6</v>
      </c>
      <c r="M4427" t="s">
        <v>18715</v>
      </c>
      <c r="N4427" t="s">
        <v>47</v>
      </c>
      <c r="O4427" t="s">
        <v>9477</v>
      </c>
      <c r="P4427" t="s">
        <v>9477</v>
      </c>
      <c r="Y4427" t="s">
        <v>18716</v>
      </c>
    </row>
    <row r="4428" spans="1:25">
      <c r="A4428" t="s">
        <v>18717</v>
      </c>
      <c r="B4428" t="s">
        <v>18718</v>
      </c>
      <c r="D4428" t="s">
        <v>9473</v>
      </c>
      <c r="E4428" t="s">
        <v>9474</v>
      </c>
      <c r="J4428" t="s">
        <v>371</v>
      </c>
      <c r="K4428" t="s">
        <v>372</v>
      </c>
      <c r="L4428">
        <v>6</v>
      </c>
      <c r="M4428" t="s">
        <v>18719</v>
      </c>
      <c r="N4428" t="s">
        <v>47</v>
      </c>
      <c r="O4428" t="s">
        <v>9477</v>
      </c>
      <c r="P4428" t="s">
        <v>9477</v>
      </c>
      <c r="Y4428" t="s">
        <v>18720</v>
      </c>
    </row>
    <row r="4429" spans="1:25">
      <c r="A4429" t="s">
        <v>18721</v>
      </c>
      <c r="B4429" t="s">
        <v>18722</v>
      </c>
      <c r="D4429" t="s">
        <v>9473</v>
      </c>
      <c r="E4429" t="s">
        <v>9474</v>
      </c>
      <c r="H4429" t="s">
        <v>18723</v>
      </c>
      <c r="J4429" t="s">
        <v>90</v>
      </c>
      <c r="K4429" t="s">
        <v>91</v>
      </c>
      <c r="L4429">
        <v>6</v>
      </c>
      <c r="M4429" t="s">
        <v>18724</v>
      </c>
      <c r="N4429" t="s">
        <v>47</v>
      </c>
      <c r="O4429" t="s">
        <v>9477</v>
      </c>
      <c r="P4429" t="s">
        <v>9477</v>
      </c>
      <c r="Y4429" t="s">
        <v>18723</v>
      </c>
    </row>
    <row r="4430" spans="1:25">
      <c r="A4430" t="s">
        <v>18725</v>
      </c>
      <c r="B4430" t="s">
        <v>18726</v>
      </c>
      <c r="D4430" t="s">
        <v>9473</v>
      </c>
      <c r="E4430" t="s">
        <v>9474</v>
      </c>
      <c r="H4430" t="s">
        <v>18727</v>
      </c>
      <c r="J4430" t="s">
        <v>44</v>
      </c>
      <c r="K4430" t="s">
        <v>45</v>
      </c>
      <c r="L4430">
        <v>6</v>
      </c>
      <c r="M4430" t="s">
        <v>18728</v>
      </c>
      <c r="N4430" t="s">
        <v>47</v>
      </c>
      <c r="O4430" t="s">
        <v>9477</v>
      </c>
      <c r="P4430" t="s">
        <v>9477</v>
      </c>
      <c r="Y4430" t="s">
        <v>18727</v>
      </c>
    </row>
    <row r="4431" spans="1:25">
      <c r="A4431" t="s">
        <v>18729</v>
      </c>
      <c r="B4431" t="s">
        <v>18730</v>
      </c>
      <c r="D4431" t="s">
        <v>9473</v>
      </c>
      <c r="E4431" t="s">
        <v>9474</v>
      </c>
      <c r="J4431" t="s">
        <v>44</v>
      </c>
      <c r="K4431" t="s">
        <v>45</v>
      </c>
      <c r="L4431">
        <v>6</v>
      </c>
      <c r="M4431" t="s">
        <v>18731</v>
      </c>
      <c r="N4431" t="s">
        <v>47</v>
      </c>
      <c r="O4431" t="s">
        <v>9477</v>
      </c>
      <c r="P4431" t="s">
        <v>9477</v>
      </c>
      <c r="Y4431" t="s">
        <v>18732</v>
      </c>
    </row>
    <row r="4432" spans="1:25">
      <c r="A4432" t="s">
        <v>18733</v>
      </c>
      <c r="B4432" t="s">
        <v>18734</v>
      </c>
      <c r="D4432" t="s">
        <v>9473</v>
      </c>
      <c r="E4432" t="s">
        <v>9474</v>
      </c>
      <c r="J4432" t="s">
        <v>90</v>
      </c>
      <c r="K4432" t="s">
        <v>91</v>
      </c>
      <c r="L4432">
        <v>6</v>
      </c>
      <c r="M4432" t="s">
        <v>18735</v>
      </c>
      <c r="N4432" t="s">
        <v>47</v>
      </c>
      <c r="O4432" t="s">
        <v>9477</v>
      </c>
      <c r="P4432" t="s">
        <v>9477</v>
      </c>
      <c r="Y4432" t="s">
        <v>18736</v>
      </c>
    </row>
    <row r="4433" spans="1:25">
      <c r="A4433" t="s">
        <v>18737</v>
      </c>
      <c r="B4433" t="s">
        <v>18738</v>
      </c>
      <c r="D4433" t="s">
        <v>9473</v>
      </c>
      <c r="E4433" t="s">
        <v>9474</v>
      </c>
      <c r="J4433" t="s">
        <v>90</v>
      </c>
      <c r="K4433" t="s">
        <v>91</v>
      </c>
      <c r="L4433">
        <v>6</v>
      </c>
      <c r="M4433" t="s">
        <v>18739</v>
      </c>
      <c r="N4433" t="s">
        <v>47</v>
      </c>
      <c r="O4433" t="s">
        <v>9477</v>
      </c>
      <c r="P4433" t="s">
        <v>9477</v>
      </c>
      <c r="Y4433" t="s">
        <v>18740</v>
      </c>
    </row>
    <row r="4434" spans="1:25">
      <c r="A4434" t="s">
        <v>18741</v>
      </c>
      <c r="B4434" t="s">
        <v>18742</v>
      </c>
      <c r="D4434" t="s">
        <v>9473</v>
      </c>
      <c r="E4434" t="s">
        <v>9474</v>
      </c>
      <c r="H4434" t="s">
        <v>18743</v>
      </c>
      <c r="J4434" t="s">
        <v>90</v>
      </c>
      <c r="K4434" t="s">
        <v>91</v>
      </c>
      <c r="L4434">
        <v>6</v>
      </c>
      <c r="M4434" t="s">
        <v>18744</v>
      </c>
      <c r="N4434" t="s">
        <v>47</v>
      </c>
      <c r="O4434" t="s">
        <v>9477</v>
      </c>
      <c r="P4434" t="s">
        <v>9477</v>
      </c>
      <c r="Y4434" t="s">
        <v>18743</v>
      </c>
    </row>
    <row r="4435" spans="1:25">
      <c r="A4435" t="s">
        <v>18745</v>
      </c>
      <c r="B4435" t="s">
        <v>18746</v>
      </c>
      <c r="D4435" t="s">
        <v>9473</v>
      </c>
      <c r="E4435" t="s">
        <v>9474</v>
      </c>
      <c r="J4435" t="s">
        <v>90</v>
      </c>
      <c r="K4435" t="s">
        <v>91</v>
      </c>
      <c r="L4435">
        <v>6</v>
      </c>
      <c r="M4435" t="s">
        <v>18747</v>
      </c>
      <c r="N4435" t="s">
        <v>47</v>
      </c>
      <c r="O4435" t="s">
        <v>9477</v>
      </c>
      <c r="P4435" t="s">
        <v>9477</v>
      </c>
      <c r="Y4435" t="s">
        <v>18748</v>
      </c>
    </row>
    <row r="4436" spans="1:25">
      <c r="A4436" t="s">
        <v>18749</v>
      </c>
      <c r="B4436" t="s">
        <v>18750</v>
      </c>
      <c r="D4436" t="s">
        <v>9473</v>
      </c>
      <c r="E4436" t="s">
        <v>9474</v>
      </c>
      <c r="J4436" t="s">
        <v>90</v>
      </c>
      <c r="K4436" t="s">
        <v>91</v>
      </c>
      <c r="L4436">
        <v>6</v>
      </c>
      <c r="M4436" t="s">
        <v>18751</v>
      </c>
      <c r="N4436" t="s">
        <v>47</v>
      </c>
      <c r="O4436" t="s">
        <v>9477</v>
      </c>
      <c r="P4436" t="s">
        <v>9477</v>
      </c>
      <c r="Y4436" t="s">
        <v>18752</v>
      </c>
    </row>
    <row r="4437" spans="1:25">
      <c r="A4437" t="s">
        <v>18753</v>
      </c>
      <c r="B4437" t="s">
        <v>18754</v>
      </c>
      <c r="D4437" t="s">
        <v>9473</v>
      </c>
      <c r="E4437" t="s">
        <v>9474</v>
      </c>
      <c r="H4437" t="s">
        <v>18755</v>
      </c>
      <c r="J4437" t="s">
        <v>54</v>
      </c>
      <c r="K4437" t="s">
        <v>55</v>
      </c>
      <c r="L4437">
        <v>6</v>
      </c>
      <c r="M4437" t="s">
        <v>18751</v>
      </c>
      <c r="N4437" t="s">
        <v>47</v>
      </c>
      <c r="O4437" t="s">
        <v>9477</v>
      </c>
      <c r="P4437" t="s">
        <v>9477</v>
      </c>
      <c r="Y4437" t="s">
        <v>18755</v>
      </c>
    </row>
    <row r="4438" spans="1:25">
      <c r="A4438" t="s">
        <v>18756</v>
      </c>
      <c r="B4438" t="s">
        <v>18757</v>
      </c>
      <c r="D4438" t="s">
        <v>9473</v>
      </c>
      <c r="E4438" t="s">
        <v>9474</v>
      </c>
      <c r="H4438" t="s">
        <v>18758</v>
      </c>
      <c r="J4438" t="s">
        <v>5964</v>
      </c>
      <c r="K4438" t="s">
        <v>5965</v>
      </c>
      <c r="L4438">
        <v>6</v>
      </c>
      <c r="M4438" t="s">
        <v>18759</v>
      </c>
      <c r="N4438" t="s">
        <v>290</v>
      </c>
      <c r="O4438" t="s">
        <v>9477</v>
      </c>
      <c r="P4438" t="s">
        <v>9477</v>
      </c>
      <c r="Y4438" t="s">
        <v>18758</v>
      </c>
    </row>
    <row r="4439" spans="1:25">
      <c r="A4439" t="s">
        <v>18760</v>
      </c>
      <c r="B4439" t="s">
        <v>18761</v>
      </c>
      <c r="D4439" t="s">
        <v>9473</v>
      </c>
      <c r="E4439" t="s">
        <v>9474</v>
      </c>
      <c r="H4439" t="s">
        <v>18762</v>
      </c>
      <c r="J4439" t="s">
        <v>90</v>
      </c>
      <c r="K4439" t="s">
        <v>91</v>
      </c>
      <c r="L4439">
        <v>6</v>
      </c>
      <c r="M4439" t="s">
        <v>18763</v>
      </c>
      <c r="N4439" t="s">
        <v>47</v>
      </c>
      <c r="O4439" t="s">
        <v>9477</v>
      </c>
      <c r="P4439" t="s">
        <v>9477</v>
      </c>
      <c r="Y4439" t="s">
        <v>18762</v>
      </c>
    </row>
    <row r="4440" spans="1:25">
      <c r="A4440" t="s">
        <v>18764</v>
      </c>
      <c r="B4440" t="s">
        <v>18765</v>
      </c>
      <c r="D4440" t="s">
        <v>9473</v>
      </c>
      <c r="E4440" t="s">
        <v>9474</v>
      </c>
      <c r="H4440" t="s">
        <v>18766</v>
      </c>
      <c r="J4440" t="s">
        <v>1827</v>
      </c>
      <c r="K4440" t="s">
        <v>1828</v>
      </c>
      <c r="L4440">
        <v>6</v>
      </c>
      <c r="M4440" t="s">
        <v>18767</v>
      </c>
      <c r="N4440" t="s">
        <v>47</v>
      </c>
      <c r="O4440" t="s">
        <v>9477</v>
      </c>
      <c r="P4440" t="s">
        <v>9477</v>
      </c>
      <c r="Y4440" t="s">
        <v>18766</v>
      </c>
    </row>
    <row r="4441" spans="1:25">
      <c r="A4441" t="s">
        <v>18768</v>
      </c>
      <c r="B4441" t="s">
        <v>18769</v>
      </c>
      <c r="D4441" t="s">
        <v>9473</v>
      </c>
      <c r="E4441" t="s">
        <v>9474</v>
      </c>
      <c r="J4441" t="s">
        <v>1827</v>
      </c>
      <c r="K4441" t="s">
        <v>1828</v>
      </c>
      <c r="L4441">
        <v>6</v>
      </c>
      <c r="M4441" t="s">
        <v>18770</v>
      </c>
      <c r="N4441" t="s">
        <v>47</v>
      </c>
      <c r="O4441" t="s">
        <v>9477</v>
      </c>
      <c r="P4441" t="s">
        <v>9477</v>
      </c>
      <c r="Y4441" t="s">
        <v>18771</v>
      </c>
    </row>
    <row r="4442" spans="1:25">
      <c r="A4442" t="s">
        <v>18772</v>
      </c>
      <c r="B4442" t="s">
        <v>18773</v>
      </c>
      <c r="D4442" t="s">
        <v>9473</v>
      </c>
      <c r="E4442" t="s">
        <v>9474</v>
      </c>
      <c r="J4442" t="s">
        <v>54</v>
      </c>
      <c r="K4442" t="s">
        <v>55</v>
      </c>
      <c r="L4442">
        <v>6</v>
      </c>
      <c r="M4442" t="s">
        <v>18774</v>
      </c>
      <c r="N4442" t="s">
        <v>47</v>
      </c>
      <c r="O4442" t="s">
        <v>9477</v>
      </c>
      <c r="P4442" t="s">
        <v>9477</v>
      </c>
      <c r="Y4442" t="s">
        <v>18775</v>
      </c>
    </row>
    <row r="4443" spans="1:25">
      <c r="A4443" t="s">
        <v>18776</v>
      </c>
      <c r="B4443" t="s">
        <v>18777</v>
      </c>
      <c r="D4443" t="s">
        <v>9473</v>
      </c>
      <c r="E4443" t="s">
        <v>9474</v>
      </c>
      <c r="H4443" t="s">
        <v>18778</v>
      </c>
      <c r="J4443" t="s">
        <v>133</v>
      </c>
      <c r="K4443" t="s">
        <v>134</v>
      </c>
      <c r="L4443">
        <v>6</v>
      </c>
      <c r="M4443" t="s">
        <v>18779</v>
      </c>
      <c r="N4443" t="s">
        <v>685</v>
      </c>
      <c r="O4443" t="s">
        <v>9477</v>
      </c>
      <c r="P4443" t="s">
        <v>9477</v>
      </c>
      <c r="Y4443" t="s">
        <v>18778</v>
      </c>
    </row>
    <row r="4444" spans="1:25">
      <c r="A4444" t="s">
        <v>18780</v>
      </c>
      <c r="B4444" t="s">
        <v>18781</v>
      </c>
      <c r="D4444" t="s">
        <v>9473</v>
      </c>
      <c r="E4444" t="s">
        <v>9474</v>
      </c>
      <c r="H4444" t="s">
        <v>18782</v>
      </c>
      <c r="J4444" t="s">
        <v>133</v>
      </c>
      <c r="K4444" t="s">
        <v>134</v>
      </c>
      <c r="L4444">
        <v>6</v>
      </c>
      <c r="M4444" t="s">
        <v>18783</v>
      </c>
      <c r="N4444" t="s">
        <v>135</v>
      </c>
      <c r="O4444" t="s">
        <v>9477</v>
      </c>
      <c r="P4444" t="s">
        <v>9477</v>
      </c>
      <c r="Y4444" t="s">
        <v>18782</v>
      </c>
    </row>
    <row r="4445" spans="1:25">
      <c r="A4445" t="s">
        <v>18784</v>
      </c>
      <c r="B4445" t="s">
        <v>18785</v>
      </c>
      <c r="D4445" t="s">
        <v>9473</v>
      </c>
      <c r="E4445" t="s">
        <v>9474</v>
      </c>
      <c r="H4445" t="s">
        <v>18786</v>
      </c>
      <c r="J4445" t="s">
        <v>371</v>
      </c>
      <c r="K4445" t="s">
        <v>372</v>
      </c>
      <c r="L4445">
        <v>6</v>
      </c>
      <c r="M4445" t="s">
        <v>18787</v>
      </c>
      <c r="N4445" t="s">
        <v>47</v>
      </c>
      <c r="O4445" t="s">
        <v>9477</v>
      </c>
      <c r="P4445" t="s">
        <v>9477</v>
      </c>
      <c r="Y4445" t="s">
        <v>18786</v>
      </c>
    </row>
    <row r="4446" spans="1:25">
      <c r="A4446" t="s">
        <v>18788</v>
      </c>
      <c r="B4446" t="s">
        <v>18789</v>
      </c>
      <c r="D4446" t="s">
        <v>9473</v>
      </c>
      <c r="E4446" t="s">
        <v>9474</v>
      </c>
      <c r="J4446" t="s">
        <v>54</v>
      </c>
      <c r="K4446" t="s">
        <v>55</v>
      </c>
      <c r="L4446">
        <v>6</v>
      </c>
      <c r="M4446" t="s">
        <v>18790</v>
      </c>
      <c r="N4446" t="s">
        <v>47</v>
      </c>
      <c r="O4446" t="s">
        <v>9477</v>
      </c>
      <c r="P4446" t="s">
        <v>9477</v>
      </c>
      <c r="Y4446" t="s">
        <v>18791</v>
      </c>
    </row>
    <row r="4447" spans="1:25">
      <c r="A4447" t="s">
        <v>18792</v>
      </c>
      <c r="B4447" t="s">
        <v>18793</v>
      </c>
      <c r="D4447" t="s">
        <v>9473</v>
      </c>
      <c r="E4447" t="s">
        <v>9474</v>
      </c>
      <c r="J4447" t="s">
        <v>90</v>
      </c>
      <c r="K4447" t="s">
        <v>91</v>
      </c>
      <c r="L4447">
        <v>6</v>
      </c>
      <c r="M4447" t="s">
        <v>18790</v>
      </c>
      <c r="N4447" t="s">
        <v>47</v>
      </c>
      <c r="O4447" t="s">
        <v>9477</v>
      </c>
      <c r="P4447" t="s">
        <v>9477</v>
      </c>
      <c r="Y4447" t="s">
        <v>18794</v>
      </c>
    </row>
    <row r="4448" spans="1:25">
      <c r="A4448" t="s">
        <v>18795</v>
      </c>
      <c r="B4448" t="s">
        <v>18796</v>
      </c>
      <c r="D4448" t="s">
        <v>9473</v>
      </c>
      <c r="E4448" t="s">
        <v>9474</v>
      </c>
      <c r="H4448" t="s">
        <v>18797</v>
      </c>
      <c r="J4448" t="s">
        <v>90</v>
      </c>
      <c r="K4448" t="s">
        <v>91</v>
      </c>
      <c r="L4448">
        <v>6</v>
      </c>
      <c r="M4448" t="s">
        <v>18790</v>
      </c>
      <c r="N4448" t="s">
        <v>47</v>
      </c>
      <c r="O4448" t="s">
        <v>9477</v>
      </c>
      <c r="P4448" t="s">
        <v>9477</v>
      </c>
      <c r="Y4448" t="s">
        <v>18797</v>
      </c>
    </row>
    <row r="4449" spans="1:25">
      <c r="A4449" t="s">
        <v>18798</v>
      </c>
      <c r="B4449" t="s">
        <v>18799</v>
      </c>
      <c r="D4449" t="s">
        <v>9473</v>
      </c>
      <c r="E4449" t="s">
        <v>9474</v>
      </c>
      <c r="J4449" t="s">
        <v>44</v>
      </c>
      <c r="K4449" t="s">
        <v>45</v>
      </c>
      <c r="L4449">
        <v>6</v>
      </c>
      <c r="M4449" t="s">
        <v>18800</v>
      </c>
      <c r="N4449" t="s">
        <v>47</v>
      </c>
      <c r="O4449" t="s">
        <v>9477</v>
      </c>
      <c r="P4449" t="s">
        <v>9477</v>
      </c>
      <c r="Y4449" t="s">
        <v>18801</v>
      </c>
    </row>
    <row r="4450" spans="1:25">
      <c r="A4450" t="s">
        <v>18802</v>
      </c>
      <c r="B4450" t="s">
        <v>18803</v>
      </c>
      <c r="D4450" t="s">
        <v>9473</v>
      </c>
      <c r="E4450" t="s">
        <v>9474</v>
      </c>
      <c r="J4450" t="s">
        <v>44</v>
      </c>
      <c r="K4450" t="s">
        <v>45</v>
      </c>
      <c r="L4450">
        <v>6</v>
      </c>
      <c r="M4450" t="s">
        <v>18804</v>
      </c>
      <c r="N4450" t="s">
        <v>47</v>
      </c>
      <c r="O4450" t="s">
        <v>9477</v>
      </c>
      <c r="P4450" t="s">
        <v>9477</v>
      </c>
      <c r="Y4450" t="s">
        <v>18805</v>
      </c>
    </row>
    <row r="4451" spans="1:25">
      <c r="A4451" t="s">
        <v>18806</v>
      </c>
      <c r="B4451" t="s">
        <v>18807</v>
      </c>
      <c r="D4451" t="s">
        <v>9473</v>
      </c>
      <c r="E4451" t="s">
        <v>9474</v>
      </c>
      <c r="J4451" t="s">
        <v>54</v>
      </c>
      <c r="K4451" t="s">
        <v>55</v>
      </c>
      <c r="L4451">
        <v>6</v>
      </c>
      <c r="M4451" t="s">
        <v>18808</v>
      </c>
      <c r="N4451" t="s">
        <v>47</v>
      </c>
      <c r="O4451" t="s">
        <v>9477</v>
      </c>
      <c r="P4451" t="s">
        <v>9477</v>
      </c>
      <c r="Y4451" t="s">
        <v>18809</v>
      </c>
    </row>
    <row r="4452" spans="1:25">
      <c r="A4452" t="s">
        <v>18810</v>
      </c>
      <c r="B4452" t="s">
        <v>18811</v>
      </c>
      <c r="D4452" t="s">
        <v>9473</v>
      </c>
      <c r="E4452" t="s">
        <v>9474</v>
      </c>
      <c r="J4452" t="s">
        <v>90</v>
      </c>
      <c r="K4452" t="s">
        <v>91</v>
      </c>
      <c r="L4452">
        <v>6</v>
      </c>
      <c r="M4452" t="s">
        <v>18808</v>
      </c>
      <c r="N4452" t="s">
        <v>47</v>
      </c>
      <c r="O4452" t="s">
        <v>9477</v>
      </c>
      <c r="P4452" t="s">
        <v>9477</v>
      </c>
      <c r="Y4452" t="s">
        <v>18812</v>
      </c>
    </row>
    <row r="4453" spans="1:25">
      <c r="A4453" t="s">
        <v>18813</v>
      </c>
      <c r="B4453" t="s">
        <v>18814</v>
      </c>
      <c r="D4453" t="s">
        <v>9473</v>
      </c>
      <c r="E4453" t="s">
        <v>9474</v>
      </c>
      <c r="H4453" t="s">
        <v>18815</v>
      </c>
      <c r="J4453" t="s">
        <v>541</v>
      </c>
      <c r="K4453" t="s">
        <v>542</v>
      </c>
      <c r="L4453">
        <v>6</v>
      </c>
      <c r="M4453" t="s">
        <v>18816</v>
      </c>
      <c r="N4453" t="s">
        <v>290</v>
      </c>
      <c r="O4453" t="s">
        <v>9477</v>
      </c>
      <c r="P4453" t="s">
        <v>9477</v>
      </c>
      <c r="Y4453" t="s">
        <v>18815</v>
      </c>
    </row>
    <row r="4454" spans="1:25">
      <c r="A4454" t="s">
        <v>18817</v>
      </c>
      <c r="B4454" t="s">
        <v>18818</v>
      </c>
      <c r="D4454" t="s">
        <v>9473</v>
      </c>
      <c r="E4454" t="s">
        <v>9474</v>
      </c>
      <c r="J4454" t="s">
        <v>497</v>
      </c>
      <c r="K4454" t="s">
        <v>498</v>
      </c>
      <c r="L4454">
        <v>6</v>
      </c>
      <c r="M4454" t="s">
        <v>18819</v>
      </c>
      <c r="N4454" t="s">
        <v>135</v>
      </c>
      <c r="O4454" t="s">
        <v>9477</v>
      </c>
      <c r="P4454" t="s">
        <v>9477</v>
      </c>
      <c r="Y4454" t="s">
        <v>18820</v>
      </c>
    </row>
    <row r="4455" spans="1:25">
      <c r="A4455" t="s">
        <v>18821</v>
      </c>
      <c r="B4455" t="s">
        <v>18822</v>
      </c>
      <c r="D4455" t="s">
        <v>9473</v>
      </c>
      <c r="E4455" t="s">
        <v>9474</v>
      </c>
      <c r="H4455" t="s">
        <v>18823</v>
      </c>
      <c r="J4455" t="s">
        <v>90</v>
      </c>
      <c r="K4455" t="s">
        <v>91</v>
      </c>
      <c r="L4455">
        <v>6</v>
      </c>
      <c r="M4455" t="s">
        <v>18824</v>
      </c>
      <c r="N4455" t="s">
        <v>47</v>
      </c>
      <c r="O4455" t="s">
        <v>9477</v>
      </c>
      <c r="P4455" t="s">
        <v>9477</v>
      </c>
      <c r="Y4455" t="s">
        <v>18823</v>
      </c>
    </row>
    <row r="4456" spans="1:25">
      <c r="A4456" t="s">
        <v>18825</v>
      </c>
      <c r="B4456" t="s">
        <v>18826</v>
      </c>
      <c r="D4456" t="s">
        <v>9473</v>
      </c>
      <c r="E4456" t="s">
        <v>9474</v>
      </c>
      <c r="H4456" t="s">
        <v>18827</v>
      </c>
      <c r="J4456" t="s">
        <v>541</v>
      </c>
      <c r="K4456" t="s">
        <v>542</v>
      </c>
      <c r="L4456">
        <v>6</v>
      </c>
      <c r="M4456" t="s">
        <v>18828</v>
      </c>
      <c r="N4456" t="s">
        <v>290</v>
      </c>
      <c r="O4456" t="s">
        <v>9477</v>
      </c>
      <c r="P4456" t="s">
        <v>9477</v>
      </c>
      <c r="Y4456" t="s">
        <v>18827</v>
      </c>
    </row>
    <row r="4457" spans="1:25">
      <c r="A4457" t="s">
        <v>18829</v>
      </c>
      <c r="B4457" t="s">
        <v>18830</v>
      </c>
      <c r="D4457" t="s">
        <v>9473</v>
      </c>
      <c r="E4457" t="s">
        <v>9474</v>
      </c>
      <c r="H4457" t="s">
        <v>18831</v>
      </c>
      <c r="J4457" t="s">
        <v>90</v>
      </c>
      <c r="K4457" t="s">
        <v>91</v>
      </c>
      <c r="L4457">
        <v>6</v>
      </c>
      <c r="M4457" t="s">
        <v>18832</v>
      </c>
      <c r="N4457" t="s">
        <v>47</v>
      </c>
      <c r="O4457" t="s">
        <v>9477</v>
      </c>
      <c r="P4457" t="s">
        <v>9477</v>
      </c>
      <c r="Y4457" t="s">
        <v>18831</v>
      </c>
    </row>
    <row r="4458" spans="1:25">
      <c r="A4458" t="s">
        <v>18833</v>
      </c>
      <c r="B4458" t="s">
        <v>18834</v>
      </c>
      <c r="D4458" t="s">
        <v>9473</v>
      </c>
      <c r="E4458" t="s">
        <v>9474</v>
      </c>
      <c r="J4458" t="s">
        <v>497</v>
      </c>
      <c r="K4458" t="s">
        <v>498</v>
      </c>
      <c r="L4458">
        <v>6</v>
      </c>
      <c r="M4458" t="s">
        <v>18835</v>
      </c>
      <c r="N4458" t="s">
        <v>685</v>
      </c>
      <c r="O4458" t="s">
        <v>9477</v>
      </c>
      <c r="P4458" t="s">
        <v>9477</v>
      </c>
      <c r="Y4458" t="s">
        <v>18836</v>
      </c>
    </row>
    <row r="4459" spans="1:25">
      <c r="A4459" t="s">
        <v>18837</v>
      </c>
      <c r="B4459" t="s">
        <v>18838</v>
      </c>
      <c r="D4459" t="s">
        <v>9473</v>
      </c>
      <c r="E4459" t="s">
        <v>9474</v>
      </c>
      <c r="H4459" t="s">
        <v>18839</v>
      </c>
      <c r="J4459" t="s">
        <v>371</v>
      </c>
      <c r="K4459" t="s">
        <v>372</v>
      </c>
      <c r="L4459">
        <v>6</v>
      </c>
      <c r="M4459" t="s">
        <v>18840</v>
      </c>
      <c r="N4459" t="s">
        <v>47</v>
      </c>
      <c r="O4459" t="s">
        <v>9477</v>
      </c>
      <c r="P4459" t="s">
        <v>9477</v>
      </c>
      <c r="Y4459" t="s">
        <v>18839</v>
      </c>
    </row>
    <row r="4460" spans="1:25">
      <c r="A4460" t="s">
        <v>18841</v>
      </c>
      <c r="B4460" t="s">
        <v>18842</v>
      </c>
      <c r="D4460" t="s">
        <v>9473</v>
      </c>
      <c r="E4460" t="s">
        <v>9474</v>
      </c>
      <c r="J4460" t="s">
        <v>371</v>
      </c>
      <c r="K4460" t="s">
        <v>372</v>
      </c>
      <c r="L4460">
        <v>6</v>
      </c>
      <c r="M4460" t="s">
        <v>18840</v>
      </c>
      <c r="N4460" t="s">
        <v>47</v>
      </c>
      <c r="O4460" t="s">
        <v>9477</v>
      </c>
      <c r="P4460" t="s">
        <v>9477</v>
      </c>
      <c r="Y4460" t="s">
        <v>18843</v>
      </c>
    </row>
    <row r="4461" spans="1:25">
      <c r="A4461" t="s">
        <v>18844</v>
      </c>
      <c r="B4461" t="s">
        <v>18845</v>
      </c>
      <c r="D4461" t="s">
        <v>9473</v>
      </c>
      <c r="E4461" t="s">
        <v>9474</v>
      </c>
      <c r="J4461" t="s">
        <v>90</v>
      </c>
      <c r="K4461" t="s">
        <v>91</v>
      </c>
      <c r="L4461">
        <v>6</v>
      </c>
      <c r="M4461" t="s">
        <v>18846</v>
      </c>
      <c r="N4461" t="s">
        <v>47</v>
      </c>
      <c r="O4461" t="s">
        <v>9477</v>
      </c>
      <c r="P4461" t="s">
        <v>9477</v>
      </c>
      <c r="Y4461" t="s">
        <v>18847</v>
      </c>
    </row>
    <row r="4462" spans="1:25">
      <c r="A4462" t="s">
        <v>18848</v>
      </c>
      <c r="B4462" t="s">
        <v>18849</v>
      </c>
      <c r="D4462" t="s">
        <v>9473</v>
      </c>
      <c r="E4462" t="s">
        <v>9474</v>
      </c>
      <c r="J4462" t="s">
        <v>54</v>
      </c>
      <c r="K4462" t="s">
        <v>55</v>
      </c>
      <c r="L4462">
        <v>6</v>
      </c>
      <c r="M4462" t="s">
        <v>18846</v>
      </c>
      <c r="N4462" t="s">
        <v>47</v>
      </c>
      <c r="O4462" t="s">
        <v>9477</v>
      </c>
      <c r="P4462" t="s">
        <v>9477</v>
      </c>
      <c r="Y4462" t="s">
        <v>18850</v>
      </c>
    </row>
    <row r="4463" spans="1:25">
      <c r="A4463" t="s">
        <v>18851</v>
      </c>
      <c r="B4463" t="s">
        <v>18852</v>
      </c>
      <c r="D4463" t="s">
        <v>9473</v>
      </c>
      <c r="E4463" t="s">
        <v>9474</v>
      </c>
      <c r="H4463" t="s">
        <v>18853</v>
      </c>
      <c r="J4463" t="s">
        <v>54</v>
      </c>
      <c r="K4463" t="s">
        <v>55</v>
      </c>
      <c r="L4463">
        <v>6</v>
      </c>
      <c r="M4463" t="s">
        <v>18846</v>
      </c>
      <c r="N4463" t="s">
        <v>47</v>
      </c>
      <c r="O4463" t="s">
        <v>9477</v>
      </c>
      <c r="P4463" t="s">
        <v>9477</v>
      </c>
      <c r="Y4463" t="s">
        <v>18853</v>
      </c>
    </row>
    <row r="4464" spans="1:25">
      <c r="A4464" t="s">
        <v>18854</v>
      </c>
      <c r="B4464" t="s">
        <v>18855</v>
      </c>
      <c r="D4464" t="s">
        <v>9473</v>
      </c>
      <c r="E4464" t="s">
        <v>9474</v>
      </c>
      <c r="H4464" t="s">
        <v>18856</v>
      </c>
      <c r="J4464" t="s">
        <v>90</v>
      </c>
      <c r="K4464" t="s">
        <v>91</v>
      </c>
      <c r="L4464">
        <v>6</v>
      </c>
      <c r="M4464" t="s">
        <v>18857</v>
      </c>
      <c r="N4464" t="s">
        <v>47</v>
      </c>
      <c r="O4464" t="s">
        <v>9477</v>
      </c>
      <c r="P4464" t="s">
        <v>9477</v>
      </c>
      <c r="Y4464" t="s">
        <v>18856</v>
      </c>
    </row>
    <row r="4465" spans="1:25">
      <c r="A4465" t="s">
        <v>18858</v>
      </c>
      <c r="B4465" t="s">
        <v>18859</v>
      </c>
      <c r="D4465" t="s">
        <v>9473</v>
      </c>
      <c r="E4465" t="s">
        <v>9474</v>
      </c>
      <c r="J4465" t="s">
        <v>44</v>
      </c>
      <c r="K4465" t="s">
        <v>45</v>
      </c>
      <c r="L4465">
        <v>6</v>
      </c>
      <c r="M4465" t="s">
        <v>18860</v>
      </c>
      <c r="N4465" t="s">
        <v>47</v>
      </c>
      <c r="O4465" t="s">
        <v>9477</v>
      </c>
      <c r="P4465" t="s">
        <v>9477</v>
      </c>
      <c r="Y4465" t="s">
        <v>18861</v>
      </c>
    </row>
    <row r="4466" spans="1:25">
      <c r="A4466" t="s">
        <v>18862</v>
      </c>
      <c r="B4466" t="s">
        <v>18863</v>
      </c>
      <c r="D4466" t="s">
        <v>9473</v>
      </c>
      <c r="E4466" t="s">
        <v>9474</v>
      </c>
      <c r="J4466" t="s">
        <v>90</v>
      </c>
      <c r="K4466" t="s">
        <v>91</v>
      </c>
      <c r="L4466">
        <v>6</v>
      </c>
      <c r="M4466" t="s">
        <v>18864</v>
      </c>
      <c r="N4466" t="s">
        <v>47</v>
      </c>
      <c r="O4466" t="s">
        <v>9477</v>
      </c>
      <c r="P4466" t="s">
        <v>9477</v>
      </c>
      <c r="Y4466" t="s">
        <v>18865</v>
      </c>
    </row>
    <row r="4467" spans="1:25">
      <c r="A4467" t="s">
        <v>18866</v>
      </c>
      <c r="B4467" t="s">
        <v>18867</v>
      </c>
      <c r="D4467" t="s">
        <v>9473</v>
      </c>
      <c r="E4467" t="s">
        <v>9474</v>
      </c>
      <c r="J4467" t="s">
        <v>90</v>
      </c>
      <c r="K4467" t="s">
        <v>91</v>
      </c>
      <c r="L4467">
        <v>6</v>
      </c>
      <c r="M4467" t="s">
        <v>18868</v>
      </c>
      <c r="N4467" t="s">
        <v>47</v>
      </c>
      <c r="O4467" t="s">
        <v>9477</v>
      </c>
      <c r="P4467" t="s">
        <v>9477</v>
      </c>
      <c r="Y4467" t="s">
        <v>18869</v>
      </c>
    </row>
    <row r="4468" spans="1:25">
      <c r="A4468" t="s">
        <v>18870</v>
      </c>
      <c r="B4468" t="s">
        <v>18871</v>
      </c>
      <c r="D4468" t="s">
        <v>9473</v>
      </c>
      <c r="E4468" t="s">
        <v>9474</v>
      </c>
      <c r="J4468" t="s">
        <v>90</v>
      </c>
      <c r="K4468" t="s">
        <v>91</v>
      </c>
      <c r="L4468">
        <v>6</v>
      </c>
      <c r="M4468" t="s">
        <v>18872</v>
      </c>
      <c r="N4468" t="s">
        <v>47</v>
      </c>
      <c r="O4468" t="s">
        <v>9477</v>
      </c>
      <c r="P4468" t="s">
        <v>9477</v>
      </c>
      <c r="Y4468" t="s">
        <v>18873</v>
      </c>
    </row>
    <row r="4469" spans="1:25">
      <c r="A4469" t="s">
        <v>18874</v>
      </c>
      <c r="B4469" t="s">
        <v>18875</v>
      </c>
      <c r="D4469" t="s">
        <v>9473</v>
      </c>
      <c r="E4469" t="s">
        <v>9474</v>
      </c>
      <c r="J4469" t="s">
        <v>371</v>
      </c>
      <c r="K4469" t="s">
        <v>372</v>
      </c>
      <c r="L4469">
        <v>6</v>
      </c>
      <c r="M4469" t="s">
        <v>18876</v>
      </c>
      <c r="N4469" t="s">
        <v>47</v>
      </c>
      <c r="O4469" t="s">
        <v>9477</v>
      </c>
      <c r="P4469" t="s">
        <v>9477</v>
      </c>
      <c r="Y4469" t="s">
        <v>18877</v>
      </c>
    </row>
    <row r="4470" spans="1:25">
      <c r="A4470" t="s">
        <v>18878</v>
      </c>
      <c r="B4470" t="s">
        <v>18879</v>
      </c>
      <c r="D4470" t="s">
        <v>9473</v>
      </c>
      <c r="E4470" t="s">
        <v>9474</v>
      </c>
      <c r="J4470" t="s">
        <v>133</v>
      </c>
      <c r="K4470" t="s">
        <v>134</v>
      </c>
      <c r="L4470">
        <v>6</v>
      </c>
      <c r="M4470" t="s">
        <v>18880</v>
      </c>
      <c r="N4470" t="s">
        <v>135</v>
      </c>
      <c r="O4470" t="s">
        <v>9477</v>
      </c>
      <c r="P4470" t="s">
        <v>9477</v>
      </c>
      <c r="Y4470" t="s">
        <v>18881</v>
      </c>
    </row>
    <row r="4471" spans="1:25">
      <c r="A4471" t="s">
        <v>18882</v>
      </c>
      <c r="B4471" t="s">
        <v>18883</v>
      </c>
      <c r="D4471" t="s">
        <v>9473</v>
      </c>
      <c r="E4471" t="s">
        <v>9474</v>
      </c>
      <c r="H4471" t="s">
        <v>18884</v>
      </c>
      <c r="J4471" t="s">
        <v>44</v>
      </c>
      <c r="K4471" t="s">
        <v>45</v>
      </c>
      <c r="L4471">
        <v>6</v>
      </c>
      <c r="M4471" t="s">
        <v>18885</v>
      </c>
      <c r="N4471" t="s">
        <v>47</v>
      </c>
      <c r="O4471" t="s">
        <v>9477</v>
      </c>
      <c r="P4471" t="s">
        <v>9477</v>
      </c>
      <c r="Y4471" t="s">
        <v>18884</v>
      </c>
    </row>
    <row r="4472" spans="1:25">
      <c r="A4472" t="s">
        <v>18886</v>
      </c>
      <c r="B4472" t="s">
        <v>18887</v>
      </c>
      <c r="D4472" t="s">
        <v>9473</v>
      </c>
      <c r="E4472" t="s">
        <v>9474</v>
      </c>
      <c r="H4472" t="s">
        <v>18888</v>
      </c>
      <c r="J4472" t="s">
        <v>234</v>
      </c>
      <c r="K4472" t="s">
        <v>235</v>
      </c>
      <c r="L4472">
        <v>6</v>
      </c>
      <c r="M4472" t="s">
        <v>18889</v>
      </c>
      <c r="N4472" t="s">
        <v>47</v>
      </c>
      <c r="O4472" t="s">
        <v>9477</v>
      </c>
      <c r="P4472" t="s">
        <v>9477</v>
      </c>
      <c r="Y4472" t="s">
        <v>18888</v>
      </c>
    </row>
    <row r="4473" spans="1:25">
      <c r="A4473" t="s">
        <v>18890</v>
      </c>
      <c r="B4473" t="s">
        <v>18891</v>
      </c>
      <c r="D4473" t="s">
        <v>9473</v>
      </c>
      <c r="E4473" t="s">
        <v>9474</v>
      </c>
      <c r="J4473" t="s">
        <v>54</v>
      </c>
      <c r="K4473" t="s">
        <v>55</v>
      </c>
      <c r="L4473">
        <v>6</v>
      </c>
      <c r="M4473" t="s">
        <v>18892</v>
      </c>
      <c r="N4473" t="s">
        <v>47</v>
      </c>
      <c r="O4473" t="s">
        <v>9477</v>
      </c>
      <c r="P4473" t="s">
        <v>9477</v>
      </c>
      <c r="Y4473" t="s">
        <v>18893</v>
      </c>
    </row>
    <row r="4474" spans="1:25">
      <c r="A4474" t="s">
        <v>18894</v>
      </c>
      <c r="B4474" t="s">
        <v>18895</v>
      </c>
      <c r="D4474" t="s">
        <v>9473</v>
      </c>
      <c r="E4474" t="s">
        <v>9474</v>
      </c>
      <c r="J4474" t="s">
        <v>54</v>
      </c>
      <c r="K4474" t="s">
        <v>55</v>
      </c>
      <c r="L4474">
        <v>6</v>
      </c>
      <c r="M4474" t="s">
        <v>18896</v>
      </c>
      <c r="N4474" t="s">
        <v>47</v>
      </c>
      <c r="O4474" t="s">
        <v>9477</v>
      </c>
      <c r="P4474" t="s">
        <v>9477</v>
      </c>
      <c r="Y4474" t="s">
        <v>18897</v>
      </c>
    </row>
    <row r="4475" spans="1:25">
      <c r="A4475" t="s">
        <v>18898</v>
      </c>
      <c r="B4475" t="s">
        <v>18899</v>
      </c>
      <c r="D4475" t="s">
        <v>9473</v>
      </c>
      <c r="E4475" t="s">
        <v>9474</v>
      </c>
      <c r="J4475" t="s">
        <v>90</v>
      </c>
      <c r="K4475" t="s">
        <v>91</v>
      </c>
      <c r="L4475">
        <v>6</v>
      </c>
      <c r="M4475" t="s">
        <v>18900</v>
      </c>
      <c r="N4475" t="s">
        <v>47</v>
      </c>
      <c r="O4475" t="s">
        <v>9477</v>
      </c>
      <c r="P4475" t="s">
        <v>9477</v>
      </c>
      <c r="Y4475" t="s">
        <v>18901</v>
      </c>
    </row>
    <row r="4476" spans="1:25">
      <c r="A4476" t="s">
        <v>18902</v>
      </c>
      <c r="B4476" t="s">
        <v>18903</v>
      </c>
      <c r="D4476" t="s">
        <v>9473</v>
      </c>
      <c r="E4476" t="s">
        <v>9474</v>
      </c>
      <c r="J4476" t="s">
        <v>371</v>
      </c>
      <c r="K4476" t="s">
        <v>372</v>
      </c>
      <c r="L4476">
        <v>6</v>
      </c>
      <c r="M4476" t="s">
        <v>18904</v>
      </c>
      <c r="N4476" t="s">
        <v>47</v>
      </c>
      <c r="O4476" t="s">
        <v>9477</v>
      </c>
      <c r="P4476" t="s">
        <v>9477</v>
      </c>
      <c r="Y4476" t="s">
        <v>18905</v>
      </c>
    </row>
    <row r="4477" spans="1:25">
      <c r="A4477" t="s">
        <v>18906</v>
      </c>
      <c r="B4477" t="s">
        <v>18907</v>
      </c>
      <c r="D4477" t="s">
        <v>9473</v>
      </c>
      <c r="E4477" t="s">
        <v>9474</v>
      </c>
      <c r="J4477" t="s">
        <v>54</v>
      </c>
      <c r="K4477" t="s">
        <v>55</v>
      </c>
      <c r="L4477">
        <v>6</v>
      </c>
      <c r="M4477" t="s">
        <v>18908</v>
      </c>
      <c r="N4477" t="s">
        <v>47</v>
      </c>
      <c r="O4477" t="s">
        <v>9477</v>
      </c>
      <c r="P4477" t="s">
        <v>9477</v>
      </c>
      <c r="Y4477" t="s">
        <v>18909</v>
      </c>
    </row>
    <row r="4478" spans="1:25">
      <c r="A4478" t="s">
        <v>18910</v>
      </c>
      <c r="B4478" t="s">
        <v>18911</v>
      </c>
      <c r="D4478" t="s">
        <v>9473</v>
      </c>
      <c r="E4478" t="s">
        <v>9474</v>
      </c>
      <c r="J4478" t="s">
        <v>765</v>
      </c>
      <c r="K4478" t="s">
        <v>766</v>
      </c>
      <c r="L4478">
        <v>6</v>
      </c>
      <c r="M4478" t="s">
        <v>18912</v>
      </c>
      <c r="N4478" t="s">
        <v>685</v>
      </c>
      <c r="O4478" t="s">
        <v>9477</v>
      </c>
      <c r="P4478" t="s">
        <v>9477</v>
      </c>
      <c r="Y4478" t="s">
        <v>18913</v>
      </c>
    </row>
    <row r="4479" spans="1:25">
      <c r="A4479" t="s">
        <v>18914</v>
      </c>
      <c r="B4479" t="s">
        <v>18915</v>
      </c>
      <c r="D4479" t="s">
        <v>9473</v>
      </c>
      <c r="E4479" t="s">
        <v>9474</v>
      </c>
      <c r="J4479" t="s">
        <v>44</v>
      </c>
      <c r="K4479" t="s">
        <v>45</v>
      </c>
      <c r="L4479">
        <v>6</v>
      </c>
      <c r="M4479" t="s">
        <v>18916</v>
      </c>
      <c r="N4479" t="s">
        <v>47</v>
      </c>
      <c r="O4479" t="s">
        <v>9477</v>
      </c>
      <c r="P4479" t="s">
        <v>9477</v>
      </c>
      <c r="Y4479" t="s">
        <v>18917</v>
      </c>
    </row>
    <row r="4480" spans="1:25">
      <c r="A4480" t="s">
        <v>18918</v>
      </c>
      <c r="B4480" t="s">
        <v>18919</v>
      </c>
      <c r="D4480" t="s">
        <v>9473</v>
      </c>
      <c r="E4480" t="s">
        <v>9474</v>
      </c>
      <c r="J4480" t="s">
        <v>90</v>
      </c>
      <c r="K4480" t="s">
        <v>91</v>
      </c>
      <c r="L4480">
        <v>6</v>
      </c>
      <c r="M4480" t="s">
        <v>18920</v>
      </c>
      <c r="N4480" t="s">
        <v>47</v>
      </c>
      <c r="O4480" t="s">
        <v>9477</v>
      </c>
      <c r="P4480" t="s">
        <v>9477</v>
      </c>
      <c r="Y4480" t="s">
        <v>18921</v>
      </c>
    </row>
    <row r="4481" spans="1:25">
      <c r="A4481" t="s">
        <v>18922</v>
      </c>
      <c r="B4481" t="s">
        <v>18923</v>
      </c>
      <c r="D4481" t="s">
        <v>9473</v>
      </c>
      <c r="E4481" t="s">
        <v>9474</v>
      </c>
      <c r="J4481" t="s">
        <v>44</v>
      </c>
      <c r="K4481" t="s">
        <v>45</v>
      </c>
      <c r="L4481">
        <v>6</v>
      </c>
      <c r="M4481" t="s">
        <v>18924</v>
      </c>
      <c r="N4481" t="s">
        <v>47</v>
      </c>
      <c r="O4481" t="s">
        <v>9477</v>
      </c>
      <c r="P4481" t="s">
        <v>9477</v>
      </c>
      <c r="Y4481" t="s">
        <v>18925</v>
      </c>
    </row>
    <row r="4482" spans="1:25">
      <c r="A4482" t="s">
        <v>18926</v>
      </c>
      <c r="B4482" t="s">
        <v>18927</v>
      </c>
      <c r="D4482" t="s">
        <v>9473</v>
      </c>
      <c r="E4482" t="s">
        <v>9474</v>
      </c>
      <c r="J4482" t="s">
        <v>54</v>
      </c>
      <c r="K4482" t="s">
        <v>55</v>
      </c>
      <c r="L4482">
        <v>6</v>
      </c>
      <c r="M4482" t="s">
        <v>18924</v>
      </c>
      <c r="N4482" t="s">
        <v>47</v>
      </c>
      <c r="O4482" t="s">
        <v>9477</v>
      </c>
      <c r="P4482" t="s">
        <v>9477</v>
      </c>
      <c r="Y4482" t="s">
        <v>18928</v>
      </c>
    </row>
    <row r="4483" spans="1:25">
      <c r="A4483" t="s">
        <v>18929</v>
      </c>
      <c r="B4483" t="s">
        <v>18930</v>
      </c>
      <c r="D4483" t="s">
        <v>9473</v>
      </c>
      <c r="E4483" t="s">
        <v>9474</v>
      </c>
      <c r="J4483" t="s">
        <v>90</v>
      </c>
      <c r="K4483" t="s">
        <v>91</v>
      </c>
      <c r="L4483">
        <v>6</v>
      </c>
      <c r="M4483" t="s">
        <v>18931</v>
      </c>
      <c r="N4483" t="s">
        <v>47</v>
      </c>
      <c r="O4483" t="s">
        <v>9477</v>
      </c>
      <c r="P4483" t="s">
        <v>9477</v>
      </c>
      <c r="Y4483" t="s">
        <v>18932</v>
      </c>
    </row>
    <row r="4484" spans="1:25">
      <c r="A4484" t="s">
        <v>18933</v>
      </c>
      <c r="B4484" t="s">
        <v>18934</v>
      </c>
      <c r="D4484" t="s">
        <v>9473</v>
      </c>
      <c r="E4484" t="s">
        <v>9474</v>
      </c>
      <c r="J4484" t="s">
        <v>353</v>
      </c>
      <c r="K4484" t="s">
        <v>354</v>
      </c>
      <c r="L4484">
        <v>6</v>
      </c>
      <c r="M4484" t="s">
        <v>18935</v>
      </c>
      <c r="N4484" t="s">
        <v>135</v>
      </c>
      <c r="O4484" t="s">
        <v>9477</v>
      </c>
      <c r="P4484" t="s">
        <v>9477</v>
      </c>
      <c r="Y4484" t="s">
        <v>18936</v>
      </c>
    </row>
    <row r="4485" spans="1:25">
      <c r="A4485" t="s">
        <v>18937</v>
      </c>
      <c r="B4485" t="s">
        <v>18938</v>
      </c>
      <c r="D4485" t="s">
        <v>9473</v>
      </c>
      <c r="E4485" t="s">
        <v>9474</v>
      </c>
      <c r="J4485" t="s">
        <v>44</v>
      </c>
      <c r="K4485" t="s">
        <v>45</v>
      </c>
      <c r="L4485">
        <v>6</v>
      </c>
      <c r="M4485" t="s">
        <v>18935</v>
      </c>
      <c r="N4485" t="s">
        <v>47</v>
      </c>
      <c r="O4485" t="s">
        <v>9477</v>
      </c>
      <c r="P4485" t="s">
        <v>9477</v>
      </c>
      <c r="Y4485" t="s">
        <v>18939</v>
      </c>
    </row>
    <row r="4486" spans="1:25">
      <c r="A4486" t="s">
        <v>18940</v>
      </c>
      <c r="B4486" t="s">
        <v>18941</v>
      </c>
      <c r="D4486" t="s">
        <v>9473</v>
      </c>
      <c r="E4486" t="s">
        <v>9474</v>
      </c>
      <c r="H4486" t="s">
        <v>18942</v>
      </c>
      <c r="J4486" t="s">
        <v>90</v>
      </c>
      <c r="K4486" t="s">
        <v>91</v>
      </c>
      <c r="L4486">
        <v>6</v>
      </c>
      <c r="M4486" t="s">
        <v>18935</v>
      </c>
      <c r="N4486" t="s">
        <v>47</v>
      </c>
      <c r="O4486" t="s">
        <v>9477</v>
      </c>
      <c r="P4486" t="s">
        <v>9477</v>
      </c>
      <c r="Y4486" t="s">
        <v>18942</v>
      </c>
    </row>
    <row r="4487" spans="1:25">
      <c r="A4487" t="s">
        <v>18943</v>
      </c>
      <c r="B4487" t="s">
        <v>18944</v>
      </c>
      <c r="D4487" t="s">
        <v>9473</v>
      </c>
      <c r="E4487" t="s">
        <v>9474</v>
      </c>
      <c r="H4487" t="s">
        <v>18945</v>
      </c>
      <c r="J4487" t="s">
        <v>90</v>
      </c>
      <c r="K4487" t="s">
        <v>91</v>
      </c>
      <c r="L4487">
        <v>6</v>
      </c>
      <c r="M4487" t="s">
        <v>18935</v>
      </c>
      <c r="N4487" t="s">
        <v>47</v>
      </c>
      <c r="O4487" t="s">
        <v>9477</v>
      </c>
      <c r="P4487" t="s">
        <v>9477</v>
      </c>
      <c r="Y4487" t="s">
        <v>18945</v>
      </c>
    </row>
    <row r="4488" spans="1:25">
      <c r="A4488" t="s">
        <v>18946</v>
      </c>
      <c r="B4488" t="s">
        <v>18947</v>
      </c>
      <c r="D4488" t="s">
        <v>9473</v>
      </c>
      <c r="E4488" t="s">
        <v>9474</v>
      </c>
      <c r="J4488" t="s">
        <v>90</v>
      </c>
      <c r="K4488" t="s">
        <v>91</v>
      </c>
      <c r="L4488">
        <v>6</v>
      </c>
      <c r="M4488" t="s">
        <v>18948</v>
      </c>
      <c r="N4488" t="s">
        <v>47</v>
      </c>
      <c r="O4488" t="s">
        <v>9477</v>
      </c>
      <c r="P4488" t="s">
        <v>9477</v>
      </c>
      <c r="Y4488" t="s">
        <v>18949</v>
      </c>
    </row>
    <row r="4489" spans="1:25">
      <c r="A4489" t="s">
        <v>18950</v>
      </c>
      <c r="B4489" t="s">
        <v>18951</v>
      </c>
      <c r="D4489" t="s">
        <v>9473</v>
      </c>
      <c r="E4489" t="s">
        <v>9474</v>
      </c>
      <c r="J4489" t="s">
        <v>90</v>
      </c>
      <c r="K4489" t="s">
        <v>91</v>
      </c>
      <c r="L4489">
        <v>6</v>
      </c>
      <c r="M4489" t="s">
        <v>18948</v>
      </c>
      <c r="N4489" t="s">
        <v>47</v>
      </c>
      <c r="O4489" t="s">
        <v>9477</v>
      </c>
      <c r="P4489" t="s">
        <v>9477</v>
      </c>
      <c r="Y4489" t="s">
        <v>18952</v>
      </c>
    </row>
    <row r="4490" spans="1:25">
      <c r="A4490" t="s">
        <v>18953</v>
      </c>
      <c r="B4490" t="s">
        <v>18954</v>
      </c>
      <c r="D4490" t="s">
        <v>9473</v>
      </c>
      <c r="E4490" t="s">
        <v>9474</v>
      </c>
      <c r="J4490" t="s">
        <v>90</v>
      </c>
      <c r="K4490" t="s">
        <v>91</v>
      </c>
      <c r="L4490">
        <v>6</v>
      </c>
      <c r="M4490" t="s">
        <v>18948</v>
      </c>
      <c r="N4490" t="s">
        <v>47</v>
      </c>
      <c r="O4490" t="s">
        <v>9477</v>
      </c>
      <c r="P4490" t="s">
        <v>9477</v>
      </c>
      <c r="Y4490" t="s">
        <v>18955</v>
      </c>
    </row>
    <row r="4491" spans="1:25">
      <c r="A4491" t="s">
        <v>18956</v>
      </c>
      <c r="B4491" t="s">
        <v>18957</v>
      </c>
      <c r="D4491" t="s">
        <v>9473</v>
      </c>
      <c r="E4491" t="s">
        <v>9474</v>
      </c>
      <c r="J4491" t="s">
        <v>133</v>
      </c>
      <c r="K4491" t="s">
        <v>134</v>
      </c>
      <c r="L4491">
        <v>6</v>
      </c>
      <c r="M4491" t="s">
        <v>18958</v>
      </c>
      <c r="N4491" t="s">
        <v>290</v>
      </c>
      <c r="O4491" t="s">
        <v>9477</v>
      </c>
      <c r="P4491" t="s">
        <v>9477</v>
      </c>
      <c r="Y4491" t="s">
        <v>18959</v>
      </c>
    </row>
    <row r="4492" spans="1:25">
      <c r="A4492" t="s">
        <v>18960</v>
      </c>
      <c r="B4492" t="s">
        <v>18961</v>
      </c>
      <c r="D4492" t="s">
        <v>9473</v>
      </c>
      <c r="E4492" t="s">
        <v>9474</v>
      </c>
      <c r="H4492" t="s">
        <v>18962</v>
      </c>
      <c r="J4492" t="s">
        <v>234</v>
      </c>
      <c r="K4492" t="s">
        <v>235</v>
      </c>
      <c r="L4492">
        <v>6</v>
      </c>
      <c r="M4492" t="s">
        <v>18963</v>
      </c>
      <c r="N4492" t="s">
        <v>47</v>
      </c>
      <c r="O4492" t="s">
        <v>9477</v>
      </c>
      <c r="P4492" t="s">
        <v>9477</v>
      </c>
      <c r="Y4492" t="s">
        <v>18962</v>
      </c>
    </row>
    <row r="4493" spans="1:25">
      <c r="A4493" t="s">
        <v>18964</v>
      </c>
      <c r="B4493" t="s">
        <v>18965</v>
      </c>
      <c r="D4493" t="s">
        <v>9473</v>
      </c>
      <c r="E4493" t="s">
        <v>9474</v>
      </c>
      <c r="H4493" t="s">
        <v>18966</v>
      </c>
      <c r="J4493" t="s">
        <v>234</v>
      </c>
      <c r="K4493" t="s">
        <v>235</v>
      </c>
      <c r="L4493">
        <v>6</v>
      </c>
      <c r="M4493" t="s">
        <v>18967</v>
      </c>
      <c r="N4493" t="s">
        <v>47</v>
      </c>
      <c r="O4493" t="s">
        <v>9477</v>
      </c>
      <c r="P4493" t="s">
        <v>9477</v>
      </c>
      <c r="Y4493" t="s">
        <v>18966</v>
      </c>
    </row>
    <row r="4494" spans="1:25">
      <c r="A4494" t="s">
        <v>18968</v>
      </c>
      <c r="B4494" t="s">
        <v>18969</v>
      </c>
      <c r="D4494" t="s">
        <v>9473</v>
      </c>
      <c r="E4494" t="s">
        <v>9474</v>
      </c>
      <c r="H4494" t="s">
        <v>18970</v>
      </c>
      <c r="J4494" t="s">
        <v>133</v>
      </c>
      <c r="K4494" t="s">
        <v>134</v>
      </c>
      <c r="L4494">
        <v>6</v>
      </c>
      <c r="M4494" t="s">
        <v>18971</v>
      </c>
      <c r="N4494" t="s">
        <v>290</v>
      </c>
      <c r="O4494" t="s">
        <v>9477</v>
      </c>
      <c r="P4494" t="s">
        <v>9477</v>
      </c>
      <c r="Y4494" t="s">
        <v>18970</v>
      </c>
    </row>
    <row r="4495" spans="1:25">
      <c r="A4495" t="s">
        <v>18972</v>
      </c>
      <c r="B4495" t="s">
        <v>18973</v>
      </c>
      <c r="D4495" t="s">
        <v>9473</v>
      </c>
      <c r="E4495" t="s">
        <v>9474</v>
      </c>
      <c r="J4495" t="s">
        <v>90</v>
      </c>
      <c r="K4495" t="s">
        <v>91</v>
      </c>
      <c r="L4495">
        <v>6</v>
      </c>
      <c r="M4495" t="s">
        <v>18971</v>
      </c>
      <c r="N4495" t="s">
        <v>47</v>
      </c>
      <c r="O4495" t="s">
        <v>9477</v>
      </c>
      <c r="P4495" t="s">
        <v>9477</v>
      </c>
      <c r="Y4495" t="s">
        <v>18974</v>
      </c>
    </row>
    <row r="4496" spans="1:25">
      <c r="A4496" t="s">
        <v>18975</v>
      </c>
      <c r="B4496" t="s">
        <v>18976</v>
      </c>
      <c r="D4496" t="s">
        <v>9473</v>
      </c>
      <c r="E4496" t="s">
        <v>9474</v>
      </c>
      <c r="J4496" t="s">
        <v>44</v>
      </c>
      <c r="K4496" t="s">
        <v>45</v>
      </c>
      <c r="L4496">
        <v>6</v>
      </c>
      <c r="M4496" t="s">
        <v>18977</v>
      </c>
      <c r="N4496" t="s">
        <v>47</v>
      </c>
      <c r="O4496" t="s">
        <v>9477</v>
      </c>
      <c r="P4496" t="s">
        <v>9477</v>
      </c>
      <c r="Y4496" t="s">
        <v>18978</v>
      </c>
    </row>
    <row r="4497" spans="1:25">
      <c r="A4497" t="s">
        <v>18979</v>
      </c>
      <c r="B4497" t="s">
        <v>18980</v>
      </c>
      <c r="D4497" t="s">
        <v>9473</v>
      </c>
      <c r="E4497" t="s">
        <v>9474</v>
      </c>
      <c r="J4497" t="s">
        <v>90</v>
      </c>
      <c r="K4497" t="s">
        <v>91</v>
      </c>
      <c r="L4497">
        <v>6</v>
      </c>
      <c r="M4497" t="s">
        <v>18981</v>
      </c>
      <c r="N4497" t="s">
        <v>47</v>
      </c>
      <c r="O4497" t="s">
        <v>9477</v>
      </c>
      <c r="P4497" t="s">
        <v>9477</v>
      </c>
      <c r="Y4497" t="s">
        <v>18982</v>
      </c>
    </row>
    <row r="4498" spans="1:25">
      <c r="A4498" t="s">
        <v>18983</v>
      </c>
      <c r="B4498" t="s">
        <v>18984</v>
      </c>
      <c r="D4498" t="s">
        <v>9473</v>
      </c>
      <c r="E4498" t="s">
        <v>9474</v>
      </c>
      <c r="J4498" t="s">
        <v>133</v>
      </c>
      <c r="K4498" t="s">
        <v>134</v>
      </c>
      <c r="L4498">
        <v>6</v>
      </c>
      <c r="M4498" t="s">
        <v>18981</v>
      </c>
      <c r="N4498" t="s">
        <v>685</v>
      </c>
      <c r="O4498" t="s">
        <v>9477</v>
      </c>
      <c r="P4498" t="s">
        <v>9477</v>
      </c>
      <c r="Y4498" t="s">
        <v>18985</v>
      </c>
    </row>
    <row r="4499" spans="1:25">
      <c r="A4499" t="s">
        <v>18986</v>
      </c>
      <c r="B4499" t="s">
        <v>18987</v>
      </c>
      <c r="D4499" t="s">
        <v>9473</v>
      </c>
      <c r="E4499" t="s">
        <v>9474</v>
      </c>
      <c r="J4499" t="s">
        <v>90</v>
      </c>
      <c r="K4499" t="s">
        <v>91</v>
      </c>
      <c r="L4499">
        <v>6</v>
      </c>
      <c r="M4499" t="s">
        <v>18988</v>
      </c>
      <c r="N4499" t="s">
        <v>47</v>
      </c>
      <c r="O4499" t="s">
        <v>9477</v>
      </c>
      <c r="P4499" t="s">
        <v>9477</v>
      </c>
      <c r="Y4499" t="s">
        <v>18989</v>
      </c>
    </row>
    <row r="4500" spans="1:25">
      <c r="A4500" t="s">
        <v>18990</v>
      </c>
      <c r="B4500" t="s">
        <v>18991</v>
      </c>
      <c r="D4500" t="s">
        <v>9473</v>
      </c>
      <c r="E4500" t="s">
        <v>9474</v>
      </c>
      <c r="J4500" t="s">
        <v>78</v>
      </c>
      <c r="K4500" t="s">
        <v>79</v>
      </c>
      <c r="L4500">
        <v>6</v>
      </c>
      <c r="M4500" t="s">
        <v>18988</v>
      </c>
      <c r="N4500" t="s">
        <v>47</v>
      </c>
      <c r="O4500" t="s">
        <v>9477</v>
      </c>
      <c r="P4500" t="s">
        <v>9477</v>
      </c>
      <c r="Y4500" t="s">
        <v>18992</v>
      </c>
    </row>
    <row r="4501" spans="1:25">
      <c r="A4501" t="s">
        <v>18993</v>
      </c>
      <c r="B4501" t="s">
        <v>18994</v>
      </c>
      <c r="D4501" t="s">
        <v>9473</v>
      </c>
      <c r="E4501" t="s">
        <v>9474</v>
      </c>
      <c r="H4501" t="s">
        <v>18995</v>
      </c>
      <c r="J4501" t="s">
        <v>133</v>
      </c>
      <c r="K4501" t="s">
        <v>134</v>
      </c>
      <c r="L4501">
        <v>6</v>
      </c>
      <c r="M4501" t="s">
        <v>18988</v>
      </c>
      <c r="N4501" t="s">
        <v>685</v>
      </c>
      <c r="O4501" t="s">
        <v>9477</v>
      </c>
      <c r="P4501" t="s">
        <v>9477</v>
      </c>
      <c r="Y4501" t="s">
        <v>18995</v>
      </c>
    </row>
    <row r="4502" spans="1:25">
      <c r="A4502" t="s">
        <v>18996</v>
      </c>
      <c r="B4502" t="s">
        <v>18997</v>
      </c>
      <c r="D4502" t="s">
        <v>9473</v>
      </c>
      <c r="E4502" t="s">
        <v>9474</v>
      </c>
      <c r="H4502" t="s">
        <v>18998</v>
      </c>
      <c r="J4502" t="s">
        <v>497</v>
      </c>
      <c r="K4502" t="s">
        <v>498</v>
      </c>
      <c r="L4502">
        <v>6</v>
      </c>
      <c r="M4502" t="s">
        <v>18988</v>
      </c>
      <c r="N4502" t="s">
        <v>135</v>
      </c>
      <c r="O4502" t="s">
        <v>9477</v>
      </c>
      <c r="P4502" t="s">
        <v>9477</v>
      </c>
      <c r="Y4502" t="s">
        <v>18998</v>
      </c>
    </row>
    <row r="4503" spans="1:25">
      <c r="A4503" t="s">
        <v>18999</v>
      </c>
      <c r="B4503" t="s">
        <v>19000</v>
      </c>
      <c r="D4503" t="s">
        <v>9473</v>
      </c>
      <c r="E4503" t="s">
        <v>9474</v>
      </c>
      <c r="J4503" t="s">
        <v>44</v>
      </c>
      <c r="K4503" t="s">
        <v>45</v>
      </c>
      <c r="L4503">
        <v>6</v>
      </c>
      <c r="M4503" t="s">
        <v>19001</v>
      </c>
      <c r="N4503" t="s">
        <v>47</v>
      </c>
      <c r="O4503" t="s">
        <v>9477</v>
      </c>
      <c r="P4503" t="s">
        <v>9477</v>
      </c>
      <c r="Y4503" t="s">
        <v>19002</v>
      </c>
    </row>
    <row r="4504" spans="1:25">
      <c r="A4504" t="s">
        <v>19003</v>
      </c>
      <c r="B4504" t="s">
        <v>19004</v>
      </c>
      <c r="D4504" t="s">
        <v>9473</v>
      </c>
      <c r="E4504" t="s">
        <v>9474</v>
      </c>
      <c r="H4504" t="s">
        <v>19005</v>
      </c>
      <c r="J4504" t="s">
        <v>54</v>
      </c>
      <c r="K4504" t="s">
        <v>55</v>
      </c>
      <c r="L4504">
        <v>6</v>
      </c>
      <c r="M4504" t="s">
        <v>19006</v>
      </c>
      <c r="N4504" t="s">
        <v>47</v>
      </c>
      <c r="O4504" t="s">
        <v>9477</v>
      </c>
      <c r="P4504" t="s">
        <v>9477</v>
      </c>
      <c r="Y4504" t="s">
        <v>19005</v>
      </c>
    </row>
    <row r="4505" spans="1:25">
      <c r="A4505" t="s">
        <v>19007</v>
      </c>
      <c r="B4505" t="s">
        <v>19008</v>
      </c>
      <c r="D4505" t="s">
        <v>9473</v>
      </c>
      <c r="E4505" t="s">
        <v>9474</v>
      </c>
      <c r="J4505" t="s">
        <v>90</v>
      </c>
      <c r="K4505" t="s">
        <v>91</v>
      </c>
      <c r="L4505">
        <v>6</v>
      </c>
      <c r="M4505" t="s">
        <v>19006</v>
      </c>
      <c r="N4505" t="s">
        <v>47</v>
      </c>
      <c r="O4505" t="s">
        <v>9477</v>
      </c>
      <c r="P4505" t="s">
        <v>9477</v>
      </c>
      <c r="Y4505" t="s">
        <v>19009</v>
      </c>
    </row>
    <row r="4506" spans="1:25">
      <c r="A4506" t="s">
        <v>19010</v>
      </c>
      <c r="B4506" t="s">
        <v>19011</v>
      </c>
      <c r="D4506" t="s">
        <v>9473</v>
      </c>
      <c r="E4506" t="s">
        <v>9474</v>
      </c>
      <c r="H4506" t="s">
        <v>19012</v>
      </c>
      <c r="J4506" t="s">
        <v>133</v>
      </c>
      <c r="K4506" t="s">
        <v>134</v>
      </c>
      <c r="L4506">
        <v>6</v>
      </c>
      <c r="M4506" t="s">
        <v>19013</v>
      </c>
      <c r="N4506" t="s">
        <v>685</v>
      </c>
      <c r="O4506" t="s">
        <v>9477</v>
      </c>
      <c r="P4506" t="s">
        <v>9477</v>
      </c>
      <c r="Y4506" t="s">
        <v>19012</v>
      </c>
    </row>
    <row r="4507" spans="1:25">
      <c r="A4507" t="s">
        <v>19014</v>
      </c>
      <c r="B4507" t="s">
        <v>19015</v>
      </c>
      <c r="D4507" t="s">
        <v>9473</v>
      </c>
      <c r="E4507" t="s">
        <v>9474</v>
      </c>
      <c r="H4507" t="s">
        <v>19016</v>
      </c>
      <c r="J4507" t="s">
        <v>133</v>
      </c>
      <c r="K4507" t="s">
        <v>134</v>
      </c>
      <c r="L4507">
        <v>6</v>
      </c>
      <c r="M4507" t="s">
        <v>19017</v>
      </c>
      <c r="N4507" t="s">
        <v>685</v>
      </c>
      <c r="O4507" t="s">
        <v>9477</v>
      </c>
      <c r="P4507" t="s">
        <v>9477</v>
      </c>
      <c r="Y4507" t="s">
        <v>19016</v>
      </c>
    </row>
    <row r="4508" spans="1:25">
      <c r="A4508" t="s">
        <v>19018</v>
      </c>
      <c r="B4508" t="s">
        <v>19019</v>
      </c>
      <c r="D4508" t="s">
        <v>9473</v>
      </c>
      <c r="E4508" t="s">
        <v>9474</v>
      </c>
      <c r="J4508" t="s">
        <v>90</v>
      </c>
      <c r="K4508" t="s">
        <v>91</v>
      </c>
      <c r="L4508">
        <v>6</v>
      </c>
      <c r="M4508" t="s">
        <v>19017</v>
      </c>
      <c r="N4508" t="s">
        <v>47</v>
      </c>
      <c r="O4508" t="s">
        <v>9477</v>
      </c>
      <c r="P4508" t="s">
        <v>9477</v>
      </c>
      <c r="Y4508" t="s">
        <v>19020</v>
      </c>
    </row>
    <row r="4509" spans="1:25">
      <c r="A4509" t="s">
        <v>19021</v>
      </c>
      <c r="B4509" t="s">
        <v>19022</v>
      </c>
      <c r="D4509" t="s">
        <v>9473</v>
      </c>
      <c r="E4509" t="s">
        <v>9474</v>
      </c>
      <c r="H4509" t="s">
        <v>19023</v>
      </c>
      <c r="J4509" t="s">
        <v>54</v>
      </c>
      <c r="K4509" t="s">
        <v>55</v>
      </c>
      <c r="L4509">
        <v>6</v>
      </c>
      <c r="M4509" t="s">
        <v>19017</v>
      </c>
      <c r="N4509" t="s">
        <v>47</v>
      </c>
      <c r="O4509" t="s">
        <v>9477</v>
      </c>
      <c r="P4509" t="s">
        <v>9477</v>
      </c>
      <c r="Y4509" t="s">
        <v>19023</v>
      </c>
    </row>
    <row r="4510" spans="1:25">
      <c r="A4510" t="s">
        <v>19024</v>
      </c>
      <c r="B4510" t="s">
        <v>19025</v>
      </c>
      <c r="D4510" t="s">
        <v>9473</v>
      </c>
      <c r="E4510" t="s">
        <v>9474</v>
      </c>
      <c r="J4510" t="s">
        <v>54</v>
      </c>
      <c r="K4510" t="s">
        <v>55</v>
      </c>
      <c r="L4510">
        <v>6</v>
      </c>
      <c r="M4510" t="s">
        <v>19017</v>
      </c>
      <c r="N4510" t="s">
        <v>47</v>
      </c>
      <c r="O4510" t="s">
        <v>9477</v>
      </c>
      <c r="P4510" t="s">
        <v>9477</v>
      </c>
      <c r="Y4510" t="s">
        <v>19026</v>
      </c>
    </row>
    <row r="4511" spans="1:25">
      <c r="A4511" t="s">
        <v>19027</v>
      </c>
      <c r="B4511" t="s">
        <v>19028</v>
      </c>
      <c r="D4511" t="s">
        <v>9473</v>
      </c>
      <c r="E4511" t="s">
        <v>9474</v>
      </c>
      <c r="J4511" t="s">
        <v>541</v>
      </c>
      <c r="K4511" t="s">
        <v>542</v>
      </c>
      <c r="L4511">
        <v>6</v>
      </c>
      <c r="M4511" t="s">
        <v>19029</v>
      </c>
      <c r="N4511" t="s">
        <v>685</v>
      </c>
      <c r="O4511" t="s">
        <v>9477</v>
      </c>
      <c r="P4511" t="s">
        <v>9477</v>
      </c>
      <c r="Y4511" t="s">
        <v>19030</v>
      </c>
    </row>
    <row r="4512" spans="1:25">
      <c r="A4512" t="s">
        <v>19031</v>
      </c>
      <c r="B4512" t="s">
        <v>19032</v>
      </c>
      <c r="D4512" t="s">
        <v>9473</v>
      </c>
      <c r="E4512" t="s">
        <v>9474</v>
      </c>
      <c r="H4512" t="s">
        <v>19033</v>
      </c>
      <c r="J4512" t="s">
        <v>54</v>
      </c>
      <c r="K4512" t="s">
        <v>55</v>
      </c>
      <c r="L4512">
        <v>6</v>
      </c>
      <c r="M4512" t="s">
        <v>19029</v>
      </c>
      <c r="N4512" t="s">
        <v>47</v>
      </c>
      <c r="O4512" t="s">
        <v>9477</v>
      </c>
      <c r="P4512" t="s">
        <v>9477</v>
      </c>
      <c r="Y4512" t="s">
        <v>19033</v>
      </c>
    </row>
    <row r="4513" spans="1:25">
      <c r="A4513" t="s">
        <v>19034</v>
      </c>
      <c r="B4513" t="s">
        <v>19035</v>
      </c>
      <c r="D4513" t="s">
        <v>9473</v>
      </c>
      <c r="E4513" t="s">
        <v>9474</v>
      </c>
      <c r="J4513" t="s">
        <v>54</v>
      </c>
      <c r="K4513" t="s">
        <v>55</v>
      </c>
      <c r="L4513">
        <v>6</v>
      </c>
      <c r="M4513" t="s">
        <v>19036</v>
      </c>
      <c r="N4513" t="s">
        <v>47</v>
      </c>
      <c r="O4513" t="s">
        <v>9477</v>
      </c>
      <c r="P4513" t="s">
        <v>9477</v>
      </c>
      <c r="Y4513" t="s">
        <v>19037</v>
      </c>
    </row>
    <row r="4514" spans="1:25">
      <c r="A4514" t="s">
        <v>19038</v>
      </c>
      <c r="B4514" t="s">
        <v>19039</v>
      </c>
      <c r="D4514" t="s">
        <v>9473</v>
      </c>
      <c r="E4514" t="s">
        <v>9474</v>
      </c>
      <c r="H4514" t="s">
        <v>19040</v>
      </c>
      <c r="J4514" t="s">
        <v>133</v>
      </c>
      <c r="K4514" t="s">
        <v>134</v>
      </c>
      <c r="L4514">
        <v>6</v>
      </c>
      <c r="M4514" t="s">
        <v>19041</v>
      </c>
      <c r="N4514" t="s">
        <v>685</v>
      </c>
      <c r="O4514" t="s">
        <v>9477</v>
      </c>
      <c r="P4514" t="s">
        <v>9477</v>
      </c>
      <c r="Y4514" t="s">
        <v>19040</v>
      </c>
    </row>
    <row r="4515" spans="1:25">
      <c r="A4515" t="s">
        <v>19042</v>
      </c>
      <c r="B4515" t="s">
        <v>19043</v>
      </c>
      <c r="D4515" t="s">
        <v>9473</v>
      </c>
      <c r="E4515" t="s">
        <v>9474</v>
      </c>
      <c r="J4515" t="s">
        <v>44</v>
      </c>
      <c r="K4515" t="s">
        <v>45</v>
      </c>
      <c r="L4515">
        <v>6</v>
      </c>
      <c r="M4515" t="s">
        <v>19044</v>
      </c>
      <c r="N4515" t="s">
        <v>47</v>
      </c>
      <c r="O4515" t="s">
        <v>9477</v>
      </c>
      <c r="P4515" t="s">
        <v>9477</v>
      </c>
      <c r="Y4515" t="s">
        <v>19045</v>
      </c>
    </row>
    <row r="4516" spans="1:25">
      <c r="A4516" t="s">
        <v>19046</v>
      </c>
      <c r="B4516" t="s">
        <v>19047</v>
      </c>
      <c r="D4516" t="s">
        <v>9473</v>
      </c>
      <c r="E4516" t="s">
        <v>9474</v>
      </c>
      <c r="H4516" t="s">
        <v>19048</v>
      </c>
      <c r="J4516" t="s">
        <v>90</v>
      </c>
      <c r="K4516" t="s">
        <v>91</v>
      </c>
      <c r="L4516">
        <v>6</v>
      </c>
      <c r="M4516" t="s">
        <v>19049</v>
      </c>
      <c r="N4516" t="s">
        <v>47</v>
      </c>
      <c r="O4516" t="s">
        <v>9477</v>
      </c>
      <c r="P4516" t="s">
        <v>9477</v>
      </c>
      <c r="Y4516" t="s">
        <v>19048</v>
      </c>
    </row>
    <row r="4517" spans="1:25">
      <c r="A4517" t="s">
        <v>19050</v>
      </c>
      <c r="B4517" t="s">
        <v>19051</v>
      </c>
      <c r="D4517" t="s">
        <v>9473</v>
      </c>
      <c r="E4517" t="s">
        <v>9474</v>
      </c>
      <c r="J4517" t="s">
        <v>54</v>
      </c>
      <c r="K4517" t="s">
        <v>55</v>
      </c>
      <c r="L4517">
        <v>6</v>
      </c>
      <c r="M4517" t="s">
        <v>19052</v>
      </c>
      <c r="N4517" t="s">
        <v>47</v>
      </c>
      <c r="O4517" t="s">
        <v>9477</v>
      </c>
      <c r="P4517" t="s">
        <v>9477</v>
      </c>
      <c r="Y4517" t="s">
        <v>19053</v>
      </c>
    </row>
    <row r="4518" spans="1:25">
      <c r="A4518" t="s">
        <v>19054</v>
      </c>
      <c r="B4518" t="s">
        <v>19055</v>
      </c>
      <c r="D4518" t="s">
        <v>9473</v>
      </c>
      <c r="E4518" t="s">
        <v>9474</v>
      </c>
      <c r="J4518" t="s">
        <v>90</v>
      </c>
      <c r="K4518" t="s">
        <v>91</v>
      </c>
      <c r="L4518">
        <v>6</v>
      </c>
      <c r="M4518" t="s">
        <v>19056</v>
      </c>
      <c r="N4518" t="s">
        <v>47</v>
      </c>
      <c r="O4518" t="s">
        <v>9477</v>
      </c>
      <c r="P4518" t="s">
        <v>9477</v>
      </c>
      <c r="Y4518" t="s">
        <v>19057</v>
      </c>
    </row>
    <row r="4519" spans="1:25">
      <c r="A4519" t="s">
        <v>19058</v>
      </c>
      <c r="B4519" t="s">
        <v>19059</v>
      </c>
      <c r="D4519" t="s">
        <v>9473</v>
      </c>
      <c r="E4519" t="s">
        <v>9474</v>
      </c>
      <c r="J4519" t="s">
        <v>371</v>
      </c>
      <c r="K4519" t="s">
        <v>372</v>
      </c>
      <c r="L4519">
        <v>6</v>
      </c>
      <c r="M4519" t="s">
        <v>19060</v>
      </c>
      <c r="N4519" t="s">
        <v>47</v>
      </c>
      <c r="O4519" t="s">
        <v>9477</v>
      </c>
      <c r="P4519" t="s">
        <v>9477</v>
      </c>
      <c r="Y4519" t="s">
        <v>19061</v>
      </c>
    </row>
    <row r="4520" spans="1:25">
      <c r="A4520" t="s">
        <v>19062</v>
      </c>
      <c r="B4520" t="s">
        <v>19063</v>
      </c>
      <c r="D4520" t="s">
        <v>9473</v>
      </c>
      <c r="E4520" t="s">
        <v>9474</v>
      </c>
      <c r="H4520" t="s">
        <v>19064</v>
      </c>
      <c r="J4520" t="s">
        <v>44</v>
      </c>
      <c r="K4520" t="s">
        <v>45</v>
      </c>
      <c r="L4520">
        <v>6</v>
      </c>
      <c r="M4520" t="s">
        <v>19065</v>
      </c>
      <c r="N4520" t="s">
        <v>47</v>
      </c>
      <c r="O4520" t="s">
        <v>9477</v>
      </c>
      <c r="P4520" t="s">
        <v>9477</v>
      </c>
      <c r="Y4520" t="s">
        <v>19064</v>
      </c>
    </row>
    <row r="4521" spans="1:25">
      <c r="A4521" t="s">
        <v>19066</v>
      </c>
      <c r="B4521" t="s">
        <v>19067</v>
      </c>
      <c r="D4521" t="s">
        <v>9473</v>
      </c>
      <c r="E4521" t="s">
        <v>9474</v>
      </c>
      <c r="J4521" t="s">
        <v>133</v>
      </c>
      <c r="K4521" t="s">
        <v>134</v>
      </c>
      <c r="L4521">
        <v>6</v>
      </c>
      <c r="M4521" t="s">
        <v>19065</v>
      </c>
      <c r="N4521" t="s">
        <v>135</v>
      </c>
      <c r="O4521" t="s">
        <v>9477</v>
      </c>
      <c r="P4521" t="s">
        <v>9477</v>
      </c>
      <c r="Y4521" t="s">
        <v>19068</v>
      </c>
    </row>
    <row r="4522" spans="1:25">
      <c r="A4522" t="s">
        <v>19069</v>
      </c>
      <c r="B4522" t="s">
        <v>19070</v>
      </c>
      <c r="D4522" t="s">
        <v>9473</v>
      </c>
      <c r="E4522" t="s">
        <v>9474</v>
      </c>
      <c r="J4522" t="s">
        <v>90</v>
      </c>
      <c r="K4522" t="s">
        <v>91</v>
      </c>
      <c r="L4522">
        <v>6</v>
      </c>
      <c r="M4522" t="s">
        <v>19065</v>
      </c>
      <c r="N4522" t="s">
        <v>47</v>
      </c>
      <c r="O4522" t="s">
        <v>9477</v>
      </c>
      <c r="P4522" t="s">
        <v>9477</v>
      </c>
      <c r="Y4522" t="s">
        <v>19071</v>
      </c>
    </row>
    <row r="4523" spans="1:25">
      <c r="A4523" t="s">
        <v>19072</v>
      </c>
      <c r="B4523" t="s">
        <v>19073</v>
      </c>
      <c r="D4523" t="s">
        <v>9473</v>
      </c>
      <c r="E4523" t="s">
        <v>9474</v>
      </c>
      <c r="H4523" t="s">
        <v>19074</v>
      </c>
      <c r="J4523" t="s">
        <v>765</v>
      </c>
      <c r="K4523" t="s">
        <v>766</v>
      </c>
      <c r="L4523">
        <v>6</v>
      </c>
      <c r="M4523" t="s">
        <v>19075</v>
      </c>
      <c r="N4523" t="s">
        <v>290</v>
      </c>
      <c r="O4523" t="s">
        <v>9477</v>
      </c>
      <c r="P4523" t="s">
        <v>9477</v>
      </c>
      <c r="Y4523" t="s">
        <v>19074</v>
      </c>
    </row>
    <row r="4524" spans="1:25">
      <c r="A4524" t="s">
        <v>19076</v>
      </c>
      <c r="B4524" t="s">
        <v>19077</v>
      </c>
      <c r="D4524" t="s">
        <v>9473</v>
      </c>
      <c r="E4524" t="s">
        <v>9474</v>
      </c>
      <c r="J4524" t="s">
        <v>78</v>
      </c>
      <c r="K4524" t="s">
        <v>79</v>
      </c>
      <c r="L4524">
        <v>6</v>
      </c>
      <c r="M4524" t="s">
        <v>19075</v>
      </c>
      <c r="N4524" t="s">
        <v>47</v>
      </c>
      <c r="O4524" t="s">
        <v>9477</v>
      </c>
      <c r="P4524" t="s">
        <v>9477</v>
      </c>
      <c r="Y4524" t="s">
        <v>19078</v>
      </c>
    </row>
    <row r="4525" spans="1:25">
      <c r="A4525" t="s">
        <v>19079</v>
      </c>
      <c r="B4525" t="s">
        <v>19080</v>
      </c>
      <c r="D4525" t="s">
        <v>9473</v>
      </c>
      <c r="E4525" t="s">
        <v>9474</v>
      </c>
      <c r="J4525" t="s">
        <v>90</v>
      </c>
      <c r="K4525" t="s">
        <v>91</v>
      </c>
      <c r="L4525">
        <v>6</v>
      </c>
      <c r="M4525" t="s">
        <v>19081</v>
      </c>
      <c r="N4525" t="s">
        <v>47</v>
      </c>
      <c r="O4525" t="s">
        <v>9477</v>
      </c>
      <c r="P4525" t="s">
        <v>9477</v>
      </c>
      <c r="Y4525" t="s">
        <v>19082</v>
      </c>
    </row>
    <row r="4526" spans="1:25">
      <c r="A4526" t="s">
        <v>19083</v>
      </c>
      <c r="B4526" t="s">
        <v>19084</v>
      </c>
      <c r="D4526" t="s">
        <v>9473</v>
      </c>
      <c r="E4526" t="s">
        <v>9474</v>
      </c>
      <c r="H4526" t="s">
        <v>19085</v>
      </c>
      <c r="J4526" t="s">
        <v>44</v>
      </c>
      <c r="K4526" t="s">
        <v>45</v>
      </c>
      <c r="L4526">
        <v>6</v>
      </c>
      <c r="M4526" t="s">
        <v>19081</v>
      </c>
      <c r="N4526" t="s">
        <v>47</v>
      </c>
      <c r="O4526" t="s">
        <v>9477</v>
      </c>
      <c r="P4526" t="s">
        <v>9477</v>
      </c>
      <c r="Y4526" t="s">
        <v>19085</v>
      </c>
    </row>
    <row r="4527" spans="1:25">
      <c r="A4527" t="s">
        <v>19086</v>
      </c>
      <c r="B4527" t="s">
        <v>19087</v>
      </c>
      <c r="D4527" t="s">
        <v>9473</v>
      </c>
      <c r="E4527" t="s">
        <v>9474</v>
      </c>
      <c r="J4527" t="s">
        <v>54</v>
      </c>
      <c r="K4527" t="s">
        <v>55</v>
      </c>
      <c r="L4527">
        <v>6</v>
      </c>
      <c r="M4527" t="s">
        <v>19088</v>
      </c>
      <c r="N4527" t="s">
        <v>47</v>
      </c>
      <c r="O4527" t="s">
        <v>9477</v>
      </c>
      <c r="P4527" t="s">
        <v>9477</v>
      </c>
      <c r="Y4527" t="s">
        <v>19089</v>
      </c>
    </row>
    <row r="4528" spans="1:25">
      <c r="A4528" t="s">
        <v>19090</v>
      </c>
      <c r="B4528" t="s">
        <v>19091</v>
      </c>
      <c r="D4528" t="s">
        <v>9473</v>
      </c>
      <c r="E4528" t="s">
        <v>9474</v>
      </c>
      <c r="H4528" t="s">
        <v>19092</v>
      </c>
      <c r="J4528" t="s">
        <v>133</v>
      </c>
      <c r="K4528" t="s">
        <v>134</v>
      </c>
      <c r="L4528">
        <v>6</v>
      </c>
      <c r="M4528" t="s">
        <v>19088</v>
      </c>
      <c r="N4528" t="s">
        <v>290</v>
      </c>
      <c r="O4528" t="s">
        <v>9477</v>
      </c>
      <c r="P4528" t="s">
        <v>9477</v>
      </c>
      <c r="Y4528" t="s">
        <v>19092</v>
      </c>
    </row>
    <row r="4529" spans="1:25">
      <c r="A4529" t="s">
        <v>19093</v>
      </c>
      <c r="B4529" t="s">
        <v>19094</v>
      </c>
      <c r="D4529" t="s">
        <v>9473</v>
      </c>
      <c r="E4529" t="s">
        <v>9474</v>
      </c>
      <c r="H4529" t="s">
        <v>19095</v>
      </c>
      <c r="J4529" t="s">
        <v>90</v>
      </c>
      <c r="K4529" t="s">
        <v>91</v>
      </c>
      <c r="L4529">
        <v>6</v>
      </c>
      <c r="M4529" t="s">
        <v>19088</v>
      </c>
      <c r="N4529" t="s">
        <v>47</v>
      </c>
      <c r="O4529" t="s">
        <v>9477</v>
      </c>
      <c r="P4529" t="s">
        <v>9477</v>
      </c>
      <c r="Y4529" t="s">
        <v>19095</v>
      </c>
    </row>
    <row r="4530" spans="1:25">
      <c r="A4530" t="s">
        <v>19096</v>
      </c>
      <c r="B4530" t="s">
        <v>19097</v>
      </c>
      <c r="D4530" t="s">
        <v>9473</v>
      </c>
      <c r="E4530" t="s">
        <v>9474</v>
      </c>
      <c r="H4530" t="s">
        <v>19098</v>
      </c>
      <c r="J4530" t="s">
        <v>133</v>
      </c>
      <c r="K4530" t="s">
        <v>134</v>
      </c>
      <c r="L4530">
        <v>6</v>
      </c>
      <c r="M4530" t="s">
        <v>19099</v>
      </c>
      <c r="N4530" t="s">
        <v>685</v>
      </c>
      <c r="O4530" t="s">
        <v>9477</v>
      </c>
      <c r="P4530" t="s">
        <v>9477</v>
      </c>
      <c r="Y4530" t="s">
        <v>19098</v>
      </c>
    </row>
    <row r="4531" spans="1:25">
      <c r="A4531" t="s">
        <v>19100</v>
      </c>
      <c r="B4531" t="s">
        <v>19101</v>
      </c>
      <c r="D4531" t="s">
        <v>9473</v>
      </c>
      <c r="E4531" t="s">
        <v>9474</v>
      </c>
      <c r="H4531" t="s">
        <v>19102</v>
      </c>
      <c r="J4531" t="s">
        <v>54</v>
      </c>
      <c r="K4531" t="s">
        <v>55</v>
      </c>
      <c r="L4531">
        <v>6</v>
      </c>
      <c r="M4531" t="s">
        <v>19103</v>
      </c>
      <c r="N4531" t="s">
        <v>47</v>
      </c>
      <c r="O4531" t="s">
        <v>9477</v>
      </c>
      <c r="P4531" t="s">
        <v>9477</v>
      </c>
      <c r="Y4531" t="s">
        <v>19102</v>
      </c>
    </row>
    <row r="4532" spans="1:25">
      <c r="A4532" t="s">
        <v>19104</v>
      </c>
      <c r="B4532" t="s">
        <v>19105</v>
      </c>
      <c r="D4532" t="s">
        <v>9473</v>
      </c>
      <c r="E4532" t="s">
        <v>9474</v>
      </c>
      <c r="H4532" t="s">
        <v>19106</v>
      </c>
      <c r="J4532" t="s">
        <v>133</v>
      </c>
      <c r="K4532" t="s">
        <v>134</v>
      </c>
      <c r="L4532">
        <v>6</v>
      </c>
      <c r="M4532" t="s">
        <v>19103</v>
      </c>
      <c r="N4532" t="s">
        <v>685</v>
      </c>
      <c r="O4532" t="s">
        <v>9477</v>
      </c>
      <c r="P4532" t="s">
        <v>9477</v>
      </c>
      <c r="Y4532" t="s">
        <v>19106</v>
      </c>
    </row>
    <row r="4533" spans="1:25">
      <c r="A4533" t="s">
        <v>19107</v>
      </c>
      <c r="B4533" t="s">
        <v>19108</v>
      </c>
      <c r="D4533" t="s">
        <v>9473</v>
      </c>
      <c r="E4533" t="s">
        <v>9474</v>
      </c>
      <c r="H4533" t="s">
        <v>19109</v>
      </c>
      <c r="J4533" t="s">
        <v>133</v>
      </c>
      <c r="K4533" t="s">
        <v>134</v>
      </c>
      <c r="L4533">
        <v>6</v>
      </c>
      <c r="M4533" t="s">
        <v>19110</v>
      </c>
      <c r="N4533" t="s">
        <v>135</v>
      </c>
      <c r="O4533" t="s">
        <v>9477</v>
      </c>
      <c r="P4533" t="s">
        <v>9477</v>
      </c>
      <c r="Y4533" t="s">
        <v>19109</v>
      </c>
    </row>
    <row r="4534" spans="1:25">
      <c r="A4534" t="s">
        <v>19111</v>
      </c>
      <c r="B4534" t="s">
        <v>19112</v>
      </c>
      <c r="D4534" t="s">
        <v>9473</v>
      </c>
      <c r="E4534" t="s">
        <v>9474</v>
      </c>
      <c r="J4534" t="s">
        <v>133</v>
      </c>
      <c r="K4534" t="s">
        <v>134</v>
      </c>
      <c r="L4534">
        <v>6</v>
      </c>
      <c r="M4534" t="s">
        <v>19113</v>
      </c>
      <c r="N4534" t="s">
        <v>685</v>
      </c>
      <c r="O4534" t="s">
        <v>9477</v>
      </c>
      <c r="P4534" t="s">
        <v>9477</v>
      </c>
      <c r="Y4534" t="s">
        <v>19114</v>
      </c>
    </row>
    <row r="4535" spans="1:25">
      <c r="A4535" t="s">
        <v>19115</v>
      </c>
      <c r="B4535" t="s">
        <v>19116</v>
      </c>
      <c r="D4535" t="s">
        <v>9473</v>
      </c>
      <c r="E4535" t="s">
        <v>9474</v>
      </c>
      <c r="J4535" t="s">
        <v>90</v>
      </c>
      <c r="K4535" t="s">
        <v>91</v>
      </c>
      <c r="L4535">
        <v>6</v>
      </c>
      <c r="M4535" t="s">
        <v>19117</v>
      </c>
      <c r="N4535" t="s">
        <v>47</v>
      </c>
      <c r="O4535" t="s">
        <v>9477</v>
      </c>
      <c r="P4535" t="s">
        <v>9477</v>
      </c>
      <c r="Y4535" t="s">
        <v>19118</v>
      </c>
    </row>
    <row r="4536" spans="1:25">
      <c r="A4536" t="s">
        <v>19119</v>
      </c>
      <c r="B4536" t="s">
        <v>19120</v>
      </c>
      <c r="D4536" t="s">
        <v>9473</v>
      </c>
      <c r="E4536" t="s">
        <v>9474</v>
      </c>
      <c r="H4536" t="s">
        <v>19121</v>
      </c>
      <c r="J4536" t="s">
        <v>44</v>
      </c>
      <c r="K4536" t="s">
        <v>45</v>
      </c>
      <c r="L4536">
        <v>6</v>
      </c>
      <c r="M4536" t="s">
        <v>19117</v>
      </c>
      <c r="N4536" t="s">
        <v>47</v>
      </c>
      <c r="O4536" t="s">
        <v>9477</v>
      </c>
      <c r="P4536" t="s">
        <v>9477</v>
      </c>
      <c r="Y4536" t="s">
        <v>19121</v>
      </c>
    </row>
    <row r="4537" spans="1:25">
      <c r="A4537" t="s">
        <v>19122</v>
      </c>
      <c r="B4537" t="s">
        <v>19123</v>
      </c>
      <c r="D4537" t="s">
        <v>9473</v>
      </c>
      <c r="E4537" t="s">
        <v>9474</v>
      </c>
      <c r="J4537" t="s">
        <v>133</v>
      </c>
      <c r="K4537" t="s">
        <v>134</v>
      </c>
      <c r="L4537">
        <v>6</v>
      </c>
      <c r="M4537" t="s">
        <v>19124</v>
      </c>
      <c r="N4537" t="s">
        <v>290</v>
      </c>
      <c r="O4537" t="s">
        <v>9477</v>
      </c>
      <c r="P4537" t="s">
        <v>9477</v>
      </c>
      <c r="Y4537" t="s">
        <v>19125</v>
      </c>
    </row>
    <row r="4538" spans="1:25">
      <c r="A4538" t="s">
        <v>19126</v>
      </c>
      <c r="B4538" t="s">
        <v>19127</v>
      </c>
      <c r="D4538" t="s">
        <v>9473</v>
      </c>
      <c r="E4538" t="s">
        <v>9474</v>
      </c>
      <c r="J4538" t="s">
        <v>90</v>
      </c>
      <c r="K4538" t="s">
        <v>91</v>
      </c>
      <c r="L4538">
        <v>6</v>
      </c>
      <c r="M4538" t="s">
        <v>19124</v>
      </c>
      <c r="N4538" t="s">
        <v>47</v>
      </c>
      <c r="O4538" t="s">
        <v>9477</v>
      </c>
      <c r="P4538" t="s">
        <v>9477</v>
      </c>
      <c r="Y4538" t="s">
        <v>19128</v>
      </c>
    </row>
    <row r="4539" spans="1:25">
      <c r="A4539" t="s">
        <v>19129</v>
      </c>
      <c r="B4539" t="s">
        <v>19130</v>
      </c>
      <c r="D4539" t="s">
        <v>9473</v>
      </c>
      <c r="E4539" t="s">
        <v>9474</v>
      </c>
      <c r="J4539" t="s">
        <v>90</v>
      </c>
      <c r="K4539" t="s">
        <v>91</v>
      </c>
      <c r="L4539">
        <v>6</v>
      </c>
      <c r="M4539" t="s">
        <v>19131</v>
      </c>
      <c r="N4539" t="s">
        <v>47</v>
      </c>
      <c r="O4539" t="s">
        <v>9477</v>
      </c>
      <c r="P4539" t="s">
        <v>9477</v>
      </c>
      <c r="Y4539" t="s">
        <v>19132</v>
      </c>
    </row>
    <row r="4540" spans="1:25">
      <c r="A4540" t="s">
        <v>19133</v>
      </c>
      <c r="B4540" t="s">
        <v>19134</v>
      </c>
      <c r="D4540" t="s">
        <v>9473</v>
      </c>
      <c r="E4540" t="s">
        <v>9474</v>
      </c>
      <c r="J4540" t="s">
        <v>1827</v>
      </c>
      <c r="K4540" t="s">
        <v>1828</v>
      </c>
      <c r="L4540">
        <v>6</v>
      </c>
      <c r="M4540" t="s">
        <v>19131</v>
      </c>
      <c r="N4540" t="s">
        <v>47</v>
      </c>
      <c r="O4540" t="s">
        <v>9477</v>
      </c>
      <c r="P4540" t="s">
        <v>9477</v>
      </c>
      <c r="Y4540" t="s">
        <v>19135</v>
      </c>
    </row>
    <row r="4541" spans="1:25">
      <c r="A4541" t="s">
        <v>19136</v>
      </c>
      <c r="B4541" t="s">
        <v>19137</v>
      </c>
      <c r="D4541" t="s">
        <v>9473</v>
      </c>
      <c r="E4541" t="s">
        <v>9474</v>
      </c>
      <c r="J4541" t="s">
        <v>54</v>
      </c>
      <c r="K4541" t="s">
        <v>55</v>
      </c>
      <c r="L4541">
        <v>6</v>
      </c>
      <c r="M4541" t="s">
        <v>19138</v>
      </c>
      <c r="N4541" t="s">
        <v>47</v>
      </c>
      <c r="O4541" t="s">
        <v>9477</v>
      </c>
      <c r="P4541" t="s">
        <v>9477</v>
      </c>
      <c r="Y4541" t="s">
        <v>19139</v>
      </c>
    </row>
    <row r="4542" spans="1:25">
      <c r="A4542" t="s">
        <v>19140</v>
      </c>
      <c r="B4542" t="s">
        <v>19141</v>
      </c>
      <c r="D4542" t="s">
        <v>9473</v>
      </c>
      <c r="E4542" t="s">
        <v>9474</v>
      </c>
      <c r="J4542" t="s">
        <v>54</v>
      </c>
      <c r="K4542" t="s">
        <v>55</v>
      </c>
      <c r="L4542">
        <v>6</v>
      </c>
      <c r="M4542" t="s">
        <v>19142</v>
      </c>
      <c r="N4542" t="s">
        <v>47</v>
      </c>
      <c r="O4542" t="s">
        <v>9477</v>
      </c>
      <c r="P4542" t="s">
        <v>9477</v>
      </c>
      <c r="Y4542" t="s">
        <v>19143</v>
      </c>
    </row>
    <row r="4543" spans="1:25">
      <c r="A4543" t="s">
        <v>19144</v>
      </c>
      <c r="B4543" t="s">
        <v>19145</v>
      </c>
      <c r="D4543" t="s">
        <v>9473</v>
      </c>
      <c r="E4543" t="s">
        <v>9474</v>
      </c>
      <c r="J4543" t="s">
        <v>90</v>
      </c>
      <c r="K4543" t="s">
        <v>91</v>
      </c>
      <c r="L4543">
        <v>6</v>
      </c>
      <c r="M4543" t="s">
        <v>19142</v>
      </c>
      <c r="N4543" t="s">
        <v>47</v>
      </c>
      <c r="O4543" t="s">
        <v>9477</v>
      </c>
      <c r="P4543" t="s">
        <v>9477</v>
      </c>
      <c r="Y4543" t="s">
        <v>19146</v>
      </c>
    </row>
    <row r="4544" spans="1:25">
      <c r="A4544" t="s">
        <v>19147</v>
      </c>
      <c r="B4544" t="s">
        <v>19148</v>
      </c>
      <c r="D4544" t="s">
        <v>9473</v>
      </c>
      <c r="E4544" t="s">
        <v>9474</v>
      </c>
      <c r="J4544" t="s">
        <v>371</v>
      </c>
      <c r="K4544" t="s">
        <v>372</v>
      </c>
      <c r="L4544">
        <v>6</v>
      </c>
      <c r="M4544" t="s">
        <v>19142</v>
      </c>
      <c r="N4544" t="s">
        <v>47</v>
      </c>
      <c r="O4544" t="s">
        <v>9477</v>
      </c>
      <c r="P4544" t="s">
        <v>9477</v>
      </c>
      <c r="Y4544" t="s">
        <v>19149</v>
      </c>
    </row>
    <row r="4545" spans="1:25">
      <c r="A4545" t="s">
        <v>19150</v>
      </c>
      <c r="B4545" t="s">
        <v>19151</v>
      </c>
      <c r="D4545" t="s">
        <v>9473</v>
      </c>
      <c r="E4545" t="s">
        <v>9474</v>
      </c>
      <c r="J4545" t="s">
        <v>371</v>
      </c>
      <c r="K4545" t="s">
        <v>372</v>
      </c>
      <c r="L4545">
        <v>6</v>
      </c>
      <c r="M4545" t="s">
        <v>19152</v>
      </c>
      <c r="N4545" t="s">
        <v>47</v>
      </c>
      <c r="O4545" t="s">
        <v>9477</v>
      </c>
      <c r="P4545" t="s">
        <v>9477</v>
      </c>
      <c r="Y4545" t="s">
        <v>19153</v>
      </c>
    </row>
    <row r="4546" spans="1:25">
      <c r="A4546" t="s">
        <v>19154</v>
      </c>
      <c r="B4546" t="s">
        <v>19155</v>
      </c>
      <c r="D4546" t="s">
        <v>9473</v>
      </c>
      <c r="E4546" t="s">
        <v>9474</v>
      </c>
      <c r="J4546" t="s">
        <v>353</v>
      </c>
      <c r="K4546" t="s">
        <v>354</v>
      </c>
      <c r="L4546">
        <v>6</v>
      </c>
      <c r="M4546" t="s">
        <v>19156</v>
      </c>
      <c r="N4546" t="s">
        <v>685</v>
      </c>
      <c r="O4546" t="s">
        <v>9477</v>
      </c>
      <c r="P4546" t="s">
        <v>9477</v>
      </c>
      <c r="Y4546" t="s">
        <v>19157</v>
      </c>
    </row>
    <row r="4547" spans="1:25">
      <c r="A4547" t="s">
        <v>19158</v>
      </c>
      <c r="B4547" t="s">
        <v>19159</v>
      </c>
      <c r="D4547" t="s">
        <v>9473</v>
      </c>
      <c r="E4547" t="s">
        <v>9474</v>
      </c>
      <c r="J4547" t="s">
        <v>44</v>
      </c>
      <c r="K4547" t="s">
        <v>45</v>
      </c>
      <c r="L4547">
        <v>6</v>
      </c>
      <c r="M4547" t="s">
        <v>19156</v>
      </c>
      <c r="N4547" t="s">
        <v>47</v>
      </c>
      <c r="O4547" t="s">
        <v>9477</v>
      </c>
      <c r="P4547" t="s">
        <v>9477</v>
      </c>
      <c r="Y4547" t="s">
        <v>19160</v>
      </c>
    </row>
    <row r="4548" spans="1:25">
      <c r="A4548" t="s">
        <v>19161</v>
      </c>
      <c r="B4548" t="s">
        <v>19162</v>
      </c>
      <c r="D4548" t="s">
        <v>9473</v>
      </c>
      <c r="E4548" t="s">
        <v>9474</v>
      </c>
      <c r="J4548" t="s">
        <v>133</v>
      </c>
      <c r="K4548" t="s">
        <v>134</v>
      </c>
      <c r="L4548">
        <v>6</v>
      </c>
      <c r="M4548" t="s">
        <v>19163</v>
      </c>
      <c r="N4548" t="s">
        <v>290</v>
      </c>
      <c r="O4548" t="s">
        <v>9477</v>
      </c>
      <c r="P4548" t="s">
        <v>9477</v>
      </c>
      <c r="Y4548" t="s">
        <v>19164</v>
      </c>
    </row>
    <row r="4549" spans="1:25">
      <c r="A4549" t="s">
        <v>19165</v>
      </c>
      <c r="B4549" t="s">
        <v>19166</v>
      </c>
      <c r="D4549" t="s">
        <v>9473</v>
      </c>
      <c r="E4549" t="s">
        <v>9474</v>
      </c>
      <c r="J4549" t="s">
        <v>78</v>
      </c>
      <c r="K4549" t="s">
        <v>79</v>
      </c>
      <c r="L4549">
        <v>6</v>
      </c>
      <c r="M4549" t="s">
        <v>19167</v>
      </c>
      <c r="N4549" t="s">
        <v>47</v>
      </c>
      <c r="O4549" t="s">
        <v>9477</v>
      </c>
      <c r="P4549" t="s">
        <v>9477</v>
      </c>
      <c r="Y4549" t="s">
        <v>19168</v>
      </c>
    </row>
    <row r="4550" spans="1:25">
      <c r="A4550" t="s">
        <v>19169</v>
      </c>
      <c r="B4550" t="s">
        <v>19170</v>
      </c>
      <c r="D4550" t="s">
        <v>9473</v>
      </c>
      <c r="E4550" t="s">
        <v>9474</v>
      </c>
      <c r="J4550" t="s">
        <v>78</v>
      </c>
      <c r="K4550" t="s">
        <v>79</v>
      </c>
      <c r="L4550">
        <v>6</v>
      </c>
      <c r="M4550" t="s">
        <v>19171</v>
      </c>
      <c r="N4550" t="s">
        <v>47</v>
      </c>
      <c r="O4550" t="s">
        <v>9477</v>
      </c>
      <c r="P4550" t="s">
        <v>9477</v>
      </c>
      <c r="Y4550" t="s">
        <v>19172</v>
      </c>
    </row>
    <row r="4551" spans="1:25">
      <c r="A4551" t="s">
        <v>19173</v>
      </c>
      <c r="B4551" t="s">
        <v>19174</v>
      </c>
      <c r="D4551" t="s">
        <v>9473</v>
      </c>
      <c r="E4551" t="s">
        <v>9474</v>
      </c>
      <c r="H4551" t="s">
        <v>19175</v>
      </c>
      <c r="J4551" t="s">
        <v>133</v>
      </c>
      <c r="K4551" t="s">
        <v>134</v>
      </c>
      <c r="L4551">
        <v>6</v>
      </c>
      <c r="M4551" t="s">
        <v>19176</v>
      </c>
      <c r="N4551" t="s">
        <v>685</v>
      </c>
      <c r="O4551" t="s">
        <v>9477</v>
      </c>
      <c r="P4551" t="s">
        <v>9477</v>
      </c>
      <c r="Y4551" t="s">
        <v>19175</v>
      </c>
    </row>
    <row r="4552" spans="1:25">
      <c r="A4552" t="s">
        <v>19177</v>
      </c>
      <c r="B4552" t="s">
        <v>19178</v>
      </c>
      <c r="D4552" t="s">
        <v>9473</v>
      </c>
      <c r="E4552" t="s">
        <v>9474</v>
      </c>
      <c r="J4552" t="s">
        <v>133</v>
      </c>
      <c r="K4552" t="s">
        <v>134</v>
      </c>
      <c r="L4552">
        <v>6</v>
      </c>
      <c r="M4552" t="s">
        <v>19179</v>
      </c>
      <c r="N4552" t="s">
        <v>135</v>
      </c>
      <c r="O4552" t="s">
        <v>9477</v>
      </c>
      <c r="P4552" t="s">
        <v>9477</v>
      </c>
      <c r="Y4552" t="s">
        <v>19180</v>
      </c>
    </row>
    <row r="4553" spans="1:25">
      <c r="A4553" t="s">
        <v>19181</v>
      </c>
      <c r="B4553" t="s">
        <v>19182</v>
      </c>
      <c r="D4553" t="s">
        <v>9473</v>
      </c>
      <c r="E4553" t="s">
        <v>9474</v>
      </c>
      <c r="J4553" t="s">
        <v>133</v>
      </c>
      <c r="K4553" t="s">
        <v>134</v>
      </c>
      <c r="L4553">
        <v>6</v>
      </c>
      <c r="M4553" t="s">
        <v>19179</v>
      </c>
      <c r="N4553" t="s">
        <v>290</v>
      </c>
      <c r="O4553" t="s">
        <v>9477</v>
      </c>
      <c r="P4553" t="s">
        <v>9477</v>
      </c>
      <c r="Y4553" t="s">
        <v>19183</v>
      </c>
    </row>
    <row r="4554" spans="1:25">
      <c r="A4554" t="s">
        <v>19184</v>
      </c>
      <c r="B4554" t="s">
        <v>19185</v>
      </c>
      <c r="D4554" t="s">
        <v>9473</v>
      </c>
      <c r="E4554" t="s">
        <v>9474</v>
      </c>
      <c r="H4554" t="s">
        <v>19186</v>
      </c>
      <c r="J4554" t="s">
        <v>90</v>
      </c>
      <c r="K4554" t="s">
        <v>91</v>
      </c>
      <c r="L4554">
        <v>6</v>
      </c>
      <c r="M4554" t="s">
        <v>19187</v>
      </c>
      <c r="N4554" t="s">
        <v>47</v>
      </c>
      <c r="O4554" t="s">
        <v>9477</v>
      </c>
      <c r="P4554" t="s">
        <v>9477</v>
      </c>
      <c r="Y4554" t="s">
        <v>19186</v>
      </c>
    </row>
    <row r="4555" spans="1:25">
      <c r="A4555" t="s">
        <v>19188</v>
      </c>
      <c r="B4555" t="s">
        <v>19189</v>
      </c>
      <c r="D4555" t="s">
        <v>9473</v>
      </c>
      <c r="E4555" t="s">
        <v>9474</v>
      </c>
      <c r="J4555" t="s">
        <v>54</v>
      </c>
      <c r="K4555" t="s">
        <v>55</v>
      </c>
      <c r="L4555">
        <v>6</v>
      </c>
      <c r="M4555" t="s">
        <v>19190</v>
      </c>
      <c r="N4555" t="s">
        <v>47</v>
      </c>
      <c r="O4555" t="s">
        <v>9477</v>
      </c>
      <c r="P4555" t="s">
        <v>9477</v>
      </c>
      <c r="Y4555" t="s">
        <v>19191</v>
      </c>
    </row>
    <row r="4556" spans="1:25">
      <c r="A4556" t="s">
        <v>19192</v>
      </c>
      <c r="B4556" t="s">
        <v>19193</v>
      </c>
      <c r="D4556" t="s">
        <v>9473</v>
      </c>
      <c r="E4556" t="s">
        <v>9474</v>
      </c>
      <c r="J4556" t="s">
        <v>7250</v>
      </c>
      <c r="K4556" t="s">
        <v>7251</v>
      </c>
      <c r="L4556">
        <v>6</v>
      </c>
      <c r="M4556" t="s">
        <v>19194</v>
      </c>
      <c r="N4556" t="s">
        <v>290</v>
      </c>
      <c r="O4556" t="s">
        <v>9477</v>
      </c>
      <c r="P4556" t="s">
        <v>9477</v>
      </c>
      <c r="Y4556" t="s">
        <v>19195</v>
      </c>
    </row>
    <row r="4557" spans="1:25">
      <c r="A4557" t="s">
        <v>19196</v>
      </c>
      <c r="B4557" t="s">
        <v>19197</v>
      </c>
      <c r="D4557" t="s">
        <v>9473</v>
      </c>
      <c r="E4557" t="s">
        <v>9474</v>
      </c>
      <c r="H4557" t="s">
        <v>19198</v>
      </c>
      <c r="J4557" t="s">
        <v>90</v>
      </c>
      <c r="K4557" t="s">
        <v>91</v>
      </c>
      <c r="L4557">
        <v>6</v>
      </c>
      <c r="M4557" t="s">
        <v>19199</v>
      </c>
      <c r="N4557" t="s">
        <v>47</v>
      </c>
      <c r="O4557" t="s">
        <v>9477</v>
      </c>
      <c r="P4557" t="s">
        <v>9477</v>
      </c>
      <c r="Y4557" t="s">
        <v>19198</v>
      </c>
    </row>
    <row r="4558" spans="1:25">
      <c r="A4558" t="s">
        <v>19200</v>
      </c>
      <c r="B4558" t="s">
        <v>19201</v>
      </c>
      <c r="D4558" t="s">
        <v>9473</v>
      </c>
      <c r="E4558" t="s">
        <v>9474</v>
      </c>
      <c r="J4558" t="s">
        <v>90</v>
      </c>
      <c r="K4558" t="s">
        <v>91</v>
      </c>
      <c r="L4558">
        <v>6</v>
      </c>
      <c r="M4558" t="s">
        <v>19202</v>
      </c>
      <c r="N4558" t="s">
        <v>47</v>
      </c>
      <c r="O4558" t="s">
        <v>9477</v>
      </c>
      <c r="P4558" t="s">
        <v>9477</v>
      </c>
      <c r="Y4558" t="s">
        <v>19203</v>
      </c>
    </row>
    <row r="4559" spans="1:25">
      <c r="A4559" t="s">
        <v>19204</v>
      </c>
      <c r="B4559" t="s">
        <v>19205</v>
      </c>
      <c r="D4559" t="s">
        <v>9473</v>
      </c>
      <c r="E4559" t="s">
        <v>9474</v>
      </c>
      <c r="J4559" t="s">
        <v>44</v>
      </c>
      <c r="K4559" t="s">
        <v>45</v>
      </c>
      <c r="L4559">
        <v>6</v>
      </c>
      <c r="M4559" t="s">
        <v>19206</v>
      </c>
      <c r="N4559" t="s">
        <v>47</v>
      </c>
      <c r="O4559" t="s">
        <v>9477</v>
      </c>
      <c r="P4559" t="s">
        <v>9477</v>
      </c>
      <c r="Y4559" t="s">
        <v>19207</v>
      </c>
    </row>
    <row r="4560" spans="1:25">
      <c r="A4560" t="s">
        <v>19208</v>
      </c>
      <c r="B4560" t="s">
        <v>19209</v>
      </c>
      <c r="D4560" t="s">
        <v>9473</v>
      </c>
      <c r="E4560" t="s">
        <v>9474</v>
      </c>
      <c r="H4560" t="s">
        <v>19210</v>
      </c>
      <c r="J4560" t="s">
        <v>44</v>
      </c>
      <c r="K4560" t="s">
        <v>45</v>
      </c>
      <c r="L4560">
        <v>6</v>
      </c>
      <c r="M4560" t="s">
        <v>19211</v>
      </c>
      <c r="N4560" t="s">
        <v>47</v>
      </c>
      <c r="O4560" t="s">
        <v>9477</v>
      </c>
      <c r="P4560" t="s">
        <v>9477</v>
      </c>
      <c r="Y4560" t="s">
        <v>19210</v>
      </c>
    </row>
    <row r="4561" spans="1:25">
      <c r="A4561" t="s">
        <v>19212</v>
      </c>
      <c r="B4561" t="s">
        <v>19213</v>
      </c>
      <c r="D4561" t="s">
        <v>9473</v>
      </c>
      <c r="E4561" t="s">
        <v>9474</v>
      </c>
      <c r="J4561" t="s">
        <v>44</v>
      </c>
      <c r="K4561" t="s">
        <v>45</v>
      </c>
      <c r="L4561">
        <v>6</v>
      </c>
      <c r="M4561" t="s">
        <v>19214</v>
      </c>
      <c r="N4561" t="s">
        <v>47</v>
      </c>
      <c r="O4561" t="s">
        <v>9477</v>
      </c>
      <c r="P4561" t="s">
        <v>9477</v>
      </c>
      <c r="Y4561" t="s">
        <v>19215</v>
      </c>
    </row>
    <row r="4562" spans="1:25">
      <c r="A4562" t="s">
        <v>19216</v>
      </c>
      <c r="B4562" t="s">
        <v>19217</v>
      </c>
      <c r="D4562" t="s">
        <v>9473</v>
      </c>
      <c r="E4562" t="s">
        <v>9474</v>
      </c>
      <c r="H4562" t="s">
        <v>19218</v>
      </c>
      <c r="J4562" t="s">
        <v>44</v>
      </c>
      <c r="K4562" t="s">
        <v>45</v>
      </c>
      <c r="L4562">
        <v>6</v>
      </c>
      <c r="M4562" t="s">
        <v>19219</v>
      </c>
      <c r="N4562" t="s">
        <v>47</v>
      </c>
      <c r="O4562" t="s">
        <v>9477</v>
      </c>
      <c r="P4562" t="s">
        <v>9477</v>
      </c>
      <c r="Y4562" t="s">
        <v>19218</v>
      </c>
    </row>
    <row r="4563" spans="1:25">
      <c r="A4563" t="s">
        <v>19220</v>
      </c>
      <c r="B4563" t="s">
        <v>19221</v>
      </c>
      <c r="D4563" t="s">
        <v>9473</v>
      </c>
      <c r="E4563" t="s">
        <v>9474</v>
      </c>
      <c r="J4563" t="s">
        <v>133</v>
      </c>
      <c r="K4563" t="s">
        <v>134</v>
      </c>
      <c r="L4563">
        <v>6</v>
      </c>
      <c r="M4563" t="s">
        <v>19222</v>
      </c>
      <c r="N4563" t="s">
        <v>290</v>
      </c>
      <c r="O4563" t="s">
        <v>9477</v>
      </c>
      <c r="P4563" t="s">
        <v>9477</v>
      </c>
      <c r="Y4563" t="s">
        <v>19223</v>
      </c>
    </row>
    <row r="4564" spans="1:25">
      <c r="A4564" t="s">
        <v>19224</v>
      </c>
      <c r="B4564" t="s">
        <v>19225</v>
      </c>
      <c r="D4564" t="s">
        <v>9473</v>
      </c>
      <c r="E4564" t="s">
        <v>9474</v>
      </c>
      <c r="J4564" t="s">
        <v>90</v>
      </c>
      <c r="K4564" t="s">
        <v>91</v>
      </c>
      <c r="L4564">
        <v>6</v>
      </c>
      <c r="M4564" t="s">
        <v>19222</v>
      </c>
      <c r="N4564" t="s">
        <v>47</v>
      </c>
      <c r="O4564" t="s">
        <v>9477</v>
      </c>
      <c r="P4564" t="s">
        <v>9477</v>
      </c>
      <c r="Y4564" t="s">
        <v>19226</v>
      </c>
    </row>
    <row r="4565" spans="1:25">
      <c r="A4565" t="s">
        <v>19227</v>
      </c>
      <c r="B4565" t="s">
        <v>19228</v>
      </c>
      <c r="D4565" t="s">
        <v>9473</v>
      </c>
      <c r="E4565" t="s">
        <v>9474</v>
      </c>
      <c r="J4565" t="s">
        <v>133</v>
      </c>
      <c r="K4565" t="s">
        <v>134</v>
      </c>
      <c r="L4565">
        <v>6</v>
      </c>
      <c r="M4565" t="s">
        <v>19222</v>
      </c>
      <c r="N4565" t="s">
        <v>135</v>
      </c>
      <c r="O4565" t="s">
        <v>9477</v>
      </c>
      <c r="P4565" t="s">
        <v>9477</v>
      </c>
      <c r="Y4565" t="s">
        <v>19229</v>
      </c>
    </row>
    <row r="4566" spans="1:25">
      <c r="A4566" t="s">
        <v>19230</v>
      </c>
      <c r="B4566" t="s">
        <v>19231</v>
      </c>
      <c r="D4566" t="s">
        <v>9473</v>
      </c>
      <c r="E4566" t="s">
        <v>9474</v>
      </c>
      <c r="H4566" t="s">
        <v>19232</v>
      </c>
      <c r="J4566" t="s">
        <v>497</v>
      </c>
      <c r="K4566" t="s">
        <v>498</v>
      </c>
      <c r="L4566">
        <v>6</v>
      </c>
      <c r="M4566" t="s">
        <v>19222</v>
      </c>
      <c r="N4566" t="s">
        <v>685</v>
      </c>
      <c r="O4566" t="s">
        <v>9477</v>
      </c>
      <c r="P4566" t="s">
        <v>9477</v>
      </c>
      <c r="Y4566" t="s">
        <v>19232</v>
      </c>
    </row>
    <row r="4567" spans="1:25">
      <c r="A4567" t="s">
        <v>19233</v>
      </c>
      <c r="B4567" t="s">
        <v>19234</v>
      </c>
      <c r="D4567" t="s">
        <v>9473</v>
      </c>
      <c r="E4567" t="s">
        <v>9474</v>
      </c>
      <c r="J4567" t="s">
        <v>90</v>
      </c>
      <c r="K4567" t="s">
        <v>91</v>
      </c>
      <c r="L4567">
        <v>6</v>
      </c>
      <c r="M4567" t="s">
        <v>19235</v>
      </c>
      <c r="N4567" t="s">
        <v>47</v>
      </c>
      <c r="O4567" t="s">
        <v>9477</v>
      </c>
      <c r="P4567" t="s">
        <v>9477</v>
      </c>
      <c r="Y4567" t="s">
        <v>19236</v>
      </c>
    </row>
    <row r="4568" spans="1:25">
      <c r="A4568" t="s">
        <v>19237</v>
      </c>
      <c r="B4568" t="s">
        <v>19238</v>
      </c>
      <c r="D4568" t="s">
        <v>9473</v>
      </c>
      <c r="E4568" t="s">
        <v>9474</v>
      </c>
      <c r="J4568" t="s">
        <v>90</v>
      </c>
      <c r="K4568" t="s">
        <v>91</v>
      </c>
      <c r="L4568">
        <v>6</v>
      </c>
      <c r="M4568" t="s">
        <v>19239</v>
      </c>
      <c r="N4568" t="s">
        <v>47</v>
      </c>
      <c r="O4568" t="s">
        <v>9477</v>
      </c>
      <c r="P4568" t="s">
        <v>9477</v>
      </c>
      <c r="Y4568" t="s">
        <v>19240</v>
      </c>
    </row>
    <row r="4569" spans="1:25">
      <c r="A4569" t="s">
        <v>19241</v>
      </c>
      <c r="B4569" t="s">
        <v>19242</v>
      </c>
      <c r="D4569" t="s">
        <v>9473</v>
      </c>
      <c r="E4569" t="s">
        <v>9474</v>
      </c>
      <c r="J4569" t="s">
        <v>133</v>
      </c>
      <c r="K4569" t="s">
        <v>134</v>
      </c>
      <c r="L4569">
        <v>6</v>
      </c>
      <c r="M4569" t="s">
        <v>19239</v>
      </c>
      <c r="N4569" t="s">
        <v>685</v>
      </c>
      <c r="O4569" t="s">
        <v>9477</v>
      </c>
      <c r="P4569" t="s">
        <v>9477</v>
      </c>
      <c r="Y4569" t="s">
        <v>19243</v>
      </c>
    </row>
    <row r="4570" spans="1:25">
      <c r="A4570" t="s">
        <v>19244</v>
      </c>
      <c r="B4570" t="s">
        <v>19245</v>
      </c>
      <c r="D4570" t="s">
        <v>9473</v>
      </c>
      <c r="E4570" t="s">
        <v>9474</v>
      </c>
      <c r="H4570" t="s">
        <v>19246</v>
      </c>
      <c r="J4570" t="s">
        <v>54</v>
      </c>
      <c r="K4570" t="s">
        <v>55</v>
      </c>
      <c r="L4570">
        <v>6</v>
      </c>
      <c r="M4570" t="s">
        <v>19239</v>
      </c>
      <c r="N4570" t="s">
        <v>47</v>
      </c>
      <c r="O4570" t="s">
        <v>9477</v>
      </c>
      <c r="P4570" t="s">
        <v>9477</v>
      </c>
      <c r="Y4570" t="s">
        <v>19246</v>
      </c>
    </row>
    <row r="4571" spans="1:25">
      <c r="A4571" t="s">
        <v>19247</v>
      </c>
      <c r="B4571" t="s">
        <v>19248</v>
      </c>
      <c r="D4571" t="s">
        <v>9473</v>
      </c>
      <c r="E4571" t="s">
        <v>9474</v>
      </c>
      <c r="J4571" t="s">
        <v>90</v>
      </c>
      <c r="K4571" t="s">
        <v>91</v>
      </c>
      <c r="L4571">
        <v>6</v>
      </c>
      <c r="M4571" t="s">
        <v>19249</v>
      </c>
      <c r="N4571" t="s">
        <v>47</v>
      </c>
      <c r="O4571" t="s">
        <v>9477</v>
      </c>
      <c r="P4571" t="s">
        <v>9477</v>
      </c>
      <c r="Y4571" t="s">
        <v>19250</v>
      </c>
    </row>
    <row r="4572" spans="1:25">
      <c r="A4572" t="s">
        <v>19251</v>
      </c>
      <c r="B4572" t="s">
        <v>19252</v>
      </c>
      <c r="D4572" t="s">
        <v>9473</v>
      </c>
      <c r="E4572" t="s">
        <v>9474</v>
      </c>
      <c r="J4572" t="s">
        <v>54</v>
      </c>
      <c r="K4572" t="s">
        <v>55</v>
      </c>
      <c r="L4572">
        <v>6</v>
      </c>
      <c r="M4572" t="s">
        <v>19253</v>
      </c>
      <c r="N4572" t="s">
        <v>47</v>
      </c>
      <c r="O4572" t="s">
        <v>9477</v>
      </c>
      <c r="P4572" t="s">
        <v>9477</v>
      </c>
      <c r="Y4572" t="s">
        <v>19254</v>
      </c>
    </row>
    <row r="4573" spans="1:25">
      <c r="A4573" t="s">
        <v>19255</v>
      </c>
      <c r="B4573" t="s">
        <v>19256</v>
      </c>
      <c r="D4573" t="s">
        <v>9473</v>
      </c>
      <c r="E4573" t="s">
        <v>9474</v>
      </c>
      <c r="J4573" t="s">
        <v>44</v>
      </c>
      <c r="K4573" t="s">
        <v>45</v>
      </c>
      <c r="L4573">
        <v>6</v>
      </c>
      <c r="M4573" t="s">
        <v>19257</v>
      </c>
      <c r="N4573" t="s">
        <v>47</v>
      </c>
      <c r="O4573" t="s">
        <v>9477</v>
      </c>
      <c r="P4573" t="s">
        <v>9477</v>
      </c>
      <c r="Y4573" t="s">
        <v>19258</v>
      </c>
    </row>
    <row r="4574" spans="1:25">
      <c r="A4574" t="s">
        <v>19259</v>
      </c>
      <c r="B4574" t="s">
        <v>19260</v>
      </c>
      <c r="D4574" t="s">
        <v>9473</v>
      </c>
      <c r="E4574" t="s">
        <v>9474</v>
      </c>
      <c r="J4574" t="s">
        <v>44</v>
      </c>
      <c r="K4574" t="s">
        <v>45</v>
      </c>
      <c r="L4574">
        <v>6</v>
      </c>
      <c r="M4574" t="s">
        <v>19261</v>
      </c>
      <c r="N4574" t="s">
        <v>47</v>
      </c>
      <c r="O4574" t="s">
        <v>9477</v>
      </c>
      <c r="P4574" t="s">
        <v>9477</v>
      </c>
      <c r="Y4574" t="s">
        <v>19262</v>
      </c>
    </row>
    <row r="4575" spans="1:25">
      <c r="A4575" t="s">
        <v>19263</v>
      </c>
      <c r="B4575" t="s">
        <v>19264</v>
      </c>
      <c r="D4575" t="s">
        <v>9473</v>
      </c>
      <c r="E4575" t="s">
        <v>9474</v>
      </c>
      <c r="H4575" t="s">
        <v>19265</v>
      </c>
      <c r="J4575" t="s">
        <v>133</v>
      </c>
      <c r="K4575" t="s">
        <v>134</v>
      </c>
      <c r="L4575">
        <v>6</v>
      </c>
      <c r="M4575" t="s">
        <v>19266</v>
      </c>
      <c r="N4575" t="s">
        <v>685</v>
      </c>
      <c r="O4575" t="s">
        <v>9477</v>
      </c>
      <c r="P4575" t="s">
        <v>9477</v>
      </c>
      <c r="Y4575" t="s">
        <v>19265</v>
      </c>
    </row>
    <row r="4576" spans="1:25">
      <c r="A4576" t="s">
        <v>19267</v>
      </c>
      <c r="B4576" t="s">
        <v>19268</v>
      </c>
      <c r="D4576" t="s">
        <v>9473</v>
      </c>
      <c r="E4576" t="s">
        <v>9474</v>
      </c>
      <c r="J4576" t="s">
        <v>90</v>
      </c>
      <c r="K4576" t="s">
        <v>91</v>
      </c>
      <c r="L4576">
        <v>6</v>
      </c>
      <c r="M4576" t="s">
        <v>19269</v>
      </c>
      <c r="N4576" t="s">
        <v>47</v>
      </c>
      <c r="O4576" t="s">
        <v>9477</v>
      </c>
      <c r="P4576" t="s">
        <v>9477</v>
      </c>
      <c r="Y4576" t="s">
        <v>19270</v>
      </c>
    </row>
    <row r="4577" spans="1:25">
      <c r="A4577" t="s">
        <v>19271</v>
      </c>
      <c r="B4577" t="s">
        <v>19272</v>
      </c>
      <c r="D4577" t="s">
        <v>9473</v>
      </c>
      <c r="E4577" t="s">
        <v>9474</v>
      </c>
      <c r="J4577" t="s">
        <v>54</v>
      </c>
      <c r="K4577" t="s">
        <v>55</v>
      </c>
      <c r="L4577">
        <v>6</v>
      </c>
      <c r="M4577" t="s">
        <v>19269</v>
      </c>
      <c r="N4577" t="s">
        <v>47</v>
      </c>
      <c r="O4577" t="s">
        <v>9477</v>
      </c>
      <c r="P4577" t="s">
        <v>9477</v>
      </c>
      <c r="Y4577" t="s">
        <v>19273</v>
      </c>
    </row>
    <row r="4578" spans="1:25">
      <c r="A4578" t="s">
        <v>19274</v>
      </c>
      <c r="B4578" t="s">
        <v>19275</v>
      </c>
      <c r="D4578" t="s">
        <v>9473</v>
      </c>
      <c r="E4578" t="s">
        <v>9474</v>
      </c>
      <c r="J4578" t="s">
        <v>54</v>
      </c>
      <c r="K4578" t="s">
        <v>55</v>
      </c>
      <c r="L4578">
        <v>6</v>
      </c>
      <c r="M4578" t="s">
        <v>19269</v>
      </c>
      <c r="N4578" t="s">
        <v>47</v>
      </c>
      <c r="O4578" t="s">
        <v>9477</v>
      </c>
      <c r="P4578" t="s">
        <v>9477</v>
      </c>
      <c r="Y4578" t="s">
        <v>19276</v>
      </c>
    </row>
    <row r="4579" spans="1:25">
      <c r="A4579" t="s">
        <v>19277</v>
      </c>
      <c r="B4579" t="s">
        <v>19278</v>
      </c>
      <c r="D4579" t="s">
        <v>9473</v>
      </c>
      <c r="E4579" t="s">
        <v>9474</v>
      </c>
      <c r="J4579" t="s">
        <v>44</v>
      </c>
      <c r="K4579" t="s">
        <v>45</v>
      </c>
      <c r="L4579">
        <v>6</v>
      </c>
      <c r="M4579" t="s">
        <v>19269</v>
      </c>
      <c r="N4579" t="s">
        <v>47</v>
      </c>
      <c r="O4579" t="s">
        <v>9477</v>
      </c>
      <c r="P4579" t="s">
        <v>9477</v>
      </c>
      <c r="Y4579" t="s">
        <v>19279</v>
      </c>
    </row>
    <row r="4580" spans="1:25">
      <c r="A4580" t="s">
        <v>19280</v>
      </c>
      <c r="B4580" t="s">
        <v>19281</v>
      </c>
      <c r="D4580" t="s">
        <v>9473</v>
      </c>
      <c r="E4580" t="s">
        <v>9474</v>
      </c>
      <c r="J4580" t="s">
        <v>90</v>
      </c>
      <c r="K4580" t="s">
        <v>91</v>
      </c>
      <c r="L4580">
        <v>6</v>
      </c>
      <c r="M4580" t="s">
        <v>19269</v>
      </c>
      <c r="N4580" t="s">
        <v>47</v>
      </c>
      <c r="O4580" t="s">
        <v>9477</v>
      </c>
      <c r="P4580" t="s">
        <v>9477</v>
      </c>
      <c r="Y4580" t="s">
        <v>19282</v>
      </c>
    </row>
    <row r="4581" spans="1:25">
      <c r="A4581" t="s">
        <v>19283</v>
      </c>
      <c r="B4581" t="s">
        <v>19284</v>
      </c>
      <c r="D4581" t="s">
        <v>9473</v>
      </c>
      <c r="E4581" t="s">
        <v>9474</v>
      </c>
      <c r="H4581" t="s">
        <v>19285</v>
      </c>
      <c r="J4581" t="s">
        <v>7250</v>
      </c>
      <c r="K4581" t="s">
        <v>7251</v>
      </c>
      <c r="L4581">
        <v>6</v>
      </c>
      <c r="M4581" t="s">
        <v>19286</v>
      </c>
      <c r="N4581" t="s">
        <v>135</v>
      </c>
      <c r="O4581" t="s">
        <v>9477</v>
      </c>
      <c r="P4581" t="s">
        <v>9477</v>
      </c>
      <c r="Y4581" t="s">
        <v>19285</v>
      </c>
    </row>
    <row r="4582" spans="1:25">
      <c r="A4582" t="s">
        <v>19287</v>
      </c>
      <c r="B4582" t="s">
        <v>19288</v>
      </c>
      <c r="D4582" t="s">
        <v>9473</v>
      </c>
      <c r="E4582" t="s">
        <v>9474</v>
      </c>
      <c r="J4582" t="s">
        <v>90</v>
      </c>
      <c r="K4582" t="s">
        <v>91</v>
      </c>
      <c r="L4582">
        <v>6</v>
      </c>
      <c r="M4582" t="s">
        <v>19289</v>
      </c>
      <c r="N4582" t="s">
        <v>47</v>
      </c>
      <c r="O4582" t="s">
        <v>9477</v>
      </c>
      <c r="P4582" t="s">
        <v>9477</v>
      </c>
      <c r="Y4582" t="s">
        <v>19290</v>
      </c>
    </row>
    <row r="4583" spans="1:25">
      <c r="A4583" t="s">
        <v>19291</v>
      </c>
      <c r="B4583" t="s">
        <v>19292</v>
      </c>
      <c r="D4583" t="s">
        <v>9473</v>
      </c>
      <c r="E4583" t="s">
        <v>9474</v>
      </c>
      <c r="J4583" t="s">
        <v>90</v>
      </c>
      <c r="K4583" t="s">
        <v>91</v>
      </c>
      <c r="L4583">
        <v>6</v>
      </c>
      <c r="M4583" t="s">
        <v>19293</v>
      </c>
      <c r="N4583" t="s">
        <v>47</v>
      </c>
      <c r="O4583" t="s">
        <v>9477</v>
      </c>
      <c r="P4583" t="s">
        <v>9477</v>
      </c>
      <c r="Y4583" t="s">
        <v>19294</v>
      </c>
    </row>
    <row r="4584" spans="1:25">
      <c r="A4584" t="s">
        <v>19295</v>
      </c>
      <c r="B4584" t="s">
        <v>19296</v>
      </c>
      <c r="D4584" t="s">
        <v>9473</v>
      </c>
      <c r="E4584" t="s">
        <v>9474</v>
      </c>
      <c r="J4584" t="s">
        <v>133</v>
      </c>
      <c r="K4584" t="s">
        <v>134</v>
      </c>
      <c r="L4584">
        <v>6</v>
      </c>
      <c r="M4584" t="s">
        <v>19297</v>
      </c>
      <c r="N4584" t="s">
        <v>685</v>
      </c>
      <c r="O4584" t="s">
        <v>9477</v>
      </c>
      <c r="P4584" t="s">
        <v>9477</v>
      </c>
      <c r="Y4584" t="s">
        <v>19298</v>
      </c>
    </row>
    <row r="4585" spans="1:25">
      <c r="A4585" t="s">
        <v>19299</v>
      </c>
      <c r="B4585" t="s">
        <v>19300</v>
      </c>
      <c r="D4585" t="s">
        <v>9473</v>
      </c>
      <c r="E4585" t="s">
        <v>9474</v>
      </c>
      <c r="J4585" t="s">
        <v>371</v>
      </c>
      <c r="K4585" t="s">
        <v>372</v>
      </c>
      <c r="L4585">
        <v>6</v>
      </c>
      <c r="M4585" t="s">
        <v>19301</v>
      </c>
      <c r="N4585" t="s">
        <v>47</v>
      </c>
      <c r="O4585" t="s">
        <v>9477</v>
      </c>
      <c r="P4585" t="s">
        <v>9477</v>
      </c>
      <c r="Y4585" t="s">
        <v>19302</v>
      </c>
    </row>
    <row r="4586" spans="1:25">
      <c r="A4586" t="s">
        <v>19303</v>
      </c>
      <c r="B4586" t="s">
        <v>19304</v>
      </c>
      <c r="D4586" t="s">
        <v>9473</v>
      </c>
      <c r="E4586" t="s">
        <v>9474</v>
      </c>
      <c r="J4586" t="s">
        <v>90</v>
      </c>
      <c r="K4586" t="s">
        <v>91</v>
      </c>
      <c r="L4586">
        <v>6</v>
      </c>
      <c r="M4586" t="s">
        <v>19305</v>
      </c>
      <c r="N4586" t="s">
        <v>47</v>
      </c>
      <c r="O4586" t="s">
        <v>9477</v>
      </c>
      <c r="P4586" t="s">
        <v>9477</v>
      </c>
      <c r="Y4586" t="s">
        <v>19306</v>
      </c>
    </row>
    <row r="4587" spans="1:25">
      <c r="A4587" t="s">
        <v>19307</v>
      </c>
      <c r="B4587" t="s">
        <v>19308</v>
      </c>
      <c r="D4587" t="s">
        <v>9473</v>
      </c>
      <c r="E4587" t="s">
        <v>9474</v>
      </c>
      <c r="H4587" t="s">
        <v>19309</v>
      </c>
      <c r="J4587" t="s">
        <v>78</v>
      </c>
      <c r="K4587" t="s">
        <v>79</v>
      </c>
      <c r="L4587">
        <v>6</v>
      </c>
      <c r="M4587" t="s">
        <v>19310</v>
      </c>
      <c r="N4587" t="s">
        <v>47</v>
      </c>
      <c r="O4587" t="s">
        <v>9477</v>
      </c>
      <c r="P4587" t="s">
        <v>9477</v>
      </c>
      <c r="Y4587" t="s">
        <v>19309</v>
      </c>
    </row>
    <row r="4588" spans="1:25">
      <c r="A4588" t="s">
        <v>19311</v>
      </c>
      <c r="B4588" t="s">
        <v>19312</v>
      </c>
      <c r="D4588" t="s">
        <v>9473</v>
      </c>
      <c r="E4588" t="s">
        <v>9474</v>
      </c>
      <c r="J4588" t="s">
        <v>90</v>
      </c>
      <c r="K4588" t="s">
        <v>91</v>
      </c>
      <c r="L4588">
        <v>6</v>
      </c>
      <c r="M4588" t="s">
        <v>19313</v>
      </c>
      <c r="N4588" t="s">
        <v>47</v>
      </c>
      <c r="O4588" t="s">
        <v>9477</v>
      </c>
      <c r="P4588" t="s">
        <v>9477</v>
      </c>
      <c r="Y4588" t="s">
        <v>19314</v>
      </c>
    </row>
    <row r="4589" spans="1:25">
      <c r="A4589" t="s">
        <v>19315</v>
      </c>
      <c r="B4589" t="s">
        <v>19316</v>
      </c>
      <c r="D4589" t="s">
        <v>9473</v>
      </c>
      <c r="E4589" t="s">
        <v>9474</v>
      </c>
      <c r="H4589" t="s">
        <v>19317</v>
      </c>
      <c r="J4589" t="s">
        <v>133</v>
      </c>
      <c r="K4589" t="s">
        <v>134</v>
      </c>
      <c r="L4589">
        <v>6</v>
      </c>
      <c r="M4589" t="s">
        <v>19318</v>
      </c>
      <c r="N4589" t="s">
        <v>135</v>
      </c>
      <c r="O4589" t="s">
        <v>9477</v>
      </c>
      <c r="P4589" t="s">
        <v>9477</v>
      </c>
      <c r="Y4589" t="s">
        <v>19317</v>
      </c>
    </row>
    <row r="4590" spans="1:25">
      <c r="A4590" t="s">
        <v>19319</v>
      </c>
      <c r="B4590" t="s">
        <v>19320</v>
      </c>
      <c r="D4590" t="s">
        <v>9473</v>
      </c>
      <c r="E4590" t="s">
        <v>9474</v>
      </c>
      <c r="H4590" t="s">
        <v>19321</v>
      </c>
      <c r="J4590" t="s">
        <v>54</v>
      </c>
      <c r="K4590" t="s">
        <v>55</v>
      </c>
      <c r="L4590">
        <v>6</v>
      </c>
      <c r="M4590" t="s">
        <v>19322</v>
      </c>
      <c r="N4590" t="s">
        <v>47</v>
      </c>
      <c r="O4590" t="s">
        <v>9477</v>
      </c>
      <c r="P4590" t="s">
        <v>9477</v>
      </c>
      <c r="Y4590" t="s">
        <v>19321</v>
      </c>
    </row>
    <row r="4591" spans="1:25">
      <c r="A4591" t="s">
        <v>19323</v>
      </c>
      <c r="B4591" t="s">
        <v>19324</v>
      </c>
      <c r="D4591" t="s">
        <v>9473</v>
      </c>
      <c r="E4591" t="s">
        <v>9474</v>
      </c>
      <c r="J4591" t="s">
        <v>54</v>
      </c>
      <c r="K4591" t="s">
        <v>55</v>
      </c>
      <c r="L4591">
        <v>6</v>
      </c>
      <c r="M4591" t="s">
        <v>19322</v>
      </c>
      <c r="N4591" t="s">
        <v>47</v>
      </c>
      <c r="O4591" t="s">
        <v>9477</v>
      </c>
      <c r="P4591" t="s">
        <v>9477</v>
      </c>
      <c r="Y4591" t="s">
        <v>19325</v>
      </c>
    </row>
    <row r="4592" spans="1:25">
      <c r="A4592" t="s">
        <v>19326</v>
      </c>
      <c r="B4592" t="s">
        <v>19327</v>
      </c>
      <c r="D4592" t="s">
        <v>9473</v>
      </c>
      <c r="E4592" t="s">
        <v>9474</v>
      </c>
      <c r="J4592" t="s">
        <v>44</v>
      </c>
      <c r="K4592" t="s">
        <v>45</v>
      </c>
      <c r="L4592">
        <v>6</v>
      </c>
      <c r="M4592" t="s">
        <v>19328</v>
      </c>
      <c r="N4592" t="s">
        <v>47</v>
      </c>
      <c r="O4592" t="s">
        <v>9477</v>
      </c>
      <c r="P4592" t="s">
        <v>9477</v>
      </c>
      <c r="Y4592" t="s">
        <v>19329</v>
      </c>
    </row>
    <row r="4593" spans="1:25">
      <c r="A4593" t="s">
        <v>19330</v>
      </c>
      <c r="B4593" t="s">
        <v>19331</v>
      </c>
      <c r="D4593" t="s">
        <v>9473</v>
      </c>
      <c r="E4593" t="s">
        <v>9474</v>
      </c>
      <c r="H4593" t="s">
        <v>19332</v>
      </c>
      <c r="J4593" t="s">
        <v>133</v>
      </c>
      <c r="K4593" t="s">
        <v>134</v>
      </c>
      <c r="L4593">
        <v>6</v>
      </c>
      <c r="M4593" t="s">
        <v>19333</v>
      </c>
      <c r="N4593" t="s">
        <v>685</v>
      </c>
      <c r="O4593" t="s">
        <v>9477</v>
      </c>
      <c r="P4593" t="s">
        <v>9477</v>
      </c>
      <c r="Y4593" t="s">
        <v>19332</v>
      </c>
    </row>
    <row r="4594" spans="1:25">
      <c r="A4594" t="s">
        <v>19334</v>
      </c>
      <c r="B4594" t="s">
        <v>19335</v>
      </c>
      <c r="D4594" t="s">
        <v>9473</v>
      </c>
      <c r="E4594" t="s">
        <v>9474</v>
      </c>
      <c r="H4594" t="s">
        <v>19336</v>
      </c>
      <c r="J4594" t="s">
        <v>90</v>
      </c>
      <c r="K4594" t="s">
        <v>91</v>
      </c>
      <c r="L4594">
        <v>6</v>
      </c>
      <c r="M4594" t="s">
        <v>19337</v>
      </c>
      <c r="N4594" t="s">
        <v>47</v>
      </c>
      <c r="O4594" t="s">
        <v>9477</v>
      </c>
      <c r="P4594" t="s">
        <v>9477</v>
      </c>
      <c r="Y4594" t="s">
        <v>19336</v>
      </c>
    </row>
    <row r="4595" spans="1:25">
      <c r="A4595" t="s">
        <v>19338</v>
      </c>
      <c r="B4595" t="s">
        <v>19339</v>
      </c>
      <c r="D4595" t="s">
        <v>9473</v>
      </c>
      <c r="E4595" t="s">
        <v>9474</v>
      </c>
      <c r="J4595" t="s">
        <v>90</v>
      </c>
      <c r="K4595" t="s">
        <v>91</v>
      </c>
      <c r="L4595">
        <v>6</v>
      </c>
      <c r="M4595" t="s">
        <v>19340</v>
      </c>
      <c r="N4595" t="s">
        <v>47</v>
      </c>
      <c r="O4595" t="s">
        <v>9477</v>
      </c>
      <c r="P4595" t="s">
        <v>9477</v>
      </c>
      <c r="Y4595" t="s">
        <v>19341</v>
      </c>
    </row>
    <row r="4596" spans="1:25">
      <c r="A4596" t="s">
        <v>19342</v>
      </c>
      <c r="B4596" t="s">
        <v>19343</v>
      </c>
      <c r="D4596" t="s">
        <v>9473</v>
      </c>
      <c r="E4596" t="s">
        <v>9474</v>
      </c>
      <c r="J4596" t="s">
        <v>44</v>
      </c>
      <c r="K4596" t="s">
        <v>45</v>
      </c>
      <c r="L4596">
        <v>6</v>
      </c>
      <c r="M4596" t="s">
        <v>19344</v>
      </c>
      <c r="N4596" t="s">
        <v>47</v>
      </c>
      <c r="O4596" t="s">
        <v>9477</v>
      </c>
      <c r="P4596" t="s">
        <v>9477</v>
      </c>
      <c r="Y4596" t="s">
        <v>19345</v>
      </c>
    </row>
    <row r="4597" spans="1:25">
      <c r="A4597" t="s">
        <v>19346</v>
      </c>
      <c r="B4597" t="s">
        <v>19347</v>
      </c>
      <c r="D4597" t="s">
        <v>9473</v>
      </c>
      <c r="E4597" t="s">
        <v>9474</v>
      </c>
      <c r="J4597" t="s">
        <v>44</v>
      </c>
      <c r="K4597" t="s">
        <v>45</v>
      </c>
      <c r="L4597">
        <v>6</v>
      </c>
      <c r="M4597" t="s">
        <v>19344</v>
      </c>
      <c r="N4597" t="s">
        <v>47</v>
      </c>
      <c r="O4597" t="s">
        <v>9477</v>
      </c>
      <c r="P4597" t="s">
        <v>9477</v>
      </c>
      <c r="Y4597" t="s">
        <v>19348</v>
      </c>
    </row>
    <row r="4598" spans="1:25">
      <c r="A4598" t="s">
        <v>19349</v>
      </c>
      <c r="B4598" t="s">
        <v>19350</v>
      </c>
      <c r="D4598" t="s">
        <v>9473</v>
      </c>
      <c r="E4598" t="s">
        <v>9474</v>
      </c>
      <c r="J4598" t="s">
        <v>90</v>
      </c>
      <c r="K4598" t="s">
        <v>91</v>
      </c>
      <c r="L4598">
        <v>6</v>
      </c>
      <c r="M4598" t="s">
        <v>19351</v>
      </c>
      <c r="N4598" t="s">
        <v>47</v>
      </c>
      <c r="O4598" t="s">
        <v>9477</v>
      </c>
      <c r="P4598" t="s">
        <v>9477</v>
      </c>
      <c r="Y4598" t="s">
        <v>19352</v>
      </c>
    </row>
    <row r="4599" spans="1:25">
      <c r="A4599" t="s">
        <v>19353</v>
      </c>
      <c r="B4599" t="s">
        <v>19354</v>
      </c>
      <c r="D4599" t="s">
        <v>9473</v>
      </c>
      <c r="E4599" t="s">
        <v>9474</v>
      </c>
      <c r="H4599" t="s">
        <v>19355</v>
      </c>
      <c r="J4599" t="s">
        <v>133</v>
      </c>
      <c r="K4599" t="s">
        <v>134</v>
      </c>
      <c r="L4599">
        <v>6</v>
      </c>
      <c r="M4599" t="s">
        <v>19356</v>
      </c>
      <c r="N4599" t="s">
        <v>290</v>
      </c>
      <c r="O4599" t="s">
        <v>9477</v>
      </c>
      <c r="P4599" t="s">
        <v>9477</v>
      </c>
      <c r="Y4599" t="s">
        <v>19355</v>
      </c>
    </row>
    <row r="4600" spans="1:25">
      <c r="A4600" t="s">
        <v>19357</v>
      </c>
      <c r="B4600" t="s">
        <v>19358</v>
      </c>
      <c r="D4600" t="s">
        <v>9473</v>
      </c>
      <c r="E4600" t="s">
        <v>9474</v>
      </c>
      <c r="J4600" t="s">
        <v>90</v>
      </c>
      <c r="K4600" t="s">
        <v>91</v>
      </c>
      <c r="L4600">
        <v>6</v>
      </c>
      <c r="M4600" t="s">
        <v>19359</v>
      </c>
      <c r="N4600" t="s">
        <v>47</v>
      </c>
      <c r="O4600" t="s">
        <v>9477</v>
      </c>
      <c r="P4600" t="s">
        <v>9477</v>
      </c>
      <c r="Y4600" t="s">
        <v>19360</v>
      </c>
    </row>
    <row r="4601" spans="1:25">
      <c r="A4601" t="s">
        <v>19361</v>
      </c>
      <c r="B4601" t="s">
        <v>19362</v>
      </c>
      <c r="D4601" t="s">
        <v>9473</v>
      </c>
      <c r="E4601" t="s">
        <v>9474</v>
      </c>
      <c r="J4601" t="s">
        <v>44</v>
      </c>
      <c r="K4601" t="s">
        <v>45</v>
      </c>
      <c r="L4601">
        <v>6</v>
      </c>
      <c r="M4601" t="s">
        <v>19363</v>
      </c>
      <c r="N4601" t="s">
        <v>47</v>
      </c>
      <c r="O4601" t="s">
        <v>9477</v>
      </c>
      <c r="P4601" t="s">
        <v>9477</v>
      </c>
      <c r="Y4601" t="s">
        <v>19364</v>
      </c>
    </row>
    <row r="4602" spans="1:25">
      <c r="A4602" t="s">
        <v>19365</v>
      </c>
      <c r="B4602" t="s">
        <v>19366</v>
      </c>
      <c r="D4602" t="s">
        <v>9473</v>
      </c>
      <c r="E4602" t="s">
        <v>9474</v>
      </c>
      <c r="J4602" t="s">
        <v>90</v>
      </c>
      <c r="K4602" t="s">
        <v>91</v>
      </c>
      <c r="L4602">
        <v>6</v>
      </c>
      <c r="M4602" t="s">
        <v>19367</v>
      </c>
      <c r="N4602" t="s">
        <v>47</v>
      </c>
      <c r="O4602" t="s">
        <v>9477</v>
      </c>
      <c r="P4602" t="s">
        <v>9477</v>
      </c>
      <c r="Y4602" t="s">
        <v>19368</v>
      </c>
    </row>
    <row r="4603" spans="1:25">
      <c r="A4603" t="s">
        <v>19369</v>
      </c>
      <c r="B4603" t="s">
        <v>19370</v>
      </c>
      <c r="D4603" t="s">
        <v>9473</v>
      </c>
      <c r="E4603" t="s">
        <v>9474</v>
      </c>
      <c r="J4603" t="s">
        <v>90</v>
      </c>
      <c r="K4603" t="s">
        <v>91</v>
      </c>
      <c r="L4603">
        <v>6</v>
      </c>
      <c r="M4603" t="s">
        <v>19367</v>
      </c>
      <c r="N4603" t="s">
        <v>47</v>
      </c>
      <c r="O4603" t="s">
        <v>9477</v>
      </c>
      <c r="P4603" t="s">
        <v>9477</v>
      </c>
      <c r="Y4603" t="s">
        <v>19371</v>
      </c>
    </row>
    <row r="4604" spans="1:25">
      <c r="A4604" t="s">
        <v>19372</v>
      </c>
      <c r="B4604" t="s">
        <v>19373</v>
      </c>
      <c r="D4604" t="s">
        <v>9473</v>
      </c>
      <c r="E4604" t="s">
        <v>9474</v>
      </c>
      <c r="J4604" t="s">
        <v>90</v>
      </c>
      <c r="K4604" t="s">
        <v>91</v>
      </c>
      <c r="L4604">
        <v>6</v>
      </c>
      <c r="M4604" t="s">
        <v>19367</v>
      </c>
      <c r="N4604" t="s">
        <v>47</v>
      </c>
      <c r="O4604" t="s">
        <v>9477</v>
      </c>
      <c r="P4604" t="s">
        <v>9477</v>
      </c>
      <c r="Y4604" t="s">
        <v>19374</v>
      </c>
    </row>
    <row r="4605" spans="1:25">
      <c r="A4605" t="s">
        <v>19375</v>
      </c>
      <c r="B4605" t="s">
        <v>19376</v>
      </c>
      <c r="D4605" t="s">
        <v>9473</v>
      </c>
      <c r="E4605" t="s">
        <v>9474</v>
      </c>
      <c r="J4605" t="s">
        <v>371</v>
      </c>
      <c r="K4605" t="s">
        <v>372</v>
      </c>
      <c r="L4605">
        <v>6</v>
      </c>
      <c r="M4605" t="s">
        <v>19367</v>
      </c>
      <c r="N4605" t="s">
        <v>47</v>
      </c>
      <c r="O4605" t="s">
        <v>9477</v>
      </c>
      <c r="P4605" t="s">
        <v>9477</v>
      </c>
      <c r="Y4605" t="s">
        <v>19377</v>
      </c>
    </row>
    <row r="4606" spans="1:25">
      <c r="A4606" t="s">
        <v>19378</v>
      </c>
      <c r="B4606" t="s">
        <v>19379</v>
      </c>
      <c r="D4606" t="s">
        <v>9473</v>
      </c>
      <c r="E4606" t="s">
        <v>9474</v>
      </c>
      <c r="J4606" t="s">
        <v>90</v>
      </c>
      <c r="K4606" t="s">
        <v>91</v>
      </c>
      <c r="L4606">
        <v>6</v>
      </c>
      <c r="M4606" t="s">
        <v>19380</v>
      </c>
      <c r="N4606" t="s">
        <v>47</v>
      </c>
      <c r="O4606" t="s">
        <v>9477</v>
      </c>
      <c r="P4606" t="s">
        <v>9477</v>
      </c>
      <c r="Y4606" t="s">
        <v>19381</v>
      </c>
    </row>
    <row r="4607" spans="1:25">
      <c r="A4607" t="s">
        <v>19382</v>
      </c>
      <c r="B4607" t="s">
        <v>19383</v>
      </c>
      <c r="D4607" t="s">
        <v>9473</v>
      </c>
      <c r="E4607" t="s">
        <v>9474</v>
      </c>
      <c r="J4607" t="s">
        <v>90</v>
      </c>
      <c r="K4607" t="s">
        <v>91</v>
      </c>
      <c r="L4607">
        <v>6</v>
      </c>
      <c r="M4607" t="s">
        <v>19380</v>
      </c>
      <c r="N4607" t="s">
        <v>47</v>
      </c>
      <c r="O4607" t="s">
        <v>9477</v>
      </c>
      <c r="P4607" t="s">
        <v>9477</v>
      </c>
      <c r="Y4607" t="s">
        <v>19384</v>
      </c>
    </row>
    <row r="4608" spans="1:25">
      <c r="A4608" t="s">
        <v>19385</v>
      </c>
      <c r="B4608" t="s">
        <v>19386</v>
      </c>
      <c r="D4608" t="s">
        <v>9473</v>
      </c>
      <c r="E4608" t="s">
        <v>9474</v>
      </c>
      <c r="J4608" t="s">
        <v>90</v>
      </c>
      <c r="K4608" t="s">
        <v>91</v>
      </c>
      <c r="L4608">
        <v>6</v>
      </c>
      <c r="M4608" t="s">
        <v>19380</v>
      </c>
      <c r="N4608" t="s">
        <v>47</v>
      </c>
      <c r="O4608" t="s">
        <v>9477</v>
      </c>
      <c r="P4608" t="s">
        <v>9477</v>
      </c>
      <c r="Y4608" t="s">
        <v>19387</v>
      </c>
    </row>
    <row r="4609" spans="1:25">
      <c r="A4609" t="s">
        <v>19388</v>
      </c>
      <c r="B4609" t="s">
        <v>19389</v>
      </c>
      <c r="D4609" t="s">
        <v>9473</v>
      </c>
      <c r="E4609" t="s">
        <v>9474</v>
      </c>
      <c r="H4609" t="s">
        <v>19390</v>
      </c>
      <c r="J4609" t="s">
        <v>133</v>
      </c>
      <c r="K4609" t="s">
        <v>134</v>
      </c>
      <c r="L4609">
        <v>6</v>
      </c>
      <c r="M4609" t="s">
        <v>19391</v>
      </c>
      <c r="N4609" t="s">
        <v>135</v>
      </c>
      <c r="O4609" t="s">
        <v>9477</v>
      </c>
      <c r="P4609" t="s">
        <v>9477</v>
      </c>
      <c r="Y4609" t="s">
        <v>19390</v>
      </c>
    </row>
    <row r="4610" spans="1:25">
      <c r="A4610" t="s">
        <v>19392</v>
      </c>
      <c r="B4610" t="s">
        <v>19393</v>
      </c>
      <c r="D4610" t="s">
        <v>9473</v>
      </c>
      <c r="E4610" t="s">
        <v>9474</v>
      </c>
      <c r="H4610" t="s">
        <v>19394</v>
      </c>
      <c r="J4610" t="s">
        <v>90</v>
      </c>
      <c r="K4610" t="s">
        <v>91</v>
      </c>
      <c r="L4610">
        <v>6</v>
      </c>
      <c r="M4610" t="s">
        <v>19395</v>
      </c>
      <c r="N4610" t="s">
        <v>47</v>
      </c>
      <c r="O4610" t="s">
        <v>9477</v>
      </c>
      <c r="P4610" t="s">
        <v>9477</v>
      </c>
      <c r="Y4610" t="s">
        <v>19394</v>
      </c>
    </row>
    <row r="4611" spans="1:25">
      <c r="A4611" t="s">
        <v>19396</v>
      </c>
      <c r="B4611" t="s">
        <v>19397</v>
      </c>
      <c r="D4611" t="s">
        <v>9473</v>
      </c>
      <c r="E4611" t="s">
        <v>9474</v>
      </c>
      <c r="H4611" t="s">
        <v>19398</v>
      </c>
      <c r="J4611" t="s">
        <v>7250</v>
      </c>
      <c r="K4611" t="s">
        <v>7251</v>
      </c>
      <c r="L4611">
        <v>6</v>
      </c>
      <c r="M4611" t="s">
        <v>19399</v>
      </c>
      <c r="N4611" t="s">
        <v>685</v>
      </c>
      <c r="O4611" t="s">
        <v>9477</v>
      </c>
      <c r="P4611" t="s">
        <v>9477</v>
      </c>
      <c r="Y4611" t="s">
        <v>19398</v>
      </c>
    </row>
    <row r="4612" spans="1:25">
      <c r="A4612" t="s">
        <v>19400</v>
      </c>
      <c r="B4612" t="s">
        <v>19401</v>
      </c>
      <c r="D4612" t="s">
        <v>9473</v>
      </c>
      <c r="E4612" t="s">
        <v>9474</v>
      </c>
      <c r="H4612" t="s">
        <v>19402</v>
      </c>
      <c r="J4612" t="s">
        <v>44</v>
      </c>
      <c r="K4612" t="s">
        <v>45</v>
      </c>
      <c r="L4612">
        <v>6</v>
      </c>
      <c r="M4612" t="s">
        <v>19403</v>
      </c>
      <c r="N4612" t="s">
        <v>47</v>
      </c>
      <c r="O4612" t="s">
        <v>9477</v>
      </c>
      <c r="P4612" t="s">
        <v>9477</v>
      </c>
      <c r="Y4612" t="s">
        <v>19402</v>
      </c>
    </row>
    <row r="4613" spans="1:25">
      <c r="A4613" t="s">
        <v>19404</v>
      </c>
      <c r="B4613" t="s">
        <v>19405</v>
      </c>
      <c r="D4613" t="s">
        <v>9473</v>
      </c>
      <c r="E4613" t="s">
        <v>9474</v>
      </c>
      <c r="H4613" t="s">
        <v>19406</v>
      </c>
      <c r="J4613" t="s">
        <v>44</v>
      </c>
      <c r="K4613" t="s">
        <v>45</v>
      </c>
      <c r="L4613">
        <v>6</v>
      </c>
      <c r="M4613" t="s">
        <v>19407</v>
      </c>
      <c r="N4613" t="s">
        <v>47</v>
      </c>
      <c r="O4613" t="s">
        <v>9477</v>
      </c>
      <c r="P4613" t="s">
        <v>9477</v>
      </c>
      <c r="Y4613" t="s">
        <v>19406</v>
      </c>
    </row>
    <row r="4614" spans="1:25">
      <c r="A4614" t="s">
        <v>19408</v>
      </c>
      <c r="B4614" t="s">
        <v>19409</v>
      </c>
      <c r="D4614" t="s">
        <v>9473</v>
      </c>
      <c r="E4614" t="s">
        <v>9474</v>
      </c>
      <c r="J4614" t="s">
        <v>90</v>
      </c>
      <c r="K4614" t="s">
        <v>91</v>
      </c>
      <c r="L4614">
        <v>6</v>
      </c>
      <c r="M4614" t="s">
        <v>19407</v>
      </c>
      <c r="N4614" t="s">
        <v>47</v>
      </c>
      <c r="O4614" t="s">
        <v>9477</v>
      </c>
      <c r="P4614" t="s">
        <v>9477</v>
      </c>
      <c r="Y4614" t="s">
        <v>19410</v>
      </c>
    </row>
    <row r="4615" spans="1:25">
      <c r="A4615" t="s">
        <v>19411</v>
      </c>
      <c r="B4615" t="s">
        <v>19412</v>
      </c>
      <c r="D4615" t="s">
        <v>9473</v>
      </c>
      <c r="E4615" t="s">
        <v>9474</v>
      </c>
      <c r="H4615" t="s">
        <v>19413</v>
      </c>
      <c r="J4615" t="s">
        <v>90</v>
      </c>
      <c r="K4615" t="s">
        <v>91</v>
      </c>
      <c r="L4615">
        <v>6</v>
      </c>
      <c r="M4615" t="s">
        <v>19414</v>
      </c>
      <c r="N4615" t="s">
        <v>47</v>
      </c>
      <c r="O4615" t="s">
        <v>9477</v>
      </c>
      <c r="P4615" t="s">
        <v>9477</v>
      </c>
      <c r="Y4615" t="s">
        <v>19413</v>
      </c>
    </row>
    <row r="4616" spans="1:25">
      <c r="A4616" t="s">
        <v>19415</v>
      </c>
      <c r="B4616" t="s">
        <v>19416</v>
      </c>
      <c r="D4616" t="s">
        <v>9473</v>
      </c>
      <c r="E4616" t="s">
        <v>9474</v>
      </c>
      <c r="H4616" t="s">
        <v>19417</v>
      </c>
      <c r="J4616" t="s">
        <v>44</v>
      </c>
      <c r="K4616" t="s">
        <v>45</v>
      </c>
      <c r="L4616">
        <v>6</v>
      </c>
      <c r="M4616" t="s">
        <v>19418</v>
      </c>
      <c r="N4616" t="s">
        <v>47</v>
      </c>
      <c r="O4616" t="s">
        <v>9477</v>
      </c>
      <c r="P4616" t="s">
        <v>9477</v>
      </c>
      <c r="Y4616" t="s">
        <v>19417</v>
      </c>
    </row>
    <row r="4617" spans="1:25">
      <c r="A4617" t="s">
        <v>19419</v>
      </c>
      <c r="B4617" t="s">
        <v>19420</v>
      </c>
      <c r="D4617" t="s">
        <v>9473</v>
      </c>
      <c r="E4617" t="s">
        <v>9474</v>
      </c>
      <c r="J4617" t="s">
        <v>44</v>
      </c>
      <c r="K4617" t="s">
        <v>45</v>
      </c>
      <c r="L4617">
        <v>6</v>
      </c>
      <c r="M4617" t="s">
        <v>19421</v>
      </c>
      <c r="N4617" t="s">
        <v>47</v>
      </c>
      <c r="O4617" t="s">
        <v>9477</v>
      </c>
      <c r="P4617" t="s">
        <v>9477</v>
      </c>
      <c r="Y4617" t="s">
        <v>19422</v>
      </c>
    </row>
    <row r="4618" spans="1:25">
      <c r="A4618" t="s">
        <v>19423</v>
      </c>
      <c r="B4618" t="s">
        <v>19424</v>
      </c>
      <c r="D4618" t="s">
        <v>9473</v>
      </c>
      <c r="E4618" t="s">
        <v>9474</v>
      </c>
      <c r="J4618" t="s">
        <v>90</v>
      </c>
      <c r="K4618" t="s">
        <v>91</v>
      </c>
      <c r="L4618">
        <v>6</v>
      </c>
      <c r="M4618" t="s">
        <v>19425</v>
      </c>
      <c r="N4618" t="s">
        <v>47</v>
      </c>
      <c r="O4618" t="s">
        <v>9477</v>
      </c>
      <c r="P4618" t="s">
        <v>9477</v>
      </c>
      <c r="Y4618" t="s">
        <v>19426</v>
      </c>
    </row>
    <row r="4619" spans="1:25">
      <c r="A4619" t="s">
        <v>19427</v>
      </c>
      <c r="B4619" t="s">
        <v>19428</v>
      </c>
      <c r="D4619" t="s">
        <v>9473</v>
      </c>
      <c r="E4619" t="s">
        <v>9474</v>
      </c>
      <c r="J4619" t="s">
        <v>44</v>
      </c>
      <c r="K4619" t="s">
        <v>45</v>
      </c>
      <c r="L4619">
        <v>6</v>
      </c>
      <c r="M4619" t="s">
        <v>19429</v>
      </c>
      <c r="N4619" t="s">
        <v>47</v>
      </c>
      <c r="O4619" t="s">
        <v>9477</v>
      </c>
      <c r="P4619" t="s">
        <v>9477</v>
      </c>
      <c r="Y4619" t="s">
        <v>19430</v>
      </c>
    </row>
    <row r="4620" spans="1:25">
      <c r="A4620" t="s">
        <v>19431</v>
      </c>
      <c r="B4620" t="s">
        <v>19432</v>
      </c>
      <c r="D4620" t="s">
        <v>9473</v>
      </c>
      <c r="E4620" t="s">
        <v>9474</v>
      </c>
      <c r="H4620" t="s">
        <v>19433</v>
      </c>
      <c r="J4620" t="s">
        <v>133</v>
      </c>
      <c r="K4620" t="s">
        <v>134</v>
      </c>
      <c r="L4620">
        <v>6</v>
      </c>
      <c r="M4620" t="s">
        <v>19429</v>
      </c>
      <c r="N4620" t="s">
        <v>685</v>
      </c>
      <c r="O4620" t="s">
        <v>9477</v>
      </c>
      <c r="P4620" t="s">
        <v>9477</v>
      </c>
      <c r="Y4620" t="s">
        <v>19433</v>
      </c>
    </row>
    <row r="4621" spans="1:25">
      <c r="A4621" t="s">
        <v>19434</v>
      </c>
      <c r="B4621" t="s">
        <v>19435</v>
      </c>
      <c r="D4621" t="s">
        <v>9473</v>
      </c>
      <c r="E4621" t="s">
        <v>9474</v>
      </c>
      <c r="J4621" t="s">
        <v>90</v>
      </c>
      <c r="K4621" t="s">
        <v>91</v>
      </c>
      <c r="L4621">
        <v>6</v>
      </c>
      <c r="M4621" t="s">
        <v>19436</v>
      </c>
      <c r="N4621" t="s">
        <v>47</v>
      </c>
      <c r="O4621" t="s">
        <v>9477</v>
      </c>
      <c r="P4621" t="s">
        <v>9477</v>
      </c>
      <c r="Y4621" t="s">
        <v>19437</v>
      </c>
    </row>
    <row r="4622" spans="1:25">
      <c r="A4622" t="s">
        <v>19438</v>
      </c>
      <c r="B4622" t="s">
        <v>19439</v>
      </c>
      <c r="D4622" t="s">
        <v>9473</v>
      </c>
      <c r="E4622" t="s">
        <v>9474</v>
      </c>
      <c r="J4622" t="s">
        <v>54</v>
      </c>
      <c r="K4622" t="s">
        <v>55</v>
      </c>
      <c r="L4622">
        <v>6</v>
      </c>
      <c r="M4622" t="s">
        <v>19440</v>
      </c>
      <c r="N4622" t="s">
        <v>47</v>
      </c>
      <c r="O4622" t="s">
        <v>9477</v>
      </c>
      <c r="P4622" t="s">
        <v>9477</v>
      </c>
      <c r="Y4622" t="s">
        <v>19441</v>
      </c>
    </row>
    <row r="4623" spans="1:25">
      <c r="A4623" t="s">
        <v>19442</v>
      </c>
      <c r="B4623" t="s">
        <v>19443</v>
      </c>
      <c r="D4623" t="s">
        <v>9473</v>
      </c>
      <c r="E4623" t="s">
        <v>9474</v>
      </c>
      <c r="J4623" t="s">
        <v>78</v>
      </c>
      <c r="K4623" t="s">
        <v>79</v>
      </c>
      <c r="L4623">
        <v>6</v>
      </c>
      <c r="M4623" t="s">
        <v>19444</v>
      </c>
      <c r="N4623" t="s">
        <v>47</v>
      </c>
      <c r="O4623" t="s">
        <v>9477</v>
      </c>
      <c r="P4623" t="s">
        <v>9477</v>
      </c>
      <c r="Y4623" t="s">
        <v>19445</v>
      </c>
    </row>
    <row r="4624" spans="1:25">
      <c r="A4624" t="s">
        <v>19446</v>
      </c>
      <c r="B4624" t="s">
        <v>19447</v>
      </c>
      <c r="D4624" t="s">
        <v>9473</v>
      </c>
      <c r="E4624" t="s">
        <v>9474</v>
      </c>
      <c r="J4624" t="s">
        <v>90</v>
      </c>
      <c r="K4624" t="s">
        <v>91</v>
      </c>
      <c r="L4624">
        <v>6</v>
      </c>
      <c r="M4624" t="s">
        <v>19448</v>
      </c>
      <c r="N4624" t="s">
        <v>47</v>
      </c>
      <c r="O4624" t="s">
        <v>9477</v>
      </c>
      <c r="P4624" t="s">
        <v>9477</v>
      </c>
      <c r="Y4624" t="s">
        <v>19449</v>
      </c>
    </row>
    <row r="4625" spans="1:25">
      <c r="A4625" t="s">
        <v>19450</v>
      </c>
      <c r="B4625" t="s">
        <v>19451</v>
      </c>
      <c r="D4625" t="s">
        <v>9473</v>
      </c>
      <c r="E4625" t="s">
        <v>9474</v>
      </c>
      <c r="H4625" t="s">
        <v>19452</v>
      </c>
      <c r="J4625" t="s">
        <v>133</v>
      </c>
      <c r="K4625" t="s">
        <v>134</v>
      </c>
      <c r="L4625">
        <v>6</v>
      </c>
      <c r="M4625" t="s">
        <v>19453</v>
      </c>
      <c r="N4625" t="s">
        <v>685</v>
      </c>
      <c r="O4625" t="s">
        <v>9477</v>
      </c>
      <c r="P4625" t="s">
        <v>9477</v>
      </c>
      <c r="Y4625" t="s">
        <v>19452</v>
      </c>
    </row>
    <row r="4626" spans="1:25">
      <c r="A4626" t="s">
        <v>19454</v>
      </c>
      <c r="B4626" t="s">
        <v>19455</v>
      </c>
      <c r="D4626" t="s">
        <v>9473</v>
      </c>
      <c r="E4626" t="s">
        <v>9474</v>
      </c>
      <c r="J4626" t="s">
        <v>90</v>
      </c>
      <c r="K4626" t="s">
        <v>91</v>
      </c>
      <c r="L4626">
        <v>6</v>
      </c>
      <c r="M4626" t="s">
        <v>19453</v>
      </c>
      <c r="N4626" t="s">
        <v>47</v>
      </c>
      <c r="O4626" t="s">
        <v>9477</v>
      </c>
      <c r="P4626" t="s">
        <v>9477</v>
      </c>
      <c r="Y4626" t="s">
        <v>19456</v>
      </c>
    </row>
    <row r="4627" spans="1:25">
      <c r="A4627" t="s">
        <v>19457</v>
      </c>
      <c r="B4627" t="s">
        <v>19458</v>
      </c>
      <c r="D4627" t="s">
        <v>9473</v>
      </c>
      <c r="E4627" t="s">
        <v>9474</v>
      </c>
      <c r="H4627" t="s">
        <v>19459</v>
      </c>
      <c r="J4627" t="s">
        <v>90</v>
      </c>
      <c r="K4627" t="s">
        <v>91</v>
      </c>
      <c r="L4627">
        <v>6</v>
      </c>
      <c r="M4627" t="s">
        <v>19460</v>
      </c>
      <c r="N4627" t="s">
        <v>47</v>
      </c>
      <c r="O4627" t="s">
        <v>9477</v>
      </c>
      <c r="P4627" t="s">
        <v>9477</v>
      </c>
      <c r="Y4627" t="s">
        <v>19459</v>
      </c>
    </row>
    <row r="4628" spans="1:25">
      <c r="A4628" t="s">
        <v>19461</v>
      </c>
      <c r="B4628" t="s">
        <v>19462</v>
      </c>
      <c r="D4628" t="s">
        <v>9473</v>
      </c>
      <c r="E4628" t="s">
        <v>9474</v>
      </c>
      <c r="H4628" t="s">
        <v>19463</v>
      </c>
      <c r="J4628" t="s">
        <v>44</v>
      </c>
      <c r="K4628" t="s">
        <v>45</v>
      </c>
      <c r="L4628">
        <v>6</v>
      </c>
      <c r="M4628" t="s">
        <v>19464</v>
      </c>
      <c r="N4628" t="s">
        <v>47</v>
      </c>
      <c r="O4628" t="s">
        <v>9477</v>
      </c>
      <c r="P4628" t="s">
        <v>9477</v>
      </c>
      <c r="Y4628" t="s">
        <v>19463</v>
      </c>
    </row>
    <row r="4629" spans="1:25">
      <c r="A4629" t="s">
        <v>19465</v>
      </c>
      <c r="B4629" t="s">
        <v>19466</v>
      </c>
      <c r="D4629" t="s">
        <v>9473</v>
      </c>
      <c r="E4629" t="s">
        <v>9474</v>
      </c>
      <c r="J4629" t="s">
        <v>90</v>
      </c>
      <c r="K4629" t="s">
        <v>91</v>
      </c>
      <c r="L4629">
        <v>6</v>
      </c>
      <c r="M4629" t="s">
        <v>19464</v>
      </c>
      <c r="N4629" t="s">
        <v>47</v>
      </c>
      <c r="O4629" t="s">
        <v>9477</v>
      </c>
      <c r="P4629" t="s">
        <v>9477</v>
      </c>
      <c r="Y4629" t="s">
        <v>19467</v>
      </c>
    </row>
    <row r="4630" spans="1:25">
      <c r="A4630" t="s">
        <v>19468</v>
      </c>
      <c r="B4630" t="s">
        <v>19469</v>
      </c>
      <c r="D4630" t="s">
        <v>9473</v>
      </c>
      <c r="E4630" t="s">
        <v>9474</v>
      </c>
      <c r="J4630" t="s">
        <v>133</v>
      </c>
      <c r="K4630" t="s">
        <v>134</v>
      </c>
      <c r="L4630">
        <v>6</v>
      </c>
      <c r="M4630" t="s">
        <v>19464</v>
      </c>
      <c r="N4630" t="s">
        <v>685</v>
      </c>
      <c r="O4630" t="s">
        <v>9477</v>
      </c>
      <c r="P4630" t="s">
        <v>9477</v>
      </c>
      <c r="Y4630" t="s">
        <v>19470</v>
      </c>
    </row>
    <row r="4631" spans="1:25">
      <c r="A4631" t="s">
        <v>19471</v>
      </c>
      <c r="B4631" t="s">
        <v>19472</v>
      </c>
      <c r="D4631" t="s">
        <v>9473</v>
      </c>
      <c r="E4631" t="s">
        <v>9474</v>
      </c>
      <c r="J4631" t="s">
        <v>90</v>
      </c>
      <c r="K4631" t="s">
        <v>91</v>
      </c>
      <c r="L4631">
        <v>6</v>
      </c>
      <c r="M4631" t="s">
        <v>19473</v>
      </c>
      <c r="N4631" t="s">
        <v>47</v>
      </c>
      <c r="O4631" t="s">
        <v>9477</v>
      </c>
      <c r="P4631" t="s">
        <v>9477</v>
      </c>
      <c r="Y4631" t="s">
        <v>19474</v>
      </c>
    </row>
    <row r="4632" spans="1:25">
      <c r="A4632" t="s">
        <v>19475</v>
      </c>
      <c r="B4632" t="s">
        <v>19476</v>
      </c>
      <c r="D4632" t="s">
        <v>9473</v>
      </c>
      <c r="E4632" t="s">
        <v>9474</v>
      </c>
      <c r="J4632" t="s">
        <v>90</v>
      </c>
      <c r="K4632" t="s">
        <v>91</v>
      </c>
      <c r="L4632">
        <v>6</v>
      </c>
      <c r="M4632" t="s">
        <v>19477</v>
      </c>
      <c r="N4632" t="s">
        <v>47</v>
      </c>
      <c r="O4632" t="s">
        <v>9477</v>
      </c>
      <c r="P4632" t="s">
        <v>9477</v>
      </c>
      <c r="Y4632" t="s">
        <v>19478</v>
      </c>
    </row>
    <row r="4633" spans="1:25">
      <c r="A4633" t="s">
        <v>19479</v>
      </c>
      <c r="B4633" t="s">
        <v>19480</v>
      </c>
      <c r="D4633" t="s">
        <v>9473</v>
      </c>
      <c r="E4633" t="s">
        <v>9474</v>
      </c>
      <c r="J4633" t="s">
        <v>78</v>
      </c>
      <c r="K4633" t="s">
        <v>79</v>
      </c>
      <c r="L4633">
        <v>6</v>
      </c>
      <c r="M4633" t="s">
        <v>19481</v>
      </c>
      <c r="N4633" t="s">
        <v>47</v>
      </c>
      <c r="O4633" t="s">
        <v>9477</v>
      </c>
      <c r="P4633" t="s">
        <v>9477</v>
      </c>
      <c r="Y4633" t="s">
        <v>19482</v>
      </c>
    </row>
    <row r="4634" spans="1:25">
      <c r="A4634" t="s">
        <v>19483</v>
      </c>
      <c r="B4634" t="s">
        <v>19484</v>
      </c>
      <c r="D4634" t="s">
        <v>9473</v>
      </c>
      <c r="E4634" t="s">
        <v>9474</v>
      </c>
      <c r="J4634" t="s">
        <v>133</v>
      </c>
      <c r="K4634" t="s">
        <v>134</v>
      </c>
      <c r="L4634">
        <v>6</v>
      </c>
      <c r="M4634" t="s">
        <v>19485</v>
      </c>
      <c r="N4634" t="s">
        <v>685</v>
      </c>
      <c r="O4634" t="s">
        <v>9477</v>
      </c>
      <c r="P4634" t="s">
        <v>9477</v>
      </c>
      <c r="Y4634" t="s">
        <v>19486</v>
      </c>
    </row>
    <row r="4635" spans="1:25">
      <c r="A4635" t="s">
        <v>19487</v>
      </c>
      <c r="B4635" t="s">
        <v>19488</v>
      </c>
      <c r="D4635" t="s">
        <v>9473</v>
      </c>
      <c r="E4635" t="s">
        <v>9474</v>
      </c>
      <c r="J4635" t="s">
        <v>90</v>
      </c>
      <c r="K4635" t="s">
        <v>91</v>
      </c>
      <c r="L4635">
        <v>6</v>
      </c>
      <c r="M4635" t="s">
        <v>19489</v>
      </c>
      <c r="N4635" t="s">
        <v>47</v>
      </c>
      <c r="O4635" t="s">
        <v>9477</v>
      </c>
      <c r="P4635" t="s">
        <v>9477</v>
      </c>
      <c r="Y4635" t="s">
        <v>19490</v>
      </c>
    </row>
    <row r="4636" spans="1:25">
      <c r="A4636" t="s">
        <v>19491</v>
      </c>
      <c r="B4636" t="s">
        <v>19492</v>
      </c>
      <c r="D4636" t="s">
        <v>9473</v>
      </c>
      <c r="E4636" t="s">
        <v>9474</v>
      </c>
      <c r="J4636" t="s">
        <v>353</v>
      </c>
      <c r="K4636" t="s">
        <v>354</v>
      </c>
      <c r="L4636">
        <v>6</v>
      </c>
      <c r="M4636" t="s">
        <v>19489</v>
      </c>
      <c r="N4636" t="s">
        <v>290</v>
      </c>
      <c r="O4636" t="s">
        <v>9477</v>
      </c>
      <c r="P4636" t="s">
        <v>9477</v>
      </c>
      <c r="Y4636" t="s">
        <v>19493</v>
      </c>
    </row>
    <row r="4637" spans="1:25">
      <c r="A4637" t="s">
        <v>19494</v>
      </c>
      <c r="B4637" t="s">
        <v>19495</v>
      </c>
      <c r="D4637" t="s">
        <v>9473</v>
      </c>
      <c r="E4637" t="s">
        <v>9474</v>
      </c>
      <c r="J4637" t="s">
        <v>44</v>
      </c>
      <c r="K4637" t="s">
        <v>45</v>
      </c>
      <c r="L4637">
        <v>6</v>
      </c>
      <c r="M4637" t="s">
        <v>19496</v>
      </c>
      <c r="N4637" t="s">
        <v>47</v>
      </c>
      <c r="O4637" t="s">
        <v>9477</v>
      </c>
      <c r="P4637" t="s">
        <v>9477</v>
      </c>
      <c r="Y4637" t="s">
        <v>19497</v>
      </c>
    </row>
    <row r="4638" spans="1:25">
      <c r="A4638" t="s">
        <v>19498</v>
      </c>
      <c r="B4638" t="s">
        <v>19499</v>
      </c>
      <c r="D4638" t="s">
        <v>9473</v>
      </c>
      <c r="E4638" t="s">
        <v>9474</v>
      </c>
      <c r="H4638" t="s">
        <v>19500</v>
      </c>
      <c r="J4638" t="s">
        <v>78</v>
      </c>
      <c r="K4638" t="s">
        <v>79</v>
      </c>
      <c r="L4638">
        <v>6</v>
      </c>
      <c r="M4638" t="s">
        <v>19501</v>
      </c>
      <c r="N4638" t="s">
        <v>47</v>
      </c>
      <c r="O4638" t="s">
        <v>9477</v>
      </c>
      <c r="P4638" t="s">
        <v>9477</v>
      </c>
      <c r="Y4638" t="s">
        <v>19500</v>
      </c>
    </row>
    <row r="4639" spans="1:25">
      <c r="A4639" t="s">
        <v>19502</v>
      </c>
      <c r="B4639" t="s">
        <v>19503</v>
      </c>
      <c r="D4639" t="s">
        <v>9473</v>
      </c>
      <c r="E4639" t="s">
        <v>9474</v>
      </c>
      <c r="H4639" t="s">
        <v>19504</v>
      </c>
      <c r="J4639" t="s">
        <v>90</v>
      </c>
      <c r="K4639" t="s">
        <v>91</v>
      </c>
      <c r="L4639">
        <v>6</v>
      </c>
      <c r="M4639" t="s">
        <v>19501</v>
      </c>
      <c r="N4639" t="s">
        <v>47</v>
      </c>
      <c r="O4639" t="s">
        <v>9477</v>
      </c>
      <c r="P4639" t="s">
        <v>9477</v>
      </c>
      <c r="Y4639" t="s">
        <v>19504</v>
      </c>
    </row>
    <row r="4640" spans="1:25">
      <c r="A4640" t="s">
        <v>19505</v>
      </c>
      <c r="B4640" t="s">
        <v>19506</v>
      </c>
      <c r="D4640" t="s">
        <v>9473</v>
      </c>
      <c r="E4640" t="s">
        <v>9474</v>
      </c>
      <c r="H4640" t="s">
        <v>19507</v>
      </c>
      <c r="J4640" t="s">
        <v>133</v>
      </c>
      <c r="K4640" t="s">
        <v>134</v>
      </c>
      <c r="L4640">
        <v>6</v>
      </c>
      <c r="M4640" t="s">
        <v>19508</v>
      </c>
      <c r="N4640" t="s">
        <v>135</v>
      </c>
      <c r="O4640" t="s">
        <v>9477</v>
      </c>
      <c r="P4640" t="s">
        <v>9477</v>
      </c>
      <c r="Y4640" t="s">
        <v>19507</v>
      </c>
    </row>
    <row r="4641" spans="1:25">
      <c r="A4641" t="s">
        <v>19509</v>
      </c>
      <c r="B4641" t="s">
        <v>19510</v>
      </c>
      <c r="D4641" t="s">
        <v>9473</v>
      </c>
      <c r="E4641" t="s">
        <v>9474</v>
      </c>
      <c r="J4641" t="s">
        <v>44</v>
      </c>
      <c r="K4641" t="s">
        <v>45</v>
      </c>
      <c r="L4641">
        <v>6</v>
      </c>
      <c r="M4641" t="s">
        <v>19511</v>
      </c>
      <c r="N4641" t="s">
        <v>47</v>
      </c>
      <c r="O4641" t="s">
        <v>9477</v>
      </c>
      <c r="P4641" t="s">
        <v>9477</v>
      </c>
      <c r="Y4641" t="s">
        <v>19512</v>
      </c>
    </row>
    <row r="4642" spans="1:25">
      <c r="A4642" t="s">
        <v>19513</v>
      </c>
      <c r="B4642" t="s">
        <v>19514</v>
      </c>
      <c r="D4642" t="s">
        <v>9473</v>
      </c>
      <c r="E4642" t="s">
        <v>9474</v>
      </c>
      <c r="J4642" t="s">
        <v>90</v>
      </c>
      <c r="K4642" t="s">
        <v>91</v>
      </c>
      <c r="L4642">
        <v>6</v>
      </c>
      <c r="M4642" t="s">
        <v>19515</v>
      </c>
      <c r="N4642" t="s">
        <v>47</v>
      </c>
      <c r="O4642" t="s">
        <v>9477</v>
      </c>
      <c r="P4642" t="s">
        <v>9477</v>
      </c>
      <c r="Y4642" t="s">
        <v>19516</v>
      </c>
    </row>
    <row r="4643" spans="1:25">
      <c r="A4643" t="s">
        <v>19517</v>
      </c>
      <c r="B4643" t="s">
        <v>19518</v>
      </c>
      <c r="D4643" t="s">
        <v>9473</v>
      </c>
      <c r="E4643" t="s">
        <v>9474</v>
      </c>
      <c r="J4643" t="s">
        <v>44</v>
      </c>
      <c r="K4643" t="s">
        <v>45</v>
      </c>
      <c r="L4643">
        <v>6</v>
      </c>
      <c r="M4643" t="s">
        <v>19519</v>
      </c>
      <c r="N4643" t="s">
        <v>47</v>
      </c>
      <c r="O4643" t="s">
        <v>9477</v>
      </c>
      <c r="P4643" t="s">
        <v>9477</v>
      </c>
      <c r="Y4643" t="s">
        <v>19520</v>
      </c>
    </row>
    <row r="4644" spans="1:25">
      <c r="A4644" t="s">
        <v>19521</v>
      </c>
      <c r="B4644" t="s">
        <v>19522</v>
      </c>
      <c r="D4644" t="s">
        <v>9473</v>
      </c>
      <c r="E4644" t="s">
        <v>9474</v>
      </c>
      <c r="J4644" t="s">
        <v>1827</v>
      </c>
      <c r="K4644" t="s">
        <v>1828</v>
      </c>
      <c r="L4644">
        <v>6</v>
      </c>
      <c r="M4644" t="s">
        <v>19519</v>
      </c>
      <c r="N4644" t="s">
        <v>47</v>
      </c>
      <c r="O4644" t="s">
        <v>9477</v>
      </c>
      <c r="P4644" t="s">
        <v>9477</v>
      </c>
      <c r="Y4644" t="s">
        <v>19523</v>
      </c>
    </row>
    <row r="4645" spans="1:25">
      <c r="A4645" t="s">
        <v>19524</v>
      </c>
      <c r="B4645" t="s">
        <v>19525</v>
      </c>
      <c r="D4645" t="s">
        <v>9473</v>
      </c>
      <c r="E4645" t="s">
        <v>9474</v>
      </c>
      <c r="H4645" t="s">
        <v>19526</v>
      </c>
      <c r="J4645" t="s">
        <v>90</v>
      </c>
      <c r="K4645" t="s">
        <v>91</v>
      </c>
      <c r="L4645">
        <v>6</v>
      </c>
      <c r="M4645" t="s">
        <v>19527</v>
      </c>
      <c r="N4645" t="s">
        <v>47</v>
      </c>
      <c r="O4645" t="s">
        <v>9477</v>
      </c>
      <c r="P4645" t="s">
        <v>9477</v>
      </c>
      <c r="Y4645" t="s">
        <v>19526</v>
      </c>
    </row>
    <row r="4646" spans="1:25">
      <c r="A4646" t="s">
        <v>19528</v>
      </c>
      <c r="B4646" t="s">
        <v>19529</v>
      </c>
      <c r="D4646" t="s">
        <v>9473</v>
      </c>
      <c r="E4646" t="s">
        <v>9474</v>
      </c>
      <c r="J4646" t="s">
        <v>90</v>
      </c>
      <c r="K4646" t="s">
        <v>91</v>
      </c>
      <c r="L4646">
        <v>6</v>
      </c>
      <c r="M4646" t="s">
        <v>19530</v>
      </c>
      <c r="N4646" t="s">
        <v>47</v>
      </c>
      <c r="O4646" t="s">
        <v>9477</v>
      </c>
      <c r="P4646" t="s">
        <v>9477</v>
      </c>
      <c r="Y4646" t="s">
        <v>19531</v>
      </c>
    </row>
    <row r="4647" spans="1:25">
      <c r="A4647" t="s">
        <v>19532</v>
      </c>
      <c r="B4647" t="s">
        <v>19533</v>
      </c>
      <c r="D4647" t="s">
        <v>9473</v>
      </c>
      <c r="E4647" t="s">
        <v>9474</v>
      </c>
      <c r="H4647" t="s">
        <v>19534</v>
      </c>
      <c r="J4647" t="s">
        <v>90</v>
      </c>
      <c r="K4647" t="s">
        <v>91</v>
      </c>
      <c r="L4647">
        <v>6</v>
      </c>
      <c r="M4647" t="s">
        <v>19535</v>
      </c>
      <c r="N4647" t="s">
        <v>47</v>
      </c>
      <c r="O4647" t="s">
        <v>9477</v>
      </c>
      <c r="P4647" t="s">
        <v>9477</v>
      </c>
      <c r="Y4647" t="s">
        <v>19534</v>
      </c>
    </row>
    <row r="4648" spans="1:25">
      <c r="A4648" t="s">
        <v>19536</v>
      </c>
      <c r="B4648" t="s">
        <v>19537</v>
      </c>
      <c r="D4648" t="s">
        <v>9473</v>
      </c>
      <c r="E4648" t="s">
        <v>9474</v>
      </c>
      <c r="J4648" t="s">
        <v>54</v>
      </c>
      <c r="K4648" t="s">
        <v>55</v>
      </c>
      <c r="L4648">
        <v>6</v>
      </c>
      <c r="M4648" t="s">
        <v>19535</v>
      </c>
      <c r="N4648" t="s">
        <v>47</v>
      </c>
      <c r="O4648" t="s">
        <v>9477</v>
      </c>
      <c r="P4648" t="s">
        <v>9477</v>
      </c>
      <c r="Y4648" t="s">
        <v>19538</v>
      </c>
    </row>
    <row r="4649" spans="1:25">
      <c r="A4649" t="s">
        <v>19539</v>
      </c>
      <c r="B4649" t="s">
        <v>19540</v>
      </c>
      <c r="D4649" t="s">
        <v>9473</v>
      </c>
      <c r="E4649" t="s">
        <v>9474</v>
      </c>
      <c r="J4649" t="s">
        <v>133</v>
      </c>
      <c r="K4649" t="s">
        <v>134</v>
      </c>
      <c r="L4649">
        <v>6</v>
      </c>
      <c r="M4649" t="s">
        <v>19541</v>
      </c>
      <c r="N4649" t="s">
        <v>290</v>
      </c>
      <c r="O4649" t="s">
        <v>9477</v>
      </c>
      <c r="P4649" t="s">
        <v>9477</v>
      </c>
      <c r="Y4649" t="s">
        <v>19542</v>
      </c>
    </row>
    <row r="4650" spans="1:25">
      <c r="A4650" t="s">
        <v>19543</v>
      </c>
      <c r="B4650" t="s">
        <v>19544</v>
      </c>
      <c r="D4650" t="s">
        <v>9473</v>
      </c>
      <c r="E4650" t="s">
        <v>9474</v>
      </c>
      <c r="J4650" t="s">
        <v>90</v>
      </c>
      <c r="K4650" t="s">
        <v>91</v>
      </c>
      <c r="L4650">
        <v>6</v>
      </c>
      <c r="M4650" t="s">
        <v>19541</v>
      </c>
      <c r="N4650" t="s">
        <v>47</v>
      </c>
      <c r="O4650" t="s">
        <v>9477</v>
      </c>
      <c r="P4650" t="s">
        <v>9477</v>
      </c>
      <c r="Y4650" t="s">
        <v>19545</v>
      </c>
    </row>
    <row r="4651" spans="1:25">
      <c r="A4651" t="s">
        <v>19546</v>
      </c>
      <c r="B4651" t="s">
        <v>19547</v>
      </c>
      <c r="D4651" t="s">
        <v>9473</v>
      </c>
      <c r="E4651" t="s">
        <v>9474</v>
      </c>
      <c r="J4651" t="s">
        <v>44</v>
      </c>
      <c r="K4651" t="s">
        <v>45</v>
      </c>
      <c r="L4651">
        <v>6</v>
      </c>
      <c r="M4651" t="s">
        <v>19548</v>
      </c>
      <c r="N4651" t="s">
        <v>47</v>
      </c>
      <c r="O4651" t="s">
        <v>9477</v>
      </c>
      <c r="P4651" t="s">
        <v>9477</v>
      </c>
      <c r="Y4651" t="s">
        <v>19549</v>
      </c>
    </row>
    <row r="4652" spans="1:25">
      <c r="A4652" t="s">
        <v>19550</v>
      </c>
      <c r="B4652" t="s">
        <v>19551</v>
      </c>
      <c r="D4652" t="s">
        <v>9473</v>
      </c>
      <c r="E4652" t="s">
        <v>9474</v>
      </c>
      <c r="H4652" t="s">
        <v>19552</v>
      </c>
      <c r="J4652" t="s">
        <v>44</v>
      </c>
      <c r="K4652" t="s">
        <v>45</v>
      </c>
      <c r="L4652">
        <v>6</v>
      </c>
      <c r="M4652" t="s">
        <v>19553</v>
      </c>
      <c r="N4652" t="s">
        <v>47</v>
      </c>
      <c r="O4652" t="s">
        <v>9477</v>
      </c>
      <c r="P4652" t="s">
        <v>9477</v>
      </c>
      <c r="Y4652" t="s">
        <v>19552</v>
      </c>
    </row>
    <row r="4653" spans="1:25">
      <c r="A4653" t="s">
        <v>19554</v>
      </c>
      <c r="B4653" t="s">
        <v>19555</v>
      </c>
      <c r="D4653" t="s">
        <v>9473</v>
      </c>
      <c r="E4653" t="s">
        <v>9474</v>
      </c>
      <c r="J4653" t="s">
        <v>371</v>
      </c>
      <c r="K4653" t="s">
        <v>372</v>
      </c>
      <c r="L4653">
        <v>6</v>
      </c>
      <c r="M4653" t="s">
        <v>19556</v>
      </c>
      <c r="N4653" t="s">
        <v>47</v>
      </c>
      <c r="O4653" t="s">
        <v>9477</v>
      </c>
      <c r="P4653" t="s">
        <v>9477</v>
      </c>
      <c r="Y4653" t="s">
        <v>19557</v>
      </c>
    </row>
    <row r="4654" spans="1:25">
      <c r="A4654" t="s">
        <v>19558</v>
      </c>
      <c r="B4654" t="s">
        <v>19559</v>
      </c>
      <c r="D4654" t="s">
        <v>9473</v>
      </c>
      <c r="E4654" t="s">
        <v>9474</v>
      </c>
      <c r="J4654" t="s">
        <v>90</v>
      </c>
      <c r="K4654" t="s">
        <v>91</v>
      </c>
      <c r="L4654">
        <v>6</v>
      </c>
      <c r="M4654" t="s">
        <v>19556</v>
      </c>
      <c r="N4654" t="s">
        <v>47</v>
      </c>
      <c r="O4654" t="s">
        <v>9477</v>
      </c>
      <c r="P4654" t="s">
        <v>9477</v>
      </c>
      <c r="Y4654" t="s">
        <v>19560</v>
      </c>
    </row>
    <row r="4655" spans="1:25">
      <c r="A4655" t="s">
        <v>19561</v>
      </c>
      <c r="B4655" t="s">
        <v>19562</v>
      </c>
      <c r="D4655" t="s">
        <v>9473</v>
      </c>
      <c r="E4655" t="s">
        <v>9474</v>
      </c>
      <c r="J4655" t="s">
        <v>90</v>
      </c>
      <c r="K4655" t="s">
        <v>91</v>
      </c>
      <c r="L4655">
        <v>6</v>
      </c>
      <c r="M4655" t="s">
        <v>19563</v>
      </c>
      <c r="N4655" t="s">
        <v>47</v>
      </c>
      <c r="O4655" t="s">
        <v>9477</v>
      </c>
      <c r="P4655" t="s">
        <v>9477</v>
      </c>
      <c r="Y4655" t="s">
        <v>19564</v>
      </c>
    </row>
    <row r="4656" spans="1:25">
      <c r="A4656" t="s">
        <v>19565</v>
      </c>
      <c r="B4656" t="s">
        <v>19566</v>
      </c>
      <c r="D4656" t="s">
        <v>9473</v>
      </c>
      <c r="E4656" t="s">
        <v>9474</v>
      </c>
      <c r="J4656" t="s">
        <v>90</v>
      </c>
      <c r="K4656" t="s">
        <v>91</v>
      </c>
      <c r="L4656">
        <v>6</v>
      </c>
      <c r="M4656" t="s">
        <v>19567</v>
      </c>
      <c r="N4656" t="s">
        <v>47</v>
      </c>
      <c r="O4656" t="s">
        <v>9477</v>
      </c>
      <c r="P4656" t="s">
        <v>9477</v>
      </c>
      <c r="Y4656" t="s">
        <v>19568</v>
      </c>
    </row>
    <row r="4657" spans="1:25">
      <c r="A4657" t="s">
        <v>19569</v>
      </c>
      <c r="B4657" t="s">
        <v>19570</v>
      </c>
      <c r="D4657" t="s">
        <v>9473</v>
      </c>
      <c r="E4657" t="s">
        <v>9474</v>
      </c>
      <c r="H4657" t="s">
        <v>19571</v>
      </c>
      <c r="J4657" t="s">
        <v>133</v>
      </c>
      <c r="K4657" t="s">
        <v>134</v>
      </c>
      <c r="L4657">
        <v>6</v>
      </c>
      <c r="M4657" t="s">
        <v>19572</v>
      </c>
      <c r="N4657" t="s">
        <v>685</v>
      </c>
      <c r="O4657" t="s">
        <v>9477</v>
      </c>
      <c r="P4657" t="s">
        <v>9477</v>
      </c>
      <c r="Y4657" t="s">
        <v>19571</v>
      </c>
    </row>
    <row r="4658" spans="1:25">
      <c r="A4658" t="s">
        <v>19573</v>
      </c>
      <c r="B4658" t="s">
        <v>19574</v>
      </c>
      <c r="D4658" t="s">
        <v>9473</v>
      </c>
      <c r="E4658" t="s">
        <v>9474</v>
      </c>
      <c r="J4658" t="s">
        <v>90</v>
      </c>
      <c r="K4658" t="s">
        <v>91</v>
      </c>
      <c r="L4658">
        <v>6</v>
      </c>
      <c r="M4658" t="s">
        <v>19575</v>
      </c>
      <c r="N4658" t="s">
        <v>47</v>
      </c>
      <c r="O4658" t="s">
        <v>9477</v>
      </c>
      <c r="P4658" t="s">
        <v>9477</v>
      </c>
      <c r="Y4658" t="s">
        <v>19576</v>
      </c>
    </row>
    <row r="4659" spans="1:25">
      <c r="A4659" t="s">
        <v>19577</v>
      </c>
      <c r="B4659" t="s">
        <v>19578</v>
      </c>
      <c r="D4659" t="s">
        <v>9473</v>
      </c>
      <c r="E4659" t="s">
        <v>9474</v>
      </c>
      <c r="J4659" t="s">
        <v>90</v>
      </c>
      <c r="K4659" t="s">
        <v>91</v>
      </c>
      <c r="L4659">
        <v>6</v>
      </c>
      <c r="M4659" t="s">
        <v>19575</v>
      </c>
      <c r="N4659" t="s">
        <v>47</v>
      </c>
      <c r="O4659" t="s">
        <v>9477</v>
      </c>
      <c r="P4659" t="s">
        <v>9477</v>
      </c>
      <c r="Y4659" t="s">
        <v>19579</v>
      </c>
    </row>
    <row r="4660" spans="1:25">
      <c r="A4660" t="s">
        <v>19580</v>
      </c>
      <c r="B4660" t="s">
        <v>19581</v>
      </c>
      <c r="D4660" t="s">
        <v>9473</v>
      </c>
      <c r="E4660" t="s">
        <v>9474</v>
      </c>
      <c r="H4660" t="s">
        <v>19582</v>
      </c>
      <c r="J4660" t="s">
        <v>133</v>
      </c>
      <c r="K4660" t="s">
        <v>134</v>
      </c>
      <c r="L4660">
        <v>6</v>
      </c>
      <c r="M4660" t="s">
        <v>19575</v>
      </c>
      <c r="N4660" t="s">
        <v>685</v>
      </c>
      <c r="O4660" t="s">
        <v>9477</v>
      </c>
      <c r="P4660" t="s">
        <v>9477</v>
      </c>
      <c r="Y4660" t="s">
        <v>19582</v>
      </c>
    </row>
    <row r="4661" spans="1:25">
      <c r="A4661" t="s">
        <v>19583</v>
      </c>
      <c r="B4661" t="s">
        <v>19584</v>
      </c>
      <c r="D4661" t="s">
        <v>9473</v>
      </c>
      <c r="E4661" t="s">
        <v>9474</v>
      </c>
      <c r="H4661" t="s">
        <v>19585</v>
      </c>
      <c r="J4661" t="s">
        <v>90</v>
      </c>
      <c r="K4661" t="s">
        <v>91</v>
      </c>
      <c r="L4661">
        <v>6</v>
      </c>
      <c r="M4661" t="s">
        <v>19575</v>
      </c>
      <c r="N4661" t="s">
        <v>47</v>
      </c>
      <c r="O4661" t="s">
        <v>9477</v>
      </c>
      <c r="P4661" t="s">
        <v>9477</v>
      </c>
      <c r="Y4661" t="s">
        <v>19585</v>
      </c>
    </row>
    <row r="4662" spans="1:25">
      <c r="A4662" t="s">
        <v>19586</v>
      </c>
      <c r="B4662" t="s">
        <v>19587</v>
      </c>
      <c r="D4662" t="s">
        <v>9473</v>
      </c>
      <c r="E4662" t="s">
        <v>9474</v>
      </c>
      <c r="H4662" t="s">
        <v>19588</v>
      </c>
      <c r="J4662" t="s">
        <v>234</v>
      </c>
      <c r="K4662" t="s">
        <v>235</v>
      </c>
      <c r="L4662">
        <v>6</v>
      </c>
      <c r="M4662" t="s">
        <v>19589</v>
      </c>
      <c r="N4662" t="s">
        <v>47</v>
      </c>
      <c r="O4662" t="s">
        <v>9477</v>
      </c>
      <c r="P4662" t="s">
        <v>9477</v>
      </c>
      <c r="Y4662" t="s">
        <v>19588</v>
      </c>
    </row>
    <row r="4663" spans="1:25">
      <c r="A4663" t="s">
        <v>19590</v>
      </c>
      <c r="B4663" t="s">
        <v>19591</v>
      </c>
      <c r="D4663" t="s">
        <v>9473</v>
      </c>
      <c r="E4663" t="s">
        <v>9474</v>
      </c>
      <c r="H4663" t="s">
        <v>19592</v>
      </c>
      <c r="J4663" t="s">
        <v>234</v>
      </c>
      <c r="K4663" t="s">
        <v>235</v>
      </c>
      <c r="L4663">
        <v>6</v>
      </c>
      <c r="M4663" t="s">
        <v>19593</v>
      </c>
      <c r="N4663" t="s">
        <v>47</v>
      </c>
      <c r="O4663" t="s">
        <v>9477</v>
      </c>
      <c r="P4663" t="s">
        <v>9477</v>
      </c>
      <c r="Y4663" t="s">
        <v>19592</v>
      </c>
    </row>
    <row r="4664" spans="1:25">
      <c r="A4664" t="s">
        <v>19594</v>
      </c>
      <c r="B4664" t="s">
        <v>19595</v>
      </c>
      <c r="D4664" t="s">
        <v>9473</v>
      </c>
      <c r="E4664" t="s">
        <v>9474</v>
      </c>
      <c r="J4664" t="s">
        <v>90</v>
      </c>
      <c r="K4664" t="s">
        <v>91</v>
      </c>
      <c r="L4664">
        <v>6</v>
      </c>
      <c r="M4664" t="s">
        <v>19596</v>
      </c>
      <c r="N4664" t="s">
        <v>47</v>
      </c>
      <c r="O4664" t="s">
        <v>9477</v>
      </c>
      <c r="P4664" t="s">
        <v>9477</v>
      </c>
      <c r="Y4664" t="s">
        <v>19597</v>
      </c>
    </row>
    <row r="4665" spans="1:25">
      <c r="A4665" t="s">
        <v>19598</v>
      </c>
      <c r="B4665" t="s">
        <v>19599</v>
      </c>
      <c r="D4665" t="s">
        <v>9473</v>
      </c>
      <c r="E4665" t="s">
        <v>9474</v>
      </c>
      <c r="J4665" t="s">
        <v>44</v>
      </c>
      <c r="K4665" t="s">
        <v>45</v>
      </c>
      <c r="L4665">
        <v>6</v>
      </c>
      <c r="M4665" t="s">
        <v>19600</v>
      </c>
      <c r="N4665" t="s">
        <v>47</v>
      </c>
      <c r="O4665" t="s">
        <v>9477</v>
      </c>
      <c r="P4665" t="s">
        <v>9477</v>
      </c>
      <c r="Y4665" t="s">
        <v>19601</v>
      </c>
    </row>
    <row r="4666" spans="1:25">
      <c r="A4666" t="s">
        <v>19602</v>
      </c>
      <c r="B4666" t="s">
        <v>19603</v>
      </c>
      <c r="D4666" t="s">
        <v>9473</v>
      </c>
      <c r="E4666" t="s">
        <v>9474</v>
      </c>
      <c r="J4666" t="s">
        <v>78</v>
      </c>
      <c r="K4666" t="s">
        <v>79</v>
      </c>
      <c r="L4666">
        <v>6</v>
      </c>
      <c r="M4666" t="s">
        <v>19604</v>
      </c>
      <c r="N4666" t="s">
        <v>47</v>
      </c>
      <c r="O4666" t="s">
        <v>9477</v>
      </c>
      <c r="P4666" t="s">
        <v>9477</v>
      </c>
      <c r="Y4666" t="s">
        <v>19605</v>
      </c>
    </row>
    <row r="4667" spans="1:25">
      <c r="A4667" t="s">
        <v>19606</v>
      </c>
      <c r="B4667" t="s">
        <v>19607</v>
      </c>
      <c r="D4667" t="s">
        <v>9473</v>
      </c>
      <c r="E4667" t="s">
        <v>9474</v>
      </c>
      <c r="J4667" t="s">
        <v>44</v>
      </c>
      <c r="K4667" t="s">
        <v>45</v>
      </c>
      <c r="L4667">
        <v>6</v>
      </c>
      <c r="M4667" t="s">
        <v>19604</v>
      </c>
      <c r="N4667" t="s">
        <v>47</v>
      </c>
      <c r="O4667" t="s">
        <v>9477</v>
      </c>
      <c r="P4667" t="s">
        <v>9477</v>
      </c>
      <c r="Y4667" t="s">
        <v>19608</v>
      </c>
    </row>
    <row r="4668" spans="1:25">
      <c r="A4668" t="s">
        <v>19609</v>
      </c>
      <c r="B4668" t="s">
        <v>19610</v>
      </c>
      <c r="D4668" t="s">
        <v>9473</v>
      </c>
      <c r="E4668" t="s">
        <v>9474</v>
      </c>
      <c r="J4668" t="s">
        <v>133</v>
      </c>
      <c r="K4668" t="s">
        <v>134</v>
      </c>
      <c r="L4668">
        <v>6</v>
      </c>
      <c r="M4668" t="s">
        <v>19611</v>
      </c>
      <c r="N4668" t="s">
        <v>135</v>
      </c>
      <c r="O4668" t="s">
        <v>9477</v>
      </c>
      <c r="P4668" t="s">
        <v>9477</v>
      </c>
      <c r="Y4668" t="s">
        <v>19612</v>
      </c>
    </row>
    <row r="4669" spans="1:25">
      <c r="A4669" t="s">
        <v>19613</v>
      </c>
      <c r="B4669" t="s">
        <v>19614</v>
      </c>
      <c r="D4669" t="s">
        <v>9473</v>
      </c>
      <c r="E4669" t="s">
        <v>9474</v>
      </c>
      <c r="H4669" t="s">
        <v>19615</v>
      </c>
      <c r="J4669" t="s">
        <v>133</v>
      </c>
      <c r="K4669" t="s">
        <v>134</v>
      </c>
      <c r="L4669">
        <v>6</v>
      </c>
      <c r="M4669" t="s">
        <v>19616</v>
      </c>
      <c r="N4669" t="s">
        <v>290</v>
      </c>
      <c r="O4669" t="s">
        <v>9477</v>
      </c>
      <c r="P4669" t="s">
        <v>9477</v>
      </c>
      <c r="Y4669" t="s">
        <v>19615</v>
      </c>
    </row>
    <row r="4670" spans="1:25">
      <c r="A4670" t="s">
        <v>19617</v>
      </c>
      <c r="B4670" t="s">
        <v>19618</v>
      </c>
      <c r="D4670" t="s">
        <v>9473</v>
      </c>
      <c r="E4670" t="s">
        <v>9474</v>
      </c>
      <c r="J4670" t="s">
        <v>44</v>
      </c>
      <c r="K4670" t="s">
        <v>45</v>
      </c>
      <c r="L4670">
        <v>6</v>
      </c>
      <c r="M4670" t="s">
        <v>19616</v>
      </c>
      <c r="N4670" t="s">
        <v>47</v>
      </c>
      <c r="O4670" t="s">
        <v>9477</v>
      </c>
      <c r="P4670" t="s">
        <v>9477</v>
      </c>
      <c r="Y4670" t="s">
        <v>19619</v>
      </c>
    </row>
    <row r="4671" spans="1:25">
      <c r="A4671" t="s">
        <v>19620</v>
      </c>
      <c r="B4671" t="s">
        <v>19621</v>
      </c>
      <c r="D4671" t="s">
        <v>9473</v>
      </c>
      <c r="E4671" t="s">
        <v>9474</v>
      </c>
      <c r="H4671" t="s">
        <v>19622</v>
      </c>
      <c r="J4671" t="s">
        <v>90</v>
      </c>
      <c r="K4671" t="s">
        <v>91</v>
      </c>
      <c r="L4671">
        <v>6</v>
      </c>
      <c r="M4671" t="s">
        <v>19616</v>
      </c>
      <c r="N4671" t="s">
        <v>47</v>
      </c>
      <c r="O4671" t="s">
        <v>9477</v>
      </c>
      <c r="P4671" t="s">
        <v>9477</v>
      </c>
      <c r="Y4671" t="s">
        <v>19622</v>
      </c>
    </row>
    <row r="4672" spans="1:25">
      <c r="A4672" t="s">
        <v>19623</v>
      </c>
      <c r="B4672" t="s">
        <v>19624</v>
      </c>
      <c r="D4672" t="s">
        <v>9473</v>
      </c>
      <c r="E4672" t="s">
        <v>9474</v>
      </c>
      <c r="H4672" t="s">
        <v>19625</v>
      </c>
      <c r="J4672" t="s">
        <v>78</v>
      </c>
      <c r="K4672" t="s">
        <v>79</v>
      </c>
      <c r="L4672">
        <v>6</v>
      </c>
      <c r="M4672" t="s">
        <v>19626</v>
      </c>
      <c r="N4672" t="s">
        <v>47</v>
      </c>
      <c r="O4672" t="s">
        <v>9477</v>
      </c>
      <c r="P4672" t="s">
        <v>9477</v>
      </c>
      <c r="Y4672" t="s">
        <v>19625</v>
      </c>
    </row>
    <row r="4673" spans="1:25">
      <c r="A4673" t="s">
        <v>19627</v>
      </c>
      <c r="B4673" t="s">
        <v>19628</v>
      </c>
      <c r="D4673" t="s">
        <v>9473</v>
      </c>
      <c r="E4673" t="s">
        <v>9474</v>
      </c>
      <c r="J4673" t="s">
        <v>371</v>
      </c>
      <c r="K4673" t="s">
        <v>372</v>
      </c>
      <c r="L4673">
        <v>6</v>
      </c>
      <c r="M4673" t="s">
        <v>19629</v>
      </c>
      <c r="N4673" t="s">
        <v>47</v>
      </c>
      <c r="O4673" t="s">
        <v>9477</v>
      </c>
      <c r="P4673" t="s">
        <v>9477</v>
      </c>
      <c r="Y4673" t="s">
        <v>19630</v>
      </c>
    </row>
    <row r="4674" spans="1:25">
      <c r="A4674" t="s">
        <v>19631</v>
      </c>
      <c r="B4674" t="s">
        <v>19632</v>
      </c>
      <c r="D4674" t="s">
        <v>9473</v>
      </c>
      <c r="E4674" t="s">
        <v>9474</v>
      </c>
      <c r="J4674" t="s">
        <v>44</v>
      </c>
      <c r="K4674" t="s">
        <v>45</v>
      </c>
      <c r="L4674">
        <v>6</v>
      </c>
      <c r="M4674" t="s">
        <v>19633</v>
      </c>
      <c r="N4674" t="s">
        <v>47</v>
      </c>
      <c r="O4674" t="s">
        <v>9477</v>
      </c>
      <c r="P4674" t="s">
        <v>9477</v>
      </c>
      <c r="Y4674" t="s">
        <v>19634</v>
      </c>
    </row>
    <row r="4675" spans="1:25">
      <c r="A4675" t="s">
        <v>19635</v>
      </c>
      <c r="B4675" t="s">
        <v>19636</v>
      </c>
      <c r="D4675" t="s">
        <v>9473</v>
      </c>
      <c r="E4675" t="s">
        <v>9474</v>
      </c>
      <c r="J4675" t="s">
        <v>44</v>
      </c>
      <c r="K4675" t="s">
        <v>45</v>
      </c>
      <c r="L4675">
        <v>6</v>
      </c>
      <c r="M4675" t="s">
        <v>19633</v>
      </c>
      <c r="N4675" t="s">
        <v>47</v>
      </c>
      <c r="O4675" t="s">
        <v>9477</v>
      </c>
      <c r="P4675" t="s">
        <v>9477</v>
      </c>
      <c r="Y4675" t="s">
        <v>19637</v>
      </c>
    </row>
    <row r="4676" spans="1:25">
      <c r="A4676" t="s">
        <v>19638</v>
      </c>
      <c r="B4676" t="s">
        <v>19639</v>
      </c>
      <c r="D4676" t="s">
        <v>9473</v>
      </c>
      <c r="E4676" t="s">
        <v>9474</v>
      </c>
      <c r="H4676" t="s">
        <v>19640</v>
      </c>
      <c r="J4676" t="s">
        <v>78</v>
      </c>
      <c r="K4676" t="s">
        <v>79</v>
      </c>
      <c r="L4676">
        <v>6</v>
      </c>
      <c r="M4676" t="s">
        <v>19641</v>
      </c>
      <c r="N4676" t="s">
        <v>47</v>
      </c>
      <c r="O4676" t="s">
        <v>9477</v>
      </c>
      <c r="P4676" t="s">
        <v>9477</v>
      </c>
      <c r="Y4676" t="s">
        <v>19640</v>
      </c>
    </row>
    <row r="4677" spans="1:25">
      <c r="A4677" t="s">
        <v>19642</v>
      </c>
      <c r="B4677" t="s">
        <v>19643</v>
      </c>
      <c r="D4677" t="s">
        <v>9473</v>
      </c>
      <c r="E4677" t="s">
        <v>9474</v>
      </c>
      <c r="H4677" t="s">
        <v>19644</v>
      </c>
      <c r="J4677" t="s">
        <v>497</v>
      </c>
      <c r="K4677" t="s">
        <v>498</v>
      </c>
      <c r="L4677">
        <v>7</v>
      </c>
      <c r="M4677" t="s">
        <v>19645</v>
      </c>
      <c r="N4677" t="s">
        <v>135</v>
      </c>
      <c r="O4677" t="s">
        <v>9477</v>
      </c>
      <c r="P4677" t="s">
        <v>9477</v>
      </c>
      <c r="Y4677" t="s">
        <v>19644</v>
      </c>
    </row>
    <row r="4678" spans="1:25">
      <c r="A4678" t="s">
        <v>19646</v>
      </c>
      <c r="B4678" t="s">
        <v>19647</v>
      </c>
      <c r="D4678" t="s">
        <v>9473</v>
      </c>
      <c r="E4678" t="s">
        <v>9474</v>
      </c>
      <c r="J4678" t="s">
        <v>44</v>
      </c>
      <c r="K4678" t="s">
        <v>45</v>
      </c>
      <c r="L4678">
        <v>6</v>
      </c>
      <c r="M4678" t="s">
        <v>19648</v>
      </c>
      <c r="N4678" t="s">
        <v>47</v>
      </c>
      <c r="O4678" t="s">
        <v>9477</v>
      </c>
      <c r="P4678" t="s">
        <v>9477</v>
      </c>
      <c r="Y4678" t="s">
        <v>19649</v>
      </c>
    </row>
    <row r="4679" spans="1:25">
      <c r="A4679" t="s">
        <v>19650</v>
      </c>
      <c r="B4679" t="s">
        <v>19651</v>
      </c>
      <c r="D4679" t="s">
        <v>9473</v>
      </c>
      <c r="E4679" t="s">
        <v>9474</v>
      </c>
      <c r="H4679" t="s">
        <v>19652</v>
      </c>
      <c r="J4679" t="s">
        <v>44</v>
      </c>
      <c r="K4679" t="s">
        <v>45</v>
      </c>
      <c r="L4679">
        <v>6</v>
      </c>
      <c r="M4679" t="s">
        <v>19648</v>
      </c>
      <c r="N4679" t="s">
        <v>47</v>
      </c>
      <c r="O4679" t="s">
        <v>9477</v>
      </c>
      <c r="P4679" t="s">
        <v>9477</v>
      </c>
      <c r="Y4679" t="s">
        <v>19652</v>
      </c>
    </row>
    <row r="4680" spans="1:25">
      <c r="A4680" t="s">
        <v>19653</v>
      </c>
      <c r="B4680" t="s">
        <v>19654</v>
      </c>
      <c r="D4680" t="s">
        <v>9473</v>
      </c>
      <c r="E4680" t="s">
        <v>9474</v>
      </c>
      <c r="J4680" t="s">
        <v>54</v>
      </c>
      <c r="K4680" t="s">
        <v>55</v>
      </c>
      <c r="L4680">
        <v>6</v>
      </c>
      <c r="M4680" t="s">
        <v>19648</v>
      </c>
      <c r="N4680" t="s">
        <v>47</v>
      </c>
      <c r="O4680" t="s">
        <v>9477</v>
      </c>
      <c r="P4680" t="s">
        <v>9477</v>
      </c>
      <c r="Y4680" t="s">
        <v>19655</v>
      </c>
    </row>
    <row r="4681" spans="1:25">
      <c r="A4681" t="s">
        <v>19656</v>
      </c>
      <c r="B4681" t="s">
        <v>19657</v>
      </c>
      <c r="D4681" t="s">
        <v>9473</v>
      </c>
      <c r="E4681" t="s">
        <v>9474</v>
      </c>
      <c r="J4681" t="s">
        <v>90</v>
      </c>
      <c r="K4681" t="s">
        <v>91</v>
      </c>
      <c r="L4681">
        <v>6</v>
      </c>
      <c r="M4681" t="s">
        <v>19648</v>
      </c>
      <c r="N4681" t="s">
        <v>47</v>
      </c>
      <c r="O4681" t="s">
        <v>9477</v>
      </c>
      <c r="P4681" t="s">
        <v>9477</v>
      </c>
      <c r="Y4681" t="s">
        <v>19658</v>
      </c>
    </row>
    <row r="4682" spans="1:25">
      <c r="A4682" t="s">
        <v>19659</v>
      </c>
      <c r="B4682" t="s">
        <v>19660</v>
      </c>
      <c r="D4682" t="s">
        <v>9473</v>
      </c>
      <c r="E4682" t="s">
        <v>9474</v>
      </c>
      <c r="J4682" t="s">
        <v>78</v>
      </c>
      <c r="K4682" t="s">
        <v>79</v>
      </c>
      <c r="L4682">
        <v>6</v>
      </c>
      <c r="M4682" t="s">
        <v>19661</v>
      </c>
      <c r="N4682" t="s">
        <v>47</v>
      </c>
      <c r="O4682" t="s">
        <v>9477</v>
      </c>
      <c r="P4682" t="s">
        <v>9477</v>
      </c>
      <c r="Y4682" t="s">
        <v>19662</v>
      </c>
    </row>
    <row r="4683" spans="1:25">
      <c r="A4683" t="s">
        <v>19663</v>
      </c>
      <c r="B4683" t="s">
        <v>19664</v>
      </c>
      <c r="D4683" t="s">
        <v>9473</v>
      </c>
      <c r="E4683" t="s">
        <v>9474</v>
      </c>
      <c r="J4683" t="s">
        <v>90</v>
      </c>
      <c r="K4683" t="s">
        <v>91</v>
      </c>
      <c r="L4683">
        <v>6</v>
      </c>
      <c r="M4683" t="s">
        <v>19661</v>
      </c>
      <c r="N4683" t="s">
        <v>47</v>
      </c>
      <c r="O4683" t="s">
        <v>9477</v>
      </c>
      <c r="P4683" t="s">
        <v>9477</v>
      </c>
      <c r="Y4683" t="s">
        <v>19665</v>
      </c>
    </row>
    <row r="4684" spans="1:25">
      <c r="A4684" t="s">
        <v>19666</v>
      </c>
      <c r="B4684" t="s">
        <v>19667</v>
      </c>
      <c r="D4684" t="s">
        <v>9473</v>
      </c>
      <c r="E4684" t="s">
        <v>9474</v>
      </c>
      <c r="H4684" t="s">
        <v>19668</v>
      </c>
      <c r="J4684" t="s">
        <v>133</v>
      </c>
      <c r="K4684" t="s">
        <v>134</v>
      </c>
      <c r="L4684">
        <v>6</v>
      </c>
      <c r="M4684" t="s">
        <v>19669</v>
      </c>
      <c r="N4684" t="s">
        <v>135</v>
      </c>
      <c r="O4684" t="s">
        <v>9477</v>
      </c>
      <c r="P4684" t="s">
        <v>9477</v>
      </c>
      <c r="Y4684" t="s">
        <v>19668</v>
      </c>
    </row>
    <row r="4685" spans="1:25">
      <c r="A4685" t="s">
        <v>19670</v>
      </c>
      <c r="B4685" t="s">
        <v>19671</v>
      </c>
      <c r="D4685" t="s">
        <v>9473</v>
      </c>
      <c r="E4685" t="s">
        <v>9474</v>
      </c>
      <c r="J4685" t="s">
        <v>371</v>
      </c>
      <c r="K4685" t="s">
        <v>372</v>
      </c>
      <c r="L4685">
        <v>6</v>
      </c>
      <c r="M4685" t="s">
        <v>19672</v>
      </c>
      <c r="N4685" t="s">
        <v>47</v>
      </c>
      <c r="O4685" t="s">
        <v>9477</v>
      </c>
      <c r="P4685" t="s">
        <v>9477</v>
      </c>
      <c r="Y4685" t="s">
        <v>19673</v>
      </c>
    </row>
    <row r="4686" spans="1:25">
      <c r="A4686" t="s">
        <v>19674</v>
      </c>
      <c r="B4686" t="s">
        <v>19675</v>
      </c>
      <c r="D4686" t="s">
        <v>9473</v>
      </c>
      <c r="E4686" t="s">
        <v>9474</v>
      </c>
      <c r="J4686" t="s">
        <v>78</v>
      </c>
      <c r="K4686" t="s">
        <v>79</v>
      </c>
      <c r="L4686">
        <v>6</v>
      </c>
      <c r="M4686" t="s">
        <v>19676</v>
      </c>
      <c r="N4686" t="s">
        <v>47</v>
      </c>
      <c r="O4686" t="s">
        <v>9477</v>
      </c>
      <c r="P4686" t="s">
        <v>9477</v>
      </c>
      <c r="Y4686" t="s">
        <v>19677</v>
      </c>
    </row>
    <row r="4687" spans="1:25">
      <c r="A4687" t="s">
        <v>19678</v>
      </c>
      <c r="B4687" t="s">
        <v>19679</v>
      </c>
      <c r="D4687" t="s">
        <v>9473</v>
      </c>
      <c r="E4687" t="s">
        <v>9474</v>
      </c>
      <c r="J4687" t="s">
        <v>90</v>
      </c>
      <c r="K4687" t="s">
        <v>91</v>
      </c>
      <c r="L4687">
        <v>6</v>
      </c>
      <c r="M4687" t="s">
        <v>19680</v>
      </c>
      <c r="N4687" t="s">
        <v>47</v>
      </c>
      <c r="O4687" t="s">
        <v>9477</v>
      </c>
      <c r="P4687" t="s">
        <v>9477</v>
      </c>
      <c r="Y4687" t="s">
        <v>19681</v>
      </c>
    </row>
    <row r="4688" spans="1:25">
      <c r="A4688" t="s">
        <v>19682</v>
      </c>
      <c r="B4688" t="s">
        <v>19683</v>
      </c>
      <c r="D4688" t="s">
        <v>9473</v>
      </c>
      <c r="E4688" t="s">
        <v>9474</v>
      </c>
      <c r="J4688" t="s">
        <v>133</v>
      </c>
      <c r="K4688" t="s">
        <v>134</v>
      </c>
      <c r="L4688">
        <v>6</v>
      </c>
      <c r="M4688" t="s">
        <v>19684</v>
      </c>
      <c r="N4688" t="s">
        <v>290</v>
      </c>
      <c r="O4688" t="s">
        <v>9477</v>
      </c>
      <c r="P4688" t="s">
        <v>9477</v>
      </c>
      <c r="Y4688" t="s">
        <v>19685</v>
      </c>
    </row>
    <row r="4689" spans="1:25">
      <c r="A4689" t="s">
        <v>19686</v>
      </c>
      <c r="B4689" t="s">
        <v>19687</v>
      </c>
      <c r="D4689" t="s">
        <v>9473</v>
      </c>
      <c r="E4689" t="s">
        <v>9474</v>
      </c>
      <c r="J4689" t="s">
        <v>90</v>
      </c>
      <c r="K4689" t="s">
        <v>91</v>
      </c>
      <c r="L4689">
        <v>6</v>
      </c>
      <c r="M4689" t="s">
        <v>19688</v>
      </c>
      <c r="N4689" t="s">
        <v>47</v>
      </c>
      <c r="O4689" t="s">
        <v>9477</v>
      </c>
      <c r="P4689" t="s">
        <v>9477</v>
      </c>
      <c r="Y4689" t="s">
        <v>19689</v>
      </c>
    </row>
    <row r="4690" spans="1:25">
      <c r="A4690" t="s">
        <v>19690</v>
      </c>
      <c r="B4690" t="s">
        <v>19691</v>
      </c>
      <c r="D4690" t="s">
        <v>9473</v>
      </c>
      <c r="E4690" t="s">
        <v>9474</v>
      </c>
      <c r="J4690" t="s">
        <v>54</v>
      </c>
      <c r="K4690" t="s">
        <v>55</v>
      </c>
      <c r="L4690">
        <v>6</v>
      </c>
      <c r="M4690" t="s">
        <v>19692</v>
      </c>
      <c r="N4690" t="s">
        <v>47</v>
      </c>
      <c r="O4690" t="s">
        <v>9477</v>
      </c>
      <c r="P4690" t="s">
        <v>9477</v>
      </c>
      <c r="Y4690" t="s">
        <v>19693</v>
      </c>
    </row>
    <row r="4691" spans="1:25">
      <c r="A4691" t="s">
        <v>19694</v>
      </c>
      <c r="B4691" t="s">
        <v>19695</v>
      </c>
      <c r="D4691" t="s">
        <v>9473</v>
      </c>
      <c r="E4691" t="s">
        <v>9474</v>
      </c>
      <c r="J4691" t="s">
        <v>44</v>
      </c>
      <c r="K4691" t="s">
        <v>45</v>
      </c>
      <c r="L4691">
        <v>6</v>
      </c>
      <c r="M4691" t="s">
        <v>19696</v>
      </c>
      <c r="N4691" t="s">
        <v>47</v>
      </c>
      <c r="O4691" t="s">
        <v>9477</v>
      </c>
      <c r="P4691" t="s">
        <v>9477</v>
      </c>
      <c r="Y4691" t="s">
        <v>19697</v>
      </c>
    </row>
    <row r="4692" spans="1:25">
      <c r="A4692" t="s">
        <v>19698</v>
      </c>
      <c r="B4692" t="s">
        <v>19699</v>
      </c>
      <c r="D4692" t="s">
        <v>9473</v>
      </c>
      <c r="E4692" t="s">
        <v>9474</v>
      </c>
      <c r="J4692" t="s">
        <v>44</v>
      </c>
      <c r="K4692" t="s">
        <v>45</v>
      </c>
      <c r="L4692">
        <v>6</v>
      </c>
      <c r="M4692" t="s">
        <v>19700</v>
      </c>
      <c r="N4692" t="s">
        <v>47</v>
      </c>
      <c r="O4692" t="s">
        <v>9477</v>
      </c>
      <c r="P4692" t="s">
        <v>9477</v>
      </c>
      <c r="Y4692" t="s">
        <v>19701</v>
      </c>
    </row>
    <row r="4693" spans="1:25">
      <c r="A4693" t="s">
        <v>19702</v>
      </c>
      <c r="B4693" t="s">
        <v>19703</v>
      </c>
      <c r="D4693" t="s">
        <v>9473</v>
      </c>
      <c r="E4693" t="s">
        <v>9474</v>
      </c>
      <c r="J4693" t="s">
        <v>54</v>
      </c>
      <c r="K4693" t="s">
        <v>55</v>
      </c>
      <c r="L4693">
        <v>6</v>
      </c>
      <c r="M4693" t="s">
        <v>19700</v>
      </c>
      <c r="N4693" t="s">
        <v>47</v>
      </c>
      <c r="O4693" t="s">
        <v>9477</v>
      </c>
      <c r="P4693" t="s">
        <v>9477</v>
      </c>
      <c r="Y4693" t="s">
        <v>19704</v>
      </c>
    </row>
    <row r="4694" spans="1:25">
      <c r="A4694" t="s">
        <v>19705</v>
      </c>
      <c r="B4694" t="s">
        <v>19706</v>
      </c>
      <c r="D4694" t="s">
        <v>9473</v>
      </c>
      <c r="E4694" t="s">
        <v>9474</v>
      </c>
      <c r="J4694" t="s">
        <v>78</v>
      </c>
      <c r="K4694" t="s">
        <v>79</v>
      </c>
      <c r="L4694">
        <v>6</v>
      </c>
      <c r="M4694" t="s">
        <v>19707</v>
      </c>
      <c r="N4694" t="s">
        <v>47</v>
      </c>
      <c r="O4694" t="s">
        <v>9477</v>
      </c>
      <c r="P4694" t="s">
        <v>9477</v>
      </c>
      <c r="Y4694" t="s">
        <v>19708</v>
      </c>
    </row>
    <row r="4695" spans="1:25">
      <c r="A4695" t="s">
        <v>19709</v>
      </c>
      <c r="B4695" t="s">
        <v>19710</v>
      </c>
      <c r="D4695" t="s">
        <v>9473</v>
      </c>
      <c r="E4695" t="s">
        <v>9474</v>
      </c>
      <c r="J4695" t="s">
        <v>54</v>
      </c>
      <c r="K4695" t="s">
        <v>55</v>
      </c>
      <c r="L4695">
        <v>6</v>
      </c>
      <c r="M4695" t="s">
        <v>19711</v>
      </c>
      <c r="N4695" t="s">
        <v>47</v>
      </c>
      <c r="O4695" t="s">
        <v>9477</v>
      </c>
      <c r="P4695" t="s">
        <v>9477</v>
      </c>
      <c r="Y4695" t="s">
        <v>19712</v>
      </c>
    </row>
    <row r="4696" spans="1:25">
      <c r="A4696" t="s">
        <v>19713</v>
      </c>
      <c r="B4696" t="s">
        <v>19714</v>
      </c>
      <c r="D4696" t="s">
        <v>9473</v>
      </c>
      <c r="E4696" t="s">
        <v>9474</v>
      </c>
      <c r="H4696" t="s">
        <v>19715</v>
      </c>
      <c r="J4696" t="s">
        <v>541</v>
      </c>
      <c r="K4696" t="s">
        <v>542</v>
      </c>
      <c r="L4696">
        <v>6</v>
      </c>
      <c r="M4696" t="s">
        <v>19716</v>
      </c>
      <c r="N4696" t="s">
        <v>290</v>
      </c>
      <c r="O4696" t="s">
        <v>9477</v>
      </c>
      <c r="P4696" t="s">
        <v>9477</v>
      </c>
      <c r="Y4696" t="s">
        <v>19715</v>
      </c>
    </row>
    <row r="4697" spans="1:25">
      <c r="A4697" t="s">
        <v>19717</v>
      </c>
      <c r="B4697" t="s">
        <v>19718</v>
      </c>
      <c r="D4697" t="s">
        <v>9473</v>
      </c>
      <c r="E4697" t="s">
        <v>9474</v>
      </c>
      <c r="J4697" t="s">
        <v>54</v>
      </c>
      <c r="K4697" t="s">
        <v>55</v>
      </c>
      <c r="L4697">
        <v>6</v>
      </c>
      <c r="M4697" t="s">
        <v>19719</v>
      </c>
      <c r="N4697" t="s">
        <v>47</v>
      </c>
      <c r="O4697" t="s">
        <v>9477</v>
      </c>
      <c r="P4697" t="s">
        <v>9477</v>
      </c>
      <c r="Y4697" t="s">
        <v>19720</v>
      </c>
    </row>
    <row r="4698" spans="1:25">
      <c r="A4698" t="s">
        <v>19721</v>
      </c>
      <c r="B4698" t="s">
        <v>19722</v>
      </c>
      <c r="D4698" t="s">
        <v>9473</v>
      </c>
      <c r="E4698" t="s">
        <v>9474</v>
      </c>
      <c r="H4698" t="s">
        <v>19723</v>
      </c>
      <c r="J4698" t="s">
        <v>78</v>
      </c>
      <c r="K4698" t="s">
        <v>79</v>
      </c>
      <c r="L4698">
        <v>6</v>
      </c>
      <c r="M4698" t="s">
        <v>19724</v>
      </c>
      <c r="N4698" t="s">
        <v>47</v>
      </c>
      <c r="O4698" t="s">
        <v>9477</v>
      </c>
      <c r="P4698" t="s">
        <v>9477</v>
      </c>
      <c r="Y4698" t="s">
        <v>19723</v>
      </c>
    </row>
    <row r="4699" spans="1:25">
      <c r="A4699" t="s">
        <v>19725</v>
      </c>
      <c r="B4699" t="s">
        <v>19726</v>
      </c>
      <c r="D4699" t="s">
        <v>9473</v>
      </c>
      <c r="E4699" t="s">
        <v>9474</v>
      </c>
      <c r="J4699" t="s">
        <v>54</v>
      </c>
      <c r="K4699" t="s">
        <v>55</v>
      </c>
      <c r="L4699">
        <v>6</v>
      </c>
      <c r="M4699" t="s">
        <v>19727</v>
      </c>
      <c r="N4699" t="s">
        <v>47</v>
      </c>
      <c r="O4699" t="s">
        <v>9477</v>
      </c>
      <c r="P4699" t="s">
        <v>9477</v>
      </c>
      <c r="Y4699" t="s">
        <v>19728</v>
      </c>
    </row>
    <row r="4700" spans="1:25">
      <c r="A4700" t="s">
        <v>19729</v>
      </c>
      <c r="B4700" t="s">
        <v>19730</v>
      </c>
      <c r="D4700" t="s">
        <v>9473</v>
      </c>
      <c r="E4700" t="s">
        <v>9474</v>
      </c>
      <c r="H4700" t="s">
        <v>19731</v>
      </c>
      <c r="J4700" t="s">
        <v>54</v>
      </c>
      <c r="K4700" t="s">
        <v>55</v>
      </c>
      <c r="L4700">
        <v>6</v>
      </c>
      <c r="M4700" t="s">
        <v>19732</v>
      </c>
      <c r="N4700" t="s">
        <v>47</v>
      </c>
      <c r="O4700" t="s">
        <v>9477</v>
      </c>
      <c r="P4700" t="s">
        <v>9477</v>
      </c>
      <c r="Y4700" t="s">
        <v>19731</v>
      </c>
    </row>
    <row r="4701" spans="1:25">
      <c r="A4701" t="s">
        <v>19733</v>
      </c>
      <c r="B4701" t="s">
        <v>19734</v>
      </c>
      <c r="D4701" t="s">
        <v>9473</v>
      </c>
      <c r="E4701" t="s">
        <v>9474</v>
      </c>
      <c r="J4701" t="s">
        <v>90</v>
      </c>
      <c r="K4701" t="s">
        <v>91</v>
      </c>
      <c r="L4701">
        <v>6</v>
      </c>
      <c r="M4701" t="s">
        <v>19735</v>
      </c>
      <c r="N4701" t="s">
        <v>47</v>
      </c>
      <c r="O4701" t="s">
        <v>9477</v>
      </c>
      <c r="P4701" t="s">
        <v>9477</v>
      </c>
      <c r="Y4701" t="s">
        <v>19736</v>
      </c>
    </row>
    <row r="4702" spans="1:25">
      <c r="A4702" t="s">
        <v>19737</v>
      </c>
      <c r="B4702" t="s">
        <v>19738</v>
      </c>
      <c r="D4702" t="s">
        <v>9473</v>
      </c>
      <c r="E4702" t="s">
        <v>9474</v>
      </c>
      <c r="J4702" t="s">
        <v>390</v>
      </c>
      <c r="K4702" t="s">
        <v>390</v>
      </c>
      <c r="L4702">
        <v>6</v>
      </c>
      <c r="M4702" t="s">
        <v>19735</v>
      </c>
      <c r="N4702" t="s">
        <v>290</v>
      </c>
      <c r="O4702" t="s">
        <v>9477</v>
      </c>
      <c r="P4702" t="s">
        <v>9477</v>
      </c>
      <c r="Y4702" t="s">
        <v>19739</v>
      </c>
    </row>
    <row r="4703" spans="1:25">
      <c r="A4703" t="s">
        <v>19740</v>
      </c>
      <c r="B4703" t="s">
        <v>19741</v>
      </c>
      <c r="D4703" t="s">
        <v>9473</v>
      </c>
      <c r="E4703" t="s">
        <v>9474</v>
      </c>
      <c r="J4703" t="s">
        <v>133</v>
      </c>
      <c r="K4703" t="s">
        <v>134</v>
      </c>
      <c r="L4703">
        <v>6</v>
      </c>
      <c r="M4703" t="s">
        <v>19742</v>
      </c>
      <c r="N4703" t="s">
        <v>135</v>
      </c>
      <c r="O4703" t="s">
        <v>9477</v>
      </c>
      <c r="P4703" t="s">
        <v>9477</v>
      </c>
      <c r="Y4703" t="s">
        <v>19743</v>
      </c>
    </row>
    <row r="4704" spans="1:25">
      <c r="A4704" t="s">
        <v>19744</v>
      </c>
      <c r="B4704" t="s">
        <v>19745</v>
      </c>
      <c r="D4704" t="s">
        <v>9473</v>
      </c>
      <c r="E4704" t="s">
        <v>9474</v>
      </c>
      <c r="J4704" t="s">
        <v>90</v>
      </c>
      <c r="K4704" t="s">
        <v>91</v>
      </c>
      <c r="L4704">
        <v>6</v>
      </c>
      <c r="M4704" t="s">
        <v>19746</v>
      </c>
      <c r="N4704" t="s">
        <v>47</v>
      </c>
      <c r="O4704" t="s">
        <v>9477</v>
      </c>
      <c r="P4704" t="s">
        <v>9477</v>
      </c>
      <c r="Y4704" t="s">
        <v>19747</v>
      </c>
    </row>
    <row r="4705" spans="1:25">
      <c r="A4705" t="s">
        <v>19748</v>
      </c>
      <c r="B4705" t="s">
        <v>19749</v>
      </c>
      <c r="D4705" t="s">
        <v>9473</v>
      </c>
      <c r="E4705" t="s">
        <v>9474</v>
      </c>
      <c r="H4705" t="s">
        <v>19750</v>
      </c>
      <c r="J4705" t="s">
        <v>44</v>
      </c>
      <c r="K4705" t="s">
        <v>45</v>
      </c>
      <c r="L4705">
        <v>6</v>
      </c>
      <c r="M4705" t="s">
        <v>19751</v>
      </c>
      <c r="N4705" t="s">
        <v>47</v>
      </c>
      <c r="O4705" t="s">
        <v>9477</v>
      </c>
      <c r="P4705" t="s">
        <v>9477</v>
      </c>
      <c r="Y4705" t="s">
        <v>19750</v>
      </c>
    </row>
    <row r="4706" spans="1:25">
      <c r="A4706" t="s">
        <v>19752</v>
      </c>
      <c r="B4706" t="s">
        <v>19753</v>
      </c>
      <c r="D4706" t="s">
        <v>9473</v>
      </c>
      <c r="E4706" t="s">
        <v>9474</v>
      </c>
      <c r="H4706" t="s">
        <v>19754</v>
      </c>
      <c r="J4706" t="s">
        <v>90</v>
      </c>
      <c r="K4706" t="s">
        <v>91</v>
      </c>
      <c r="L4706">
        <v>6</v>
      </c>
      <c r="M4706" t="s">
        <v>19755</v>
      </c>
      <c r="N4706" t="s">
        <v>47</v>
      </c>
      <c r="O4706" t="s">
        <v>9477</v>
      </c>
      <c r="P4706" t="s">
        <v>9477</v>
      </c>
      <c r="Y4706" t="s">
        <v>19754</v>
      </c>
    </row>
    <row r="4707" spans="1:25">
      <c r="A4707" t="s">
        <v>19756</v>
      </c>
      <c r="B4707" t="s">
        <v>19757</v>
      </c>
      <c r="D4707" t="s">
        <v>9473</v>
      </c>
      <c r="E4707" t="s">
        <v>9474</v>
      </c>
      <c r="J4707" t="s">
        <v>44</v>
      </c>
      <c r="K4707" t="s">
        <v>45</v>
      </c>
      <c r="L4707">
        <v>6</v>
      </c>
      <c r="M4707" t="s">
        <v>19758</v>
      </c>
      <c r="N4707" t="s">
        <v>47</v>
      </c>
      <c r="O4707" t="s">
        <v>9477</v>
      </c>
      <c r="P4707" t="s">
        <v>9477</v>
      </c>
      <c r="Y4707" t="s">
        <v>19759</v>
      </c>
    </row>
    <row r="4708" spans="1:25">
      <c r="A4708" t="s">
        <v>19760</v>
      </c>
      <c r="B4708" t="s">
        <v>19761</v>
      </c>
      <c r="D4708" t="s">
        <v>9473</v>
      </c>
      <c r="E4708" t="s">
        <v>9474</v>
      </c>
      <c r="J4708" t="s">
        <v>44</v>
      </c>
      <c r="K4708" t="s">
        <v>45</v>
      </c>
      <c r="L4708">
        <v>6</v>
      </c>
      <c r="M4708" t="s">
        <v>19758</v>
      </c>
      <c r="N4708" t="s">
        <v>47</v>
      </c>
      <c r="O4708" t="s">
        <v>9477</v>
      </c>
      <c r="P4708" t="s">
        <v>9477</v>
      </c>
      <c r="Y4708" t="s">
        <v>19762</v>
      </c>
    </row>
    <row r="4709" spans="1:25">
      <c r="A4709" t="s">
        <v>19763</v>
      </c>
      <c r="B4709" t="s">
        <v>19764</v>
      </c>
      <c r="D4709" t="s">
        <v>9473</v>
      </c>
      <c r="E4709" t="s">
        <v>9474</v>
      </c>
      <c r="J4709" t="s">
        <v>90</v>
      </c>
      <c r="K4709" t="s">
        <v>91</v>
      </c>
      <c r="L4709">
        <v>6</v>
      </c>
      <c r="M4709" t="s">
        <v>19765</v>
      </c>
      <c r="N4709" t="s">
        <v>47</v>
      </c>
      <c r="O4709" t="s">
        <v>9477</v>
      </c>
      <c r="P4709" t="s">
        <v>9477</v>
      </c>
      <c r="Y4709" t="s">
        <v>19766</v>
      </c>
    </row>
    <row r="4710" spans="1:25">
      <c r="A4710" t="s">
        <v>19767</v>
      </c>
      <c r="B4710" t="s">
        <v>19768</v>
      </c>
      <c r="D4710" t="s">
        <v>9473</v>
      </c>
      <c r="E4710" t="s">
        <v>9474</v>
      </c>
      <c r="J4710" t="s">
        <v>90</v>
      </c>
      <c r="K4710" t="s">
        <v>91</v>
      </c>
      <c r="L4710">
        <v>6</v>
      </c>
      <c r="M4710" t="s">
        <v>19769</v>
      </c>
      <c r="N4710" t="s">
        <v>47</v>
      </c>
      <c r="O4710" t="s">
        <v>9477</v>
      </c>
      <c r="P4710" t="s">
        <v>9477</v>
      </c>
      <c r="Y4710" t="s">
        <v>19770</v>
      </c>
    </row>
    <row r="4711" spans="1:25">
      <c r="A4711" t="s">
        <v>19771</v>
      </c>
      <c r="B4711" t="s">
        <v>19772</v>
      </c>
      <c r="D4711" t="s">
        <v>9473</v>
      </c>
      <c r="E4711" t="s">
        <v>9474</v>
      </c>
      <c r="J4711" t="s">
        <v>90</v>
      </c>
      <c r="K4711" t="s">
        <v>91</v>
      </c>
      <c r="L4711">
        <v>6</v>
      </c>
      <c r="M4711" t="s">
        <v>19769</v>
      </c>
      <c r="N4711" t="s">
        <v>47</v>
      </c>
      <c r="O4711" t="s">
        <v>9477</v>
      </c>
      <c r="P4711" t="s">
        <v>9477</v>
      </c>
      <c r="Y4711" t="s">
        <v>19773</v>
      </c>
    </row>
    <row r="4712" spans="1:25">
      <c r="A4712" t="s">
        <v>19774</v>
      </c>
      <c r="B4712" t="s">
        <v>19775</v>
      </c>
      <c r="D4712" t="s">
        <v>9473</v>
      </c>
      <c r="E4712" t="s">
        <v>9474</v>
      </c>
      <c r="J4712" t="s">
        <v>371</v>
      </c>
      <c r="K4712" t="s">
        <v>372</v>
      </c>
      <c r="L4712">
        <v>6</v>
      </c>
      <c r="M4712" t="s">
        <v>19776</v>
      </c>
      <c r="N4712" t="s">
        <v>47</v>
      </c>
      <c r="O4712" t="s">
        <v>9477</v>
      </c>
      <c r="P4712" t="s">
        <v>9477</v>
      </c>
      <c r="Y4712" t="s">
        <v>19777</v>
      </c>
    </row>
    <row r="4713" spans="1:25">
      <c r="A4713" t="s">
        <v>19778</v>
      </c>
      <c r="B4713" t="s">
        <v>19779</v>
      </c>
      <c r="D4713" t="s">
        <v>9473</v>
      </c>
      <c r="E4713" t="s">
        <v>9474</v>
      </c>
      <c r="J4713" t="s">
        <v>44</v>
      </c>
      <c r="K4713" t="s">
        <v>45</v>
      </c>
      <c r="L4713">
        <v>6</v>
      </c>
      <c r="M4713" t="s">
        <v>19780</v>
      </c>
      <c r="N4713" t="s">
        <v>47</v>
      </c>
      <c r="O4713" t="s">
        <v>9477</v>
      </c>
      <c r="P4713" t="s">
        <v>9477</v>
      </c>
      <c r="Y4713" t="s">
        <v>19781</v>
      </c>
    </row>
    <row r="4714" spans="1:25">
      <c r="A4714" t="s">
        <v>19782</v>
      </c>
      <c r="B4714" t="s">
        <v>19783</v>
      </c>
      <c r="D4714" t="s">
        <v>9473</v>
      </c>
      <c r="E4714" t="s">
        <v>9474</v>
      </c>
      <c r="H4714" t="s">
        <v>19784</v>
      </c>
      <c r="J4714" t="s">
        <v>78</v>
      </c>
      <c r="K4714" t="s">
        <v>79</v>
      </c>
      <c r="L4714">
        <v>6</v>
      </c>
      <c r="M4714" t="s">
        <v>19785</v>
      </c>
      <c r="N4714" t="s">
        <v>47</v>
      </c>
      <c r="O4714" t="s">
        <v>9477</v>
      </c>
      <c r="P4714" t="s">
        <v>9477</v>
      </c>
      <c r="Y4714" t="s">
        <v>19784</v>
      </c>
    </row>
    <row r="4715" spans="1:25">
      <c r="A4715" t="s">
        <v>19786</v>
      </c>
      <c r="B4715" t="s">
        <v>19787</v>
      </c>
      <c r="D4715" t="s">
        <v>9473</v>
      </c>
      <c r="E4715" t="s">
        <v>9474</v>
      </c>
      <c r="J4715" t="s">
        <v>90</v>
      </c>
      <c r="K4715" t="s">
        <v>91</v>
      </c>
      <c r="L4715">
        <v>6</v>
      </c>
      <c r="M4715" t="s">
        <v>19785</v>
      </c>
      <c r="N4715" t="s">
        <v>47</v>
      </c>
      <c r="O4715" t="s">
        <v>9477</v>
      </c>
      <c r="P4715" t="s">
        <v>9477</v>
      </c>
      <c r="Y4715" t="s">
        <v>19788</v>
      </c>
    </row>
    <row r="4716" spans="1:25">
      <c r="A4716" t="s">
        <v>19789</v>
      </c>
      <c r="B4716" t="s">
        <v>19790</v>
      </c>
      <c r="D4716" t="s">
        <v>9473</v>
      </c>
      <c r="E4716" t="s">
        <v>9474</v>
      </c>
      <c r="H4716" t="s">
        <v>19791</v>
      </c>
      <c r="J4716" t="s">
        <v>78</v>
      </c>
      <c r="K4716" t="s">
        <v>79</v>
      </c>
      <c r="L4716">
        <v>6</v>
      </c>
      <c r="M4716" t="s">
        <v>19792</v>
      </c>
      <c r="N4716" t="s">
        <v>47</v>
      </c>
      <c r="O4716" t="s">
        <v>9477</v>
      </c>
      <c r="P4716" t="s">
        <v>9477</v>
      </c>
      <c r="Y4716" t="s">
        <v>19791</v>
      </c>
    </row>
    <row r="4717" spans="1:25">
      <c r="A4717" t="s">
        <v>19793</v>
      </c>
      <c r="B4717" t="s">
        <v>19794</v>
      </c>
      <c r="D4717" t="s">
        <v>9473</v>
      </c>
      <c r="E4717" t="s">
        <v>9474</v>
      </c>
      <c r="H4717" t="s">
        <v>19795</v>
      </c>
      <c r="J4717" t="s">
        <v>78</v>
      </c>
      <c r="K4717" t="s">
        <v>79</v>
      </c>
      <c r="L4717">
        <v>6</v>
      </c>
      <c r="M4717" t="s">
        <v>19796</v>
      </c>
      <c r="N4717" t="s">
        <v>47</v>
      </c>
      <c r="O4717" t="s">
        <v>9477</v>
      </c>
      <c r="P4717" t="s">
        <v>9477</v>
      </c>
      <c r="Y4717" t="s">
        <v>19795</v>
      </c>
    </row>
    <row r="4718" spans="1:25">
      <c r="A4718" t="s">
        <v>19797</v>
      </c>
      <c r="B4718" t="s">
        <v>19798</v>
      </c>
      <c r="D4718" t="s">
        <v>9473</v>
      </c>
      <c r="E4718" t="s">
        <v>9474</v>
      </c>
      <c r="H4718" t="s">
        <v>19799</v>
      </c>
      <c r="J4718" t="s">
        <v>133</v>
      </c>
      <c r="K4718" t="s">
        <v>134</v>
      </c>
      <c r="L4718">
        <v>6</v>
      </c>
      <c r="M4718" t="s">
        <v>19800</v>
      </c>
      <c r="N4718" t="s">
        <v>290</v>
      </c>
      <c r="O4718" t="s">
        <v>9477</v>
      </c>
      <c r="P4718" t="s">
        <v>9477</v>
      </c>
      <c r="Y4718" t="s">
        <v>19799</v>
      </c>
    </row>
    <row r="4719" spans="1:25">
      <c r="A4719" t="s">
        <v>19801</v>
      </c>
      <c r="B4719" t="s">
        <v>19802</v>
      </c>
      <c r="D4719" t="s">
        <v>9473</v>
      </c>
      <c r="E4719" t="s">
        <v>9474</v>
      </c>
      <c r="J4719" t="s">
        <v>44</v>
      </c>
      <c r="K4719" t="s">
        <v>45</v>
      </c>
      <c r="L4719">
        <v>6</v>
      </c>
      <c r="M4719" t="s">
        <v>19803</v>
      </c>
      <c r="N4719" t="s">
        <v>47</v>
      </c>
      <c r="O4719" t="s">
        <v>9477</v>
      </c>
      <c r="P4719" t="s">
        <v>9477</v>
      </c>
      <c r="Y4719" t="s">
        <v>19804</v>
      </c>
    </row>
    <row r="4720" spans="1:25">
      <c r="A4720" t="s">
        <v>19805</v>
      </c>
      <c r="B4720" t="s">
        <v>19806</v>
      </c>
      <c r="D4720" t="s">
        <v>9473</v>
      </c>
      <c r="E4720" t="s">
        <v>9474</v>
      </c>
      <c r="H4720" t="s">
        <v>19807</v>
      </c>
      <c r="J4720" t="s">
        <v>90</v>
      </c>
      <c r="K4720" t="s">
        <v>91</v>
      </c>
      <c r="L4720">
        <v>6</v>
      </c>
      <c r="M4720" t="s">
        <v>19808</v>
      </c>
      <c r="N4720" t="s">
        <v>47</v>
      </c>
      <c r="O4720" t="s">
        <v>9477</v>
      </c>
      <c r="P4720" t="s">
        <v>9477</v>
      </c>
      <c r="Y4720" t="s">
        <v>19807</v>
      </c>
    </row>
    <row r="4721" spans="1:25">
      <c r="A4721" t="s">
        <v>19809</v>
      </c>
      <c r="B4721" t="s">
        <v>19810</v>
      </c>
      <c r="D4721" t="s">
        <v>9473</v>
      </c>
      <c r="E4721" t="s">
        <v>9474</v>
      </c>
      <c r="H4721" t="s">
        <v>19811</v>
      </c>
      <c r="J4721" t="s">
        <v>133</v>
      </c>
      <c r="K4721" t="s">
        <v>134</v>
      </c>
      <c r="L4721">
        <v>7</v>
      </c>
      <c r="M4721" t="s">
        <v>19812</v>
      </c>
      <c r="N4721" t="s">
        <v>135</v>
      </c>
      <c r="O4721" t="s">
        <v>9477</v>
      </c>
      <c r="P4721" t="s">
        <v>9477</v>
      </c>
      <c r="Y4721" t="s">
        <v>19811</v>
      </c>
    </row>
    <row r="4722" spans="1:25">
      <c r="A4722" t="s">
        <v>19813</v>
      </c>
      <c r="B4722" t="s">
        <v>19814</v>
      </c>
      <c r="D4722" t="s">
        <v>9473</v>
      </c>
      <c r="E4722" t="s">
        <v>9474</v>
      </c>
      <c r="H4722" t="s">
        <v>19815</v>
      </c>
      <c r="J4722" t="s">
        <v>78</v>
      </c>
      <c r="K4722" t="s">
        <v>79</v>
      </c>
      <c r="L4722">
        <v>6</v>
      </c>
      <c r="M4722" t="s">
        <v>19816</v>
      </c>
      <c r="N4722" t="s">
        <v>47</v>
      </c>
      <c r="O4722" t="s">
        <v>9477</v>
      </c>
      <c r="P4722" t="s">
        <v>9477</v>
      </c>
      <c r="Y4722" t="s">
        <v>19815</v>
      </c>
    </row>
    <row r="4723" spans="1:25">
      <c r="A4723" t="s">
        <v>19817</v>
      </c>
      <c r="B4723" t="s">
        <v>19818</v>
      </c>
      <c r="D4723" t="s">
        <v>9473</v>
      </c>
      <c r="E4723" t="s">
        <v>9474</v>
      </c>
      <c r="J4723" t="s">
        <v>371</v>
      </c>
      <c r="K4723" t="s">
        <v>372</v>
      </c>
      <c r="L4723">
        <v>6</v>
      </c>
      <c r="M4723" t="s">
        <v>19816</v>
      </c>
      <c r="N4723" t="s">
        <v>47</v>
      </c>
      <c r="O4723" t="s">
        <v>9477</v>
      </c>
      <c r="P4723" t="s">
        <v>9477</v>
      </c>
      <c r="Y4723" t="s">
        <v>19819</v>
      </c>
    </row>
    <row r="4724" spans="1:25">
      <c r="A4724" t="s">
        <v>19820</v>
      </c>
      <c r="B4724" t="s">
        <v>19821</v>
      </c>
      <c r="D4724" t="s">
        <v>9473</v>
      </c>
      <c r="E4724" t="s">
        <v>9474</v>
      </c>
      <c r="H4724" t="s">
        <v>19822</v>
      </c>
      <c r="J4724" t="s">
        <v>44</v>
      </c>
      <c r="K4724" t="s">
        <v>45</v>
      </c>
      <c r="L4724">
        <v>6</v>
      </c>
      <c r="M4724" t="s">
        <v>19823</v>
      </c>
      <c r="N4724" t="s">
        <v>47</v>
      </c>
      <c r="O4724" t="s">
        <v>9477</v>
      </c>
      <c r="P4724" t="s">
        <v>9477</v>
      </c>
      <c r="Y4724" t="s">
        <v>19822</v>
      </c>
    </row>
    <row r="4725" spans="1:25">
      <c r="A4725" t="s">
        <v>19824</v>
      </c>
      <c r="B4725" t="s">
        <v>19825</v>
      </c>
      <c r="D4725" t="s">
        <v>9473</v>
      </c>
      <c r="E4725" t="s">
        <v>9474</v>
      </c>
      <c r="J4725" t="s">
        <v>54</v>
      </c>
      <c r="K4725" t="s">
        <v>55</v>
      </c>
      <c r="L4725">
        <v>6</v>
      </c>
      <c r="M4725" t="s">
        <v>19823</v>
      </c>
      <c r="N4725" t="s">
        <v>47</v>
      </c>
      <c r="O4725" t="s">
        <v>9477</v>
      </c>
      <c r="P4725" t="s">
        <v>9477</v>
      </c>
      <c r="Y4725" t="s">
        <v>19826</v>
      </c>
    </row>
    <row r="4726" spans="1:25">
      <c r="A4726" t="s">
        <v>19827</v>
      </c>
      <c r="B4726" t="s">
        <v>19828</v>
      </c>
      <c r="D4726" t="s">
        <v>9473</v>
      </c>
      <c r="E4726" t="s">
        <v>9474</v>
      </c>
      <c r="J4726" t="s">
        <v>54</v>
      </c>
      <c r="K4726" t="s">
        <v>55</v>
      </c>
      <c r="L4726">
        <v>6</v>
      </c>
      <c r="M4726" t="s">
        <v>19829</v>
      </c>
      <c r="N4726" t="s">
        <v>47</v>
      </c>
      <c r="O4726" t="s">
        <v>9477</v>
      </c>
      <c r="P4726" t="s">
        <v>9477</v>
      </c>
      <c r="Y4726" t="s">
        <v>19830</v>
      </c>
    </row>
    <row r="4727" spans="1:25">
      <c r="A4727" t="s">
        <v>19831</v>
      </c>
      <c r="B4727" t="s">
        <v>19832</v>
      </c>
      <c r="D4727" t="s">
        <v>9473</v>
      </c>
      <c r="E4727" t="s">
        <v>9474</v>
      </c>
      <c r="J4727" t="s">
        <v>133</v>
      </c>
      <c r="K4727" t="s">
        <v>134</v>
      </c>
      <c r="L4727">
        <v>6</v>
      </c>
      <c r="M4727" t="s">
        <v>19833</v>
      </c>
      <c r="N4727" t="s">
        <v>135</v>
      </c>
      <c r="O4727" t="s">
        <v>9477</v>
      </c>
      <c r="P4727" t="s">
        <v>9477</v>
      </c>
      <c r="Y4727" t="s">
        <v>19834</v>
      </c>
    </row>
    <row r="4728" spans="1:25">
      <c r="A4728" t="s">
        <v>19835</v>
      </c>
      <c r="B4728" t="s">
        <v>19836</v>
      </c>
      <c r="D4728" t="s">
        <v>9473</v>
      </c>
      <c r="E4728" t="s">
        <v>9474</v>
      </c>
      <c r="J4728" t="s">
        <v>90</v>
      </c>
      <c r="K4728" t="s">
        <v>91</v>
      </c>
      <c r="L4728">
        <v>6</v>
      </c>
      <c r="M4728" t="s">
        <v>19837</v>
      </c>
      <c r="N4728" t="s">
        <v>47</v>
      </c>
      <c r="O4728" t="s">
        <v>9477</v>
      </c>
      <c r="P4728" t="s">
        <v>9477</v>
      </c>
      <c r="Y4728" t="s">
        <v>19838</v>
      </c>
    </row>
    <row r="4729" spans="1:25">
      <c r="A4729" t="s">
        <v>19839</v>
      </c>
      <c r="B4729" t="s">
        <v>19840</v>
      </c>
      <c r="D4729" t="s">
        <v>9473</v>
      </c>
      <c r="E4729" t="s">
        <v>9474</v>
      </c>
      <c r="H4729" t="s">
        <v>19841</v>
      </c>
      <c r="J4729" t="s">
        <v>78</v>
      </c>
      <c r="K4729" t="s">
        <v>79</v>
      </c>
      <c r="L4729">
        <v>6</v>
      </c>
      <c r="M4729" t="s">
        <v>19837</v>
      </c>
      <c r="N4729" t="s">
        <v>47</v>
      </c>
      <c r="O4729" t="s">
        <v>9477</v>
      </c>
      <c r="P4729" t="s">
        <v>9477</v>
      </c>
      <c r="Y4729" t="s">
        <v>19841</v>
      </c>
    </row>
    <row r="4730" spans="1:25">
      <c r="A4730" t="s">
        <v>19842</v>
      </c>
      <c r="B4730" t="s">
        <v>19843</v>
      </c>
      <c r="D4730" t="s">
        <v>9473</v>
      </c>
      <c r="E4730" t="s">
        <v>9474</v>
      </c>
      <c r="J4730" t="s">
        <v>44</v>
      </c>
      <c r="K4730" t="s">
        <v>45</v>
      </c>
      <c r="L4730">
        <v>6</v>
      </c>
      <c r="M4730" t="s">
        <v>19837</v>
      </c>
      <c r="N4730" t="s">
        <v>47</v>
      </c>
      <c r="O4730" t="s">
        <v>9477</v>
      </c>
      <c r="P4730" t="s">
        <v>9477</v>
      </c>
      <c r="Y4730" t="s">
        <v>19844</v>
      </c>
    </row>
    <row r="4731" spans="1:25">
      <c r="A4731" t="s">
        <v>19845</v>
      </c>
      <c r="B4731" t="s">
        <v>19846</v>
      </c>
      <c r="D4731" t="s">
        <v>9473</v>
      </c>
      <c r="E4731" t="s">
        <v>9474</v>
      </c>
      <c r="J4731" t="s">
        <v>90</v>
      </c>
      <c r="K4731" t="s">
        <v>91</v>
      </c>
      <c r="L4731">
        <v>6</v>
      </c>
      <c r="M4731" t="s">
        <v>19847</v>
      </c>
      <c r="N4731" t="s">
        <v>47</v>
      </c>
      <c r="O4731" t="s">
        <v>9477</v>
      </c>
      <c r="P4731" t="s">
        <v>9477</v>
      </c>
      <c r="Y4731" t="s">
        <v>19848</v>
      </c>
    </row>
    <row r="4732" spans="1:25">
      <c r="A4732" t="s">
        <v>19849</v>
      </c>
      <c r="B4732" t="s">
        <v>19850</v>
      </c>
      <c r="D4732" t="s">
        <v>9473</v>
      </c>
      <c r="E4732" t="s">
        <v>9474</v>
      </c>
      <c r="H4732" t="s">
        <v>19851</v>
      </c>
      <c r="J4732" t="s">
        <v>133</v>
      </c>
      <c r="K4732" t="s">
        <v>134</v>
      </c>
      <c r="L4732">
        <v>7</v>
      </c>
      <c r="M4732" t="s">
        <v>19847</v>
      </c>
      <c r="N4732" t="s">
        <v>135</v>
      </c>
      <c r="O4732" t="s">
        <v>9477</v>
      </c>
      <c r="P4732" t="s">
        <v>9477</v>
      </c>
      <c r="Y4732" t="s">
        <v>19851</v>
      </c>
    </row>
    <row r="4733" spans="1:25">
      <c r="A4733" t="s">
        <v>19852</v>
      </c>
      <c r="B4733" t="s">
        <v>19853</v>
      </c>
      <c r="D4733" t="s">
        <v>9473</v>
      </c>
      <c r="E4733" t="s">
        <v>9474</v>
      </c>
      <c r="H4733" t="s">
        <v>19854</v>
      </c>
      <c r="J4733" t="s">
        <v>44</v>
      </c>
      <c r="K4733" t="s">
        <v>45</v>
      </c>
      <c r="L4733">
        <v>6</v>
      </c>
      <c r="M4733" t="s">
        <v>19855</v>
      </c>
      <c r="N4733" t="s">
        <v>47</v>
      </c>
      <c r="O4733" t="s">
        <v>9477</v>
      </c>
      <c r="P4733" t="s">
        <v>9477</v>
      </c>
      <c r="Y4733" t="s">
        <v>19854</v>
      </c>
    </row>
    <row r="4734" spans="1:25">
      <c r="A4734" t="s">
        <v>19856</v>
      </c>
      <c r="B4734" t="s">
        <v>19857</v>
      </c>
      <c r="D4734" t="s">
        <v>9473</v>
      </c>
      <c r="E4734" t="s">
        <v>9474</v>
      </c>
      <c r="J4734" t="s">
        <v>44</v>
      </c>
      <c r="K4734" t="s">
        <v>45</v>
      </c>
      <c r="L4734">
        <v>6</v>
      </c>
      <c r="M4734" t="s">
        <v>19858</v>
      </c>
      <c r="N4734" t="s">
        <v>47</v>
      </c>
      <c r="O4734" t="s">
        <v>9477</v>
      </c>
      <c r="P4734" t="s">
        <v>9477</v>
      </c>
      <c r="Y4734" t="s">
        <v>19859</v>
      </c>
    </row>
    <row r="4735" spans="1:25">
      <c r="A4735" t="s">
        <v>19860</v>
      </c>
      <c r="B4735" t="s">
        <v>19861</v>
      </c>
      <c r="D4735" t="s">
        <v>9473</v>
      </c>
      <c r="E4735" t="s">
        <v>9474</v>
      </c>
      <c r="J4735" t="s">
        <v>90</v>
      </c>
      <c r="K4735" t="s">
        <v>91</v>
      </c>
      <c r="L4735">
        <v>6</v>
      </c>
      <c r="M4735" t="s">
        <v>19858</v>
      </c>
      <c r="N4735" t="s">
        <v>47</v>
      </c>
      <c r="O4735" t="s">
        <v>9477</v>
      </c>
      <c r="P4735" t="s">
        <v>9477</v>
      </c>
      <c r="Y4735" t="s">
        <v>19862</v>
      </c>
    </row>
    <row r="4736" spans="1:25">
      <c r="A4736" t="s">
        <v>19863</v>
      </c>
      <c r="B4736" t="s">
        <v>19864</v>
      </c>
      <c r="D4736" t="s">
        <v>9473</v>
      </c>
      <c r="E4736" t="s">
        <v>9474</v>
      </c>
      <c r="J4736" t="s">
        <v>78</v>
      </c>
      <c r="K4736" t="s">
        <v>79</v>
      </c>
      <c r="L4736">
        <v>6</v>
      </c>
      <c r="M4736" t="s">
        <v>19858</v>
      </c>
      <c r="N4736" t="s">
        <v>47</v>
      </c>
      <c r="O4736" t="s">
        <v>9477</v>
      </c>
      <c r="P4736" t="s">
        <v>9477</v>
      </c>
      <c r="Y4736" t="s">
        <v>19865</v>
      </c>
    </row>
    <row r="4737" spans="1:25">
      <c r="A4737" t="s">
        <v>19866</v>
      </c>
      <c r="B4737" t="s">
        <v>19867</v>
      </c>
      <c r="D4737" t="s">
        <v>9473</v>
      </c>
      <c r="E4737" t="s">
        <v>9474</v>
      </c>
      <c r="H4737" t="s">
        <v>19868</v>
      </c>
      <c r="J4737" t="s">
        <v>234</v>
      </c>
      <c r="K4737" t="s">
        <v>235</v>
      </c>
      <c r="L4737">
        <v>6</v>
      </c>
      <c r="M4737" t="s">
        <v>19869</v>
      </c>
      <c r="N4737" t="s">
        <v>47</v>
      </c>
      <c r="O4737" t="s">
        <v>9477</v>
      </c>
      <c r="P4737" t="s">
        <v>9477</v>
      </c>
      <c r="Y4737" t="s">
        <v>19868</v>
      </c>
    </row>
    <row r="4738" spans="1:25">
      <c r="A4738" t="s">
        <v>19870</v>
      </c>
      <c r="B4738" t="s">
        <v>19871</v>
      </c>
      <c r="D4738" t="s">
        <v>9473</v>
      </c>
      <c r="E4738" t="s">
        <v>9474</v>
      </c>
      <c r="J4738" t="s">
        <v>133</v>
      </c>
      <c r="K4738" t="s">
        <v>134</v>
      </c>
      <c r="L4738">
        <v>6</v>
      </c>
      <c r="M4738" t="s">
        <v>19872</v>
      </c>
      <c r="N4738" t="s">
        <v>135</v>
      </c>
      <c r="O4738" t="s">
        <v>9477</v>
      </c>
      <c r="P4738" t="s">
        <v>9477</v>
      </c>
      <c r="Y4738" t="s">
        <v>19873</v>
      </c>
    </row>
    <row r="4739" spans="1:25">
      <c r="A4739" t="s">
        <v>19874</v>
      </c>
      <c r="B4739" t="s">
        <v>19875</v>
      </c>
      <c r="D4739" t="s">
        <v>9473</v>
      </c>
      <c r="E4739" t="s">
        <v>9474</v>
      </c>
      <c r="J4739" t="s">
        <v>78</v>
      </c>
      <c r="K4739" t="s">
        <v>79</v>
      </c>
      <c r="L4739">
        <v>6</v>
      </c>
      <c r="M4739" t="s">
        <v>19876</v>
      </c>
      <c r="N4739" t="s">
        <v>47</v>
      </c>
      <c r="O4739" t="s">
        <v>9477</v>
      </c>
      <c r="P4739" t="s">
        <v>9477</v>
      </c>
      <c r="Y4739" t="s">
        <v>19877</v>
      </c>
    </row>
    <row r="4740" spans="1:25">
      <c r="A4740" t="s">
        <v>19878</v>
      </c>
      <c r="B4740" t="s">
        <v>19879</v>
      </c>
      <c r="D4740" t="s">
        <v>9473</v>
      </c>
      <c r="E4740" t="s">
        <v>9474</v>
      </c>
      <c r="J4740" t="s">
        <v>78</v>
      </c>
      <c r="K4740" t="s">
        <v>79</v>
      </c>
      <c r="L4740">
        <v>6</v>
      </c>
      <c r="M4740" t="s">
        <v>19876</v>
      </c>
      <c r="N4740" t="s">
        <v>47</v>
      </c>
      <c r="O4740" t="s">
        <v>9477</v>
      </c>
      <c r="P4740" t="s">
        <v>9477</v>
      </c>
      <c r="Y4740" t="s">
        <v>19880</v>
      </c>
    </row>
    <row r="4741" spans="1:25">
      <c r="A4741" t="s">
        <v>19881</v>
      </c>
      <c r="B4741" t="s">
        <v>19882</v>
      </c>
      <c r="D4741" t="s">
        <v>9473</v>
      </c>
      <c r="E4741" t="s">
        <v>9474</v>
      </c>
      <c r="J4741" t="s">
        <v>44</v>
      </c>
      <c r="K4741" t="s">
        <v>45</v>
      </c>
      <c r="L4741">
        <v>6</v>
      </c>
      <c r="M4741" t="s">
        <v>19876</v>
      </c>
      <c r="N4741" t="s">
        <v>47</v>
      </c>
      <c r="O4741" t="s">
        <v>9477</v>
      </c>
      <c r="P4741" t="s">
        <v>9477</v>
      </c>
      <c r="Y4741" t="s">
        <v>19883</v>
      </c>
    </row>
    <row r="4742" spans="1:25">
      <c r="A4742" t="s">
        <v>19884</v>
      </c>
      <c r="B4742" t="s">
        <v>19885</v>
      </c>
      <c r="D4742" t="s">
        <v>9473</v>
      </c>
      <c r="E4742" t="s">
        <v>9474</v>
      </c>
      <c r="J4742" t="s">
        <v>90</v>
      </c>
      <c r="K4742" t="s">
        <v>91</v>
      </c>
      <c r="L4742">
        <v>6</v>
      </c>
      <c r="M4742" t="s">
        <v>19886</v>
      </c>
      <c r="N4742" t="s">
        <v>47</v>
      </c>
      <c r="O4742" t="s">
        <v>9477</v>
      </c>
      <c r="P4742" t="s">
        <v>9477</v>
      </c>
      <c r="Y4742" t="s">
        <v>19887</v>
      </c>
    </row>
    <row r="4743" spans="1:25">
      <c r="A4743" t="s">
        <v>19888</v>
      </c>
      <c r="B4743" t="s">
        <v>19889</v>
      </c>
      <c r="D4743" t="s">
        <v>9473</v>
      </c>
      <c r="E4743" t="s">
        <v>9474</v>
      </c>
      <c r="J4743" t="s">
        <v>54</v>
      </c>
      <c r="K4743" t="s">
        <v>55</v>
      </c>
      <c r="L4743">
        <v>6</v>
      </c>
      <c r="M4743" t="s">
        <v>19886</v>
      </c>
      <c r="N4743" t="s">
        <v>47</v>
      </c>
      <c r="O4743" t="s">
        <v>9477</v>
      </c>
      <c r="P4743" t="s">
        <v>9477</v>
      </c>
      <c r="Y4743" t="s">
        <v>19890</v>
      </c>
    </row>
    <row r="4744" spans="1:25">
      <c r="A4744" t="s">
        <v>19891</v>
      </c>
      <c r="B4744" t="s">
        <v>19892</v>
      </c>
      <c r="D4744" t="s">
        <v>9473</v>
      </c>
      <c r="E4744" t="s">
        <v>9474</v>
      </c>
      <c r="J4744" t="s">
        <v>133</v>
      </c>
      <c r="K4744" t="s">
        <v>134</v>
      </c>
      <c r="L4744">
        <v>6</v>
      </c>
      <c r="M4744" t="s">
        <v>19893</v>
      </c>
      <c r="N4744" t="s">
        <v>290</v>
      </c>
      <c r="O4744" t="s">
        <v>9477</v>
      </c>
      <c r="P4744" t="s">
        <v>9477</v>
      </c>
      <c r="Y4744" t="s">
        <v>19894</v>
      </c>
    </row>
    <row r="4745" spans="1:25">
      <c r="A4745" t="s">
        <v>19895</v>
      </c>
      <c r="B4745" t="s">
        <v>19896</v>
      </c>
      <c r="D4745" t="s">
        <v>9473</v>
      </c>
      <c r="E4745" t="s">
        <v>9474</v>
      </c>
      <c r="J4745" t="s">
        <v>90</v>
      </c>
      <c r="K4745" t="s">
        <v>91</v>
      </c>
      <c r="L4745">
        <v>6</v>
      </c>
      <c r="M4745" t="s">
        <v>19893</v>
      </c>
      <c r="N4745" t="s">
        <v>47</v>
      </c>
      <c r="O4745" t="s">
        <v>9477</v>
      </c>
      <c r="P4745" t="s">
        <v>9477</v>
      </c>
      <c r="Y4745" t="s">
        <v>19897</v>
      </c>
    </row>
    <row r="4746" spans="1:25">
      <c r="A4746" t="s">
        <v>19898</v>
      </c>
      <c r="B4746" t="s">
        <v>19899</v>
      </c>
      <c r="D4746" t="s">
        <v>9473</v>
      </c>
      <c r="E4746" t="s">
        <v>9474</v>
      </c>
      <c r="H4746" t="s">
        <v>19900</v>
      </c>
      <c r="J4746" t="s">
        <v>54</v>
      </c>
      <c r="K4746" t="s">
        <v>55</v>
      </c>
      <c r="L4746">
        <v>6</v>
      </c>
      <c r="M4746" t="s">
        <v>19901</v>
      </c>
      <c r="N4746" t="s">
        <v>47</v>
      </c>
      <c r="O4746" t="s">
        <v>9477</v>
      </c>
      <c r="P4746" t="s">
        <v>9477</v>
      </c>
      <c r="Y4746" t="s">
        <v>19900</v>
      </c>
    </row>
    <row r="4747" spans="1:25">
      <c r="A4747" t="s">
        <v>19902</v>
      </c>
      <c r="B4747" t="s">
        <v>19903</v>
      </c>
      <c r="D4747" t="s">
        <v>9473</v>
      </c>
      <c r="E4747" t="s">
        <v>9474</v>
      </c>
      <c r="H4747" t="s">
        <v>19904</v>
      </c>
      <c r="J4747" t="s">
        <v>54</v>
      </c>
      <c r="K4747" t="s">
        <v>55</v>
      </c>
      <c r="L4747">
        <v>6</v>
      </c>
      <c r="M4747" t="s">
        <v>19901</v>
      </c>
      <c r="N4747" t="s">
        <v>47</v>
      </c>
      <c r="O4747" t="s">
        <v>9477</v>
      </c>
      <c r="P4747" t="s">
        <v>9477</v>
      </c>
      <c r="Y4747" t="s">
        <v>19904</v>
      </c>
    </row>
    <row r="4748" spans="1:25">
      <c r="A4748" t="s">
        <v>19905</v>
      </c>
      <c r="B4748" t="s">
        <v>19906</v>
      </c>
      <c r="D4748" t="s">
        <v>9473</v>
      </c>
      <c r="E4748" t="s">
        <v>9474</v>
      </c>
      <c r="J4748" t="s">
        <v>90</v>
      </c>
      <c r="K4748" t="s">
        <v>91</v>
      </c>
      <c r="L4748">
        <v>6</v>
      </c>
      <c r="M4748" t="s">
        <v>19901</v>
      </c>
      <c r="N4748" t="s">
        <v>47</v>
      </c>
      <c r="O4748" t="s">
        <v>9477</v>
      </c>
      <c r="P4748" t="s">
        <v>9477</v>
      </c>
      <c r="Y4748" t="s">
        <v>19907</v>
      </c>
    </row>
    <row r="4749" spans="1:25">
      <c r="A4749" t="s">
        <v>19908</v>
      </c>
      <c r="B4749" t="s">
        <v>19909</v>
      </c>
      <c r="D4749" t="s">
        <v>9473</v>
      </c>
      <c r="E4749" t="s">
        <v>9474</v>
      </c>
      <c r="J4749" t="s">
        <v>78</v>
      </c>
      <c r="K4749" t="s">
        <v>79</v>
      </c>
      <c r="L4749">
        <v>6</v>
      </c>
      <c r="M4749" t="s">
        <v>19910</v>
      </c>
      <c r="N4749" t="s">
        <v>47</v>
      </c>
      <c r="O4749" t="s">
        <v>9477</v>
      </c>
      <c r="P4749" t="s">
        <v>9477</v>
      </c>
      <c r="Y4749" t="s">
        <v>19911</v>
      </c>
    </row>
    <row r="4750" spans="1:25">
      <c r="A4750" t="s">
        <v>19912</v>
      </c>
      <c r="B4750" t="s">
        <v>19913</v>
      </c>
      <c r="D4750" t="s">
        <v>9473</v>
      </c>
      <c r="E4750" t="s">
        <v>9474</v>
      </c>
      <c r="J4750" t="s">
        <v>78</v>
      </c>
      <c r="K4750" t="s">
        <v>79</v>
      </c>
      <c r="L4750">
        <v>6</v>
      </c>
      <c r="M4750" t="s">
        <v>19914</v>
      </c>
      <c r="N4750" t="s">
        <v>47</v>
      </c>
      <c r="O4750" t="s">
        <v>9477</v>
      </c>
      <c r="P4750" t="s">
        <v>9477</v>
      </c>
      <c r="Y4750" t="s">
        <v>19915</v>
      </c>
    </row>
    <row r="4751" spans="1:25">
      <c r="A4751" t="s">
        <v>19916</v>
      </c>
      <c r="B4751" t="s">
        <v>19917</v>
      </c>
      <c r="D4751" t="s">
        <v>9473</v>
      </c>
      <c r="E4751" t="s">
        <v>9474</v>
      </c>
      <c r="H4751" t="s">
        <v>19918</v>
      </c>
      <c r="J4751" t="s">
        <v>78</v>
      </c>
      <c r="K4751" t="s">
        <v>79</v>
      </c>
      <c r="L4751">
        <v>6</v>
      </c>
      <c r="M4751" t="s">
        <v>19914</v>
      </c>
      <c r="N4751" t="s">
        <v>47</v>
      </c>
      <c r="O4751" t="s">
        <v>9477</v>
      </c>
      <c r="P4751" t="s">
        <v>9477</v>
      </c>
      <c r="Y4751" t="s">
        <v>19918</v>
      </c>
    </row>
    <row r="4752" spans="1:25">
      <c r="A4752" t="s">
        <v>19919</v>
      </c>
      <c r="B4752" t="s">
        <v>19920</v>
      </c>
      <c r="D4752" t="s">
        <v>9473</v>
      </c>
      <c r="E4752" t="s">
        <v>9474</v>
      </c>
      <c r="J4752" t="s">
        <v>90</v>
      </c>
      <c r="K4752" t="s">
        <v>91</v>
      </c>
      <c r="L4752">
        <v>6</v>
      </c>
      <c r="M4752" t="s">
        <v>19914</v>
      </c>
      <c r="N4752" t="s">
        <v>47</v>
      </c>
      <c r="O4752" t="s">
        <v>9477</v>
      </c>
      <c r="P4752" t="s">
        <v>9477</v>
      </c>
      <c r="Y4752" t="s">
        <v>19921</v>
      </c>
    </row>
    <row r="4753" spans="1:25">
      <c r="A4753" t="s">
        <v>19922</v>
      </c>
      <c r="B4753" t="s">
        <v>19923</v>
      </c>
      <c r="D4753" t="s">
        <v>9473</v>
      </c>
      <c r="E4753" t="s">
        <v>9474</v>
      </c>
      <c r="H4753" t="s">
        <v>19924</v>
      </c>
      <c r="J4753" t="s">
        <v>44</v>
      </c>
      <c r="K4753" t="s">
        <v>45</v>
      </c>
      <c r="L4753">
        <v>6</v>
      </c>
      <c r="M4753" t="s">
        <v>19925</v>
      </c>
      <c r="N4753" t="s">
        <v>47</v>
      </c>
      <c r="O4753" t="s">
        <v>9477</v>
      </c>
      <c r="P4753" t="s">
        <v>9477</v>
      </c>
      <c r="Y4753" t="s">
        <v>19924</v>
      </c>
    </row>
    <row r="4754" spans="1:25">
      <c r="A4754" t="s">
        <v>19926</v>
      </c>
      <c r="B4754" t="s">
        <v>19927</v>
      </c>
      <c r="D4754" t="s">
        <v>9473</v>
      </c>
      <c r="E4754" t="s">
        <v>9474</v>
      </c>
      <c r="H4754" t="s">
        <v>19928</v>
      </c>
      <c r="J4754" t="s">
        <v>1827</v>
      </c>
      <c r="K4754" t="s">
        <v>1828</v>
      </c>
      <c r="L4754">
        <v>6</v>
      </c>
      <c r="M4754" t="s">
        <v>19929</v>
      </c>
      <c r="N4754" t="s">
        <v>47</v>
      </c>
      <c r="O4754" t="s">
        <v>9477</v>
      </c>
      <c r="P4754" t="s">
        <v>9477</v>
      </c>
      <c r="Y4754" t="s">
        <v>19928</v>
      </c>
    </row>
    <row r="4755" spans="1:25">
      <c r="A4755" t="s">
        <v>19930</v>
      </c>
      <c r="B4755" t="s">
        <v>19931</v>
      </c>
      <c r="D4755" t="s">
        <v>9473</v>
      </c>
      <c r="E4755" t="s">
        <v>9474</v>
      </c>
      <c r="J4755" t="s">
        <v>44</v>
      </c>
      <c r="K4755" t="s">
        <v>45</v>
      </c>
      <c r="L4755">
        <v>6</v>
      </c>
      <c r="M4755" t="s">
        <v>19932</v>
      </c>
      <c r="N4755" t="s">
        <v>47</v>
      </c>
      <c r="O4755" t="s">
        <v>9477</v>
      </c>
      <c r="P4755" t="s">
        <v>9477</v>
      </c>
      <c r="Y4755" t="s">
        <v>19933</v>
      </c>
    </row>
    <row r="4756" spans="1:25">
      <c r="A4756" t="s">
        <v>19934</v>
      </c>
      <c r="B4756" t="s">
        <v>19935</v>
      </c>
      <c r="D4756" t="s">
        <v>9473</v>
      </c>
      <c r="E4756" t="s">
        <v>9474</v>
      </c>
      <c r="J4756" t="s">
        <v>133</v>
      </c>
      <c r="K4756" t="s">
        <v>134</v>
      </c>
      <c r="L4756">
        <v>6</v>
      </c>
      <c r="M4756" t="s">
        <v>19936</v>
      </c>
      <c r="N4756" t="s">
        <v>135</v>
      </c>
      <c r="O4756" t="s">
        <v>9477</v>
      </c>
      <c r="P4756" t="s">
        <v>9477</v>
      </c>
      <c r="Y4756" t="s">
        <v>19937</v>
      </c>
    </row>
    <row r="4757" spans="1:25">
      <c r="A4757" t="s">
        <v>19938</v>
      </c>
      <c r="B4757" t="s">
        <v>19939</v>
      </c>
      <c r="D4757" t="s">
        <v>9473</v>
      </c>
      <c r="E4757" t="s">
        <v>9474</v>
      </c>
      <c r="J4757" t="s">
        <v>54</v>
      </c>
      <c r="K4757" t="s">
        <v>55</v>
      </c>
      <c r="L4757">
        <v>6</v>
      </c>
      <c r="M4757" t="s">
        <v>19936</v>
      </c>
      <c r="N4757" t="s">
        <v>47</v>
      </c>
      <c r="O4757" t="s">
        <v>9477</v>
      </c>
      <c r="P4757" t="s">
        <v>9477</v>
      </c>
      <c r="Y4757" t="s">
        <v>19940</v>
      </c>
    </row>
    <row r="4758" spans="1:25">
      <c r="A4758" t="s">
        <v>19941</v>
      </c>
      <c r="B4758" t="s">
        <v>19942</v>
      </c>
      <c r="D4758" t="s">
        <v>9473</v>
      </c>
      <c r="E4758" t="s">
        <v>9474</v>
      </c>
      <c r="J4758" t="s">
        <v>90</v>
      </c>
      <c r="K4758" t="s">
        <v>91</v>
      </c>
      <c r="L4758">
        <v>6</v>
      </c>
      <c r="M4758" t="s">
        <v>19943</v>
      </c>
      <c r="N4758" t="s">
        <v>47</v>
      </c>
      <c r="O4758" t="s">
        <v>9477</v>
      </c>
      <c r="P4758" t="s">
        <v>9477</v>
      </c>
      <c r="Y4758" t="s">
        <v>19944</v>
      </c>
    </row>
    <row r="4759" spans="1:25">
      <c r="A4759" t="s">
        <v>19945</v>
      </c>
      <c r="B4759" t="s">
        <v>19946</v>
      </c>
      <c r="D4759" t="s">
        <v>9473</v>
      </c>
      <c r="E4759" t="s">
        <v>9474</v>
      </c>
      <c r="J4759" t="s">
        <v>371</v>
      </c>
      <c r="K4759" t="s">
        <v>372</v>
      </c>
      <c r="L4759">
        <v>6</v>
      </c>
      <c r="M4759" t="s">
        <v>19943</v>
      </c>
      <c r="N4759" t="s">
        <v>47</v>
      </c>
      <c r="O4759" t="s">
        <v>9477</v>
      </c>
      <c r="P4759" t="s">
        <v>9477</v>
      </c>
      <c r="Y4759" t="s">
        <v>19947</v>
      </c>
    </row>
    <row r="4760" spans="1:25">
      <c r="A4760" t="s">
        <v>19948</v>
      </c>
      <c r="B4760" t="s">
        <v>19949</v>
      </c>
      <c r="D4760" t="s">
        <v>9473</v>
      </c>
      <c r="E4760" t="s">
        <v>9474</v>
      </c>
      <c r="J4760" t="s">
        <v>44</v>
      </c>
      <c r="K4760" t="s">
        <v>45</v>
      </c>
      <c r="L4760">
        <v>6</v>
      </c>
      <c r="M4760" t="s">
        <v>19943</v>
      </c>
      <c r="N4760" t="s">
        <v>47</v>
      </c>
      <c r="O4760" t="s">
        <v>9477</v>
      </c>
      <c r="P4760" t="s">
        <v>9477</v>
      </c>
      <c r="Y4760" t="s">
        <v>19950</v>
      </c>
    </row>
    <row r="4761" spans="1:25">
      <c r="A4761" t="s">
        <v>19951</v>
      </c>
      <c r="B4761" t="s">
        <v>19952</v>
      </c>
      <c r="D4761" t="s">
        <v>9473</v>
      </c>
      <c r="E4761" t="s">
        <v>9474</v>
      </c>
      <c r="H4761" t="s">
        <v>19953</v>
      </c>
      <c r="J4761" t="s">
        <v>90</v>
      </c>
      <c r="K4761" t="s">
        <v>91</v>
      </c>
      <c r="L4761">
        <v>6</v>
      </c>
      <c r="M4761" t="s">
        <v>19954</v>
      </c>
      <c r="N4761" t="s">
        <v>47</v>
      </c>
      <c r="O4761" t="s">
        <v>9477</v>
      </c>
      <c r="P4761" t="s">
        <v>9477</v>
      </c>
      <c r="Y4761" t="s">
        <v>19953</v>
      </c>
    </row>
    <row r="4762" spans="1:25">
      <c r="A4762" t="s">
        <v>19955</v>
      </c>
      <c r="B4762" t="s">
        <v>19956</v>
      </c>
      <c r="D4762" t="s">
        <v>9473</v>
      </c>
      <c r="E4762" t="s">
        <v>9474</v>
      </c>
      <c r="H4762" t="s">
        <v>19957</v>
      </c>
      <c r="J4762" t="s">
        <v>44</v>
      </c>
      <c r="K4762" t="s">
        <v>45</v>
      </c>
      <c r="L4762">
        <v>6</v>
      </c>
      <c r="M4762" t="s">
        <v>19958</v>
      </c>
      <c r="N4762" t="s">
        <v>47</v>
      </c>
      <c r="O4762" t="s">
        <v>9477</v>
      </c>
      <c r="P4762" t="s">
        <v>9477</v>
      </c>
      <c r="Y4762" t="s">
        <v>19957</v>
      </c>
    </row>
    <row r="4763" spans="1:25">
      <c r="A4763" t="s">
        <v>19959</v>
      </c>
      <c r="B4763" t="s">
        <v>19960</v>
      </c>
      <c r="D4763" t="s">
        <v>9473</v>
      </c>
      <c r="E4763" t="s">
        <v>9474</v>
      </c>
      <c r="J4763" t="s">
        <v>44</v>
      </c>
      <c r="K4763" t="s">
        <v>45</v>
      </c>
      <c r="L4763">
        <v>6</v>
      </c>
      <c r="M4763" t="s">
        <v>19961</v>
      </c>
      <c r="N4763" t="s">
        <v>47</v>
      </c>
      <c r="O4763" t="s">
        <v>9477</v>
      </c>
      <c r="P4763" t="s">
        <v>9477</v>
      </c>
      <c r="Y4763" t="s">
        <v>19962</v>
      </c>
    </row>
    <row r="4764" spans="1:25">
      <c r="A4764" t="s">
        <v>19963</v>
      </c>
      <c r="B4764" t="s">
        <v>19964</v>
      </c>
      <c r="D4764" t="s">
        <v>9473</v>
      </c>
      <c r="E4764" t="s">
        <v>9474</v>
      </c>
      <c r="J4764" t="s">
        <v>90</v>
      </c>
      <c r="K4764" t="s">
        <v>91</v>
      </c>
      <c r="L4764">
        <v>6</v>
      </c>
      <c r="M4764" t="s">
        <v>19965</v>
      </c>
      <c r="N4764" t="s">
        <v>47</v>
      </c>
      <c r="O4764" t="s">
        <v>9477</v>
      </c>
      <c r="P4764" t="s">
        <v>9477</v>
      </c>
      <c r="Y4764" t="s">
        <v>19966</v>
      </c>
    </row>
    <row r="4765" spans="1:25">
      <c r="A4765" t="s">
        <v>19967</v>
      </c>
      <c r="B4765" t="s">
        <v>19968</v>
      </c>
      <c r="D4765" t="s">
        <v>9473</v>
      </c>
      <c r="E4765" t="s">
        <v>9474</v>
      </c>
      <c r="J4765" t="s">
        <v>765</v>
      </c>
      <c r="K4765" t="s">
        <v>766</v>
      </c>
      <c r="L4765">
        <v>6</v>
      </c>
      <c r="M4765" t="s">
        <v>19969</v>
      </c>
      <c r="N4765" t="s">
        <v>290</v>
      </c>
      <c r="O4765" t="s">
        <v>9477</v>
      </c>
      <c r="P4765" t="s">
        <v>9477</v>
      </c>
      <c r="Y4765" t="s">
        <v>19970</v>
      </c>
    </row>
    <row r="4766" spans="1:25">
      <c r="A4766" t="s">
        <v>19971</v>
      </c>
      <c r="B4766" t="s">
        <v>19972</v>
      </c>
      <c r="D4766" t="s">
        <v>9473</v>
      </c>
      <c r="E4766" t="s">
        <v>9474</v>
      </c>
      <c r="J4766" t="s">
        <v>78</v>
      </c>
      <c r="K4766" t="s">
        <v>79</v>
      </c>
      <c r="L4766">
        <v>6</v>
      </c>
      <c r="M4766" t="s">
        <v>19969</v>
      </c>
      <c r="N4766" t="s">
        <v>47</v>
      </c>
      <c r="O4766" t="s">
        <v>9477</v>
      </c>
      <c r="P4766" t="s">
        <v>9477</v>
      </c>
      <c r="Y4766" t="s">
        <v>19973</v>
      </c>
    </row>
    <row r="4767" spans="1:25">
      <c r="A4767" t="s">
        <v>19974</v>
      </c>
      <c r="B4767" t="s">
        <v>19975</v>
      </c>
      <c r="D4767" t="s">
        <v>9473</v>
      </c>
      <c r="E4767" t="s">
        <v>9474</v>
      </c>
      <c r="J4767" t="s">
        <v>90</v>
      </c>
      <c r="K4767" t="s">
        <v>91</v>
      </c>
      <c r="L4767">
        <v>6</v>
      </c>
      <c r="M4767" t="s">
        <v>19969</v>
      </c>
      <c r="N4767" t="s">
        <v>47</v>
      </c>
      <c r="O4767" t="s">
        <v>9477</v>
      </c>
      <c r="P4767" t="s">
        <v>9477</v>
      </c>
      <c r="Y4767" t="s">
        <v>19976</v>
      </c>
    </row>
    <row r="4768" spans="1:25">
      <c r="A4768" t="s">
        <v>19977</v>
      </c>
      <c r="B4768" t="s">
        <v>19978</v>
      </c>
      <c r="D4768" t="s">
        <v>9473</v>
      </c>
      <c r="E4768" t="s">
        <v>9474</v>
      </c>
      <c r="J4768" t="s">
        <v>133</v>
      </c>
      <c r="K4768" t="s">
        <v>134</v>
      </c>
      <c r="L4768">
        <v>6</v>
      </c>
      <c r="M4768" t="s">
        <v>19979</v>
      </c>
      <c r="N4768" t="s">
        <v>685</v>
      </c>
      <c r="O4768" t="s">
        <v>9477</v>
      </c>
      <c r="P4768" t="s">
        <v>9477</v>
      </c>
      <c r="Y4768" t="s">
        <v>19980</v>
      </c>
    </row>
    <row r="4769" spans="1:25">
      <c r="A4769" t="s">
        <v>19981</v>
      </c>
      <c r="B4769" t="s">
        <v>19982</v>
      </c>
      <c r="D4769" t="s">
        <v>9473</v>
      </c>
      <c r="E4769" t="s">
        <v>9474</v>
      </c>
      <c r="J4769" t="s">
        <v>90</v>
      </c>
      <c r="K4769" t="s">
        <v>91</v>
      </c>
      <c r="L4769">
        <v>6</v>
      </c>
      <c r="M4769" t="s">
        <v>19979</v>
      </c>
      <c r="N4769" t="s">
        <v>47</v>
      </c>
      <c r="O4769" t="s">
        <v>9477</v>
      </c>
      <c r="P4769" t="s">
        <v>9477</v>
      </c>
      <c r="Y4769" t="s">
        <v>19983</v>
      </c>
    </row>
    <row r="4770" spans="1:25">
      <c r="A4770" t="s">
        <v>19984</v>
      </c>
      <c r="B4770" t="s">
        <v>19985</v>
      </c>
      <c r="D4770" t="s">
        <v>9473</v>
      </c>
      <c r="E4770" t="s">
        <v>9474</v>
      </c>
      <c r="J4770" t="s">
        <v>54</v>
      </c>
      <c r="K4770" t="s">
        <v>55</v>
      </c>
      <c r="L4770">
        <v>6</v>
      </c>
      <c r="M4770" t="s">
        <v>19986</v>
      </c>
      <c r="N4770" t="s">
        <v>47</v>
      </c>
      <c r="O4770" t="s">
        <v>9477</v>
      </c>
      <c r="P4770" t="s">
        <v>9477</v>
      </c>
      <c r="Y4770" t="s">
        <v>19987</v>
      </c>
    </row>
    <row r="4771" spans="1:25">
      <c r="A4771" t="s">
        <v>19988</v>
      </c>
      <c r="B4771" t="s">
        <v>19989</v>
      </c>
      <c r="D4771" t="s">
        <v>9473</v>
      </c>
      <c r="E4771" t="s">
        <v>9474</v>
      </c>
      <c r="H4771" t="s">
        <v>19990</v>
      </c>
      <c r="J4771" t="s">
        <v>1827</v>
      </c>
      <c r="K4771" t="s">
        <v>1828</v>
      </c>
      <c r="L4771">
        <v>6</v>
      </c>
      <c r="M4771" t="s">
        <v>19991</v>
      </c>
      <c r="N4771" t="s">
        <v>47</v>
      </c>
      <c r="O4771" t="s">
        <v>9477</v>
      </c>
      <c r="P4771" t="s">
        <v>9477</v>
      </c>
      <c r="Y4771" t="s">
        <v>19990</v>
      </c>
    </row>
    <row r="4772" spans="1:25">
      <c r="A4772" t="s">
        <v>19992</v>
      </c>
      <c r="B4772" t="s">
        <v>19993</v>
      </c>
      <c r="D4772" t="s">
        <v>9473</v>
      </c>
      <c r="E4772" t="s">
        <v>9474</v>
      </c>
      <c r="J4772" t="s">
        <v>371</v>
      </c>
      <c r="K4772" t="s">
        <v>372</v>
      </c>
      <c r="L4772">
        <v>6</v>
      </c>
      <c r="M4772" t="s">
        <v>19994</v>
      </c>
      <c r="N4772" t="s">
        <v>47</v>
      </c>
      <c r="O4772" t="s">
        <v>9477</v>
      </c>
      <c r="P4772" t="s">
        <v>9477</v>
      </c>
      <c r="Y4772" t="s">
        <v>19995</v>
      </c>
    </row>
    <row r="4773" spans="1:25">
      <c r="A4773" t="s">
        <v>19996</v>
      </c>
      <c r="B4773" t="s">
        <v>19997</v>
      </c>
      <c r="D4773" t="s">
        <v>9473</v>
      </c>
      <c r="E4773" t="s">
        <v>9474</v>
      </c>
      <c r="J4773" t="s">
        <v>54</v>
      </c>
      <c r="K4773" t="s">
        <v>55</v>
      </c>
      <c r="L4773">
        <v>6</v>
      </c>
      <c r="M4773" t="s">
        <v>19998</v>
      </c>
      <c r="N4773" t="s">
        <v>47</v>
      </c>
      <c r="O4773" t="s">
        <v>9477</v>
      </c>
      <c r="P4773" t="s">
        <v>9477</v>
      </c>
      <c r="Y4773" t="s">
        <v>19999</v>
      </c>
    </row>
    <row r="4774" spans="1:25">
      <c r="A4774" t="s">
        <v>20000</v>
      </c>
      <c r="B4774" t="s">
        <v>20001</v>
      </c>
      <c r="D4774" t="s">
        <v>9473</v>
      </c>
      <c r="E4774" t="s">
        <v>9474</v>
      </c>
      <c r="J4774" t="s">
        <v>90</v>
      </c>
      <c r="K4774" t="s">
        <v>91</v>
      </c>
      <c r="L4774">
        <v>6</v>
      </c>
      <c r="M4774" t="s">
        <v>20002</v>
      </c>
      <c r="N4774" t="s">
        <v>47</v>
      </c>
      <c r="O4774" t="s">
        <v>9477</v>
      </c>
      <c r="P4774" t="s">
        <v>9477</v>
      </c>
      <c r="Y4774" t="s">
        <v>20003</v>
      </c>
    </row>
    <row r="4775" spans="1:25">
      <c r="A4775" t="s">
        <v>20004</v>
      </c>
      <c r="B4775" t="s">
        <v>20005</v>
      </c>
      <c r="D4775" t="s">
        <v>9473</v>
      </c>
      <c r="E4775" t="s">
        <v>9474</v>
      </c>
      <c r="J4775" t="s">
        <v>44</v>
      </c>
      <c r="K4775" t="s">
        <v>45</v>
      </c>
      <c r="L4775">
        <v>6</v>
      </c>
      <c r="M4775" t="s">
        <v>20006</v>
      </c>
      <c r="N4775" t="s">
        <v>47</v>
      </c>
      <c r="O4775" t="s">
        <v>9477</v>
      </c>
      <c r="P4775" t="s">
        <v>9477</v>
      </c>
      <c r="Y4775" t="s">
        <v>20007</v>
      </c>
    </row>
    <row r="4776" spans="1:25">
      <c r="A4776" t="s">
        <v>20008</v>
      </c>
      <c r="B4776" t="s">
        <v>20009</v>
      </c>
      <c r="D4776" t="s">
        <v>9473</v>
      </c>
      <c r="E4776" t="s">
        <v>9474</v>
      </c>
      <c r="J4776" t="s">
        <v>90</v>
      </c>
      <c r="K4776" t="s">
        <v>91</v>
      </c>
      <c r="L4776">
        <v>6</v>
      </c>
      <c r="M4776" t="s">
        <v>20010</v>
      </c>
      <c r="N4776" t="s">
        <v>47</v>
      </c>
      <c r="O4776" t="s">
        <v>9477</v>
      </c>
      <c r="P4776" t="s">
        <v>9477</v>
      </c>
      <c r="Y4776" t="s">
        <v>20011</v>
      </c>
    </row>
    <row r="4777" spans="1:25">
      <c r="A4777" t="s">
        <v>20012</v>
      </c>
      <c r="B4777" t="s">
        <v>20013</v>
      </c>
      <c r="D4777" t="s">
        <v>9473</v>
      </c>
      <c r="E4777" t="s">
        <v>9474</v>
      </c>
      <c r="H4777" t="s">
        <v>20014</v>
      </c>
      <c r="J4777" t="s">
        <v>541</v>
      </c>
      <c r="K4777" t="s">
        <v>542</v>
      </c>
      <c r="L4777">
        <v>6</v>
      </c>
      <c r="M4777" t="s">
        <v>20015</v>
      </c>
      <c r="N4777" t="s">
        <v>685</v>
      </c>
      <c r="O4777" t="s">
        <v>9477</v>
      </c>
      <c r="P4777" t="s">
        <v>9477</v>
      </c>
      <c r="Y4777" t="s">
        <v>20014</v>
      </c>
    </row>
    <row r="4778" spans="1:25">
      <c r="A4778" t="s">
        <v>20016</v>
      </c>
      <c r="B4778" t="s">
        <v>20017</v>
      </c>
      <c r="D4778" t="s">
        <v>9473</v>
      </c>
      <c r="E4778" t="s">
        <v>9474</v>
      </c>
      <c r="J4778" t="s">
        <v>90</v>
      </c>
      <c r="K4778" t="s">
        <v>91</v>
      </c>
      <c r="L4778">
        <v>6</v>
      </c>
      <c r="M4778" t="s">
        <v>20018</v>
      </c>
      <c r="N4778" t="s">
        <v>47</v>
      </c>
      <c r="O4778" t="s">
        <v>9477</v>
      </c>
      <c r="P4778" t="s">
        <v>9477</v>
      </c>
      <c r="Y4778" t="s">
        <v>20019</v>
      </c>
    </row>
    <row r="4779" spans="1:25">
      <c r="A4779" t="s">
        <v>20020</v>
      </c>
      <c r="B4779" t="s">
        <v>20021</v>
      </c>
      <c r="D4779" t="s">
        <v>9473</v>
      </c>
      <c r="E4779" t="s">
        <v>9474</v>
      </c>
      <c r="J4779" t="s">
        <v>90</v>
      </c>
      <c r="K4779" t="s">
        <v>91</v>
      </c>
      <c r="L4779">
        <v>6</v>
      </c>
      <c r="M4779" t="s">
        <v>20022</v>
      </c>
      <c r="N4779" t="s">
        <v>47</v>
      </c>
      <c r="O4779" t="s">
        <v>9477</v>
      </c>
      <c r="P4779" t="s">
        <v>9477</v>
      </c>
      <c r="Y4779" t="s">
        <v>20023</v>
      </c>
    </row>
    <row r="4780" spans="1:25">
      <c r="A4780" t="s">
        <v>20024</v>
      </c>
      <c r="B4780" t="s">
        <v>20025</v>
      </c>
      <c r="D4780" t="s">
        <v>9473</v>
      </c>
      <c r="E4780" t="s">
        <v>9474</v>
      </c>
      <c r="J4780" t="s">
        <v>44</v>
      </c>
      <c r="K4780" t="s">
        <v>45</v>
      </c>
      <c r="L4780">
        <v>6</v>
      </c>
      <c r="M4780" t="s">
        <v>20026</v>
      </c>
      <c r="N4780" t="s">
        <v>47</v>
      </c>
      <c r="O4780" t="s">
        <v>9477</v>
      </c>
      <c r="P4780" t="s">
        <v>9477</v>
      </c>
      <c r="Y4780" t="s">
        <v>20027</v>
      </c>
    </row>
    <row r="4781" spans="1:25">
      <c r="A4781" t="s">
        <v>20028</v>
      </c>
      <c r="B4781" t="s">
        <v>20029</v>
      </c>
      <c r="D4781" t="s">
        <v>9473</v>
      </c>
      <c r="E4781" t="s">
        <v>9474</v>
      </c>
      <c r="J4781" t="s">
        <v>1827</v>
      </c>
      <c r="K4781" t="s">
        <v>1828</v>
      </c>
      <c r="L4781">
        <v>6</v>
      </c>
      <c r="M4781" t="s">
        <v>20026</v>
      </c>
      <c r="N4781" t="s">
        <v>47</v>
      </c>
      <c r="O4781" t="s">
        <v>9477</v>
      </c>
      <c r="P4781" t="s">
        <v>9477</v>
      </c>
      <c r="Y4781" t="s">
        <v>20030</v>
      </c>
    </row>
    <row r="4782" spans="1:25">
      <c r="A4782" t="s">
        <v>20031</v>
      </c>
      <c r="B4782" t="s">
        <v>20032</v>
      </c>
      <c r="D4782" t="s">
        <v>9473</v>
      </c>
      <c r="E4782" t="s">
        <v>9474</v>
      </c>
      <c r="J4782" t="s">
        <v>5964</v>
      </c>
      <c r="K4782" t="s">
        <v>5965</v>
      </c>
      <c r="L4782">
        <v>6</v>
      </c>
      <c r="M4782" t="s">
        <v>20026</v>
      </c>
      <c r="N4782" t="s">
        <v>290</v>
      </c>
      <c r="O4782" t="s">
        <v>9477</v>
      </c>
      <c r="P4782" t="s">
        <v>9477</v>
      </c>
      <c r="Y4782" t="s">
        <v>20033</v>
      </c>
    </row>
    <row r="4783" spans="1:25">
      <c r="A4783" t="s">
        <v>20034</v>
      </c>
      <c r="B4783" t="s">
        <v>20035</v>
      </c>
      <c r="D4783" t="s">
        <v>9473</v>
      </c>
      <c r="E4783" t="s">
        <v>9474</v>
      </c>
      <c r="J4783" t="s">
        <v>133</v>
      </c>
      <c r="K4783" t="s">
        <v>134</v>
      </c>
      <c r="L4783">
        <v>6</v>
      </c>
      <c r="M4783" t="s">
        <v>20026</v>
      </c>
      <c r="N4783" t="s">
        <v>685</v>
      </c>
      <c r="O4783" t="s">
        <v>9477</v>
      </c>
      <c r="P4783" t="s">
        <v>9477</v>
      </c>
      <c r="Y4783" t="s">
        <v>20036</v>
      </c>
    </row>
    <row r="4784" spans="1:25">
      <c r="A4784" t="s">
        <v>20037</v>
      </c>
      <c r="B4784" t="s">
        <v>20038</v>
      </c>
      <c r="D4784" t="s">
        <v>9473</v>
      </c>
      <c r="E4784" t="s">
        <v>9474</v>
      </c>
      <c r="J4784" t="s">
        <v>78</v>
      </c>
      <c r="K4784" t="s">
        <v>79</v>
      </c>
      <c r="L4784">
        <v>6</v>
      </c>
      <c r="M4784" t="s">
        <v>20039</v>
      </c>
      <c r="N4784" t="s">
        <v>47</v>
      </c>
      <c r="O4784" t="s">
        <v>9477</v>
      </c>
      <c r="P4784" t="s">
        <v>9477</v>
      </c>
      <c r="Y4784" t="s">
        <v>20040</v>
      </c>
    </row>
    <row r="4785" spans="1:25">
      <c r="A4785" t="s">
        <v>20041</v>
      </c>
      <c r="B4785" t="s">
        <v>20042</v>
      </c>
      <c r="D4785" t="s">
        <v>9473</v>
      </c>
      <c r="E4785" t="s">
        <v>9474</v>
      </c>
      <c r="J4785" t="s">
        <v>90</v>
      </c>
      <c r="K4785" t="s">
        <v>91</v>
      </c>
      <c r="L4785">
        <v>6</v>
      </c>
      <c r="M4785" t="s">
        <v>20039</v>
      </c>
      <c r="N4785" t="s">
        <v>47</v>
      </c>
      <c r="O4785" t="s">
        <v>9477</v>
      </c>
      <c r="P4785" t="s">
        <v>9477</v>
      </c>
      <c r="Y4785" t="s">
        <v>20043</v>
      </c>
    </row>
    <row r="4786" spans="1:25">
      <c r="A4786" t="s">
        <v>20044</v>
      </c>
      <c r="B4786" t="s">
        <v>20045</v>
      </c>
      <c r="D4786" t="s">
        <v>9473</v>
      </c>
      <c r="E4786" t="s">
        <v>9474</v>
      </c>
      <c r="H4786" t="s">
        <v>20046</v>
      </c>
      <c r="J4786" t="s">
        <v>54</v>
      </c>
      <c r="K4786" t="s">
        <v>55</v>
      </c>
      <c r="L4786">
        <v>6</v>
      </c>
      <c r="M4786" t="s">
        <v>20039</v>
      </c>
      <c r="N4786" t="s">
        <v>47</v>
      </c>
      <c r="O4786" t="s">
        <v>9477</v>
      </c>
      <c r="P4786" t="s">
        <v>9477</v>
      </c>
      <c r="Y4786" t="s">
        <v>20046</v>
      </c>
    </row>
    <row r="4787" spans="1:25">
      <c r="A4787" t="s">
        <v>20047</v>
      </c>
      <c r="B4787" t="s">
        <v>20048</v>
      </c>
      <c r="D4787" t="s">
        <v>9473</v>
      </c>
      <c r="E4787" t="s">
        <v>9474</v>
      </c>
      <c r="H4787" t="s">
        <v>20049</v>
      </c>
      <c r="J4787" t="s">
        <v>234</v>
      </c>
      <c r="K4787" t="s">
        <v>235</v>
      </c>
      <c r="L4787">
        <v>6</v>
      </c>
      <c r="M4787" t="s">
        <v>20050</v>
      </c>
      <c r="N4787" t="s">
        <v>47</v>
      </c>
      <c r="O4787" t="s">
        <v>9477</v>
      </c>
      <c r="P4787" t="s">
        <v>9477</v>
      </c>
      <c r="Y4787" t="s">
        <v>20049</v>
      </c>
    </row>
    <row r="4788" spans="1:25">
      <c r="A4788" t="s">
        <v>20051</v>
      </c>
      <c r="B4788" t="s">
        <v>20052</v>
      </c>
      <c r="D4788" t="s">
        <v>9473</v>
      </c>
      <c r="E4788" t="s">
        <v>9474</v>
      </c>
      <c r="H4788" t="s">
        <v>20053</v>
      </c>
      <c r="J4788" t="s">
        <v>234</v>
      </c>
      <c r="K4788" t="s">
        <v>235</v>
      </c>
      <c r="L4788">
        <v>6</v>
      </c>
      <c r="M4788" t="s">
        <v>20054</v>
      </c>
      <c r="N4788" t="s">
        <v>47</v>
      </c>
      <c r="O4788" t="s">
        <v>9477</v>
      </c>
      <c r="P4788" t="s">
        <v>9477</v>
      </c>
      <c r="Y4788" t="s">
        <v>20053</v>
      </c>
    </row>
    <row r="4789" spans="1:25">
      <c r="A4789" t="s">
        <v>20055</v>
      </c>
      <c r="B4789" t="s">
        <v>20056</v>
      </c>
      <c r="D4789" t="s">
        <v>9473</v>
      </c>
      <c r="E4789" t="s">
        <v>9474</v>
      </c>
      <c r="H4789" t="s">
        <v>20057</v>
      </c>
      <c r="J4789" t="s">
        <v>497</v>
      </c>
      <c r="K4789" t="s">
        <v>498</v>
      </c>
      <c r="L4789">
        <v>7</v>
      </c>
      <c r="M4789" t="s">
        <v>20058</v>
      </c>
      <c r="N4789" t="s">
        <v>135</v>
      </c>
      <c r="O4789" t="s">
        <v>9477</v>
      </c>
      <c r="P4789" t="s">
        <v>9477</v>
      </c>
      <c r="Y4789" t="s">
        <v>20057</v>
      </c>
    </row>
    <row r="4790" spans="1:25">
      <c r="A4790" t="s">
        <v>20059</v>
      </c>
      <c r="B4790" t="s">
        <v>20060</v>
      </c>
      <c r="D4790" t="s">
        <v>9473</v>
      </c>
      <c r="E4790" t="s">
        <v>9474</v>
      </c>
      <c r="J4790" t="s">
        <v>90</v>
      </c>
      <c r="K4790" t="s">
        <v>91</v>
      </c>
      <c r="L4790">
        <v>6</v>
      </c>
      <c r="M4790" t="s">
        <v>20061</v>
      </c>
      <c r="N4790" t="s">
        <v>47</v>
      </c>
      <c r="O4790" t="s">
        <v>9477</v>
      </c>
      <c r="P4790" t="s">
        <v>9477</v>
      </c>
      <c r="Y4790" t="s">
        <v>20062</v>
      </c>
    </row>
    <row r="4791" spans="1:25">
      <c r="A4791" t="s">
        <v>20063</v>
      </c>
      <c r="B4791" t="s">
        <v>20064</v>
      </c>
      <c r="D4791" t="s">
        <v>9473</v>
      </c>
      <c r="E4791" t="s">
        <v>9474</v>
      </c>
      <c r="J4791" t="s">
        <v>54</v>
      </c>
      <c r="K4791" t="s">
        <v>55</v>
      </c>
      <c r="L4791">
        <v>6</v>
      </c>
      <c r="M4791" t="s">
        <v>20065</v>
      </c>
      <c r="N4791" t="s">
        <v>47</v>
      </c>
      <c r="O4791" t="s">
        <v>9477</v>
      </c>
      <c r="P4791" t="s">
        <v>9477</v>
      </c>
      <c r="Y4791" t="s">
        <v>20066</v>
      </c>
    </row>
    <row r="4792" spans="1:25">
      <c r="A4792" t="s">
        <v>20067</v>
      </c>
      <c r="B4792" t="s">
        <v>20068</v>
      </c>
      <c r="D4792" t="s">
        <v>9473</v>
      </c>
      <c r="E4792" t="s">
        <v>9474</v>
      </c>
      <c r="J4792" t="s">
        <v>497</v>
      </c>
      <c r="K4792" t="s">
        <v>498</v>
      </c>
      <c r="L4792">
        <v>6</v>
      </c>
      <c r="M4792" t="s">
        <v>20069</v>
      </c>
      <c r="N4792" t="s">
        <v>685</v>
      </c>
      <c r="O4792" t="s">
        <v>9477</v>
      </c>
      <c r="P4792" t="s">
        <v>9477</v>
      </c>
      <c r="Y4792" t="s">
        <v>20070</v>
      </c>
    </row>
    <row r="4793" spans="1:25">
      <c r="A4793" t="s">
        <v>20071</v>
      </c>
      <c r="B4793" t="s">
        <v>20072</v>
      </c>
      <c r="D4793" t="s">
        <v>9473</v>
      </c>
      <c r="E4793" t="s">
        <v>9474</v>
      </c>
      <c r="J4793" t="s">
        <v>90</v>
      </c>
      <c r="K4793" t="s">
        <v>91</v>
      </c>
      <c r="L4793">
        <v>6</v>
      </c>
      <c r="M4793" t="s">
        <v>20069</v>
      </c>
      <c r="N4793" t="s">
        <v>47</v>
      </c>
      <c r="O4793" t="s">
        <v>9477</v>
      </c>
      <c r="P4793" t="s">
        <v>9477</v>
      </c>
      <c r="Y4793" t="s">
        <v>20073</v>
      </c>
    </row>
    <row r="4794" spans="1:25">
      <c r="A4794" t="s">
        <v>20074</v>
      </c>
      <c r="B4794" t="s">
        <v>20075</v>
      </c>
      <c r="D4794" t="s">
        <v>9473</v>
      </c>
      <c r="E4794" t="s">
        <v>9474</v>
      </c>
      <c r="J4794" t="s">
        <v>78</v>
      </c>
      <c r="K4794" t="s">
        <v>79</v>
      </c>
      <c r="L4794">
        <v>6</v>
      </c>
      <c r="M4794" t="s">
        <v>20076</v>
      </c>
      <c r="N4794" t="s">
        <v>47</v>
      </c>
      <c r="O4794" t="s">
        <v>9477</v>
      </c>
      <c r="P4794" t="s">
        <v>9477</v>
      </c>
      <c r="Y4794" t="s">
        <v>20077</v>
      </c>
    </row>
    <row r="4795" spans="1:25">
      <c r="A4795" t="s">
        <v>20078</v>
      </c>
      <c r="B4795" t="s">
        <v>20079</v>
      </c>
      <c r="D4795" t="s">
        <v>9473</v>
      </c>
      <c r="E4795" t="s">
        <v>9474</v>
      </c>
      <c r="J4795" t="s">
        <v>927</v>
      </c>
      <c r="K4795" t="s">
        <v>928</v>
      </c>
      <c r="L4795">
        <v>6</v>
      </c>
      <c r="M4795" t="s">
        <v>20080</v>
      </c>
      <c r="N4795" t="s">
        <v>290</v>
      </c>
      <c r="O4795" t="s">
        <v>9477</v>
      </c>
      <c r="P4795" t="s">
        <v>9477</v>
      </c>
      <c r="Y4795" t="s">
        <v>20081</v>
      </c>
    </row>
    <row r="4796" spans="1:25">
      <c r="A4796" t="s">
        <v>20082</v>
      </c>
      <c r="B4796" t="s">
        <v>20083</v>
      </c>
      <c r="D4796" t="s">
        <v>9473</v>
      </c>
      <c r="E4796" t="s">
        <v>9474</v>
      </c>
      <c r="J4796" t="s">
        <v>90</v>
      </c>
      <c r="K4796" t="s">
        <v>91</v>
      </c>
      <c r="L4796">
        <v>6</v>
      </c>
      <c r="M4796" t="s">
        <v>20084</v>
      </c>
      <c r="N4796" t="s">
        <v>47</v>
      </c>
      <c r="O4796" t="s">
        <v>9477</v>
      </c>
      <c r="P4796" t="s">
        <v>9477</v>
      </c>
      <c r="Y4796" t="s">
        <v>20085</v>
      </c>
    </row>
    <row r="4797" spans="1:25">
      <c r="A4797" t="s">
        <v>20086</v>
      </c>
      <c r="B4797" t="s">
        <v>20087</v>
      </c>
      <c r="D4797" t="s">
        <v>9473</v>
      </c>
      <c r="E4797" t="s">
        <v>9474</v>
      </c>
      <c r="J4797" t="s">
        <v>90</v>
      </c>
      <c r="K4797" t="s">
        <v>91</v>
      </c>
      <c r="L4797">
        <v>6</v>
      </c>
      <c r="M4797" t="s">
        <v>20088</v>
      </c>
      <c r="N4797" t="s">
        <v>47</v>
      </c>
      <c r="O4797" t="s">
        <v>9477</v>
      </c>
      <c r="P4797" t="s">
        <v>9477</v>
      </c>
      <c r="Y4797" t="s">
        <v>20089</v>
      </c>
    </row>
    <row r="4798" spans="1:25">
      <c r="A4798" t="s">
        <v>20090</v>
      </c>
      <c r="B4798" t="s">
        <v>20091</v>
      </c>
      <c r="D4798" t="s">
        <v>9473</v>
      </c>
      <c r="E4798" t="s">
        <v>9474</v>
      </c>
      <c r="J4798" t="s">
        <v>44</v>
      </c>
      <c r="K4798" t="s">
        <v>45</v>
      </c>
      <c r="L4798">
        <v>6</v>
      </c>
      <c r="M4798" t="s">
        <v>20088</v>
      </c>
      <c r="N4798" t="s">
        <v>47</v>
      </c>
      <c r="O4798" t="s">
        <v>9477</v>
      </c>
      <c r="P4798" t="s">
        <v>9477</v>
      </c>
      <c r="Y4798" t="s">
        <v>20092</v>
      </c>
    </row>
    <row r="4799" spans="1:25">
      <c r="A4799" t="s">
        <v>20093</v>
      </c>
      <c r="B4799" t="s">
        <v>20094</v>
      </c>
      <c r="D4799" t="s">
        <v>9473</v>
      </c>
      <c r="E4799" t="s">
        <v>9474</v>
      </c>
      <c r="H4799" t="s">
        <v>20095</v>
      </c>
      <c r="J4799" t="s">
        <v>234</v>
      </c>
      <c r="K4799" t="s">
        <v>235</v>
      </c>
      <c r="L4799">
        <v>6</v>
      </c>
      <c r="M4799" t="s">
        <v>20096</v>
      </c>
      <c r="N4799" t="s">
        <v>47</v>
      </c>
      <c r="O4799" t="s">
        <v>9477</v>
      </c>
      <c r="P4799" t="s">
        <v>9477</v>
      </c>
      <c r="Y4799" t="s">
        <v>20095</v>
      </c>
    </row>
    <row r="4800" spans="1:25">
      <c r="A4800" t="s">
        <v>20097</v>
      </c>
      <c r="B4800" t="s">
        <v>20098</v>
      </c>
      <c r="D4800" t="s">
        <v>9473</v>
      </c>
      <c r="E4800" t="s">
        <v>9474</v>
      </c>
      <c r="J4800" t="s">
        <v>78</v>
      </c>
      <c r="K4800" t="s">
        <v>79</v>
      </c>
      <c r="L4800">
        <v>6</v>
      </c>
      <c r="M4800" t="s">
        <v>20099</v>
      </c>
      <c r="N4800" t="s">
        <v>47</v>
      </c>
      <c r="O4800" t="s">
        <v>9477</v>
      </c>
      <c r="P4800" t="s">
        <v>9477</v>
      </c>
      <c r="Y4800" t="s">
        <v>20100</v>
      </c>
    </row>
    <row r="4801" spans="1:25">
      <c r="A4801" t="s">
        <v>20101</v>
      </c>
      <c r="B4801" t="s">
        <v>20102</v>
      </c>
      <c r="D4801" t="s">
        <v>9473</v>
      </c>
      <c r="E4801" t="s">
        <v>9474</v>
      </c>
      <c r="J4801" t="s">
        <v>133</v>
      </c>
      <c r="K4801" t="s">
        <v>134</v>
      </c>
      <c r="L4801">
        <v>6</v>
      </c>
      <c r="M4801" t="s">
        <v>20103</v>
      </c>
      <c r="N4801" t="s">
        <v>290</v>
      </c>
      <c r="O4801" t="s">
        <v>9477</v>
      </c>
      <c r="P4801" t="s">
        <v>9477</v>
      </c>
      <c r="Y4801" t="s">
        <v>20104</v>
      </c>
    </row>
    <row r="4802" spans="1:25">
      <c r="A4802" t="s">
        <v>20105</v>
      </c>
      <c r="B4802" t="s">
        <v>20106</v>
      </c>
      <c r="D4802" t="s">
        <v>9473</v>
      </c>
      <c r="E4802" t="s">
        <v>9474</v>
      </c>
      <c r="J4802" t="s">
        <v>90</v>
      </c>
      <c r="K4802" t="s">
        <v>91</v>
      </c>
      <c r="L4802">
        <v>6</v>
      </c>
      <c r="M4802" t="s">
        <v>20107</v>
      </c>
      <c r="N4802" t="s">
        <v>47</v>
      </c>
      <c r="O4802" t="s">
        <v>9477</v>
      </c>
      <c r="P4802" t="s">
        <v>9477</v>
      </c>
      <c r="Y4802" t="s">
        <v>20108</v>
      </c>
    </row>
    <row r="4803" spans="1:25">
      <c r="A4803" t="s">
        <v>20109</v>
      </c>
      <c r="B4803" t="s">
        <v>20110</v>
      </c>
      <c r="D4803" t="s">
        <v>9473</v>
      </c>
      <c r="E4803" t="s">
        <v>9474</v>
      </c>
      <c r="J4803" t="s">
        <v>44</v>
      </c>
      <c r="K4803" t="s">
        <v>45</v>
      </c>
      <c r="L4803">
        <v>6</v>
      </c>
      <c r="M4803" t="s">
        <v>20107</v>
      </c>
      <c r="N4803" t="s">
        <v>47</v>
      </c>
      <c r="O4803" t="s">
        <v>9477</v>
      </c>
      <c r="P4803" t="s">
        <v>9477</v>
      </c>
      <c r="Y4803" t="s">
        <v>20111</v>
      </c>
    </row>
    <row r="4804" spans="1:25">
      <c r="A4804" t="s">
        <v>20112</v>
      </c>
      <c r="B4804" t="s">
        <v>20113</v>
      </c>
      <c r="D4804" t="s">
        <v>9473</v>
      </c>
      <c r="E4804" t="s">
        <v>9474</v>
      </c>
      <c r="J4804" t="s">
        <v>133</v>
      </c>
      <c r="K4804" t="s">
        <v>134</v>
      </c>
      <c r="L4804">
        <v>6</v>
      </c>
      <c r="M4804" t="s">
        <v>20107</v>
      </c>
      <c r="N4804" t="s">
        <v>685</v>
      </c>
      <c r="O4804" t="s">
        <v>9477</v>
      </c>
      <c r="P4804" t="s">
        <v>9477</v>
      </c>
      <c r="Y4804" t="s">
        <v>20114</v>
      </c>
    </row>
    <row r="4805" spans="1:25">
      <c r="A4805" t="s">
        <v>20115</v>
      </c>
      <c r="B4805" t="s">
        <v>20116</v>
      </c>
      <c r="D4805" t="s">
        <v>9473</v>
      </c>
      <c r="E4805" t="s">
        <v>9474</v>
      </c>
      <c r="H4805" t="s">
        <v>20117</v>
      </c>
      <c r="J4805" t="s">
        <v>78</v>
      </c>
      <c r="K4805" t="s">
        <v>79</v>
      </c>
      <c r="L4805">
        <v>6</v>
      </c>
      <c r="M4805" t="s">
        <v>20118</v>
      </c>
      <c r="N4805" t="s">
        <v>47</v>
      </c>
      <c r="O4805" t="s">
        <v>9477</v>
      </c>
      <c r="P4805" t="s">
        <v>9477</v>
      </c>
      <c r="Y4805" t="s">
        <v>20117</v>
      </c>
    </row>
    <row r="4806" spans="1:25">
      <c r="A4806" t="s">
        <v>20119</v>
      </c>
      <c r="B4806" t="s">
        <v>20120</v>
      </c>
      <c r="D4806" t="s">
        <v>9473</v>
      </c>
      <c r="E4806" t="s">
        <v>9474</v>
      </c>
      <c r="J4806" t="s">
        <v>54</v>
      </c>
      <c r="K4806" t="s">
        <v>55</v>
      </c>
      <c r="L4806">
        <v>6</v>
      </c>
      <c r="M4806" t="s">
        <v>20118</v>
      </c>
      <c r="N4806" t="s">
        <v>47</v>
      </c>
      <c r="O4806" t="s">
        <v>9477</v>
      </c>
      <c r="P4806" t="s">
        <v>9477</v>
      </c>
      <c r="Y4806" t="s">
        <v>20121</v>
      </c>
    </row>
    <row r="4807" spans="1:25">
      <c r="A4807" t="s">
        <v>20122</v>
      </c>
      <c r="B4807" t="s">
        <v>20123</v>
      </c>
      <c r="D4807" t="s">
        <v>9473</v>
      </c>
      <c r="E4807" t="s">
        <v>9474</v>
      </c>
      <c r="J4807" t="s">
        <v>90</v>
      </c>
      <c r="K4807" t="s">
        <v>91</v>
      </c>
      <c r="L4807">
        <v>6</v>
      </c>
      <c r="M4807" t="s">
        <v>20118</v>
      </c>
      <c r="N4807" t="s">
        <v>47</v>
      </c>
      <c r="O4807" t="s">
        <v>9477</v>
      </c>
      <c r="P4807" t="s">
        <v>9477</v>
      </c>
      <c r="Y4807" t="s">
        <v>20124</v>
      </c>
    </row>
    <row r="4808" spans="1:25">
      <c r="A4808" t="s">
        <v>20125</v>
      </c>
      <c r="B4808" t="s">
        <v>20126</v>
      </c>
      <c r="D4808" t="s">
        <v>9473</v>
      </c>
      <c r="E4808" t="s">
        <v>9474</v>
      </c>
      <c r="J4808" t="s">
        <v>78</v>
      </c>
      <c r="K4808" t="s">
        <v>79</v>
      </c>
      <c r="L4808">
        <v>6</v>
      </c>
      <c r="M4808" t="s">
        <v>20127</v>
      </c>
      <c r="N4808" t="s">
        <v>47</v>
      </c>
      <c r="O4808" t="s">
        <v>9477</v>
      </c>
      <c r="P4808" t="s">
        <v>9477</v>
      </c>
      <c r="Y4808" t="s">
        <v>20128</v>
      </c>
    </row>
    <row r="4809" spans="1:25">
      <c r="A4809" t="s">
        <v>20129</v>
      </c>
      <c r="B4809" t="s">
        <v>20130</v>
      </c>
      <c r="D4809" t="s">
        <v>9473</v>
      </c>
      <c r="E4809" t="s">
        <v>9474</v>
      </c>
      <c r="J4809" t="s">
        <v>78</v>
      </c>
      <c r="K4809" t="s">
        <v>79</v>
      </c>
      <c r="L4809">
        <v>6</v>
      </c>
      <c r="M4809" t="s">
        <v>20131</v>
      </c>
      <c r="N4809" t="s">
        <v>47</v>
      </c>
      <c r="O4809" t="s">
        <v>9477</v>
      </c>
      <c r="P4809" t="s">
        <v>9477</v>
      </c>
      <c r="Y4809" t="s">
        <v>20132</v>
      </c>
    </row>
    <row r="4810" spans="1:25">
      <c r="A4810" t="s">
        <v>20133</v>
      </c>
      <c r="B4810" t="s">
        <v>20134</v>
      </c>
      <c r="D4810" t="s">
        <v>9473</v>
      </c>
      <c r="E4810" t="s">
        <v>9474</v>
      </c>
      <c r="J4810" t="s">
        <v>44</v>
      </c>
      <c r="K4810" t="s">
        <v>45</v>
      </c>
      <c r="L4810">
        <v>6</v>
      </c>
      <c r="M4810" t="s">
        <v>20131</v>
      </c>
      <c r="N4810" t="s">
        <v>47</v>
      </c>
      <c r="O4810" t="s">
        <v>9477</v>
      </c>
      <c r="P4810" t="s">
        <v>9477</v>
      </c>
      <c r="Y4810" t="s">
        <v>20135</v>
      </c>
    </row>
    <row r="4811" spans="1:25">
      <c r="A4811" t="s">
        <v>20136</v>
      </c>
      <c r="B4811" t="s">
        <v>20137</v>
      </c>
      <c r="D4811" t="s">
        <v>9473</v>
      </c>
      <c r="E4811" t="s">
        <v>9474</v>
      </c>
      <c r="J4811" t="s">
        <v>78</v>
      </c>
      <c r="K4811" t="s">
        <v>79</v>
      </c>
      <c r="L4811">
        <v>6</v>
      </c>
      <c r="M4811" t="s">
        <v>20138</v>
      </c>
      <c r="N4811" t="s">
        <v>47</v>
      </c>
      <c r="O4811" t="s">
        <v>9477</v>
      </c>
      <c r="P4811" t="s">
        <v>9477</v>
      </c>
      <c r="Y4811" t="s">
        <v>20139</v>
      </c>
    </row>
    <row r="4812" spans="1:25">
      <c r="A4812" t="s">
        <v>20140</v>
      </c>
      <c r="B4812" t="s">
        <v>20141</v>
      </c>
      <c r="D4812" t="s">
        <v>9473</v>
      </c>
      <c r="E4812" t="s">
        <v>9474</v>
      </c>
      <c r="H4812" t="s">
        <v>20142</v>
      </c>
      <c r="J4812" t="s">
        <v>44</v>
      </c>
      <c r="K4812" t="s">
        <v>45</v>
      </c>
      <c r="L4812">
        <v>6</v>
      </c>
      <c r="M4812" t="s">
        <v>20143</v>
      </c>
      <c r="N4812" t="s">
        <v>47</v>
      </c>
      <c r="O4812" t="s">
        <v>9477</v>
      </c>
      <c r="P4812" t="s">
        <v>9477</v>
      </c>
      <c r="Y4812" t="s">
        <v>20142</v>
      </c>
    </row>
    <row r="4813" spans="1:25">
      <c r="A4813" t="s">
        <v>20144</v>
      </c>
      <c r="B4813" t="s">
        <v>20145</v>
      </c>
      <c r="D4813" t="s">
        <v>9473</v>
      </c>
      <c r="E4813" t="s">
        <v>9474</v>
      </c>
      <c r="H4813" t="s">
        <v>20146</v>
      </c>
      <c r="J4813" t="s">
        <v>44</v>
      </c>
      <c r="K4813" t="s">
        <v>45</v>
      </c>
      <c r="L4813">
        <v>6</v>
      </c>
      <c r="M4813" t="s">
        <v>20147</v>
      </c>
      <c r="N4813" t="s">
        <v>47</v>
      </c>
      <c r="O4813" t="s">
        <v>9477</v>
      </c>
      <c r="P4813" t="s">
        <v>9477</v>
      </c>
      <c r="Y4813" t="s">
        <v>20146</v>
      </c>
    </row>
    <row r="4814" spans="1:25">
      <c r="A4814" t="s">
        <v>20148</v>
      </c>
      <c r="B4814" t="s">
        <v>20149</v>
      </c>
      <c r="D4814" t="s">
        <v>9473</v>
      </c>
      <c r="E4814" t="s">
        <v>9474</v>
      </c>
      <c r="J4814" t="s">
        <v>54</v>
      </c>
      <c r="K4814" t="s">
        <v>55</v>
      </c>
      <c r="L4814">
        <v>6</v>
      </c>
      <c r="M4814" t="s">
        <v>20150</v>
      </c>
      <c r="N4814" t="s">
        <v>47</v>
      </c>
      <c r="O4814" t="s">
        <v>9477</v>
      </c>
      <c r="P4814" t="s">
        <v>9477</v>
      </c>
      <c r="Y4814" t="s">
        <v>20151</v>
      </c>
    </row>
    <row r="4815" spans="1:25">
      <c r="A4815" t="s">
        <v>20152</v>
      </c>
      <c r="B4815" t="s">
        <v>20153</v>
      </c>
      <c r="D4815" t="s">
        <v>9473</v>
      </c>
      <c r="E4815" t="s">
        <v>9474</v>
      </c>
      <c r="J4815" t="s">
        <v>54</v>
      </c>
      <c r="K4815" t="s">
        <v>55</v>
      </c>
      <c r="L4815">
        <v>6</v>
      </c>
      <c r="M4815" t="s">
        <v>20154</v>
      </c>
      <c r="N4815" t="s">
        <v>47</v>
      </c>
      <c r="O4815" t="s">
        <v>9477</v>
      </c>
      <c r="P4815" t="s">
        <v>9477</v>
      </c>
      <c r="Y4815" t="s">
        <v>20155</v>
      </c>
    </row>
    <row r="4816" spans="1:25">
      <c r="A4816" t="s">
        <v>20156</v>
      </c>
      <c r="B4816" t="s">
        <v>20157</v>
      </c>
      <c r="D4816" t="s">
        <v>9473</v>
      </c>
      <c r="E4816" t="s">
        <v>9474</v>
      </c>
      <c r="H4816" t="s">
        <v>20158</v>
      </c>
      <c r="J4816" t="s">
        <v>44</v>
      </c>
      <c r="K4816" t="s">
        <v>45</v>
      </c>
      <c r="L4816">
        <v>6</v>
      </c>
      <c r="M4816" t="s">
        <v>20154</v>
      </c>
      <c r="N4816" t="s">
        <v>47</v>
      </c>
      <c r="O4816" t="s">
        <v>9477</v>
      </c>
      <c r="P4816" t="s">
        <v>9477</v>
      </c>
      <c r="Y4816" t="s">
        <v>20158</v>
      </c>
    </row>
    <row r="4817" spans="1:25">
      <c r="A4817" t="s">
        <v>20159</v>
      </c>
      <c r="B4817" t="s">
        <v>20160</v>
      </c>
      <c r="D4817" t="s">
        <v>9473</v>
      </c>
      <c r="E4817" t="s">
        <v>9474</v>
      </c>
      <c r="H4817" t="s">
        <v>20161</v>
      </c>
      <c r="J4817" t="s">
        <v>90</v>
      </c>
      <c r="K4817" t="s">
        <v>91</v>
      </c>
      <c r="L4817">
        <v>6</v>
      </c>
      <c r="M4817" t="s">
        <v>20162</v>
      </c>
      <c r="N4817" t="s">
        <v>47</v>
      </c>
      <c r="O4817" t="s">
        <v>9477</v>
      </c>
      <c r="P4817" t="s">
        <v>9477</v>
      </c>
      <c r="Y4817" t="s">
        <v>20161</v>
      </c>
    </row>
    <row r="4818" spans="1:25">
      <c r="A4818" t="s">
        <v>20163</v>
      </c>
      <c r="B4818" t="s">
        <v>20164</v>
      </c>
      <c r="D4818" t="s">
        <v>9473</v>
      </c>
      <c r="E4818" t="s">
        <v>9474</v>
      </c>
      <c r="H4818" t="s">
        <v>20165</v>
      </c>
      <c r="J4818" t="s">
        <v>133</v>
      </c>
      <c r="K4818" t="s">
        <v>134</v>
      </c>
      <c r="L4818">
        <v>6</v>
      </c>
      <c r="M4818" t="s">
        <v>20162</v>
      </c>
      <c r="N4818" t="s">
        <v>685</v>
      </c>
      <c r="O4818" t="s">
        <v>9477</v>
      </c>
      <c r="P4818" t="s">
        <v>9477</v>
      </c>
      <c r="Y4818" t="s">
        <v>20165</v>
      </c>
    </row>
    <row r="4819" spans="1:25">
      <c r="A4819" t="s">
        <v>20166</v>
      </c>
      <c r="B4819" t="s">
        <v>20167</v>
      </c>
      <c r="D4819" t="s">
        <v>9473</v>
      </c>
      <c r="E4819" t="s">
        <v>9474</v>
      </c>
      <c r="H4819" t="s">
        <v>20168</v>
      </c>
      <c r="J4819" t="s">
        <v>133</v>
      </c>
      <c r="K4819" t="s">
        <v>134</v>
      </c>
      <c r="L4819">
        <v>6</v>
      </c>
      <c r="M4819" t="s">
        <v>20169</v>
      </c>
      <c r="N4819" t="s">
        <v>685</v>
      </c>
      <c r="O4819" t="s">
        <v>9477</v>
      </c>
      <c r="P4819" t="s">
        <v>9477</v>
      </c>
      <c r="Y4819" t="s">
        <v>20168</v>
      </c>
    </row>
    <row r="4820" spans="1:25">
      <c r="A4820" t="s">
        <v>20170</v>
      </c>
      <c r="B4820" t="s">
        <v>20171</v>
      </c>
      <c r="D4820" t="s">
        <v>9473</v>
      </c>
      <c r="E4820" t="s">
        <v>9474</v>
      </c>
      <c r="H4820" t="s">
        <v>20172</v>
      </c>
      <c r="J4820" t="s">
        <v>497</v>
      </c>
      <c r="K4820" t="s">
        <v>498</v>
      </c>
      <c r="L4820">
        <v>6</v>
      </c>
      <c r="M4820" t="s">
        <v>20173</v>
      </c>
      <c r="N4820" t="s">
        <v>290</v>
      </c>
      <c r="O4820" t="s">
        <v>9477</v>
      </c>
      <c r="P4820" t="s">
        <v>9477</v>
      </c>
      <c r="Y4820" t="s">
        <v>20172</v>
      </c>
    </row>
    <row r="4821" spans="1:25">
      <c r="A4821" t="s">
        <v>20174</v>
      </c>
      <c r="B4821" t="s">
        <v>20175</v>
      </c>
      <c r="D4821" t="s">
        <v>9473</v>
      </c>
      <c r="E4821" t="s">
        <v>9474</v>
      </c>
      <c r="H4821" t="s">
        <v>20176</v>
      </c>
      <c r="J4821" t="s">
        <v>390</v>
      </c>
      <c r="K4821" t="s">
        <v>390</v>
      </c>
      <c r="L4821">
        <v>6</v>
      </c>
      <c r="M4821" t="s">
        <v>20177</v>
      </c>
      <c r="N4821" t="s">
        <v>685</v>
      </c>
      <c r="O4821" t="s">
        <v>9477</v>
      </c>
      <c r="P4821" t="s">
        <v>9477</v>
      </c>
      <c r="Y4821" t="s">
        <v>20176</v>
      </c>
    </row>
    <row r="4822" spans="1:25">
      <c r="A4822" t="s">
        <v>20178</v>
      </c>
      <c r="B4822" t="s">
        <v>20179</v>
      </c>
      <c r="D4822" t="s">
        <v>9473</v>
      </c>
      <c r="E4822" t="s">
        <v>9474</v>
      </c>
      <c r="J4822" t="s">
        <v>90</v>
      </c>
      <c r="K4822" t="s">
        <v>91</v>
      </c>
      <c r="L4822">
        <v>6</v>
      </c>
      <c r="M4822" t="s">
        <v>20180</v>
      </c>
      <c r="N4822" t="s">
        <v>47</v>
      </c>
      <c r="O4822" t="s">
        <v>9477</v>
      </c>
      <c r="P4822" t="s">
        <v>9477</v>
      </c>
      <c r="Y4822" t="s">
        <v>20181</v>
      </c>
    </row>
    <row r="4823" spans="1:25">
      <c r="A4823" t="s">
        <v>20182</v>
      </c>
      <c r="B4823" t="s">
        <v>20183</v>
      </c>
      <c r="D4823" t="s">
        <v>9473</v>
      </c>
      <c r="E4823" t="s">
        <v>9474</v>
      </c>
      <c r="H4823" t="s">
        <v>20184</v>
      </c>
      <c r="J4823" t="s">
        <v>133</v>
      </c>
      <c r="K4823" t="s">
        <v>134</v>
      </c>
      <c r="L4823">
        <v>6</v>
      </c>
      <c r="M4823" t="s">
        <v>20185</v>
      </c>
      <c r="N4823" t="s">
        <v>135</v>
      </c>
      <c r="O4823" t="s">
        <v>9477</v>
      </c>
      <c r="P4823" t="s">
        <v>9477</v>
      </c>
      <c r="Y4823" t="s">
        <v>20184</v>
      </c>
    </row>
    <row r="4824" spans="1:25">
      <c r="A4824" t="s">
        <v>20186</v>
      </c>
      <c r="B4824" t="s">
        <v>20187</v>
      </c>
      <c r="D4824" t="s">
        <v>9473</v>
      </c>
      <c r="E4824" t="s">
        <v>9474</v>
      </c>
      <c r="J4824" t="s">
        <v>90</v>
      </c>
      <c r="K4824" t="s">
        <v>91</v>
      </c>
      <c r="L4824">
        <v>6</v>
      </c>
      <c r="M4824" t="s">
        <v>20188</v>
      </c>
      <c r="N4824" t="s">
        <v>47</v>
      </c>
      <c r="O4824" t="s">
        <v>9477</v>
      </c>
      <c r="P4824" t="s">
        <v>9477</v>
      </c>
      <c r="Y4824" t="s">
        <v>20189</v>
      </c>
    </row>
    <row r="4825" spans="1:25">
      <c r="A4825" t="s">
        <v>20190</v>
      </c>
      <c r="B4825" t="s">
        <v>20191</v>
      </c>
      <c r="D4825" t="s">
        <v>9473</v>
      </c>
      <c r="E4825" t="s">
        <v>9474</v>
      </c>
      <c r="J4825" t="s">
        <v>54</v>
      </c>
      <c r="K4825" t="s">
        <v>55</v>
      </c>
      <c r="L4825">
        <v>6</v>
      </c>
      <c r="M4825" t="s">
        <v>20192</v>
      </c>
      <c r="N4825" t="s">
        <v>47</v>
      </c>
      <c r="O4825" t="s">
        <v>9477</v>
      </c>
      <c r="P4825" t="s">
        <v>9477</v>
      </c>
      <c r="Y4825" t="s">
        <v>20193</v>
      </c>
    </row>
    <row r="4826" spans="1:25">
      <c r="A4826" t="s">
        <v>20194</v>
      </c>
      <c r="B4826" t="s">
        <v>20195</v>
      </c>
      <c r="D4826" t="s">
        <v>9473</v>
      </c>
      <c r="E4826" t="s">
        <v>9474</v>
      </c>
      <c r="J4826" t="s">
        <v>54</v>
      </c>
      <c r="K4826" t="s">
        <v>55</v>
      </c>
      <c r="L4826">
        <v>6</v>
      </c>
      <c r="M4826" t="s">
        <v>20192</v>
      </c>
      <c r="N4826" t="s">
        <v>47</v>
      </c>
      <c r="O4826" t="s">
        <v>9477</v>
      </c>
      <c r="P4826" t="s">
        <v>9477</v>
      </c>
      <c r="Y4826" t="s">
        <v>20196</v>
      </c>
    </row>
    <row r="4827" spans="1:25">
      <c r="A4827" t="s">
        <v>20197</v>
      </c>
      <c r="B4827" t="s">
        <v>20198</v>
      </c>
      <c r="D4827" t="s">
        <v>9473</v>
      </c>
      <c r="E4827" t="s">
        <v>9474</v>
      </c>
      <c r="H4827" t="s">
        <v>20199</v>
      </c>
      <c r="J4827" t="s">
        <v>44</v>
      </c>
      <c r="K4827" t="s">
        <v>45</v>
      </c>
      <c r="L4827">
        <v>6</v>
      </c>
      <c r="M4827" t="s">
        <v>20192</v>
      </c>
      <c r="N4827" t="s">
        <v>47</v>
      </c>
      <c r="O4827" t="s">
        <v>9477</v>
      </c>
      <c r="P4827" t="s">
        <v>9477</v>
      </c>
      <c r="Y4827" t="s">
        <v>20199</v>
      </c>
    </row>
    <row r="4828" spans="1:25">
      <c r="A4828" t="s">
        <v>20200</v>
      </c>
      <c r="B4828" t="s">
        <v>20201</v>
      </c>
      <c r="D4828" t="s">
        <v>9473</v>
      </c>
      <c r="E4828" t="s">
        <v>9474</v>
      </c>
      <c r="J4828" t="s">
        <v>54</v>
      </c>
      <c r="K4828" t="s">
        <v>55</v>
      </c>
      <c r="L4828">
        <v>6</v>
      </c>
      <c r="M4828" t="s">
        <v>20202</v>
      </c>
      <c r="N4828" t="s">
        <v>47</v>
      </c>
      <c r="O4828" t="s">
        <v>9477</v>
      </c>
      <c r="P4828" t="s">
        <v>9477</v>
      </c>
      <c r="Y4828" t="s">
        <v>20203</v>
      </c>
    </row>
    <row r="4829" spans="1:25">
      <c r="A4829" t="s">
        <v>20204</v>
      </c>
      <c r="B4829" t="s">
        <v>20205</v>
      </c>
      <c r="D4829" t="s">
        <v>9473</v>
      </c>
      <c r="E4829" t="s">
        <v>9474</v>
      </c>
      <c r="J4829" t="s">
        <v>90</v>
      </c>
      <c r="K4829" t="s">
        <v>91</v>
      </c>
      <c r="L4829">
        <v>6</v>
      </c>
      <c r="M4829" t="s">
        <v>20202</v>
      </c>
      <c r="N4829" t="s">
        <v>47</v>
      </c>
      <c r="O4829" t="s">
        <v>9477</v>
      </c>
      <c r="P4829" t="s">
        <v>9477</v>
      </c>
      <c r="Y4829" t="s">
        <v>20206</v>
      </c>
    </row>
    <row r="4830" spans="1:25">
      <c r="A4830" t="s">
        <v>20207</v>
      </c>
      <c r="B4830" t="s">
        <v>20208</v>
      </c>
      <c r="D4830" t="s">
        <v>9473</v>
      </c>
      <c r="E4830" t="s">
        <v>9474</v>
      </c>
      <c r="H4830" t="s">
        <v>20209</v>
      </c>
      <c r="J4830" t="s">
        <v>90</v>
      </c>
      <c r="K4830" t="s">
        <v>91</v>
      </c>
      <c r="L4830">
        <v>6</v>
      </c>
      <c r="M4830" t="s">
        <v>20210</v>
      </c>
      <c r="N4830" t="s">
        <v>47</v>
      </c>
      <c r="O4830" t="s">
        <v>9477</v>
      </c>
      <c r="P4830" t="s">
        <v>9477</v>
      </c>
      <c r="Y4830" t="s">
        <v>20209</v>
      </c>
    </row>
    <row r="4831" spans="1:25">
      <c r="A4831" t="s">
        <v>20211</v>
      </c>
      <c r="B4831" t="s">
        <v>20212</v>
      </c>
      <c r="D4831" t="s">
        <v>9473</v>
      </c>
      <c r="E4831" t="s">
        <v>9474</v>
      </c>
      <c r="J4831" t="s">
        <v>90</v>
      </c>
      <c r="K4831" t="s">
        <v>91</v>
      </c>
      <c r="L4831">
        <v>6</v>
      </c>
      <c r="M4831" t="s">
        <v>20213</v>
      </c>
      <c r="N4831" t="s">
        <v>47</v>
      </c>
      <c r="O4831" t="s">
        <v>9477</v>
      </c>
      <c r="P4831" t="s">
        <v>9477</v>
      </c>
      <c r="Y4831" t="s">
        <v>20214</v>
      </c>
    </row>
    <row r="4832" spans="1:25">
      <c r="A4832" t="s">
        <v>20215</v>
      </c>
      <c r="B4832" t="s">
        <v>20216</v>
      </c>
      <c r="D4832" t="s">
        <v>9473</v>
      </c>
      <c r="E4832" t="s">
        <v>9474</v>
      </c>
      <c r="J4832" t="s">
        <v>133</v>
      </c>
      <c r="K4832" t="s">
        <v>134</v>
      </c>
      <c r="L4832">
        <v>6</v>
      </c>
      <c r="M4832" t="s">
        <v>20217</v>
      </c>
      <c r="N4832" t="s">
        <v>685</v>
      </c>
      <c r="O4832" t="s">
        <v>9477</v>
      </c>
      <c r="P4832" t="s">
        <v>9477</v>
      </c>
      <c r="Y4832" t="s">
        <v>20218</v>
      </c>
    </row>
    <row r="4833" spans="1:25">
      <c r="A4833" t="s">
        <v>20219</v>
      </c>
      <c r="B4833" t="s">
        <v>20220</v>
      </c>
      <c r="D4833" t="s">
        <v>9473</v>
      </c>
      <c r="E4833" t="s">
        <v>9474</v>
      </c>
      <c r="J4833" t="s">
        <v>90</v>
      </c>
      <c r="K4833" t="s">
        <v>91</v>
      </c>
      <c r="L4833">
        <v>6</v>
      </c>
      <c r="M4833" t="s">
        <v>20217</v>
      </c>
      <c r="N4833" t="s">
        <v>47</v>
      </c>
      <c r="O4833" t="s">
        <v>9477</v>
      </c>
      <c r="P4833" t="s">
        <v>9477</v>
      </c>
      <c r="Y4833" t="s">
        <v>20221</v>
      </c>
    </row>
    <row r="4834" spans="1:25">
      <c r="A4834" t="s">
        <v>20222</v>
      </c>
      <c r="B4834" t="s">
        <v>20223</v>
      </c>
      <c r="D4834" t="s">
        <v>9473</v>
      </c>
      <c r="E4834" t="s">
        <v>9474</v>
      </c>
      <c r="H4834" t="s">
        <v>20224</v>
      </c>
      <c r="J4834" t="s">
        <v>234</v>
      </c>
      <c r="K4834" t="s">
        <v>235</v>
      </c>
      <c r="L4834">
        <v>6</v>
      </c>
      <c r="M4834" t="s">
        <v>20225</v>
      </c>
      <c r="N4834" t="s">
        <v>47</v>
      </c>
      <c r="O4834" t="s">
        <v>9477</v>
      </c>
      <c r="P4834" t="s">
        <v>9477</v>
      </c>
      <c r="Y4834" t="s">
        <v>20224</v>
      </c>
    </row>
    <row r="4835" spans="1:25">
      <c r="A4835" t="s">
        <v>20226</v>
      </c>
      <c r="B4835" t="s">
        <v>20227</v>
      </c>
      <c r="D4835" t="s">
        <v>9473</v>
      </c>
      <c r="E4835" t="s">
        <v>9474</v>
      </c>
      <c r="H4835" t="s">
        <v>20228</v>
      </c>
      <c r="J4835" t="s">
        <v>44</v>
      </c>
      <c r="K4835" t="s">
        <v>45</v>
      </c>
      <c r="L4835">
        <v>6</v>
      </c>
      <c r="M4835" t="s">
        <v>20229</v>
      </c>
      <c r="N4835" t="s">
        <v>47</v>
      </c>
      <c r="O4835" t="s">
        <v>9477</v>
      </c>
      <c r="P4835" t="s">
        <v>9477</v>
      </c>
      <c r="Y4835" t="s">
        <v>20228</v>
      </c>
    </row>
    <row r="4836" spans="1:25">
      <c r="A4836" t="s">
        <v>20230</v>
      </c>
      <c r="B4836" t="s">
        <v>20231</v>
      </c>
      <c r="D4836" t="s">
        <v>9473</v>
      </c>
      <c r="E4836" t="s">
        <v>9474</v>
      </c>
      <c r="J4836" t="s">
        <v>133</v>
      </c>
      <c r="K4836" t="s">
        <v>134</v>
      </c>
      <c r="L4836">
        <v>6</v>
      </c>
      <c r="M4836" t="s">
        <v>20232</v>
      </c>
      <c r="N4836" t="s">
        <v>135</v>
      </c>
      <c r="O4836" t="s">
        <v>9477</v>
      </c>
      <c r="P4836" t="s">
        <v>9477</v>
      </c>
      <c r="Y4836" t="s">
        <v>20233</v>
      </c>
    </row>
    <row r="4837" spans="1:25">
      <c r="A4837" t="s">
        <v>20234</v>
      </c>
      <c r="B4837" t="s">
        <v>20235</v>
      </c>
      <c r="D4837" t="s">
        <v>9473</v>
      </c>
      <c r="E4837" t="s">
        <v>9474</v>
      </c>
      <c r="J4837" t="s">
        <v>90</v>
      </c>
      <c r="K4837" t="s">
        <v>91</v>
      </c>
      <c r="L4837">
        <v>6</v>
      </c>
      <c r="M4837" t="s">
        <v>20232</v>
      </c>
      <c r="N4837" t="s">
        <v>47</v>
      </c>
      <c r="O4837" t="s">
        <v>9477</v>
      </c>
      <c r="P4837" t="s">
        <v>9477</v>
      </c>
      <c r="Y4837" t="s">
        <v>20236</v>
      </c>
    </row>
    <row r="4838" spans="1:25">
      <c r="A4838" t="s">
        <v>20237</v>
      </c>
      <c r="B4838" t="s">
        <v>20238</v>
      </c>
      <c r="D4838" t="s">
        <v>9473</v>
      </c>
      <c r="E4838" t="s">
        <v>9474</v>
      </c>
      <c r="J4838" t="s">
        <v>90</v>
      </c>
      <c r="K4838" t="s">
        <v>91</v>
      </c>
      <c r="L4838">
        <v>6</v>
      </c>
      <c r="M4838" t="s">
        <v>20232</v>
      </c>
      <c r="N4838" t="s">
        <v>47</v>
      </c>
      <c r="O4838" t="s">
        <v>9477</v>
      </c>
      <c r="P4838" t="s">
        <v>9477</v>
      </c>
      <c r="Y4838" t="s">
        <v>20239</v>
      </c>
    </row>
    <row r="4839" spans="1:25">
      <c r="A4839" t="s">
        <v>20240</v>
      </c>
      <c r="B4839" t="s">
        <v>20241</v>
      </c>
      <c r="D4839" t="s">
        <v>9473</v>
      </c>
      <c r="E4839" t="s">
        <v>9474</v>
      </c>
      <c r="J4839" t="s">
        <v>90</v>
      </c>
      <c r="K4839" t="s">
        <v>91</v>
      </c>
      <c r="L4839">
        <v>6</v>
      </c>
      <c r="M4839" t="s">
        <v>20242</v>
      </c>
      <c r="N4839" t="s">
        <v>47</v>
      </c>
      <c r="O4839" t="s">
        <v>9477</v>
      </c>
      <c r="P4839" t="s">
        <v>9477</v>
      </c>
      <c r="Y4839" t="s">
        <v>20243</v>
      </c>
    </row>
    <row r="4840" spans="1:25">
      <c r="A4840" t="s">
        <v>20244</v>
      </c>
      <c r="B4840" t="s">
        <v>20245</v>
      </c>
      <c r="D4840" t="s">
        <v>9473</v>
      </c>
      <c r="E4840" t="s">
        <v>9474</v>
      </c>
      <c r="J4840" t="s">
        <v>54</v>
      </c>
      <c r="K4840" t="s">
        <v>55</v>
      </c>
      <c r="L4840">
        <v>6</v>
      </c>
      <c r="M4840" t="s">
        <v>20246</v>
      </c>
      <c r="N4840" t="s">
        <v>47</v>
      </c>
      <c r="O4840" t="s">
        <v>9477</v>
      </c>
      <c r="P4840" t="s">
        <v>9477</v>
      </c>
      <c r="Y4840" t="s">
        <v>20247</v>
      </c>
    </row>
    <row r="4841" spans="1:25">
      <c r="A4841" t="s">
        <v>20248</v>
      </c>
      <c r="B4841" t="s">
        <v>20249</v>
      </c>
      <c r="D4841" t="s">
        <v>9473</v>
      </c>
      <c r="E4841" t="s">
        <v>9474</v>
      </c>
      <c r="J4841" t="s">
        <v>90</v>
      </c>
      <c r="K4841" t="s">
        <v>91</v>
      </c>
      <c r="L4841">
        <v>6</v>
      </c>
      <c r="M4841" t="s">
        <v>20246</v>
      </c>
      <c r="N4841" t="s">
        <v>47</v>
      </c>
      <c r="O4841" t="s">
        <v>9477</v>
      </c>
      <c r="P4841" t="s">
        <v>9477</v>
      </c>
      <c r="Y4841" t="s">
        <v>20250</v>
      </c>
    </row>
    <row r="4842" spans="1:25">
      <c r="A4842" t="s">
        <v>20251</v>
      </c>
      <c r="B4842" t="s">
        <v>20252</v>
      </c>
      <c r="D4842" t="s">
        <v>9473</v>
      </c>
      <c r="E4842" t="s">
        <v>9474</v>
      </c>
      <c r="J4842" t="s">
        <v>133</v>
      </c>
      <c r="K4842" t="s">
        <v>134</v>
      </c>
      <c r="L4842">
        <v>6</v>
      </c>
      <c r="M4842" t="s">
        <v>20246</v>
      </c>
      <c r="N4842" t="s">
        <v>290</v>
      </c>
      <c r="O4842" t="s">
        <v>9477</v>
      </c>
      <c r="P4842" t="s">
        <v>9477</v>
      </c>
      <c r="Y4842" t="s">
        <v>20253</v>
      </c>
    </row>
    <row r="4843" spans="1:25">
      <c r="A4843" t="s">
        <v>20254</v>
      </c>
      <c r="B4843" t="s">
        <v>20255</v>
      </c>
      <c r="D4843" t="s">
        <v>9473</v>
      </c>
      <c r="E4843" t="s">
        <v>9474</v>
      </c>
      <c r="J4843" t="s">
        <v>90</v>
      </c>
      <c r="K4843" t="s">
        <v>91</v>
      </c>
      <c r="L4843">
        <v>6</v>
      </c>
      <c r="M4843" t="s">
        <v>20256</v>
      </c>
      <c r="N4843" t="s">
        <v>47</v>
      </c>
      <c r="O4843" t="s">
        <v>9477</v>
      </c>
      <c r="P4843" t="s">
        <v>9477</v>
      </c>
      <c r="Y4843" t="s">
        <v>20257</v>
      </c>
    </row>
    <row r="4844" spans="1:25">
      <c r="A4844" t="s">
        <v>20258</v>
      </c>
      <c r="B4844" t="s">
        <v>20259</v>
      </c>
      <c r="D4844" t="s">
        <v>9473</v>
      </c>
      <c r="E4844" t="s">
        <v>9474</v>
      </c>
      <c r="J4844" t="s">
        <v>78</v>
      </c>
      <c r="K4844" t="s">
        <v>79</v>
      </c>
      <c r="L4844">
        <v>6</v>
      </c>
      <c r="M4844" t="s">
        <v>20260</v>
      </c>
      <c r="N4844" t="s">
        <v>47</v>
      </c>
      <c r="O4844" t="s">
        <v>9477</v>
      </c>
      <c r="P4844" t="s">
        <v>9477</v>
      </c>
      <c r="Y4844" t="s">
        <v>20261</v>
      </c>
    </row>
    <row r="4845" spans="1:25">
      <c r="A4845" t="s">
        <v>20262</v>
      </c>
      <c r="B4845" t="s">
        <v>20263</v>
      </c>
      <c r="D4845" t="s">
        <v>9473</v>
      </c>
      <c r="E4845" t="s">
        <v>9474</v>
      </c>
      <c r="J4845" t="s">
        <v>371</v>
      </c>
      <c r="K4845" t="s">
        <v>372</v>
      </c>
      <c r="L4845">
        <v>6</v>
      </c>
      <c r="M4845" t="s">
        <v>20264</v>
      </c>
      <c r="N4845" t="s">
        <v>47</v>
      </c>
      <c r="O4845" t="s">
        <v>9477</v>
      </c>
      <c r="P4845" t="s">
        <v>9477</v>
      </c>
      <c r="Y4845" t="s">
        <v>20265</v>
      </c>
    </row>
    <row r="4846" spans="1:25">
      <c r="A4846" t="s">
        <v>20266</v>
      </c>
      <c r="B4846" t="s">
        <v>20267</v>
      </c>
      <c r="D4846" t="s">
        <v>9473</v>
      </c>
      <c r="E4846" t="s">
        <v>9474</v>
      </c>
      <c r="J4846" t="s">
        <v>133</v>
      </c>
      <c r="K4846" t="s">
        <v>134</v>
      </c>
      <c r="L4846">
        <v>6</v>
      </c>
      <c r="M4846" t="s">
        <v>20268</v>
      </c>
      <c r="N4846" t="s">
        <v>135</v>
      </c>
      <c r="O4846" t="s">
        <v>9477</v>
      </c>
      <c r="P4846" t="s">
        <v>9477</v>
      </c>
      <c r="Y4846" t="s">
        <v>20269</v>
      </c>
    </row>
    <row r="4847" spans="1:25">
      <c r="A4847" t="s">
        <v>20270</v>
      </c>
      <c r="B4847" t="s">
        <v>20271</v>
      </c>
      <c r="D4847" t="s">
        <v>9473</v>
      </c>
      <c r="E4847" t="s">
        <v>9474</v>
      </c>
      <c r="J4847" t="s">
        <v>765</v>
      </c>
      <c r="K4847" t="s">
        <v>766</v>
      </c>
      <c r="L4847">
        <v>6</v>
      </c>
      <c r="M4847" t="s">
        <v>20272</v>
      </c>
      <c r="N4847" t="s">
        <v>685</v>
      </c>
      <c r="O4847" t="s">
        <v>9477</v>
      </c>
      <c r="P4847" t="s">
        <v>9477</v>
      </c>
      <c r="Y4847" t="s">
        <v>20273</v>
      </c>
    </row>
    <row r="4848" spans="1:25">
      <c r="A4848" t="s">
        <v>20274</v>
      </c>
      <c r="B4848" t="s">
        <v>20275</v>
      </c>
      <c r="D4848" t="s">
        <v>9473</v>
      </c>
      <c r="E4848" t="s">
        <v>9474</v>
      </c>
      <c r="H4848" t="s">
        <v>20276</v>
      </c>
      <c r="J4848" t="s">
        <v>44</v>
      </c>
      <c r="K4848" t="s">
        <v>45</v>
      </c>
      <c r="L4848">
        <v>6</v>
      </c>
      <c r="M4848" t="s">
        <v>20277</v>
      </c>
      <c r="N4848" t="s">
        <v>47</v>
      </c>
      <c r="O4848" t="s">
        <v>9477</v>
      </c>
      <c r="P4848" t="s">
        <v>9477</v>
      </c>
      <c r="Y4848" t="s">
        <v>20276</v>
      </c>
    </row>
    <row r="4849" spans="1:25">
      <c r="A4849" t="s">
        <v>20278</v>
      </c>
      <c r="B4849" t="s">
        <v>20279</v>
      </c>
      <c r="D4849" t="s">
        <v>9473</v>
      </c>
      <c r="E4849" t="s">
        <v>9474</v>
      </c>
      <c r="J4849" t="s">
        <v>90</v>
      </c>
      <c r="K4849" t="s">
        <v>91</v>
      </c>
      <c r="L4849">
        <v>6</v>
      </c>
      <c r="M4849" t="s">
        <v>20280</v>
      </c>
      <c r="N4849" t="s">
        <v>47</v>
      </c>
      <c r="O4849" t="s">
        <v>9477</v>
      </c>
      <c r="P4849" t="s">
        <v>9477</v>
      </c>
      <c r="Y4849" t="s">
        <v>20281</v>
      </c>
    </row>
    <row r="4850" spans="1:25">
      <c r="A4850" t="s">
        <v>20282</v>
      </c>
      <c r="B4850" t="s">
        <v>20283</v>
      </c>
      <c r="D4850" t="s">
        <v>9473</v>
      </c>
      <c r="E4850" t="s">
        <v>9474</v>
      </c>
      <c r="J4850" t="s">
        <v>44</v>
      </c>
      <c r="K4850" t="s">
        <v>45</v>
      </c>
      <c r="L4850">
        <v>6</v>
      </c>
      <c r="M4850" t="s">
        <v>20280</v>
      </c>
      <c r="N4850" t="s">
        <v>47</v>
      </c>
      <c r="O4850" t="s">
        <v>9477</v>
      </c>
      <c r="P4850" t="s">
        <v>9477</v>
      </c>
      <c r="Y4850" t="s">
        <v>20284</v>
      </c>
    </row>
    <row r="4851" spans="1:25">
      <c r="A4851" t="s">
        <v>20285</v>
      </c>
      <c r="B4851" t="s">
        <v>20286</v>
      </c>
      <c r="D4851" t="s">
        <v>9473</v>
      </c>
      <c r="E4851" t="s">
        <v>9474</v>
      </c>
      <c r="J4851" t="s">
        <v>133</v>
      </c>
      <c r="K4851" t="s">
        <v>134</v>
      </c>
      <c r="L4851">
        <v>6</v>
      </c>
      <c r="M4851" t="s">
        <v>20280</v>
      </c>
      <c r="N4851" t="s">
        <v>135</v>
      </c>
      <c r="O4851" t="s">
        <v>9477</v>
      </c>
      <c r="P4851" t="s">
        <v>9477</v>
      </c>
      <c r="Y4851" t="s">
        <v>20287</v>
      </c>
    </row>
    <row r="4852" spans="1:25">
      <c r="A4852" t="s">
        <v>20288</v>
      </c>
      <c r="B4852" t="s">
        <v>20289</v>
      </c>
      <c r="D4852" t="s">
        <v>9473</v>
      </c>
      <c r="E4852" t="s">
        <v>9474</v>
      </c>
      <c r="J4852" t="s">
        <v>44</v>
      </c>
      <c r="K4852" t="s">
        <v>45</v>
      </c>
      <c r="L4852">
        <v>6</v>
      </c>
      <c r="M4852" t="s">
        <v>20290</v>
      </c>
      <c r="N4852" t="s">
        <v>47</v>
      </c>
      <c r="O4852" t="s">
        <v>9477</v>
      </c>
      <c r="P4852" t="s">
        <v>9477</v>
      </c>
      <c r="Y4852" t="s">
        <v>20291</v>
      </c>
    </row>
    <row r="4853" spans="1:25">
      <c r="A4853" t="s">
        <v>20292</v>
      </c>
      <c r="B4853" t="s">
        <v>20293</v>
      </c>
      <c r="D4853" t="s">
        <v>9473</v>
      </c>
      <c r="E4853" t="s">
        <v>9474</v>
      </c>
      <c r="J4853" t="s">
        <v>90</v>
      </c>
      <c r="K4853" t="s">
        <v>91</v>
      </c>
      <c r="L4853">
        <v>6</v>
      </c>
      <c r="M4853" t="s">
        <v>20294</v>
      </c>
      <c r="N4853" t="s">
        <v>47</v>
      </c>
      <c r="O4853" t="s">
        <v>9477</v>
      </c>
      <c r="P4853" t="s">
        <v>9477</v>
      </c>
      <c r="Y4853" t="s">
        <v>20295</v>
      </c>
    </row>
    <row r="4854" spans="1:25">
      <c r="A4854" t="s">
        <v>20296</v>
      </c>
      <c r="B4854" t="s">
        <v>20297</v>
      </c>
      <c r="D4854" t="s">
        <v>9473</v>
      </c>
      <c r="E4854" t="s">
        <v>9474</v>
      </c>
      <c r="J4854" t="s">
        <v>541</v>
      </c>
      <c r="K4854" t="s">
        <v>542</v>
      </c>
      <c r="L4854">
        <v>6</v>
      </c>
      <c r="M4854" t="s">
        <v>20298</v>
      </c>
      <c r="N4854" t="s">
        <v>290</v>
      </c>
      <c r="O4854" t="s">
        <v>9477</v>
      </c>
      <c r="P4854" t="s">
        <v>9477</v>
      </c>
      <c r="Y4854" t="s">
        <v>20299</v>
      </c>
    </row>
    <row r="4855" spans="1:25">
      <c r="A4855" t="s">
        <v>20300</v>
      </c>
      <c r="B4855" t="s">
        <v>20301</v>
      </c>
      <c r="D4855" t="s">
        <v>9473</v>
      </c>
      <c r="E4855" t="s">
        <v>9474</v>
      </c>
      <c r="J4855" t="s">
        <v>90</v>
      </c>
      <c r="K4855" t="s">
        <v>91</v>
      </c>
      <c r="L4855">
        <v>6</v>
      </c>
      <c r="M4855" t="s">
        <v>20298</v>
      </c>
      <c r="N4855" t="s">
        <v>47</v>
      </c>
      <c r="O4855" t="s">
        <v>9477</v>
      </c>
      <c r="P4855" t="s">
        <v>9477</v>
      </c>
      <c r="Y4855" t="s">
        <v>20302</v>
      </c>
    </row>
    <row r="4856" spans="1:25">
      <c r="A4856" t="s">
        <v>20303</v>
      </c>
      <c r="B4856" t="s">
        <v>20304</v>
      </c>
      <c r="D4856" t="s">
        <v>9473</v>
      </c>
      <c r="E4856" t="s">
        <v>9474</v>
      </c>
      <c r="J4856" t="s">
        <v>54</v>
      </c>
      <c r="K4856" t="s">
        <v>55</v>
      </c>
      <c r="L4856">
        <v>6</v>
      </c>
      <c r="M4856" t="s">
        <v>20298</v>
      </c>
      <c r="N4856" t="s">
        <v>47</v>
      </c>
      <c r="O4856" t="s">
        <v>9477</v>
      </c>
      <c r="P4856" t="s">
        <v>9477</v>
      </c>
      <c r="Y4856" t="s">
        <v>20305</v>
      </c>
    </row>
    <row r="4857" spans="1:25">
      <c r="A4857" t="s">
        <v>20306</v>
      </c>
      <c r="B4857" t="s">
        <v>20307</v>
      </c>
      <c r="D4857" t="s">
        <v>9473</v>
      </c>
      <c r="E4857" t="s">
        <v>9474</v>
      </c>
      <c r="J4857" t="s">
        <v>90</v>
      </c>
      <c r="K4857" t="s">
        <v>91</v>
      </c>
      <c r="L4857">
        <v>6</v>
      </c>
      <c r="M4857" t="s">
        <v>20298</v>
      </c>
      <c r="N4857" t="s">
        <v>47</v>
      </c>
      <c r="O4857" t="s">
        <v>9477</v>
      </c>
      <c r="P4857" t="s">
        <v>9477</v>
      </c>
      <c r="Y4857" t="s">
        <v>20308</v>
      </c>
    </row>
    <row r="4858" spans="1:25">
      <c r="A4858" t="s">
        <v>20309</v>
      </c>
      <c r="B4858" t="s">
        <v>20310</v>
      </c>
      <c r="D4858" t="s">
        <v>9473</v>
      </c>
      <c r="E4858" t="s">
        <v>9474</v>
      </c>
      <c r="H4858" t="s">
        <v>20311</v>
      </c>
      <c r="J4858" t="s">
        <v>234</v>
      </c>
      <c r="K4858" t="s">
        <v>235</v>
      </c>
      <c r="L4858">
        <v>6</v>
      </c>
      <c r="M4858" t="s">
        <v>20312</v>
      </c>
      <c r="N4858" t="s">
        <v>47</v>
      </c>
      <c r="O4858" t="s">
        <v>9477</v>
      </c>
      <c r="P4858" t="s">
        <v>9477</v>
      </c>
      <c r="Y4858" t="s">
        <v>20311</v>
      </c>
    </row>
    <row r="4859" spans="1:25">
      <c r="A4859" t="s">
        <v>20313</v>
      </c>
      <c r="B4859" t="s">
        <v>20314</v>
      </c>
      <c r="D4859" t="s">
        <v>9473</v>
      </c>
      <c r="E4859" t="s">
        <v>9474</v>
      </c>
      <c r="J4859" t="s">
        <v>44</v>
      </c>
      <c r="K4859" t="s">
        <v>45</v>
      </c>
      <c r="L4859">
        <v>6</v>
      </c>
      <c r="M4859" t="s">
        <v>20315</v>
      </c>
      <c r="N4859" t="s">
        <v>47</v>
      </c>
      <c r="O4859" t="s">
        <v>9477</v>
      </c>
      <c r="P4859" t="s">
        <v>9477</v>
      </c>
      <c r="Y4859" t="s">
        <v>20316</v>
      </c>
    </row>
    <row r="4860" spans="1:25">
      <c r="A4860" t="s">
        <v>20317</v>
      </c>
      <c r="B4860" t="s">
        <v>20318</v>
      </c>
      <c r="D4860" t="s">
        <v>9473</v>
      </c>
      <c r="E4860" t="s">
        <v>9474</v>
      </c>
      <c r="J4860" t="s">
        <v>44</v>
      </c>
      <c r="K4860" t="s">
        <v>45</v>
      </c>
      <c r="L4860">
        <v>6</v>
      </c>
      <c r="M4860" t="s">
        <v>20315</v>
      </c>
      <c r="N4860" t="s">
        <v>47</v>
      </c>
      <c r="O4860" t="s">
        <v>9477</v>
      </c>
      <c r="P4860" t="s">
        <v>9477</v>
      </c>
      <c r="Y4860" t="s">
        <v>20319</v>
      </c>
    </row>
    <row r="4861" spans="1:25">
      <c r="A4861" t="s">
        <v>20320</v>
      </c>
      <c r="B4861" t="s">
        <v>20321</v>
      </c>
      <c r="D4861" t="s">
        <v>9473</v>
      </c>
      <c r="E4861" t="s">
        <v>9474</v>
      </c>
      <c r="H4861" t="s">
        <v>20322</v>
      </c>
      <c r="J4861" t="s">
        <v>90</v>
      </c>
      <c r="K4861" t="s">
        <v>91</v>
      </c>
      <c r="L4861">
        <v>6</v>
      </c>
      <c r="M4861" t="s">
        <v>20315</v>
      </c>
      <c r="N4861" t="s">
        <v>47</v>
      </c>
      <c r="O4861" t="s">
        <v>9477</v>
      </c>
      <c r="P4861" t="s">
        <v>9477</v>
      </c>
      <c r="Y4861" t="s">
        <v>20322</v>
      </c>
    </row>
    <row r="4862" spans="1:25">
      <c r="A4862" t="s">
        <v>20323</v>
      </c>
      <c r="B4862" t="s">
        <v>20324</v>
      </c>
      <c r="D4862" t="s">
        <v>9473</v>
      </c>
      <c r="E4862" t="s">
        <v>9474</v>
      </c>
      <c r="J4862" t="s">
        <v>90</v>
      </c>
      <c r="K4862" t="s">
        <v>91</v>
      </c>
      <c r="L4862">
        <v>6</v>
      </c>
      <c r="M4862" t="s">
        <v>20315</v>
      </c>
      <c r="N4862" t="s">
        <v>47</v>
      </c>
      <c r="O4862" t="s">
        <v>9477</v>
      </c>
      <c r="P4862" t="s">
        <v>9477</v>
      </c>
      <c r="Y4862" t="s">
        <v>20325</v>
      </c>
    </row>
    <row r="4863" spans="1:25">
      <c r="A4863" t="s">
        <v>20326</v>
      </c>
      <c r="B4863" t="s">
        <v>20327</v>
      </c>
      <c r="D4863" t="s">
        <v>9473</v>
      </c>
      <c r="E4863" t="s">
        <v>9474</v>
      </c>
      <c r="J4863" t="s">
        <v>78</v>
      </c>
      <c r="K4863" t="s">
        <v>79</v>
      </c>
      <c r="L4863">
        <v>6</v>
      </c>
      <c r="M4863" t="s">
        <v>20328</v>
      </c>
      <c r="N4863" t="s">
        <v>47</v>
      </c>
      <c r="O4863" t="s">
        <v>9477</v>
      </c>
      <c r="P4863" t="s">
        <v>9477</v>
      </c>
      <c r="Y4863" t="s">
        <v>20329</v>
      </c>
    </row>
    <row r="4864" spans="1:25">
      <c r="A4864" t="s">
        <v>20330</v>
      </c>
      <c r="B4864" t="s">
        <v>20331</v>
      </c>
      <c r="D4864" t="s">
        <v>9473</v>
      </c>
      <c r="E4864" t="s">
        <v>9474</v>
      </c>
      <c r="H4864" t="s">
        <v>20332</v>
      </c>
      <c r="J4864" t="s">
        <v>44</v>
      </c>
      <c r="K4864" t="s">
        <v>45</v>
      </c>
      <c r="L4864">
        <v>6</v>
      </c>
      <c r="M4864" t="s">
        <v>20333</v>
      </c>
      <c r="N4864" t="s">
        <v>47</v>
      </c>
      <c r="O4864" t="s">
        <v>9477</v>
      </c>
      <c r="P4864" t="s">
        <v>9477</v>
      </c>
      <c r="Y4864" t="s">
        <v>20332</v>
      </c>
    </row>
    <row r="4865" spans="1:25">
      <c r="A4865" t="s">
        <v>20334</v>
      </c>
      <c r="B4865" t="s">
        <v>20335</v>
      </c>
      <c r="D4865" t="s">
        <v>9473</v>
      </c>
      <c r="E4865" t="s">
        <v>9474</v>
      </c>
      <c r="H4865" t="s">
        <v>20336</v>
      </c>
      <c r="J4865" t="s">
        <v>133</v>
      </c>
      <c r="K4865" t="s">
        <v>134</v>
      </c>
      <c r="L4865">
        <v>6</v>
      </c>
      <c r="M4865" t="s">
        <v>20337</v>
      </c>
      <c r="N4865" t="s">
        <v>135</v>
      </c>
      <c r="O4865" t="s">
        <v>9477</v>
      </c>
      <c r="P4865" t="s">
        <v>9477</v>
      </c>
      <c r="Y4865" t="s">
        <v>20336</v>
      </c>
    </row>
    <row r="4866" spans="1:25">
      <c r="A4866" t="s">
        <v>20338</v>
      </c>
      <c r="B4866" t="s">
        <v>20339</v>
      </c>
      <c r="D4866" t="s">
        <v>9473</v>
      </c>
      <c r="E4866" t="s">
        <v>9474</v>
      </c>
      <c r="J4866" t="s">
        <v>90</v>
      </c>
      <c r="K4866" t="s">
        <v>91</v>
      </c>
      <c r="L4866">
        <v>6</v>
      </c>
      <c r="M4866" t="s">
        <v>20340</v>
      </c>
      <c r="N4866" t="s">
        <v>47</v>
      </c>
      <c r="O4866" t="s">
        <v>9477</v>
      </c>
      <c r="P4866" t="s">
        <v>9477</v>
      </c>
      <c r="Y4866" t="s">
        <v>20341</v>
      </c>
    </row>
    <row r="4867" spans="1:25">
      <c r="A4867" t="s">
        <v>20342</v>
      </c>
      <c r="B4867" t="s">
        <v>20343</v>
      </c>
      <c r="D4867" t="s">
        <v>9473</v>
      </c>
      <c r="E4867" t="s">
        <v>9474</v>
      </c>
      <c r="J4867" t="s">
        <v>44</v>
      </c>
      <c r="K4867" t="s">
        <v>45</v>
      </c>
      <c r="L4867">
        <v>6</v>
      </c>
      <c r="M4867" t="s">
        <v>20344</v>
      </c>
      <c r="N4867" t="s">
        <v>47</v>
      </c>
      <c r="O4867" t="s">
        <v>9477</v>
      </c>
      <c r="P4867" t="s">
        <v>9477</v>
      </c>
      <c r="Y4867" t="s">
        <v>20345</v>
      </c>
    </row>
    <row r="4868" spans="1:25">
      <c r="A4868" t="s">
        <v>20346</v>
      </c>
      <c r="B4868" t="s">
        <v>20347</v>
      </c>
      <c r="D4868" t="s">
        <v>9473</v>
      </c>
      <c r="E4868" t="s">
        <v>9474</v>
      </c>
      <c r="J4868" t="s">
        <v>44</v>
      </c>
      <c r="K4868" t="s">
        <v>45</v>
      </c>
      <c r="L4868">
        <v>6</v>
      </c>
      <c r="M4868" t="s">
        <v>20348</v>
      </c>
      <c r="N4868" t="s">
        <v>47</v>
      </c>
      <c r="O4868" t="s">
        <v>9477</v>
      </c>
      <c r="P4868" t="s">
        <v>9477</v>
      </c>
      <c r="Y4868" t="s">
        <v>20349</v>
      </c>
    </row>
    <row r="4869" spans="1:25">
      <c r="A4869" t="s">
        <v>20350</v>
      </c>
      <c r="B4869" t="s">
        <v>20351</v>
      </c>
      <c r="D4869" t="s">
        <v>9473</v>
      </c>
      <c r="E4869" t="s">
        <v>9474</v>
      </c>
      <c r="J4869" t="s">
        <v>90</v>
      </c>
      <c r="K4869" t="s">
        <v>91</v>
      </c>
      <c r="L4869">
        <v>6</v>
      </c>
      <c r="M4869" t="s">
        <v>20348</v>
      </c>
      <c r="N4869" t="s">
        <v>47</v>
      </c>
      <c r="O4869" t="s">
        <v>9477</v>
      </c>
      <c r="P4869" t="s">
        <v>9477</v>
      </c>
      <c r="Y4869" t="s">
        <v>20352</v>
      </c>
    </row>
    <row r="4870" spans="1:25">
      <c r="A4870" t="s">
        <v>20353</v>
      </c>
      <c r="B4870" t="s">
        <v>20354</v>
      </c>
      <c r="D4870" t="s">
        <v>9473</v>
      </c>
      <c r="E4870" t="s">
        <v>9474</v>
      </c>
      <c r="H4870" t="s">
        <v>20355</v>
      </c>
      <c r="J4870" t="s">
        <v>44</v>
      </c>
      <c r="K4870" t="s">
        <v>45</v>
      </c>
      <c r="L4870">
        <v>6</v>
      </c>
      <c r="M4870" t="s">
        <v>20348</v>
      </c>
      <c r="N4870" t="s">
        <v>47</v>
      </c>
      <c r="O4870" t="s">
        <v>9477</v>
      </c>
      <c r="P4870" t="s">
        <v>9477</v>
      </c>
      <c r="Y4870" t="s">
        <v>20355</v>
      </c>
    </row>
    <row r="4871" spans="1:25">
      <c r="A4871" t="s">
        <v>20356</v>
      </c>
      <c r="B4871" t="s">
        <v>20357</v>
      </c>
      <c r="D4871" t="s">
        <v>9473</v>
      </c>
      <c r="E4871" t="s">
        <v>9474</v>
      </c>
      <c r="J4871" t="s">
        <v>90</v>
      </c>
      <c r="K4871" t="s">
        <v>91</v>
      </c>
      <c r="L4871">
        <v>6</v>
      </c>
      <c r="M4871" t="s">
        <v>20358</v>
      </c>
      <c r="N4871" t="s">
        <v>47</v>
      </c>
      <c r="O4871" t="s">
        <v>9477</v>
      </c>
      <c r="P4871" t="s">
        <v>9477</v>
      </c>
      <c r="Y4871" t="s">
        <v>20359</v>
      </c>
    </row>
    <row r="4872" spans="1:25">
      <c r="A4872" t="s">
        <v>20360</v>
      </c>
      <c r="B4872" t="s">
        <v>20361</v>
      </c>
      <c r="D4872" t="s">
        <v>9473</v>
      </c>
      <c r="E4872" t="s">
        <v>9474</v>
      </c>
      <c r="H4872" t="s">
        <v>20362</v>
      </c>
      <c r="J4872" t="s">
        <v>78</v>
      </c>
      <c r="K4872" t="s">
        <v>79</v>
      </c>
      <c r="L4872">
        <v>6</v>
      </c>
      <c r="M4872" t="s">
        <v>20363</v>
      </c>
      <c r="N4872" t="s">
        <v>47</v>
      </c>
      <c r="O4872" t="s">
        <v>9477</v>
      </c>
      <c r="P4872" t="s">
        <v>9477</v>
      </c>
      <c r="Y4872" t="s">
        <v>20362</v>
      </c>
    </row>
    <row r="4873" spans="1:25">
      <c r="A4873" t="s">
        <v>20364</v>
      </c>
      <c r="B4873" t="s">
        <v>20365</v>
      </c>
      <c r="D4873" t="s">
        <v>9473</v>
      </c>
      <c r="E4873" t="s">
        <v>9474</v>
      </c>
      <c r="J4873" t="s">
        <v>44</v>
      </c>
      <c r="K4873" t="s">
        <v>45</v>
      </c>
      <c r="L4873">
        <v>6</v>
      </c>
      <c r="M4873" t="s">
        <v>20366</v>
      </c>
      <c r="N4873" t="s">
        <v>47</v>
      </c>
      <c r="O4873" t="s">
        <v>9477</v>
      </c>
      <c r="P4873" t="s">
        <v>9477</v>
      </c>
      <c r="Y4873" t="s">
        <v>20367</v>
      </c>
    </row>
    <row r="4874" spans="1:25">
      <c r="A4874" t="s">
        <v>20368</v>
      </c>
      <c r="B4874" t="s">
        <v>20369</v>
      </c>
      <c r="D4874" t="s">
        <v>9473</v>
      </c>
      <c r="E4874" t="s">
        <v>9474</v>
      </c>
      <c r="J4874" t="s">
        <v>133</v>
      </c>
      <c r="K4874" t="s">
        <v>134</v>
      </c>
      <c r="L4874">
        <v>6</v>
      </c>
      <c r="M4874" t="s">
        <v>20366</v>
      </c>
      <c r="N4874" t="s">
        <v>135</v>
      </c>
      <c r="O4874" t="s">
        <v>9477</v>
      </c>
      <c r="P4874" t="s">
        <v>9477</v>
      </c>
      <c r="Y4874" t="s">
        <v>20370</v>
      </c>
    </row>
    <row r="4875" spans="1:25">
      <c r="A4875" t="s">
        <v>20371</v>
      </c>
      <c r="B4875" t="s">
        <v>20372</v>
      </c>
      <c r="D4875" t="s">
        <v>9473</v>
      </c>
      <c r="E4875" t="s">
        <v>9474</v>
      </c>
      <c r="J4875" t="s">
        <v>54</v>
      </c>
      <c r="K4875" t="s">
        <v>55</v>
      </c>
      <c r="L4875">
        <v>6</v>
      </c>
      <c r="M4875" t="s">
        <v>20366</v>
      </c>
      <c r="N4875" t="s">
        <v>47</v>
      </c>
      <c r="O4875" t="s">
        <v>9477</v>
      </c>
      <c r="P4875" t="s">
        <v>9477</v>
      </c>
      <c r="Y4875" t="s">
        <v>20373</v>
      </c>
    </row>
    <row r="4876" spans="1:25">
      <c r="A4876" t="s">
        <v>20374</v>
      </c>
      <c r="B4876" t="s">
        <v>20375</v>
      </c>
      <c r="D4876" t="s">
        <v>9473</v>
      </c>
      <c r="E4876" t="s">
        <v>9474</v>
      </c>
      <c r="J4876" t="s">
        <v>1827</v>
      </c>
      <c r="K4876" t="s">
        <v>1828</v>
      </c>
      <c r="L4876">
        <v>6</v>
      </c>
      <c r="M4876" t="s">
        <v>20366</v>
      </c>
      <c r="N4876" t="s">
        <v>47</v>
      </c>
      <c r="O4876" t="s">
        <v>9477</v>
      </c>
      <c r="P4876" t="s">
        <v>9477</v>
      </c>
      <c r="Y4876" t="s">
        <v>20376</v>
      </c>
    </row>
    <row r="4877" spans="1:25">
      <c r="A4877" t="s">
        <v>20377</v>
      </c>
      <c r="B4877" t="s">
        <v>20378</v>
      </c>
      <c r="D4877" t="s">
        <v>9473</v>
      </c>
      <c r="E4877" t="s">
        <v>9474</v>
      </c>
      <c r="H4877" t="s">
        <v>20379</v>
      </c>
      <c r="J4877" t="s">
        <v>234</v>
      </c>
      <c r="K4877" t="s">
        <v>235</v>
      </c>
      <c r="L4877">
        <v>6</v>
      </c>
      <c r="M4877" t="s">
        <v>20380</v>
      </c>
      <c r="N4877" t="s">
        <v>47</v>
      </c>
      <c r="O4877" t="s">
        <v>9477</v>
      </c>
      <c r="P4877" t="s">
        <v>9477</v>
      </c>
      <c r="Y4877" t="s">
        <v>20379</v>
      </c>
    </row>
    <row r="4878" spans="1:25">
      <c r="A4878" t="s">
        <v>20381</v>
      </c>
      <c r="B4878" t="s">
        <v>20382</v>
      </c>
      <c r="D4878" t="s">
        <v>9473</v>
      </c>
      <c r="E4878" t="s">
        <v>9474</v>
      </c>
      <c r="H4878" t="s">
        <v>20383</v>
      </c>
      <c r="J4878" t="s">
        <v>133</v>
      </c>
      <c r="K4878" t="s">
        <v>134</v>
      </c>
      <c r="L4878">
        <v>7</v>
      </c>
      <c r="M4878" t="s">
        <v>20384</v>
      </c>
      <c r="N4878" t="s">
        <v>135</v>
      </c>
      <c r="O4878" t="s">
        <v>9477</v>
      </c>
      <c r="P4878" t="s">
        <v>9477</v>
      </c>
      <c r="Y4878" t="s">
        <v>20383</v>
      </c>
    </row>
    <row r="4879" spans="1:25">
      <c r="A4879" t="s">
        <v>20385</v>
      </c>
      <c r="B4879" t="s">
        <v>20386</v>
      </c>
      <c r="D4879" t="s">
        <v>9473</v>
      </c>
      <c r="E4879" t="s">
        <v>9474</v>
      </c>
      <c r="J4879" t="s">
        <v>78</v>
      </c>
      <c r="K4879" t="s">
        <v>79</v>
      </c>
      <c r="L4879">
        <v>6</v>
      </c>
      <c r="M4879" t="s">
        <v>20387</v>
      </c>
      <c r="N4879" t="s">
        <v>47</v>
      </c>
      <c r="O4879" t="s">
        <v>9477</v>
      </c>
      <c r="P4879" t="s">
        <v>9477</v>
      </c>
      <c r="Y4879" t="s">
        <v>20388</v>
      </c>
    </row>
    <row r="4880" spans="1:25">
      <c r="A4880" t="s">
        <v>20389</v>
      </c>
      <c r="B4880" t="s">
        <v>20390</v>
      </c>
      <c r="D4880" t="s">
        <v>9473</v>
      </c>
      <c r="E4880" t="s">
        <v>9474</v>
      </c>
      <c r="H4880" t="s">
        <v>20391</v>
      </c>
      <c r="J4880" t="s">
        <v>78</v>
      </c>
      <c r="K4880" t="s">
        <v>79</v>
      </c>
      <c r="L4880">
        <v>6</v>
      </c>
      <c r="M4880" t="s">
        <v>20387</v>
      </c>
      <c r="N4880" t="s">
        <v>47</v>
      </c>
      <c r="O4880" t="s">
        <v>9477</v>
      </c>
      <c r="P4880" t="s">
        <v>9477</v>
      </c>
      <c r="Y4880" t="s">
        <v>20391</v>
      </c>
    </row>
    <row r="4881" spans="1:25">
      <c r="A4881" t="s">
        <v>20392</v>
      </c>
      <c r="B4881" t="s">
        <v>20393</v>
      </c>
      <c r="D4881" t="s">
        <v>9473</v>
      </c>
      <c r="E4881" t="s">
        <v>9474</v>
      </c>
      <c r="H4881" t="s">
        <v>20394</v>
      </c>
      <c r="J4881" t="s">
        <v>234</v>
      </c>
      <c r="K4881" t="s">
        <v>235</v>
      </c>
      <c r="L4881">
        <v>6</v>
      </c>
      <c r="M4881" t="s">
        <v>20395</v>
      </c>
      <c r="N4881" t="s">
        <v>47</v>
      </c>
      <c r="O4881" t="s">
        <v>9477</v>
      </c>
      <c r="P4881" t="s">
        <v>9477</v>
      </c>
      <c r="Y4881" t="s">
        <v>20394</v>
      </c>
    </row>
    <row r="4882" spans="1:25">
      <c r="A4882" t="s">
        <v>20396</v>
      </c>
      <c r="B4882" t="s">
        <v>20397</v>
      </c>
      <c r="D4882" t="s">
        <v>9473</v>
      </c>
      <c r="E4882" t="s">
        <v>9474</v>
      </c>
      <c r="J4882" t="s">
        <v>44</v>
      </c>
      <c r="K4882" t="s">
        <v>45</v>
      </c>
      <c r="L4882">
        <v>6</v>
      </c>
      <c r="M4882" t="s">
        <v>20398</v>
      </c>
      <c r="N4882" t="s">
        <v>47</v>
      </c>
      <c r="O4882" t="s">
        <v>9477</v>
      </c>
      <c r="P4882" t="s">
        <v>9477</v>
      </c>
      <c r="Y4882" t="s">
        <v>20399</v>
      </c>
    </row>
    <row r="4883" spans="1:25">
      <c r="A4883" t="s">
        <v>20400</v>
      </c>
      <c r="B4883" t="s">
        <v>20401</v>
      </c>
      <c r="D4883" t="s">
        <v>9473</v>
      </c>
      <c r="E4883" t="s">
        <v>9474</v>
      </c>
      <c r="J4883" t="s">
        <v>44</v>
      </c>
      <c r="K4883" t="s">
        <v>45</v>
      </c>
      <c r="L4883">
        <v>6</v>
      </c>
      <c r="M4883" t="s">
        <v>20398</v>
      </c>
      <c r="N4883" t="s">
        <v>47</v>
      </c>
      <c r="O4883" t="s">
        <v>9477</v>
      </c>
      <c r="P4883" t="s">
        <v>9477</v>
      </c>
      <c r="Y4883" t="s">
        <v>20402</v>
      </c>
    </row>
    <row r="4884" spans="1:25">
      <c r="A4884" t="s">
        <v>20403</v>
      </c>
      <c r="B4884" t="s">
        <v>20404</v>
      </c>
      <c r="D4884" t="s">
        <v>9473</v>
      </c>
      <c r="E4884" t="s">
        <v>9474</v>
      </c>
      <c r="J4884" t="s">
        <v>54</v>
      </c>
      <c r="K4884" t="s">
        <v>55</v>
      </c>
      <c r="L4884">
        <v>6</v>
      </c>
      <c r="M4884" t="s">
        <v>20398</v>
      </c>
      <c r="N4884" t="s">
        <v>47</v>
      </c>
      <c r="O4884" t="s">
        <v>9477</v>
      </c>
      <c r="P4884" t="s">
        <v>9477</v>
      </c>
      <c r="Y4884" t="s">
        <v>20405</v>
      </c>
    </row>
    <row r="4885" spans="1:25">
      <c r="A4885" t="s">
        <v>20406</v>
      </c>
      <c r="B4885" t="s">
        <v>20407</v>
      </c>
      <c r="D4885" t="s">
        <v>9473</v>
      </c>
      <c r="E4885" t="s">
        <v>9474</v>
      </c>
      <c r="J4885" t="s">
        <v>54</v>
      </c>
      <c r="K4885" t="s">
        <v>55</v>
      </c>
      <c r="L4885">
        <v>6</v>
      </c>
      <c r="M4885" t="s">
        <v>20408</v>
      </c>
      <c r="N4885" t="s">
        <v>47</v>
      </c>
      <c r="O4885" t="s">
        <v>9477</v>
      </c>
      <c r="P4885" t="s">
        <v>9477</v>
      </c>
      <c r="Y4885" t="s">
        <v>20409</v>
      </c>
    </row>
    <row r="4886" spans="1:25">
      <c r="A4886" t="s">
        <v>20410</v>
      </c>
      <c r="B4886" t="s">
        <v>20411</v>
      </c>
      <c r="D4886" t="s">
        <v>9473</v>
      </c>
      <c r="E4886" t="s">
        <v>9474</v>
      </c>
      <c r="J4886" t="s">
        <v>44</v>
      </c>
      <c r="K4886" t="s">
        <v>45</v>
      </c>
      <c r="L4886">
        <v>6</v>
      </c>
      <c r="M4886" t="s">
        <v>20408</v>
      </c>
      <c r="N4886" t="s">
        <v>47</v>
      </c>
      <c r="O4886" t="s">
        <v>9477</v>
      </c>
      <c r="P4886" t="s">
        <v>9477</v>
      </c>
      <c r="Y4886" t="s">
        <v>20412</v>
      </c>
    </row>
    <row r="4887" spans="1:25">
      <c r="A4887" t="s">
        <v>20413</v>
      </c>
      <c r="B4887" t="s">
        <v>20414</v>
      </c>
      <c r="D4887" t="s">
        <v>9473</v>
      </c>
      <c r="E4887" t="s">
        <v>9474</v>
      </c>
      <c r="J4887" t="s">
        <v>78</v>
      </c>
      <c r="K4887" t="s">
        <v>79</v>
      </c>
      <c r="L4887">
        <v>6</v>
      </c>
      <c r="M4887" t="s">
        <v>20415</v>
      </c>
      <c r="N4887" t="s">
        <v>47</v>
      </c>
      <c r="O4887" t="s">
        <v>9477</v>
      </c>
      <c r="P4887" t="s">
        <v>9477</v>
      </c>
      <c r="Y4887" t="s">
        <v>20416</v>
      </c>
    </row>
    <row r="4888" spans="1:25">
      <c r="A4888" t="s">
        <v>20417</v>
      </c>
      <c r="B4888" t="s">
        <v>20418</v>
      </c>
      <c r="D4888" t="s">
        <v>9473</v>
      </c>
      <c r="E4888" t="s">
        <v>9474</v>
      </c>
      <c r="H4888" t="s">
        <v>20419</v>
      </c>
      <c r="J4888" t="s">
        <v>234</v>
      </c>
      <c r="K4888" t="s">
        <v>235</v>
      </c>
      <c r="L4888">
        <v>6</v>
      </c>
      <c r="M4888" t="s">
        <v>20420</v>
      </c>
      <c r="N4888" t="s">
        <v>47</v>
      </c>
      <c r="O4888" t="s">
        <v>9477</v>
      </c>
      <c r="P4888" t="s">
        <v>9477</v>
      </c>
      <c r="Y4888" t="s">
        <v>20419</v>
      </c>
    </row>
    <row r="4889" spans="1:25">
      <c r="A4889" t="s">
        <v>20421</v>
      </c>
      <c r="B4889" t="s">
        <v>20422</v>
      </c>
      <c r="D4889" t="s">
        <v>9473</v>
      </c>
      <c r="E4889" t="s">
        <v>9474</v>
      </c>
      <c r="H4889" t="s">
        <v>20423</v>
      </c>
      <c r="J4889" t="s">
        <v>353</v>
      </c>
      <c r="K4889" t="s">
        <v>354</v>
      </c>
      <c r="L4889">
        <v>6</v>
      </c>
      <c r="M4889" t="s">
        <v>20424</v>
      </c>
      <c r="N4889" t="s">
        <v>47</v>
      </c>
      <c r="O4889" t="s">
        <v>9477</v>
      </c>
      <c r="P4889" t="s">
        <v>9477</v>
      </c>
      <c r="Y4889" t="s">
        <v>20423</v>
      </c>
    </row>
    <row r="4890" spans="1:25">
      <c r="A4890" t="s">
        <v>20425</v>
      </c>
      <c r="B4890" t="s">
        <v>20426</v>
      </c>
      <c r="D4890" t="s">
        <v>9473</v>
      </c>
      <c r="E4890" t="s">
        <v>9474</v>
      </c>
      <c r="J4890" t="s">
        <v>54</v>
      </c>
      <c r="K4890" t="s">
        <v>55</v>
      </c>
      <c r="L4890">
        <v>6</v>
      </c>
      <c r="M4890" t="s">
        <v>20427</v>
      </c>
      <c r="N4890" t="s">
        <v>47</v>
      </c>
      <c r="O4890" t="s">
        <v>9477</v>
      </c>
      <c r="P4890" t="s">
        <v>9477</v>
      </c>
      <c r="Y4890" t="s">
        <v>20428</v>
      </c>
    </row>
    <row r="4891" spans="1:25">
      <c r="A4891" t="s">
        <v>20429</v>
      </c>
      <c r="B4891" t="s">
        <v>20430</v>
      </c>
      <c r="D4891" t="s">
        <v>9473</v>
      </c>
      <c r="E4891" t="s">
        <v>9474</v>
      </c>
      <c r="J4891" t="s">
        <v>90</v>
      </c>
      <c r="K4891" t="s">
        <v>91</v>
      </c>
      <c r="L4891">
        <v>6</v>
      </c>
      <c r="M4891" t="s">
        <v>20431</v>
      </c>
      <c r="N4891" t="s">
        <v>47</v>
      </c>
      <c r="O4891" t="s">
        <v>9477</v>
      </c>
      <c r="P4891" t="s">
        <v>9477</v>
      </c>
      <c r="Y4891" t="s">
        <v>20432</v>
      </c>
    </row>
    <row r="4892" spans="1:25">
      <c r="A4892" t="s">
        <v>20433</v>
      </c>
      <c r="B4892" t="s">
        <v>20434</v>
      </c>
      <c r="D4892" t="s">
        <v>9473</v>
      </c>
      <c r="E4892" t="s">
        <v>9474</v>
      </c>
      <c r="J4892" t="s">
        <v>54</v>
      </c>
      <c r="K4892" t="s">
        <v>55</v>
      </c>
      <c r="L4892">
        <v>6</v>
      </c>
      <c r="M4892" t="s">
        <v>20431</v>
      </c>
      <c r="N4892" t="s">
        <v>47</v>
      </c>
      <c r="O4892" t="s">
        <v>9477</v>
      </c>
      <c r="P4892" t="s">
        <v>9477</v>
      </c>
      <c r="Y4892" t="s">
        <v>20435</v>
      </c>
    </row>
    <row r="4893" spans="1:25">
      <c r="A4893" t="s">
        <v>20436</v>
      </c>
      <c r="B4893" t="s">
        <v>20437</v>
      </c>
      <c r="D4893" t="s">
        <v>9473</v>
      </c>
      <c r="E4893" t="s">
        <v>9474</v>
      </c>
      <c r="J4893" t="s">
        <v>44</v>
      </c>
      <c r="K4893" t="s">
        <v>45</v>
      </c>
      <c r="L4893">
        <v>6</v>
      </c>
      <c r="M4893" t="s">
        <v>20438</v>
      </c>
      <c r="N4893" t="s">
        <v>47</v>
      </c>
      <c r="O4893" t="s">
        <v>9477</v>
      </c>
      <c r="P4893" t="s">
        <v>9477</v>
      </c>
      <c r="Y4893" t="s">
        <v>20439</v>
      </c>
    </row>
    <row r="4894" spans="1:25">
      <c r="A4894" t="s">
        <v>20440</v>
      </c>
      <c r="B4894" t="s">
        <v>20441</v>
      </c>
      <c r="D4894" t="s">
        <v>9473</v>
      </c>
      <c r="E4894" t="s">
        <v>9474</v>
      </c>
      <c r="H4894" t="s">
        <v>20442</v>
      </c>
      <c r="J4894" t="s">
        <v>44</v>
      </c>
      <c r="K4894" t="s">
        <v>45</v>
      </c>
      <c r="L4894">
        <v>6</v>
      </c>
      <c r="M4894" t="s">
        <v>20438</v>
      </c>
      <c r="N4894" t="s">
        <v>47</v>
      </c>
      <c r="O4894" t="s">
        <v>9477</v>
      </c>
      <c r="P4894" t="s">
        <v>9477</v>
      </c>
      <c r="Y4894" t="s">
        <v>20442</v>
      </c>
    </row>
    <row r="4895" spans="1:25">
      <c r="A4895" t="s">
        <v>20443</v>
      </c>
      <c r="B4895" t="s">
        <v>20444</v>
      </c>
      <c r="D4895" t="s">
        <v>9473</v>
      </c>
      <c r="E4895" t="s">
        <v>9474</v>
      </c>
      <c r="H4895" t="s">
        <v>20445</v>
      </c>
      <c r="J4895" t="s">
        <v>133</v>
      </c>
      <c r="K4895" t="s">
        <v>134</v>
      </c>
      <c r="L4895">
        <v>6</v>
      </c>
      <c r="M4895" t="s">
        <v>20438</v>
      </c>
      <c r="N4895" t="s">
        <v>290</v>
      </c>
      <c r="O4895" t="s">
        <v>9477</v>
      </c>
      <c r="P4895" t="s">
        <v>9477</v>
      </c>
      <c r="Y4895" t="s">
        <v>20445</v>
      </c>
    </row>
    <row r="4896" spans="1:25">
      <c r="A4896" t="s">
        <v>20446</v>
      </c>
      <c r="B4896" t="s">
        <v>20447</v>
      </c>
      <c r="D4896" t="s">
        <v>9473</v>
      </c>
      <c r="E4896" t="s">
        <v>9474</v>
      </c>
      <c r="H4896" t="s">
        <v>20448</v>
      </c>
      <c r="J4896" t="s">
        <v>234</v>
      </c>
      <c r="K4896" t="s">
        <v>235</v>
      </c>
      <c r="L4896">
        <v>6</v>
      </c>
      <c r="M4896" t="s">
        <v>20449</v>
      </c>
      <c r="N4896" t="s">
        <v>47</v>
      </c>
      <c r="O4896" t="s">
        <v>9477</v>
      </c>
      <c r="P4896" t="s">
        <v>9477</v>
      </c>
      <c r="Y4896" t="s">
        <v>20448</v>
      </c>
    </row>
    <row r="4897" spans="1:25">
      <c r="A4897" t="s">
        <v>20450</v>
      </c>
      <c r="B4897" t="s">
        <v>20451</v>
      </c>
      <c r="D4897" t="s">
        <v>9473</v>
      </c>
      <c r="E4897" t="s">
        <v>9474</v>
      </c>
      <c r="J4897" t="s">
        <v>44</v>
      </c>
      <c r="K4897" t="s">
        <v>45</v>
      </c>
      <c r="L4897">
        <v>6</v>
      </c>
      <c r="M4897" t="s">
        <v>20452</v>
      </c>
      <c r="N4897" t="s">
        <v>47</v>
      </c>
      <c r="O4897" t="s">
        <v>9477</v>
      </c>
      <c r="P4897" t="s">
        <v>9477</v>
      </c>
      <c r="Y4897" t="s">
        <v>20453</v>
      </c>
    </row>
    <row r="4898" spans="1:25">
      <c r="A4898" t="s">
        <v>20454</v>
      </c>
      <c r="B4898" t="s">
        <v>20455</v>
      </c>
      <c r="D4898" t="s">
        <v>9473</v>
      </c>
      <c r="E4898" t="s">
        <v>9474</v>
      </c>
      <c r="J4898" t="s">
        <v>44</v>
      </c>
      <c r="K4898" t="s">
        <v>45</v>
      </c>
      <c r="L4898">
        <v>6</v>
      </c>
      <c r="M4898" t="s">
        <v>20456</v>
      </c>
      <c r="N4898" t="s">
        <v>47</v>
      </c>
      <c r="O4898" t="s">
        <v>9477</v>
      </c>
      <c r="P4898" t="s">
        <v>9477</v>
      </c>
      <c r="Y4898" t="s">
        <v>20457</v>
      </c>
    </row>
    <row r="4899" spans="1:25">
      <c r="A4899" t="s">
        <v>20458</v>
      </c>
      <c r="B4899" t="s">
        <v>20459</v>
      </c>
      <c r="D4899" t="s">
        <v>9473</v>
      </c>
      <c r="E4899" t="s">
        <v>9474</v>
      </c>
      <c r="H4899" t="s">
        <v>20460</v>
      </c>
      <c r="J4899" t="s">
        <v>90</v>
      </c>
      <c r="K4899" t="s">
        <v>91</v>
      </c>
      <c r="L4899">
        <v>6</v>
      </c>
      <c r="M4899" t="s">
        <v>20461</v>
      </c>
      <c r="N4899" t="s">
        <v>47</v>
      </c>
      <c r="O4899" t="s">
        <v>9477</v>
      </c>
      <c r="P4899" t="s">
        <v>9477</v>
      </c>
      <c r="Y4899" t="s">
        <v>20460</v>
      </c>
    </row>
    <row r="4900" spans="1:25">
      <c r="A4900" t="s">
        <v>20462</v>
      </c>
      <c r="B4900" t="s">
        <v>20463</v>
      </c>
      <c r="D4900" t="s">
        <v>9473</v>
      </c>
      <c r="E4900" t="s">
        <v>9474</v>
      </c>
      <c r="H4900" t="s">
        <v>20464</v>
      </c>
      <c r="J4900" t="s">
        <v>54</v>
      </c>
      <c r="K4900" t="s">
        <v>55</v>
      </c>
      <c r="L4900">
        <v>6</v>
      </c>
      <c r="M4900" t="s">
        <v>20461</v>
      </c>
      <c r="N4900" t="s">
        <v>47</v>
      </c>
      <c r="O4900" t="s">
        <v>9477</v>
      </c>
      <c r="P4900" t="s">
        <v>9477</v>
      </c>
      <c r="Y4900" t="s">
        <v>20464</v>
      </c>
    </row>
    <row r="4901" spans="1:25">
      <c r="A4901" t="s">
        <v>20465</v>
      </c>
      <c r="B4901" t="s">
        <v>20466</v>
      </c>
      <c r="D4901" t="s">
        <v>9473</v>
      </c>
      <c r="E4901" t="s">
        <v>9474</v>
      </c>
      <c r="J4901" t="s">
        <v>90</v>
      </c>
      <c r="K4901" t="s">
        <v>91</v>
      </c>
      <c r="L4901">
        <v>6</v>
      </c>
      <c r="M4901" t="s">
        <v>20467</v>
      </c>
      <c r="N4901" t="s">
        <v>47</v>
      </c>
      <c r="O4901" t="s">
        <v>9477</v>
      </c>
      <c r="P4901" t="s">
        <v>9477</v>
      </c>
      <c r="Y4901" t="s">
        <v>20468</v>
      </c>
    </row>
    <row r="4902" spans="1:25">
      <c r="A4902" t="s">
        <v>20469</v>
      </c>
      <c r="B4902" t="s">
        <v>20470</v>
      </c>
      <c r="D4902" t="s">
        <v>9473</v>
      </c>
      <c r="E4902" t="s">
        <v>9474</v>
      </c>
      <c r="H4902" t="s">
        <v>20471</v>
      </c>
      <c r="J4902" t="s">
        <v>133</v>
      </c>
      <c r="K4902" t="s">
        <v>134</v>
      </c>
      <c r="L4902">
        <v>6</v>
      </c>
      <c r="M4902" t="s">
        <v>20472</v>
      </c>
      <c r="N4902" t="s">
        <v>685</v>
      </c>
      <c r="O4902" t="s">
        <v>9477</v>
      </c>
      <c r="P4902" t="s">
        <v>9477</v>
      </c>
      <c r="Y4902" t="s">
        <v>20471</v>
      </c>
    </row>
    <row r="4903" spans="1:25">
      <c r="A4903" t="s">
        <v>20473</v>
      </c>
      <c r="B4903" t="s">
        <v>20474</v>
      </c>
      <c r="D4903" t="s">
        <v>9473</v>
      </c>
      <c r="E4903" t="s">
        <v>9474</v>
      </c>
      <c r="J4903" t="s">
        <v>133</v>
      </c>
      <c r="K4903" t="s">
        <v>134</v>
      </c>
      <c r="L4903">
        <v>6</v>
      </c>
      <c r="M4903" t="s">
        <v>20475</v>
      </c>
      <c r="N4903" t="s">
        <v>290</v>
      </c>
      <c r="O4903" t="s">
        <v>9477</v>
      </c>
      <c r="P4903" t="s">
        <v>9477</v>
      </c>
      <c r="Y4903" t="s">
        <v>20476</v>
      </c>
    </row>
    <row r="4904" spans="1:25">
      <c r="A4904" t="s">
        <v>20477</v>
      </c>
      <c r="B4904" t="s">
        <v>20478</v>
      </c>
      <c r="D4904" t="s">
        <v>9473</v>
      </c>
      <c r="E4904" t="s">
        <v>9474</v>
      </c>
      <c r="J4904" t="s">
        <v>90</v>
      </c>
      <c r="K4904" t="s">
        <v>91</v>
      </c>
      <c r="L4904">
        <v>6</v>
      </c>
      <c r="M4904" t="s">
        <v>20479</v>
      </c>
      <c r="N4904" t="s">
        <v>47</v>
      </c>
      <c r="O4904" t="s">
        <v>9477</v>
      </c>
      <c r="P4904" t="s">
        <v>9477</v>
      </c>
      <c r="Y4904" t="s">
        <v>20480</v>
      </c>
    </row>
    <row r="4905" spans="1:25">
      <c r="A4905" t="s">
        <v>20481</v>
      </c>
      <c r="B4905" t="s">
        <v>20482</v>
      </c>
      <c r="D4905" t="s">
        <v>9473</v>
      </c>
      <c r="E4905" t="s">
        <v>9474</v>
      </c>
      <c r="J4905" t="s">
        <v>78</v>
      </c>
      <c r="K4905" t="s">
        <v>79</v>
      </c>
      <c r="L4905">
        <v>6</v>
      </c>
      <c r="M4905" t="s">
        <v>20479</v>
      </c>
      <c r="N4905" t="s">
        <v>47</v>
      </c>
      <c r="O4905" t="s">
        <v>9477</v>
      </c>
      <c r="P4905" t="s">
        <v>9477</v>
      </c>
      <c r="Y4905" t="s">
        <v>20483</v>
      </c>
    </row>
    <row r="4906" spans="1:25">
      <c r="A4906" t="s">
        <v>20484</v>
      </c>
      <c r="B4906" t="s">
        <v>20485</v>
      </c>
      <c r="D4906" t="s">
        <v>9473</v>
      </c>
      <c r="E4906" t="s">
        <v>9474</v>
      </c>
      <c r="H4906" t="s">
        <v>20486</v>
      </c>
      <c r="J4906" t="s">
        <v>133</v>
      </c>
      <c r="K4906" t="s">
        <v>134</v>
      </c>
      <c r="L4906">
        <v>6</v>
      </c>
      <c r="M4906" t="s">
        <v>20479</v>
      </c>
      <c r="N4906" t="s">
        <v>135</v>
      </c>
      <c r="O4906" t="s">
        <v>9477</v>
      </c>
      <c r="P4906" t="s">
        <v>9477</v>
      </c>
      <c r="Y4906" t="s">
        <v>20486</v>
      </c>
    </row>
    <row r="4907" spans="1:25">
      <c r="A4907" t="s">
        <v>20487</v>
      </c>
      <c r="B4907" t="s">
        <v>20488</v>
      </c>
      <c r="D4907" t="s">
        <v>9473</v>
      </c>
      <c r="E4907" t="s">
        <v>9474</v>
      </c>
      <c r="J4907" t="s">
        <v>90</v>
      </c>
      <c r="K4907" t="s">
        <v>91</v>
      </c>
      <c r="L4907">
        <v>6</v>
      </c>
      <c r="M4907" t="s">
        <v>20489</v>
      </c>
      <c r="N4907" t="s">
        <v>47</v>
      </c>
      <c r="O4907" t="s">
        <v>9477</v>
      </c>
      <c r="P4907" t="s">
        <v>9477</v>
      </c>
      <c r="Y4907" t="s">
        <v>20490</v>
      </c>
    </row>
    <row r="4908" spans="1:25">
      <c r="A4908" t="s">
        <v>20491</v>
      </c>
      <c r="B4908" t="s">
        <v>20492</v>
      </c>
      <c r="D4908" t="s">
        <v>9473</v>
      </c>
      <c r="E4908" t="s">
        <v>9474</v>
      </c>
      <c r="H4908" t="s">
        <v>20493</v>
      </c>
      <c r="J4908" t="s">
        <v>78</v>
      </c>
      <c r="K4908" t="s">
        <v>79</v>
      </c>
      <c r="L4908">
        <v>6</v>
      </c>
      <c r="M4908" t="s">
        <v>20494</v>
      </c>
      <c r="N4908" t="s">
        <v>47</v>
      </c>
      <c r="O4908" t="s">
        <v>9477</v>
      </c>
      <c r="P4908" t="s">
        <v>9477</v>
      </c>
      <c r="Y4908" t="s">
        <v>20493</v>
      </c>
    </row>
    <row r="4909" spans="1:25">
      <c r="A4909" t="s">
        <v>20495</v>
      </c>
      <c r="B4909" t="s">
        <v>20496</v>
      </c>
      <c r="D4909" t="s">
        <v>9473</v>
      </c>
      <c r="E4909" t="s">
        <v>9474</v>
      </c>
      <c r="J4909" t="s">
        <v>54</v>
      </c>
      <c r="K4909" t="s">
        <v>55</v>
      </c>
      <c r="L4909">
        <v>6</v>
      </c>
      <c r="M4909" t="s">
        <v>20497</v>
      </c>
      <c r="N4909" t="s">
        <v>47</v>
      </c>
      <c r="O4909" t="s">
        <v>9477</v>
      </c>
      <c r="P4909" t="s">
        <v>9477</v>
      </c>
      <c r="Y4909" t="s">
        <v>20498</v>
      </c>
    </row>
    <row r="4910" spans="1:25">
      <c r="A4910" t="s">
        <v>20499</v>
      </c>
      <c r="B4910" t="s">
        <v>20500</v>
      </c>
      <c r="D4910" t="s">
        <v>9473</v>
      </c>
      <c r="E4910" t="s">
        <v>9474</v>
      </c>
      <c r="J4910" t="s">
        <v>90</v>
      </c>
      <c r="K4910" t="s">
        <v>91</v>
      </c>
      <c r="L4910">
        <v>6</v>
      </c>
      <c r="M4910" t="s">
        <v>20501</v>
      </c>
      <c r="N4910" t="s">
        <v>47</v>
      </c>
      <c r="O4910" t="s">
        <v>9477</v>
      </c>
      <c r="P4910" t="s">
        <v>9477</v>
      </c>
      <c r="Y4910" t="s">
        <v>20502</v>
      </c>
    </row>
    <row r="4911" spans="1:25">
      <c r="A4911" t="s">
        <v>20503</v>
      </c>
      <c r="B4911" t="s">
        <v>20504</v>
      </c>
      <c r="D4911" t="s">
        <v>9473</v>
      </c>
      <c r="E4911" t="s">
        <v>9474</v>
      </c>
      <c r="H4911" t="s">
        <v>20505</v>
      </c>
      <c r="J4911" t="s">
        <v>78</v>
      </c>
      <c r="K4911" t="s">
        <v>79</v>
      </c>
      <c r="L4911">
        <v>6</v>
      </c>
      <c r="M4911" t="s">
        <v>20506</v>
      </c>
      <c r="N4911" t="s">
        <v>47</v>
      </c>
      <c r="O4911" t="s">
        <v>9477</v>
      </c>
      <c r="P4911" t="s">
        <v>9477</v>
      </c>
      <c r="Y4911" t="s">
        <v>20505</v>
      </c>
    </row>
    <row r="4912" spans="1:25">
      <c r="A4912" t="s">
        <v>20507</v>
      </c>
      <c r="B4912" t="s">
        <v>20508</v>
      </c>
      <c r="D4912" t="s">
        <v>9473</v>
      </c>
      <c r="E4912" t="s">
        <v>9474</v>
      </c>
      <c r="J4912" t="s">
        <v>54</v>
      </c>
      <c r="K4912" t="s">
        <v>55</v>
      </c>
      <c r="L4912">
        <v>6</v>
      </c>
      <c r="M4912" t="s">
        <v>20509</v>
      </c>
      <c r="N4912" t="s">
        <v>47</v>
      </c>
      <c r="O4912" t="s">
        <v>9477</v>
      </c>
      <c r="P4912" t="s">
        <v>9477</v>
      </c>
      <c r="Y4912" t="s">
        <v>20510</v>
      </c>
    </row>
    <row r="4913" spans="1:25">
      <c r="A4913" t="s">
        <v>20511</v>
      </c>
      <c r="B4913" t="s">
        <v>20512</v>
      </c>
      <c r="D4913" t="s">
        <v>9473</v>
      </c>
      <c r="E4913" t="s">
        <v>9474</v>
      </c>
      <c r="H4913" t="s">
        <v>20513</v>
      </c>
      <c r="J4913" t="s">
        <v>44</v>
      </c>
      <c r="K4913" t="s">
        <v>45</v>
      </c>
      <c r="L4913">
        <v>6</v>
      </c>
      <c r="M4913" t="s">
        <v>20514</v>
      </c>
      <c r="N4913" t="s">
        <v>47</v>
      </c>
      <c r="O4913" t="s">
        <v>9477</v>
      </c>
      <c r="P4913" t="s">
        <v>9477</v>
      </c>
      <c r="Y4913" t="s">
        <v>20513</v>
      </c>
    </row>
    <row r="4914" spans="1:25">
      <c r="A4914" t="s">
        <v>20515</v>
      </c>
      <c r="B4914" t="s">
        <v>20516</v>
      </c>
      <c r="D4914" t="s">
        <v>9473</v>
      </c>
      <c r="E4914" t="s">
        <v>9474</v>
      </c>
      <c r="J4914" t="s">
        <v>78</v>
      </c>
      <c r="K4914" t="s">
        <v>79</v>
      </c>
      <c r="L4914">
        <v>6</v>
      </c>
      <c r="M4914" t="s">
        <v>20517</v>
      </c>
      <c r="N4914" t="s">
        <v>47</v>
      </c>
      <c r="O4914" t="s">
        <v>9477</v>
      </c>
      <c r="P4914" t="s">
        <v>9477</v>
      </c>
      <c r="Y4914" t="s">
        <v>20518</v>
      </c>
    </row>
    <row r="4915" spans="1:25">
      <c r="A4915" t="s">
        <v>20519</v>
      </c>
      <c r="B4915" t="s">
        <v>20520</v>
      </c>
      <c r="D4915" t="s">
        <v>9473</v>
      </c>
      <c r="E4915" t="s">
        <v>9474</v>
      </c>
      <c r="J4915" t="s">
        <v>371</v>
      </c>
      <c r="K4915" t="s">
        <v>372</v>
      </c>
      <c r="L4915">
        <v>6</v>
      </c>
      <c r="M4915" t="s">
        <v>20517</v>
      </c>
      <c r="N4915" t="s">
        <v>47</v>
      </c>
      <c r="O4915" t="s">
        <v>9477</v>
      </c>
      <c r="P4915" t="s">
        <v>9477</v>
      </c>
      <c r="Y4915" t="s">
        <v>20521</v>
      </c>
    </row>
    <row r="4916" spans="1:25">
      <c r="A4916" t="s">
        <v>20522</v>
      </c>
      <c r="B4916" t="s">
        <v>20523</v>
      </c>
      <c r="D4916" t="s">
        <v>9473</v>
      </c>
      <c r="E4916" t="s">
        <v>9474</v>
      </c>
      <c r="J4916" t="s">
        <v>54</v>
      </c>
      <c r="K4916" t="s">
        <v>55</v>
      </c>
      <c r="L4916">
        <v>6</v>
      </c>
      <c r="M4916" t="s">
        <v>20524</v>
      </c>
      <c r="N4916" t="s">
        <v>47</v>
      </c>
      <c r="O4916" t="s">
        <v>9477</v>
      </c>
      <c r="P4916" t="s">
        <v>9477</v>
      </c>
      <c r="Y4916" t="s">
        <v>20525</v>
      </c>
    </row>
    <row r="4917" spans="1:25">
      <c r="A4917" t="s">
        <v>20526</v>
      </c>
      <c r="B4917" t="s">
        <v>20527</v>
      </c>
      <c r="D4917" t="s">
        <v>9473</v>
      </c>
      <c r="E4917" t="s">
        <v>9474</v>
      </c>
      <c r="J4917" t="s">
        <v>54</v>
      </c>
      <c r="K4917" t="s">
        <v>55</v>
      </c>
      <c r="L4917">
        <v>6</v>
      </c>
      <c r="M4917" t="s">
        <v>20524</v>
      </c>
      <c r="N4917" t="s">
        <v>47</v>
      </c>
      <c r="O4917" t="s">
        <v>9477</v>
      </c>
      <c r="P4917" t="s">
        <v>9477</v>
      </c>
      <c r="Y4917" t="s">
        <v>20528</v>
      </c>
    </row>
    <row r="4918" spans="1:25">
      <c r="A4918" t="s">
        <v>20529</v>
      </c>
      <c r="B4918" t="s">
        <v>20530</v>
      </c>
      <c r="D4918" t="s">
        <v>9473</v>
      </c>
      <c r="E4918" t="s">
        <v>9474</v>
      </c>
      <c r="J4918" t="s">
        <v>371</v>
      </c>
      <c r="K4918" t="s">
        <v>372</v>
      </c>
      <c r="L4918">
        <v>6</v>
      </c>
      <c r="M4918" t="s">
        <v>20531</v>
      </c>
      <c r="N4918" t="s">
        <v>47</v>
      </c>
      <c r="O4918" t="s">
        <v>9477</v>
      </c>
      <c r="P4918" t="s">
        <v>9477</v>
      </c>
      <c r="Y4918" t="s">
        <v>20532</v>
      </c>
    </row>
    <row r="4919" spans="1:25">
      <c r="A4919" t="s">
        <v>20533</v>
      </c>
      <c r="B4919" t="s">
        <v>20534</v>
      </c>
      <c r="D4919" t="s">
        <v>9473</v>
      </c>
      <c r="E4919" t="s">
        <v>9474</v>
      </c>
      <c r="H4919" t="s">
        <v>20535</v>
      </c>
      <c r="J4919" t="s">
        <v>927</v>
      </c>
      <c r="K4919" t="s">
        <v>928</v>
      </c>
      <c r="L4919">
        <v>6</v>
      </c>
      <c r="M4919" t="s">
        <v>20536</v>
      </c>
      <c r="N4919" t="s">
        <v>135</v>
      </c>
      <c r="O4919" t="s">
        <v>9477</v>
      </c>
      <c r="P4919" t="s">
        <v>9477</v>
      </c>
      <c r="Y4919" t="s">
        <v>20535</v>
      </c>
    </row>
    <row r="4920" spans="1:25">
      <c r="A4920" t="s">
        <v>20537</v>
      </c>
      <c r="B4920" t="s">
        <v>20538</v>
      </c>
      <c r="D4920" t="s">
        <v>9473</v>
      </c>
      <c r="E4920" t="s">
        <v>9474</v>
      </c>
      <c r="J4920" t="s">
        <v>44</v>
      </c>
      <c r="K4920" t="s">
        <v>45</v>
      </c>
      <c r="L4920">
        <v>6</v>
      </c>
      <c r="M4920" t="s">
        <v>20539</v>
      </c>
      <c r="N4920" t="s">
        <v>47</v>
      </c>
      <c r="O4920" t="s">
        <v>9477</v>
      </c>
      <c r="P4920" t="s">
        <v>9477</v>
      </c>
      <c r="Y4920" t="s">
        <v>20540</v>
      </c>
    </row>
    <row r="4921" spans="1:25">
      <c r="A4921" t="s">
        <v>20541</v>
      </c>
      <c r="B4921" t="s">
        <v>20542</v>
      </c>
      <c r="D4921" t="s">
        <v>9473</v>
      </c>
      <c r="E4921" t="s">
        <v>9474</v>
      </c>
      <c r="H4921" t="s">
        <v>20543</v>
      </c>
      <c r="J4921" t="s">
        <v>1827</v>
      </c>
      <c r="K4921" t="s">
        <v>1828</v>
      </c>
      <c r="L4921">
        <v>6</v>
      </c>
      <c r="M4921" t="s">
        <v>20539</v>
      </c>
      <c r="N4921" t="s">
        <v>47</v>
      </c>
      <c r="O4921" t="s">
        <v>9477</v>
      </c>
      <c r="P4921" t="s">
        <v>9477</v>
      </c>
      <c r="Y4921" t="s">
        <v>20543</v>
      </c>
    </row>
    <row r="4922" spans="1:25">
      <c r="A4922" t="s">
        <v>20544</v>
      </c>
      <c r="B4922" t="s">
        <v>20545</v>
      </c>
      <c r="D4922" t="s">
        <v>9473</v>
      </c>
      <c r="E4922" t="s">
        <v>9474</v>
      </c>
      <c r="H4922" t="s">
        <v>20546</v>
      </c>
      <c r="J4922" t="s">
        <v>541</v>
      </c>
      <c r="K4922" t="s">
        <v>542</v>
      </c>
      <c r="L4922">
        <v>6</v>
      </c>
      <c r="M4922" t="s">
        <v>20539</v>
      </c>
      <c r="N4922" t="s">
        <v>290</v>
      </c>
      <c r="O4922" t="s">
        <v>9477</v>
      </c>
      <c r="P4922" t="s">
        <v>9477</v>
      </c>
      <c r="Y4922" t="s">
        <v>20546</v>
      </c>
    </row>
    <row r="4923" spans="1:25">
      <c r="A4923" t="s">
        <v>20547</v>
      </c>
      <c r="B4923" t="s">
        <v>20548</v>
      </c>
      <c r="D4923" t="s">
        <v>9473</v>
      </c>
      <c r="E4923" t="s">
        <v>9474</v>
      </c>
      <c r="J4923" t="s">
        <v>371</v>
      </c>
      <c r="K4923" t="s">
        <v>372</v>
      </c>
      <c r="L4923">
        <v>6</v>
      </c>
      <c r="M4923" t="s">
        <v>20549</v>
      </c>
      <c r="N4923" t="s">
        <v>47</v>
      </c>
      <c r="O4923" t="s">
        <v>9477</v>
      </c>
      <c r="P4923" t="s">
        <v>9477</v>
      </c>
      <c r="Y4923" t="s">
        <v>20550</v>
      </c>
    </row>
    <row r="4924" spans="1:25">
      <c r="A4924" t="s">
        <v>20551</v>
      </c>
      <c r="B4924" t="s">
        <v>20552</v>
      </c>
      <c r="D4924" t="s">
        <v>9473</v>
      </c>
      <c r="E4924" t="s">
        <v>9474</v>
      </c>
      <c r="H4924" t="s">
        <v>20553</v>
      </c>
      <c r="J4924" t="s">
        <v>44</v>
      </c>
      <c r="K4924" t="s">
        <v>45</v>
      </c>
      <c r="L4924">
        <v>6</v>
      </c>
      <c r="M4924" t="s">
        <v>20554</v>
      </c>
      <c r="N4924" t="s">
        <v>47</v>
      </c>
      <c r="O4924" t="s">
        <v>9477</v>
      </c>
      <c r="P4924" t="s">
        <v>9477</v>
      </c>
      <c r="Y4924" t="s">
        <v>20553</v>
      </c>
    </row>
    <row r="4925" spans="1:25">
      <c r="A4925" t="s">
        <v>20555</v>
      </c>
      <c r="B4925" t="s">
        <v>20556</v>
      </c>
      <c r="D4925" t="s">
        <v>9473</v>
      </c>
      <c r="E4925" t="s">
        <v>9474</v>
      </c>
      <c r="J4925" t="s">
        <v>44</v>
      </c>
      <c r="K4925" t="s">
        <v>45</v>
      </c>
      <c r="L4925">
        <v>6</v>
      </c>
      <c r="M4925" t="s">
        <v>20557</v>
      </c>
      <c r="N4925" t="s">
        <v>47</v>
      </c>
      <c r="O4925" t="s">
        <v>9477</v>
      </c>
      <c r="P4925" t="s">
        <v>9477</v>
      </c>
      <c r="Y4925" t="s">
        <v>20558</v>
      </c>
    </row>
    <row r="4926" spans="1:25">
      <c r="A4926" t="s">
        <v>20559</v>
      </c>
      <c r="B4926" t="s">
        <v>20560</v>
      </c>
      <c r="D4926" t="s">
        <v>9473</v>
      </c>
      <c r="E4926" t="s">
        <v>9474</v>
      </c>
      <c r="J4926" t="s">
        <v>1827</v>
      </c>
      <c r="K4926" t="s">
        <v>1828</v>
      </c>
      <c r="L4926">
        <v>6</v>
      </c>
      <c r="M4926" t="s">
        <v>20561</v>
      </c>
      <c r="N4926" t="s">
        <v>47</v>
      </c>
      <c r="O4926" t="s">
        <v>9477</v>
      </c>
      <c r="P4926" t="s">
        <v>9477</v>
      </c>
      <c r="Y4926" t="s">
        <v>20562</v>
      </c>
    </row>
    <row r="4927" spans="1:25">
      <c r="A4927" t="s">
        <v>20563</v>
      </c>
      <c r="B4927" t="s">
        <v>20564</v>
      </c>
      <c r="D4927" t="s">
        <v>9473</v>
      </c>
      <c r="E4927" t="s">
        <v>9474</v>
      </c>
      <c r="J4927" t="s">
        <v>90</v>
      </c>
      <c r="K4927" t="s">
        <v>91</v>
      </c>
      <c r="L4927">
        <v>6</v>
      </c>
      <c r="M4927" t="s">
        <v>20565</v>
      </c>
      <c r="N4927" t="s">
        <v>47</v>
      </c>
      <c r="O4927" t="s">
        <v>9477</v>
      </c>
      <c r="P4927" t="s">
        <v>9477</v>
      </c>
      <c r="Y4927" t="s">
        <v>20566</v>
      </c>
    </row>
    <row r="4928" spans="1:25">
      <c r="A4928" t="s">
        <v>20567</v>
      </c>
      <c r="B4928" t="s">
        <v>20568</v>
      </c>
      <c r="D4928" t="s">
        <v>9473</v>
      </c>
      <c r="E4928" t="s">
        <v>9474</v>
      </c>
      <c r="H4928" t="s">
        <v>20569</v>
      </c>
      <c r="J4928" t="s">
        <v>90</v>
      </c>
      <c r="K4928" t="s">
        <v>91</v>
      </c>
      <c r="L4928">
        <v>6</v>
      </c>
      <c r="M4928" t="s">
        <v>20565</v>
      </c>
      <c r="N4928" t="s">
        <v>47</v>
      </c>
      <c r="O4928" t="s">
        <v>9477</v>
      </c>
      <c r="P4928" t="s">
        <v>9477</v>
      </c>
      <c r="Y4928" t="s">
        <v>20569</v>
      </c>
    </row>
    <row r="4929" spans="1:25">
      <c r="A4929" t="s">
        <v>20570</v>
      </c>
      <c r="B4929" t="s">
        <v>20571</v>
      </c>
      <c r="D4929" t="s">
        <v>9473</v>
      </c>
      <c r="E4929" t="s">
        <v>9474</v>
      </c>
      <c r="H4929" t="s">
        <v>20572</v>
      </c>
      <c r="J4929" t="s">
        <v>234</v>
      </c>
      <c r="K4929" t="s">
        <v>235</v>
      </c>
      <c r="L4929">
        <v>6</v>
      </c>
      <c r="M4929" t="s">
        <v>20573</v>
      </c>
      <c r="N4929" t="s">
        <v>47</v>
      </c>
      <c r="O4929" t="s">
        <v>9477</v>
      </c>
      <c r="P4929" t="s">
        <v>9477</v>
      </c>
      <c r="Y4929" t="s">
        <v>20572</v>
      </c>
    </row>
    <row r="4930" spans="1:25">
      <c r="A4930" t="s">
        <v>20574</v>
      </c>
      <c r="B4930" t="s">
        <v>20575</v>
      </c>
      <c r="D4930" t="s">
        <v>9473</v>
      </c>
      <c r="E4930" t="s">
        <v>9474</v>
      </c>
      <c r="H4930" t="s">
        <v>20576</v>
      </c>
      <c r="J4930" t="s">
        <v>234</v>
      </c>
      <c r="K4930" t="s">
        <v>235</v>
      </c>
      <c r="L4930">
        <v>6</v>
      </c>
      <c r="M4930" t="s">
        <v>20577</v>
      </c>
      <c r="N4930" t="s">
        <v>47</v>
      </c>
      <c r="O4930" t="s">
        <v>9477</v>
      </c>
      <c r="P4930" t="s">
        <v>9477</v>
      </c>
      <c r="Y4930" t="s">
        <v>20576</v>
      </c>
    </row>
    <row r="4931" spans="1:25">
      <c r="A4931" t="s">
        <v>20578</v>
      </c>
      <c r="B4931" t="s">
        <v>20579</v>
      </c>
      <c r="D4931" t="s">
        <v>9473</v>
      </c>
      <c r="E4931" t="s">
        <v>9474</v>
      </c>
      <c r="H4931" t="s">
        <v>20580</v>
      </c>
      <c r="J4931" t="s">
        <v>234</v>
      </c>
      <c r="K4931" t="s">
        <v>235</v>
      </c>
      <c r="L4931">
        <v>6</v>
      </c>
      <c r="M4931" t="s">
        <v>20581</v>
      </c>
      <c r="N4931" t="s">
        <v>47</v>
      </c>
      <c r="O4931" t="s">
        <v>9477</v>
      </c>
      <c r="P4931" t="s">
        <v>9477</v>
      </c>
      <c r="Y4931" t="s">
        <v>20580</v>
      </c>
    </row>
    <row r="4932" spans="1:25">
      <c r="A4932" t="s">
        <v>20582</v>
      </c>
      <c r="B4932" t="s">
        <v>20583</v>
      </c>
      <c r="D4932" t="s">
        <v>9473</v>
      </c>
      <c r="E4932" t="s">
        <v>9474</v>
      </c>
      <c r="J4932" t="s">
        <v>90</v>
      </c>
      <c r="K4932" t="s">
        <v>91</v>
      </c>
      <c r="L4932">
        <v>6</v>
      </c>
      <c r="M4932" t="s">
        <v>20584</v>
      </c>
      <c r="N4932" t="s">
        <v>47</v>
      </c>
      <c r="O4932" t="s">
        <v>9477</v>
      </c>
      <c r="P4932" t="s">
        <v>9477</v>
      </c>
      <c r="Y4932" t="s">
        <v>20585</v>
      </c>
    </row>
    <row r="4933" spans="1:25">
      <c r="A4933" t="s">
        <v>20586</v>
      </c>
      <c r="B4933" t="s">
        <v>20587</v>
      </c>
      <c r="D4933" t="s">
        <v>9473</v>
      </c>
      <c r="E4933" t="s">
        <v>9474</v>
      </c>
      <c r="H4933" t="s">
        <v>20588</v>
      </c>
      <c r="J4933" t="s">
        <v>133</v>
      </c>
      <c r="K4933" t="s">
        <v>134</v>
      </c>
      <c r="L4933">
        <v>6</v>
      </c>
      <c r="M4933" t="s">
        <v>20589</v>
      </c>
      <c r="N4933" t="s">
        <v>685</v>
      </c>
      <c r="O4933" t="s">
        <v>9477</v>
      </c>
      <c r="P4933" t="s">
        <v>9477</v>
      </c>
      <c r="Y4933" t="s">
        <v>20588</v>
      </c>
    </row>
    <row r="4934" spans="1:25">
      <c r="A4934" t="s">
        <v>20590</v>
      </c>
      <c r="B4934" t="s">
        <v>20591</v>
      </c>
      <c r="D4934" t="s">
        <v>9473</v>
      </c>
      <c r="E4934" t="s">
        <v>9474</v>
      </c>
      <c r="H4934" t="s">
        <v>20592</v>
      </c>
      <c r="J4934" t="s">
        <v>497</v>
      </c>
      <c r="K4934" t="s">
        <v>498</v>
      </c>
      <c r="L4934">
        <v>6</v>
      </c>
      <c r="M4934" t="s">
        <v>20593</v>
      </c>
      <c r="N4934" t="s">
        <v>135</v>
      </c>
      <c r="O4934" t="s">
        <v>9477</v>
      </c>
      <c r="P4934" t="s">
        <v>9477</v>
      </c>
      <c r="Y4934" t="s">
        <v>20592</v>
      </c>
    </row>
    <row r="4935" spans="1:25">
      <c r="A4935" t="s">
        <v>20594</v>
      </c>
      <c r="B4935" t="s">
        <v>20595</v>
      </c>
      <c r="D4935" t="s">
        <v>9473</v>
      </c>
      <c r="E4935" t="s">
        <v>9474</v>
      </c>
      <c r="J4935" t="s">
        <v>90</v>
      </c>
      <c r="K4935" t="s">
        <v>91</v>
      </c>
      <c r="L4935">
        <v>6</v>
      </c>
      <c r="M4935" t="s">
        <v>20596</v>
      </c>
      <c r="N4935" t="s">
        <v>47</v>
      </c>
      <c r="O4935" t="s">
        <v>9477</v>
      </c>
      <c r="P4935" t="s">
        <v>9477</v>
      </c>
      <c r="Y4935" t="s">
        <v>20597</v>
      </c>
    </row>
    <row r="4936" spans="1:25">
      <c r="A4936" t="s">
        <v>20598</v>
      </c>
      <c r="B4936" t="s">
        <v>20599</v>
      </c>
      <c r="D4936" t="s">
        <v>9473</v>
      </c>
      <c r="E4936" t="s">
        <v>9474</v>
      </c>
      <c r="H4936" t="s">
        <v>20600</v>
      </c>
      <c r="J4936" t="s">
        <v>90</v>
      </c>
      <c r="K4936" t="s">
        <v>91</v>
      </c>
      <c r="L4936">
        <v>6</v>
      </c>
      <c r="M4936" t="s">
        <v>20596</v>
      </c>
      <c r="N4936" t="s">
        <v>47</v>
      </c>
      <c r="O4936" t="s">
        <v>9477</v>
      </c>
      <c r="P4936" t="s">
        <v>9477</v>
      </c>
      <c r="Y4936" t="s">
        <v>20600</v>
      </c>
    </row>
    <row r="4937" spans="1:25">
      <c r="A4937" t="s">
        <v>20601</v>
      </c>
      <c r="B4937" t="s">
        <v>20602</v>
      </c>
      <c r="D4937" t="s">
        <v>9473</v>
      </c>
      <c r="E4937" t="s">
        <v>9474</v>
      </c>
      <c r="J4937" t="s">
        <v>90</v>
      </c>
      <c r="K4937" t="s">
        <v>91</v>
      </c>
      <c r="L4937">
        <v>6</v>
      </c>
      <c r="M4937" t="s">
        <v>20603</v>
      </c>
      <c r="N4937" t="s">
        <v>47</v>
      </c>
      <c r="O4937" t="s">
        <v>9477</v>
      </c>
      <c r="P4937" t="s">
        <v>9477</v>
      </c>
      <c r="Y4937" t="s">
        <v>20604</v>
      </c>
    </row>
    <row r="4938" spans="1:25">
      <c r="A4938" t="s">
        <v>20605</v>
      </c>
      <c r="B4938" t="s">
        <v>20606</v>
      </c>
      <c r="D4938" t="s">
        <v>9473</v>
      </c>
      <c r="E4938" t="s">
        <v>9474</v>
      </c>
      <c r="J4938" t="s">
        <v>90</v>
      </c>
      <c r="K4938" t="s">
        <v>91</v>
      </c>
      <c r="L4938">
        <v>6</v>
      </c>
      <c r="M4938" t="s">
        <v>20603</v>
      </c>
      <c r="N4938" t="s">
        <v>47</v>
      </c>
      <c r="O4938" t="s">
        <v>9477</v>
      </c>
      <c r="P4938" t="s">
        <v>9477</v>
      </c>
      <c r="Y4938" t="s">
        <v>20607</v>
      </c>
    </row>
    <row r="4939" spans="1:25">
      <c r="A4939" t="s">
        <v>20608</v>
      </c>
      <c r="B4939" t="s">
        <v>20609</v>
      </c>
      <c r="D4939" t="s">
        <v>9473</v>
      </c>
      <c r="E4939" t="s">
        <v>9474</v>
      </c>
      <c r="H4939" t="s">
        <v>20610</v>
      </c>
      <c r="J4939" t="s">
        <v>90</v>
      </c>
      <c r="K4939" t="s">
        <v>91</v>
      </c>
      <c r="L4939">
        <v>6</v>
      </c>
      <c r="M4939" t="s">
        <v>20603</v>
      </c>
      <c r="N4939" t="s">
        <v>47</v>
      </c>
      <c r="O4939" t="s">
        <v>9477</v>
      </c>
      <c r="P4939" t="s">
        <v>9477</v>
      </c>
      <c r="Y4939" t="s">
        <v>20610</v>
      </c>
    </row>
    <row r="4940" spans="1:25">
      <c r="A4940" t="s">
        <v>20611</v>
      </c>
      <c r="B4940" t="s">
        <v>20612</v>
      </c>
      <c r="D4940" t="s">
        <v>9473</v>
      </c>
      <c r="E4940" t="s">
        <v>9474</v>
      </c>
      <c r="J4940" t="s">
        <v>78</v>
      </c>
      <c r="K4940" t="s">
        <v>79</v>
      </c>
      <c r="L4940">
        <v>6</v>
      </c>
      <c r="M4940" t="s">
        <v>20613</v>
      </c>
      <c r="N4940" t="s">
        <v>47</v>
      </c>
      <c r="O4940" t="s">
        <v>9477</v>
      </c>
      <c r="P4940" t="s">
        <v>9477</v>
      </c>
      <c r="Y4940" t="s">
        <v>20614</v>
      </c>
    </row>
    <row r="4941" spans="1:25">
      <c r="A4941" t="s">
        <v>20615</v>
      </c>
      <c r="B4941" t="s">
        <v>20616</v>
      </c>
      <c r="D4941" t="s">
        <v>9473</v>
      </c>
      <c r="E4941" t="s">
        <v>9474</v>
      </c>
      <c r="H4941" t="s">
        <v>20617</v>
      </c>
      <c r="J4941" t="s">
        <v>78</v>
      </c>
      <c r="K4941" t="s">
        <v>79</v>
      </c>
      <c r="L4941">
        <v>6</v>
      </c>
      <c r="M4941" t="s">
        <v>20613</v>
      </c>
      <c r="N4941" t="s">
        <v>47</v>
      </c>
      <c r="O4941" t="s">
        <v>9477</v>
      </c>
      <c r="P4941" t="s">
        <v>9477</v>
      </c>
      <c r="Y4941" t="s">
        <v>20617</v>
      </c>
    </row>
    <row r="4942" spans="1:25">
      <c r="A4942" t="s">
        <v>20618</v>
      </c>
      <c r="B4942" t="s">
        <v>20619</v>
      </c>
      <c r="D4942" t="s">
        <v>9473</v>
      </c>
      <c r="E4942" t="s">
        <v>9474</v>
      </c>
      <c r="J4942" t="s">
        <v>44</v>
      </c>
      <c r="K4942" t="s">
        <v>45</v>
      </c>
      <c r="L4942">
        <v>6</v>
      </c>
      <c r="M4942" t="s">
        <v>20620</v>
      </c>
      <c r="N4942" t="s">
        <v>47</v>
      </c>
      <c r="O4942" t="s">
        <v>9477</v>
      </c>
      <c r="P4942" t="s">
        <v>9477</v>
      </c>
      <c r="Y4942" t="s">
        <v>20621</v>
      </c>
    </row>
    <row r="4943" spans="1:25">
      <c r="A4943" t="s">
        <v>20622</v>
      </c>
      <c r="B4943" t="s">
        <v>20623</v>
      </c>
      <c r="D4943" t="s">
        <v>9473</v>
      </c>
      <c r="E4943" t="s">
        <v>9474</v>
      </c>
      <c r="J4943" t="s">
        <v>90</v>
      </c>
      <c r="K4943" t="s">
        <v>91</v>
      </c>
      <c r="L4943">
        <v>6</v>
      </c>
      <c r="M4943" t="s">
        <v>20624</v>
      </c>
      <c r="N4943" t="s">
        <v>47</v>
      </c>
      <c r="O4943" t="s">
        <v>9477</v>
      </c>
      <c r="P4943" t="s">
        <v>9477</v>
      </c>
      <c r="Y4943" t="s">
        <v>20625</v>
      </c>
    </row>
    <row r="4944" spans="1:25">
      <c r="A4944" t="s">
        <v>20626</v>
      </c>
      <c r="B4944" t="s">
        <v>20627</v>
      </c>
      <c r="D4944" t="s">
        <v>9473</v>
      </c>
      <c r="E4944" t="s">
        <v>9474</v>
      </c>
      <c r="J4944" t="s">
        <v>44</v>
      </c>
      <c r="K4944" t="s">
        <v>45</v>
      </c>
      <c r="L4944">
        <v>6</v>
      </c>
      <c r="M4944" t="s">
        <v>20628</v>
      </c>
      <c r="N4944" t="s">
        <v>47</v>
      </c>
      <c r="O4944" t="s">
        <v>9477</v>
      </c>
      <c r="P4944" t="s">
        <v>9477</v>
      </c>
      <c r="Y4944" t="s">
        <v>20629</v>
      </c>
    </row>
    <row r="4945" spans="1:25">
      <c r="A4945" t="s">
        <v>20630</v>
      </c>
      <c r="B4945" t="s">
        <v>20631</v>
      </c>
      <c r="D4945" t="s">
        <v>9473</v>
      </c>
      <c r="E4945" t="s">
        <v>9474</v>
      </c>
      <c r="J4945" t="s">
        <v>90</v>
      </c>
      <c r="K4945" t="s">
        <v>91</v>
      </c>
      <c r="L4945">
        <v>6</v>
      </c>
      <c r="M4945" t="s">
        <v>20632</v>
      </c>
      <c r="N4945" t="s">
        <v>47</v>
      </c>
      <c r="O4945" t="s">
        <v>9477</v>
      </c>
      <c r="P4945" t="s">
        <v>9477</v>
      </c>
      <c r="Y4945" t="s">
        <v>20633</v>
      </c>
    </row>
    <row r="4946" spans="1:25">
      <c r="A4946" t="s">
        <v>20634</v>
      </c>
      <c r="B4946" t="s">
        <v>20635</v>
      </c>
      <c r="D4946" t="s">
        <v>9473</v>
      </c>
      <c r="E4946" t="s">
        <v>9474</v>
      </c>
      <c r="J4946" t="s">
        <v>133</v>
      </c>
      <c r="K4946" t="s">
        <v>134</v>
      </c>
      <c r="L4946">
        <v>6</v>
      </c>
      <c r="M4946" t="s">
        <v>20636</v>
      </c>
      <c r="N4946" t="s">
        <v>135</v>
      </c>
      <c r="O4946" t="s">
        <v>9477</v>
      </c>
      <c r="P4946" t="s">
        <v>9477</v>
      </c>
      <c r="Y4946" t="s">
        <v>20637</v>
      </c>
    </row>
    <row r="4947" spans="1:25">
      <c r="A4947" t="s">
        <v>20638</v>
      </c>
      <c r="B4947" t="s">
        <v>20639</v>
      </c>
      <c r="D4947" t="s">
        <v>9473</v>
      </c>
      <c r="E4947" t="s">
        <v>9474</v>
      </c>
      <c r="J4947" t="s">
        <v>44</v>
      </c>
      <c r="K4947" t="s">
        <v>45</v>
      </c>
      <c r="L4947">
        <v>6</v>
      </c>
      <c r="M4947" t="s">
        <v>20636</v>
      </c>
      <c r="N4947" t="s">
        <v>47</v>
      </c>
      <c r="O4947" t="s">
        <v>9477</v>
      </c>
      <c r="P4947" t="s">
        <v>9477</v>
      </c>
      <c r="Y4947" t="s">
        <v>20640</v>
      </c>
    </row>
    <row r="4948" spans="1:25">
      <c r="A4948" t="s">
        <v>20641</v>
      </c>
      <c r="B4948" t="s">
        <v>20642</v>
      </c>
      <c r="D4948" t="s">
        <v>9473</v>
      </c>
      <c r="E4948" t="s">
        <v>9474</v>
      </c>
      <c r="H4948" t="s">
        <v>20643</v>
      </c>
      <c r="J4948" t="s">
        <v>497</v>
      </c>
      <c r="K4948" t="s">
        <v>498</v>
      </c>
      <c r="L4948">
        <v>6</v>
      </c>
      <c r="M4948" t="s">
        <v>20636</v>
      </c>
      <c r="N4948" t="s">
        <v>685</v>
      </c>
      <c r="O4948" t="s">
        <v>9477</v>
      </c>
      <c r="P4948" t="s">
        <v>9477</v>
      </c>
      <c r="Y4948" t="s">
        <v>20643</v>
      </c>
    </row>
    <row r="4949" spans="1:25">
      <c r="A4949" t="s">
        <v>20644</v>
      </c>
      <c r="B4949" t="s">
        <v>20645</v>
      </c>
      <c r="D4949" t="s">
        <v>9473</v>
      </c>
      <c r="E4949" t="s">
        <v>9474</v>
      </c>
      <c r="H4949" t="s">
        <v>20646</v>
      </c>
      <c r="J4949" t="s">
        <v>54</v>
      </c>
      <c r="K4949" t="s">
        <v>55</v>
      </c>
      <c r="L4949">
        <v>6</v>
      </c>
      <c r="M4949" t="s">
        <v>20636</v>
      </c>
      <c r="N4949" t="s">
        <v>47</v>
      </c>
      <c r="O4949" t="s">
        <v>9477</v>
      </c>
      <c r="P4949" t="s">
        <v>9477</v>
      </c>
      <c r="Y4949" t="s">
        <v>20646</v>
      </c>
    </row>
    <row r="4950" spans="1:25">
      <c r="A4950" t="s">
        <v>20647</v>
      </c>
      <c r="B4950" t="s">
        <v>20648</v>
      </c>
      <c r="D4950" t="s">
        <v>9473</v>
      </c>
      <c r="E4950" t="s">
        <v>9474</v>
      </c>
      <c r="J4950" t="s">
        <v>90</v>
      </c>
      <c r="K4950" t="s">
        <v>91</v>
      </c>
      <c r="L4950">
        <v>6</v>
      </c>
      <c r="M4950" t="s">
        <v>20649</v>
      </c>
      <c r="N4950" t="s">
        <v>47</v>
      </c>
      <c r="O4950" t="s">
        <v>9477</v>
      </c>
      <c r="P4950" t="s">
        <v>9477</v>
      </c>
      <c r="Y4950" t="s">
        <v>20650</v>
      </c>
    </row>
    <row r="4951" spans="1:25">
      <c r="A4951" t="s">
        <v>20651</v>
      </c>
      <c r="B4951" t="s">
        <v>20652</v>
      </c>
      <c r="D4951" t="s">
        <v>9473</v>
      </c>
      <c r="E4951" t="s">
        <v>9474</v>
      </c>
      <c r="H4951" t="s">
        <v>20653</v>
      </c>
      <c r="J4951" t="s">
        <v>371</v>
      </c>
      <c r="K4951" t="s">
        <v>372</v>
      </c>
      <c r="L4951">
        <v>6</v>
      </c>
      <c r="M4951" t="s">
        <v>20654</v>
      </c>
      <c r="N4951" t="s">
        <v>47</v>
      </c>
      <c r="O4951" t="s">
        <v>9477</v>
      </c>
      <c r="P4951" t="s">
        <v>9477</v>
      </c>
      <c r="Y4951" t="s">
        <v>20653</v>
      </c>
    </row>
    <row r="4952" spans="1:25">
      <c r="A4952" t="s">
        <v>20655</v>
      </c>
      <c r="B4952" t="s">
        <v>20656</v>
      </c>
      <c r="D4952" t="s">
        <v>9473</v>
      </c>
      <c r="E4952" t="s">
        <v>9474</v>
      </c>
      <c r="J4952" t="s">
        <v>44</v>
      </c>
      <c r="K4952" t="s">
        <v>45</v>
      </c>
      <c r="L4952">
        <v>6</v>
      </c>
      <c r="M4952" t="s">
        <v>20654</v>
      </c>
      <c r="N4952" t="s">
        <v>47</v>
      </c>
      <c r="O4952" t="s">
        <v>9477</v>
      </c>
      <c r="P4952" t="s">
        <v>9477</v>
      </c>
      <c r="Y4952" t="s">
        <v>20657</v>
      </c>
    </row>
    <row r="4953" spans="1:25">
      <c r="A4953" t="s">
        <v>20658</v>
      </c>
      <c r="B4953" t="s">
        <v>20659</v>
      </c>
      <c r="D4953" t="s">
        <v>9473</v>
      </c>
      <c r="E4953" t="s">
        <v>9474</v>
      </c>
      <c r="H4953" t="s">
        <v>20660</v>
      </c>
      <c r="J4953" t="s">
        <v>44</v>
      </c>
      <c r="K4953" t="s">
        <v>45</v>
      </c>
      <c r="L4953">
        <v>6</v>
      </c>
      <c r="M4953" t="s">
        <v>20661</v>
      </c>
      <c r="N4953" t="s">
        <v>47</v>
      </c>
      <c r="O4953" t="s">
        <v>9477</v>
      </c>
      <c r="P4953" t="s">
        <v>9477</v>
      </c>
      <c r="Y4953" t="s">
        <v>20660</v>
      </c>
    </row>
    <row r="4954" spans="1:25">
      <c r="A4954" t="s">
        <v>20662</v>
      </c>
      <c r="B4954" t="s">
        <v>20663</v>
      </c>
      <c r="D4954" t="s">
        <v>9473</v>
      </c>
      <c r="E4954" t="s">
        <v>9474</v>
      </c>
      <c r="J4954" t="s">
        <v>90</v>
      </c>
      <c r="K4954" t="s">
        <v>91</v>
      </c>
      <c r="L4954">
        <v>6</v>
      </c>
      <c r="M4954" t="s">
        <v>20664</v>
      </c>
      <c r="N4954" t="s">
        <v>47</v>
      </c>
      <c r="O4954" t="s">
        <v>9477</v>
      </c>
      <c r="P4954" t="s">
        <v>9477</v>
      </c>
      <c r="Y4954" t="s">
        <v>20665</v>
      </c>
    </row>
    <row r="4955" spans="1:25">
      <c r="A4955" t="s">
        <v>20666</v>
      </c>
      <c r="B4955" t="s">
        <v>20667</v>
      </c>
      <c r="D4955" t="s">
        <v>9473</v>
      </c>
      <c r="E4955" t="s">
        <v>9474</v>
      </c>
      <c r="H4955" t="s">
        <v>20668</v>
      </c>
      <c r="J4955" t="s">
        <v>5964</v>
      </c>
      <c r="K4955" t="s">
        <v>5965</v>
      </c>
      <c r="L4955">
        <v>6</v>
      </c>
      <c r="M4955" t="s">
        <v>20664</v>
      </c>
      <c r="N4955" t="s">
        <v>685</v>
      </c>
      <c r="O4955" t="s">
        <v>9477</v>
      </c>
      <c r="P4955" t="s">
        <v>9477</v>
      </c>
      <c r="Y4955" t="s">
        <v>20668</v>
      </c>
    </row>
    <row r="4956" spans="1:25">
      <c r="A4956" t="s">
        <v>20669</v>
      </c>
      <c r="B4956" t="s">
        <v>20670</v>
      </c>
      <c r="D4956" t="s">
        <v>9473</v>
      </c>
      <c r="E4956" t="s">
        <v>9474</v>
      </c>
      <c r="J4956" t="s">
        <v>541</v>
      </c>
      <c r="K4956" t="s">
        <v>542</v>
      </c>
      <c r="L4956">
        <v>6</v>
      </c>
      <c r="M4956" t="s">
        <v>20671</v>
      </c>
      <c r="N4956" t="s">
        <v>290</v>
      </c>
      <c r="O4956" t="s">
        <v>9477</v>
      </c>
      <c r="P4956" t="s">
        <v>9477</v>
      </c>
      <c r="Y4956" t="s">
        <v>20672</v>
      </c>
    </row>
    <row r="4957" spans="1:25">
      <c r="A4957" t="s">
        <v>20673</v>
      </c>
      <c r="B4957" t="s">
        <v>20674</v>
      </c>
      <c r="D4957" t="s">
        <v>9473</v>
      </c>
      <c r="E4957" t="s">
        <v>9474</v>
      </c>
      <c r="H4957" t="s">
        <v>20675</v>
      </c>
      <c r="J4957" t="s">
        <v>90</v>
      </c>
      <c r="K4957" t="s">
        <v>91</v>
      </c>
      <c r="L4957">
        <v>6</v>
      </c>
      <c r="M4957" t="s">
        <v>20676</v>
      </c>
      <c r="N4957" t="s">
        <v>47</v>
      </c>
      <c r="O4957" t="s">
        <v>9477</v>
      </c>
      <c r="P4957" t="s">
        <v>9477</v>
      </c>
      <c r="Y4957" t="s">
        <v>20675</v>
      </c>
    </row>
    <row r="4958" spans="1:25">
      <c r="A4958" t="s">
        <v>20677</v>
      </c>
      <c r="B4958" t="s">
        <v>20678</v>
      </c>
      <c r="D4958" t="s">
        <v>9473</v>
      </c>
      <c r="E4958" t="s">
        <v>9474</v>
      </c>
      <c r="J4958" t="s">
        <v>54</v>
      </c>
      <c r="K4958" t="s">
        <v>55</v>
      </c>
      <c r="L4958">
        <v>6</v>
      </c>
      <c r="M4958" t="s">
        <v>20679</v>
      </c>
      <c r="N4958" t="s">
        <v>47</v>
      </c>
      <c r="O4958" t="s">
        <v>9477</v>
      </c>
      <c r="P4958" t="s">
        <v>9477</v>
      </c>
      <c r="Y4958" t="s">
        <v>20680</v>
      </c>
    </row>
    <row r="4959" spans="1:25">
      <c r="A4959" t="s">
        <v>20681</v>
      </c>
      <c r="B4959" t="s">
        <v>20682</v>
      </c>
      <c r="D4959" t="s">
        <v>9473</v>
      </c>
      <c r="E4959" t="s">
        <v>9474</v>
      </c>
      <c r="H4959" t="s">
        <v>20683</v>
      </c>
      <c r="J4959" t="s">
        <v>90</v>
      </c>
      <c r="K4959" t="s">
        <v>91</v>
      </c>
      <c r="L4959">
        <v>6</v>
      </c>
      <c r="M4959" t="s">
        <v>20679</v>
      </c>
      <c r="N4959" t="s">
        <v>47</v>
      </c>
      <c r="O4959" t="s">
        <v>9477</v>
      </c>
      <c r="P4959" t="s">
        <v>9477</v>
      </c>
      <c r="Y4959" t="s">
        <v>20683</v>
      </c>
    </row>
    <row r="4960" spans="1:25">
      <c r="A4960" t="s">
        <v>20684</v>
      </c>
      <c r="B4960" t="s">
        <v>20685</v>
      </c>
      <c r="D4960" t="s">
        <v>9473</v>
      </c>
      <c r="E4960" t="s">
        <v>9474</v>
      </c>
      <c r="J4960" t="s">
        <v>90</v>
      </c>
      <c r="K4960" t="s">
        <v>91</v>
      </c>
      <c r="L4960">
        <v>6</v>
      </c>
      <c r="M4960" t="s">
        <v>20679</v>
      </c>
      <c r="N4960" t="s">
        <v>47</v>
      </c>
      <c r="O4960" t="s">
        <v>9477</v>
      </c>
      <c r="P4960" t="s">
        <v>9477</v>
      </c>
      <c r="Y4960" t="s">
        <v>20686</v>
      </c>
    </row>
    <row r="4961" spans="1:25">
      <c r="A4961" t="s">
        <v>20687</v>
      </c>
      <c r="B4961" t="s">
        <v>20688</v>
      </c>
      <c r="D4961" t="s">
        <v>9473</v>
      </c>
      <c r="E4961" t="s">
        <v>9474</v>
      </c>
      <c r="H4961" t="s">
        <v>20689</v>
      </c>
      <c r="J4961" t="s">
        <v>44</v>
      </c>
      <c r="K4961" t="s">
        <v>45</v>
      </c>
      <c r="L4961">
        <v>6</v>
      </c>
      <c r="M4961" t="s">
        <v>20679</v>
      </c>
      <c r="N4961" t="s">
        <v>47</v>
      </c>
      <c r="O4961" t="s">
        <v>9477</v>
      </c>
      <c r="P4961" t="s">
        <v>9477</v>
      </c>
      <c r="Y4961" t="s">
        <v>20689</v>
      </c>
    </row>
    <row r="4962" spans="1:25">
      <c r="A4962" t="s">
        <v>20690</v>
      </c>
      <c r="B4962" t="s">
        <v>20691</v>
      </c>
      <c r="D4962" t="s">
        <v>9473</v>
      </c>
      <c r="E4962" t="s">
        <v>9474</v>
      </c>
      <c r="J4962" t="s">
        <v>44</v>
      </c>
      <c r="K4962" t="s">
        <v>45</v>
      </c>
      <c r="L4962">
        <v>6</v>
      </c>
      <c r="M4962" t="s">
        <v>20679</v>
      </c>
      <c r="N4962" t="s">
        <v>47</v>
      </c>
      <c r="O4962" t="s">
        <v>9477</v>
      </c>
      <c r="P4962" t="s">
        <v>9477</v>
      </c>
      <c r="Y4962" t="s">
        <v>20692</v>
      </c>
    </row>
    <row r="4963" spans="1:25">
      <c r="A4963" t="s">
        <v>20693</v>
      </c>
      <c r="B4963" t="s">
        <v>20694</v>
      </c>
      <c r="D4963" t="s">
        <v>9473</v>
      </c>
      <c r="E4963" t="s">
        <v>9474</v>
      </c>
      <c r="J4963" t="s">
        <v>90</v>
      </c>
      <c r="K4963" t="s">
        <v>91</v>
      </c>
      <c r="L4963">
        <v>6</v>
      </c>
      <c r="M4963" t="s">
        <v>20695</v>
      </c>
      <c r="N4963" t="s">
        <v>47</v>
      </c>
      <c r="O4963" t="s">
        <v>9477</v>
      </c>
      <c r="P4963" t="s">
        <v>9477</v>
      </c>
      <c r="Y4963" t="s">
        <v>20696</v>
      </c>
    </row>
    <row r="4964" spans="1:25">
      <c r="A4964" t="s">
        <v>20697</v>
      </c>
      <c r="B4964" t="s">
        <v>20698</v>
      </c>
      <c r="D4964" t="s">
        <v>9473</v>
      </c>
      <c r="E4964" t="s">
        <v>9474</v>
      </c>
      <c r="J4964" t="s">
        <v>90</v>
      </c>
      <c r="K4964" t="s">
        <v>91</v>
      </c>
      <c r="L4964">
        <v>6</v>
      </c>
      <c r="M4964" t="s">
        <v>20699</v>
      </c>
      <c r="N4964" t="s">
        <v>47</v>
      </c>
      <c r="O4964" t="s">
        <v>9477</v>
      </c>
      <c r="P4964" t="s">
        <v>9477</v>
      </c>
      <c r="Y4964" t="s">
        <v>20700</v>
      </c>
    </row>
    <row r="4965" spans="1:25">
      <c r="A4965" t="s">
        <v>20701</v>
      </c>
      <c r="B4965" t="s">
        <v>20702</v>
      </c>
      <c r="D4965" t="s">
        <v>9473</v>
      </c>
      <c r="E4965" t="s">
        <v>9474</v>
      </c>
      <c r="J4965" t="s">
        <v>54</v>
      </c>
      <c r="K4965" t="s">
        <v>55</v>
      </c>
      <c r="L4965">
        <v>6</v>
      </c>
      <c r="M4965" t="s">
        <v>20699</v>
      </c>
      <c r="N4965" t="s">
        <v>47</v>
      </c>
      <c r="O4965" t="s">
        <v>9477</v>
      </c>
      <c r="P4965" t="s">
        <v>9477</v>
      </c>
      <c r="Y4965" t="s">
        <v>20703</v>
      </c>
    </row>
    <row r="4966" spans="1:25">
      <c r="A4966" t="s">
        <v>20704</v>
      </c>
      <c r="B4966" t="s">
        <v>20705</v>
      </c>
      <c r="D4966" t="s">
        <v>9473</v>
      </c>
      <c r="E4966" t="s">
        <v>9474</v>
      </c>
      <c r="J4966" t="s">
        <v>90</v>
      </c>
      <c r="K4966" t="s">
        <v>91</v>
      </c>
      <c r="L4966">
        <v>6</v>
      </c>
      <c r="M4966" t="s">
        <v>20706</v>
      </c>
      <c r="N4966" t="s">
        <v>47</v>
      </c>
      <c r="O4966" t="s">
        <v>9477</v>
      </c>
      <c r="P4966" t="s">
        <v>9477</v>
      </c>
      <c r="Y4966" t="s">
        <v>20707</v>
      </c>
    </row>
    <row r="4967" spans="1:25">
      <c r="A4967" t="s">
        <v>20708</v>
      </c>
      <c r="B4967" t="s">
        <v>20709</v>
      </c>
      <c r="D4967" t="s">
        <v>9473</v>
      </c>
      <c r="E4967" t="s">
        <v>9474</v>
      </c>
      <c r="J4967" t="s">
        <v>133</v>
      </c>
      <c r="K4967" t="s">
        <v>134</v>
      </c>
      <c r="L4967">
        <v>6</v>
      </c>
      <c r="M4967" t="s">
        <v>20710</v>
      </c>
      <c r="N4967" t="s">
        <v>685</v>
      </c>
      <c r="O4967" t="s">
        <v>9477</v>
      </c>
      <c r="P4967" t="s">
        <v>9477</v>
      </c>
      <c r="Y4967" t="s">
        <v>20711</v>
      </c>
    </row>
    <row r="4968" spans="1:25">
      <c r="A4968" t="s">
        <v>20712</v>
      </c>
      <c r="B4968" t="s">
        <v>20713</v>
      </c>
      <c r="D4968" t="s">
        <v>9473</v>
      </c>
      <c r="E4968" t="s">
        <v>9474</v>
      </c>
      <c r="J4968" t="s">
        <v>90</v>
      </c>
      <c r="K4968" t="s">
        <v>91</v>
      </c>
      <c r="L4968">
        <v>6</v>
      </c>
      <c r="M4968" t="s">
        <v>20714</v>
      </c>
      <c r="N4968" t="s">
        <v>47</v>
      </c>
      <c r="O4968" t="s">
        <v>9477</v>
      </c>
      <c r="P4968" t="s">
        <v>9477</v>
      </c>
      <c r="Y4968" t="s">
        <v>20715</v>
      </c>
    </row>
    <row r="4969" spans="1:25">
      <c r="A4969" t="s">
        <v>20716</v>
      </c>
      <c r="B4969" t="s">
        <v>20717</v>
      </c>
      <c r="D4969" t="s">
        <v>9473</v>
      </c>
      <c r="E4969" t="s">
        <v>9474</v>
      </c>
      <c r="J4969" t="s">
        <v>54</v>
      </c>
      <c r="K4969" t="s">
        <v>55</v>
      </c>
      <c r="L4969">
        <v>6</v>
      </c>
      <c r="M4969" t="s">
        <v>20718</v>
      </c>
      <c r="N4969" t="s">
        <v>47</v>
      </c>
      <c r="O4969" t="s">
        <v>9477</v>
      </c>
      <c r="P4969" t="s">
        <v>9477</v>
      </c>
      <c r="Y4969" t="s">
        <v>20719</v>
      </c>
    </row>
    <row r="4970" spans="1:25">
      <c r="A4970" t="s">
        <v>20720</v>
      </c>
      <c r="B4970" t="s">
        <v>20721</v>
      </c>
      <c r="D4970" t="s">
        <v>9473</v>
      </c>
      <c r="E4970" t="s">
        <v>9474</v>
      </c>
      <c r="H4970" t="s">
        <v>20722</v>
      </c>
      <c r="J4970" t="s">
        <v>133</v>
      </c>
      <c r="K4970" t="s">
        <v>134</v>
      </c>
      <c r="L4970">
        <v>6</v>
      </c>
      <c r="M4970" t="s">
        <v>20723</v>
      </c>
      <c r="N4970" t="s">
        <v>135</v>
      </c>
      <c r="O4970" t="s">
        <v>9477</v>
      </c>
      <c r="P4970" t="s">
        <v>9477</v>
      </c>
      <c r="Y4970" t="s">
        <v>20722</v>
      </c>
    </row>
    <row r="4971" spans="1:25">
      <c r="A4971" t="s">
        <v>20724</v>
      </c>
      <c r="B4971" t="s">
        <v>20725</v>
      </c>
      <c r="D4971" t="s">
        <v>9473</v>
      </c>
      <c r="E4971" t="s">
        <v>9474</v>
      </c>
      <c r="J4971" t="s">
        <v>44</v>
      </c>
      <c r="K4971" t="s">
        <v>45</v>
      </c>
      <c r="L4971">
        <v>6</v>
      </c>
      <c r="M4971" t="s">
        <v>20726</v>
      </c>
      <c r="N4971" t="s">
        <v>47</v>
      </c>
      <c r="O4971" t="s">
        <v>9477</v>
      </c>
      <c r="P4971" t="s">
        <v>9477</v>
      </c>
      <c r="Y4971" t="s">
        <v>20727</v>
      </c>
    </row>
    <row r="4972" spans="1:25">
      <c r="A4972" t="s">
        <v>20728</v>
      </c>
      <c r="B4972" t="s">
        <v>20729</v>
      </c>
      <c r="D4972" t="s">
        <v>9473</v>
      </c>
      <c r="E4972" t="s">
        <v>9474</v>
      </c>
      <c r="J4972" t="s">
        <v>90</v>
      </c>
      <c r="K4972" t="s">
        <v>91</v>
      </c>
      <c r="L4972">
        <v>6</v>
      </c>
      <c r="M4972" t="s">
        <v>20726</v>
      </c>
      <c r="N4972" t="s">
        <v>47</v>
      </c>
      <c r="O4972" t="s">
        <v>9477</v>
      </c>
      <c r="P4972" t="s">
        <v>9477</v>
      </c>
      <c r="Y4972" t="s">
        <v>20730</v>
      </c>
    </row>
    <row r="4973" spans="1:25">
      <c r="A4973" t="s">
        <v>20731</v>
      </c>
      <c r="B4973" t="s">
        <v>20732</v>
      </c>
      <c r="D4973" t="s">
        <v>9473</v>
      </c>
      <c r="E4973" t="s">
        <v>9474</v>
      </c>
      <c r="H4973" t="s">
        <v>20733</v>
      </c>
      <c r="J4973" t="s">
        <v>90</v>
      </c>
      <c r="K4973" t="s">
        <v>91</v>
      </c>
      <c r="L4973">
        <v>6</v>
      </c>
      <c r="M4973" t="s">
        <v>20726</v>
      </c>
      <c r="N4973" t="s">
        <v>47</v>
      </c>
      <c r="O4973" t="s">
        <v>9477</v>
      </c>
      <c r="P4973" t="s">
        <v>9477</v>
      </c>
      <c r="Y4973" t="s">
        <v>20733</v>
      </c>
    </row>
    <row r="4974" spans="1:25">
      <c r="A4974" t="s">
        <v>20734</v>
      </c>
      <c r="B4974" t="s">
        <v>20735</v>
      </c>
      <c r="D4974" t="s">
        <v>9473</v>
      </c>
      <c r="E4974" t="s">
        <v>9474</v>
      </c>
      <c r="J4974" t="s">
        <v>90</v>
      </c>
      <c r="K4974" t="s">
        <v>91</v>
      </c>
      <c r="L4974">
        <v>6</v>
      </c>
      <c r="M4974" t="s">
        <v>20726</v>
      </c>
      <c r="N4974" t="s">
        <v>47</v>
      </c>
      <c r="O4974" t="s">
        <v>9477</v>
      </c>
      <c r="P4974" t="s">
        <v>9477</v>
      </c>
      <c r="Y4974" t="s">
        <v>20736</v>
      </c>
    </row>
    <row r="4975" spans="1:25">
      <c r="A4975" t="s">
        <v>20737</v>
      </c>
      <c r="B4975" t="s">
        <v>20738</v>
      </c>
      <c r="D4975" t="s">
        <v>9473</v>
      </c>
      <c r="E4975" t="s">
        <v>9474</v>
      </c>
      <c r="J4975" t="s">
        <v>90</v>
      </c>
      <c r="K4975" t="s">
        <v>91</v>
      </c>
      <c r="L4975">
        <v>6</v>
      </c>
      <c r="M4975" t="s">
        <v>20739</v>
      </c>
      <c r="N4975" t="s">
        <v>47</v>
      </c>
      <c r="O4975" t="s">
        <v>9477</v>
      </c>
      <c r="P4975" t="s">
        <v>9477</v>
      </c>
      <c r="Y4975" t="s">
        <v>20740</v>
      </c>
    </row>
    <row r="4976" spans="1:25">
      <c r="A4976" t="s">
        <v>20741</v>
      </c>
      <c r="B4976" t="s">
        <v>20742</v>
      </c>
      <c r="D4976" t="s">
        <v>9473</v>
      </c>
      <c r="E4976" t="s">
        <v>9474</v>
      </c>
      <c r="J4976" t="s">
        <v>90</v>
      </c>
      <c r="K4976" t="s">
        <v>91</v>
      </c>
      <c r="L4976">
        <v>6</v>
      </c>
      <c r="M4976" t="s">
        <v>20743</v>
      </c>
      <c r="N4976" t="s">
        <v>47</v>
      </c>
      <c r="O4976" t="s">
        <v>9477</v>
      </c>
      <c r="P4976" t="s">
        <v>9477</v>
      </c>
      <c r="Y4976" t="s">
        <v>20744</v>
      </c>
    </row>
    <row r="4977" spans="1:25">
      <c r="A4977" t="s">
        <v>20745</v>
      </c>
      <c r="B4977" t="s">
        <v>20746</v>
      </c>
      <c r="D4977" t="s">
        <v>9473</v>
      </c>
      <c r="E4977" t="s">
        <v>9474</v>
      </c>
      <c r="J4977" t="s">
        <v>90</v>
      </c>
      <c r="K4977" t="s">
        <v>91</v>
      </c>
      <c r="L4977">
        <v>6</v>
      </c>
      <c r="M4977" t="s">
        <v>20747</v>
      </c>
      <c r="N4977" t="s">
        <v>47</v>
      </c>
      <c r="O4977" t="s">
        <v>9477</v>
      </c>
      <c r="P4977" t="s">
        <v>9477</v>
      </c>
      <c r="Y4977" t="s">
        <v>20748</v>
      </c>
    </row>
    <row r="4978" spans="1:25">
      <c r="A4978" t="s">
        <v>20749</v>
      </c>
      <c r="B4978" t="s">
        <v>20750</v>
      </c>
      <c r="D4978" t="s">
        <v>9473</v>
      </c>
      <c r="E4978" t="s">
        <v>9474</v>
      </c>
      <c r="H4978" t="s">
        <v>20751</v>
      </c>
      <c r="J4978" t="s">
        <v>90</v>
      </c>
      <c r="K4978" t="s">
        <v>91</v>
      </c>
      <c r="L4978">
        <v>6</v>
      </c>
      <c r="M4978" t="s">
        <v>20747</v>
      </c>
      <c r="N4978" t="s">
        <v>47</v>
      </c>
      <c r="O4978" t="s">
        <v>9477</v>
      </c>
      <c r="P4978" t="s">
        <v>9477</v>
      </c>
      <c r="Y4978" t="s">
        <v>20751</v>
      </c>
    </row>
    <row r="4979" spans="1:25">
      <c r="A4979" t="s">
        <v>20752</v>
      </c>
      <c r="B4979" t="s">
        <v>20753</v>
      </c>
      <c r="D4979" t="s">
        <v>9473</v>
      </c>
      <c r="E4979" t="s">
        <v>9474</v>
      </c>
      <c r="H4979" t="s">
        <v>20754</v>
      </c>
      <c r="J4979" t="s">
        <v>90</v>
      </c>
      <c r="K4979" t="s">
        <v>91</v>
      </c>
      <c r="L4979">
        <v>6</v>
      </c>
      <c r="M4979" t="s">
        <v>20747</v>
      </c>
      <c r="N4979" t="s">
        <v>47</v>
      </c>
      <c r="O4979" t="s">
        <v>9477</v>
      </c>
      <c r="P4979" t="s">
        <v>9477</v>
      </c>
      <c r="Y4979" t="s">
        <v>20754</v>
      </c>
    </row>
    <row r="4980" spans="1:25">
      <c r="A4980" t="s">
        <v>20755</v>
      </c>
      <c r="B4980" t="s">
        <v>20756</v>
      </c>
      <c r="D4980" t="s">
        <v>9473</v>
      </c>
      <c r="E4980" t="s">
        <v>9474</v>
      </c>
      <c r="J4980" t="s">
        <v>44</v>
      </c>
      <c r="K4980" t="s">
        <v>45</v>
      </c>
      <c r="L4980">
        <v>6</v>
      </c>
      <c r="M4980" t="s">
        <v>20757</v>
      </c>
      <c r="N4980" t="s">
        <v>47</v>
      </c>
      <c r="O4980" t="s">
        <v>9477</v>
      </c>
      <c r="P4980" t="s">
        <v>9477</v>
      </c>
      <c r="Y4980" t="s">
        <v>20758</v>
      </c>
    </row>
    <row r="4981" spans="1:25">
      <c r="A4981" t="s">
        <v>20759</v>
      </c>
      <c r="B4981" t="s">
        <v>20760</v>
      </c>
      <c r="D4981" t="s">
        <v>9473</v>
      </c>
      <c r="E4981" t="s">
        <v>9474</v>
      </c>
      <c r="H4981" t="s">
        <v>20761</v>
      </c>
      <c r="J4981" t="s">
        <v>90</v>
      </c>
      <c r="K4981" t="s">
        <v>91</v>
      </c>
      <c r="L4981">
        <v>6</v>
      </c>
      <c r="M4981" t="s">
        <v>20757</v>
      </c>
      <c r="N4981" t="s">
        <v>47</v>
      </c>
      <c r="O4981" t="s">
        <v>9477</v>
      </c>
      <c r="P4981" t="s">
        <v>9477</v>
      </c>
      <c r="Y4981" t="s">
        <v>20761</v>
      </c>
    </row>
    <row r="4982" spans="1:25">
      <c r="A4982" t="s">
        <v>20762</v>
      </c>
      <c r="B4982" t="s">
        <v>20763</v>
      </c>
      <c r="D4982" t="s">
        <v>9473</v>
      </c>
      <c r="E4982" t="s">
        <v>9474</v>
      </c>
      <c r="J4982" t="s">
        <v>371</v>
      </c>
      <c r="K4982" t="s">
        <v>372</v>
      </c>
      <c r="L4982">
        <v>6</v>
      </c>
      <c r="M4982" t="s">
        <v>20757</v>
      </c>
      <c r="N4982" t="s">
        <v>47</v>
      </c>
      <c r="O4982" t="s">
        <v>9477</v>
      </c>
      <c r="P4982" t="s">
        <v>9477</v>
      </c>
      <c r="Y4982" t="s">
        <v>20764</v>
      </c>
    </row>
    <row r="4983" spans="1:25">
      <c r="A4983" t="s">
        <v>20765</v>
      </c>
      <c r="B4983" t="s">
        <v>20766</v>
      </c>
      <c r="D4983" t="s">
        <v>9473</v>
      </c>
      <c r="E4983" t="s">
        <v>9474</v>
      </c>
      <c r="H4983" t="s">
        <v>20767</v>
      </c>
      <c r="J4983" t="s">
        <v>133</v>
      </c>
      <c r="K4983" t="s">
        <v>134</v>
      </c>
      <c r="L4983">
        <v>6</v>
      </c>
      <c r="M4983" t="s">
        <v>20757</v>
      </c>
      <c r="N4983" t="s">
        <v>290</v>
      </c>
      <c r="O4983" t="s">
        <v>9477</v>
      </c>
      <c r="P4983" t="s">
        <v>9477</v>
      </c>
      <c r="Y4983" t="s">
        <v>20767</v>
      </c>
    </row>
    <row r="4984" spans="1:25">
      <c r="A4984" t="s">
        <v>20768</v>
      </c>
      <c r="B4984" t="s">
        <v>20769</v>
      </c>
      <c r="D4984" t="s">
        <v>9473</v>
      </c>
      <c r="E4984" t="s">
        <v>9474</v>
      </c>
      <c r="H4984" t="s">
        <v>20770</v>
      </c>
      <c r="J4984" t="s">
        <v>9282</v>
      </c>
      <c r="K4984" t="s">
        <v>9283</v>
      </c>
      <c r="L4984">
        <v>6</v>
      </c>
      <c r="M4984" t="s">
        <v>20771</v>
      </c>
      <c r="N4984" t="s">
        <v>685</v>
      </c>
      <c r="O4984" t="s">
        <v>9477</v>
      </c>
      <c r="P4984" t="s">
        <v>9477</v>
      </c>
      <c r="Y4984" t="s">
        <v>20770</v>
      </c>
    </row>
    <row r="4985" spans="1:25">
      <c r="A4985" t="s">
        <v>20772</v>
      </c>
      <c r="B4985" t="s">
        <v>20773</v>
      </c>
      <c r="D4985" t="s">
        <v>9473</v>
      </c>
      <c r="E4985" t="s">
        <v>9474</v>
      </c>
      <c r="J4985" t="s">
        <v>90</v>
      </c>
      <c r="K4985" t="s">
        <v>91</v>
      </c>
      <c r="L4985">
        <v>6</v>
      </c>
      <c r="M4985" t="s">
        <v>20774</v>
      </c>
      <c r="N4985" t="s">
        <v>47</v>
      </c>
      <c r="O4985" t="s">
        <v>9477</v>
      </c>
      <c r="P4985" t="s">
        <v>9477</v>
      </c>
      <c r="Y4985" t="s">
        <v>20775</v>
      </c>
    </row>
    <row r="4986" spans="1:25">
      <c r="A4986" t="s">
        <v>20776</v>
      </c>
      <c r="B4986" t="s">
        <v>20777</v>
      </c>
      <c r="D4986" t="s">
        <v>9473</v>
      </c>
      <c r="E4986" t="s">
        <v>9474</v>
      </c>
      <c r="H4986" t="s">
        <v>20778</v>
      </c>
      <c r="J4986" t="s">
        <v>371</v>
      </c>
      <c r="K4986" t="s">
        <v>372</v>
      </c>
      <c r="L4986">
        <v>6</v>
      </c>
      <c r="M4986" t="s">
        <v>20779</v>
      </c>
      <c r="N4986" t="s">
        <v>47</v>
      </c>
      <c r="O4986" t="s">
        <v>9477</v>
      </c>
      <c r="P4986" t="s">
        <v>9477</v>
      </c>
      <c r="Y4986" t="s">
        <v>20778</v>
      </c>
    </row>
    <row r="4987" spans="1:25">
      <c r="A4987" t="s">
        <v>20780</v>
      </c>
      <c r="B4987" t="s">
        <v>20781</v>
      </c>
      <c r="D4987" t="s">
        <v>9473</v>
      </c>
      <c r="E4987" t="s">
        <v>9474</v>
      </c>
      <c r="J4987" t="s">
        <v>78</v>
      </c>
      <c r="K4987" t="s">
        <v>79</v>
      </c>
      <c r="L4987">
        <v>6</v>
      </c>
      <c r="M4987" t="s">
        <v>20779</v>
      </c>
      <c r="N4987" t="s">
        <v>47</v>
      </c>
      <c r="O4987" t="s">
        <v>9477</v>
      </c>
      <c r="P4987" t="s">
        <v>9477</v>
      </c>
      <c r="Y4987" t="s">
        <v>20782</v>
      </c>
    </row>
    <row r="4988" spans="1:25">
      <c r="A4988" t="s">
        <v>20783</v>
      </c>
      <c r="B4988" t="s">
        <v>20784</v>
      </c>
      <c r="D4988" t="s">
        <v>9473</v>
      </c>
      <c r="E4988" t="s">
        <v>9474</v>
      </c>
      <c r="J4988" t="s">
        <v>44</v>
      </c>
      <c r="K4988" t="s">
        <v>45</v>
      </c>
      <c r="L4988">
        <v>6</v>
      </c>
      <c r="M4988" t="s">
        <v>20785</v>
      </c>
      <c r="N4988" t="s">
        <v>47</v>
      </c>
      <c r="O4988" t="s">
        <v>9477</v>
      </c>
      <c r="P4988" t="s">
        <v>9477</v>
      </c>
      <c r="Y4988" t="s">
        <v>20786</v>
      </c>
    </row>
    <row r="4989" spans="1:25">
      <c r="A4989" t="s">
        <v>20787</v>
      </c>
      <c r="B4989" t="s">
        <v>20788</v>
      </c>
      <c r="D4989" t="s">
        <v>9473</v>
      </c>
      <c r="E4989" t="s">
        <v>9474</v>
      </c>
      <c r="J4989" t="s">
        <v>90</v>
      </c>
      <c r="K4989" t="s">
        <v>91</v>
      </c>
      <c r="L4989">
        <v>6</v>
      </c>
      <c r="M4989" t="s">
        <v>20785</v>
      </c>
      <c r="N4989" t="s">
        <v>47</v>
      </c>
      <c r="O4989" t="s">
        <v>9477</v>
      </c>
      <c r="P4989" t="s">
        <v>9477</v>
      </c>
      <c r="Y4989" t="s">
        <v>20789</v>
      </c>
    </row>
    <row r="4990" spans="1:25">
      <c r="A4990" t="s">
        <v>20790</v>
      </c>
      <c r="B4990" t="s">
        <v>20791</v>
      </c>
      <c r="D4990" t="s">
        <v>9473</v>
      </c>
      <c r="E4990" t="s">
        <v>9474</v>
      </c>
      <c r="J4990" t="s">
        <v>497</v>
      </c>
      <c r="K4990" t="s">
        <v>498</v>
      </c>
      <c r="L4990">
        <v>6</v>
      </c>
      <c r="M4990" t="s">
        <v>20785</v>
      </c>
      <c r="N4990" t="s">
        <v>290</v>
      </c>
      <c r="O4990" t="s">
        <v>9477</v>
      </c>
      <c r="P4990" t="s">
        <v>9477</v>
      </c>
      <c r="Y4990" t="s">
        <v>20792</v>
      </c>
    </row>
    <row r="4991" spans="1:25">
      <c r="A4991" t="s">
        <v>20793</v>
      </c>
      <c r="B4991" t="s">
        <v>20794</v>
      </c>
      <c r="D4991" t="s">
        <v>9473</v>
      </c>
      <c r="E4991" t="s">
        <v>9474</v>
      </c>
      <c r="J4991" t="s">
        <v>90</v>
      </c>
      <c r="K4991" t="s">
        <v>91</v>
      </c>
      <c r="L4991">
        <v>6</v>
      </c>
      <c r="M4991" t="s">
        <v>20795</v>
      </c>
      <c r="N4991" t="s">
        <v>47</v>
      </c>
      <c r="O4991" t="s">
        <v>9477</v>
      </c>
      <c r="P4991" t="s">
        <v>9477</v>
      </c>
      <c r="Y4991" t="s">
        <v>20796</v>
      </c>
    </row>
    <row r="4992" spans="1:25">
      <c r="A4992" t="s">
        <v>20797</v>
      </c>
      <c r="B4992" t="s">
        <v>20798</v>
      </c>
      <c r="D4992" t="s">
        <v>9473</v>
      </c>
      <c r="E4992" t="s">
        <v>9474</v>
      </c>
      <c r="J4992" t="s">
        <v>44</v>
      </c>
      <c r="K4992" t="s">
        <v>45</v>
      </c>
      <c r="L4992">
        <v>6</v>
      </c>
      <c r="M4992" t="s">
        <v>20799</v>
      </c>
      <c r="N4992" t="s">
        <v>47</v>
      </c>
      <c r="O4992" t="s">
        <v>9477</v>
      </c>
      <c r="P4992" t="s">
        <v>9477</v>
      </c>
      <c r="Y4992" t="s">
        <v>20800</v>
      </c>
    </row>
    <row r="4993" spans="1:25">
      <c r="A4993" t="s">
        <v>20801</v>
      </c>
      <c r="B4993" t="s">
        <v>20802</v>
      </c>
      <c r="D4993" t="s">
        <v>9473</v>
      </c>
      <c r="E4993" t="s">
        <v>9474</v>
      </c>
      <c r="J4993" t="s">
        <v>90</v>
      </c>
      <c r="K4993" t="s">
        <v>91</v>
      </c>
      <c r="L4993">
        <v>6</v>
      </c>
      <c r="M4993" t="s">
        <v>20799</v>
      </c>
      <c r="N4993" t="s">
        <v>47</v>
      </c>
      <c r="O4993" t="s">
        <v>9477</v>
      </c>
      <c r="P4993" t="s">
        <v>9477</v>
      </c>
      <c r="Y4993" t="s">
        <v>20803</v>
      </c>
    </row>
    <row r="4994" spans="1:25">
      <c r="A4994" t="s">
        <v>20804</v>
      </c>
      <c r="B4994" t="s">
        <v>20805</v>
      </c>
      <c r="D4994" t="s">
        <v>9473</v>
      </c>
      <c r="E4994" t="s">
        <v>9474</v>
      </c>
      <c r="J4994" t="s">
        <v>9719</v>
      </c>
      <c r="K4994" t="s">
        <v>9720</v>
      </c>
      <c r="L4994">
        <v>6</v>
      </c>
      <c r="M4994" t="s">
        <v>20799</v>
      </c>
      <c r="N4994" t="s">
        <v>135</v>
      </c>
      <c r="O4994" t="s">
        <v>9477</v>
      </c>
      <c r="P4994" t="s">
        <v>9477</v>
      </c>
      <c r="Y4994" t="s">
        <v>20806</v>
      </c>
    </row>
    <row r="4995" spans="1:25">
      <c r="A4995" t="s">
        <v>20807</v>
      </c>
      <c r="B4995" t="s">
        <v>20808</v>
      </c>
      <c r="D4995" t="s">
        <v>9473</v>
      </c>
      <c r="E4995" t="s">
        <v>9474</v>
      </c>
      <c r="H4995" t="s">
        <v>20809</v>
      </c>
      <c r="J4995" t="s">
        <v>90</v>
      </c>
      <c r="K4995" t="s">
        <v>91</v>
      </c>
      <c r="L4995">
        <v>6</v>
      </c>
      <c r="M4995" t="s">
        <v>20810</v>
      </c>
      <c r="N4995" t="s">
        <v>47</v>
      </c>
      <c r="O4995" t="s">
        <v>9477</v>
      </c>
      <c r="P4995" t="s">
        <v>9477</v>
      </c>
      <c r="Y4995" t="s">
        <v>20809</v>
      </c>
    </row>
    <row r="4996" spans="1:25">
      <c r="A4996" t="s">
        <v>20811</v>
      </c>
      <c r="B4996" t="s">
        <v>20812</v>
      </c>
      <c r="D4996" t="s">
        <v>9473</v>
      </c>
      <c r="E4996" t="s">
        <v>9474</v>
      </c>
      <c r="H4996" t="s">
        <v>20813</v>
      </c>
      <c r="J4996" t="s">
        <v>78</v>
      </c>
      <c r="K4996" t="s">
        <v>79</v>
      </c>
      <c r="L4996">
        <v>6</v>
      </c>
      <c r="M4996" t="s">
        <v>20814</v>
      </c>
      <c r="N4996" t="s">
        <v>47</v>
      </c>
      <c r="O4996" t="s">
        <v>9477</v>
      </c>
      <c r="P4996" t="s">
        <v>9477</v>
      </c>
      <c r="Y4996" t="s">
        <v>20813</v>
      </c>
    </row>
    <row r="4997" spans="1:25">
      <c r="A4997" t="s">
        <v>20815</v>
      </c>
      <c r="B4997" t="s">
        <v>20816</v>
      </c>
      <c r="D4997" t="s">
        <v>9473</v>
      </c>
      <c r="E4997" t="s">
        <v>9474</v>
      </c>
      <c r="J4997" t="s">
        <v>44</v>
      </c>
      <c r="K4997" t="s">
        <v>45</v>
      </c>
      <c r="L4997">
        <v>6</v>
      </c>
      <c r="M4997" t="s">
        <v>20817</v>
      </c>
      <c r="N4997" t="s">
        <v>47</v>
      </c>
      <c r="O4997" t="s">
        <v>9477</v>
      </c>
      <c r="P4997" t="s">
        <v>9477</v>
      </c>
      <c r="Y4997" t="s">
        <v>20818</v>
      </c>
    </row>
    <row r="4998" spans="1:25">
      <c r="A4998" t="s">
        <v>20819</v>
      </c>
      <c r="B4998" t="s">
        <v>20820</v>
      </c>
      <c r="D4998" t="s">
        <v>9473</v>
      </c>
      <c r="E4998" t="s">
        <v>9474</v>
      </c>
      <c r="H4998" t="s">
        <v>20821</v>
      </c>
      <c r="J4998" t="s">
        <v>44</v>
      </c>
      <c r="K4998" t="s">
        <v>45</v>
      </c>
      <c r="L4998">
        <v>6</v>
      </c>
      <c r="M4998" t="s">
        <v>20822</v>
      </c>
      <c r="N4998" t="s">
        <v>47</v>
      </c>
      <c r="O4998" t="s">
        <v>9477</v>
      </c>
      <c r="P4998" t="s">
        <v>9477</v>
      </c>
      <c r="Y4998" t="s">
        <v>20821</v>
      </c>
    </row>
    <row r="4999" spans="1:25">
      <c r="A4999" t="s">
        <v>20823</v>
      </c>
      <c r="B4999" t="s">
        <v>20824</v>
      </c>
      <c r="D4999" t="s">
        <v>9473</v>
      </c>
      <c r="E4999" t="s">
        <v>9474</v>
      </c>
      <c r="H4999" t="s">
        <v>20825</v>
      </c>
      <c r="J4999" t="s">
        <v>133</v>
      </c>
      <c r="K4999" t="s">
        <v>134</v>
      </c>
      <c r="L4999">
        <v>6</v>
      </c>
      <c r="M4999" t="s">
        <v>20826</v>
      </c>
      <c r="N4999" t="s">
        <v>290</v>
      </c>
      <c r="O4999" t="s">
        <v>9477</v>
      </c>
      <c r="P4999" t="s">
        <v>9477</v>
      </c>
      <c r="Y4999" t="s">
        <v>20825</v>
      </c>
    </row>
    <row r="5000" spans="1:25">
      <c r="A5000" t="s">
        <v>20827</v>
      </c>
      <c r="B5000" t="s">
        <v>20828</v>
      </c>
      <c r="D5000" t="s">
        <v>9473</v>
      </c>
      <c r="E5000" t="s">
        <v>9474</v>
      </c>
      <c r="J5000" t="s">
        <v>90</v>
      </c>
      <c r="K5000" t="s">
        <v>91</v>
      </c>
      <c r="L5000">
        <v>6</v>
      </c>
      <c r="M5000" t="s">
        <v>20826</v>
      </c>
      <c r="N5000" t="s">
        <v>47</v>
      </c>
      <c r="O5000" t="s">
        <v>9477</v>
      </c>
      <c r="P5000" t="s">
        <v>9477</v>
      </c>
      <c r="Y5000" t="s">
        <v>20829</v>
      </c>
    </row>
    <row r="5001" spans="1:25">
      <c r="A5001" t="s">
        <v>20830</v>
      </c>
      <c r="B5001" t="s">
        <v>20831</v>
      </c>
      <c r="D5001" t="s">
        <v>9473</v>
      </c>
      <c r="E5001" t="s">
        <v>9474</v>
      </c>
      <c r="H5001" t="s">
        <v>20832</v>
      </c>
      <c r="J5001" t="s">
        <v>90</v>
      </c>
      <c r="K5001" t="s">
        <v>91</v>
      </c>
      <c r="L5001">
        <v>6</v>
      </c>
      <c r="M5001" t="s">
        <v>20826</v>
      </c>
      <c r="N5001" t="s">
        <v>47</v>
      </c>
      <c r="O5001" t="s">
        <v>9477</v>
      </c>
      <c r="P5001" t="s">
        <v>9477</v>
      </c>
      <c r="Y5001" t="s">
        <v>20832</v>
      </c>
    </row>
    <row r="5002" spans="1:25">
      <c r="A5002" t="s">
        <v>20833</v>
      </c>
      <c r="B5002" t="s">
        <v>20834</v>
      </c>
      <c r="D5002" t="s">
        <v>9473</v>
      </c>
      <c r="E5002" t="s">
        <v>9474</v>
      </c>
      <c r="J5002" t="s">
        <v>78</v>
      </c>
      <c r="K5002" t="s">
        <v>79</v>
      </c>
      <c r="L5002">
        <v>6</v>
      </c>
      <c r="M5002" t="s">
        <v>20826</v>
      </c>
      <c r="N5002" t="s">
        <v>47</v>
      </c>
      <c r="O5002" t="s">
        <v>9477</v>
      </c>
      <c r="P5002" t="s">
        <v>9477</v>
      </c>
      <c r="Y5002" t="s">
        <v>20835</v>
      </c>
    </row>
    <row r="5003" spans="1:25">
      <c r="A5003" t="s">
        <v>20836</v>
      </c>
      <c r="B5003" t="s">
        <v>20837</v>
      </c>
      <c r="D5003" t="s">
        <v>9473</v>
      </c>
      <c r="E5003" t="s">
        <v>9474</v>
      </c>
      <c r="J5003" t="s">
        <v>78</v>
      </c>
      <c r="K5003" t="s">
        <v>79</v>
      </c>
      <c r="L5003">
        <v>6</v>
      </c>
      <c r="M5003" t="s">
        <v>20838</v>
      </c>
      <c r="N5003" t="s">
        <v>47</v>
      </c>
      <c r="O5003" t="s">
        <v>9477</v>
      </c>
      <c r="P5003" t="s">
        <v>9477</v>
      </c>
      <c r="Y5003" t="s">
        <v>20839</v>
      </c>
    </row>
    <row r="5004" spans="1:25">
      <c r="A5004" t="s">
        <v>20840</v>
      </c>
      <c r="B5004" t="s">
        <v>20841</v>
      </c>
      <c r="D5004" t="s">
        <v>9473</v>
      </c>
      <c r="E5004" t="s">
        <v>9474</v>
      </c>
      <c r="J5004" t="s">
        <v>90</v>
      </c>
      <c r="K5004" t="s">
        <v>91</v>
      </c>
      <c r="L5004">
        <v>6</v>
      </c>
      <c r="M5004" t="s">
        <v>20838</v>
      </c>
      <c r="N5004" t="s">
        <v>47</v>
      </c>
      <c r="O5004" t="s">
        <v>9477</v>
      </c>
      <c r="P5004" t="s">
        <v>9477</v>
      </c>
      <c r="Y5004" t="s">
        <v>20842</v>
      </c>
    </row>
    <row r="5005" spans="1:25">
      <c r="A5005" t="s">
        <v>20843</v>
      </c>
      <c r="B5005" t="s">
        <v>20844</v>
      </c>
      <c r="D5005" t="s">
        <v>9473</v>
      </c>
      <c r="E5005" t="s">
        <v>9474</v>
      </c>
      <c r="J5005" t="s">
        <v>54</v>
      </c>
      <c r="K5005" t="s">
        <v>55</v>
      </c>
      <c r="L5005">
        <v>6</v>
      </c>
      <c r="M5005" t="s">
        <v>20838</v>
      </c>
      <c r="N5005" t="s">
        <v>47</v>
      </c>
      <c r="O5005" t="s">
        <v>9477</v>
      </c>
      <c r="P5005" t="s">
        <v>9477</v>
      </c>
      <c r="Y5005" t="s">
        <v>20845</v>
      </c>
    </row>
    <row r="5006" spans="1:25">
      <c r="A5006" t="s">
        <v>20846</v>
      </c>
      <c r="B5006" t="s">
        <v>20847</v>
      </c>
      <c r="D5006" t="s">
        <v>9473</v>
      </c>
      <c r="E5006" t="s">
        <v>9474</v>
      </c>
      <c r="J5006" t="s">
        <v>44</v>
      </c>
      <c r="K5006" t="s">
        <v>45</v>
      </c>
      <c r="L5006">
        <v>6</v>
      </c>
      <c r="M5006" t="s">
        <v>20838</v>
      </c>
      <c r="N5006" t="s">
        <v>47</v>
      </c>
      <c r="O5006" t="s">
        <v>9477</v>
      </c>
      <c r="P5006" t="s">
        <v>9477</v>
      </c>
      <c r="Y5006" t="s">
        <v>20848</v>
      </c>
    </row>
    <row r="5007" spans="1:25">
      <c r="A5007" t="s">
        <v>20849</v>
      </c>
      <c r="B5007" t="s">
        <v>20850</v>
      </c>
      <c r="D5007" t="s">
        <v>9473</v>
      </c>
      <c r="E5007" t="s">
        <v>9474</v>
      </c>
      <c r="J5007" t="s">
        <v>90</v>
      </c>
      <c r="K5007" t="s">
        <v>91</v>
      </c>
      <c r="L5007">
        <v>6</v>
      </c>
      <c r="M5007" t="s">
        <v>20851</v>
      </c>
      <c r="N5007" t="s">
        <v>47</v>
      </c>
      <c r="O5007" t="s">
        <v>9477</v>
      </c>
      <c r="P5007" t="s">
        <v>9477</v>
      </c>
      <c r="Y5007" t="s">
        <v>20852</v>
      </c>
    </row>
    <row r="5008" spans="1:25">
      <c r="A5008" t="s">
        <v>20853</v>
      </c>
      <c r="B5008" t="s">
        <v>20854</v>
      </c>
      <c r="D5008" t="s">
        <v>9473</v>
      </c>
      <c r="E5008" t="s">
        <v>9474</v>
      </c>
      <c r="J5008" t="s">
        <v>78</v>
      </c>
      <c r="K5008" t="s">
        <v>79</v>
      </c>
      <c r="L5008">
        <v>6</v>
      </c>
      <c r="M5008" t="s">
        <v>20851</v>
      </c>
      <c r="N5008" t="s">
        <v>47</v>
      </c>
      <c r="O5008" t="s">
        <v>9477</v>
      </c>
      <c r="P5008" t="s">
        <v>9477</v>
      </c>
      <c r="Y5008" t="s">
        <v>20855</v>
      </c>
    </row>
    <row r="5009" spans="1:25">
      <c r="A5009" t="s">
        <v>20856</v>
      </c>
      <c r="B5009" t="s">
        <v>20857</v>
      </c>
      <c r="D5009" t="s">
        <v>9473</v>
      </c>
      <c r="E5009" t="s">
        <v>9474</v>
      </c>
      <c r="H5009" t="s">
        <v>20858</v>
      </c>
      <c r="J5009" t="s">
        <v>133</v>
      </c>
      <c r="K5009" t="s">
        <v>134</v>
      </c>
      <c r="L5009">
        <v>6</v>
      </c>
      <c r="M5009" t="s">
        <v>20851</v>
      </c>
      <c r="N5009" t="s">
        <v>685</v>
      </c>
      <c r="O5009" t="s">
        <v>9477</v>
      </c>
      <c r="P5009" t="s">
        <v>9477</v>
      </c>
      <c r="Y5009" t="s">
        <v>20858</v>
      </c>
    </row>
    <row r="5010" spans="1:25">
      <c r="A5010" t="s">
        <v>20859</v>
      </c>
      <c r="B5010" t="s">
        <v>20860</v>
      </c>
      <c r="D5010" t="s">
        <v>9473</v>
      </c>
      <c r="E5010" t="s">
        <v>9474</v>
      </c>
      <c r="J5010" t="s">
        <v>133</v>
      </c>
      <c r="K5010" t="s">
        <v>134</v>
      </c>
      <c r="L5010">
        <v>6</v>
      </c>
      <c r="M5010" t="s">
        <v>20861</v>
      </c>
      <c r="N5010" t="s">
        <v>135</v>
      </c>
      <c r="O5010" t="s">
        <v>9477</v>
      </c>
      <c r="P5010" t="s">
        <v>9477</v>
      </c>
      <c r="Y5010" t="s">
        <v>20862</v>
      </c>
    </row>
    <row r="5011" spans="1:25">
      <c r="A5011" t="s">
        <v>20863</v>
      </c>
      <c r="B5011" t="s">
        <v>20864</v>
      </c>
      <c r="D5011" t="s">
        <v>9473</v>
      </c>
      <c r="E5011" t="s">
        <v>9474</v>
      </c>
      <c r="H5011" t="s">
        <v>20865</v>
      </c>
      <c r="J5011" t="s">
        <v>234</v>
      </c>
      <c r="K5011" t="s">
        <v>235</v>
      </c>
      <c r="L5011">
        <v>6</v>
      </c>
      <c r="M5011" t="s">
        <v>20866</v>
      </c>
      <c r="N5011" t="s">
        <v>47</v>
      </c>
      <c r="O5011" t="s">
        <v>9477</v>
      </c>
      <c r="P5011" t="s">
        <v>9477</v>
      </c>
      <c r="Y5011" t="s">
        <v>20865</v>
      </c>
    </row>
    <row r="5012" spans="1:25">
      <c r="A5012" t="s">
        <v>20867</v>
      </c>
      <c r="B5012" t="s">
        <v>20868</v>
      </c>
      <c r="D5012" t="s">
        <v>9473</v>
      </c>
      <c r="E5012" t="s">
        <v>9474</v>
      </c>
      <c r="J5012" t="s">
        <v>78</v>
      </c>
      <c r="K5012" t="s">
        <v>79</v>
      </c>
      <c r="L5012">
        <v>6</v>
      </c>
      <c r="M5012" t="s">
        <v>20869</v>
      </c>
      <c r="N5012" t="s">
        <v>47</v>
      </c>
      <c r="O5012" t="s">
        <v>9477</v>
      </c>
      <c r="P5012" t="s">
        <v>9477</v>
      </c>
      <c r="Y5012" t="s">
        <v>20870</v>
      </c>
    </row>
    <row r="5013" spans="1:25">
      <c r="A5013" t="s">
        <v>20871</v>
      </c>
      <c r="B5013" t="s">
        <v>20872</v>
      </c>
      <c r="D5013" t="s">
        <v>9473</v>
      </c>
      <c r="E5013" t="s">
        <v>9474</v>
      </c>
      <c r="H5013" t="s">
        <v>20873</v>
      </c>
      <c r="J5013" t="s">
        <v>90</v>
      </c>
      <c r="K5013" t="s">
        <v>91</v>
      </c>
      <c r="L5013">
        <v>6</v>
      </c>
      <c r="M5013" t="s">
        <v>20874</v>
      </c>
      <c r="N5013" t="s">
        <v>47</v>
      </c>
      <c r="O5013" t="s">
        <v>9477</v>
      </c>
      <c r="P5013" t="s">
        <v>9477</v>
      </c>
      <c r="Y5013" t="s">
        <v>20873</v>
      </c>
    </row>
    <row r="5014" spans="1:25">
      <c r="A5014" t="s">
        <v>20875</v>
      </c>
      <c r="B5014" t="s">
        <v>20876</v>
      </c>
      <c r="D5014" t="s">
        <v>9473</v>
      </c>
      <c r="E5014" t="s">
        <v>9474</v>
      </c>
      <c r="J5014" t="s">
        <v>78</v>
      </c>
      <c r="K5014" t="s">
        <v>79</v>
      </c>
      <c r="L5014">
        <v>6</v>
      </c>
      <c r="M5014" t="s">
        <v>20877</v>
      </c>
      <c r="N5014" t="s">
        <v>47</v>
      </c>
      <c r="O5014" t="s">
        <v>9477</v>
      </c>
      <c r="P5014" t="s">
        <v>9477</v>
      </c>
      <c r="Y5014" t="s">
        <v>20878</v>
      </c>
    </row>
    <row r="5015" spans="1:25">
      <c r="A5015" t="s">
        <v>20879</v>
      </c>
      <c r="B5015" t="s">
        <v>20880</v>
      </c>
      <c r="D5015" t="s">
        <v>9473</v>
      </c>
      <c r="E5015" t="s">
        <v>9474</v>
      </c>
      <c r="J5015" t="s">
        <v>133</v>
      </c>
      <c r="K5015" t="s">
        <v>134</v>
      </c>
      <c r="L5015">
        <v>6</v>
      </c>
      <c r="M5015" t="s">
        <v>20877</v>
      </c>
      <c r="N5015" t="s">
        <v>135</v>
      </c>
      <c r="O5015" t="s">
        <v>9477</v>
      </c>
      <c r="P5015" t="s">
        <v>9477</v>
      </c>
      <c r="Y5015" t="s">
        <v>20881</v>
      </c>
    </row>
    <row r="5016" spans="1:25">
      <c r="A5016" t="s">
        <v>20882</v>
      </c>
      <c r="B5016" t="s">
        <v>20883</v>
      </c>
      <c r="D5016" t="s">
        <v>9473</v>
      </c>
      <c r="E5016" t="s">
        <v>9474</v>
      </c>
      <c r="J5016" t="s">
        <v>44</v>
      </c>
      <c r="K5016" t="s">
        <v>45</v>
      </c>
      <c r="L5016">
        <v>6</v>
      </c>
      <c r="M5016" t="s">
        <v>20884</v>
      </c>
      <c r="N5016" t="s">
        <v>47</v>
      </c>
      <c r="O5016" t="s">
        <v>9477</v>
      </c>
      <c r="P5016" t="s">
        <v>9477</v>
      </c>
      <c r="Y5016" t="s">
        <v>20885</v>
      </c>
    </row>
    <row r="5017" spans="1:25">
      <c r="A5017" t="s">
        <v>20886</v>
      </c>
      <c r="B5017" t="s">
        <v>20887</v>
      </c>
      <c r="D5017" t="s">
        <v>9473</v>
      </c>
      <c r="E5017" t="s">
        <v>9474</v>
      </c>
      <c r="J5017" t="s">
        <v>1827</v>
      </c>
      <c r="K5017" t="s">
        <v>1828</v>
      </c>
      <c r="L5017">
        <v>6</v>
      </c>
      <c r="M5017" t="s">
        <v>20884</v>
      </c>
      <c r="N5017" t="s">
        <v>47</v>
      </c>
      <c r="O5017" t="s">
        <v>9477</v>
      </c>
      <c r="P5017" t="s">
        <v>9477</v>
      </c>
      <c r="Y5017" t="s">
        <v>20888</v>
      </c>
    </row>
    <row r="5018" spans="1:25">
      <c r="A5018" t="s">
        <v>20889</v>
      </c>
      <c r="B5018" t="s">
        <v>20890</v>
      </c>
      <c r="D5018" t="s">
        <v>9473</v>
      </c>
      <c r="E5018" t="s">
        <v>9474</v>
      </c>
      <c r="H5018" t="s">
        <v>20891</v>
      </c>
      <c r="J5018" t="s">
        <v>133</v>
      </c>
      <c r="K5018" t="s">
        <v>134</v>
      </c>
      <c r="L5018">
        <v>6</v>
      </c>
      <c r="M5018" t="s">
        <v>20892</v>
      </c>
      <c r="N5018" t="s">
        <v>290</v>
      </c>
      <c r="O5018" t="s">
        <v>9477</v>
      </c>
      <c r="P5018" t="s">
        <v>9477</v>
      </c>
      <c r="Y5018" t="s">
        <v>20891</v>
      </c>
    </row>
    <row r="5019" spans="1:25">
      <c r="A5019" t="s">
        <v>20893</v>
      </c>
      <c r="B5019" t="s">
        <v>20894</v>
      </c>
      <c r="D5019" t="s">
        <v>9473</v>
      </c>
      <c r="E5019" t="s">
        <v>9474</v>
      </c>
      <c r="J5019" t="s">
        <v>90</v>
      </c>
      <c r="K5019" t="s">
        <v>91</v>
      </c>
      <c r="L5019">
        <v>6</v>
      </c>
      <c r="M5019" t="s">
        <v>20895</v>
      </c>
      <c r="N5019" t="s">
        <v>47</v>
      </c>
      <c r="O5019" t="s">
        <v>9477</v>
      </c>
      <c r="P5019" t="s">
        <v>9477</v>
      </c>
      <c r="Y5019" t="s">
        <v>20896</v>
      </c>
    </row>
    <row r="5020" spans="1:25">
      <c r="A5020" t="s">
        <v>20897</v>
      </c>
      <c r="B5020" t="s">
        <v>20898</v>
      </c>
      <c r="D5020" t="s">
        <v>9473</v>
      </c>
      <c r="E5020" t="s">
        <v>9474</v>
      </c>
      <c r="J5020" t="s">
        <v>44</v>
      </c>
      <c r="K5020" t="s">
        <v>45</v>
      </c>
      <c r="L5020">
        <v>6</v>
      </c>
      <c r="M5020" t="s">
        <v>20899</v>
      </c>
      <c r="N5020" t="s">
        <v>47</v>
      </c>
      <c r="O5020" t="s">
        <v>9477</v>
      </c>
      <c r="P5020" t="s">
        <v>9477</v>
      </c>
      <c r="Y5020" t="s">
        <v>20900</v>
      </c>
    </row>
    <row r="5021" spans="1:25">
      <c r="A5021" t="s">
        <v>20901</v>
      </c>
      <c r="B5021" t="s">
        <v>20902</v>
      </c>
      <c r="D5021" t="s">
        <v>9473</v>
      </c>
      <c r="E5021" t="s">
        <v>9474</v>
      </c>
      <c r="J5021" t="s">
        <v>90</v>
      </c>
      <c r="K5021" t="s">
        <v>91</v>
      </c>
      <c r="L5021">
        <v>6</v>
      </c>
      <c r="M5021" t="s">
        <v>20903</v>
      </c>
      <c r="N5021" t="s">
        <v>47</v>
      </c>
      <c r="O5021" t="s">
        <v>9477</v>
      </c>
      <c r="P5021" t="s">
        <v>9477</v>
      </c>
      <c r="Y5021" t="s">
        <v>20904</v>
      </c>
    </row>
    <row r="5022" spans="1:25">
      <c r="A5022" t="s">
        <v>20905</v>
      </c>
      <c r="B5022" t="s">
        <v>20906</v>
      </c>
      <c r="D5022" t="s">
        <v>9473</v>
      </c>
      <c r="E5022" t="s">
        <v>9474</v>
      </c>
      <c r="J5022" t="s">
        <v>133</v>
      </c>
      <c r="K5022" t="s">
        <v>134</v>
      </c>
      <c r="L5022">
        <v>6</v>
      </c>
      <c r="M5022" t="s">
        <v>20907</v>
      </c>
      <c r="N5022" t="s">
        <v>135</v>
      </c>
      <c r="O5022" t="s">
        <v>9477</v>
      </c>
      <c r="P5022" t="s">
        <v>9477</v>
      </c>
      <c r="Y5022" t="s">
        <v>20908</v>
      </c>
    </row>
    <row r="5023" spans="1:25">
      <c r="A5023" t="s">
        <v>20909</v>
      </c>
      <c r="B5023" t="s">
        <v>20910</v>
      </c>
      <c r="D5023" t="s">
        <v>9473</v>
      </c>
      <c r="E5023" t="s">
        <v>9474</v>
      </c>
      <c r="H5023" t="s">
        <v>20911</v>
      </c>
      <c r="J5023" t="s">
        <v>44</v>
      </c>
      <c r="K5023" t="s">
        <v>45</v>
      </c>
      <c r="L5023">
        <v>6</v>
      </c>
      <c r="M5023" t="s">
        <v>20912</v>
      </c>
      <c r="N5023" t="s">
        <v>47</v>
      </c>
      <c r="O5023" t="s">
        <v>9477</v>
      </c>
      <c r="P5023" t="s">
        <v>9477</v>
      </c>
      <c r="Y5023" t="s">
        <v>20911</v>
      </c>
    </row>
    <row r="5024" spans="1:25">
      <c r="A5024" t="s">
        <v>20913</v>
      </c>
      <c r="B5024" t="s">
        <v>20914</v>
      </c>
      <c r="D5024" t="s">
        <v>9473</v>
      </c>
      <c r="E5024" t="s">
        <v>9474</v>
      </c>
      <c r="H5024" t="s">
        <v>20915</v>
      </c>
      <c r="J5024" t="s">
        <v>90</v>
      </c>
      <c r="K5024" t="s">
        <v>91</v>
      </c>
      <c r="L5024">
        <v>6</v>
      </c>
      <c r="M5024" t="s">
        <v>20916</v>
      </c>
      <c r="N5024" t="s">
        <v>47</v>
      </c>
      <c r="O5024" t="s">
        <v>9477</v>
      </c>
      <c r="P5024" t="s">
        <v>9477</v>
      </c>
      <c r="Y5024" t="s">
        <v>20915</v>
      </c>
    </row>
    <row r="5025" spans="1:25">
      <c r="A5025" t="s">
        <v>20917</v>
      </c>
      <c r="B5025" t="s">
        <v>20918</v>
      </c>
      <c r="D5025" t="s">
        <v>9473</v>
      </c>
      <c r="E5025" t="s">
        <v>9474</v>
      </c>
      <c r="J5025" t="s">
        <v>44</v>
      </c>
      <c r="K5025" t="s">
        <v>45</v>
      </c>
      <c r="L5025">
        <v>6</v>
      </c>
      <c r="M5025" t="s">
        <v>20916</v>
      </c>
      <c r="N5025" t="s">
        <v>47</v>
      </c>
      <c r="O5025" t="s">
        <v>9477</v>
      </c>
      <c r="P5025" t="s">
        <v>9477</v>
      </c>
      <c r="Y5025" t="s">
        <v>20919</v>
      </c>
    </row>
    <row r="5026" spans="1:25">
      <c r="A5026" t="s">
        <v>20920</v>
      </c>
      <c r="B5026" t="s">
        <v>20921</v>
      </c>
      <c r="D5026" t="s">
        <v>9473</v>
      </c>
      <c r="E5026" t="s">
        <v>9474</v>
      </c>
      <c r="J5026" t="s">
        <v>133</v>
      </c>
      <c r="K5026" t="s">
        <v>134</v>
      </c>
      <c r="L5026">
        <v>6</v>
      </c>
      <c r="M5026" t="s">
        <v>20916</v>
      </c>
      <c r="N5026" t="s">
        <v>685</v>
      </c>
      <c r="O5026" t="s">
        <v>9477</v>
      </c>
      <c r="P5026" t="s">
        <v>9477</v>
      </c>
      <c r="Y5026" t="s">
        <v>20922</v>
      </c>
    </row>
    <row r="5027" spans="1:25">
      <c r="A5027" t="s">
        <v>20923</v>
      </c>
      <c r="B5027" t="s">
        <v>20924</v>
      </c>
      <c r="D5027" t="s">
        <v>9473</v>
      </c>
      <c r="E5027" t="s">
        <v>9474</v>
      </c>
      <c r="J5027" t="s">
        <v>90</v>
      </c>
      <c r="K5027" t="s">
        <v>91</v>
      </c>
      <c r="L5027">
        <v>6</v>
      </c>
      <c r="M5027" t="s">
        <v>20916</v>
      </c>
      <c r="N5027" t="s">
        <v>47</v>
      </c>
      <c r="O5027" t="s">
        <v>9477</v>
      </c>
      <c r="P5027" t="s">
        <v>9477</v>
      </c>
      <c r="Y5027" t="s">
        <v>20925</v>
      </c>
    </row>
    <row r="5028" spans="1:25">
      <c r="A5028" t="s">
        <v>20926</v>
      </c>
      <c r="B5028" t="s">
        <v>20927</v>
      </c>
      <c r="D5028" t="s">
        <v>9473</v>
      </c>
      <c r="E5028" t="s">
        <v>9474</v>
      </c>
      <c r="J5028" t="s">
        <v>90</v>
      </c>
      <c r="K5028" t="s">
        <v>91</v>
      </c>
      <c r="L5028">
        <v>6</v>
      </c>
      <c r="M5028" t="s">
        <v>20928</v>
      </c>
      <c r="N5028" t="s">
        <v>47</v>
      </c>
      <c r="O5028" t="s">
        <v>9477</v>
      </c>
      <c r="P5028" t="s">
        <v>9477</v>
      </c>
      <c r="Y5028" t="s">
        <v>20929</v>
      </c>
    </row>
    <row r="5029" spans="1:25">
      <c r="A5029" t="s">
        <v>20930</v>
      </c>
      <c r="B5029" t="s">
        <v>20931</v>
      </c>
      <c r="D5029" t="s">
        <v>9473</v>
      </c>
      <c r="E5029" t="s">
        <v>9474</v>
      </c>
      <c r="J5029" t="s">
        <v>90</v>
      </c>
      <c r="K5029" t="s">
        <v>91</v>
      </c>
      <c r="L5029">
        <v>6</v>
      </c>
      <c r="M5029" t="s">
        <v>20928</v>
      </c>
      <c r="N5029" t="s">
        <v>47</v>
      </c>
      <c r="O5029" t="s">
        <v>9477</v>
      </c>
      <c r="P5029" t="s">
        <v>9477</v>
      </c>
      <c r="Y5029" t="s">
        <v>20932</v>
      </c>
    </row>
    <row r="5030" spans="1:25">
      <c r="A5030" t="s">
        <v>20933</v>
      </c>
      <c r="B5030" t="s">
        <v>20934</v>
      </c>
      <c r="D5030" t="s">
        <v>9473</v>
      </c>
      <c r="E5030" t="s">
        <v>9474</v>
      </c>
      <c r="J5030" t="s">
        <v>54</v>
      </c>
      <c r="K5030" t="s">
        <v>55</v>
      </c>
      <c r="L5030">
        <v>6</v>
      </c>
      <c r="M5030" t="s">
        <v>20935</v>
      </c>
      <c r="N5030" t="s">
        <v>47</v>
      </c>
      <c r="O5030" t="s">
        <v>9477</v>
      </c>
      <c r="P5030" t="s">
        <v>9477</v>
      </c>
      <c r="Y5030" t="s">
        <v>20936</v>
      </c>
    </row>
    <row r="5031" spans="1:25">
      <c r="A5031" t="s">
        <v>20937</v>
      </c>
      <c r="B5031" t="s">
        <v>20938</v>
      </c>
      <c r="D5031" t="s">
        <v>9473</v>
      </c>
      <c r="E5031" t="s">
        <v>9474</v>
      </c>
      <c r="J5031" t="s">
        <v>44</v>
      </c>
      <c r="K5031" t="s">
        <v>45</v>
      </c>
      <c r="L5031">
        <v>6</v>
      </c>
      <c r="M5031" t="s">
        <v>20939</v>
      </c>
      <c r="N5031" t="s">
        <v>47</v>
      </c>
      <c r="O5031" t="s">
        <v>9477</v>
      </c>
      <c r="P5031" t="s">
        <v>9477</v>
      </c>
      <c r="Y5031" t="s">
        <v>20940</v>
      </c>
    </row>
    <row r="5032" spans="1:25">
      <c r="A5032" t="s">
        <v>20941</v>
      </c>
      <c r="B5032" t="s">
        <v>20942</v>
      </c>
      <c r="D5032" t="s">
        <v>9473</v>
      </c>
      <c r="E5032" t="s">
        <v>9474</v>
      </c>
      <c r="J5032" t="s">
        <v>90</v>
      </c>
      <c r="K5032" t="s">
        <v>91</v>
      </c>
      <c r="L5032">
        <v>6</v>
      </c>
      <c r="M5032" t="s">
        <v>20939</v>
      </c>
      <c r="N5032" t="s">
        <v>47</v>
      </c>
      <c r="O5032" t="s">
        <v>9477</v>
      </c>
      <c r="P5032" t="s">
        <v>9477</v>
      </c>
      <c r="Y5032" t="s">
        <v>20943</v>
      </c>
    </row>
    <row r="5033" spans="1:25">
      <c r="A5033" t="s">
        <v>20944</v>
      </c>
      <c r="B5033" t="s">
        <v>20945</v>
      </c>
      <c r="D5033" t="s">
        <v>9473</v>
      </c>
      <c r="E5033" t="s">
        <v>9474</v>
      </c>
      <c r="J5033" t="s">
        <v>133</v>
      </c>
      <c r="K5033" t="s">
        <v>134</v>
      </c>
      <c r="L5033">
        <v>6</v>
      </c>
      <c r="M5033" t="s">
        <v>20939</v>
      </c>
      <c r="N5033" t="s">
        <v>290</v>
      </c>
      <c r="O5033" t="s">
        <v>9477</v>
      </c>
      <c r="P5033" t="s">
        <v>9477</v>
      </c>
      <c r="Y5033" t="s">
        <v>20946</v>
      </c>
    </row>
    <row r="5034" spans="1:25">
      <c r="A5034" t="s">
        <v>20947</v>
      </c>
      <c r="B5034" t="s">
        <v>20948</v>
      </c>
      <c r="D5034" t="s">
        <v>9473</v>
      </c>
      <c r="E5034" t="s">
        <v>9474</v>
      </c>
      <c r="J5034" t="s">
        <v>44</v>
      </c>
      <c r="K5034" t="s">
        <v>45</v>
      </c>
      <c r="L5034">
        <v>6</v>
      </c>
      <c r="M5034" t="s">
        <v>20949</v>
      </c>
      <c r="N5034" t="s">
        <v>47</v>
      </c>
      <c r="O5034" t="s">
        <v>9477</v>
      </c>
      <c r="P5034" t="s">
        <v>9477</v>
      </c>
      <c r="Y5034" t="s">
        <v>20950</v>
      </c>
    </row>
    <row r="5035" spans="1:25">
      <c r="A5035" t="s">
        <v>20951</v>
      </c>
      <c r="B5035" t="s">
        <v>20952</v>
      </c>
      <c r="D5035" t="s">
        <v>9473</v>
      </c>
      <c r="E5035" t="s">
        <v>9474</v>
      </c>
      <c r="H5035" t="s">
        <v>20953</v>
      </c>
      <c r="J5035" t="s">
        <v>90</v>
      </c>
      <c r="K5035" t="s">
        <v>91</v>
      </c>
      <c r="L5035">
        <v>6</v>
      </c>
      <c r="M5035" t="s">
        <v>20954</v>
      </c>
      <c r="N5035" t="s">
        <v>47</v>
      </c>
      <c r="O5035" t="s">
        <v>9477</v>
      </c>
      <c r="P5035" t="s">
        <v>9477</v>
      </c>
      <c r="Y5035" t="s">
        <v>20953</v>
      </c>
    </row>
    <row r="5036" spans="1:25">
      <c r="A5036" t="s">
        <v>20955</v>
      </c>
      <c r="B5036" t="s">
        <v>20956</v>
      </c>
      <c r="D5036" t="s">
        <v>9473</v>
      </c>
      <c r="E5036" t="s">
        <v>9474</v>
      </c>
      <c r="J5036" t="s">
        <v>1827</v>
      </c>
      <c r="K5036" t="s">
        <v>1828</v>
      </c>
      <c r="L5036">
        <v>6</v>
      </c>
      <c r="M5036" t="s">
        <v>20957</v>
      </c>
      <c r="N5036" t="s">
        <v>47</v>
      </c>
      <c r="O5036" t="s">
        <v>9477</v>
      </c>
      <c r="P5036" t="s">
        <v>9477</v>
      </c>
      <c r="Y5036" t="s">
        <v>20958</v>
      </c>
    </row>
    <row r="5037" spans="1:25">
      <c r="A5037" t="s">
        <v>20959</v>
      </c>
      <c r="B5037" t="s">
        <v>20960</v>
      </c>
      <c r="D5037" t="s">
        <v>9473</v>
      </c>
      <c r="E5037" t="s">
        <v>9474</v>
      </c>
      <c r="H5037" t="s">
        <v>20961</v>
      </c>
      <c r="J5037" t="s">
        <v>90</v>
      </c>
      <c r="K5037" t="s">
        <v>91</v>
      </c>
      <c r="L5037">
        <v>6</v>
      </c>
      <c r="M5037" t="s">
        <v>20957</v>
      </c>
      <c r="N5037" t="s">
        <v>47</v>
      </c>
      <c r="O5037" t="s">
        <v>9477</v>
      </c>
      <c r="P5037" t="s">
        <v>9477</v>
      </c>
      <c r="Y5037" t="s">
        <v>20961</v>
      </c>
    </row>
    <row r="5038" spans="1:25">
      <c r="A5038" t="s">
        <v>20962</v>
      </c>
      <c r="B5038" t="s">
        <v>20963</v>
      </c>
      <c r="D5038" t="s">
        <v>9473</v>
      </c>
      <c r="E5038" t="s">
        <v>9474</v>
      </c>
      <c r="H5038" t="s">
        <v>20964</v>
      </c>
      <c r="J5038" t="s">
        <v>90</v>
      </c>
      <c r="K5038" t="s">
        <v>91</v>
      </c>
      <c r="L5038">
        <v>6</v>
      </c>
      <c r="M5038" t="s">
        <v>20965</v>
      </c>
      <c r="N5038" t="s">
        <v>47</v>
      </c>
      <c r="O5038" t="s">
        <v>9477</v>
      </c>
      <c r="P5038" t="s">
        <v>9477</v>
      </c>
      <c r="Y5038" t="s">
        <v>20964</v>
      </c>
    </row>
    <row r="5039" spans="1:25">
      <c r="A5039" t="s">
        <v>20966</v>
      </c>
      <c r="B5039" t="s">
        <v>20967</v>
      </c>
      <c r="D5039" t="s">
        <v>9473</v>
      </c>
      <c r="E5039" t="s">
        <v>9474</v>
      </c>
      <c r="J5039" t="s">
        <v>54</v>
      </c>
      <c r="K5039" t="s">
        <v>55</v>
      </c>
      <c r="L5039">
        <v>6</v>
      </c>
      <c r="M5039" t="s">
        <v>20965</v>
      </c>
      <c r="N5039" t="s">
        <v>47</v>
      </c>
      <c r="O5039" t="s">
        <v>9477</v>
      </c>
      <c r="P5039" t="s">
        <v>9477</v>
      </c>
      <c r="Y5039" t="s">
        <v>20968</v>
      </c>
    </row>
    <row r="5040" spans="1:25">
      <c r="A5040" t="s">
        <v>20969</v>
      </c>
      <c r="B5040" t="s">
        <v>20970</v>
      </c>
      <c r="D5040" t="s">
        <v>9473</v>
      </c>
      <c r="E5040" t="s">
        <v>9474</v>
      </c>
      <c r="J5040" t="s">
        <v>78</v>
      </c>
      <c r="K5040" t="s">
        <v>79</v>
      </c>
      <c r="L5040">
        <v>6</v>
      </c>
      <c r="M5040" t="s">
        <v>20971</v>
      </c>
      <c r="N5040" t="s">
        <v>47</v>
      </c>
      <c r="O5040" t="s">
        <v>9477</v>
      </c>
      <c r="P5040" t="s">
        <v>9477</v>
      </c>
      <c r="Y5040" t="s">
        <v>20972</v>
      </c>
    </row>
    <row r="5041" spans="1:25">
      <c r="A5041" t="s">
        <v>20973</v>
      </c>
      <c r="B5041" t="s">
        <v>20974</v>
      </c>
      <c r="D5041" t="s">
        <v>9473</v>
      </c>
      <c r="E5041" t="s">
        <v>9474</v>
      </c>
      <c r="J5041" t="s">
        <v>44</v>
      </c>
      <c r="K5041" t="s">
        <v>45</v>
      </c>
      <c r="L5041">
        <v>6</v>
      </c>
      <c r="M5041" t="s">
        <v>20975</v>
      </c>
      <c r="N5041" t="s">
        <v>47</v>
      </c>
      <c r="O5041" t="s">
        <v>9477</v>
      </c>
      <c r="P5041" t="s">
        <v>9477</v>
      </c>
      <c r="Y5041" t="s">
        <v>20976</v>
      </c>
    </row>
    <row r="5042" spans="1:25">
      <c r="A5042" t="s">
        <v>20977</v>
      </c>
      <c r="B5042" t="s">
        <v>20978</v>
      </c>
      <c r="D5042" t="s">
        <v>9473</v>
      </c>
      <c r="E5042" t="s">
        <v>9474</v>
      </c>
      <c r="J5042" t="s">
        <v>44</v>
      </c>
      <c r="K5042" t="s">
        <v>45</v>
      </c>
      <c r="L5042">
        <v>6</v>
      </c>
      <c r="M5042" t="s">
        <v>20979</v>
      </c>
      <c r="N5042" t="s">
        <v>47</v>
      </c>
      <c r="O5042" t="s">
        <v>9477</v>
      </c>
      <c r="P5042" t="s">
        <v>9477</v>
      </c>
      <c r="Y5042" t="s">
        <v>20980</v>
      </c>
    </row>
    <row r="5043" spans="1:25">
      <c r="A5043" t="s">
        <v>20981</v>
      </c>
      <c r="B5043" t="s">
        <v>20982</v>
      </c>
      <c r="D5043" t="s">
        <v>9473</v>
      </c>
      <c r="E5043" t="s">
        <v>9474</v>
      </c>
      <c r="J5043" t="s">
        <v>133</v>
      </c>
      <c r="K5043" t="s">
        <v>134</v>
      </c>
      <c r="L5043">
        <v>6</v>
      </c>
      <c r="M5043" t="s">
        <v>20983</v>
      </c>
      <c r="N5043" t="s">
        <v>290</v>
      </c>
      <c r="O5043" t="s">
        <v>9477</v>
      </c>
      <c r="P5043" t="s">
        <v>9477</v>
      </c>
      <c r="Y5043" t="s">
        <v>20984</v>
      </c>
    </row>
    <row r="5044" spans="1:25">
      <c r="A5044" t="s">
        <v>20985</v>
      </c>
      <c r="B5044" t="s">
        <v>20986</v>
      </c>
      <c r="D5044" t="s">
        <v>9473</v>
      </c>
      <c r="E5044" t="s">
        <v>9474</v>
      </c>
      <c r="J5044" t="s">
        <v>78</v>
      </c>
      <c r="K5044" t="s">
        <v>79</v>
      </c>
      <c r="L5044">
        <v>6</v>
      </c>
      <c r="M5044" t="s">
        <v>20983</v>
      </c>
      <c r="N5044" t="s">
        <v>47</v>
      </c>
      <c r="O5044" t="s">
        <v>9477</v>
      </c>
      <c r="P5044" t="s">
        <v>9477</v>
      </c>
      <c r="Y5044" t="s">
        <v>20987</v>
      </c>
    </row>
    <row r="5045" spans="1:25">
      <c r="A5045" t="s">
        <v>20988</v>
      </c>
      <c r="B5045" t="s">
        <v>20989</v>
      </c>
      <c r="D5045" t="s">
        <v>9473</v>
      </c>
      <c r="E5045" t="s">
        <v>9474</v>
      </c>
      <c r="H5045" t="s">
        <v>20990</v>
      </c>
      <c r="J5045" t="s">
        <v>44</v>
      </c>
      <c r="K5045" t="s">
        <v>45</v>
      </c>
      <c r="L5045">
        <v>6</v>
      </c>
      <c r="M5045" t="s">
        <v>20991</v>
      </c>
      <c r="N5045" t="s">
        <v>47</v>
      </c>
      <c r="O5045" t="s">
        <v>9477</v>
      </c>
      <c r="P5045" t="s">
        <v>9477</v>
      </c>
      <c r="Y5045" t="s">
        <v>20990</v>
      </c>
    </row>
    <row r="5046" spans="1:25">
      <c r="A5046" t="s">
        <v>20992</v>
      </c>
      <c r="B5046" t="s">
        <v>20993</v>
      </c>
      <c r="D5046" t="s">
        <v>9473</v>
      </c>
      <c r="E5046" t="s">
        <v>9474</v>
      </c>
      <c r="H5046" t="s">
        <v>20994</v>
      </c>
      <c r="J5046" t="s">
        <v>54</v>
      </c>
      <c r="K5046" t="s">
        <v>55</v>
      </c>
      <c r="L5046">
        <v>6</v>
      </c>
      <c r="M5046" t="s">
        <v>20995</v>
      </c>
      <c r="N5046" t="s">
        <v>47</v>
      </c>
      <c r="O5046" t="s">
        <v>9477</v>
      </c>
      <c r="P5046" t="s">
        <v>9477</v>
      </c>
      <c r="Y5046" t="s">
        <v>20994</v>
      </c>
    </row>
    <row r="5047" spans="1:25">
      <c r="A5047" t="s">
        <v>20996</v>
      </c>
      <c r="B5047" t="s">
        <v>20997</v>
      </c>
      <c r="D5047" t="s">
        <v>9473</v>
      </c>
      <c r="E5047" t="s">
        <v>9474</v>
      </c>
      <c r="J5047" t="s">
        <v>90</v>
      </c>
      <c r="K5047" t="s">
        <v>91</v>
      </c>
      <c r="L5047">
        <v>6</v>
      </c>
      <c r="M5047" t="s">
        <v>20998</v>
      </c>
      <c r="N5047" t="s">
        <v>47</v>
      </c>
      <c r="O5047" t="s">
        <v>9477</v>
      </c>
      <c r="P5047" t="s">
        <v>9477</v>
      </c>
      <c r="Y5047" t="s">
        <v>20999</v>
      </c>
    </row>
    <row r="5048" spans="1:25">
      <c r="A5048" t="s">
        <v>21000</v>
      </c>
      <c r="B5048" t="s">
        <v>21001</v>
      </c>
      <c r="D5048" t="s">
        <v>9473</v>
      </c>
      <c r="E5048" t="s">
        <v>9474</v>
      </c>
      <c r="J5048" t="s">
        <v>44</v>
      </c>
      <c r="K5048" t="s">
        <v>45</v>
      </c>
      <c r="L5048">
        <v>6</v>
      </c>
      <c r="M5048" t="s">
        <v>21002</v>
      </c>
      <c r="N5048" t="s">
        <v>47</v>
      </c>
      <c r="O5048" t="s">
        <v>9477</v>
      </c>
      <c r="P5048" t="s">
        <v>9477</v>
      </c>
      <c r="Y5048" t="s">
        <v>21003</v>
      </c>
    </row>
    <row r="5049" spans="1:25">
      <c r="A5049" t="s">
        <v>21004</v>
      </c>
      <c r="B5049" t="s">
        <v>21005</v>
      </c>
      <c r="D5049" t="s">
        <v>9473</v>
      </c>
      <c r="E5049" t="s">
        <v>9474</v>
      </c>
      <c r="J5049" t="s">
        <v>78</v>
      </c>
      <c r="K5049" t="s">
        <v>79</v>
      </c>
      <c r="L5049">
        <v>6</v>
      </c>
      <c r="M5049" t="s">
        <v>21002</v>
      </c>
      <c r="N5049" t="s">
        <v>47</v>
      </c>
      <c r="O5049" t="s">
        <v>9477</v>
      </c>
      <c r="P5049" t="s">
        <v>9477</v>
      </c>
      <c r="Y5049" t="s">
        <v>21006</v>
      </c>
    </row>
    <row r="5050" spans="1:25">
      <c r="A5050" t="s">
        <v>21007</v>
      </c>
      <c r="B5050" t="s">
        <v>21008</v>
      </c>
      <c r="D5050" t="s">
        <v>9473</v>
      </c>
      <c r="E5050" t="s">
        <v>9474</v>
      </c>
      <c r="J5050" t="s">
        <v>133</v>
      </c>
      <c r="K5050" t="s">
        <v>134</v>
      </c>
      <c r="L5050">
        <v>6</v>
      </c>
      <c r="M5050" t="s">
        <v>21002</v>
      </c>
      <c r="N5050" t="s">
        <v>290</v>
      </c>
      <c r="O5050" t="s">
        <v>9477</v>
      </c>
      <c r="P5050" t="s">
        <v>9477</v>
      </c>
      <c r="Y5050" t="s">
        <v>21009</v>
      </c>
    </row>
    <row r="5051" spans="1:25">
      <c r="A5051" t="s">
        <v>21010</v>
      </c>
      <c r="B5051" t="s">
        <v>21011</v>
      </c>
      <c r="D5051" t="s">
        <v>9473</v>
      </c>
      <c r="E5051" t="s">
        <v>9474</v>
      </c>
      <c r="H5051" t="s">
        <v>21012</v>
      </c>
      <c r="J5051" t="s">
        <v>497</v>
      </c>
      <c r="K5051" t="s">
        <v>498</v>
      </c>
      <c r="L5051">
        <v>6</v>
      </c>
      <c r="M5051" t="s">
        <v>21013</v>
      </c>
      <c r="N5051" t="s">
        <v>135</v>
      </c>
      <c r="O5051" t="s">
        <v>9477</v>
      </c>
      <c r="P5051" t="s">
        <v>9477</v>
      </c>
      <c r="Y5051" t="s">
        <v>21012</v>
      </c>
    </row>
    <row r="5052" spans="1:25">
      <c r="A5052" t="s">
        <v>21014</v>
      </c>
      <c r="B5052" t="s">
        <v>21015</v>
      </c>
      <c r="D5052" t="s">
        <v>9473</v>
      </c>
      <c r="E5052" t="s">
        <v>9474</v>
      </c>
      <c r="H5052" t="s">
        <v>21016</v>
      </c>
      <c r="J5052" t="s">
        <v>133</v>
      </c>
      <c r="K5052" t="s">
        <v>134</v>
      </c>
      <c r="L5052">
        <v>6</v>
      </c>
      <c r="M5052" t="s">
        <v>21017</v>
      </c>
      <c r="N5052" t="s">
        <v>290</v>
      </c>
      <c r="O5052" t="s">
        <v>9477</v>
      </c>
      <c r="P5052" t="s">
        <v>9477</v>
      </c>
      <c r="Y5052" t="s">
        <v>21016</v>
      </c>
    </row>
    <row r="5053" spans="1:25">
      <c r="A5053" t="s">
        <v>21018</v>
      </c>
      <c r="B5053" t="s">
        <v>21019</v>
      </c>
      <c r="D5053" t="s">
        <v>9473</v>
      </c>
      <c r="E5053" t="s">
        <v>9474</v>
      </c>
      <c r="J5053" t="s">
        <v>54</v>
      </c>
      <c r="K5053" t="s">
        <v>55</v>
      </c>
      <c r="L5053">
        <v>6</v>
      </c>
      <c r="M5053" t="s">
        <v>21020</v>
      </c>
      <c r="N5053" t="s">
        <v>47</v>
      </c>
      <c r="O5053" t="s">
        <v>9477</v>
      </c>
      <c r="P5053" t="s">
        <v>9477</v>
      </c>
      <c r="Y5053" t="s">
        <v>21021</v>
      </c>
    </row>
    <row r="5054" spans="1:25">
      <c r="A5054" t="s">
        <v>21022</v>
      </c>
      <c r="B5054" t="s">
        <v>21023</v>
      </c>
      <c r="D5054" t="s">
        <v>9473</v>
      </c>
      <c r="E5054" t="s">
        <v>9474</v>
      </c>
      <c r="J5054" t="s">
        <v>371</v>
      </c>
      <c r="K5054" t="s">
        <v>372</v>
      </c>
      <c r="L5054">
        <v>6</v>
      </c>
      <c r="M5054" t="s">
        <v>21020</v>
      </c>
      <c r="N5054" t="s">
        <v>47</v>
      </c>
      <c r="O5054" t="s">
        <v>9477</v>
      </c>
      <c r="P5054" t="s">
        <v>9477</v>
      </c>
      <c r="Y5054" t="s">
        <v>21024</v>
      </c>
    </row>
    <row r="5055" spans="1:25">
      <c r="A5055" t="s">
        <v>21025</v>
      </c>
      <c r="B5055" t="s">
        <v>21026</v>
      </c>
      <c r="D5055" t="s">
        <v>9473</v>
      </c>
      <c r="E5055" t="s">
        <v>9474</v>
      </c>
      <c r="J5055" t="s">
        <v>90</v>
      </c>
      <c r="K5055" t="s">
        <v>91</v>
      </c>
      <c r="L5055">
        <v>6</v>
      </c>
      <c r="M5055" t="s">
        <v>21027</v>
      </c>
      <c r="N5055" t="s">
        <v>47</v>
      </c>
      <c r="O5055" t="s">
        <v>9477</v>
      </c>
      <c r="P5055" t="s">
        <v>9477</v>
      </c>
      <c r="Y5055" t="s">
        <v>21028</v>
      </c>
    </row>
    <row r="5056" spans="1:25">
      <c r="A5056" t="s">
        <v>21029</v>
      </c>
      <c r="B5056" t="s">
        <v>21030</v>
      </c>
      <c r="D5056" t="s">
        <v>9473</v>
      </c>
      <c r="E5056" t="s">
        <v>9474</v>
      </c>
      <c r="J5056" t="s">
        <v>90</v>
      </c>
      <c r="K5056" t="s">
        <v>91</v>
      </c>
      <c r="L5056">
        <v>6</v>
      </c>
      <c r="M5056" t="s">
        <v>21031</v>
      </c>
      <c r="N5056" t="s">
        <v>47</v>
      </c>
      <c r="O5056" t="s">
        <v>9477</v>
      </c>
      <c r="P5056" t="s">
        <v>9477</v>
      </c>
      <c r="Y5056" t="s">
        <v>21032</v>
      </c>
    </row>
    <row r="5057" spans="1:25">
      <c r="A5057" t="s">
        <v>21033</v>
      </c>
      <c r="B5057" t="s">
        <v>21034</v>
      </c>
      <c r="D5057" t="s">
        <v>9473</v>
      </c>
      <c r="E5057" t="s">
        <v>9474</v>
      </c>
      <c r="H5057" t="s">
        <v>21035</v>
      </c>
      <c r="J5057" t="s">
        <v>90</v>
      </c>
      <c r="K5057" t="s">
        <v>91</v>
      </c>
      <c r="L5057">
        <v>6</v>
      </c>
      <c r="M5057" t="s">
        <v>21031</v>
      </c>
      <c r="N5057" t="s">
        <v>47</v>
      </c>
      <c r="O5057" t="s">
        <v>9477</v>
      </c>
      <c r="P5057" t="s">
        <v>9477</v>
      </c>
      <c r="Y5057" t="s">
        <v>21035</v>
      </c>
    </row>
    <row r="5058" spans="1:25">
      <c r="A5058" t="s">
        <v>21036</v>
      </c>
      <c r="B5058" t="s">
        <v>21037</v>
      </c>
      <c r="D5058" t="s">
        <v>9473</v>
      </c>
      <c r="E5058" t="s">
        <v>9474</v>
      </c>
      <c r="H5058" t="s">
        <v>21038</v>
      </c>
      <c r="J5058" t="s">
        <v>2948</v>
      </c>
      <c r="K5058" t="s">
        <v>2949</v>
      </c>
      <c r="L5058">
        <v>6</v>
      </c>
      <c r="M5058" t="s">
        <v>21031</v>
      </c>
      <c r="N5058" t="s">
        <v>685</v>
      </c>
      <c r="O5058" t="s">
        <v>9477</v>
      </c>
      <c r="P5058" t="s">
        <v>9477</v>
      </c>
      <c r="Y5058" t="s">
        <v>21038</v>
      </c>
    </row>
    <row r="5059" spans="1:25">
      <c r="A5059" t="s">
        <v>21039</v>
      </c>
      <c r="B5059" t="s">
        <v>21040</v>
      </c>
      <c r="D5059" t="s">
        <v>9473</v>
      </c>
      <c r="E5059" t="s">
        <v>9474</v>
      </c>
      <c r="J5059" t="s">
        <v>133</v>
      </c>
      <c r="K5059" t="s">
        <v>134</v>
      </c>
      <c r="L5059">
        <v>6</v>
      </c>
      <c r="M5059" t="s">
        <v>21031</v>
      </c>
      <c r="N5059" t="s">
        <v>135</v>
      </c>
      <c r="O5059" t="s">
        <v>9477</v>
      </c>
      <c r="P5059" t="s">
        <v>9477</v>
      </c>
      <c r="Y5059" t="s">
        <v>21041</v>
      </c>
    </row>
    <row r="5060" spans="1:25">
      <c r="A5060" t="s">
        <v>21042</v>
      </c>
      <c r="B5060" t="s">
        <v>21043</v>
      </c>
      <c r="D5060" t="s">
        <v>9473</v>
      </c>
      <c r="E5060" t="s">
        <v>9474</v>
      </c>
      <c r="J5060" t="s">
        <v>541</v>
      </c>
      <c r="K5060" t="s">
        <v>542</v>
      </c>
      <c r="L5060">
        <v>6</v>
      </c>
      <c r="M5060" t="s">
        <v>21044</v>
      </c>
      <c r="N5060" t="s">
        <v>290</v>
      </c>
      <c r="O5060" t="s">
        <v>9477</v>
      </c>
      <c r="P5060" t="s">
        <v>9477</v>
      </c>
      <c r="Y5060" t="s">
        <v>21045</v>
      </c>
    </row>
    <row r="5061" spans="1:25">
      <c r="A5061" t="s">
        <v>21046</v>
      </c>
      <c r="B5061" t="s">
        <v>21047</v>
      </c>
      <c r="D5061" t="s">
        <v>9473</v>
      </c>
      <c r="E5061" t="s">
        <v>9474</v>
      </c>
      <c r="J5061" t="s">
        <v>54</v>
      </c>
      <c r="K5061" t="s">
        <v>55</v>
      </c>
      <c r="L5061">
        <v>6</v>
      </c>
      <c r="M5061" t="s">
        <v>21048</v>
      </c>
      <c r="N5061" t="s">
        <v>47</v>
      </c>
      <c r="O5061" t="s">
        <v>9477</v>
      </c>
      <c r="P5061" t="s">
        <v>9477</v>
      </c>
      <c r="Y5061" t="s">
        <v>21049</v>
      </c>
    </row>
    <row r="5062" spans="1:25">
      <c r="A5062" t="s">
        <v>21050</v>
      </c>
      <c r="B5062" t="s">
        <v>21051</v>
      </c>
      <c r="D5062" t="s">
        <v>9473</v>
      </c>
      <c r="E5062" t="s">
        <v>9474</v>
      </c>
      <c r="J5062" t="s">
        <v>54</v>
      </c>
      <c r="K5062" t="s">
        <v>55</v>
      </c>
      <c r="L5062">
        <v>6</v>
      </c>
      <c r="M5062" t="s">
        <v>21048</v>
      </c>
      <c r="N5062" t="s">
        <v>47</v>
      </c>
      <c r="O5062" t="s">
        <v>9477</v>
      </c>
      <c r="P5062" t="s">
        <v>9477</v>
      </c>
      <c r="Y5062" t="s">
        <v>21052</v>
      </c>
    </row>
    <row r="5063" spans="1:25">
      <c r="A5063" t="s">
        <v>21053</v>
      </c>
      <c r="B5063" t="s">
        <v>21054</v>
      </c>
      <c r="D5063" t="s">
        <v>9473</v>
      </c>
      <c r="E5063" t="s">
        <v>9474</v>
      </c>
      <c r="H5063" t="s">
        <v>21055</v>
      </c>
      <c r="J5063" t="s">
        <v>133</v>
      </c>
      <c r="K5063" t="s">
        <v>134</v>
      </c>
      <c r="L5063">
        <v>7</v>
      </c>
      <c r="M5063" t="s">
        <v>21056</v>
      </c>
      <c r="N5063" t="s">
        <v>685</v>
      </c>
      <c r="O5063" t="s">
        <v>9477</v>
      </c>
      <c r="P5063" t="s">
        <v>9477</v>
      </c>
      <c r="Y5063" t="s">
        <v>21055</v>
      </c>
    </row>
    <row r="5064" spans="1:25">
      <c r="A5064" t="s">
        <v>21057</v>
      </c>
      <c r="B5064" t="s">
        <v>21058</v>
      </c>
      <c r="D5064" t="s">
        <v>9473</v>
      </c>
      <c r="E5064" t="s">
        <v>9474</v>
      </c>
      <c r="H5064" t="s">
        <v>21059</v>
      </c>
      <c r="J5064" t="s">
        <v>90</v>
      </c>
      <c r="K5064" t="s">
        <v>91</v>
      </c>
      <c r="L5064">
        <v>6</v>
      </c>
      <c r="M5064" t="s">
        <v>21060</v>
      </c>
      <c r="N5064" t="s">
        <v>47</v>
      </c>
      <c r="O5064" t="s">
        <v>9477</v>
      </c>
      <c r="P5064" t="s">
        <v>9477</v>
      </c>
      <c r="Y5064" t="s">
        <v>21059</v>
      </c>
    </row>
    <row r="5065" spans="1:25">
      <c r="A5065" t="s">
        <v>21061</v>
      </c>
      <c r="B5065" t="s">
        <v>21062</v>
      </c>
      <c r="D5065" t="s">
        <v>9473</v>
      </c>
      <c r="E5065" t="s">
        <v>9474</v>
      </c>
      <c r="J5065" t="s">
        <v>44</v>
      </c>
      <c r="K5065" t="s">
        <v>45</v>
      </c>
      <c r="L5065">
        <v>6</v>
      </c>
      <c r="M5065" t="s">
        <v>21060</v>
      </c>
      <c r="N5065" t="s">
        <v>47</v>
      </c>
      <c r="O5065" t="s">
        <v>9477</v>
      </c>
      <c r="P5065" t="s">
        <v>9477</v>
      </c>
      <c r="Y5065" t="s">
        <v>21063</v>
      </c>
    </row>
    <row r="5066" spans="1:25">
      <c r="A5066" t="s">
        <v>21064</v>
      </c>
      <c r="B5066" t="s">
        <v>21065</v>
      </c>
      <c r="D5066" t="s">
        <v>9473</v>
      </c>
      <c r="E5066" t="s">
        <v>9474</v>
      </c>
      <c r="J5066" t="s">
        <v>371</v>
      </c>
      <c r="K5066" t="s">
        <v>372</v>
      </c>
      <c r="L5066">
        <v>6</v>
      </c>
      <c r="M5066" t="s">
        <v>21066</v>
      </c>
      <c r="N5066" t="s">
        <v>47</v>
      </c>
      <c r="O5066" t="s">
        <v>9477</v>
      </c>
      <c r="P5066" t="s">
        <v>9477</v>
      </c>
      <c r="Y5066" t="s">
        <v>21067</v>
      </c>
    </row>
    <row r="5067" spans="1:25">
      <c r="A5067" t="s">
        <v>21068</v>
      </c>
      <c r="B5067" t="s">
        <v>21069</v>
      </c>
      <c r="D5067" t="s">
        <v>9473</v>
      </c>
      <c r="E5067" t="s">
        <v>9474</v>
      </c>
      <c r="J5067" t="s">
        <v>54</v>
      </c>
      <c r="K5067" t="s">
        <v>55</v>
      </c>
      <c r="L5067">
        <v>6</v>
      </c>
      <c r="M5067" t="s">
        <v>21066</v>
      </c>
      <c r="N5067" t="s">
        <v>47</v>
      </c>
      <c r="O5067" t="s">
        <v>9477</v>
      </c>
      <c r="P5067" t="s">
        <v>9477</v>
      </c>
      <c r="Y5067" t="s">
        <v>21070</v>
      </c>
    </row>
    <row r="5068" spans="1:25">
      <c r="A5068" t="s">
        <v>21071</v>
      </c>
      <c r="B5068" t="s">
        <v>21072</v>
      </c>
      <c r="D5068" t="s">
        <v>9473</v>
      </c>
      <c r="E5068" t="s">
        <v>9474</v>
      </c>
      <c r="H5068" t="s">
        <v>21073</v>
      </c>
      <c r="J5068" t="s">
        <v>371</v>
      </c>
      <c r="K5068" t="s">
        <v>372</v>
      </c>
      <c r="L5068">
        <v>6</v>
      </c>
      <c r="M5068" t="s">
        <v>21066</v>
      </c>
      <c r="N5068" t="s">
        <v>47</v>
      </c>
      <c r="O5068" t="s">
        <v>9477</v>
      </c>
      <c r="P5068" t="s">
        <v>9477</v>
      </c>
      <c r="Y5068" t="s">
        <v>21073</v>
      </c>
    </row>
    <row r="5069" spans="1:25">
      <c r="A5069" t="s">
        <v>21074</v>
      </c>
      <c r="B5069" t="s">
        <v>21075</v>
      </c>
      <c r="D5069" t="s">
        <v>9473</v>
      </c>
      <c r="E5069" t="s">
        <v>9474</v>
      </c>
      <c r="J5069" t="s">
        <v>90</v>
      </c>
      <c r="K5069" t="s">
        <v>91</v>
      </c>
      <c r="L5069">
        <v>6</v>
      </c>
      <c r="M5069" t="s">
        <v>21076</v>
      </c>
      <c r="N5069" t="s">
        <v>47</v>
      </c>
      <c r="O5069" t="s">
        <v>9477</v>
      </c>
      <c r="P5069" t="s">
        <v>9477</v>
      </c>
      <c r="Y5069" t="s">
        <v>21077</v>
      </c>
    </row>
    <row r="5070" spans="1:25">
      <c r="A5070" t="s">
        <v>21078</v>
      </c>
      <c r="B5070" t="s">
        <v>21079</v>
      </c>
      <c r="D5070" t="s">
        <v>9473</v>
      </c>
      <c r="E5070" t="s">
        <v>9474</v>
      </c>
      <c r="J5070" t="s">
        <v>54</v>
      </c>
      <c r="K5070" t="s">
        <v>55</v>
      </c>
      <c r="L5070">
        <v>6</v>
      </c>
      <c r="M5070" t="s">
        <v>21080</v>
      </c>
      <c r="N5070" t="s">
        <v>47</v>
      </c>
      <c r="O5070" t="s">
        <v>9477</v>
      </c>
      <c r="P5070" t="s">
        <v>9477</v>
      </c>
      <c r="Y5070" t="s">
        <v>21081</v>
      </c>
    </row>
    <row r="5071" spans="1:25">
      <c r="A5071" t="s">
        <v>21082</v>
      </c>
      <c r="B5071" t="s">
        <v>21083</v>
      </c>
      <c r="D5071" t="s">
        <v>9473</v>
      </c>
      <c r="E5071" t="s">
        <v>9474</v>
      </c>
      <c r="H5071" t="s">
        <v>21084</v>
      </c>
      <c r="J5071" t="s">
        <v>353</v>
      </c>
      <c r="K5071" t="s">
        <v>354</v>
      </c>
      <c r="L5071">
        <v>6</v>
      </c>
      <c r="M5071" t="s">
        <v>21085</v>
      </c>
      <c r="N5071" t="s">
        <v>685</v>
      </c>
      <c r="O5071" t="s">
        <v>9477</v>
      </c>
      <c r="P5071" t="s">
        <v>9477</v>
      </c>
      <c r="Y5071" t="s">
        <v>21084</v>
      </c>
    </row>
    <row r="5072" spans="1:25">
      <c r="A5072" t="s">
        <v>21086</v>
      </c>
      <c r="B5072" t="s">
        <v>21087</v>
      </c>
      <c r="D5072" t="s">
        <v>9473</v>
      </c>
      <c r="E5072" t="s">
        <v>9474</v>
      </c>
      <c r="J5072" t="s">
        <v>353</v>
      </c>
      <c r="K5072" t="s">
        <v>354</v>
      </c>
      <c r="L5072">
        <v>6</v>
      </c>
      <c r="M5072" t="s">
        <v>21088</v>
      </c>
      <c r="N5072" t="s">
        <v>685</v>
      </c>
      <c r="O5072" t="s">
        <v>9477</v>
      </c>
      <c r="P5072" t="s">
        <v>9477</v>
      </c>
      <c r="Y5072" t="s">
        <v>21089</v>
      </c>
    </row>
    <row r="5073" spans="1:25">
      <c r="A5073" t="s">
        <v>21090</v>
      </c>
      <c r="B5073" t="s">
        <v>21091</v>
      </c>
      <c r="D5073" t="s">
        <v>9473</v>
      </c>
      <c r="E5073" t="s">
        <v>9474</v>
      </c>
      <c r="J5073" t="s">
        <v>54</v>
      </c>
      <c r="K5073" t="s">
        <v>55</v>
      </c>
      <c r="L5073">
        <v>6</v>
      </c>
      <c r="M5073" t="s">
        <v>21092</v>
      </c>
      <c r="N5073" t="s">
        <v>47</v>
      </c>
      <c r="O5073" t="s">
        <v>9477</v>
      </c>
      <c r="P5073" t="s">
        <v>9477</v>
      </c>
      <c r="Y5073" t="s">
        <v>21093</v>
      </c>
    </row>
    <row r="5074" spans="1:25">
      <c r="A5074" t="s">
        <v>21094</v>
      </c>
      <c r="B5074" t="s">
        <v>21095</v>
      </c>
      <c r="D5074" t="s">
        <v>9473</v>
      </c>
      <c r="E5074" t="s">
        <v>9474</v>
      </c>
      <c r="H5074" t="s">
        <v>21096</v>
      </c>
      <c r="J5074" t="s">
        <v>54</v>
      </c>
      <c r="K5074" t="s">
        <v>55</v>
      </c>
      <c r="L5074">
        <v>6</v>
      </c>
      <c r="M5074" t="s">
        <v>21097</v>
      </c>
      <c r="N5074" t="s">
        <v>47</v>
      </c>
      <c r="O5074" t="s">
        <v>9477</v>
      </c>
      <c r="P5074" t="s">
        <v>9477</v>
      </c>
      <c r="Y5074" t="s">
        <v>21096</v>
      </c>
    </row>
    <row r="5075" spans="1:25">
      <c r="A5075" t="s">
        <v>21098</v>
      </c>
      <c r="B5075" t="s">
        <v>21099</v>
      </c>
      <c r="D5075" t="s">
        <v>9473</v>
      </c>
      <c r="E5075" t="s">
        <v>9474</v>
      </c>
      <c r="J5075" t="s">
        <v>90</v>
      </c>
      <c r="K5075" t="s">
        <v>91</v>
      </c>
      <c r="L5075">
        <v>6</v>
      </c>
      <c r="M5075" t="s">
        <v>21100</v>
      </c>
      <c r="N5075" t="s">
        <v>47</v>
      </c>
      <c r="O5075" t="s">
        <v>9477</v>
      </c>
      <c r="P5075" t="s">
        <v>9477</v>
      </c>
      <c r="Y5075" t="s">
        <v>21101</v>
      </c>
    </row>
    <row r="5076" spans="1:25">
      <c r="A5076" t="s">
        <v>21102</v>
      </c>
      <c r="B5076" t="s">
        <v>21103</v>
      </c>
      <c r="D5076" t="s">
        <v>9473</v>
      </c>
      <c r="E5076" t="s">
        <v>9474</v>
      </c>
      <c r="H5076" t="s">
        <v>21104</v>
      </c>
      <c r="J5076" t="s">
        <v>78</v>
      </c>
      <c r="K5076" t="s">
        <v>79</v>
      </c>
      <c r="L5076">
        <v>6</v>
      </c>
      <c r="M5076" t="s">
        <v>21105</v>
      </c>
      <c r="N5076" t="s">
        <v>47</v>
      </c>
      <c r="O5076" t="s">
        <v>9477</v>
      </c>
      <c r="P5076" t="s">
        <v>9477</v>
      </c>
      <c r="Y5076" t="s">
        <v>21104</v>
      </c>
    </row>
    <row r="5077" spans="1:25">
      <c r="A5077" t="s">
        <v>21106</v>
      </c>
      <c r="B5077" t="s">
        <v>21107</v>
      </c>
      <c r="D5077" t="s">
        <v>9473</v>
      </c>
      <c r="E5077" t="s">
        <v>9474</v>
      </c>
      <c r="J5077" t="s">
        <v>44</v>
      </c>
      <c r="K5077" t="s">
        <v>45</v>
      </c>
      <c r="L5077">
        <v>6</v>
      </c>
      <c r="M5077" t="s">
        <v>21105</v>
      </c>
      <c r="N5077" t="s">
        <v>47</v>
      </c>
      <c r="O5077" t="s">
        <v>9477</v>
      </c>
      <c r="P5077" t="s">
        <v>9477</v>
      </c>
      <c r="Y5077" t="s">
        <v>21108</v>
      </c>
    </row>
    <row r="5078" spans="1:25">
      <c r="A5078" t="s">
        <v>21109</v>
      </c>
      <c r="B5078" t="s">
        <v>21110</v>
      </c>
      <c r="D5078" t="s">
        <v>9473</v>
      </c>
      <c r="E5078" t="s">
        <v>9474</v>
      </c>
      <c r="H5078" t="s">
        <v>21111</v>
      </c>
      <c r="J5078" t="s">
        <v>78</v>
      </c>
      <c r="K5078" t="s">
        <v>79</v>
      </c>
      <c r="L5078">
        <v>6</v>
      </c>
      <c r="M5078" t="s">
        <v>21112</v>
      </c>
      <c r="N5078" t="s">
        <v>47</v>
      </c>
      <c r="O5078" t="s">
        <v>9477</v>
      </c>
      <c r="P5078" t="s">
        <v>9477</v>
      </c>
      <c r="Y5078" t="s">
        <v>21111</v>
      </c>
    </row>
    <row r="5079" spans="1:25">
      <c r="A5079" t="s">
        <v>21113</v>
      </c>
      <c r="B5079" t="s">
        <v>21114</v>
      </c>
      <c r="D5079" t="s">
        <v>9473</v>
      </c>
      <c r="E5079" t="s">
        <v>9474</v>
      </c>
      <c r="J5079" t="s">
        <v>90</v>
      </c>
      <c r="K5079" t="s">
        <v>91</v>
      </c>
      <c r="L5079">
        <v>6</v>
      </c>
      <c r="M5079" t="s">
        <v>21115</v>
      </c>
      <c r="N5079" t="s">
        <v>47</v>
      </c>
      <c r="O5079" t="s">
        <v>9477</v>
      </c>
      <c r="P5079" t="s">
        <v>9477</v>
      </c>
      <c r="Y5079" t="s">
        <v>21116</v>
      </c>
    </row>
    <row r="5080" spans="1:25">
      <c r="A5080" t="s">
        <v>21117</v>
      </c>
      <c r="B5080" t="s">
        <v>21118</v>
      </c>
      <c r="D5080" t="s">
        <v>9473</v>
      </c>
      <c r="E5080" t="s">
        <v>9474</v>
      </c>
      <c r="J5080" t="s">
        <v>90</v>
      </c>
      <c r="K5080" t="s">
        <v>91</v>
      </c>
      <c r="L5080">
        <v>6</v>
      </c>
      <c r="M5080" t="s">
        <v>21119</v>
      </c>
      <c r="N5080" t="s">
        <v>47</v>
      </c>
      <c r="O5080" t="s">
        <v>9477</v>
      </c>
      <c r="P5080" t="s">
        <v>9477</v>
      </c>
      <c r="Y5080" t="s">
        <v>21120</v>
      </c>
    </row>
    <row r="5081" spans="1:25">
      <c r="A5081" t="s">
        <v>21121</v>
      </c>
      <c r="B5081" t="s">
        <v>21122</v>
      </c>
      <c r="D5081" t="s">
        <v>9473</v>
      </c>
      <c r="E5081" t="s">
        <v>9474</v>
      </c>
      <c r="J5081" t="s">
        <v>133</v>
      </c>
      <c r="K5081" t="s">
        <v>134</v>
      </c>
      <c r="L5081">
        <v>6</v>
      </c>
      <c r="M5081" t="s">
        <v>21119</v>
      </c>
      <c r="N5081" t="s">
        <v>135</v>
      </c>
      <c r="O5081" t="s">
        <v>9477</v>
      </c>
      <c r="P5081" t="s">
        <v>9477</v>
      </c>
      <c r="Y5081" t="s">
        <v>21123</v>
      </c>
    </row>
    <row r="5082" spans="1:25">
      <c r="A5082" t="s">
        <v>21124</v>
      </c>
      <c r="B5082" t="s">
        <v>21125</v>
      </c>
      <c r="D5082" t="s">
        <v>9473</v>
      </c>
      <c r="E5082" t="s">
        <v>9474</v>
      </c>
      <c r="J5082" t="s">
        <v>90</v>
      </c>
      <c r="K5082" t="s">
        <v>91</v>
      </c>
      <c r="L5082">
        <v>6</v>
      </c>
      <c r="M5082" t="s">
        <v>21126</v>
      </c>
      <c r="N5082" t="s">
        <v>47</v>
      </c>
      <c r="O5082" t="s">
        <v>9477</v>
      </c>
      <c r="P5082" t="s">
        <v>9477</v>
      </c>
      <c r="Y5082" t="s">
        <v>21127</v>
      </c>
    </row>
    <row r="5083" spans="1:25">
      <c r="A5083" t="s">
        <v>21128</v>
      </c>
      <c r="B5083" t="s">
        <v>21129</v>
      </c>
      <c r="D5083" t="s">
        <v>9473</v>
      </c>
      <c r="E5083" t="s">
        <v>9474</v>
      </c>
      <c r="J5083" t="s">
        <v>44</v>
      </c>
      <c r="K5083" t="s">
        <v>45</v>
      </c>
      <c r="L5083">
        <v>6</v>
      </c>
      <c r="M5083" t="s">
        <v>21130</v>
      </c>
      <c r="N5083" t="s">
        <v>47</v>
      </c>
      <c r="O5083" t="s">
        <v>9477</v>
      </c>
      <c r="P5083" t="s">
        <v>9477</v>
      </c>
      <c r="Y5083" t="s">
        <v>21131</v>
      </c>
    </row>
    <row r="5084" spans="1:25">
      <c r="A5084" t="s">
        <v>21132</v>
      </c>
      <c r="B5084" t="s">
        <v>21133</v>
      </c>
      <c r="D5084" t="s">
        <v>9473</v>
      </c>
      <c r="E5084" t="s">
        <v>9474</v>
      </c>
      <c r="H5084" t="s">
        <v>21134</v>
      </c>
      <c r="J5084" t="s">
        <v>541</v>
      </c>
      <c r="K5084" t="s">
        <v>542</v>
      </c>
      <c r="L5084">
        <v>6</v>
      </c>
      <c r="M5084" t="s">
        <v>21130</v>
      </c>
      <c r="N5084" t="s">
        <v>290</v>
      </c>
      <c r="O5084" t="s">
        <v>9477</v>
      </c>
      <c r="P5084" t="s">
        <v>9477</v>
      </c>
      <c r="Y5084" t="s">
        <v>21134</v>
      </c>
    </row>
    <row r="5085" spans="1:25">
      <c r="A5085" t="s">
        <v>21135</v>
      </c>
      <c r="B5085" t="s">
        <v>21136</v>
      </c>
      <c r="D5085" t="s">
        <v>9473</v>
      </c>
      <c r="E5085" t="s">
        <v>9474</v>
      </c>
      <c r="J5085" t="s">
        <v>90</v>
      </c>
      <c r="K5085" t="s">
        <v>91</v>
      </c>
      <c r="L5085">
        <v>6</v>
      </c>
      <c r="M5085" t="s">
        <v>21130</v>
      </c>
      <c r="N5085" t="s">
        <v>47</v>
      </c>
      <c r="O5085" t="s">
        <v>9477</v>
      </c>
      <c r="P5085" t="s">
        <v>9477</v>
      </c>
      <c r="Y5085" t="s">
        <v>21137</v>
      </c>
    </row>
    <row r="5086" spans="1:25">
      <c r="A5086" t="s">
        <v>21138</v>
      </c>
      <c r="B5086" t="s">
        <v>21139</v>
      </c>
      <c r="D5086" t="s">
        <v>9473</v>
      </c>
      <c r="E5086" t="s">
        <v>9474</v>
      </c>
      <c r="J5086" t="s">
        <v>90</v>
      </c>
      <c r="K5086" t="s">
        <v>91</v>
      </c>
      <c r="L5086">
        <v>6</v>
      </c>
      <c r="M5086" t="s">
        <v>21130</v>
      </c>
      <c r="N5086" t="s">
        <v>47</v>
      </c>
      <c r="O5086" t="s">
        <v>9477</v>
      </c>
      <c r="P5086" t="s">
        <v>9477</v>
      </c>
      <c r="Y5086" t="s">
        <v>21140</v>
      </c>
    </row>
    <row r="5087" spans="1:25">
      <c r="A5087" t="s">
        <v>21141</v>
      </c>
      <c r="B5087" t="s">
        <v>21142</v>
      </c>
      <c r="D5087" t="s">
        <v>9473</v>
      </c>
      <c r="E5087" t="s">
        <v>9474</v>
      </c>
      <c r="J5087" t="s">
        <v>54</v>
      </c>
      <c r="K5087" t="s">
        <v>55</v>
      </c>
      <c r="L5087">
        <v>6</v>
      </c>
      <c r="M5087" t="s">
        <v>21143</v>
      </c>
      <c r="N5087" t="s">
        <v>47</v>
      </c>
      <c r="O5087" t="s">
        <v>9477</v>
      </c>
      <c r="P5087" t="s">
        <v>9477</v>
      </c>
      <c r="Y5087" t="s">
        <v>21144</v>
      </c>
    </row>
    <row r="5088" spans="1:25">
      <c r="A5088" t="s">
        <v>21145</v>
      </c>
      <c r="B5088" t="s">
        <v>21146</v>
      </c>
      <c r="D5088" t="s">
        <v>9473</v>
      </c>
      <c r="E5088" t="s">
        <v>9474</v>
      </c>
      <c r="H5088" t="s">
        <v>21147</v>
      </c>
      <c r="J5088" t="s">
        <v>90</v>
      </c>
      <c r="K5088" t="s">
        <v>91</v>
      </c>
      <c r="L5088">
        <v>6</v>
      </c>
      <c r="M5088" t="s">
        <v>21148</v>
      </c>
      <c r="N5088" t="s">
        <v>47</v>
      </c>
      <c r="O5088" t="s">
        <v>9477</v>
      </c>
      <c r="P5088" t="s">
        <v>9477</v>
      </c>
      <c r="Y5088" t="s">
        <v>21147</v>
      </c>
    </row>
    <row r="5089" spans="1:25">
      <c r="A5089" t="s">
        <v>21149</v>
      </c>
      <c r="B5089" t="s">
        <v>21150</v>
      </c>
      <c r="D5089" t="s">
        <v>9473</v>
      </c>
      <c r="E5089" t="s">
        <v>9474</v>
      </c>
      <c r="J5089" t="s">
        <v>54</v>
      </c>
      <c r="K5089" t="s">
        <v>55</v>
      </c>
      <c r="L5089">
        <v>6</v>
      </c>
      <c r="M5089" t="s">
        <v>21151</v>
      </c>
      <c r="N5089" t="s">
        <v>47</v>
      </c>
      <c r="O5089" t="s">
        <v>9477</v>
      </c>
      <c r="P5089" t="s">
        <v>9477</v>
      </c>
      <c r="Y5089" t="s">
        <v>21152</v>
      </c>
    </row>
    <row r="5090" spans="1:25">
      <c r="A5090" t="s">
        <v>21153</v>
      </c>
      <c r="B5090" t="s">
        <v>21154</v>
      </c>
      <c r="D5090" t="s">
        <v>9473</v>
      </c>
      <c r="E5090" t="s">
        <v>9474</v>
      </c>
      <c r="H5090" t="s">
        <v>21155</v>
      </c>
      <c r="J5090" t="s">
        <v>90</v>
      </c>
      <c r="K5090" t="s">
        <v>91</v>
      </c>
      <c r="L5090">
        <v>6</v>
      </c>
      <c r="M5090" t="s">
        <v>21156</v>
      </c>
      <c r="N5090" t="s">
        <v>47</v>
      </c>
      <c r="O5090" t="s">
        <v>9477</v>
      </c>
      <c r="P5090" t="s">
        <v>9477</v>
      </c>
      <c r="Y5090" t="s">
        <v>21155</v>
      </c>
    </row>
    <row r="5091" spans="1:25">
      <c r="A5091" t="s">
        <v>21157</v>
      </c>
      <c r="B5091" t="s">
        <v>21158</v>
      </c>
      <c r="D5091" t="s">
        <v>9473</v>
      </c>
      <c r="E5091" t="s">
        <v>9474</v>
      </c>
      <c r="J5091" t="s">
        <v>54</v>
      </c>
      <c r="K5091" t="s">
        <v>55</v>
      </c>
      <c r="L5091">
        <v>6</v>
      </c>
      <c r="M5091" t="s">
        <v>21159</v>
      </c>
      <c r="N5091" t="s">
        <v>47</v>
      </c>
      <c r="O5091" t="s">
        <v>9477</v>
      </c>
      <c r="P5091" t="s">
        <v>9477</v>
      </c>
      <c r="Y5091" t="s">
        <v>21160</v>
      </c>
    </row>
    <row r="5092" spans="1:25">
      <c r="A5092" t="s">
        <v>21161</v>
      </c>
      <c r="B5092" t="s">
        <v>21162</v>
      </c>
      <c r="D5092" t="s">
        <v>9473</v>
      </c>
      <c r="E5092" t="s">
        <v>9474</v>
      </c>
      <c r="J5092" t="s">
        <v>44</v>
      </c>
      <c r="K5092" t="s">
        <v>45</v>
      </c>
      <c r="L5092">
        <v>6</v>
      </c>
      <c r="M5092" t="s">
        <v>21159</v>
      </c>
      <c r="N5092" t="s">
        <v>47</v>
      </c>
      <c r="O5092" t="s">
        <v>9477</v>
      </c>
      <c r="P5092" t="s">
        <v>9477</v>
      </c>
      <c r="Y5092" t="s">
        <v>21163</v>
      </c>
    </row>
    <row r="5093" spans="1:25">
      <c r="A5093" t="s">
        <v>21164</v>
      </c>
      <c r="B5093" t="s">
        <v>21165</v>
      </c>
      <c r="D5093" t="s">
        <v>9473</v>
      </c>
      <c r="E5093" t="s">
        <v>9474</v>
      </c>
      <c r="H5093" t="s">
        <v>21166</v>
      </c>
      <c r="J5093" t="s">
        <v>90</v>
      </c>
      <c r="K5093" t="s">
        <v>91</v>
      </c>
      <c r="L5093">
        <v>6</v>
      </c>
      <c r="M5093" t="s">
        <v>21159</v>
      </c>
      <c r="N5093" t="s">
        <v>47</v>
      </c>
      <c r="O5093" t="s">
        <v>9477</v>
      </c>
      <c r="P5093" t="s">
        <v>9477</v>
      </c>
      <c r="Y5093" t="s">
        <v>21166</v>
      </c>
    </row>
    <row r="5094" spans="1:25">
      <c r="A5094" t="s">
        <v>21167</v>
      </c>
      <c r="B5094" t="s">
        <v>21168</v>
      </c>
      <c r="D5094" t="s">
        <v>9473</v>
      </c>
      <c r="E5094" t="s">
        <v>9474</v>
      </c>
      <c r="J5094" t="s">
        <v>54</v>
      </c>
      <c r="K5094" t="s">
        <v>55</v>
      </c>
      <c r="L5094">
        <v>6</v>
      </c>
      <c r="M5094" t="s">
        <v>21159</v>
      </c>
      <c r="N5094" t="s">
        <v>47</v>
      </c>
      <c r="O5094" t="s">
        <v>9477</v>
      </c>
      <c r="P5094" t="s">
        <v>9477</v>
      </c>
      <c r="Y5094" t="s">
        <v>21169</v>
      </c>
    </row>
    <row r="5095" spans="1:25">
      <c r="A5095" t="s">
        <v>21170</v>
      </c>
      <c r="B5095" t="s">
        <v>21171</v>
      </c>
      <c r="D5095" t="s">
        <v>9473</v>
      </c>
      <c r="E5095" t="s">
        <v>9474</v>
      </c>
      <c r="H5095" t="s">
        <v>21172</v>
      </c>
      <c r="J5095" t="s">
        <v>90</v>
      </c>
      <c r="K5095" t="s">
        <v>91</v>
      </c>
      <c r="L5095">
        <v>6</v>
      </c>
      <c r="M5095" t="s">
        <v>21173</v>
      </c>
      <c r="N5095" t="s">
        <v>47</v>
      </c>
      <c r="O5095" t="s">
        <v>9477</v>
      </c>
      <c r="P5095" t="s">
        <v>9477</v>
      </c>
      <c r="Y5095" t="s">
        <v>21172</v>
      </c>
    </row>
    <row r="5096" spans="1:25">
      <c r="A5096" t="s">
        <v>21174</v>
      </c>
      <c r="B5096" t="s">
        <v>21175</v>
      </c>
      <c r="D5096" t="s">
        <v>9473</v>
      </c>
      <c r="E5096" t="s">
        <v>9474</v>
      </c>
      <c r="H5096" t="s">
        <v>21176</v>
      </c>
      <c r="J5096" t="s">
        <v>133</v>
      </c>
      <c r="K5096" t="s">
        <v>134</v>
      </c>
      <c r="L5096">
        <v>6</v>
      </c>
      <c r="M5096" t="s">
        <v>21177</v>
      </c>
      <c r="N5096" t="s">
        <v>135</v>
      </c>
      <c r="O5096" t="s">
        <v>9477</v>
      </c>
      <c r="P5096" t="s">
        <v>9477</v>
      </c>
      <c r="Y5096" t="s">
        <v>21176</v>
      </c>
    </row>
    <row r="5097" spans="1:25">
      <c r="A5097" t="s">
        <v>21178</v>
      </c>
      <c r="B5097" t="s">
        <v>21179</v>
      </c>
      <c r="D5097" t="s">
        <v>9473</v>
      </c>
      <c r="E5097" t="s">
        <v>9474</v>
      </c>
      <c r="J5097" t="s">
        <v>90</v>
      </c>
      <c r="K5097" t="s">
        <v>91</v>
      </c>
      <c r="L5097">
        <v>6</v>
      </c>
      <c r="M5097" t="s">
        <v>21180</v>
      </c>
      <c r="N5097" t="s">
        <v>47</v>
      </c>
      <c r="O5097" t="s">
        <v>9477</v>
      </c>
      <c r="P5097" t="s">
        <v>9477</v>
      </c>
      <c r="Y5097" t="s">
        <v>21181</v>
      </c>
    </row>
    <row r="5098" spans="1:25">
      <c r="A5098" t="s">
        <v>21182</v>
      </c>
      <c r="B5098" t="s">
        <v>21183</v>
      </c>
      <c r="D5098" t="s">
        <v>9473</v>
      </c>
      <c r="E5098" t="s">
        <v>9474</v>
      </c>
      <c r="J5098" t="s">
        <v>371</v>
      </c>
      <c r="K5098" t="s">
        <v>372</v>
      </c>
      <c r="L5098">
        <v>6</v>
      </c>
      <c r="M5098" t="s">
        <v>21180</v>
      </c>
      <c r="N5098" t="s">
        <v>47</v>
      </c>
      <c r="O5098" t="s">
        <v>9477</v>
      </c>
      <c r="P5098" t="s">
        <v>9477</v>
      </c>
      <c r="Y5098" t="s">
        <v>21184</v>
      </c>
    </row>
    <row r="5099" spans="1:25">
      <c r="A5099" t="s">
        <v>21185</v>
      </c>
      <c r="B5099" t="s">
        <v>21186</v>
      </c>
      <c r="D5099" t="s">
        <v>9473</v>
      </c>
      <c r="E5099" t="s">
        <v>9474</v>
      </c>
      <c r="J5099" t="s">
        <v>90</v>
      </c>
      <c r="K5099" t="s">
        <v>91</v>
      </c>
      <c r="L5099">
        <v>6</v>
      </c>
      <c r="M5099" t="s">
        <v>21180</v>
      </c>
      <c r="N5099" t="s">
        <v>47</v>
      </c>
      <c r="O5099" t="s">
        <v>9477</v>
      </c>
      <c r="P5099" t="s">
        <v>9477</v>
      </c>
      <c r="Y5099" t="s">
        <v>21187</v>
      </c>
    </row>
    <row r="5100" spans="1:25">
      <c r="A5100" t="s">
        <v>21188</v>
      </c>
      <c r="B5100" t="s">
        <v>21189</v>
      </c>
      <c r="D5100" t="s">
        <v>9473</v>
      </c>
      <c r="E5100" t="s">
        <v>9474</v>
      </c>
      <c r="J5100" t="s">
        <v>90</v>
      </c>
      <c r="K5100" t="s">
        <v>91</v>
      </c>
      <c r="L5100">
        <v>6</v>
      </c>
      <c r="M5100" t="s">
        <v>21180</v>
      </c>
      <c r="N5100" t="s">
        <v>47</v>
      </c>
      <c r="O5100" t="s">
        <v>9477</v>
      </c>
      <c r="P5100" t="s">
        <v>9477</v>
      </c>
      <c r="Y5100" t="s">
        <v>21190</v>
      </c>
    </row>
    <row r="5101" spans="1:25">
      <c r="A5101" t="s">
        <v>21191</v>
      </c>
      <c r="B5101" t="s">
        <v>21192</v>
      </c>
      <c r="D5101" t="s">
        <v>9473</v>
      </c>
      <c r="E5101" t="s">
        <v>9474</v>
      </c>
      <c r="J5101" t="s">
        <v>90</v>
      </c>
      <c r="K5101" t="s">
        <v>91</v>
      </c>
      <c r="L5101">
        <v>6</v>
      </c>
      <c r="M5101" t="s">
        <v>21193</v>
      </c>
      <c r="N5101" t="s">
        <v>47</v>
      </c>
      <c r="O5101" t="s">
        <v>9477</v>
      </c>
      <c r="P5101" t="s">
        <v>9477</v>
      </c>
      <c r="Y5101" t="s">
        <v>21194</v>
      </c>
    </row>
    <row r="5102" spans="1:25">
      <c r="A5102" t="s">
        <v>21195</v>
      </c>
      <c r="B5102" t="s">
        <v>21196</v>
      </c>
      <c r="D5102" t="s">
        <v>9473</v>
      </c>
      <c r="E5102" t="s">
        <v>9474</v>
      </c>
      <c r="H5102" t="s">
        <v>21197</v>
      </c>
      <c r="J5102" t="s">
        <v>90</v>
      </c>
      <c r="K5102" t="s">
        <v>91</v>
      </c>
      <c r="L5102">
        <v>6</v>
      </c>
      <c r="M5102" t="s">
        <v>21193</v>
      </c>
      <c r="N5102" t="s">
        <v>47</v>
      </c>
      <c r="O5102" t="s">
        <v>9477</v>
      </c>
      <c r="P5102" t="s">
        <v>9477</v>
      </c>
      <c r="Y5102" t="s">
        <v>21197</v>
      </c>
    </row>
    <row r="5103" spans="1:25">
      <c r="A5103" t="s">
        <v>21198</v>
      </c>
      <c r="B5103" t="s">
        <v>21199</v>
      </c>
      <c r="D5103" t="s">
        <v>9473</v>
      </c>
      <c r="E5103" t="s">
        <v>9474</v>
      </c>
      <c r="J5103" t="s">
        <v>90</v>
      </c>
      <c r="K5103" t="s">
        <v>91</v>
      </c>
      <c r="L5103">
        <v>6</v>
      </c>
      <c r="M5103" t="s">
        <v>21200</v>
      </c>
      <c r="N5103" t="s">
        <v>47</v>
      </c>
      <c r="O5103" t="s">
        <v>9477</v>
      </c>
      <c r="P5103" t="s">
        <v>9477</v>
      </c>
      <c r="Y5103" t="s">
        <v>21201</v>
      </c>
    </row>
    <row r="5104" spans="1:25">
      <c r="A5104" t="s">
        <v>21202</v>
      </c>
      <c r="B5104" t="s">
        <v>21203</v>
      </c>
      <c r="D5104" t="s">
        <v>9473</v>
      </c>
      <c r="E5104" t="s">
        <v>9474</v>
      </c>
      <c r="J5104" t="s">
        <v>90</v>
      </c>
      <c r="K5104" t="s">
        <v>91</v>
      </c>
      <c r="L5104">
        <v>6</v>
      </c>
      <c r="M5104" t="s">
        <v>21204</v>
      </c>
      <c r="N5104" t="s">
        <v>47</v>
      </c>
      <c r="O5104" t="s">
        <v>9477</v>
      </c>
      <c r="P5104" t="s">
        <v>9477</v>
      </c>
      <c r="Y5104" t="s">
        <v>21205</v>
      </c>
    </row>
    <row r="5105" spans="1:25">
      <c r="A5105" t="s">
        <v>21206</v>
      </c>
      <c r="B5105" t="s">
        <v>21207</v>
      </c>
      <c r="D5105" t="s">
        <v>9473</v>
      </c>
      <c r="E5105" t="s">
        <v>9474</v>
      </c>
      <c r="J5105" t="s">
        <v>44</v>
      </c>
      <c r="K5105" t="s">
        <v>45</v>
      </c>
      <c r="L5105">
        <v>6</v>
      </c>
      <c r="M5105" t="s">
        <v>21208</v>
      </c>
      <c r="N5105" t="s">
        <v>47</v>
      </c>
      <c r="O5105" t="s">
        <v>9477</v>
      </c>
      <c r="P5105" t="s">
        <v>9477</v>
      </c>
      <c r="Y5105" t="s">
        <v>21209</v>
      </c>
    </row>
    <row r="5106" spans="1:25">
      <c r="A5106" t="s">
        <v>21210</v>
      </c>
      <c r="B5106" t="s">
        <v>21211</v>
      </c>
      <c r="D5106" t="s">
        <v>9473</v>
      </c>
      <c r="E5106" t="s">
        <v>9474</v>
      </c>
      <c r="J5106" t="s">
        <v>353</v>
      </c>
      <c r="K5106" t="s">
        <v>354</v>
      </c>
      <c r="L5106">
        <v>6</v>
      </c>
      <c r="M5106" t="s">
        <v>21212</v>
      </c>
      <c r="N5106" t="s">
        <v>685</v>
      </c>
      <c r="O5106" t="s">
        <v>9477</v>
      </c>
      <c r="P5106" t="s">
        <v>9477</v>
      </c>
      <c r="Y5106" t="s">
        <v>21213</v>
      </c>
    </row>
    <row r="5107" spans="1:25">
      <c r="A5107" t="s">
        <v>21214</v>
      </c>
      <c r="B5107" t="s">
        <v>21215</v>
      </c>
      <c r="D5107" t="s">
        <v>9473</v>
      </c>
      <c r="E5107" t="s">
        <v>9474</v>
      </c>
      <c r="J5107" t="s">
        <v>54</v>
      </c>
      <c r="K5107" t="s">
        <v>55</v>
      </c>
      <c r="L5107">
        <v>6</v>
      </c>
      <c r="M5107" t="s">
        <v>21212</v>
      </c>
      <c r="N5107" t="s">
        <v>47</v>
      </c>
      <c r="O5107" t="s">
        <v>9477</v>
      </c>
      <c r="P5107" t="s">
        <v>9477</v>
      </c>
      <c r="Y5107" t="s">
        <v>21216</v>
      </c>
    </row>
    <row r="5108" spans="1:25">
      <c r="A5108" t="s">
        <v>21217</v>
      </c>
      <c r="B5108" t="s">
        <v>21218</v>
      </c>
      <c r="D5108" t="s">
        <v>9473</v>
      </c>
      <c r="E5108" t="s">
        <v>9474</v>
      </c>
      <c r="J5108" t="s">
        <v>44</v>
      </c>
      <c r="K5108" t="s">
        <v>45</v>
      </c>
      <c r="L5108">
        <v>6</v>
      </c>
      <c r="M5108" t="s">
        <v>21219</v>
      </c>
      <c r="N5108" t="s">
        <v>47</v>
      </c>
      <c r="O5108" t="s">
        <v>9477</v>
      </c>
      <c r="P5108" t="s">
        <v>9477</v>
      </c>
      <c r="Y5108" t="s">
        <v>21220</v>
      </c>
    </row>
    <row r="5109" spans="1:25">
      <c r="A5109" t="s">
        <v>21221</v>
      </c>
      <c r="B5109" t="s">
        <v>21222</v>
      </c>
      <c r="D5109" t="s">
        <v>9473</v>
      </c>
      <c r="E5109" t="s">
        <v>9474</v>
      </c>
      <c r="J5109" t="s">
        <v>54</v>
      </c>
      <c r="K5109" t="s">
        <v>55</v>
      </c>
      <c r="L5109">
        <v>6</v>
      </c>
      <c r="M5109" t="s">
        <v>21219</v>
      </c>
      <c r="N5109" t="s">
        <v>47</v>
      </c>
      <c r="O5109" t="s">
        <v>9477</v>
      </c>
      <c r="P5109" t="s">
        <v>9477</v>
      </c>
      <c r="Y5109" t="s">
        <v>21223</v>
      </c>
    </row>
    <row r="5110" spans="1:25">
      <c r="A5110" t="s">
        <v>21224</v>
      </c>
      <c r="B5110" t="s">
        <v>21225</v>
      </c>
      <c r="D5110" t="s">
        <v>9473</v>
      </c>
      <c r="E5110" t="s">
        <v>9474</v>
      </c>
      <c r="J5110" t="s">
        <v>6178</v>
      </c>
      <c r="K5110" t="s">
        <v>6179</v>
      </c>
      <c r="L5110">
        <v>7</v>
      </c>
      <c r="M5110" t="s">
        <v>21226</v>
      </c>
      <c r="N5110" t="s">
        <v>135</v>
      </c>
      <c r="O5110" t="s">
        <v>9477</v>
      </c>
      <c r="P5110" t="s">
        <v>9477</v>
      </c>
      <c r="Y5110" t="s">
        <v>21227</v>
      </c>
    </row>
    <row r="5111" spans="1:25">
      <c r="A5111" t="s">
        <v>21228</v>
      </c>
      <c r="B5111" t="s">
        <v>21229</v>
      </c>
      <c r="D5111" t="s">
        <v>9473</v>
      </c>
      <c r="E5111" t="s">
        <v>9474</v>
      </c>
      <c r="H5111" t="s">
        <v>21230</v>
      </c>
      <c r="J5111" t="s">
        <v>371</v>
      </c>
      <c r="K5111" t="s">
        <v>372</v>
      </c>
      <c r="L5111">
        <v>6</v>
      </c>
      <c r="M5111" t="s">
        <v>21226</v>
      </c>
      <c r="N5111" t="s">
        <v>47</v>
      </c>
      <c r="O5111" t="s">
        <v>9477</v>
      </c>
      <c r="P5111" t="s">
        <v>9477</v>
      </c>
      <c r="Y5111" t="s">
        <v>21230</v>
      </c>
    </row>
    <row r="5112" spans="1:25">
      <c r="A5112" t="s">
        <v>21231</v>
      </c>
      <c r="B5112" t="s">
        <v>21232</v>
      </c>
      <c r="D5112" t="s">
        <v>9473</v>
      </c>
      <c r="E5112" t="s">
        <v>9474</v>
      </c>
      <c r="H5112" t="s">
        <v>21233</v>
      </c>
      <c r="J5112" t="s">
        <v>90</v>
      </c>
      <c r="K5112" t="s">
        <v>91</v>
      </c>
      <c r="L5112">
        <v>6</v>
      </c>
      <c r="M5112" t="s">
        <v>21234</v>
      </c>
      <c r="N5112" t="s">
        <v>47</v>
      </c>
      <c r="O5112" t="s">
        <v>9477</v>
      </c>
      <c r="P5112" t="s">
        <v>9477</v>
      </c>
      <c r="Y5112" t="s">
        <v>21233</v>
      </c>
    </row>
    <row r="5113" spans="1:25">
      <c r="A5113" t="s">
        <v>21235</v>
      </c>
      <c r="B5113" t="s">
        <v>21236</v>
      </c>
      <c r="D5113" t="s">
        <v>9473</v>
      </c>
      <c r="E5113" t="s">
        <v>9474</v>
      </c>
      <c r="H5113" t="s">
        <v>21237</v>
      </c>
      <c r="J5113" t="s">
        <v>90</v>
      </c>
      <c r="K5113" t="s">
        <v>91</v>
      </c>
      <c r="L5113">
        <v>6</v>
      </c>
      <c r="M5113" t="s">
        <v>21234</v>
      </c>
      <c r="N5113" t="s">
        <v>47</v>
      </c>
      <c r="O5113" t="s">
        <v>9477</v>
      </c>
      <c r="P5113" t="s">
        <v>9477</v>
      </c>
      <c r="Y5113" t="s">
        <v>21237</v>
      </c>
    </row>
    <row r="5114" spans="1:25">
      <c r="A5114" t="s">
        <v>21238</v>
      </c>
      <c r="B5114" t="s">
        <v>21239</v>
      </c>
      <c r="D5114" t="s">
        <v>9473</v>
      </c>
      <c r="E5114" t="s">
        <v>9474</v>
      </c>
      <c r="H5114" t="s">
        <v>21240</v>
      </c>
      <c r="J5114" t="s">
        <v>90</v>
      </c>
      <c r="K5114" t="s">
        <v>91</v>
      </c>
      <c r="L5114">
        <v>6</v>
      </c>
      <c r="M5114" t="s">
        <v>21234</v>
      </c>
      <c r="N5114" t="s">
        <v>47</v>
      </c>
      <c r="O5114" t="s">
        <v>9477</v>
      </c>
      <c r="P5114" t="s">
        <v>9477</v>
      </c>
      <c r="Y5114" t="s">
        <v>21240</v>
      </c>
    </row>
    <row r="5115" spans="1:25">
      <c r="A5115" t="s">
        <v>21241</v>
      </c>
      <c r="B5115" t="s">
        <v>21242</v>
      </c>
      <c r="D5115" t="s">
        <v>9473</v>
      </c>
      <c r="E5115" t="s">
        <v>9474</v>
      </c>
      <c r="H5115" t="s">
        <v>21243</v>
      </c>
      <c r="J5115" t="s">
        <v>78</v>
      </c>
      <c r="K5115" t="s">
        <v>79</v>
      </c>
      <c r="L5115">
        <v>6</v>
      </c>
      <c r="M5115" t="s">
        <v>21244</v>
      </c>
      <c r="N5115" t="s">
        <v>47</v>
      </c>
      <c r="O5115" t="s">
        <v>9477</v>
      </c>
      <c r="P5115" t="s">
        <v>9477</v>
      </c>
      <c r="Y5115" t="s">
        <v>21243</v>
      </c>
    </row>
    <row r="5116" spans="1:25">
      <c r="A5116" t="s">
        <v>21245</v>
      </c>
      <c r="B5116" t="s">
        <v>21246</v>
      </c>
      <c r="D5116" t="s">
        <v>9473</v>
      </c>
      <c r="E5116" t="s">
        <v>9474</v>
      </c>
      <c r="H5116" t="s">
        <v>21247</v>
      </c>
      <c r="J5116" t="s">
        <v>90</v>
      </c>
      <c r="K5116" t="s">
        <v>91</v>
      </c>
      <c r="L5116">
        <v>6</v>
      </c>
      <c r="M5116" t="s">
        <v>21248</v>
      </c>
      <c r="N5116" t="s">
        <v>47</v>
      </c>
      <c r="O5116" t="s">
        <v>9477</v>
      </c>
      <c r="P5116" t="s">
        <v>9477</v>
      </c>
      <c r="Y5116" t="s">
        <v>21247</v>
      </c>
    </row>
    <row r="5117" spans="1:25">
      <c r="A5117" t="s">
        <v>21249</v>
      </c>
      <c r="B5117" t="s">
        <v>21250</v>
      </c>
      <c r="D5117" t="s">
        <v>9473</v>
      </c>
      <c r="E5117" t="s">
        <v>9474</v>
      </c>
      <c r="J5117" t="s">
        <v>78</v>
      </c>
      <c r="K5117" t="s">
        <v>79</v>
      </c>
      <c r="L5117">
        <v>6</v>
      </c>
      <c r="M5117" t="s">
        <v>21248</v>
      </c>
      <c r="N5117" t="s">
        <v>47</v>
      </c>
      <c r="O5117" t="s">
        <v>9477</v>
      </c>
      <c r="P5117" t="s">
        <v>9477</v>
      </c>
      <c r="Y5117" t="s">
        <v>21251</v>
      </c>
    </row>
    <row r="5118" spans="1:25">
      <c r="A5118" t="s">
        <v>21252</v>
      </c>
      <c r="B5118" t="s">
        <v>21253</v>
      </c>
      <c r="D5118" t="s">
        <v>9473</v>
      </c>
      <c r="E5118" t="s">
        <v>9474</v>
      </c>
      <c r="H5118" t="s">
        <v>21254</v>
      </c>
      <c r="J5118" t="s">
        <v>541</v>
      </c>
      <c r="K5118" t="s">
        <v>542</v>
      </c>
      <c r="L5118">
        <v>6</v>
      </c>
      <c r="M5118" t="s">
        <v>21248</v>
      </c>
      <c r="N5118" t="s">
        <v>685</v>
      </c>
      <c r="O5118" t="s">
        <v>9477</v>
      </c>
      <c r="P5118" t="s">
        <v>9477</v>
      </c>
      <c r="Y5118" t="s">
        <v>21254</v>
      </c>
    </row>
    <row r="5119" spans="1:25">
      <c r="A5119" t="s">
        <v>21255</v>
      </c>
      <c r="B5119" t="s">
        <v>21256</v>
      </c>
      <c r="D5119" t="s">
        <v>9473</v>
      </c>
      <c r="E5119" t="s">
        <v>9474</v>
      </c>
      <c r="H5119" t="s">
        <v>21257</v>
      </c>
      <c r="J5119" t="s">
        <v>234</v>
      </c>
      <c r="K5119" t="s">
        <v>235</v>
      </c>
      <c r="L5119">
        <v>6</v>
      </c>
      <c r="M5119" t="s">
        <v>21258</v>
      </c>
      <c r="N5119" t="s">
        <v>47</v>
      </c>
      <c r="O5119" t="s">
        <v>9477</v>
      </c>
      <c r="P5119" t="s">
        <v>9477</v>
      </c>
      <c r="Y5119" t="s">
        <v>21257</v>
      </c>
    </row>
    <row r="5120" spans="1:25">
      <c r="A5120" t="s">
        <v>21259</v>
      </c>
      <c r="B5120" t="s">
        <v>21260</v>
      </c>
      <c r="D5120" t="s">
        <v>9473</v>
      </c>
      <c r="E5120" t="s">
        <v>9474</v>
      </c>
      <c r="J5120" t="s">
        <v>44</v>
      </c>
      <c r="K5120" t="s">
        <v>45</v>
      </c>
      <c r="L5120">
        <v>6</v>
      </c>
      <c r="M5120" t="s">
        <v>21261</v>
      </c>
      <c r="N5120" t="s">
        <v>47</v>
      </c>
      <c r="O5120" t="s">
        <v>9477</v>
      </c>
      <c r="P5120" t="s">
        <v>9477</v>
      </c>
      <c r="Y5120" t="s">
        <v>21262</v>
      </c>
    </row>
    <row r="5121" spans="1:25">
      <c r="A5121" t="s">
        <v>21263</v>
      </c>
      <c r="B5121" t="s">
        <v>21264</v>
      </c>
      <c r="D5121" t="s">
        <v>9473</v>
      </c>
      <c r="E5121" t="s">
        <v>9474</v>
      </c>
      <c r="J5121" t="s">
        <v>54</v>
      </c>
      <c r="K5121" t="s">
        <v>55</v>
      </c>
      <c r="L5121">
        <v>6</v>
      </c>
      <c r="M5121" t="s">
        <v>21265</v>
      </c>
      <c r="N5121" t="s">
        <v>47</v>
      </c>
      <c r="O5121" t="s">
        <v>9477</v>
      </c>
      <c r="P5121" t="s">
        <v>9477</v>
      </c>
      <c r="Y5121" t="s">
        <v>21266</v>
      </c>
    </row>
    <row r="5122" spans="1:25">
      <c r="A5122" t="s">
        <v>21267</v>
      </c>
      <c r="B5122" t="s">
        <v>21268</v>
      </c>
      <c r="D5122" t="s">
        <v>9473</v>
      </c>
      <c r="E5122" t="s">
        <v>9474</v>
      </c>
      <c r="J5122" t="s">
        <v>90</v>
      </c>
      <c r="K5122" t="s">
        <v>91</v>
      </c>
      <c r="L5122">
        <v>6</v>
      </c>
      <c r="M5122" t="s">
        <v>21265</v>
      </c>
      <c r="N5122" t="s">
        <v>47</v>
      </c>
      <c r="O5122" t="s">
        <v>9477</v>
      </c>
      <c r="P5122" t="s">
        <v>9477</v>
      </c>
      <c r="Y5122" t="s">
        <v>21269</v>
      </c>
    </row>
    <row r="5123" spans="1:25">
      <c r="A5123" t="s">
        <v>21270</v>
      </c>
      <c r="B5123" t="s">
        <v>21271</v>
      </c>
      <c r="D5123" t="s">
        <v>9473</v>
      </c>
      <c r="E5123" t="s">
        <v>9474</v>
      </c>
      <c r="H5123" t="s">
        <v>21272</v>
      </c>
      <c r="J5123" t="s">
        <v>234</v>
      </c>
      <c r="K5123" t="s">
        <v>235</v>
      </c>
      <c r="L5123">
        <v>6</v>
      </c>
      <c r="M5123" t="s">
        <v>21273</v>
      </c>
      <c r="N5123" t="s">
        <v>47</v>
      </c>
      <c r="O5123" t="s">
        <v>9477</v>
      </c>
      <c r="P5123" t="s">
        <v>9477</v>
      </c>
      <c r="Y5123" t="s">
        <v>21272</v>
      </c>
    </row>
    <row r="5124" spans="1:25">
      <c r="A5124" t="s">
        <v>21274</v>
      </c>
      <c r="B5124" t="s">
        <v>21275</v>
      </c>
      <c r="D5124" t="s">
        <v>9473</v>
      </c>
      <c r="E5124" t="s">
        <v>9474</v>
      </c>
      <c r="J5124" t="s">
        <v>78</v>
      </c>
      <c r="K5124" t="s">
        <v>79</v>
      </c>
      <c r="L5124">
        <v>6</v>
      </c>
      <c r="M5124" t="s">
        <v>21276</v>
      </c>
      <c r="N5124" t="s">
        <v>47</v>
      </c>
      <c r="O5124" t="s">
        <v>9477</v>
      </c>
      <c r="P5124" t="s">
        <v>9477</v>
      </c>
      <c r="Y5124" t="s">
        <v>21277</v>
      </c>
    </row>
    <row r="5125" spans="1:25">
      <c r="A5125" t="s">
        <v>21278</v>
      </c>
      <c r="B5125" t="s">
        <v>21279</v>
      </c>
      <c r="D5125" t="s">
        <v>9473</v>
      </c>
      <c r="E5125" t="s">
        <v>9474</v>
      </c>
      <c r="J5125" t="s">
        <v>90</v>
      </c>
      <c r="K5125" t="s">
        <v>91</v>
      </c>
      <c r="L5125">
        <v>6</v>
      </c>
      <c r="M5125" t="s">
        <v>21276</v>
      </c>
      <c r="N5125" t="s">
        <v>47</v>
      </c>
      <c r="O5125" t="s">
        <v>9477</v>
      </c>
      <c r="P5125" t="s">
        <v>9477</v>
      </c>
      <c r="Y5125" t="s">
        <v>21280</v>
      </c>
    </row>
    <row r="5126" spans="1:25">
      <c r="A5126" t="s">
        <v>21281</v>
      </c>
      <c r="B5126" t="s">
        <v>21282</v>
      </c>
      <c r="D5126" t="s">
        <v>9473</v>
      </c>
      <c r="E5126" t="s">
        <v>9474</v>
      </c>
      <c r="H5126" t="s">
        <v>21283</v>
      </c>
      <c r="J5126" t="s">
        <v>78</v>
      </c>
      <c r="K5126" t="s">
        <v>79</v>
      </c>
      <c r="L5126">
        <v>6</v>
      </c>
      <c r="M5126" t="s">
        <v>21284</v>
      </c>
      <c r="N5126" t="s">
        <v>47</v>
      </c>
      <c r="O5126" t="s">
        <v>9477</v>
      </c>
      <c r="P5126" t="s">
        <v>9477</v>
      </c>
      <c r="Y5126" t="s">
        <v>21283</v>
      </c>
    </row>
    <row r="5127" spans="1:25">
      <c r="A5127" t="s">
        <v>21285</v>
      </c>
      <c r="B5127" t="s">
        <v>21286</v>
      </c>
      <c r="D5127" t="s">
        <v>9473</v>
      </c>
      <c r="E5127" t="s">
        <v>9474</v>
      </c>
      <c r="H5127" t="s">
        <v>21287</v>
      </c>
      <c r="J5127" t="s">
        <v>371</v>
      </c>
      <c r="K5127" t="s">
        <v>372</v>
      </c>
      <c r="L5127">
        <v>6</v>
      </c>
      <c r="M5127" t="s">
        <v>21288</v>
      </c>
      <c r="N5127" t="s">
        <v>47</v>
      </c>
      <c r="O5127" t="s">
        <v>9477</v>
      </c>
      <c r="P5127" t="s">
        <v>9477</v>
      </c>
      <c r="Y5127" t="s">
        <v>21287</v>
      </c>
    </row>
    <row r="5128" spans="1:25">
      <c r="A5128" t="s">
        <v>21289</v>
      </c>
      <c r="B5128" t="s">
        <v>21290</v>
      </c>
      <c r="D5128" t="s">
        <v>9473</v>
      </c>
      <c r="E5128" t="s">
        <v>9474</v>
      </c>
      <c r="J5128" t="s">
        <v>54</v>
      </c>
      <c r="K5128" t="s">
        <v>55</v>
      </c>
      <c r="L5128">
        <v>6</v>
      </c>
      <c r="M5128" t="s">
        <v>21288</v>
      </c>
      <c r="N5128" t="s">
        <v>47</v>
      </c>
      <c r="O5128" t="s">
        <v>9477</v>
      </c>
      <c r="P5128" t="s">
        <v>9477</v>
      </c>
      <c r="Y5128" t="s">
        <v>21291</v>
      </c>
    </row>
    <row r="5129" spans="1:25">
      <c r="A5129" t="s">
        <v>21292</v>
      </c>
      <c r="B5129" t="s">
        <v>21293</v>
      </c>
      <c r="D5129" t="s">
        <v>9473</v>
      </c>
      <c r="E5129" t="s">
        <v>9474</v>
      </c>
      <c r="J5129" t="s">
        <v>541</v>
      </c>
      <c r="K5129" t="s">
        <v>542</v>
      </c>
      <c r="L5129">
        <v>6</v>
      </c>
      <c r="M5129" t="s">
        <v>21288</v>
      </c>
      <c r="N5129" t="s">
        <v>290</v>
      </c>
      <c r="O5129" t="s">
        <v>9477</v>
      </c>
      <c r="P5129" t="s">
        <v>9477</v>
      </c>
      <c r="Y5129" t="s">
        <v>21294</v>
      </c>
    </row>
    <row r="5130" spans="1:25">
      <c r="A5130" t="s">
        <v>21295</v>
      </c>
      <c r="B5130" t="s">
        <v>21296</v>
      </c>
      <c r="D5130" t="s">
        <v>9473</v>
      </c>
      <c r="E5130" t="s">
        <v>9474</v>
      </c>
      <c r="J5130" t="s">
        <v>44</v>
      </c>
      <c r="K5130" t="s">
        <v>45</v>
      </c>
      <c r="L5130">
        <v>6</v>
      </c>
      <c r="M5130" t="s">
        <v>21288</v>
      </c>
      <c r="N5130" t="s">
        <v>47</v>
      </c>
      <c r="O5130" t="s">
        <v>9477</v>
      </c>
      <c r="P5130" t="s">
        <v>9477</v>
      </c>
      <c r="Y5130" t="s">
        <v>21297</v>
      </c>
    </row>
    <row r="5131" spans="1:25">
      <c r="A5131" t="s">
        <v>21298</v>
      </c>
      <c r="B5131" t="s">
        <v>21299</v>
      </c>
      <c r="D5131" t="s">
        <v>9473</v>
      </c>
      <c r="E5131" t="s">
        <v>9474</v>
      </c>
      <c r="H5131" t="s">
        <v>21300</v>
      </c>
      <c r="J5131" t="s">
        <v>44</v>
      </c>
      <c r="K5131" t="s">
        <v>45</v>
      </c>
      <c r="L5131">
        <v>6</v>
      </c>
      <c r="M5131" t="s">
        <v>21288</v>
      </c>
      <c r="N5131" t="s">
        <v>47</v>
      </c>
      <c r="O5131" t="s">
        <v>9477</v>
      </c>
      <c r="P5131" t="s">
        <v>9477</v>
      </c>
      <c r="Y5131" t="s">
        <v>21300</v>
      </c>
    </row>
    <row r="5132" spans="1:25">
      <c r="A5132" t="s">
        <v>21301</v>
      </c>
      <c r="B5132" t="s">
        <v>21302</v>
      </c>
      <c r="D5132" t="s">
        <v>9473</v>
      </c>
      <c r="E5132" t="s">
        <v>9474</v>
      </c>
      <c r="J5132" t="s">
        <v>90</v>
      </c>
      <c r="K5132" t="s">
        <v>91</v>
      </c>
      <c r="L5132">
        <v>6</v>
      </c>
      <c r="M5132" t="s">
        <v>21303</v>
      </c>
      <c r="N5132" t="s">
        <v>47</v>
      </c>
      <c r="O5132" t="s">
        <v>9477</v>
      </c>
      <c r="P5132" t="s">
        <v>9477</v>
      </c>
      <c r="Y5132" t="s">
        <v>21304</v>
      </c>
    </row>
    <row r="5133" spans="1:25">
      <c r="A5133" t="s">
        <v>21305</v>
      </c>
      <c r="B5133" t="s">
        <v>21306</v>
      </c>
      <c r="D5133" t="s">
        <v>9473</v>
      </c>
      <c r="E5133" t="s">
        <v>9474</v>
      </c>
      <c r="H5133" t="s">
        <v>21307</v>
      </c>
      <c r="J5133" t="s">
        <v>234</v>
      </c>
      <c r="K5133" t="s">
        <v>235</v>
      </c>
      <c r="L5133">
        <v>6</v>
      </c>
      <c r="M5133" t="s">
        <v>21308</v>
      </c>
      <c r="N5133" t="s">
        <v>47</v>
      </c>
      <c r="O5133" t="s">
        <v>9477</v>
      </c>
      <c r="P5133" t="s">
        <v>9477</v>
      </c>
      <c r="Y5133" t="s">
        <v>21307</v>
      </c>
    </row>
    <row r="5134" spans="1:25">
      <c r="A5134" t="s">
        <v>21309</v>
      </c>
      <c r="B5134" t="s">
        <v>21310</v>
      </c>
      <c r="D5134" t="s">
        <v>9473</v>
      </c>
      <c r="E5134" t="s">
        <v>9474</v>
      </c>
      <c r="H5134" t="s">
        <v>21311</v>
      </c>
      <c r="J5134" t="s">
        <v>234</v>
      </c>
      <c r="K5134" t="s">
        <v>235</v>
      </c>
      <c r="L5134">
        <v>6</v>
      </c>
      <c r="M5134" t="s">
        <v>21312</v>
      </c>
      <c r="N5134" t="s">
        <v>47</v>
      </c>
      <c r="O5134" t="s">
        <v>9477</v>
      </c>
      <c r="P5134" t="s">
        <v>9477</v>
      </c>
      <c r="Y5134" t="s">
        <v>21311</v>
      </c>
    </row>
    <row r="5135" spans="1:25">
      <c r="A5135" t="s">
        <v>21313</v>
      </c>
      <c r="B5135" t="s">
        <v>21314</v>
      </c>
      <c r="D5135" t="s">
        <v>9473</v>
      </c>
      <c r="E5135" t="s">
        <v>9474</v>
      </c>
      <c r="J5135" t="s">
        <v>90</v>
      </c>
      <c r="K5135" t="s">
        <v>91</v>
      </c>
      <c r="L5135">
        <v>6</v>
      </c>
      <c r="M5135" t="s">
        <v>21315</v>
      </c>
      <c r="N5135" t="s">
        <v>47</v>
      </c>
      <c r="O5135" t="s">
        <v>9477</v>
      </c>
      <c r="P5135" t="s">
        <v>9477</v>
      </c>
      <c r="Y5135" t="s">
        <v>21316</v>
      </c>
    </row>
    <row r="5136" spans="1:25">
      <c r="A5136" t="s">
        <v>21317</v>
      </c>
      <c r="B5136" t="s">
        <v>21318</v>
      </c>
      <c r="D5136" t="s">
        <v>9473</v>
      </c>
      <c r="E5136" t="s">
        <v>9474</v>
      </c>
      <c r="H5136" t="s">
        <v>21319</v>
      </c>
      <c r="J5136" t="s">
        <v>234</v>
      </c>
      <c r="K5136" t="s">
        <v>235</v>
      </c>
      <c r="L5136">
        <v>6</v>
      </c>
      <c r="M5136" t="s">
        <v>21320</v>
      </c>
      <c r="N5136" t="s">
        <v>47</v>
      </c>
      <c r="O5136" t="s">
        <v>9477</v>
      </c>
      <c r="P5136" t="s">
        <v>9477</v>
      </c>
      <c r="Y5136" t="s">
        <v>21319</v>
      </c>
    </row>
    <row r="5137" spans="1:25">
      <c r="A5137" t="s">
        <v>21321</v>
      </c>
      <c r="B5137" t="s">
        <v>21322</v>
      </c>
      <c r="D5137" t="s">
        <v>9473</v>
      </c>
      <c r="E5137" t="s">
        <v>9474</v>
      </c>
      <c r="H5137" t="s">
        <v>21323</v>
      </c>
      <c r="J5137" t="s">
        <v>90</v>
      </c>
      <c r="K5137" t="s">
        <v>91</v>
      </c>
      <c r="L5137">
        <v>6</v>
      </c>
      <c r="M5137" t="s">
        <v>21324</v>
      </c>
      <c r="N5137" t="s">
        <v>47</v>
      </c>
      <c r="O5137" t="s">
        <v>9477</v>
      </c>
      <c r="P5137" t="s">
        <v>9477</v>
      </c>
      <c r="Y5137" t="s">
        <v>21323</v>
      </c>
    </row>
    <row r="5138" spans="1:25">
      <c r="A5138" t="s">
        <v>21325</v>
      </c>
      <c r="B5138" t="s">
        <v>21326</v>
      </c>
      <c r="D5138" t="s">
        <v>9473</v>
      </c>
      <c r="E5138" t="s">
        <v>9474</v>
      </c>
      <c r="J5138" t="s">
        <v>78</v>
      </c>
      <c r="K5138" t="s">
        <v>79</v>
      </c>
      <c r="L5138">
        <v>6</v>
      </c>
      <c r="M5138" t="s">
        <v>21327</v>
      </c>
      <c r="N5138" t="s">
        <v>47</v>
      </c>
      <c r="O5138" t="s">
        <v>9477</v>
      </c>
      <c r="P5138" t="s">
        <v>9477</v>
      </c>
      <c r="Y5138" t="s">
        <v>21328</v>
      </c>
    </row>
    <row r="5139" spans="1:25">
      <c r="A5139" t="s">
        <v>21329</v>
      </c>
      <c r="B5139" t="s">
        <v>21330</v>
      </c>
      <c r="D5139" t="s">
        <v>9473</v>
      </c>
      <c r="E5139" t="s">
        <v>9474</v>
      </c>
      <c r="J5139" t="s">
        <v>133</v>
      </c>
      <c r="K5139" t="s">
        <v>134</v>
      </c>
      <c r="L5139">
        <v>6</v>
      </c>
      <c r="M5139" t="s">
        <v>21331</v>
      </c>
      <c r="N5139" t="s">
        <v>290</v>
      </c>
      <c r="O5139" t="s">
        <v>9477</v>
      </c>
      <c r="P5139" t="s">
        <v>9477</v>
      </c>
      <c r="Y5139" t="s">
        <v>21332</v>
      </c>
    </row>
    <row r="5140" spans="1:25">
      <c r="A5140" t="s">
        <v>21333</v>
      </c>
      <c r="B5140" t="s">
        <v>21334</v>
      </c>
      <c r="D5140" t="s">
        <v>9473</v>
      </c>
      <c r="E5140" t="s">
        <v>9474</v>
      </c>
      <c r="J5140" t="s">
        <v>90</v>
      </c>
      <c r="K5140" t="s">
        <v>91</v>
      </c>
      <c r="L5140">
        <v>6</v>
      </c>
      <c r="M5140" t="s">
        <v>21335</v>
      </c>
      <c r="N5140" t="s">
        <v>47</v>
      </c>
      <c r="O5140" t="s">
        <v>9477</v>
      </c>
      <c r="P5140" t="s">
        <v>9477</v>
      </c>
      <c r="Y5140" t="s">
        <v>21336</v>
      </c>
    </row>
    <row r="5141" spans="1:25">
      <c r="A5141" t="s">
        <v>21337</v>
      </c>
      <c r="B5141" t="s">
        <v>21338</v>
      </c>
      <c r="D5141" t="s">
        <v>9473</v>
      </c>
      <c r="E5141" t="s">
        <v>9474</v>
      </c>
      <c r="J5141" t="s">
        <v>78</v>
      </c>
      <c r="K5141" t="s">
        <v>79</v>
      </c>
      <c r="L5141">
        <v>6</v>
      </c>
      <c r="M5141" t="s">
        <v>21335</v>
      </c>
      <c r="N5141" t="s">
        <v>47</v>
      </c>
      <c r="O5141" t="s">
        <v>9477</v>
      </c>
      <c r="P5141" t="s">
        <v>9477</v>
      </c>
      <c r="Y5141" t="s">
        <v>21339</v>
      </c>
    </row>
    <row r="5142" spans="1:25">
      <c r="A5142" t="s">
        <v>21340</v>
      </c>
      <c r="B5142" t="s">
        <v>21341</v>
      </c>
      <c r="D5142" t="s">
        <v>9473</v>
      </c>
      <c r="E5142" t="s">
        <v>9474</v>
      </c>
      <c r="H5142" t="s">
        <v>21342</v>
      </c>
      <c r="J5142" t="s">
        <v>44</v>
      </c>
      <c r="K5142" t="s">
        <v>45</v>
      </c>
      <c r="L5142">
        <v>6</v>
      </c>
      <c r="M5142" t="s">
        <v>21335</v>
      </c>
      <c r="N5142" t="s">
        <v>47</v>
      </c>
      <c r="O5142" t="s">
        <v>9477</v>
      </c>
      <c r="P5142" t="s">
        <v>9477</v>
      </c>
      <c r="Y5142" t="s">
        <v>21342</v>
      </c>
    </row>
    <row r="5143" spans="1:25">
      <c r="A5143" t="s">
        <v>21343</v>
      </c>
      <c r="B5143" t="s">
        <v>21344</v>
      </c>
      <c r="D5143" t="s">
        <v>9473</v>
      </c>
      <c r="E5143" t="s">
        <v>9474</v>
      </c>
      <c r="J5143" t="s">
        <v>54</v>
      </c>
      <c r="K5143" t="s">
        <v>55</v>
      </c>
      <c r="L5143">
        <v>6</v>
      </c>
      <c r="M5143" t="s">
        <v>21335</v>
      </c>
      <c r="N5143" t="s">
        <v>47</v>
      </c>
      <c r="O5143" t="s">
        <v>9477</v>
      </c>
      <c r="P5143" t="s">
        <v>9477</v>
      </c>
      <c r="Y5143" t="s">
        <v>21345</v>
      </c>
    </row>
    <row r="5144" spans="1:25">
      <c r="A5144" t="s">
        <v>21346</v>
      </c>
      <c r="B5144" t="s">
        <v>21347</v>
      </c>
      <c r="D5144" t="s">
        <v>9473</v>
      </c>
      <c r="E5144" t="s">
        <v>9474</v>
      </c>
      <c r="J5144" t="s">
        <v>90</v>
      </c>
      <c r="K5144" t="s">
        <v>91</v>
      </c>
      <c r="L5144">
        <v>6</v>
      </c>
      <c r="M5144" t="s">
        <v>21348</v>
      </c>
      <c r="N5144" t="s">
        <v>47</v>
      </c>
      <c r="O5144" t="s">
        <v>9477</v>
      </c>
      <c r="P5144" t="s">
        <v>9477</v>
      </c>
      <c r="Y5144" t="s">
        <v>21349</v>
      </c>
    </row>
    <row r="5145" spans="1:25">
      <c r="A5145" t="s">
        <v>21350</v>
      </c>
      <c r="B5145" t="s">
        <v>21351</v>
      </c>
      <c r="D5145" t="s">
        <v>9473</v>
      </c>
      <c r="E5145" t="s">
        <v>9474</v>
      </c>
      <c r="J5145" t="s">
        <v>90</v>
      </c>
      <c r="K5145" t="s">
        <v>91</v>
      </c>
      <c r="L5145">
        <v>6</v>
      </c>
      <c r="M5145" t="s">
        <v>21352</v>
      </c>
      <c r="N5145" t="s">
        <v>47</v>
      </c>
      <c r="O5145" t="s">
        <v>9477</v>
      </c>
      <c r="P5145" t="s">
        <v>9477</v>
      </c>
      <c r="Y5145" t="s">
        <v>21353</v>
      </c>
    </row>
    <row r="5146" spans="1:25">
      <c r="A5146" t="s">
        <v>21354</v>
      </c>
      <c r="B5146" t="s">
        <v>21355</v>
      </c>
      <c r="D5146" t="s">
        <v>9473</v>
      </c>
      <c r="E5146" t="s">
        <v>9474</v>
      </c>
      <c r="J5146" t="s">
        <v>44</v>
      </c>
      <c r="K5146" t="s">
        <v>45</v>
      </c>
      <c r="L5146">
        <v>6</v>
      </c>
      <c r="M5146" t="s">
        <v>21356</v>
      </c>
      <c r="N5146" t="s">
        <v>47</v>
      </c>
      <c r="O5146" t="s">
        <v>9477</v>
      </c>
      <c r="P5146" t="s">
        <v>9477</v>
      </c>
      <c r="Y5146" t="s">
        <v>21357</v>
      </c>
    </row>
    <row r="5147" spans="1:25">
      <c r="A5147" t="s">
        <v>21358</v>
      </c>
      <c r="B5147" t="s">
        <v>21359</v>
      </c>
      <c r="D5147" t="s">
        <v>9473</v>
      </c>
      <c r="E5147" t="s">
        <v>9474</v>
      </c>
      <c r="H5147" t="s">
        <v>21360</v>
      </c>
      <c r="J5147" t="s">
        <v>90</v>
      </c>
      <c r="K5147" t="s">
        <v>91</v>
      </c>
      <c r="L5147">
        <v>6</v>
      </c>
      <c r="M5147" t="s">
        <v>21361</v>
      </c>
      <c r="N5147" t="s">
        <v>47</v>
      </c>
      <c r="O5147" t="s">
        <v>9477</v>
      </c>
      <c r="P5147" t="s">
        <v>9477</v>
      </c>
      <c r="Y5147" t="s">
        <v>21360</v>
      </c>
    </row>
    <row r="5148" spans="1:25">
      <c r="A5148" t="s">
        <v>21362</v>
      </c>
      <c r="B5148" t="s">
        <v>21363</v>
      </c>
      <c r="D5148" t="s">
        <v>9473</v>
      </c>
      <c r="E5148" t="s">
        <v>9474</v>
      </c>
      <c r="H5148" t="s">
        <v>21364</v>
      </c>
      <c r="J5148" t="s">
        <v>44</v>
      </c>
      <c r="K5148" t="s">
        <v>45</v>
      </c>
      <c r="L5148">
        <v>6</v>
      </c>
      <c r="M5148" t="s">
        <v>21361</v>
      </c>
      <c r="N5148" t="s">
        <v>47</v>
      </c>
      <c r="O5148" t="s">
        <v>9477</v>
      </c>
      <c r="P5148" t="s">
        <v>9477</v>
      </c>
      <c r="Y5148" t="s">
        <v>21364</v>
      </c>
    </row>
    <row r="5149" spans="1:25">
      <c r="A5149" t="s">
        <v>21365</v>
      </c>
      <c r="B5149" t="s">
        <v>21366</v>
      </c>
      <c r="D5149" t="s">
        <v>9473</v>
      </c>
      <c r="E5149" t="s">
        <v>9474</v>
      </c>
      <c r="J5149" t="s">
        <v>90</v>
      </c>
      <c r="K5149" t="s">
        <v>91</v>
      </c>
      <c r="L5149">
        <v>6</v>
      </c>
      <c r="M5149" t="s">
        <v>21361</v>
      </c>
      <c r="N5149" t="s">
        <v>47</v>
      </c>
      <c r="O5149" t="s">
        <v>9477</v>
      </c>
      <c r="P5149" t="s">
        <v>9477</v>
      </c>
      <c r="Y5149" t="s">
        <v>21367</v>
      </c>
    </row>
    <row r="5150" spans="1:25">
      <c r="A5150" t="s">
        <v>21368</v>
      </c>
      <c r="B5150" t="s">
        <v>21369</v>
      </c>
      <c r="D5150" t="s">
        <v>9473</v>
      </c>
      <c r="E5150" t="s">
        <v>9474</v>
      </c>
      <c r="J5150" t="s">
        <v>133</v>
      </c>
      <c r="K5150" t="s">
        <v>134</v>
      </c>
      <c r="L5150">
        <v>6</v>
      </c>
      <c r="M5150" t="s">
        <v>21361</v>
      </c>
      <c r="N5150" t="s">
        <v>290</v>
      </c>
      <c r="O5150" t="s">
        <v>9477</v>
      </c>
      <c r="P5150" t="s">
        <v>9477</v>
      </c>
      <c r="Y5150" t="s">
        <v>21370</v>
      </c>
    </row>
    <row r="5151" spans="1:25">
      <c r="A5151" t="s">
        <v>21371</v>
      </c>
      <c r="B5151" t="s">
        <v>21372</v>
      </c>
      <c r="D5151" t="s">
        <v>9473</v>
      </c>
      <c r="E5151" t="s">
        <v>9474</v>
      </c>
      <c r="J5151" t="s">
        <v>90</v>
      </c>
      <c r="K5151" t="s">
        <v>91</v>
      </c>
      <c r="L5151">
        <v>6</v>
      </c>
      <c r="M5151" t="s">
        <v>21373</v>
      </c>
      <c r="N5151" t="s">
        <v>47</v>
      </c>
      <c r="O5151" t="s">
        <v>9477</v>
      </c>
      <c r="P5151" t="s">
        <v>9477</v>
      </c>
      <c r="Y5151" t="s">
        <v>21374</v>
      </c>
    </row>
    <row r="5152" spans="1:25">
      <c r="A5152" t="s">
        <v>21375</v>
      </c>
      <c r="B5152" t="s">
        <v>21376</v>
      </c>
      <c r="D5152" t="s">
        <v>9473</v>
      </c>
      <c r="E5152" t="s">
        <v>9474</v>
      </c>
      <c r="H5152" t="s">
        <v>21377</v>
      </c>
      <c r="J5152" t="s">
        <v>90</v>
      </c>
      <c r="K5152" t="s">
        <v>91</v>
      </c>
      <c r="L5152">
        <v>6</v>
      </c>
      <c r="M5152" t="s">
        <v>21378</v>
      </c>
      <c r="N5152" t="s">
        <v>47</v>
      </c>
      <c r="O5152" t="s">
        <v>9477</v>
      </c>
      <c r="P5152" t="s">
        <v>9477</v>
      </c>
      <c r="Y5152" t="s">
        <v>21377</v>
      </c>
    </row>
    <row r="5153" spans="1:25">
      <c r="A5153" t="s">
        <v>21379</v>
      </c>
      <c r="B5153" t="s">
        <v>21380</v>
      </c>
      <c r="D5153" t="s">
        <v>9473</v>
      </c>
      <c r="E5153" t="s">
        <v>9474</v>
      </c>
      <c r="J5153" t="s">
        <v>133</v>
      </c>
      <c r="K5153" t="s">
        <v>134</v>
      </c>
      <c r="L5153">
        <v>6</v>
      </c>
      <c r="M5153" t="s">
        <v>21381</v>
      </c>
      <c r="N5153" t="s">
        <v>290</v>
      </c>
      <c r="O5153" t="s">
        <v>9477</v>
      </c>
      <c r="P5153" t="s">
        <v>9477</v>
      </c>
      <c r="Y5153" t="s">
        <v>21382</v>
      </c>
    </row>
    <row r="5154" spans="1:25">
      <c r="A5154" t="s">
        <v>21383</v>
      </c>
      <c r="B5154" t="s">
        <v>21384</v>
      </c>
      <c r="D5154" t="s">
        <v>9473</v>
      </c>
      <c r="E5154" t="s">
        <v>9474</v>
      </c>
      <c r="J5154" t="s">
        <v>90</v>
      </c>
      <c r="K5154" t="s">
        <v>91</v>
      </c>
      <c r="L5154">
        <v>6</v>
      </c>
      <c r="M5154" t="s">
        <v>21385</v>
      </c>
      <c r="N5154" t="s">
        <v>47</v>
      </c>
      <c r="O5154" t="s">
        <v>9477</v>
      </c>
      <c r="P5154" t="s">
        <v>9477</v>
      </c>
      <c r="Y5154" t="s">
        <v>21386</v>
      </c>
    </row>
    <row r="5155" spans="1:25">
      <c r="A5155" t="s">
        <v>21387</v>
      </c>
      <c r="B5155" t="s">
        <v>21388</v>
      </c>
      <c r="D5155" t="s">
        <v>9473</v>
      </c>
      <c r="E5155" t="s">
        <v>9474</v>
      </c>
      <c r="H5155" t="s">
        <v>21389</v>
      </c>
      <c r="J5155" t="s">
        <v>44</v>
      </c>
      <c r="K5155" t="s">
        <v>45</v>
      </c>
      <c r="L5155">
        <v>6</v>
      </c>
      <c r="M5155" t="s">
        <v>21390</v>
      </c>
      <c r="N5155" t="s">
        <v>47</v>
      </c>
      <c r="O5155" t="s">
        <v>9477</v>
      </c>
      <c r="P5155" t="s">
        <v>9477</v>
      </c>
      <c r="Y5155" t="s">
        <v>21389</v>
      </c>
    </row>
    <row r="5156" spans="1:25">
      <c r="A5156" t="s">
        <v>21391</v>
      </c>
      <c r="B5156" t="s">
        <v>21392</v>
      </c>
      <c r="D5156" t="s">
        <v>9473</v>
      </c>
      <c r="E5156" t="s">
        <v>9474</v>
      </c>
      <c r="J5156" t="s">
        <v>78</v>
      </c>
      <c r="K5156" t="s">
        <v>79</v>
      </c>
      <c r="L5156">
        <v>6</v>
      </c>
      <c r="M5156" t="s">
        <v>21390</v>
      </c>
      <c r="N5156" t="s">
        <v>47</v>
      </c>
      <c r="O5156" t="s">
        <v>9477</v>
      </c>
      <c r="P5156" t="s">
        <v>9477</v>
      </c>
      <c r="Y5156" t="s">
        <v>21393</v>
      </c>
    </row>
    <row r="5157" spans="1:25">
      <c r="A5157" t="s">
        <v>21394</v>
      </c>
      <c r="B5157" t="s">
        <v>21395</v>
      </c>
      <c r="D5157" t="s">
        <v>9473</v>
      </c>
      <c r="E5157" t="s">
        <v>9474</v>
      </c>
      <c r="H5157" t="s">
        <v>21396</v>
      </c>
      <c r="J5157" t="s">
        <v>44</v>
      </c>
      <c r="K5157" t="s">
        <v>45</v>
      </c>
      <c r="L5157">
        <v>6</v>
      </c>
      <c r="M5157" t="s">
        <v>21390</v>
      </c>
      <c r="N5157" t="s">
        <v>47</v>
      </c>
      <c r="O5157" t="s">
        <v>9477</v>
      </c>
      <c r="P5157" t="s">
        <v>9477</v>
      </c>
      <c r="Y5157" t="s">
        <v>21396</v>
      </c>
    </row>
    <row r="5158" spans="1:25">
      <c r="A5158" t="s">
        <v>21397</v>
      </c>
      <c r="B5158" t="s">
        <v>21398</v>
      </c>
      <c r="D5158" t="s">
        <v>9473</v>
      </c>
      <c r="E5158" t="s">
        <v>9474</v>
      </c>
      <c r="J5158" t="s">
        <v>90</v>
      </c>
      <c r="K5158" t="s">
        <v>91</v>
      </c>
      <c r="L5158">
        <v>6</v>
      </c>
      <c r="M5158" t="s">
        <v>21399</v>
      </c>
      <c r="N5158" t="s">
        <v>47</v>
      </c>
      <c r="O5158" t="s">
        <v>9477</v>
      </c>
      <c r="P5158" t="s">
        <v>9477</v>
      </c>
      <c r="Y5158" t="s">
        <v>21400</v>
      </c>
    </row>
    <row r="5159" spans="1:25">
      <c r="A5159" t="s">
        <v>21401</v>
      </c>
      <c r="B5159" t="s">
        <v>21402</v>
      </c>
      <c r="D5159" t="s">
        <v>9473</v>
      </c>
      <c r="E5159" t="s">
        <v>9474</v>
      </c>
      <c r="J5159" t="s">
        <v>133</v>
      </c>
      <c r="K5159" t="s">
        <v>134</v>
      </c>
      <c r="L5159">
        <v>6</v>
      </c>
      <c r="M5159" t="s">
        <v>21403</v>
      </c>
      <c r="N5159" t="s">
        <v>290</v>
      </c>
      <c r="O5159" t="s">
        <v>9477</v>
      </c>
      <c r="P5159" t="s">
        <v>9477</v>
      </c>
      <c r="Y5159" t="s">
        <v>21404</v>
      </c>
    </row>
    <row r="5160" spans="1:25">
      <c r="A5160" t="s">
        <v>21405</v>
      </c>
      <c r="B5160" t="s">
        <v>21406</v>
      </c>
      <c r="D5160" t="s">
        <v>9473</v>
      </c>
      <c r="E5160" t="s">
        <v>9474</v>
      </c>
      <c r="H5160" t="s">
        <v>21407</v>
      </c>
      <c r="J5160" t="s">
        <v>90</v>
      </c>
      <c r="K5160" t="s">
        <v>91</v>
      </c>
      <c r="L5160">
        <v>6</v>
      </c>
      <c r="M5160" t="s">
        <v>21408</v>
      </c>
      <c r="N5160" t="s">
        <v>47</v>
      </c>
      <c r="O5160" t="s">
        <v>9477</v>
      </c>
      <c r="P5160" t="s">
        <v>9477</v>
      </c>
      <c r="Y5160" t="s">
        <v>21407</v>
      </c>
    </row>
    <row r="5161" spans="1:25">
      <c r="A5161" t="s">
        <v>21409</v>
      </c>
      <c r="B5161" t="s">
        <v>21410</v>
      </c>
      <c r="D5161" t="s">
        <v>9473</v>
      </c>
      <c r="E5161" t="s">
        <v>9474</v>
      </c>
      <c r="J5161" t="s">
        <v>90</v>
      </c>
      <c r="K5161" t="s">
        <v>91</v>
      </c>
      <c r="L5161">
        <v>6</v>
      </c>
      <c r="M5161" t="s">
        <v>21408</v>
      </c>
      <c r="N5161" t="s">
        <v>47</v>
      </c>
      <c r="O5161" t="s">
        <v>9477</v>
      </c>
      <c r="P5161" t="s">
        <v>9477</v>
      </c>
      <c r="Y5161" t="s">
        <v>21411</v>
      </c>
    </row>
    <row r="5162" spans="1:25">
      <c r="A5162" t="s">
        <v>21412</v>
      </c>
      <c r="B5162" t="s">
        <v>21413</v>
      </c>
      <c r="D5162" t="s">
        <v>9473</v>
      </c>
      <c r="E5162" t="s">
        <v>9474</v>
      </c>
      <c r="J5162" t="s">
        <v>44</v>
      </c>
      <c r="K5162" t="s">
        <v>45</v>
      </c>
      <c r="L5162">
        <v>6</v>
      </c>
      <c r="M5162" t="s">
        <v>21408</v>
      </c>
      <c r="N5162" t="s">
        <v>47</v>
      </c>
      <c r="O5162" t="s">
        <v>9477</v>
      </c>
      <c r="P5162" t="s">
        <v>9477</v>
      </c>
      <c r="Y5162" t="s">
        <v>21414</v>
      </c>
    </row>
    <row r="5163" spans="1:25">
      <c r="A5163" t="s">
        <v>21415</v>
      </c>
      <c r="B5163" t="s">
        <v>21416</v>
      </c>
      <c r="D5163" t="s">
        <v>9473</v>
      </c>
      <c r="E5163" t="s">
        <v>9474</v>
      </c>
      <c r="H5163" t="s">
        <v>21417</v>
      </c>
      <c r="J5163" t="s">
        <v>234</v>
      </c>
      <c r="K5163" t="s">
        <v>235</v>
      </c>
      <c r="L5163">
        <v>6</v>
      </c>
      <c r="M5163" t="s">
        <v>21418</v>
      </c>
      <c r="N5163" t="s">
        <v>47</v>
      </c>
      <c r="O5163" t="s">
        <v>9477</v>
      </c>
      <c r="P5163" t="s">
        <v>9477</v>
      </c>
      <c r="Y5163" t="s">
        <v>21417</v>
      </c>
    </row>
    <row r="5164" spans="1:25">
      <c r="A5164" t="s">
        <v>21419</v>
      </c>
      <c r="B5164" t="s">
        <v>21420</v>
      </c>
      <c r="D5164" t="s">
        <v>9473</v>
      </c>
      <c r="E5164" t="s">
        <v>9474</v>
      </c>
      <c r="H5164" t="s">
        <v>21421</v>
      </c>
      <c r="J5164" t="s">
        <v>765</v>
      </c>
      <c r="K5164" t="s">
        <v>766</v>
      </c>
      <c r="L5164">
        <v>6</v>
      </c>
      <c r="M5164" t="s">
        <v>21422</v>
      </c>
      <c r="N5164" t="s">
        <v>290</v>
      </c>
      <c r="O5164" t="s">
        <v>9477</v>
      </c>
      <c r="P5164" t="s">
        <v>9477</v>
      </c>
      <c r="Y5164" t="s">
        <v>21421</v>
      </c>
    </row>
    <row r="5165" spans="1:25">
      <c r="A5165" t="s">
        <v>21423</v>
      </c>
      <c r="B5165" t="s">
        <v>21424</v>
      </c>
      <c r="D5165" t="s">
        <v>9473</v>
      </c>
      <c r="E5165" t="s">
        <v>9474</v>
      </c>
      <c r="J5165" t="s">
        <v>44</v>
      </c>
      <c r="K5165" t="s">
        <v>45</v>
      </c>
      <c r="L5165">
        <v>6</v>
      </c>
      <c r="M5165" t="s">
        <v>21425</v>
      </c>
      <c r="N5165" t="s">
        <v>47</v>
      </c>
      <c r="O5165" t="s">
        <v>9477</v>
      </c>
      <c r="P5165" t="s">
        <v>9477</v>
      </c>
      <c r="Y5165" t="s">
        <v>21426</v>
      </c>
    </row>
    <row r="5166" spans="1:25">
      <c r="A5166" t="s">
        <v>21427</v>
      </c>
      <c r="B5166" t="s">
        <v>21428</v>
      </c>
      <c r="D5166" t="s">
        <v>9473</v>
      </c>
      <c r="E5166" t="s">
        <v>9474</v>
      </c>
      <c r="J5166" t="s">
        <v>54</v>
      </c>
      <c r="K5166" t="s">
        <v>55</v>
      </c>
      <c r="L5166">
        <v>6</v>
      </c>
      <c r="M5166" t="s">
        <v>21429</v>
      </c>
      <c r="N5166" t="s">
        <v>47</v>
      </c>
      <c r="O5166" t="s">
        <v>9477</v>
      </c>
      <c r="P5166" t="s">
        <v>9477</v>
      </c>
      <c r="Y5166" t="s">
        <v>21430</v>
      </c>
    </row>
    <row r="5167" spans="1:25">
      <c r="A5167" t="s">
        <v>21431</v>
      </c>
      <c r="B5167" t="s">
        <v>21432</v>
      </c>
      <c r="D5167" t="s">
        <v>9473</v>
      </c>
      <c r="E5167" t="s">
        <v>9474</v>
      </c>
      <c r="J5167" t="s">
        <v>44</v>
      </c>
      <c r="K5167" t="s">
        <v>45</v>
      </c>
      <c r="L5167">
        <v>6</v>
      </c>
      <c r="M5167" t="s">
        <v>21433</v>
      </c>
      <c r="N5167" t="s">
        <v>47</v>
      </c>
      <c r="O5167" t="s">
        <v>9477</v>
      </c>
      <c r="P5167" t="s">
        <v>9477</v>
      </c>
      <c r="Y5167" t="s">
        <v>21434</v>
      </c>
    </row>
    <row r="5168" spans="1:25">
      <c r="A5168" t="s">
        <v>21435</v>
      </c>
      <c r="B5168" t="s">
        <v>21436</v>
      </c>
      <c r="D5168" t="s">
        <v>9473</v>
      </c>
      <c r="E5168" t="s">
        <v>9474</v>
      </c>
      <c r="J5168" t="s">
        <v>54</v>
      </c>
      <c r="K5168" t="s">
        <v>55</v>
      </c>
      <c r="L5168">
        <v>6</v>
      </c>
      <c r="M5168" t="s">
        <v>21433</v>
      </c>
      <c r="N5168" t="s">
        <v>47</v>
      </c>
      <c r="O5168" t="s">
        <v>9477</v>
      </c>
      <c r="P5168" t="s">
        <v>9477</v>
      </c>
      <c r="Y5168" t="s">
        <v>21437</v>
      </c>
    </row>
    <row r="5169" spans="1:25">
      <c r="A5169" t="s">
        <v>21438</v>
      </c>
      <c r="B5169" t="s">
        <v>21439</v>
      </c>
      <c r="D5169" t="s">
        <v>9473</v>
      </c>
      <c r="E5169" t="s">
        <v>9474</v>
      </c>
      <c r="J5169" t="s">
        <v>371</v>
      </c>
      <c r="K5169" t="s">
        <v>372</v>
      </c>
      <c r="L5169">
        <v>6</v>
      </c>
      <c r="M5169" t="s">
        <v>21433</v>
      </c>
      <c r="N5169" t="s">
        <v>47</v>
      </c>
      <c r="O5169" t="s">
        <v>9477</v>
      </c>
      <c r="P5169" t="s">
        <v>9477</v>
      </c>
      <c r="Y5169" t="s">
        <v>21440</v>
      </c>
    </row>
    <row r="5170" spans="1:25">
      <c r="A5170" t="s">
        <v>21441</v>
      </c>
      <c r="B5170" t="s">
        <v>21442</v>
      </c>
      <c r="D5170" t="s">
        <v>9473</v>
      </c>
      <c r="E5170" t="s">
        <v>9474</v>
      </c>
      <c r="J5170" t="s">
        <v>54</v>
      </c>
      <c r="K5170" t="s">
        <v>55</v>
      </c>
      <c r="L5170">
        <v>6</v>
      </c>
      <c r="M5170" t="s">
        <v>21433</v>
      </c>
      <c r="N5170" t="s">
        <v>47</v>
      </c>
      <c r="O5170" t="s">
        <v>9477</v>
      </c>
      <c r="P5170" t="s">
        <v>9477</v>
      </c>
      <c r="Y5170" t="s">
        <v>21443</v>
      </c>
    </row>
    <row r="5171" spans="1:25">
      <c r="A5171" t="s">
        <v>21444</v>
      </c>
      <c r="B5171" t="s">
        <v>21445</v>
      </c>
      <c r="D5171" t="s">
        <v>9473</v>
      </c>
      <c r="E5171" t="s">
        <v>9474</v>
      </c>
      <c r="J5171" t="s">
        <v>90</v>
      </c>
      <c r="K5171" t="s">
        <v>91</v>
      </c>
      <c r="L5171">
        <v>6</v>
      </c>
      <c r="M5171" t="s">
        <v>21433</v>
      </c>
      <c r="N5171" t="s">
        <v>47</v>
      </c>
      <c r="O5171" t="s">
        <v>9477</v>
      </c>
      <c r="P5171" t="s">
        <v>9477</v>
      </c>
      <c r="Y5171" t="s">
        <v>21446</v>
      </c>
    </row>
    <row r="5172" spans="1:25">
      <c r="A5172" t="s">
        <v>21447</v>
      </c>
      <c r="B5172" t="s">
        <v>21448</v>
      </c>
      <c r="D5172" t="s">
        <v>9473</v>
      </c>
      <c r="E5172" t="s">
        <v>9474</v>
      </c>
      <c r="J5172" t="s">
        <v>78</v>
      </c>
      <c r="K5172" t="s">
        <v>79</v>
      </c>
      <c r="L5172">
        <v>6</v>
      </c>
      <c r="M5172" t="s">
        <v>21433</v>
      </c>
      <c r="N5172" t="s">
        <v>47</v>
      </c>
      <c r="O5172" t="s">
        <v>9477</v>
      </c>
      <c r="P5172" t="s">
        <v>9477</v>
      </c>
      <c r="Y5172" t="s">
        <v>21449</v>
      </c>
    </row>
    <row r="5173" spans="1:25">
      <c r="A5173" t="s">
        <v>21450</v>
      </c>
      <c r="B5173" t="s">
        <v>21451</v>
      </c>
      <c r="D5173" t="s">
        <v>9473</v>
      </c>
      <c r="E5173" t="s">
        <v>9474</v>
      </c>
      <c r="J5173" t="s">
        <v>44</v>
      </c>
      <c r="K5173" t="s">
        <v>45</v>
      </c>
      <c r="L5173">
        <v>6</v>
      </c>
      <c r="M5173" t="s">
        <v>21452</v>
      </c>
      <c r="N5173" t="s">
        <v>47</v>
      </c>
      <c r="O5173" t="s">
        <v>9477</v>
      </c>
      <c r="P5173" t="s">
        <v>9477</v>
      </c>
      <c r="Y5173" t="s">
        <v>21453</v>
      </c>
    </row>
    <row r="5174" spans="1:25">
      <c r="A5174" t="s">
        <v>21454</v>
      </c>
      <c r="B5174" t="s">
        <v>21455</v>
      </c>
      <c r="D5174" t="s">
        <v>9473</v>
      </c>
      <c r="E5174" t="s">
        <v>9474</v>
      </c>
      <c r="J5174" t="s">
        <v>371</v>
      </c>
      <c r="K5174" t="s">
        <v>372</v>
      </c>
      <c r="L5174">
        <v>6</v>
      </c>
      <c r="M5174" t="s">
        <v>21456</v>
      </c>
      <c r="N5174" t="s">
        <v>47</v>
      </c>
      <c r="O5174" t="s">
        <v>9477</v>
      </c>
      <c r="P5174" t="s">
        <v>9477</v>
      </c>
      <c r="Y5174" t="s">
        <v>21457</v>
      </c>
    </row>
    <row r="5175" spans="1:25">
      <c r="A5175" t="s">
        <v>21458</v>
      </c>
      <c r="B5175" t="s">
        <v>21459</v>
      </c>
      <c r="D5175" t="s">
        <v>9473</v>
      </c>
      <c r="E5175" t="s">
        <v>9474</v>
      </c>
      <c r="J5175" t="s">
        <v>90</v>
      </c>
      <c r="K5175" t="s">
        <v>91</v>
      </c>
      <c r="L5175">
        <v>6</v>
      </c>
      <c r="M5175" t="s">
        <v>21460</v>
      </c>
      <c r="N5175" t="s">
        <v>47</v>
      </c>
      <c r="O5175" t="s">
        <v>9477</v>
      </c>
      <c r="P5175" t="s">
        <v>9477</v>
      </c>
      <c r="Y5175" t="s">
        <v>21461</v>
      </c>
    </row>
    <row r="5176" spans="1:25">
      <c r="A5176" t="s">
        <v>21462</v>
      </c>
      <c r="B5176" t="s">
        <v>21463</v>
      </c>
      <c r="D5176" t="s">
        <v>9473</v>
      </c>
      <c r="E5176" t="s">
        <v>9474</v>
      </c>
      <c r="H5176" t="s">
        <v>21464</v>
      </c>
      <c r="J5176" t="s">
        <v>90</v>
      </c>
      <c r="K5176" t="s">
        <v>91</v>
      </c>
      <c r="L5176">
        <v>6</v>
      </c>
      <c r="M5176" t="s">
        <v>21460</v>
      </c>
      <c r="N5176" t="s">
        <v>47</v>
      </c>
      <c r="O5176" t="s">
        <v>9477</v>
      </c>
      <c r="P5176" t="s">
        <v>9477</v>
      </c>
      <c r="Y5176" t="s">
        <v>21464</v>
      </c>
    </row>
    <row r="5177" spans="1:25">
      <c r="A5177" t="s">
        <v>21465</v>
      </c>
      <c r="B5177" t="s">
        <v>21466</v>
      </c>
      <c r="D5177" t="s">
        <v>9473</v>
      </c>
      <c r="E5177" t="s">
        <v>9474</v>
      </c>
      <c r="H5177" t="s">
        <v>21467</v>
      </c>
      <c r="J5177" t="s">
        <v>90</v>
      </c>
      <c r="K5177" t="s">
        <v>91</v>
      </c>
      <c r="L5177">
        <v>6</v>
      </c>
      <c r="M5177" t="s">
        <v>21468</v>
      </c>
      <c r="N5177" t="s">
        <v>47</v>
      </c>
      <c r="O5177" t="s">
        <v>9477</v>
      </c>
      <c r="P5177" t="s">
        <v>9477</v>
      </c>
      <c r="Y5177" t="s">
        <v>21467</v>
      </c>
    </row>
    <row r="5178" spans="1:25">
      <c r="A5178" t="s">
        <v>21469</v>
      </c>
      <c r="B5178" t="s">
        <v>21470</v>
      </c>
      <c r="D5178" t="s">
        <v>9473</v>
      </c>
      <c r="E5178" t="s">
        <v>9474</v>
      </c>
      <c r="J5178" t="s">
        <v>371</v>
      </c>
      <c r="K5178" t="s">
        <v>372</v>
      </c>
      <c r="L5178">
        <v>6</v>
      </c>
      <c r="M5178" t="s">
        <v>21471</v>
      </c>
      <c r="N5178" t="s">
        <v>47</v>
      </c>
      <c r="O5178" t="s">
        <v>9477</v>
      </c>
      <c r="P5178" t="s">
        <v>9477</v>
      </c>
      <c r="Y5178" t="s">
        <v>21472</v>
      </c>
    </row>
    <row r="5179" spans="1:25">
      <c r="A5179" t="s">
        <v>21473</v>
      </c>
      <c r="B5179" t="s">
        <v>21474</v>
      </c>
      <c r="D5179" t="s">
        <v>9473</v>
      </c>
      <c r="E5179" t="s">
        <v>9474</v>
      </c>
      <c r="J5179" t="s">
        <v>44</v>
      </c>
      <c r="K5179" t="s">
        <v>45</v>
      </c>
      <c r="L5179">
        <v>6</v>
      </c>
      <c r="M5179" t="s">
        <v>21475</v>
      </c>
      <c r="N5179" t="s">
        <v>47</v>
      </c>
      <c r="O5179" t="s">
        <v>9477</v>
      </c>
      <c r="P5179" t="s">
        <v>9477</v>
      </c>
      <c r="Y5179" t="s">
        <v>21476</v>
      </c>
    </row>
    <row r="5180" spans="1:25">
      <c r="A5180" t="s">
        <v>21477</v>
      </c>
      <c r="B5180" t="s">
        <v>21478</v>
      </c>
      <c r="D5180" t="s">
        <v>9473</v>
      </c>
      <c r="E5180" t="s">
        <v>9474</v>
      </c>
      <c r="H5180" t="s">
        <v>21479</v>
      </c>
      <c r="J5180" t="s">
        <v>44</v>
      </c>
      <c r="K5180" t="s">
        <v>45</v>
      </c>
      <c r="L5180">
        <v>6</v>
      </c>
      <c r="M5180" t="s">
        <v>21475</v>
      </c>
      <c r="N5180" t="s">
        <v>47</v>
      </c>
      <c r="O5180" t="s">
        <v>9477</v>
      </c>
      <c r="P5180" t="s">
        <v>9477</v>
      </c>
      <c r="Y5180" t="s">
        <v>21479</v>
      </c>
    </row>
    <row r="5181" spans="1:25">
      <c r="A5181" t="s">
        <v>21480</v>
      </c>
      <c r="B5181" t="s">
        <v>21481</v>
      </c>
      <c r="D5181" t="s">
        <v>9473</v>
      </c>
      <c r="E5181" t="s">
        <v>9474</v>
      </c>
      <c r="J5181" t="s">
        <v>541</v>
      </c>
      <c r="K5181" t="s">
        <v>542</v>
      </c>
      <c r="L5181">
        <v>6</v>
      </c>
      <c r="M5181" t="s">
        <v>21482</v>
      </c>
      <c r="N5181" t="s">
        <v>290</v>
      </c>
      <c r="O5181" t="s">
        <v>9477</v>
      </c>
      <c r="P5181" t="s">
        <v>9477</v>
      </c>
      <c r="Y5181" t="s">
        <v>21483</v>
      </c>
    </row>
    <row r="5182" spans="1:25">
      <c r="A5182" t="s">
        <v>21484</v>
      </c>
      <c r="B5182" t="s">
        <v>21485</v>
      </c>
      <c r="D5182" t="s">
        <v>9473</v>
      </c>
      <c r="E5182" t="s">
        <v>9474</v>
      </c>
      <c r="J5182" t="s">
        <v>54</v>
      </c>
      <c r="K5182" t="s">
        <v>55</v>
      </c>
      <c r="L5182">
        <v>6</v>
      </c>
      <c r="M5182" t="s">
        <v>21482</v>
      </c>
      <c r="N5182" t="s">
        <v>47</v>
      </c>
      <c r="O5182" t="s">
        <v>9477</v>
      </c>
      <c r="P5182" t="s">
        <v>9477</v>
      </c>
      <c r="Y5182" t="s">
        <v>21486</v>
      </c>
    </row>
    <row r="5183" spans="1:25">
      <c r="A5183" t="s">
        <v>21487</v>
      </c>
      <c r="B5183" t="s">
        <v>21488</v>
      </c>
      <c r="D5183" t="s">
        <v>9473</v>
      </c>
      <c r="E5183" t="s">
        <v>9474</v>
      </c>
      <c r="J5183" t="s">
        <v>54</v>
      </c>
      <c r="K5183" t="s">
        <v>55</v>
      </c>
      <c r="L5183">
        <v>6</v>
      </c>
      <c r="M5183" t="s">
        <v>21482</v>
      </c>
      <c r="N5183" t="s">
        <v>47</v>
      </c>
      <c r="O5183" t="s">
        <v>9477</v>
      </c>
      <c r="P5183" t="s">
        <v>9477</v>
      </c>
      <c r="Y5183" t="s">
        <v>21489</v>
      </c>
    </row>
    <row r="5184" spans="1:25">
      <c r="A5184" t="s">
        <v>21490</v>
      </c>
      <c r="B5184" t="s">
        <v>21491</v>
      </c>
      <c r="D5184" t="s">
        <v>9473</v>
      </c>
      <c r="E5184" t="s">
        <v>9474</v>
      </c>
      <c r="H5184" t="s">
        <v>21492</v>
      </c>
      <c r="J5184" t="s">
        <v>44</v>
      </c>
      <c r="K5184" t="s">
        <v>45</v>
      </c>
      <c r="L5184">
        <v>6</v>
      </c>
      <c r="M5184" t="s">
        <v>21493</v>
      </c>
      <c r="N5184" t="s">
        <v>47</v>
      </c>
      <c r="O5184" t="s">
        <v>9477</v>
      </c>
      <c r="P5184" t="s">
        <v>9477</v>
      </c>
      <c r="Y5184" t="s">
        <v>21492</v>
      </c>
    </row>
    <row r="5185" spans="1:25">
      <c r="A5185" t="s">
        <v>21494</v>
      </c>
      <c r="B5185" t="s">
        <v>21495</v>
      </c>
      <c r="D5185" t="s">
        <v>9473</v>
      </c>
      <c r="E5185" t="s">
        <v>9474</v>
      </c>
      <c r="J5185" t="s">
        <v>90</v>
      </c>
      <c r="K5185" t="s">
        <v>91</v>
      </c>
      <c r="L5185">
        <v>6</v>
      </c>
      <c r="M5185" t="s">
        <v>21496</v>
      </c>
      <c r="N5185" t="s">
        <v>47</v>
      </c>
      <c r="O5185" t="s">
        <v>9477</v>
      </c>
      <c r="P5185" t="s">
        <v>9477</v>
      </c>
      <c r="Y5185" t="s">
        <v>21497</v>
      </c>
    </row>
    <row r="5186" spans="1:25">
      <c r="A5186" t="s">
        <v>21498</v>
      </c>
      <c r="B5186" t="s">
        <v>21499</v>
      </c>
      <c r="D5186" t="s">
        <v>9473</v>
      </c>
      <c r="E5186" t="s">
        <v>9474</v>
      </c>
      <c r="J5186" t="s">
        <v>54</v>
      </c>
      <c r="K5186" t="s">
        <v>55</v>
      </c>
      <c r="L5186">
        <v>6</v>
      </c>
      <c r="M5186" t="s">
        <v>21496</v>
      </c>
      <c r="N5186" t="s">
        <v>47</v>
      </c>
      <c r="O5186" t="s">
        <v>9477</v>
      </c>
      <c r="P5186" t="s">
        <v>9477</v>
      </c>
      <c r="Y5186" t="s">
        <v>21500</v>
      </c>
    </row>
    <row r="5187" spans="1:25">
      <c r="A5187" t="s">
        <v>21501</v>
      </c>
      <c r="B5187" t="s">
        <v>21502</v>
      </c>
      <c r="D5187" t="s">
        <v>9473</v>
      </c>
      <c r="E5187" t="s">
        <v>9474</v>
      </c>
      <c r="J5187" t="s">
        <v>133</v>
      </c>
      <c r="K5187" t="s">
        <v>134</v>
      </c>
      <c r="L5187">
        <v>6</v>
      </c>
      <c r="M5187" t="s">
        <v>21503</v>
      </c>
      <c r="N5187" t="s">
        <v>135</v>
      </c>
      <c r="O5187" t="s">
        <v>9477</v>
      </c>
      <c r="P5187" t="s">
        <v>9477</v>
      </c>
      <c r="Y5187" t="s">
        <v>21504</v>
      </c>
    </row>
    <row r="5188" spans="1:25">
      <c r="A5188" t="s">
        <v>21505</v>
      </c>
      <c r="B5188" t="s">
        <v>21506</v>
      </c>
      <c r="D5188" t="s">
        <v>9473</v>
      </c>
      <c r="E5188" t="s">
        <v>9474</v>
      </c>
      <c r="J5188" t="s">
        <v>90</v>
      </c>
      <c r="K5188" t="s">
        <v>91</v>
      </c>
      <c r="L5188">
        <v>6</v>
      </c>
      <c r="M5188" t="s">
        <v>21507</v>
      </c>
      <c r="N5188" t="s">
        <v>47</v>
      </c>
      <c r="O5188" t="s">
        <v>9477</v>
      </c>
      <c r="P5188" t="s">
        <v>9477</v>
      </c>
      <c r="Y5188" t="s">
        <v>21508</v>
      </c>
    </row>
    <row r="5189" spans="1:25">
      <c r="A5189" t="s">
        <v>21509</v>
      </c>
      <c r="B5189" t="s">
        <v>21510</v>
      </c>
      <c r="D5189" t="s">
        <v>9473</v>
      </c>
      <c r="E5189" t="s">
        <v>9474</v>
      </c>
      <c r="J5189" t="s">
        <v>90</v>
      </c>
      <c r="K5189" t="s">
        <v>91</v>
      </c>
      <c r="L5189">
        <v>6</v>
      </c>
      <c r="M5189" t="s">
        <v>21507</v>
      </c>
      <c r="N5189" t="s">
        <v>47</v>
      </c>
      <c r="O5189" t="s">
        <v>9477</v>
      </c>
      <c r="P5189" t="s">
        <v>9477</v>
      </c>
      <c r="Y5189" t="s">
        <v>21511</v>
      </c>
    </row>
    <row r="5190" spans="1:25">
      <c r="A5190" t="s">
        <v>21512</v>
      </c>
      <c r="B5190" t="s">
        <v>21513</v>
      </c>
      <c r="D5190" t="s">
        <v>9473</v>
      </c>
      <c r="E5190" t="s">
        <v>9474</v>
      </c>
      <c r="H5190" t="s">
        <v>21514</v>
      </c>
      <c r="J5190" t="s">
        <v>133</v>
      </c>
      <c r="K5190" t="s">
        <v>134</v>
      </c>
      <c r="L5190">
        <v>6</v>
      </c>
      <c r="M5190" t="s">
        <v>21507</v>
      </c>
      <c r="N5190" t="s">
        <v>135</v>
      </c>
      <c r="O5190" t="s">
        <v>9477</v>
      </c>
      <c r="P5190" t="s">
        <v>9477</v>
      </c>
      <c r="Y5190" t="s">
        <v>21514</v>
      </c>
    </row>
    <row r="5191" spans="1:25">
      <c r="A5191" t="s">
        <v>21515</v>
      </c>
      <c r="B5191" t="s">
        <v>21516</v>
      </c>
      <c r="D5191" t="s">
        <v>9473</v>
      </c>
      <c r="E5191" t="s">
        <v>9474</v>
      </c>
      <c r="J5191" t="s">
        <v>371</v>
      </c>
      <c r="K5191" t="s">
        <v>372</v>
      </c>
      <c r="L5191">
        <v>6</v>
      </c>
      <c r="M5191" t="s">
        <v>21507</v>
      </c>
      <c r="N5191" t="s">
        <v>47</v>
      </c>
      <c r="O5191" t="s">
        <v>9477</v>
      </c>
      <c r="P5191" t="s">
        <v>9477</v>
      </c>
      <c r="Y5191" t="s">
        <v>21517</v>
      </c>
    </row>
    <row r="5192" spans="1:25">
      <c r="A5192" t="s">
        <v>21518</v>
      </c>
      <c r="B5192" t="s">
        <v>21519</v>
      </c>
      <c r="D5192" t="s">
        <v>9473</v>
      </c>
      <c r="E5192" t="s">
        <v>9474</v>
      </c>
      <c r="J5192" t="s">
        <v>78</v>
      </c>
      <c r="K5192" t="s">
        <v>79</v>
      </c>
      <c r="L5192">
        <v>6</v>
      </c>
      <c r="M5192" t="s">
        <v>21520</v>
      </c>
      <c r="N5192" t="s">
        <v>47</v>
      </c>
      <c r="O5192" t="s">
        <v>9477</v>
      </c>
      <c r="P5192" t="s">
        <v>9477</v>
      </c>
      <c r="Y5192" t="s">
        <v>21521</v>
      </c>
    </row>
    <row r="5193" spans="1:25">
      <c r="A5193" t="s">
        <v>21522</v>
      </c>
      <c r="B5193" t="s">
        <v>21523</v>
      </c>
      <c r="D5193" t="s">
        <v>9473</v>
      </c>
      <c r="E5193" t="s">
        <v>9474</v>
      </c>
      <c r="J5193" t="s">
        <v>371</v>
      </c>
      <c r="K5193" t="s">
        <v>372</v>
      </c>
      <c r="L5193">
        <v>6</v>
      </c>
      <c r="M5193" t="s">
        <v>21524</v>
      </c>
      <c r="N5193" t="s">
        <v>47</v>
      </c>
      <c r="O5193" t="s">
        <v>9477</v>
      </c>
      <c r="P5193" t="s">
        <v>9477</v>
      </c>
      <c r="Y5193" t="s">
        <v>21525</v>
      </c>
    </row>
    <row r="5194" spans="1:25">
      <c r="A5194" t="s">
        <v>21526</v>
      </c>
      <c r="B5194" t="s">
        <v>21527</v>
      </c>
      <c r="D5194" t="s">
        <v>9473</v>
      </c>
      <c r="E5194" t="s">
        <v>9474</v>
      </c>
      <c r="J5194" t="s">
        <v>44</v>
      </c>
      <c r="K5194" t="s">
        <v>45</v>
      </c>
      <c r="L5194">
        <v>6</v>
      </c>
      <c r="M5194" t="s">
        <v>21528</v>
      </c>
      <c r="N5194" t="s">
        <v>47</v>
      </c>
      <c r="O5194" t="s">
        <v>9477</v>
      </c>
      <c r="P5194" t="s">
        <v>9477</v>
      </c>
      <c r="Y5194" t="s">
        <v>21529</v>
      </c>
    </row>
    <row r="5195" spans="1:25">
      <c r="A5195" t="s">
        <v>21530</v>
      </c>
      <c r="B5195" t="s">
        <v>21531</v>
      </c>
      <c r="D5195" t="s">
        <v>9473</v>
      </c>
      <c r="E5195" t="s">
        <v>9474</v>
      </c>
      <c r="H5195" t="s">
        <v>21532</v>
      </c>
      <c r="J5195" t="s">
        <v>371</v>
      </c>
      <c r="K5195" t="s">
        <v>372</v>
      </c>
      <c r="L5195">
        <v>6</v>
      </c>
      <c r="M5195" t="s">
        <v>21528</v>
      </c>
      <c r="N5195" t="s">
        <v>47</v>
      </c>
      <c r="O5195" t="s">
        <v>9477</v>
      </c>
      <c r="P5195" t="s">
        <v>9477</v>
      </c>
      <c r="Y5195" t="s">
        <v>21532</v>
      </c>
    </row>
    <row r="5196" spans="1:25">
      <c r="A5196" t="s">
        <v>21533</v>
      </c>
      <c r="B5196" t="s">
        <v>21534</v>
      </c>
      <c r="D5196" t="s">
        <v>9473</v>
      </c>
      <c r="E5196" t="s">
        <v>9474</v>
      </c>
      <c r="J5196" t="s">
        <v>371</v>
      </c>
      <c r="K5196" t="s">
        <v>372</v>
      </c>
      <c r="L5196">
        <v>6</v>
      </c>
      <c r="M5196" t="s">
        <v>21535</v>
      </c>
      <c r="N5196" t="s">
        <v>47</v>
      </c>
      <c r="O5196" t="s">
        <v>9477</v>
      </c>
      <c r="P5196" t="s">
        <v>9477</v>
      </c>
      <c r="Y5196" t="s">
        <v>21536</v>
      </c>
    </row>
    <row r="5197" spans="1:25">
      <c r="A5197" t="s">
        <v>21537</v>
      </c>
      <c r="B5197" t="s">
        <v>21538</v>
      </c>
      <c r="D5197" t="s">
        <v>9473</v>
      </c>
      <c r="E5197" t="s">
        <v>9474</v>
      </c>
      <c r="J5197" t="s">
        <v>133</v>
      </c>
      <c r="K5197" t="s">
        <v>134</v>
      </c>
      <c r="L5197">
        <v>6</v>
      </c>
      <c r="M5197" t="s">
        <v>21535</v>
      </c>
      <c r="N5197" t="s">
        <v>135</v>
      </c>
      <c r="O5197" t="s">
        <v>9477</v>
      </c>
      <c r="P5197" t="s">
        <v>9477</v>
      </c>
      <c r="Y5197" t="s">
        <v>21539</v>
      </c>
    </row>
    <row r="5198" spans="1:25">
      <c r="A5198" t="s">
        <v>21540</v>
      </c>
      <c r="B5198" t="s">
        <v>21541</v>
      </c>
      <c r="D5198" t="s">
        <v>9473</v>
      </c>
      <c r="E5198" t="s">
        <v>9474</v>
      </c>
      <c r="J5198" t="s">
        <v>44</v>
      </c>
      <c r="K5198" t="s">
        <v>45</v>
      </c>
      <c r="L5198">
        <v>6</v>
      </c>
      <c r="M5198" t="s">
        <v>21542</v>
      </c>
      <c r="N5198" t="s">
        <v>47</v>
      </c>
      <c r="O5198" t="s">
        <v>9477</v>
      </c>
      <c r="P5198" t="s">
        <v>9477</v>
      </c>
      <c r="Y5198" t="s">
        <v>21543</v>
      </c>
    </row>
    <row r="5199" spans="1:25">
      <c r="A5199" t="s">
        <v>21544</v>
      </c>
      <c r="B5199" t="s">
        <v>21545</v>
      </c>
      <c r="D5199" t="s">
        <v>9473</v>
      </c>
      <c r="E5199" t="s">
        <v>9474</v>
      </c>
      <c r="J5199" t="s">
        <v>78</v>
      </c>
      <c r="K5199" t="s">
        <v>79</v>
      </c>
      <c r="L5199">
        <v>6</v>
      </c>
      <c r="M5199" t="s">
        <v>21546</v>
      </c>
      <c r="N5199" t="s">
        <v>47</v>
      </c>
      <c r="O5199" t="s">
        <v>9477</v>
      </c>
      <c r="P5199" t="s">
        <v>9477</v>
      </c>
      <c r="Y5199" t="s">
        <v>21547</v>
      </c>
    </row>
    <row r="5200" spans="1:25">
      <c r="A5200" t="s">
        <v>21548</v>
      </c>
      <c r="B5200" t="s">
        <v>21549</v>
      </c>
      <c r="D5200" t="s">
        <v>9473</v>
      </c>
      <c r="E5200" t="s">
        <v>9474</v>
      </c>
      <c r="J5200" t="s">
        <v>90</v>
      </c>
      <c r="K5200" t="s">
        <v>91</v>
      </c>
      <c r="L5200">
        <v>6</v>
      </c>
      <c r="M5200" t="s">
        <v>21550</v>
      </c>
      <c r="N5200" t="s">
        <v>47</v>
      </c>
      <c r="O5200" t="s">
        <v>9477</v>
      </c>
      <c r="P5200" t="s">
        <v>9477</v>
      </c>
      <c r="Y5200" t="s">
        <v>21551</v>
      </c>
    </row>
    <row r="5201" spans="1:25">
      <c r="A5201" t="s">
        <v>21552</v>
      </c>
      <c r="B5201" t="s">
        <v>21553</v>
      </c>
      <c r="D5201" t="s">
        <v>9473</v>
      </c>
      <c r="E5201" t="s">
        <v>9474</v>
      </c>
      <c r="J5201" t="s">
        <v>44</v>
      </c>
      <c r="K5201" t="s">
        <v>45</v>
      </c>
      <c r="L5201">
        <v>6</v>
      </c>
      <c r="M5201" t="s">
        <v>21554</v>
      </c>
      <c r="N5201" t="s">
        <v>47</v>
      </c>
      <c r="O5201" t="s">
        <v>9477</v>
      </c>
      <c r="P5201" t="s">
        <v>9477</v>
      </c>
      <c r="Y5201" t="s">
        <v>21555</v>
      </c>
    </row>
    <row r="5202" spans="1:25">
      <c r="A5202" t="s">
        <v>21556</v>
      </c>
      <c r="B5202" t="s">
        <v>21557</v>
      </c>
      <c r="D5202" t="s">
        <v>9473</v>
      </c>
      <c r="E5202" t="s">
        <v>9474</v>
      </c>
      <c r="H5202" t="s">
        <v>21558</v>
      </c>
      <c r="J5202" t="s">
        <v>133</v>
      </c>
      <c r="K5202" t="s">
        <v>134</v>
      </c>
      <c r="L5202">
        <v>6</v>
      </c>
      <c r="M5202" t="s">
        <v>21554</v>
      </c>
      <c r="N5202" t="s">
        <v>135</v>
      </c>
      <c r="O5202" t="s">
        <v>9477</v>
      </c>
      <c r="P5202" t="s">
        <v>9477</v>
      </c>
      <c r="Y5202" t="s">
        <v>21558</v>
      </c>
    </row>
    <row r="5203" spans="1:25">
      <c r="A5203" t="s">
        <v>21559</v>
      </c>
      <c r="B5203" t="s">
        <v>21560</v>
      </c>
      <c r="D5203" t="s">
        <v>9473</v>
      </c>
      <c r="E5203" t="s">
        <v>9474</v>
      </c>
      <c r="H5203" t="s">
        <v>21561</v>
      </c>
      <c r="J5203" t="s">
        <v>90</v>
      </c>
      <c r="K5203" t="s">
        <v>91</v>
      </c>
      <c r="L5203">
        <v>6</v>
      </c>
      <c r="M5203" t="s">
        <v>21554</v>
      </c>
      <c r="N5203" t="s">
        <v>47</v>
      </c>
      <c r="O5203" t="s">
        <v>9477</v>
      </c>
      <c r="P5203" t="s">
        <v>9477</v>
      </c>
      <c r="Y5203" t="s">
        <v>21561</v>
      </c>
    </row>
    <row r="5204" spans="1:25">
      <c r="A5204" t="s">
        <v>21562</v>
      </c>
      <c r="B5204" t="s">
        <v>21563</v>
      </c>
      <c r="D5204" t="s">
        <v>9473</v>
      </c>
      <c r="E5204" t="s">
        <v>9474</v>
      </c>
      <c r="J5204" t="s">
        <v>765</v>
      </c>
      <c r="K5204" t="s">
        <v>766</v>
      </c>
      <c r="L5204">
        <v>6</v>
      </c>
      <c r="M5204" t="s">
        <v>21554</v>
      </c>
      <c r="N5204" t="s">
        <v>290</v>
      </c>
      <c r="O5204" t="s">
        <v>9477</v>
      </c>
      <c r="P5204" t="s">
        <v>9477</v>
      </c>
      <c r="Y5204" t="s">
        <v>21564</v>
      </c>
    </row>
    <row r="5205" spans="1:25">
      <c r="A5205" t="s">
        <v>21565</v>
      </c>
      <c r="B5205" t="s">
        <v>21566</v>
      </c>
      <c r="D5205" t="s">
        <v>9473</v>
      </c>
      <c r="E5205" t="s">
        <v>9474</v>
      </c>
      <c r="H5205" t="s">
        <v>21567</v>
      </c>
      <c r="J5205" t="s">
        <v>234</v>
      </c>
      <c r="K5205" t="s">
        <v>235</v>
      </c>
      <c r="L5205">
        <v>6</v>
      </c>
      <c r="M5205" t="s">
        <v>21568</v>
      </c>
      <c r="N5205" t="s">
        <v>47</v>
      </c>
      <c r="O5205" t="s">
        <v>9477</v>
      </c>
      <c r="P5205" t="s">
        <v>9477</v>
      </c>
      <c r="Y5205" t="s">
        <v>21567</v>
      </c>
    </row>
    <row r="5206" spans="1:25">
      <c r="A5206" t="s">
        <v>21569</v>
      </c>
      <c r="B5206" t="s">
        <v>21570</v>
      </c>
      <c r="D5206" t="s">
        <v>9473</v>
      </c>
      <c r="E5206" t="s">
        <v>9474</v>
      </c>
      <c r="H5206" t="s">
        <v>21571</v>
      </c>
      <c r="J5206" t="s">
        <v>90</v>
      </c>
      <c r="K5206" t="s">
        <v>91</v>
      </c>
      <c r="L5206">
        <v>6</v>
      </c>
      <c r="M5206" t="s">
        <v>21572</v>
      </c>
      <c r="N5206" t="s">
        <v>47</v>
      </c>
      <c r="O5206" t="s">
        <v>9477</v>
      </c>
      <c r="P5206" t="s">
        <v>9477</v>
      </c>
      <c r="Y5206" t="s">
        <v>21571</v>
      </c>
    </row>
    <row r="5207" spans="1:25">
      <c r="A5207" t="s">
        <v>21573</v>
      </c>
      <c r="B5207" t="s">
        <v>21574</v>
      </c>
      <c r="D5207" t="s">
        <v>9473</v>
      </c>
      <c r="E5207" t="s">
        <v>9474</v>
      </c>
      <c r="J5207" t="s">
        <v>371</v>
      </c>
      <c r="K5207" t="s">
        <v>372</v>
      </c>
      <c r="L5207">
        <v>6</v>
      </c>
      <c r="M5207" t="s">
        <v>21575</v>
      </c>
      <c r="N5207" t="s">
        <v>47</v>
      </c>
      <c r="O5207" t="s">
        <v>9477</v>
      </c>
      <c r="P5207" t="s">
        <v>9477</v>
      </c>
      <c r="Y5207" t="s">
        <v>21576</v>
      </c>
    </row>
    <row r="5208" spans="1:25">
      <c r="A5208" t="s">
        <v>21577</v>
      </c>
      <c r="B5208" t="s">
        <v>21578</v>
      </c>
      <c r="D5208" t="s">
        <v>9473</v>
      </c>
      <c r="E5208" t="s">
        <v>9474</v>
      </c>
      <c r="J5208" t="s">
        <v>90</v>
      </c>
      <c r="K5208" t="s">
        <v>91</v>
      </c>
      <c r="L5208">
        <v>6</v>
      </c>
      <c r="M5208" t="s">
        <v>21575</v>
      </c>
      <c r="N5208" t="s">
        <v>47</v>
      </c>
      <c r="O5208" t="s">
        <v>9477</v>
      </c>
      <c r="P5208" t="s">
        <v>9477</v>
      </c>
      <c r="Y5208" t="s">
        <v>21579</v>
      </c>
    </row>
    <row r="5209" spans="1:25">
      <c r="A5209" t="s">
        <v>21580</v>
      </c>
      <c r="B5209" t="s">
        <v>21581</v>
      </c>
      <c r="D5209" t="s">
        <v>9473</v>
      </c>
      <c r="E5209" t="s">
        <v>9474</v>
      </c>
      <c r="J5209" t="s">
        <v>44</v>
      </c>
      <c r="K5209" t="s">
        <v>45</v>
      </c>
      <c r="L5209">
        <v>6</v>
      </c>
      <c r="M5209" t="s">
        <v>21582</v>
      </c>
      <c r="N5209" t="s">
        <v>47</v>
      </c>
      <c r="O5209" t="s">
        <v>9477</v>
      </c>
      <c r="P5209" t="s">
        <v>9477</v>
      </c>
      <c r="Y5209" t="s">
        <v>21583</v>
      </c>
    </row>
    <row r="5210" spans="1:25">
      <c r="A5210" t="s">
        <v>21584</v>
      </c>
      <c r="B5210" t="s">
        <v>21585</v>
      </c>
      <c r="D5210" t="s">
        <v>9473</v>
      </c>
      <c r="E5210" t="s">
        <v>9474</v>
      </c>
      <c r="J5210" t="s">
        <v>133</v>
      </c>
      <c r="K5210" t="s">
        <v>134</v>
      </c>
      <c r="L5210">
        <v>6</v>
      </c>
      <c r="M5210" t="s">
        <v>21582</v>
      </c>
      <c r="N5210" t="s">
        <v>290</v>
      </c>
      <c r="O5210" t="s">
        <v>9477</v>
      </c>
      <c r="P5210" t="s">
        <v>9477</v>
      </c>
      <c r="Y5210" t="s">
        <v>21586</v>
      </c>
    </row>
    <row r="5211" spans="1:25">
      <c r="A5211" t="s">
        <v>21587</v>
      </c>
      <c r="B5211" t="s">
        <v>21588</v>
      </c>
      <c r="D5211" t="s">
        <v>9473</v>
      </c>
      <c r="E5211" t="s">
        <v>9474</v>
      </c>
      <c r="J5211" t="s">
        <v>78</v>
      </c>
      <c r="K5211" t="s">
        <v>79</v>
      </c>
      <c r="L5211">
        <v>6</v>
      </c>
      <c r="M5211" t="s">
        <v>21589</v>
      </c>
      <c r="N5211" t="s">
        <v>47</v>
      </c>
      <c r="O5211" t="s">
        <v>9477</v>
      </c>
      <c r="P5211" t="s">
        <v>9477</v>
      </c>
      <c r="Y5211" t="s">
        <v>21590</v>
      </c>
    </row>
    <row r="5212" spans="1:25">
      <c r="A5212" t="s">
        <v>21591</v>
      </c>
      <c r="B5212" t="s">
        <v>21592</v>
      </c>
      <c r="D5212" t="s">
        <v>9473</v>
      </c>
      <c r="E5212" t="s">
        <v>9474</v>
      </c>
      <c r="J5212" t="s">
        <v>44</v>
      </c>
      <c r="K5212" t="s">
        <v>45</v>
      </c>
      <c r="L5212">
        <v>6</v>
      </c>
      <c r="M5212" t="s">
        <v>21593</v>
      </c>
      <c r="N5212" t="s">
        <v>47</v>
      </c>
      <c r="O5212" t="s">
        <v>9477</v>
      </c>
      <c r="P5212" t="s">
        <v>9477</v>
      </c>
      <c r="Y5212" t="s">
        <v>21594</v>
      </c>
    </row>
    <row r="5213" spans="1:25">
      <c r="A5213" t="s">
        <v>21595</v>
      </c>
      <c r="B5213" t="s">
        <v>21596</v>
      </c>
      <c r="D5213" t="s">
        <v>9473</v>
      </c>
      <c r="E5213" t="s">
        <v>9474</v>
      </c>
      <c r="J5213" t="s">
        <v>90</v>
      </c>
      <c r="K5213" t="s">
        <v>91</v>
      </c>
      <c r="L5213">
        <v>6</v>
      </c>
      <c r="M5213" t="s">
        <v>21593</v>
      </c>
      <c r="N5213" t="s">
        <v>47</v>
      </c>
      <c r="O5213" t="s">
        <v>9477</v>
      </c>
      <c r="P5213" t="s">
        <v>9477</v>
      </c>
      <c r="Y5213" t="s">
        <v>21597</v>
      </c>
    </row>
    <row r="5214" spans="1:25">
      <c r="A5214" t="s">
        <v>21598</v>
      </c>
      <c r="B5214" t="s">
        <v>21599</v>
      </c>
      <c r="D5214" t="s">
        <v>9473</v>
      </c>
      <c r="E5214" t="s">
        <v>9474</v>
      </c>
      <c r="H5214" t="s">
        <v>21600</v>
      </c>
      <c r="J5214" t="s">
        <v>133</v>
      </c>
      <c r="K5214" t="s">
        <v>134</v>
      </c>
      <c r="L5214">
        <v>6</v>
      </c>
      <c r="M5214" t="s">
        <v>21593</v>
      </c>
      <c r="N5214" t="s">
        <v>135</v>
      </c>
      <c r="O5214" t="s">
        <v>9477</v>
      </c>
      <c r="P5214" t="s">
        <v>9477</v>
      </c>
      <c r="Y5214" t="s">
        <v>21600</v>
      </c>
    </row>
    <row r="5215" spans="1:25">
      <c r="A5215" t="s">
        <v>21601</v>
      </c>
      <c r="B5215" t="s">
        <v>21602</v>
      </c>
      <c r="D5215" t="s">
        <v>9473</v>
      </c>
      <c r="E5215" t="s">
        <v>9474</v>
      </c>
      <c r="J5215" t="s">
        <v>371</v>
      </c>
      <c r="K5215" t="s">
        <v>372</v>
      </c>
      <c r="L5215">
        <v>6</v>
      </c>
      <c r="M5215" t="s">
        <v>21593</v>
      </c>
      <c r="N5215" t="s">
        <v>47</v>
      </c>
      <c r="O5215" t="s">
        <v>9477</v>
      </c>
      <c r="P5215" t="s">
        <v>9477</v>
      </c>
      <c r="Y5215" t="s">
        <v>21603</v>
      </c>
    </row>
    <row r="5216" spans="1:25">
      <c r="A5216" t="s">
        <v>21604</v>
      </c>
      <c r="B5216" t="s">
        <v>21605</v>
      </c>
      <c r="D5216" t="s">
        <v>9473</v>
      </c>
      <c r="E5216" t="s">
        <v>9474</v>
      </c>
      <c r="H5216" t="s">
        <v>21606</v>
      </c>
      <c r="J5216" t="s">
        <v>78</v>
      </c>
      <c r="K5216" t="s">
        <v>79</v>
      </c>
      <c r="L5216">
        <v>6</v>
      </c>
      <c r="M5216" t="s">
        <v>21607</v>
      </c>
      <c r="N5216" t="s">
        <v>47</v>
      </c>
      <c r="O5216" t="s">
        <v>9477</v>
      </c>
      <c r="P5216" t="s">
        <v>9477</v>
      </c>
      <c r="Y5216" t="s">
        <v>21606</v>
      </c>
    </row>
    <row r="5217" spans="1:25">
      <c r="A5217" t="s">
        <v>21608</v>
      </c>
      <c r="B5217" t="s">
        <v>21609</v>
      </c>
      <c r="D5217" t="s">
        <v>9473</v>
      </c>
      <c r="E5217" t="s">
        <v>9474</v>
      </c>
      <c r="J5217" t="s">
        <v>90</v>
      </c>
      <c r="K5217" t="s">
        <v>91</v>
      </c>
      <c r="L5217">
        <v>6</v>
      </c>
      <c r="M5217" t="s">
        <v>21610</v>
      </c>
      <c r="N5217" t="s">
        <v>47</v>
      </c>
      <c r="O5217" t="s">
        <v>9477</v>
      </c>
      <c r="P5217" t="s">
        <v>9477</v>
      </c>
      <c r="Y5217" t="s">
        <v>21611</v>
      </c>
    </row>
    <row r="5218" spans="1:25">
      <c r="A5218" t="s">
        <v>21612</v>
      </c>
      <c r="B5218" t="s">
        <v>21613</v>
      </c>
      <c r="D5218" t="s">
        <v>9473</v>
      </c>
      <c r="E5218" t="s">
        <v>9474</v>
      </c>
      <c r="H5218" t="s">
        <v>21614</v>
      </c>
      <c r="J5218" t="s">
        <v>765</v>
      </c>
      <c r="K5218" t="s">
        <v>766</v>
      </c>
      <c r="L5218">
        <v>6</v>
      </c>
      <c r="M5218" t="s">
        <v>21615</v>
      </c>
      <c r="N5218" t="s">
        <v>290</v>
      </c>
      <c r="O5218" t="s">
        <v>9477</v>
      </c>
      <c r="P5218" t="s">
        <v>9477</v>
      </c>
      <c r="Y5218" t="s">
        <v>21614</v>
      </c>
    </row>
    <row r="5219" spans="1:25">
      <c r="A5219" t="s">
        <v>21616</v>
      </c>
      <c r="B5219" t="s">
        <v>21617</v>
      </c>
      <c r="D5219" t="s">
        <v>9473</v>
      </c>
      <c r="E5219" t="s">
        <v>9474</v>
      </c>
      <c r="J5219" t="s">
        <v>44</v>
      </c>
      <c r="K5219" t="s">
        <v>45</v>
      </c>
      <c r="L5219">
        <v>6</v>
      </c>
      <c r="M5219" t="s">
        <v>21618</v>
      </c>
      <c r="N5219" t="s">
        <v>47</v>
      </c>
      <c r="O5219" t="s">
        <v>9477</v>
      </c>
      <c r="P5219" t="s">
        <v>9477</v>
      </c>
      <c r="Y5219" t="s">
        <v>21619</v>
      </c>
    </row>
    <row r="5220" spans="1:25">
      <c r="A5220" t="s">
        <v>21620</v>
      </c>
      <c r="B5220" t="s">
        <v>21621</v>
      </c>
      <c r="D5220" t="s">
        <v>9473</v>
      </c>
      <c r="E5220" t="s">
        <v>9474</v>
      </c>
      <c r="J5220" t="s">
        <v>90</v>
      </c>
      <c r="K5220" t="s">
        <v>91</v>
      </c>
      <c r="L5220">
        <v>6</v>
      </c>
      <c r="M5220" t="s">
        <v>21622</v>
      </c>
      <c r="N5220" t="s">
        <v>47</v>
      </c>
      <c r="O5220" t="s">
        <v>9477</v>
      </c>
      <c r="P5220" t="s">
        <v>9477</v>
      </c>
      <c r="Y5220" t="s">
        <v>21623</v>
      </c>
    </row>
    <row r="5221" spans="1:25">
      <c r="A5221" t="s">
        <v>21624</v>
      </c>
      <c r="B5221" t="s">
        <v>21625</v>
      </c>
      <c r="D5221" t="s">
        <v>9473</v>
      </c>
      <c r="E5221" t="s">
        <v>9474</v>
      </c>
      <c r="H5221" t="s">
        <v>21626</v>
      </c>
      <c r="J5221" t="s">
        <v>90</v>
      </c>
      <c r="K5221" t="s">
        <v>91</v>
      </c>
      <c r="L5221">
        <v>6</v>
      </c>
      <c r="M5221" t="s">
        <v>21627</v>
      </c>
      <c r="N5221" t="s">
        <v>47</v>
      </c>
      <c r="O5221" t="s">
        <v>9477</v>
      </c>
      <c r="P5221" t="s">
        <v>9477</v>
      </c>
      <c r="Y5221" t="s">
        <v>21626</v>
      </c>
    </row>
    <row r="5222" spans="1:25">
      <c r="A5222" t="s">
        <v>21628</v>
      </c>
      <c r="B5222" t="s">
        <v>21629</v>
      </c>
      <c r="D5222" t="s">
        <v>9473</v>
      </c>
      <c r="E5222" t="s">
        <v>9474</v>
      </c>
      <c r="H5222" t="s">
        <v>21630</v>
      </c>
      <c r="J5222" t="s">
        <v>90</v>
      </c>
      <c r="K5222" t="s">
        <v>91</v>
      </c>
      <c r="L5222">
        <v>6</v>
      </c>
      <c r="M5222" t="s">
        <v>21631</v>
      </c>
      <c r="N5222" t="s">
        <v>47</v>
      </c>
      <c r="O5222" t="s">
        <v>9477</v>
      </c>
      <c r="P5222" t="s">
        <v>9477</v>
      </c>
      <c r="Y5222" t="s">
        <v>21630</v>
      </c>
    </row>
    <row r="5223" spans="1:25">
      <c r="A5223" t="s">
        <v>21632</v>
      </c>
      <c r="B5223" t="s">
        <v>21633</v>
      </c>
      <c r="D5223" t="s">
        <v>9473</v>
      </c>
      <c r="E5223" t="s">
        <v>9474</v>
      </c>
      <c r="J5223" t="s">
        <v>133</v>
      </c>
      <c r="K5223" t="s">
        <v>134</v>
      </c>
      <c r="L5223">
        <v>6</v>
      </c>
      <c r="M5223" t="s">
        <v>21631</v>
      </c>
      <c r="N5223" t="s">
        <v>135</v>
      </c>
      <c r="O5223" t="s">
        <v>9477</v>
      </c>
      <c r="P5223" t="s">
        <v>9477</v>
      </c>
      <c r="Y5223" t="s">
        <v>21634</v>
      </c>
    </row>
    <row r="5224" spans="1:25">
      <c r="A5224" t="s">
        <v>21635</v>
      </c>
      <c r="B5224" t="s">
        <v>21636</v>
      </c>
      <c r="D5224" t="s">
        <v>9473</v>
      </c>
      <c r="E5224" t="s">
        <v>9474</v>
      </c>
      <c r="J5224" t="s">
        <v>54</v>
      </c>
      <c r="K5224" t="s">
        <v>55</v>
      </c>
      <c r="L5224">
        <v>6</v>
      </c>
      <c r="M5224" t="s">
        <v>21631</v>
      </c>
      <c r="N5224" t="s">
        <v>47</v>
      </c>
      <c r="O5224" t="s">
        <v>9477</v>
      </c>
      <c r="P5224" t="s">
        <v>9477</v>
      </c>
      <c r="Y5224" t="s">
        <v>21637</v>
      </c>
    </row>
    <row r="5225" spans="1:25">
      <c r="A5225" t="s">
        <v>21638</v>
      </c>
      <c r="B5225" t="s">
        <v>21639</v>
      </c>
      <c r="D5225" t="s">
        <v>9473</v>
      </c>
      <c r="E5225" t="s">
        <v>9474</v>
      </c>
      <c r="J5225" t="s">
        <v>371</v>
      </c>
      <c r="K5225" t="s">
        <v>372</v>
      </c>
      <c r="L5225">
        <v>6</v>
      </c>
      <c r="M5225" t="s">
        <v>21631</v>
      </c>
      <c r="N5225" t="s">
        <v>47</v>
      </c>
      <c r="O5225" t="s">
        <v>9477</v>
      </c>
      <c r="P5225" t="s">
        <v>9477</v>
      </c>
      <c r="Y5225" t="s">
        <v>21640</v>
      </c>
    </row>
    <row r="5226" spans="1:25">
      <c r="A5226" t="s">
        <v>21641</v>
      </c>
      <c r="B5226" t="s">
        <v>21642</v>
      </c>
      <c r="D5226" t="s">
        <v>9473</v>
      </c>
      <c r="E5226" t="s">
        <v>9474</v>
      </c>
      <c r="H5226" t="s">
        <v>21643</v>
      </c>
      <c r="J5226" t="s">
        <v>371</v>
      </c>
      <c r="K5226" t="s">
        <v>372</v>
      </c>
      <c r="L5226">
        <v>6</v>
      </c>
      <c r="M5226" t="s">
        <v>21644</v>
      </c>
      <c r="N5226" t="s">
        <v>47</v>
      </c>
      <c r="O5226" t="s">
        <v>9477</v>
      </c>
      <c r="P5226" t="s">
        <v>9477</v>
      </c>
      <c r="Y5226" t="s">
        <v>21643</v>
      </c>
    </row>
    <row r="5227" spans="1:25">
      <c r="A5227" t="s">
        <v>21645</v>
      </c>
      <c r="B5227" t="s">
        <v>21646</v>
      </c>
      <c r="D5227" t="s">
        <v>9473</v>
      </c>
      <c r="E5227" t="s">
        <v>9474</v>
      </c>
      <c r="J5227" t="s">
        <v>90</v>
      </c>
      <c r="K5227" t="s">
        <v>91</v>
      </c>
      <c r="L5227">
        <v>6</v>
      </c>
      <c r="M5227" t="s">
        <v>21644</v>
      </c>
      <c r="N5227" t="s">
        <v>47</v>
      </c>
      <c r="O5227" t="s">
        <v>9477</v>
      </c>
      <c r="P5227" t="s">
        <v>9477</v>
      </c>
      <c r="Y5227" t="s">
        <v>21647</v>
      </c>
    </row>
    <row r="5228" spans="1:25">
      <c r="A5228" t="s">
        <v>21648</v>
      </c>
      <c r="B5228" t="s">
        <v>21649</v>
      </c>
      <c r="D5228" t="s">
        <v>9473</v>
      </c>
      <c r="E5228" t="s">
        <v>9474</v>
      </c>
      <c r="J5228" t="s">
        <v>54</v>
      </c>
      <c r="K5228" t="s">
        <v>55</v>
      </c>
      <c r="L5228">
        <v>6</v>
      </c>
      <c r="M5228" t="s">
        <v>21650</v>
      </c>
      <c r="N5228" t="s">
        <v>47</v>
      </c>
      <c r="O5228" t="s">
        <v>9477</v>
      </c>
      <c r="P5228" t="s">
        <v>9477</v>
      </c>
      <c r="Y5228" t="s">
        <v>21651</v>
      </c>
    </row>
    <row r="5229" spans="1:25">
      <c r="A5229" t="s">
        <v>21652</v>
      </c>
      <c r="B5229" t="s">
        <v>21653</v>
      </c>
      <c r="D5229" t="s">
        <v>9473</v>
      </c>
      <c r="E5229" t="s">
        <v>9474</v>
      </c>
      <c r="H5229" t="s">
        <v>21654</v>
      </c>
      <c r="J5229" t="s">
        <v>133</v>
      </c>
      <c r="K5229" t="s">
        <v>134</v>
      </c>
      <c r="L5229">
        <v>6</v>
      </c>
      <c r="M5229" t="s">
        <v>21655</v>
      </c>
      <c r="N5229" t="s">
        <v>135</v>
      </c>
      <c r="O5229" t="s">
        <v>9477</v>
      </c>
      <c r="P5229" t="s">
        <v>9477</v>
      </c>
      <c r="Y5229" t="s">
        <v>21654</v>
      </c>
    </row>
    <row r="5230" spans="1:25">
      <c r="A5230" t="s">
        <v>21656</v>
      </c>
      <c r="B5230" t="s">
        <v>21657</v>
      </c>
      <c r="D5230" t="s">
        <v>9473</v>
      </c>
      <c r="E5230" t="s">
        <v>9474</v>
      </c>
      <c r="J5230" t="s">
        <v>44</v>
      </c>
      <c r="K5230" t="s">
        <v>45</v>
      </c>
      <c r="L5230">
        <v>6</v>
      </c>
      <c r="M5230" t="s">
        <v>21658</v>
      </c>
      <c r="N5230" t="s">
        <v>47</v>
      </c>
      <c r="O5230" t="s">
        <v>9477</v>
      </c>
      <c r="P5230" t="s">
        <v>9477</v>
      </c>
      <c r="Y5230" t="s">
        <v>21659</v>
      </c>
    </row>
    <row r="5231" spans="1:25">
      <c r="A5231" t="s">
        <v>21660</v>
      </c>
      <c r="B5231" t="s">
        <v>21661</v>
      </c>
      <c r="D5231" t="s">
        <v>9473</v>
      </c>
      <c r="E5231" t="s">
        <v>9474</v>
      </c>
      <c r="J5231" t="s">
        <v>54</v>
      </c>
      <c r="K5231" t="s">
        <v>55</v>
      </c>
      <c r="L5231">
        <v>6</v>
      </c>
      <c r="M5231" t="s">
        <v>21662</v>
      </c>
      <c r="N5231" t="s">
        <v>47</v>
      </c>
      <c r="O5231" t="s">
        <v>9477</v>
      </c>
      <c r="P5231" t="s">
        <v>9477</v>
      </c>
      <c r="Y5231" t="s">
        <v>21663</v>
      </c>
    </row>
    <row r="5232" spans="1:25">
      <c r="A5232" t="s">
        <v>21664</v>
      </c>
      <c r="B5232" t="s">
        <v>21665</v>
      </c>
      <c r="D5232" t="s">
        <v>9473</v>
      </c>
      <c r="E5232" t="s">
        <v>9474</v>
      </c>
      <c r="J5232" t="s">
        <v>133</v>
      </c>
      <c r="K5232" t="s">
        <v>134</v>
      </c>
      <c r="L5232">
        <v>6</v>
      </c>
      <c r="M5232" t="s">
        <v>21666</v>
      </c>
      <c r="N5232" t="s">
        <v>290</v>
      </c>
      <c r="O5232" t="s">
        <v>9477</v>
      </c>
      <c r="P5232" t="s">
        <v>9477</v>
      </c>
      <c r="Y5232" t="s">
        <v>21667</v>
      </c>
    </row>
    <row r="5233" spans="1:25">
      <c r="A5233" t="s">
        <v>21668</v>
      </c>
      <c r="B5233" t="s">
        <v>21669</v>
      </c>
      <c r="D5233" t="s">
        <v>9473</v>
      </c>
      <c r="E5233" t="s">
        <v>9474</v>
      </c>
      <c r="J5233" t="s">
        <v>90</v>
      </c>
      <c r="K5233" t="s">
        <v>91</v>
      </c>
      <c r="L5233">
        <v>6</v>
      </c>
      <c r="M5233" t="s">
        <v>21666</v>
      </c>
      <c r="N5233" t="s">
        <v>47</v>
      </c>
      <c r="O5233" t="s">
        <v>9477</v>
      </c>
      <c r="P5233" t="s">
        <v>9477</v>
      </c>
      <c r="Y5233" t="s">
        <v>21670</v>
      </c>
    </row>
    <row r="5234" spans="1:25">
      <c r="A5234" t="s">
        <v>21671</v>
      </c>
      <c r="B5234" t="s">
        <v>21672</v>
      </c>
      <c r="D5234" t="s">
        <v>9473</v>
      </c>
      <c r="E5234" t="s">
        <v>9474</v>
      </c>
      <c r="J5234" t="s">
        <v>90</v>
      </c>
      <c r="K5234" t="s">
        <v>91</v>
      </c>
      <c r="L5234">
        <v>6</v>
      </c>
      <c r="M5234" t="s">
        <v>21673</v>
      </c>
      <c r="N5234" t="s">
        <v>47</v>
      </c>
      <c r="O5234" t="s">
        <v>9477</v>
      </c>
      <c r="P5234" t="s">
        <v>9477</v>
      </c>
      <c r="Y5234" t="s">
        <v>21674</v>
      </c>
    </row>
    <row r="5235" spans="1:25">
      <c r="A5235" t="s">
        <v>21675</v>
      </c>
      <c r="B5235" t="s">
        <v>21676</v>
      </c>
      <c r="D5235" t="s">
        <v>9473</v>
      </c>
      <c r="E5235" t="s">
        <v>9474</v>
      </c>
      <c r="J5235" t="s">
        <v>44</v>
      </c>
      <c r="K5235" t="s">
        <v>45</v>
      </c>
      <c r="L5235">
        <v>6</v>
      </c>
      <c r="M5235" t="s">
        <v>21673</v>
      </c>
      <c r="N5235" t="s">
        <v>47</v>
      </c>
      <c r="O5235" t="s">
        <v>9477</v>
      </c>
      <c r="P5235" t="s">
        <v>9477</v>
      </c>
      <c r="Y5235" t="s">
        <v>21677</v>
      </c>
    </row>
    <row r="5236" spans="1:25">
      <c r="A5236" t="s">
        <v>21678</v>
      </c>
      <c r="B5236" t="s">
        <v>21679</v>
      </c>
      <c r="D5236" t="s">
        <v>9473</v>
      </c>
      <c r="E5236" t="s">
        <v>9474</v>
      </c>
      <c r="J5236" t="s">
        <v>90</v>
      </c>
      <c r="K5236" t="s">
        <v>91</v>
      </c>
      <c r="L5236">
        <v>6</v>
      </c>
      <c r="M5236" t="s">
        <v>21673</v>
      </c>
      <c r="N5236" t="s">
        <v>47</v>
      </c>
      <c r="O5236" t="s">
        <v>9477</v>
      </c>
      <c r="P5236" t="s">
        <v>9477</v>
      </c>
      <c r="Y5236" t="s">
        <v>21680</v>
      </c>
    </row>
    <row r="5237" spans="1:25">
      <c r="A5237" t="s">
        <v>21681</v>
      </c>
      <c r="B5237" t="s">
        <v>21682</v>
      </c>
      <c r="D5237" t="s">
        <v>9473</v>
      </c>
      <c r="E5237" t="s">
        <v>9474</v>
      </c>
      <c r="J5237" t="s">
        <v>44</v>
      </c>
      <c r="K5237" t="s">
        <v>45</v>
      </c>
      <c r="L5237">
        <v>6</v>
      </c>
      <c r="M5237" t="s">
        <v>21673</v>
      </c>
      <c r="N5237" t="s">
        <v>47</v>
      </c>
      <c r="O5237" t="s">
        <v>9477</v>
      </c>
      <c r="P5237" t="s">
        <v>9477</v>
      </c>
      <c r="Y5237" t="s">
        <v>21683</v>
      </c>
    </row>
    <row r="5238" spans="1:25">
      <c r="A5238" t="s">
        <v>21684</v>
      </c>
      <c r="B5238" t="s">
        <v>21685</v>
      </c>
      <c r="D5238" t="s">
        <v>9473</v>
      </c>
      <c r="E5238" t="s">
        <v>9474</v>
      </c>
      <c r="H5238" t="s">
        <v>21686</v>
      </c>
      <c r="J5238" t="s">
        <v>133</v>
      </c>
      <c r="K5238" t="s">
        <v>134</v>
      </c>
      <c r="L5238">
        <v>6</v>
      </c>
      <c r="M5238" t="s">
        <v>21687</v>
      </c>
      <c r="N5238" t="s">
        <v>135</v>
      </c>
      <c r="O5238" t="s">
        <v>9477</v>
      </c>
      <c r="P5238" t="s">
        <v>9477</v>
      </c>
      <c r="Y5238" t="s">
        <v>21686</v>
      </c>
    </row>
    <row r="5239" spans="1:25">
      <c r="A5239" t="s">
        <v>21688</v>
      </c>
      <c r="B5239" t="s">
        <v>21689</v>
      </c>
      <c r="D5239" t="s">
        <v>9473</v>
      </c>
      <c r="E5239" t="s">
        <v>9474</v>
      </c>
      <c r="J5239" t="s">
        <v>90</v>
      </c>
      <c r="K5239" t="s">
        <v>91</v>
      </c>
      <c r="L5239">
        <v>6</v>
      </c>
      <c r="M5239" t="s">
        <v>21687</v>
      </c>
      <c r="N5239" t="s">
        <v>47</v>
      </c>
      <c r="O5239" t="s">
        <v>9477</v>
      </c>
      <c r="P5239" t="s">
        <v>9477</v>
      </c>
      <c r="Y5239" t="s">
        <v>21690</v>
      </c>
    </row>
    <row r="5240" spans="1:25">
      <c r="A5240" t="s">
        <v>21691</v>
      </c>
      <c r="B5240" t="s">
        <v>21692</v>
      </c>
      <c r="D5240" t="s">
        <v>9473</v>
      </c>
      <c r="E5240" t="s">
        <v>9474</v>
      </c>
      <c r="J5240" t="s">
        <v>44</v>
      </c>
      <c r="K5240" t="s">
        <v>45</v>
      </c>
      <c r="L5240">
        <v>6</v>
      </c>
      <c r="M5240" t="s">
        <v>21693</v>
      </c>
      <c r="N5240" t="s">
        <v>47</v>
      </c>
      <c r="O5240" t="s">
        <v>9477</v>
      </c>
      <c r="P5240" t="s">
        <v>9477</v>
      </c>
      <c r="Y5240" t="s">
        <v>21694</v>
      </c>
    </row>
    <row r="5241" spans="1:25">
      <c r="A5241" t="s">
        <v>21695</v>
      </c>
      <c r="B5241" t="s">
        <v>21696</v>
      </c>
      <c r="D5241" t="s">
        <v>9473</v>
      </c>
      <c r="E5241" t="s">
        <v>9474</v>
      </c>
      <c r="H5241" t="s">
        <v>21697</v>
      </c>
      <c r="J5241" t="s">
        <v>90</v>
      </c>
      <c r="K5241" t="s">
        <v>91</v>
      </c>
      <c r="L5241">
        <v>6</v>
      </c>
      <c r="M5241" t="s">
        <v>21698</v>
      </c>
      <c r="N5241" t="s">
        <v>47</v>
      </c>
      <c r="O5241" t="s">
        <v>9477</v>
      </c>
      <c r="P5241" t="s">
        <v>9477</v>
      </c>
      <c r="Y5241" t="s">
        <v>21697</v>
      </c>
    </row>
    <row r="5242" spans="1:25">
      <c r="A5242" t="s">
        <v>21699</v>
      </c>
      <c r="B5242" t="s">
        <v>21700</v>
      </c>
      <c r="D5242" t="s">
        <v>9473</v>
      </c>
      <c r="E5242" t="s">
        <v>9474</v>
      </c>
      <c r="J5242" t="s">
        <v>44</v>
      </c>
      <c r="K5242" t="s">
        <v>45</v>
      </c>
      <c r="L5242">
        <v>6</v>
      </c>
      <c r="M5242" t="s">
        <v>21698</v>
      </c>
      <c r="N5242" t="s">
        <v>47</v>
      </c>
      <c r="O5242" t="s">
        <v>9477</v>
      </c>
      <c r="P5242" t="s">
        <v>9477</v>
      </c>
      <c r="Y5242" t="s">
        <v>21701</v>
      </c>
    </row>
    <row r="5243" spans="1:25">
      <c r="A5243" t="s">
        <v>21702</v>
      </c>
      <c r="B5243" t="s">
        <v>21703</v>
      </c>
      <c r="D5243" t="s">
        <v>9473</v>
      </c>
      <c r="E5243" t="s">
        <v>9474</v>
      </c>
      <c r="H5243" t="s">
        <v>21704</v>
      </c>
      <c r="J5243" t="s">
        <v>78</v>
      </c>
      <c r="K5243" t="s">
        <v>79</v>
      </c>
      <c r="L5243">
        <v>6</v>
      </c>
      <c r="M5243" t="s">
        <v>21698</v>
      </c>
      <c r="N5243" t="s">
        <v>47</v>
      </c>
      <c r="O5243" t="s">
        <v>9477</v>
      </c>
      <c r="P5243" t="s">
        <v>9477</v>
      </c>
      <c r="Y5243" t="s">
        <v>21704</v>
      </c>
    </row>
    <row r="5244" spans="1:25">
      <c r="A5244" t="s">
        <v>21705</v>
      </c>
      <c r="B5244" t="s">
        <v>21706</v>
      </c>
      <c r="D5244" t="s">
        <v>9473</v>
      </c>
      <c r="E5244" t="s">
        <v>9474</v>
      </c>
      <c r="H5244" t="s">
        <v>21707</v>
      </c>
      <c r="J5244" t="s">
        <v>133</v>
      </c>
      <c r="K5244" t="s">
        <v>134</v>
      </c>
      <c r="L5244">
        <v>7</v>
      </c>
      <c r="M5244" t="s">
        <v>21708</v>
      </c>
      <c r="N5244" t="s">
        <v>135</v>
      </c>
      <c r="O5244" t="s">
        <v>9477</v>
      </c>
      <c r="P5244" t="s">
        <v>9477</v>
      </c>
      <c r="Y5244" t="s">
        <v>21707</v>
      </c>
    </row>
    <row r="5245" spans="1:25">
      <c r="A5245" t="s">
        <v>21709</v>
      </c>
      <c r="B5245" t="s">
        <v>21710</v>
      </c>
      <c r="D5245" t="s">
        <v>9473</v>
      </c>
      <c r="E5245" t="s">
        <v>9474</v>
      </c>
      <c r="J5245" t="s">
        <v>90</v>
      </c>
      <c r="K5245" t="s">
        <v>91</v>
      </c>
      <c r="L5245">
        <v>6</v>
      </c>
      <c r="M5245" t="s">
        <v>21711</v>
      </c>
      <c r="N5245" t="s">
        <v>47</v>
      </c>
      <c r="O5245" t="s">
        <v>9477</v>
      </c>
      <c r="P5245" t="s">
        <v>9477</v>
      </c>
      <c r="Y5245" t="s">
        <v>21712</v>
      </c>
    </row>
    <row r="5246" spans="1:25">
      <c r="A5246" t="s">
        <v>21713</v>
      </c>
      <c r="B5246" t="s">
        <v>21714</v>
      </c>
      <c r="D5246" t="s">
        <v>9473</v>
      </c>
      <c r="E5246" t="s">
        <v>9474</v>
      </c>
      <c r="J5246" t="s">
        <v>78</v>
      </c>
      <c r="K5246" t="s">
        <v>79</v>
      </c>
      <c r="L5246">
        <v>6</v>
      </c>
      <c r="M5246" t="s">
        <v>21715</v>
      </c>
      <c r="N5246" t="s">
        <v>47</v>
      </c>
      <c r="O5246" t="s">
        <v>9477</v>
      </c>
      <c r="P5246" t="s">
        <v>9477</v>
      </c>
      <c r="Y5246" t="s">
        <v>21716</v>
      </c>
    </row>
    <row r="5247" spans="1:25">
      <c r="A5247" t="s">
        <v>21717</v>
      </c>
      <c r="B5247" t="s">
        <v>21718</v>
      </c>
      <c r="D5247" t="s">
        <v>9473</v>
      </c>
      <c r="E5247" t="s">
        <v>9474</v>
      </c>
      <c r="J5247" t="s">
        <v>90</v>
      </c>
      <c r="K5247" t="s">
        <v>91</v>
      </c>
      <c r="L5247">
        <v>6</v>
      </c>
      <c r="M5247" t="s">
        <v>21719</v>
      </c>
      <c r="N5247" t="s">
        <v>47</v>
      </c>
      <c r="O5247" t="s">
        <v>9477</v>
      </c>
      <c r="P5247" t="s">
        <v>9477</v>
      </c>
      <c r="Y5247" t="s">
        <v>21720</v>
      </c>
    </row>
    <row r="5248" spans="1:25">
      <c r="A5248" t="s">
        <v>21721</v>
      </c>
      <c r="B5248" t="s">
        <v>21722</v>
      </c>
      <c r="D5248" t="s">
        <v>9473</v>
      </c>
      <c r="E5248" t="s">
        <v>9474</v>
      </c>
      <c r="H5248" t="s">
        <v>21723</v>
      </c>
      <c r="J5248" t="s">
        <v>497</v>
      </c>
      <c r="K5248" t="s">
        <v>498</v>
      </c>
      <c r="L5248">
        <v>6</v>
      </c>
      <c r="M5248" t="s">
        <v>21724</v>
      </c>
      <c r="N5248" t="s">
        <v>290</v>
      </c>
      <c r="O5248" t="s">
        <v>9477</v>
      </c>
      <c r="P5248" t="s">
        <v>9477</v>
      </c>
      <c r="Y5248" t="s">
        <v>21723</v>
      </c>
    </row>
    <row r="5249" spans="1:25">
      <c r="A5249" t="s">
        <v>21725</v>
      </c>
      <c r="B5249" t="s">
        <v>21726</v>
      </c>
      <c r="D5249" t="s">
        <v>9473</v>
      </c>
      <c r="E5249" t="s">
        <v>9474</v>
      </c>
      <c r="J5249" t="s">
        <v>90</v>
      </c>
      <c r="K5249" t="s">
        <v>91</v>
      </c>
      <c r="L5249">
        <v>6</v>
      </c>
      <c r="M5249" t="s">
        <v>21724</v>
      </c>
      <c r="N5249" t="s">
        <v>47</v>
      </c>
      <c r="O5249" t="s">
        <v>9477</v>
      </c>
      <c r="P5249" t="s">
        <v>9477</v>
      </c>
      <c r="Y5249" t="s">
        <v>21727</v>
      </c>
    </row>
    <row r="5250" spans="1:25">
      <c r="A5250" t="s">
        <v>21728</v>
      </c>
      <c r="B5250" t="s">
        <v>21729</v>
      </c>
      <c r="D5250" t="s">
        <v>9473</v>
      </c>
      <c r="E5250" t="s">
        <v>9474</v>
      </c>
      <c r="J5250" t="s">
        <v>78</v>
      </c>
      <c r="K5250" t="s">
        <v>79</v>
      </c>
      <c r="L5250">
        <v>6</v>
      </c>
      <c r="M5250" t="s">
        <v>21730</v>
      </c>
      <c r="N5250" t="s">
        <v>47</v>
      </c>
      <c r="O5250" t="s">
        <v>9477</v>
      </c>
      <c r="P5250" t="s">
        <v>9477</v>
      </c>
      <c r="Y5250" t="s">
        <v>21731</v>
      </c>
    </row>
    <row r="5251" spans="1:25">
      <c r="A5251" t="s">
        <v>21732</v>
      </c>
      <c r="B5251" t="s">
        <v>21733</v>
      </c>
      <c r="D5251" t="s">
        <v>9473</v>
      </c>
      <c r="E5251" t="s">
        <v>9474</v>
      </c>
      <c r="J5251" t="s">
        <v>371</v>
      </c>
      <c r="K5251" t="s">
        <v>372</v>
      </c>
      <c r="L5251">
        <v>6</v>
      </c>
      <c r="M5251" t="s">
        <v>21734</v>
      </c>
      <c r="N5251" t="s">
        <v>47</v>
      </c>
      <c r="O5251" t="s">
        <v>9477</v>
      </c>
      <c r="P5251" t="s">
        <v>9477</v>
      </c>
      <c r="Y5251" t="s">
        <v>21735</v>
      </c>
    </row>
    <row r="5252" spans="1:25">
      <c r="A5252" t="s">
        <v>21736</v>
      </c>
      <c r="B5252" t="s">
        <v>21737</v>
      </c>
      <c r="D5252" t="s">
        <v>9473</v>
      </c>
      <c r="E5252" t="s">
        <v>9474</v>
      </c>
      <c r="J5252" t="s">
        <v>54</v>
      </c>
      <c r="K5252" t="s">
        <v>55</v>
      </c>
      <c r="L5252">
        <v>6</v>
      </c>
      <c r="M5252" t="s">
        <v>21738</v>
      </c>
      <c r="N5252" t="s">
        <v>47</v>
      </c>
      <c r="O5252" t="s">
        <v>9477</v>
      </c>
      <c r="P5252" t="s">
        <v>9477</v>
      </c>
      <c r="Y5252" t="s">
        <v>21739</v>
      </c>
    </row>
    <row r="5253" spans="1:25">
      <c r="A5253" t="s">
        <v>21740</v>
      </c>
      <c r="B5253" t="s">
        <v>21741</v>
      </c>
      <c r="D5253" t="s">
        <v>9473</v>
      </c>
      <c r="E5253" t="s">
        <v>9474</v>
      </c>
      <c r="H5253" t="s">
        <v>21742</v>
      </c>
      <c r="J5253" t="s">
        <v>133</v>
      </c>
      <c r="K5253" t="s">
        <v>134</v>
      </c>
      <c r="L5253">
        <v>6</v>
      </c>
      <c r="M5253" t="s">
        <v>21738</v>
      </c>
      <c r="N5253" t="s">
        <v>290</v>
      </c>
      <c r="O5253" t="s">
        <v>9477</v>
      </c>
      <c r="P5253" t="s">
        <v>9477</v>
      </c>
      <c r="Y5253" t="s">
        <v>21742</v>
      </c>
    </row>
    <row r="5254" spans="1:25">
      <c r="A5254" t="s">
        <v>21743</v>
      </c>
      <c r="B5254" t="s">
        <v>21744</v>
      </c>
      <c r="D5254" t="s">
        <v>9473</v>
      </c>
      <c r="E5254" t="s">
        <v>9474</v>
      </c>
      <c r="J5254" t="s">
        <v>44</v>
      </c>
      <c r="K5254" t="s">
        <v>45</v>
      </c>
      <c r="L5254">
        <v>6</v>
      </c>
      <c r="M5254" t="s">
        <v>21745</v>
      </c>
      <c r="N5254" t="s">
        <v>47</v>
      </c>
      <c r="O5254" t="s">
        <v>9477</v>
      </c>
      <c r="P5254" t="s">
        <v>9477</v>
      </c>
      <c r="Y5254" t="s">
        <v>21746</v>
      </c>
    </row>
    <row r="5255" spans="1:25">
      <c r="A5255" t="s">
        <v>21747</v>
      </c>
      <c r="B5255" t="s">
        <v>21748</v>
      </c>
      <c r="D5255" t="s">
        <v>9473</v>
      </c>
      <c r="E5255" t="s">
        <v>9474</v>
      </c>
      <c r="J5255" t="s">
        <v>78</v>
      </c>
      <c r="K5255" t="s">
        <v>79</v>
      </c>
      <c r="L5255">
        <v>6</v>
      </c>
      <c r="M5255" t="s">
        <v>21745</v>
      </c>
      <c r="N5255" t="s">
        <v>47</v>
      </c>
      <c r="O5255" t="s">
        <v>9477</v>
      </c>
      <c r="P5255" t="s">
        <v>9477</v>
      </c>
      <c r="Y5255" t="s">
        <v>21749</v>
      </c>
    </row>
    <row r="5256" spans="1:25">
      <c r="A5256" t="s">
        <v>21750</v>
      </c>
      <c r="B5256" t="s">
        <v>21751</v>
      </c>
      <c r="D5256" t="s">
        <v>9473</v>
      </c>
      <c r="E5256" t="s">
        <v>9474</v>
      </c>
      <c r="H5256" t="s">
        <v>21752</v>
      </c>
      <c r="J5256" t="s">
        <v>90</v>
      </c>
      <c r="K5256" t="s">
        <v>91</v>
      </c>
      <c r="L5256">
        <v>6</v>
      </c>
      <c r="M5256" t="s">
        <v>21745</v>
      </c>
      <c r="N5256" t="s">
        <v>47</v>
      </c>
      <c r="O5256" t="s">
        <v>9477</v>
      </c>
      <c r="P5256" t="s">
        <v>9477</v>
      </c>
      <c r="Y5256" t="s">
        <v>21752</v>
      </c>
    </row>
    <row r="5257" spans="1:25">
      <c r="A5257" t="s">
        <v>21753</v>
      </c>
      <c r="B5257" t="s">
        <v>21754</v>
      </c>
      <c r="D5257" t="s">
        <v>9473</v>
      </c>
      <c r="E5257" t="s">
        <v>9474</v>
      </c>
      <c r="J5257" t="s">
        <v>353</v>
      </c>
      <c r="K5257" t="s">
        <v>354</v>
      </c>
      <c r="L5257">
        <v>6</v>
      </c>
      <c r="M5257" t="s">
        <v>21755</v>
      </c>
      <c r="N5257" t="s">
        <v>135</v>
      </c>
      <c r="O5257" t="s">
        <v>9477</v>
      </c>
      <c r="P5257" t="s">
        <v>9477</v>
      </c>
      <c r="Y5257" t="s">
        <v>21756</v>
      </c>
    </row>
    <row r="5258" spans="1:25">
      <c r="A5258" t="s">
        <v>21757</v>
      </c>
      <c r="B5258" t="s">
        <v>21758</v>
      </c>
      <c r="D5258" t="s">
        <v>9473</v>
      </c>
      <c r="E5258" t="s">
        <v>9474</v>
      </c>
      <c r="J5258" t="s">
        <v>90</v>
      </c>
      <c r="K5258" t="s">
        <v>91</v>
      </c>
      <c r="L5258">
        <v>6</v>
      </c>
      <c r="M5258" t="s">
        <v>21759</v>
      </c>
      <c r="N5258" t="s">
        <v>47</v>
      </c>
      <c r="O5258" t="s">
        <v>9477</v>
      </c>
      <c r="P5258" t="s">
        <v>9477</v>
      </c>
      <c r="Y5258" t="s">
        <v>21760</v>
      </c>
    </row>
    <row r="5259" spans="1:25">
      <c r="A5259" t="s">
        <v>21761</v>
      </c>
      <c r="B5259" t="s">
        <v>21762</v>
      </c>
      <c r="D5259" t="s">
        <v>9473</v>
      </c>
      <c r="E5259" t="s">
        <v>9474</v>
      </c>
      <c r="J5259" t="s">
        <v>90</v>
      </c>
      <c r="K5259" t="s">
        <v>91</v>
      </c>
      <c r="L5259">
        <v>6</v>
      </c>
      <c r="M5259" t="s">
        <v>21763</v>
      </c>
      <c r="N5259" t="s">
        <v>47</v>
      </c>
      <c r="O5259" t="s">
        <v>9477</v>
      </c>
      <c r="P5259" t="s">
        <v>9477</v>
      </c>
      <c r="Y5259" t="s">
        <v>21764</v>
      </c>
    </row>
    <row r="5260" spans="1:25">
      <c r="A5260" t="s">
        <v>21765</v>
      </c>
      <c r="B5260" t="s">
        <v>21766</v>
      </c>
      <c r="D5260" t="s">
        <v>9473</v>
      </c>
      <c r="E5260" t="s">
        <v>9474</v>
      </c>
      <c r="J5260" t="s">
        <v>78</v>
      </c>
      <c r="K5260" t="s">
        <v>79</v>
      </c>
      <c r="L5260">
        <v>6</v>
      </c>
      <c r="M5260" t="s">
        <v>21767</v>
      </c>
      <c r="N5260" t="s">
        <v>47</v>
      </c>
      <c r="O5260" t="s">
        <v>9477</v>
      </c>
      <c r="P5260" t="s">
        <v>9477</v>
      </c>
      <c r="Y5260" t="s">
        <v>21768</v>
      </c>
    </row>
    <row r="5261" spans="1:25">
      <c r="A5261" t="s">
        <v>21769</v>
      </c>
      <c r="B5261" t="s">
        <v>21770</v>
      </c>
      <c r="D5261" t="s">
        <v>9473</v>
      </c>
      <c r="E5261" t="s">
        <v>9474</v>
      </c>
      <c r="J5261" t="s">
        <v>90</v>
      </c>
      <c r="K5261" t="s">
        <v>91</v>
      </c>
      <c r="L5261">
        <v>6</v>
      </c>
      <c r="M5261" t="s">
        <v>21767</v>
      </c>
      <c r="N5261" t="s">
        <v>47</v>
      </c>
      <c r="O5261" t="s">
        <v>9477</v>
      </c>
      <c r="P5261" t="s">
        <v>9477</v>
      </c>
      <c r="Y5261" t="s">
        <v>21771</v>
      </c>
    </row>
    <row r="5262" spans="1:25">
      <c r="A5262" t="s">
        <v>21772</v>
      </c>
      <c r="B5262" t="s">
        <v>21773</v>
      </c>
      <c r="D5262" t="s">
        <v>9473</v>
      </c>
      <c r="E5262" t="s">
        <v>9474</v>
      </c>
      <c r="H5262" t="s">
        <v>21774</v>
      </c>
      <c r="J5262" t="s">
        <v>44</v>
      </c>
      <c r="K5262" t="s">
        <v>45</v>
      </c>
      <c r="L5262">
        <v>6</v>
      </c>
      <c r="M5262" t="s">
        <v>21767</v>
      </c>
      <c r="N5262" t="s">
        <v>47</v>
      </c>
      <c r="O5262" t="s">
        <v>9477</v>
      </c>
      <c r="P5262" t="s">
        <v>9477</v>
      </c>
      <c r="Y5262" t="s">
        <v>21774</v>
      </c>
    </row>
    <row r="5263" spans="1:25">
      <c r="A5263" t="s">
        <v>21775</v>
      </c>
      <c r="B5263" t="s">
        <v>21776</v>
      </c>
      <c r="D5263" t="s">
        <v>9473</v>
      </c>
      <c r="E5263" t="s">
        <v>9474</v>
      </c>
      <c r="J5263" t="s">
        <v>353</v>
      </c>
      <c r="K5263" t="s">
        <v>354</v>
      </c>
      <c r="L5263">
        <v>6</v>
      </c>
      <c r="M5263" t="s">
        <v>21767</v>
      </c>
      <c r="N5263" t="s">
        <v>135</v>
      </c>
      <c r="O5263" t="s">
        <v>9477</v>
      </c>
      <c r="P5263" t="s">
        <v>9477</v>
      </c>
      <c r="Y5263" t="s">
        <v>21777</v>
      </c>
    </row>
    <row r="5264" spans="1:25">
      <c r="A5264" t="s">
        <v>21778</v>
      </c>
      <c r="B5264" t="s">
        <v>21779</v>
      </c>
      <c r="D5264" t="s">
        <v>9473</v>
      </c>
      <c r="E5264" t="s">
        <v>9474</v>
      </c>
      <c r="J5264" t="s">
        <v>78</v>
      </c>
      <c r="K5264" t="s">
        <v>79</v>
      </c>
      <c r="L5264">
        <v>6</v>
      </c>
      <c r="M5264" t="s">
        <v>21780</v>
      </c>
      <c r="N5264" t="s">
        <v>47</v>
      </c>
      <c r="O5264" t="s">
        <v>9477</v>
      </c>
      <c r="P5264" t="s">
        <v>9477</v>
      </c>
      <c r="Y5264" t="s">
        <v>21781</v>
      </c>
    </row>
    <row r="5265" spans="1:25">
      <c r="A5265" t="s">
        <v>21782</v>
      </c>
      <c r="B5265" t="s">
        <v>21783</v>
      </c>
      <c r="D5265" t="s">
        <v>9473</v>
      </c>
      <c r="E5265" t="s">
        <v>9474</v>
      </c>
      <c r="J5265" t="s">
        <v>90</v>
      </c>
      <c r="K5265" t="s">
        <v>91</v>
      </c>
      <c r="L5265">
        <v>6</v>
      </c>
      <c r="M5265" t="s">
        <v>21780</v>
      </c>
      <c r="N5265" t="s">
        <v>47</v>
      </c>
      <c r="O5265" t="s">
        <v>9477</v>
      </c>
      <c r="P5265" t="s">
        <v>9477</v>
      </c>
      <c r="Y5265" t="s">
        <v>21784</v>
      </c>
    </row>
    <row r="5266" spans="1:25">
      <c r="A5266" t="s">
        <v>21785</v>
      </c>
      <c r="B5266" t="s">
        <v>21786</v>
      </c>
      <c r="D5266" t="s">
        <v>9473</v>
      </c>
      <c r="E5266" t="s">
        <v>9474</v>
      </c>
      <c r="J5266" t="s">
        <v>90</v>
      </c>
      <c r="K5266" t="s">
        <v>91</v>
      </c>
      <c r="L5266">
        <v>6</v>
      </c>
      <c r="M5266" t="s">
        <v>21787</v>
      </c>
      <c r="N5266" t="s">
        <v>47</v>
      </c>
      <c r="O5266" t="s">
        <v>9477</v>
      </c>
      <c r="P5266" t="s">
        <v>9477</v>
      </c>
      <c r="Y5266" t="s">
        <v>21788</v>
      </c>
    </row>
    <row r="5267" spans="1:25">
      <c r="A5267" t="s">
        <v>21789</v>
      </c>
      <c r="B5267" t="s">
        <v>21790</v>
      </c>
      <c r="D5267" t="s">
        <v>9473</v>
      </c>
      <c r="E5267" t="s">
        <v>9474</v>
      </c>
      <c r="J5267" t="s">
        <v>44</v>
      </c>
      <c r="K5267" t="s">
        <v>45</v>
      </c>
      <c r="L5267">
        <v>6</v>
      </c>
      <c r="M5267" t="s">
        <v>21787</v>
      </c>
      <c r="N5267" t="s">
        <v>47</v>
      </c>
      <c r="O5267" t="s">
        <v>9477</v>
      </c>
      <c r="P5267" t="s">
        <v>9477</v>
      </c>
      <c r="Y5267" t="s">
        <v>21791</v>
      </c>
    </row>
    <row r="5268" spans="1:25">
      <c r="A5268" t="s">
        <v>21792</v>
      </c>
      <c r="B5268" t="s">
        <v>21793</v>
      </c>
      <c r="D5268" t="s">
        <v>9473</v>
      </c>
      <c r="E5268" t="s">
        <v>9474</v>
      </c>
      <c r="J5268" t="s">
        <v>133</v>
      </c>
      <c r="K5268" t="s">
        <v>134</v>
      </c>
      <c r="L5268">
        <v>6</v>
      </c>
      <c r="M5268" t="s">
        <v>21794</v>
      </c>
      <c r="N5268" t="s">
        <v>135</v>
      </c>
      <c r="O5268" t="s">
        <v>9477</v>
      </c>
      <c r="P5268" t="s">
        <v>9477</v>
      </c>
      <c r="Y5268" t="s">
        <v>21795</v>
      </c>
    </row>
    <row r="5269" spans="1:25">
      <c r="A5269" t="s">
        <v>21796</v>
      </c>
      <c r="B5269" t="s">
        <v>21797</v>
      </c>
      <c r="D5269" t="s">
        <v>9473</v>
      </c>
      <c r="E5269" t="s">
        <v>9474</v>
      </c>
      <c r="H5269" t="s">
        <v>21798</v>
      </c>
      <c r="J5269" t="s">
        <v>90</v>
      </c>
      <c r="K5269" t="s">
        <v>91</v>
      </c>
      <c r="L5269">
        <v>6</v>
      </c>
      <c r="M5269" t="s">
        <v>21799</v>
      </c>
      <c r="N5269" t="s">
        <v>47</v>
      </c>
      <c r="O5269" t="s">
        <v>9477</v>
      </c>
      <c r="P5269" t="s">
        <v>9477</v>
      </c>
      <c r="Y5269" t="s">
        <v>21798</v>
      </c>
    </row>
    <row r="5270" spans="1:25">
      <c r="A5270" t="s">
        <v>21800</v>
      </c>
      <c r="B5270" t="s">
        <v>21801</v>
      </c>
      <c r="D5270" t="s">
        <v>9473</v>
      </c>
      <c r="E5270" t="s">
        <v>9474</v>
      </c>
      <c r="J5270" t="s">
        <v>90</v>
      </c>
      <c r="K5270" t="s">
        <v>91</v>
      </c>
      <c r="L5270">
        <v>6</v>
      </c>
      <c r="M5270" t="s">
        <v>21802</v>
      </c>
      <c r="N5270" t="s">
        <v>47</v>
      </c>
      <c r="O5270" t="s">
        <v>9477</v>
      </c>
      <c r="P5270" t="s">
        <v>9477</v>
      </c>
      <c r="Y5270" t="s">
        <v>21803</v>
      </c>
    </row>
    <row r="5271" spans="1:25">
      <c r="A5271" t="s">
        <v>21804</v>
      </c>
      <c r="B5271" t="s">
        <v>21805</v>
      </c>
      <c r="D5271" t="s">
        <v>9473</v>
      </c>
      <c r="E5271" t="s">
        <v>9474</v>
      </c>
      <c r="J5271" t="s">
        <v>44</v>
      </c>
      <c r="K5271" t="s">
        <v>45</v>
      </c>
      <c r="L5271">
        <v>6</v>
      </c>
      <c r="M5271" t="s">
        <v>21806</v>
      </c>
      <c r="N5271" t="s">
        <v>47</v>
      </c>
      <c r="O5271" t="s">
        <v>9477</v>
      </c>
      <c r="P5271" t="s">
        <v>9477</v>
      </c>
      <c r="Y5271" t="s">
        <v>21807</v>
      </c>
    </row>
    <row r="5272" spans="1:25">
      <c r="A5272" t="s">
        <v>21808</v>
      </c>
      <c r="B5272" t="s">
        <v>21809</v>
      </c>
      <c r="D5272" t="s">
        <v>9473</v>
      </c>
      <c r="E5272" t="s">
        <v>9474</v>
      </c>
      <c r="H5272" t="s">
        <v>21810</v>
      </c>
      <c r="J5272" t="s">
        <v>90</v>
      </c>
      <c r="K5272" t="s">
        <v>91</v>
      </c>
      <c r="L5272">
        <v>6</v>
      </c>
      <c r="M5272" t="s">
        <v>21806</v>
      </c>
      <c r="N5272" t="s">
        <v>47</v>
      </c>
      <c r="O5272" t="s">
        <v>9477</v>
      </c>
      <c r="P5272" t="s">
        <v>9477</v>
      </c>
      <c r="Y5272" t="s">
        <v>21810</v>
      </c>
    </row>
    <row r="5273" spans="1:25">
      <c r="A5273" t="s">
        <v>21811</v>
      </c>
      <c r="B5273" t="s">
        <v>21812</v>
      </c>
      <c r="D5273" t="s">
        <v>9473</v>
      </c>
      <c r="E5273" t="s">
        <v>9474</v>
      </c>
      <c r="J5273" t="s">
        <v>353</v>
      </c>
      <c r="K5273" t="s">
        <v>354</v>
      </c>
      <c r="L5273">
        <v>6</v>
      </c>
      <c r="M5273" t="s">
        <v>21806</v>
      </c>
      <c r="N5273" t="s">
        <v>290</v>
      </c>
      <c r="O5273" t="s">
        <v>9477</v>
      </c>
      <c r="P5273" t="s">
        <v>9477</v>
      </c>
      <c r="Y5273" t="s">
        <v>21813</v>
      </c>
    </row>
    <row r="5274" spans="1:25">
      <c r="A5274" t="s">
        <v>21814</v>
      </c>
      <c r="B5274" t="s">
        <v>21815</v>
      </c>
      <c r="D5274" t="s">
        <v>9473</v>
      </c>
      <c r="E5274" t="s">
        <v>9474</v>
      </c>
      <c r="J5274" t="s">
        <v>90</v>
      </c>
      <c r="K5274" t="s">
        <v>91</v>
      </c>
      <c r="L5274">
        <v>6</v>
      </c>
      <c r="M5274" t="s">
        <v>21806</v>
      </c>
      <c r="N5274" t="s">
        <v>47</v>
      </c>
      <c r="O5274" t="s">
        <v>9477</v>
      </c>
      <c r="P5274" t="s">
        <v>9477</v>
      </c>
      <c r="Y5274" t="s">
        <v>21816</v>
      </c>
    </row>
    <row r="5275" spans="1:25">
      <c r="A5275" t="s">
        <v>21817</v>
      </c>
      <c r="B5275" t="s">
        <v>21818</v>
      </c>
      <c r="D5275" t="s">
        <v>9473</v>
      </c>
      <c r="E5275" t="s">
        <v>9474</v>
      </c>
      <c r="J5275" t="s">
        <v>90</v>
      </c>
      <c r="K5275" t="s">
        <v>91</v>
      </c>
      <c r="L5275">
        <v>6</v>
      </c>
      <c r="M5275" t="s">
        <v>21819</v>
      </c>
      <c r="N5275" t="s">
        <v>47</v>
      </c>
      <c r="O5275" t="s">
        <v>9477</v>
      </c>
      <c r="P5275" t="s">
        <v>9477</v>
      </c>
      <c r="Y5275" t="s">
        <v>21820</v>
      </c>
    </row>
    <row r="5276" spans="1:25">
      <c r="A5276" t="s">
        <v>21821</v>
      </c>
      <c r="B5276" t="s">
        <v>21822</v>
      </c>
      <c r="D5276" t="s">
        <v>9473</v>
      </c>
      <c r="E5276" t="s">
        <v>9474</v>
      </c>
      <c r="H5276" t="s">
        <v>21823</v>
      </c>
      <c r="J5276" t="s">
        <v>90</v>
      </c>
      <c r="K5276" t="s">
        <v>91</v>
      </c>
      <c r="L5276">
        <v>6</v>
      </c>
      <c r="M5276" t="s">
        <v>21824</v>
      </c>
      <c r="N5276" t="s">
        <v>47</v>
      </c>
      <c r="O5276" t="s">
        <v>9477</v>
      </c>
      <c r="P5276" t="s">
        <v>9477</v>
      </c>
      <c r="Y5276" t="s">
        <v>21823</v>
      </c>
    </row>
    <row r="5277" spans="1:25">
      <c r="A5277" t="s">
        <v>21825</v>
      </c>
      <c r="B5277" t="s">
        <v>21826</v>
      </c>
      <c r="D5277" t="s">
        <v>9473</v>
      </c>
      <c r="E5277" t="s">
        <v>9474</v>
      </c>
      <c r="J5277" t="s">
        <v>90</v>
      </c>
      <c r="K5277" t="s">
        <v>91</v>
      </c>
      <c r="L5277">
        <v>6</v>
      </c>
      <c r="M5277" t="s">
        <v>21827</v>
      </c>
      <c r="N5277" t="s">
        <v>47</v>
      </c>
      <c r="O5277" t="s">
        <v>9477</v>
      </c>
      <c r="P5277" t="s">
        <v>9477</v>
      </c>
      <c r="Y5277" t="s">
        <v>21828</v>
      </c>
    </row>
    <row r="5278" spans="1:25">
      <c r="A5278" t="s">
        <v>21829</v>
      </c>
      <c r="B5278" t="s">
        <v>21830</v>
      </c>
      <c r="D5278" t="s">
        <v>9473</v>
      </c>
      <c r="E5278" t="s">
        <v>9474</v>
      </c>
      <c r="J5278" t="s">
        <v>90</v>
      </c>
      <c r="K5278" t="s">
        <v>91</v>
      </c>
      <c r="L5278">
        <v>6</v>
      </c>
      <c r="M5278" t="s">
        <v>21831</v>
      </c>
      <c r="N5278" t="s">
        <v>47</v>
      </c>
      <c r="O5278" t="s">
        <v>9477</v>
      </c>
      <c r="P5278" t="s">
        <v>9477</v>
      </c>
      <c r="Y5278" t="s">
        <v>21832</v>
      </c>
    </row>
    <row r="5279" spans="1:25">
      <c r="A5279" t="s">
        <v>21833</v>
      </c>
      <c r="B5279" t="s">
        <v>21834</v>
      </c>
      <c r="D5279" t="s">
        <v>9473</v>
      </c>
      <c r="E5279" t="s">
        <v>9474</v>
      </c>
      <c r="J5279" t="s">
        <v>44</v>
      </c>
      <c r="K5279" t="s">
        <v>45</v>
      </c>
      <c r="L5279">
        <v>6</v>
      </c>
      <c r="M5279" t="s">
        <v>21835</v>
      </c>
      <c r="N5279" t="s">
        <v>47</v>
      </c>
      <c r="O5279" t="s">
        <v>9477</v>
      </c>
      <c r="P5279" t="s">
        <v>9477</v>
      </c>
      <c r="Y5279" t="s">
        <v>21836</v>
      </c>
    </row>
    <row r="5280" spans="1:25">
      <c r="A5280" t="s">
        <v>21837</v>
      </c>
      <c r="B5280" t="s">
        <v>21838</v>
      </c>
      <c r="D5280" t="s">
        <v>9473</v>
      </c>
      <c r="E5280" t="s">
        <v>9474</v>
      </c>
      <c r="J5280" t="s">
        <v>90</v>
      </c>
      <c r="K5280" t="s">
        <v>91</v>
      </c>
      <c r="L5280">
        <v>6</v>
      </c>
      <c r="M5280" t="s">
        <v>21839</v>
      </c>
      <c r="N5280" t="s">
        <v>47</v>
      </c>
      <c r="O5280" t="s">
        <v>9477</v>
      </c>
      <c r="P5280" t="s">
        <v>9477</v>
      </c>
      <c r="Y5280" t="s">
        <v>21840</v>
      </c>
    </row>
    <row r="5281" spans="1:25">
      <c r="A5281" t="s">
        <v>21841</v>
      </c>
      <c r="B5281" t="s">
        <v>21842</v>
      </c>
      <c r="D5281" t="s">
        <v>9473</v>
      </c>
      <c r="E5281" t="s">
        <v>9474</v>
      </c>
      <c r="H5281" t="s">
        <v>21843</v>
      </c>
      <c r="J5281" t="s">
        <v>54</v>
      </c>
      <c r="K5281" t="s">
        <v>55</v>
      </c>
      <c r="L5281">
        <v>6</v>
      </c>
      <c r="M5281" t="s">
        <v>21844</v>
      </c>
      <c r="N5281" t="s">
        <v>47</v>
      </c>
      <c r="O5281" t="s">
        <v>9477</v>
      </c>
      <c r="P5281" t="s">
        <v>9477</v>
      </c>
      <c r="Y5281" t="s">
        <v>21843</v>
      </c>
    </row>
    <row r="5282" spans="1:25">
      <c r="A5282" t="s">
        <v>21845</v>
      </c>
      <c r="B5282" t="s">
        <v>21846</v>
      </c>
      <c r="D5282" t="s">
        <v>9473</v>
      </c>
      <c r="E5282" t="s">
        <v>9474</v>
      </c>
      <c r="H5282" t="s">
        <v>21847</v>
      </c>
      <c r="J5282" t="s">
        <v>44</v>
      </c>
      <c r="K5282" t="s">
        <v>45</v>
      </c>
      <c r="L5282">
        <v>6</v>
      </c>
      <c r="M5282" t="s">
        <v>21848</v>
      </c>
      <c r="N5282" t="s">
        <v>47</v>
      </c>
      <c r="O5282" t="s">
        <v>9477</v>
      </c>
      <c r="P5282" t="s">
        <v>9477</v>
      </c>
      <c r="Y5282" t="s">
        <v>21847</v>
      </c>
    </row>
    <row r="5283" spans="1:25">
      <c r="A5283" t="s">
        <v>21849</v>
      </c>
      <c r="B5283" t="s">
        <v>21850</v>
      </c>
      <c r="D5283" t="s">
        <v>9473</v>
      </c>
      <c r="E5283" t="s">
        <v>9474</v>
      </c>
      <c r="J5283" t="s">
        <v>541</v>
      </c>
      <c r="K5283" t="s">
        <v>542</v>
      </c>
      <c r="L5283">
        <v>6</v>
      </c>
      <c r="M5283" t="s">
        <v>21851</v>
      </c>
      <c r="N5283" t="s">
        <v>290</v>
      </c>
      <c r="O5283" t="s">
        <v>9477</v>
      </c>
      <c r="P5283" t="s">
        <v>9477</v>
      </c>
      <c r="Y5283" t="s">
        <v>21852</v>
      </c>
    </row>
    <row r="5284" spans="1:25">
      <c r="A5284" t="s">
        <v>21853</v>
      </c>
      <c r="B5284" t="s">
        <v>21854</v>
      </c>
      <c r="D5284" t="s">
        <v>9473</v>
      </c>
      <c r="E5284" t="s">
        <v>9474</v>
      </c>
      <c r="H5284" t="s">
        <v>21855</v>
      </c>
      <c r="J5284" t="s">
        <v>44</v>
      </c>
      <c r="K5284" t="s">
        <v>45</v>
      </c>
      <c r="L5284">
        <v>6</v>
      </c>
      <c r="M5284" t="s">
        <v>21856</v>
      </c>
      <c r="N5284" t="s">
        <v>47</v>
      </c>
      <c r="O5284" t="s">
        <v>9477</v>
      </c>
      <c r="P5284" t="s">
        <v>9477</v>
      </c>
      <c r="Y5284" t="s">
        <v>21855</v>
      </c>
    </row>
    <row r="5285" spans="1:25">
      <c r="A5285" t="s">
        <v>21857</v>
      </c>
      <c r="B5285" t="s">
        <v>21858</v>
      </c>
      <c r="D5285" t="s">
        <v>9473</v>
      </c>
      <c r="E5285" t="s">
        <v>9474</v>
      </c>
      <c r="J5285" t="s">
        <v>497</v>
      </c>
      <c r="K5285" t="s">
        <v>498</v>
      </c>
      <c r="L5285">
        <v>6</v>
      </c>
      <c r="M5285" t="s">
        <v>21859</v>
      </c>
      <c r="N5285" t="s">
        <v>135</v>
      </c>
      <c r="O5285" t="s">
        <v>9477</v>
      </c>
      <c r="P5285" t="s">
        <v>9477</v>
      </c>
      <c r="Y5285" t="s">
        <v>21860</v>
      </c>
    </row>
    <row r="5286" spans="1:25">
      <c r="A5286" t="s">
        <v>21861</v>
      </c>
      <c r="B5286" t="s">
        <v>21862</v>
      </c>
      <c r="D5286" t="s">
        <v>9473</v>
      </c>
      <c r="E5286" t="s">
        <v>9474</v>
      </c>
      <c r="J5286" t="s">
        <v>44</v>
      </c>
      <c r="K5286" t="s">
        <v>45</v>
      </c>
      <c r="L5286">
        <v>6</v>
      </c>
      <c r="M5286" t="s">
        <v>21863</v>
      </c>
      <c r="N5286" t="s">
        <v>47</v>
      </c>
      <c r="O5286" t="s">
        <v>9477</v>
      </c>
      <c r="P5286" t="s">
        <v>9477</v>
      </c>
      <c r="Y5286" t="s">
        <v>21864</v>
      </c>
    </row>
    <row r="5287" spans="1:25">
      <c r="A5287" t="s">
        <v>21865</v>
      </c>
      <c r="B5287" t="s">
        <v>21866</v>
      </c>
      <c r="D5287" t="s">
        <v>9473</v>
      </c>
      <c r="E5287" t="s">
        <v>9474</v>
      </c>
      <c r="J5287" t="s">
        <v>54</v>
      </c>
      <c r="K5287" t="s">
        <v>55</v>
      </c>
      <c r="L5287">
        <v>6</v>
      </c>
      <c r="M5287" t="s">
        <v>21867</v>
      </c>
      <c r="N5287" t="s">
        <v>47</v>
      </c>
      <c r="O5287" t="s">
        <v>9477</v>
      </c>
      <c r="P5287" t="s">
        <v>9477</v>
      </c>
      <c r="Y5287" t="s">
        <v>21868</v>
      </c>
    </row>
    <row r="5288" spans="1:25">
      <c r="A5288" t="s">
        <v>21869</v>
      </c>
      <c r="B5288" t="s">
        <v>21870</v>
      </c>
      <c r="D5288" t="s">
        <v>9473</v>
      </c>
      <c r="E5288" t="s">
        <v>9474</v>
      </c>
      <c r="H5288" t="s">
        <v>21871</v>
      </c>
      <c r="J5288" t="s">
        <v>90</v>
      </c>
      <c r="K5288" t="s">
        <v>91</v>
      </c>
      <c r="L5288">
        <v>6</v>
      </c>
      <c r="M5288" t="s">
        <v>21872</v>
      </c>
      <c r="N5288" t="s">
        <v>47</v>
      </c>
      <c r="O5288" t="s">
        <v>9477</v>
      </c>
      <c r="P5288" t="s">
        <v>9477</v>
      </c>
      <c r="Y5288" t="s">
        <v>21871</v>
      </c>
    </row>
    <row r="5289" spans="1:25">
      <c r="A5289" t="s">
        <v>21873</v>
      </c>
      <c r="B5289" t="s">
        <v>21874</v>
      </c>
      <c r="D5289" t="s">
        <v>9473</v>
      </c>
      <c r="E5289" t="s">
        <v>9474</v>
      </c>
      <c r="J5289" t="s">
        <v>44</v>
      </c>
      <c r="K5289" t="s">
        <v>45</v>
      </c>
      <c r="L5289">
        <v>6</v>
      </c>
      <c r="M5289" t="s">
        <v>21872</v>
      </c>
      <c r="N5289" t="s">
        <v>47</v>
      </c>
      <c r="O5289" t="s">
        <v>9477</v>
      </c>
      <c r="P5289" t="s">
        <v>9477</v>
      </c>
      <c r="Y5289" t="s">
        <v>21875</v>
      </c>
    </row>
    <row r="5290" spans="1:25">
      <c r="A5290" t="s">
        <v>21876</v>
      </c>
      <c r="B5290" t="s">
        <v>21877</v>
      </c>
      <c r="D5290" t="s">
        <v>9473</v>
      </c>
      <c r="E5290" t="s">
        <v>9474</v>
      </c>
      <c r="H5290" t="s">
        <v>21878</v>
      </c>
      <c r="J5290" t="s">
        <v>90</v>
      </c>
      <c r="K5290" t="s">
        <v>91</v>
      </c>
      <c r="L5290">
        <v>6</v>
      </c>
      <c r="M5290" t="s">
        <v>21872</v>
      </c>
      <c r="N5290" t="s">
        <v>47</v>
      </c>
      <c r="O5290" t="s">
        <v>9477</v>
      </c>
      <c r="P5290" t="s">
        <v>9477</v>
      </c>
      <c r="Y5290" t="s">
        <v>21878</v>
      </c>
    </row>
    <row r="5291" spans="1:25">
      <c r="A5291" t="s">
        <v>21879</v>
      </c>
      <c r="B5291" t="s">
        <v>21880</v>
      </c>
      <c r="D5291" t="s">
        <v>9473</v>
      </c>
      <c r="E5291" t="s">
        <v>9474</v>
      </c>
      <c r="J5291" t="s">
        <v>44</v>
      </c>
      <c r="K5291" t="s">
        <v>45</v>
      </c>
      <c r="L5291">
        <v>6</v>
      </c>
      <c r="M5291" t="s">
        <v>21881</v>
      </c>
      <c r="N5291" t="s">
        <v>47</v>
      </c>
      <c r="O5291" t="s">
        <v>9477</v>
      </c>
      <c r="P5291" t="s">
        <v>9477</v>
      </c>
      <c r="Y5291" t="s">
        <v>21882</v>
      </c>
    </row>
    <row r="5292" spans="1:25">
      <c r="A5292" t="s">
        <v>21883</v>
      </c>
      <c r="B5292" t="s">
        <v>21884</v>
      </c>
      <c r="D5292" t="s">
        <v>9473</v>
      </c>
      <c r="E5292" t="s">
        <v>9474</v>
      </c>
      <c r="J5292" t="s">
        <v>54</v>
      </c>
      <c r="K5292" t="s">
        <v>55</v>
      </c>
      <c r="L5292">
        <v>6</v>
      </c>
      <c r="M5292" t="s">
        <v>21885</v>
      </c>
      <c r="N5292" t="s">
        <v>47</v>
      </c>
      <c r="O5292" t="s">
        <v>9477</v>
      </c>
      <c r="P5292" t="s">
        <v>9477</v>
      </c>
      <c r="Y5292" t="s">
        <v>21886</v>
      </c>
    </row>
    <row r="5293" spans="1:25">
      <c r="A5293" t="s">
        <v>21887</v>
      </c>
      <c r="B5293" t="s">
        <v>21888</v>
      </c>
      <c r="D5293" t="s">
        <v>9473</v>
      </c>
      <c r="E5293" t="s">
        <v>9474</v>
      </c>
      <c r="H5293" t="s">
        <v>21889</v>
      </c>
      <c r="J5293" t="s">
        <v>44</v>
      </c>
      <c r="K5293" t="s">
        <v>45</v>
      </c>
      <c r="L5293">
        <v>6</v>
      </c>
      <c r="M5293" t="s">
        <v>21885</v>
      </c>
      <c r="N5293" t="s">
        <v>47</v>
      </c>
      <c r="O5293" t="s">
        <v>9477</v>
      </c>
      <c r="P5293" t="s">
        <v>9477</v>
      </c>
      <c r="Y5293" t="s">
        <v>21889</v>
      </c>
    </row>
    <row r="5294" spans="1:25">
      <c r="A5294" t="s">
        <v>21890</v>
      </c>
      <c r="B5294" t="s">
        <v>21891</v>
      </c>
      <c r="D5294" t="s">
        <v>9473</v>
      </c>
      <c r="E5294" t="s">
        <v>9474</v>
      </c>
      <c r="J5294" t="s">
        <v>90</v>
      </c>
      <c r="K5294" t="s">
        <v>91</v>
      </c>
      <c r="L5294">
        <v>6</v>
      </c>
      <c r="M5294" t="s">
        <v>21885</v>
      </c>
      <c r="N5294" t="s">
        <v>47</v>
      </c>
      <c r="O5294" t="s">
        <v>9477</v>
      </c>
      <c r="P5294" t="s">
        <v>9477</v>
      </c>
      <c r="Y5294" t="s">
        <v>21892</v>
      </c>
    </row>
    <row r="5295" spans="1:25">
      <c r="A5295" t="s">
        <v>21893</v>
      </c>
      <c r="B5295" t="s">
        <v>21894</v>
      </c>
      <c r="D5295" t="s">
        <v>9473</v>
      </c>
      <c r="E5295" t="s">
        <v>9474</v>
      </c>
      <c r="J5295" t="s">
        <v>78</v>
      </c>
      <c r="K5295" t="s">
        <v>79</v>
      </c>
      <c r="L5295">
        <v>6</v>
      </c>
      <c r="M5295" t="s">
        <v>21895</v>
      </c>
      <c r="N5295" t="s">
        <v>47</v>
      </c>
      <c r="O5295" t="s">
        <v>9477</v>
      </c>
      <c r="P5295" t="s">
        <v>9477</v>
      </c>
      <c r="Y5295" t="s">
        <v>21896</v>
      </c>
    </row>
    <row r="5296" spans="1:25">
      <c r="A5296" t="s">
        <v>21897</v>
      </c>
      <c r="B5296" t="s">
        <v>21898</v>
      </c>
      <c r="D5296" t="s">
        <v>9473</v>
      </c>
      <c r="E5296" t="s">
        <v>9474</v>
      </c>
      <c r="H5296" t="s">
        <v>21899</v>
      </c>
      <c r="J5296" t="s">
        <v>54</v>
      </c>
      <c r="K5296" t="s">
        <v>55</v>
      </c>
      <c r="L5296">
        <v>6</v>
      </c>
      <c r="M5296" t="s">
        <v>21900</v>
      </c>
      <c r="N5296" t="s">
        <v>47</v>
      </c>
      <c r="O5296" t="s">
        <v>9477</v>
      </c>
      <c r="P5296" t="s">
        <v>9477</v>
      </c>
      <c r="Y5296" t="s">
        <v>21899</v>
      </c>
    </row>
    <row r="5297" spans="1:25">
      <c r="A5297" t="s">
        <v>21901</v>
      </c>
      <c r="B5297" t="s">
        <v>21902</v>
      </c>
      <c r="D5297" t="s">
        <v>9473</v>
      </c>
      <c r="E5297" t="s">
        <v>9474</v>
      </c>
      <c r="J5297" t="s">
        <v>44</v>
      </c>
      <c r="K5297" t="s">
        <v>45</v>
      </c>
      <c r="L5297">
        <v>6</v>
      </c>
      <c r="M5297" t="s">
        <v>21900</v>
      </c>
      <c r="N5297" t="s">
        <v>47</v>
      </c>
      <c r="O5297" t="s">
        <v>9477</v>
      </c>
      <c r="P5297" t="s">
        <v>9477</v>
      </c>
      <c r="Y5297" t="s">
        <v>21903</v>
      </c>
    </row>
    <row r="5298" spans="1:25">
      <c r="A5298" t="s">
        <v>21904</v>
      </c>
      <c r="B5298" t="s">
        <v>21905</v>
      </c>
      <c r="D5298" t="s">
        <v>9473</v>
      </c>
      <c r="E5298" t="s">
        <v>9474</v>
      </c>
      <c r="J5298" t="s">
        <v>90</v>
      </c>
      <c r="K5298" t="s">
        <v>91</v>
      </c>
      <c r="L5298">
        <v>6</v>
      </c>
      <c r="M5298" t="s">
        <v>21900</v>
      </c>
      <c r="N5298" t="s">
        <v>47</v>
      </c>
      <c r="O5298" t="s">
        <v>9477</v>
      </c>
      <c r="P5298" t="s">
        <v>9477</v>
      </c>
      <c r="Y5298" t="s">
        <v>21906</v>
      </c>
    </row>
    <row r="5299" spans="1:25">
      <c r="A5299" t="s">
        <v>21907</v>
      </c>
      <c r="B5299" t="s">
        <v>21908</v>
      </c>
      <c r="D5299" t="s">
        <v>9473</v>
      </c>
      <c r="E5299" t="s">
        <v>9474</v>
      </c>
      <c r="J5299" t="s">
        <v>44</v>
      </c>
      <c r="K5299" t="s">
        <v>45</v>
      </c>
      <c r="L5299">
        <v>6</v>
      </c>
      <c r="M5299" t="s">
        <v>21909</v>
      </c>
      <c r="N5299" t="s">
        <v>47</v>
      </c>
      <c r="O5299" t="s">
        <v>9477</v>
      </c>
      <c r="P5299" t="s">
        <v>9477</v>
      </c>
      <c r="Y5299" t="s">
        <v>21910</v>
      </c>
    </row>
    <row r="5300" spans="1:25">
      <c r="A5300" t="s">
        <v>21911</v>
      </c>
      <c r="B5300" t="s">
        <v>21912</v>
      </c>
      <c r="D5300" t="s">
        <v>9473</v>
      </c>
      <c r="E5300" t="s">
        <v>9474</v>
      </c>
      <c r="H5300" t="s">
        <v>21913</v>
      </c>
      <c r="J5300" t="s">
        <v>133</v>
      </c>
      <c r="K5300" t="s">
        <v>134</v>
      </c>
      <c r="L5300">
        <v>6</v>
      </c>
      <c r="M5300" t="s">
        <v>21909</v>
      </c>
      <c r="N5300" t="s">
        <v>290</v>
      </c>
      <c r="O5300" t="s">
        <v>9477</v>
      </c>
      <c r="P5300" t="s">
        <v>9477</v>
      </c>
      <c r="Y5300" t="s">
        <v>21913</v>
      </c>
    </row>
    <row r="5301" spans="1:25">
      <c r="A5301" t="s">
        <v>21914</v>
      </c>
      <c r="B5301" t="s">
        <v>21915</v>
      </c>
      <c r="D5301" t="s">
        <v>9473</v>
      </c>
      <c r="E5301" t="s">
        <v>9474</v>
      </c>
      <c r="H5301" t="s">
        <v>21916</v>
      </c>
      <c r="J5301" t="s">
        <v>234</v>
      </c>
      <c r="K5301" t="s">
        <v>235</v>
      </c>
      <c r="L5301">
        <v>6</v>
      </c>
      <c r="M5301" t="s">
        <v>21917</v>
      </c>
      <c r="N5301" t="s">
        <v>47</v>
      </c>
      <c r="O5301" t="s">
        <v>9477</v>
      </c>
      <c r="P5301" t="s">
        <v>9477</v>
      </c>
      <c r="Y5301" t="s">
        <v>21916</v>
      </c>
    </row>
    <row r="5302" spans="1:25">
      <c r="A5302" t="s">
        <v>21918</v>
      </c>
      <c r="B5302" t="s">
        <v>21919</v>
      </c>
      <c r="D5302" t="s">
        <v>9473</v>
      </c>
      <c r="E5302" t="s">
        <v>9474</v>
      </c>
      <c r="J5302" t="s">
        <v>90</v>
      </c>
      <c r="K5302" t="s">
        <v>91</v>
      </c>
      <c r="L5302">
        <v>6</v>
      </c>
      <c r="M5302" t="s">
        <v>21920</v>
      </c>
      <c r="N5302" t="s">
        <v>47</v>
      </c>
      <c r="O5302" t="s">
        <v>9477</v>
      </c>
      <c r="P5302" t="s">
        <v>9477</v>
      </c>
      <c r="Y5302" t="s">
        <v>21921</v>
      </c>
    </row>
    <row r="5303" spans="1:25">
      <c r="A5303" t="s">
        <v>21922</v>
      </c>
      <c r="B5303" t="s">
        <v>21923</v>
      </c>
      <c r="D5303" t="s">
        <v>9473</v>
      </c>
      <c r="E5303" t="s">
        <v>9474</v>
      </c>
      <c r="J5303" t="s">
        <v>90</v>
      </c>
      <c r="K5303" t="s">
        <v>91</v>
      </c>
      <c r="L5303">
        <v>6</v>
      </c>
      <c r="M5303" t="s">
        <v>21920</v>
      </c>
      <c r="N5303" t="s">
        <v>47</v>
      </c>
      <c r="O5303" t="s">
        <v>9477</v>
      </c>
      <c r="P5303" t="s">
        <v>9477</v>
      </c>
      <c r="Y5303" t="s">
        <v>21924</v>
      </c>
    </row>
    <row r="5304" spans="1:25">
      <c r="A5304" t="s">
        <v>21925</v>
      </c>
      <c r="B5304" t="s">
        <v>21926</v>
      </c>
      <c r="D5304" t="s">
        <v>9473</v>
      </c>
      <c r="E5304" t="s">
        <v>9474</v>
      </c>
      <c r="J5304" t="s">
        <v>90</v>
      </c>
      <c r="K5304" t="s">
        <v>91</v>
      </c>
      <c r="L5304">
        <v>6</v>
      </c>
      <c r="M5304" t="s">
        <v>21920</v>
      </c>
      <c r="N5304" t="s">
        <v>47</v>
      </c>
      <c r="O5304" t="s">
        <v>9477</v>
      </c>
      <c r="P5304" t="s">
        <v>9477</v>
      </c>
      <c r="Y5304" t="s">
        <v>21927</v>
      </c>
    </row>
    <row r="5305" spans="1:25">
      <c r="A5305" t="s">
        <v>21928</v>
      </c>
      <c r="B5305" t="s">
        <v>21929</v>
      </c>
      <c r="D5305" t="s">
        <v>9473</v>
      </c>
      <c r="E5305" t="s">
        <v>9474</v>
      </c>
      <c r="J5305" t="s">
        <v>78</v>
      </c>
      <c r="K5305" t="s">
        <v>79</v>
      </c>
      <c r="L5305">
        <v>6</v>
      </c>
      <c r="M5305" t="s">
        <v>21930</v>
      </c>
      <c r="N5305" t="s">
        <v>47</v>
      </c>
      <c r="O5305" t="s">
        <v>9477</v>
      </c>
      <c r="P5305" t="s">
        <v>9477</v>
      </c>
      <c r="Y5305" t="s">
        <v>21931</v>
      </c>
    </row>
    <row r="5306" spans="1:25">
      <c r="A5306" t="s">
        <v>21932</v>
      </c>
      <c r="B5306" t="s">
        <v>21933</v>
      </c>
      <c r="D5306" t="s">
        <v>9473</v>
      </c>
      <c r="E5306" t="s">
        <v>9474</v>
      </c>
      <c r="H5306" t="s">
        <v>21934</v>
      </c>
      <c r="J5306" t="s">
        <v>54</v>
      </c>
      <c r="K5306" t="s">
        <v>55</v>
      </c>
      <c r="L5306">
        <v>6</v>
      </c>
      <c r="M5306" t="s">
        <v>21935</v>
      </c>
      <c r="N5306" t="s">
        <v>47</v>
      </c>
      <c r="O5306" t="s">
        <v>9477</v>
      </c>
      <c r="P5306" t="s">
        <v>9477</v>
      </c>
      <c r="Y5306" t="s">
        <v>21934</v>
      </c>
    </row>
    <row r="5307" spans="1:25">
      <c r="A5307" t="s">
        <v>21936</v>
      </c>
      <c r="B5307" t="s">
        <v>21937</v>
      </c>
      <c r="D5307" t="s">
        <v>9473</v>
      </c>
      <c r="E5307" t="s">
        <v>9474</v>
      </c>
      <c r="J5307" t="s">
        <v>78</v>
      </c>
      <c r="K5307" t="s">
        <v>79</v>
      </c>
      <c r="L5307">
        <v>6</v>
      </c>
      <c r="M5307" t="s">
        <v>21935</v>
      </c>
      <c r="N5307" t="s">
        <v>47</v>
      </c>
      <c r="O5307" t="s">
        <v>9477</v>
      </c>
      <c r="P5307" t="s">
        <v>9477</v>
      </c>
      <c r="Y5307" t="s">
        <v>21938</v>
      </c>
    </row>
    <row r="5308" spans="1:25">
      <c r="A5308" t="s">
        <v>21939</v>
      </c>
      <c r="B5308" t="s">
        <v>21940</v>
      </c>
      <c r="D5308" t="s">
        <v>9473</v>
      </c>
      <c r="E5308" t="s">
        <v>9474</v>
      </c>
      <c r="H5308" t="s">
        <v>21941</v>
      </c>
      <c r="J5308" t="s">
        <v>90</v>
      </c>
      <c r="K5308" t="s">
        <v>91</v>
      </c>
      <c r="L5308">
        <v>6</v>
      </c>
      <c r="M5308" t="s">
        <v>21942</v>
      </c>
      <c r="N5308" t="s">
        <v>47</v>
      </c>
      <c r="O5308" t="s">
        <v>9477</v>
      </c>
      <c r="P5308" t="s">
        <v>9477</v>
      </c>
      <c r="Y5308" t="s">
        <v>21941</v>
      </c>
    </row>
    <row r="5309" spans="1:25">
      <c r="A5309" t="s">
        <v>21943</v>
      </c>
      <c r="B5309" t="s">
        <v>21944</v>
      </c>
      <c r="D5309" t="s">
        <v>9473</v>
      </c>
      <c r="E5309" t="s">
        <v>9474</v>
      </c>
      <c r="H5309" t="s">
        <v>21945</v>
      </c>
      <c r="J5309" t="s">
        <v>78</v>
      </c>
      <c r="K5309" t="s">
        <v>79</v>
      </c>
      <c r="L5309">
        <v>6</v>
      </c>
      <c r="M5309" t="s">
        <v>21946</v>
      </c>
      <c r="N5309" t="s">
        <v>47</v>
      </c>
      <c r="O5309" t="s">
        <v>9477</v>
      </c>
      <c r="P5309" t="s">
        <v>9477</v>
      </c>
      <c r="Y5309" t="s">
        <v>21945</v>
      </c>
    </row>
    <row r="5310" spans="1:25">
      <c r="A5310" t="s">
        <v>21947</v>
      </c>
      <c r="B5310" t="s">
        <v>21948</v>
      </c>
      <c r="D5310" t="s">
        <v>9473</v>
      </c>
      <c r="E5310" t="s">
        <v>9474</v>
      </c>
      <c r="H5310" t="s">
        <v>21949</v>
      </c>
      <c r="J5310" t="s">
        <v>541</v>
      </c>
      <c r="K5310" t="s">
        <v>542</v>
      </c>
      <c r="L5310">
        <v>6</v>
      </c>
      <c r="M5310" t="s">
        <v>21946</v>
      </c>
      <c r="N5310" t="s">
        <v>290</v>
      </c>
      <c r="O5310" t="s">
        <v>9477</v>
      </c>
      <c r="P5310" t="s">
        <v>9477</v>
      </c>
      <c r="Y5310" t="s">
        <v>21949</v>
      </c>
    </row>
    <row r="5311" spans="1:25">
      <c r="A5311" t="s">
        <v>21950</v>
      </c>
      <c r="B5311" t="s">
        <v>21951</v>
      </c>
      <c r="D5311" t="s">
        <v>9473</v>
      </c>
      <c r="E5311" t="s">
        <v>9474</v>
      </c>
      <c r="H5311" t="s">
        <v>21952</v>
      </c>
      <c r="J5311" t="s">
        <v>78</v>
      </c>
      <c r="K5311" t="s">
        <v>79</v>
      </c>
      <c r="L5311">
        <v>6</v>
      </c>
      <c r="M5311" t="s">
        <v>21953</v>
      </c>
      <c r="N5311" t="s">
        <v>47</v>
      </c>
      <c r="O5311" t="s">
        <v>9477</v>
      </c>
      <c r="P5311" t="s">
        <v>9477</v>
      </c>
      <c r="Y5311" t="s">
        <v>21952</v>
      </c>
    </row>
    <row r="5312" spans="1:25">
      <c r="A5312" t="s">
        <v>21954</v>
      </c>
      <c r="B5312" t="s">
        <v>21955</v>
      </c>
      <c r="D5312" t="s">
        <v>9473</v>
      </c>
      <c r="E5312" t="s">
        <v>9474</v>
      </c>
      <c r="H5312" t="s">
        <v>21956</v>
      </c>
      <c r="J5312" t="s">
        <v>90</v>
      </c>
      <c r="K5312" t="s">
        <v>91</v>
      </c>
      <c r="L5312">
        <v>6</v>
      </c>
      <c r="M5312" t="s">
        <v>21957</v>
      </c>
      <c r="N5312" t="s">
        <v>47</v>
      </c>
      <c r="O5312" t="s">
        <v>9477</v>
      </c>
      <c r="P5312" t="s">
        <v>9477</v>
      </c>
      <c r="Y5312" t="s">
        <v>21956</v>
      </c>
    </row>
    <row r="5313" spans="1:25">
      <c r="A5313" t="s">
        <v>21958</v>
      </c>
      <c r="B5313" t="s">
        <v>21959</v>
      </c>
      <c r="D5313" t="s">
        <v>9473</v>
      </c>
      <c r="E5313" t="s">
        <v>9474</v>
      </c>
      <c r="H5313" t="s">
        <v>21960</v>
      </c>
      <c r="J5313" t="s">
        <v>78</v>
      </c>
      <c r="K5313" t="s">
        <v>79</v>
      </c>
      <c r="L5313">
        <v>6</v>
      </c>
      <c r="M5313" t="s">
        <v>21957</v>
      </c>
      <c r="N5313" t="s">
        <v>47</v>
      </c>
      <c r="O5313" t="s">
        <v>9477</v>
      </c>
      <c r="P5313" t="s">
        <v>9477</v>
      </c>
      <c r="Y5313" t="s">
        <v>21960</v>
      </c>
    </row>
    <row r="5314" spans="1:25">
      <c r="A5314" t="s">
        <v>21961</v>
      </c>
      <c r="B5314" t="s">
        <v>21962</v>
      </c>
      <c r="D5314" t="s">
        <v>9473</v>
      </c>
      <c r="E5314" t="s">
        <v>9474</v>
      </c>
      <c r="J5314" t="s">
        <v>90</v>
      </c>
      <c r="K5314" t="s">
        <v>91</v>
      </c>
      <c r="L5314">
        <v>6</v>
      </c>
      <c r="M5314" t="s">
        <v>21957</v>
      </c>
      <c r="N5314" t="s">
        <v>47</v>
      </c>
      <c r="O5314" t="s">
        <v>9477</v>
      </c>
      <c r="P5314" t="s">
        <v>9477</v>
      </c>
      <c r="Y5314" t="s">
        <v>21963</v>
      </c>
    </row>
    <row r="5315" spans="1:25">
      <c r="A5315" t="s">
        <v>21964</v>
      </c>
      <c r="B5315" t="s">
        <v>21965</v>
      </c>
      <c r="D5315" t="s">
        <v>9473</v>
      </c>
      <c r="E5315" t="s">
        <v>9474</v>
      </c>
      <c r="H5315" t="s">
        <v>21966</v>
      </c>
      <c r="J5315" t="s">
        <v>234</v>
      </c>
      <c r="K5315" t="s">
        <v>235</v>
      </c>
      <c r="L5315">
        <v>6</v>
      </c>
      <c r="M5315" t="s">
        <v>21967</v>
      </c>
      <c r="N5315" t="s">
        <v>47</v>
      </c>
      <c r="O5315" t="s">
        <v>9477</v>
      </c>
      <c r="P5315" t="s">
        <v>9477</v>
      </c>
      <c r="Y5315" t="s">
        <v>21966</v>
      </c>
    </row>
    <row r="5316" spans="1:25">
      <c r="A5316" t="s">
        <v>21968</v>
      </c>
      <c r="B5316" t="s">
        <v>21969</v>
      </c>
      <c r="D5316" t="s">
        <v>9473</v>
      </c>
      <c r="E5316" t="s">
        <v>9474</v>
      </c>
      <c r="J5316" t="s">
        <v>90</v>
      </c>
      <c r="K5316" t="s">
        <v>91</v>
      </c>
      <c r="L5316">
        <v>6</v>
      </c>
      <c r="M5316" t="s">
        <v>21970</v>
      </c>
      <c r="N5316" t="s">
        <v>47</v>
      </c>
      <c r="O5316" t="s">
        <v>9477</v>
      </c>
      <c r="P5316" t="s">
        <v>9477</v>
      </c>
      <c r="Y5316" t="s">
        <v>21971</v>
      </c>
    </row>
    <row r="5317" spans="1:25">
      <c r="A5317" t="s">
        <v>21972</v>
      </c>
      <c r="B5317" t="s">
        <v>21973</v>
      </c>
      <c r="D5317" t="s">
        <v>9473</v>
      </c>
      <c r="E5317" t="s">
        <v>9474</v>
      </c>
      <c r="J5317" t="s">
        <v>927</v>
      </c>
      <c r="K5317" t="s">
        <v>928</v>
      </c>
      <c r="L5317">
        <v>6</v>
      </c>
      <c r="M5317" t="s">
        <v>21970</v>
      </c>
      <c r="N5317" t="s">
        <v>135</v>
      </c>
      <c r="O5317" t="s">
        <v>9477</v>
      </c>
      <c r="P5317" t="s">
        <v>9477</v>
      </c>
      <c r="Y5317" t="s">
        <v>21974</v>
      </c>
    </row>
    <row r="5318" spans="1:25">
      <c r="A5318" t="s">
        <v>21975</v>
      </c>
      <c r="B5318" t="s">
        <v>21976</v>
      </c>
      <c r="D5318" t="s">
        <v>9473</v>
      </c>
      <c r="E5318" t="s">
        <v>9474</v>
      </c>
      <c r="J5318" t="s">
        <v>78</v>
      </c>
      <c r="K5318" t="s">
        <v>79</v>
      </c>
      <c r="L5318">
        <v>6</v>
      </c>
      <c r="M5318" t="s">
        <v>21977</v>
      </c>
      <c r="N5318" t="s">
        <v>47</v>
      </c>
      <c r="O5318" t="s">
        <v>9477</v>
      </c>
      <c r="P5318" t="s">
        <v>9477</v>
      </c>
      <c r="Y5318" t="s">
        <v>21978</v>
      </c>
    </row>
    <row r="5319" spans="1:25">
      <c r="A5319" t="s">
        <v>21979</v>
      </c>
      <c r="B5319" t="s">
        <v>21980</v>
      </c>
      <c r="D5319" t="s">
        <v>9473</v>
      </c>
      <c r="E5319" t="s">
        <v>9474</v>
      </c>
      <c r="J5319" t="s">
        <v>78</v>
      </c>
      <c r="K5319" t="s">
        <v>79</v>
      </c>
      <c r="L5319">
        <v>6</v>
      </c>
      <c r="M5319" t="s">
        <v>21981</v>
      </c>
      <c r="N5319" t="s">
        <v>47</v>
      </c>
      <c r="O5319" t="s">
        <v>9477</v>
      </c>
      <c r="P5319" t="s">
        <v>9477</v>
      </c>
      <c r="Y5319" t="s">
        <v>21982</v>
      </c>
    </row>
    <row r="5320" spans="1:25">
      <c r="A5320" t="s">
        <v>21983</v>
      </c>
      <c r="B5320" t="s">
        <v>21984</v>
      </c>
      <c r="D5320" t="s">
        <v>9473</v>
      </c>
      <c r="E5320" t="s">
        <v>9474</v>
      </c>
      <c r="J5320" t="s">
        <v>90</v>
      </c>
      <c r="K5320" t="s">
        <v>91</v>
      </c>
      <c r="L5320">
        <v>6</v>
      </c>
      <c r="M5320" t="s">
        <v>21985</v>
      </c>
      <c r="N5320" t="s">
        <v>47</v>
      </c>
      <c r="O5320" t="s">
        <v>9477</v>
      </c>
      <c r="P5320" t="s">
        <v>9477</v>
      </c>
      <c r="Y5320" t="s">
        <v>21986</v>
      </c>
    </row>
    <row r="5321" spans="1:25">
      <c r="A5321" t="s">
        <v>21987</v>
      </c>
      <c r="B5321" t="s">
        <v>21988</v>
      </c>
      <c r="D5321" t="s">
        <v>9473</v>
      </c>
      <c r="E5321" t="s">
        <v>9474</v>
      </c>
      <c r="J5321" t="s">
        <v>133</v>
      </c>
      <c r="K5321" t="s">
        <v>134</v>
      </c>
      <c r="L5321">
        <v>6</v>
      </c>
      <c r="M5321" t="s">
        <v>21989</v>
      </c>
      <c r="N5321" t="s">
        <v>290</v>
      </c>
      <c r="O5321" t="s">
        <v>9477</v>
      </c>
      <c r="P5321" t="s">
        <v>9477</v>
      </c>
      <c r="Y5321" t="s">
        <v>21990</v>
      </c>
    </row>
    <row r="5322" spans="1:25">
      <c r="A5322" t="s">
        <v>21991</v>
      </c>
      <c r="B5322" t="s">
        <v>21992</v>
      </c>
      <c r="D5322" t="s">
        <v>9473</v>
      </c>
      <c r="E5322" t="s">
        <v>9474</v>
      </c>
      <c r="H5322" t="s">
        <v>21993</v>
      </c>
      <c r="J5322" t="s">
        <v>353</v>
      </c>
      <c r="K5322" t="s">
        <v>354</v>
      </c>
      <c r="L5322">
        <v>6</v>
      </c>
      <c r="M5322" t="s">
        <v>21994</v>
      </c>
      <c r="N5322" t="s">
        <v>135</v>
      </c>
      <c r="O5322" t="s">
        <v>9477</v>
      </c>
      <c r="P5322" t="s">
        <v>9477</v>
      </c>
      <c r="Y5322" t="s">
        <v>21993</v>
      </c>
    </row>
    <row r="5323" spans="1:25">
      <c r="A5323" t="s">
        <v>21995</v>
      </c>
      <c r="B5323" t="s">
        <v>21996</v>
      </c>
      <c r="D5323" t="s">
        <v>9473</v>
      </c>
      <c r="E5323" t="s">
        <v>9474</v>
      </c>
      <c r="H5323" t="s">
        <v>21997</v>
      </c>
      <c r="J5323" t="s">
        <v>133</v>
      </c>
      <c r="K5323" t="s">
        <v>134</v>
      </c>
      <c r="L5323">
        <v>8</v>
      </c>
      <c r="M5323" t="s">
        <v>21998</v>
      </c>
      <c r="N5323" t="s">
        <v>290</v>
      </c>
      <c r="O5323" t="s">
        <v>9477</v>
      </c>
      <c r="P5323" t="s">
        <v>9477</v>
      </c>
      <c r="Y5323" t="s">
        <v>21997</v>
      </c>
    </row>
    <row r="5324" spans="1:25">
      <c r="A5324" t="s">
        <v>21999</v>
      </c>
      <c r="B5324" t="s">
        <v>22000</v>
      </c>
      <c r="D5324" t="s">
        <v>9473</v>
      </c>
      <c r="E5324" t="s">
        <v>9474</v>
      </c>
      <c r="H5324" t="s">
        <v>22001</v>
      </c>
      <c r="J5324" t="s">
        <v>90</v>
      </c>
      <c r="K5324" t="s">
        <v>91</v>
      </c>
      <c r="L5324">
        <v>6</v>
      </c>
      <c r="M5324" t="s">
        <v>22002</v>
      </c>
      <c r="N5324" t="s">
        <v>47</v>
      </c>
      <c r="O5324" t="s">
        <v>9477</v>
      </c>
      <c r="P5324" t="s">
        <v>9477</v>
      </c>
      <c r="Y5324" t="s">
        <v>22001</v>
      </c>
    </row>
    <row r="5325" spans="1:25">
      <c r="A5325" t="s">
        <v>22003</v>
      </c>
      <c r="B5325" t="s">
        <v>22004</v>
      </c>
      <c r="D5325" t="s">
        <v>9473</v>
      </c>
      <c r="E5325" t="s">
        <v>9474</v>
      </c>
      <c r="H5325" t="s">
        <v>22005</v>
      </c>
      <c r="J5325" t="s">
        <v>90</v>
      </c>
      <c r="K5325" t="s">
        <v>91</v>
      </c>
      <c r="L5325">
        <v>6</v>
      </c>
      <c r="M5325" t="s">
        <v>22002</v>
      </c>
      <c r="N5325" t="s">
        <v>47</v>
      </c>
      <c r="O5325" t="s">
        <v>9477</v>
      </c>
      <c r="P5325" t="s">
        <v>9477</v>
      </c>
      <c r="Y5325" t="s">
        <v>22005</v>
      </c>
    </row>
    <row r="5326" spans="1:25">
      <c r="A5326" t="s">
        <v>22006</v>
      </c>
      <c r="B5326" t="s">
        <v>22007</v>
      </c>
      <c r="D5326" t="s">
        <v>9473</v>
      </c>
      <c r="E5326" t="s">
        <v>9474</v>
      </c>
      <c r="J5326" t="s">
        <v>90</v>
      </c>
      <c r="K5326" t="s">
        <v>91</v>
      </c>
      <c r="L5326">
        <v>6</v>
      </c>
      <c r="M5326" t="s">
        <v>22002</v>
      </c>
      <c r="N5326" t="s">
        <v>47</v>
      </c>
      <c r="O5326" t="s">
        <v>9477</v>
      </c>
      <c r="P5326" t="s">
        <v>9477</v>
      </c>
      <c r="Y5326" t="s">
        <v>22008</v>
      </c>
    </row>
    <row r="5327" spans="1:25">
      <c r="A5327" t="s">
        <v>22009</v>
      </c>
      <c r="B5327" t="s">
        <v>22010</v>
      </c>
      <c r="D5327" t="s">
        <v>9473</v>
      </c>
      <c r="E5327" t="s">
        <v>9474</v>
      </c>
      <c r="J5327" t="s">
        <v>90</v>
      </c>
      <c r="K5327" t="s">
        <v>91</v>
      </c>
      <c r="L5327">
        <v>6</v>
      </c>
      <c r="M5327" t="s">
        <v>22011</v>
      </c>
      <c r="N5327" t="s">
        <v>47</v>
      </c>
      <c r="O5327" t="s">
        <v>9477</v>
      </c>
      <c r="P5327" t="s">
        <v>9477</v>
      </c>
      <c r="Y5327" t="s">
        <v>22012</v>
      </c>
    </row>
    <row r="5328" spans="1:25">
      <c r="A5328" t="s">
        <v>22013</v>
      </c>
      <c r="B5328" t="s">
        <v>22014</v>
      </c>
      <c r="D5328" t="s">
        <v>9473</v>
      </c>
      <c r="E5328" t="s">
        <v>9474</v>
      </c>
      <c r="J5328" t="s">
        <v>54</v>
      </c>
      <c r="K5328" t="s">
        <v>55</v>
      </c>
      <c r="L5328">
        <v>6</v>
      </c>
      <c r="M5328" t="s">
        <v>22011</v>
      </c>
      <c r="N5328" t="s">
        <v>47</v>
      </c>
      <c r="O5328" t="s">
        <v>9477</v>
      </c>
      <c r="P5328" t="s">
        <v>9477</v>
      </c>
      <c r="Y5328" t="s">
        <v>22015</v>
      </c>
    </row>
    <row r="5329" spans="1:25">
      <c r="A5329" t="s">
        <v>22016</v>
      </c>
      <c r="B5329" t="s">
        <v>22017</v>
      </c>
      <c r="D5329" t="s">
        <v>9473</v>
      </c>
      <c r="E5329" t="s">
        <v>9474</v>
      </c>
      <c r="J5329" t="s">
        <v>497</v>
      </c>
      <c r="K5329" t="s">
        <v>498</v>
      </c>
      <c r="L5329">
        <v>6</v>
      </c>
      <c r="M5329" t="s">
        <v>22018</v>
      </c>
      <c r="N5329" t="s">
        <v>135</v>
      </c>
      <c r="O5329" t="s">
        <v>9477</v>
      </c>
      <c r="P5329" t="s">
        <v>9477</v>
      </c>
      <c r="Y5329" t="s">
        <v>22019</v>
      </c>
    </row>
    <row r="5330" spans="1:25">
      <c r="A5330" t="s">
        <v>22020</v>
      </c>
      <c r="B5330" t="s">
        <v>22021</v>
      </c>
      <c r="D5330" t="s">
        <v>9473</v>
      </c>
      <c r="E5330" t="s">
        <v>9474</v>
      </c>
      <c r="H5330" t="s">
        <v>22022</v>
      </c>
      <c r="J5330" t="s">
        <v>90</v>
      </c>
      <c r="K5330" t="s">
        <v>91</v>
      </c>
      <c r="L5330">
        <v>6</v>
      </c>
      <c r="M5330" t="s">
        <v>22018</v>
      </c>
      <c r="N5330" t="s">
        <v>47</v>
      </c>
      <c r="O5330" t="s">
        <v>9477</v>
      </c>
      <c r="P5330" t="s">
        <v>9477</v>
      </c>
      <c r="Y5330" t="s">
        <v>22022</v>
      </c>
    </row>
    <row r="5331" spans="1:25">
      <c r="A5331" t="s">
        <v>22023</v>
      </c>
      <c r="B5331" t="s">
        <v>22024</v>
      </c>
      <c r="D5331" t="s">
        <v>9473</v>
      </c>
      <c r="E5331" t="s">
        <v>9474</v>
      </c>
      <c r="J5331" t="s">
        <v>497</v>
      </c>
      <c r="K5331" t="s">
        <v>498</v>
      </c>
      <c r="L5331">
        <v>6</v>
      </c>
      <c r="M5331" t="s">
        <v>22025</v>
      </c>
      <c r="N5331" t="s">
        <v>135</v>
      </c>
      <c r="O5331" t="s">
        <v>9477</v>
      </c>
      <c r="P5331" t="s">
        <v>9477</v>
      </c>
      <c r="Y5331" t="s">
        <v>22026</v>
      </c>
    </row>
    <row r="5332" spans="1:25">
      <c r="A5332" t="s">
        <v>22027</v>
      </c>
      <c r="B5332" t="s">
        <v>22028</v>
      </c>
      <c r="D5332" t="s">
        <v>9473</v>
      </c>
      <c r="E5332" t="s">
        <v>9474</v>
      </c>
      <c r="J5332" t="s">
        <v>90</v>
      </c>
      <c r="K5332" t="s">
        <v>91</v>
      </c>
      <c r="L5332">
        <v>6</v>
      </c>
      <c r="M5332" t="s">
        <v>22025</v>
      </c>
      <c r="N5332" t="s">
        <v>47</v>
      </c>
      <c r="O5332" t="s">
        <v>9477</v>
      </c>
      <c r="P5332" t="s">
        <v>9477</v>
      </c>
      <c r="Y5332" t="s">
        <v>22029</v>
      </c>
    </row>
    <row r="5333" spans="1:25">
      <c r="A5333" t="s">
        <v>22030</v>
      </c>
      <c r="B5333" t="s">
        <v>22031</v>
      </c>
      <c r="D5333" t="s">
        <v>9473</v>
      </c>
      <c r="E5333" t="s">
        <v>9474</v>
      </c>
      <c r="J5333" t="s">
        <v>78</v>
      </c>
      <c r="K5333" t="s">
        <v>79</v>
      </c>
      <c r="L5333">
        <v>6</v>
      </c>
      <c r="M5333" t="s">
        <v>22025</v>
      </c>
      <c r="N5333" t="s">
        <v>47</v>
      </c>
      <c r="O5333" t="s">
        <v>9477</v>
      </c>
      <c r="P5333" t="s">
        <v>9477</v>
      </c>
      <c r="Y5333" t="s">
        <v>22032</v>
      </c>
    </row>
    <row r="5334" spans="1:25">
      <c r="A5334" t="s">
        <v>22033</v>
      </c>
      <c r="B5334" t="s">
        <v>22034</v>
      </c>
      <c r="D5334" t="s">
        <v>9473</v>
      </c>
      <c r="E5334" t="s">
        <v>9474</v>
      </c>
      <c r="J5334" t="s">
        <v>44</v>
      </c>
      <c r="K5334" t="s">
        <v>45</v>
      </c>
      <c r="L5334">
        <v>6</v>
      </c>
      <c r="M5334" t="s">
        <v>22025</v>
      </c>
      <c r="N5334" t="s">
        <v>47</v>
      </c>
      <c r="O5334" t="s">
        <v>9477</v>
      </c>
      <c r="P5334" t="s">
        <v>9477</v>
      </c>
      <c r="Y5334" t="s">
        <v>22035</v>
      </c>
    </row>
    <row r="5335" spans="1:25">
      <c r="A5335" t="s">
        <v>22036</v>
      </c>
      <c r="B5335" t="s">
        <v>22037</v>
      </c>
      <c r="D5335" t="s">
        <v>9473</v>
      </c>
      <c r="E5335" t="s">
        <v>9474</v>
      </c>
      <c r="J5335" t="s">
        <v>133</v>
      </c>
      <c r="K5335" t="s">
        <v>134</v>
      </c>
      <c r="L5335">
        <v>6</v>
      </c>
      <c r="M5335" t="s">
        <v>22038</v>
      </c>
      <c r="N5335" t="s">
        <v>135</v>
      </c>
      <c r="O5335" t="s">
        <v>9477</v>
      </c>
      <c r="P5335" t="s">
        <v>9477</v>
      </c>
      <c r="Y5335" t="s">
        <v>22039</v>
      </c>
    </row>
    <row r="5336" spans="1:25">
      <c r="A5336" t="s">
        <v>22040</v>
      </c>
      <c r="B5336" t="s">
        <v>22041</v>
      </c>
      <c r="D5336" t="s">
        <v>9473</v>
      </c>
      <c r="E5336" t="s">
        <v>9474</v>
      </c>
      <c r="J5336" t="s">
        <v>78</v>
      </c>
      <c r="K5336" t="s">
        <v>79</v>
      </c>
      <c r="L5336">
        <v>6</v>
      </c>
      <c r="M5336" t="s">
        <v>22038</v>
      </c>
      <c r="N5336" t="s">
        <v>47</v>
      </c>
      <c r="O5336" t="s">
        <v>9477</v>
      </c>
      <c r="P5336" t="s">
        <v>9477</v>
      </c>
      <c r="Y5336" t="s">
        <v>22042</v>
      </c>
    </row>
    <row r="5337" spans="1:25">
      <c r="A5337" t="s">
        <v>22043</v>
      </c>
      <c r="B5337" t="s">
        <v>22044</v>
      </c>
      <c r="D5337" t="s">
        <v>9473</v>
      </c>
      <c r="E5337" t="s">
        <v>9474</v>
      </c>
      <c r="J5337" t="s">
        <v>54</v>
      </c>
      <c r="K5337" t="s">
        <v>55</v>
      </c>
      <c r="L5337">
        <v>6</v>
      </c>
      <c r="M5337" t="s">
        <v>22038</v>
      </c>
      <c r="N5337" t="s">
        <v>47</v>
      </c>
      <c r="O5337" t="s">
        <v>9477</v>
      </c>
      <c r="P5337" t="s">
        <v>9477</v>
      </c>
      <c r="Y5337" t="s">
        <v>22045</v>
      </c>
    </row>
    <row r="5338" spans="1:25">
      <c r="A5338" t="s">
        <v>22046</v>
      </c>
      <c r="B5338" t="s">
        <v>22047</v>
      </c>
      <c r="D5338" t="s">
        <v>9473</v>
      </c>
      <c r="E5338" t="s">
        <v>9474</v>
      </c>
      <c r="H5338" t="s">
        <v>22048</v>
      </c>
      <c r="J5338" t="s">
        <v>234</v>
      </c>
      <c r="K5338" t="s">
        <v>235</v>
      </c>
      <c r="L5338">
        <v>6</v>
      </c>
      <c r="M5338" t="s">
        <v>22049</v>
      </c>
      <c r="N5338" t="s">
        <v>47</v>
      </c>
      <c r="O5338" t="s">
        <v>9477</v>
      </c>
      <c r="P5338" t="s">
        <v>9477</v>
      </c>
      <c r="Y5338" t="s">
        <v>22048</v>
      </c>
    </row>
    <row r="5339" spans="1:25">
      <c r="A5339" t="s">
        <v>22050</v>
      </c>
      <c r="B5339" t="s">
        <v>22051</v>
      </c>
      <c r="D5339" t="s">
        <v>9473</v>
      </c>
      <c r="E5339" t="s">
        <v>9474</v>
      </c>
      <c r="H5339" t="s">
        <v>22052</v>
      </c>
      <c r="J5339" t="s">
        <v>234</v>
      </c>
      <c r="K5339" t="s">
        <v>235</v>
      </c>
      <c r="L5339">
        <v>6</v>
      </c>
      <c r="M5339" t="s">
        <v>22053</v>
      </c>
      <c r="N5339" t="s">
        <v>47</v>
      </c>
      <c r="O5339" t="s">
        <v>9477</v>
      </c>
      <c r="P5339" t="s">
        <v>9477</v>
      </c>
      <c r="Y5339" t="s">
        <v>22052</v>
      </c>
    </row>
    <row r="5340" spans="1:25">
      <c r="A5340" t="s">
        <v>22054</v>
      </c>
      <c r="B5340" t="s">
        <v>22055</v>
      </c>
      <c r="D5340" t="s">
        <v>9473</v>
      </c>
      <c r="E5340" t="s">
        <v>9474</v>
      </c>
      <c r="J5340" t="s">
        <v>90</v>
      </c>
      <c r="K5340" t="s">
        <v>91</v>
      </c>
      <c r="L5340">
        <v>6</v>
      </c>
      <c r="M5340" t="s">
        <v>22056</v>
      </c>
      <c r="N5340" t="s">
        <v>47</v>
      </c>
      <c r="O5340" t="s">
        <v>9477</v>
      </c>
      <c r="P5340" t="s">
        <v>9477</v>
      </c>
      <c r="Y5340" t="s">
        <v>22057</v>
      </c>
    </row>
    <row r="5341" spans="1:25">
      <c r="A5341" t="s">
        <v>22058</v>
      </c>
      <c r="B5341" t="s">
        <v>22059</v>
      </c>
      <c r="D5341" t="s">
        <v>9473</v>
      </c>
      <c r="E5341" t="s">
        <v>9474</v>
      </c>
      <c r="J5341" t="s">
        <v>90</v>
      </c>
      <c r="K5341" t="s">
        <v>91</v>
      </c>
      <c r="L5341">
        <v>6</v>
      </c>
      <c r="M5341" t="s">
        <v>22056</v>
      </c>
      <c r="N5341" t="s">
        <v>47</v>
      </c>
      <c r="O5341" t="s">
        <v>9477</v>
      </c>
      <c r="P5341" t="s">
        <v>9477</v>
      </c>
      <c r="Y5341" t="s">
        <v>22060</v>
      </c>
    </row>
    <row r="5342" spans="1:25">
      <c r="A5342" t="s">
        <v>22061</v>
      </c>
      <c r="B5342" t="s">
        <v>22062</v>
      </c>
      <c r="D5342" t="s">
        <v>9473</v>
      </c>
      <c r="E5342" t="s">
        <v>9474</v>
      </c>
      <c r="H5342" t="s">
        <v>22063</v>
      </c>
      <c r="J5342" t="s">
        <v>44</v>
      </c>
      <c r="K5342" t="s">
        <v>45</v>
      </c>
      <c r="L5342">
        <v>6</v>
      </c>
      <c r="M5342" t="s">
        <v>22056</v>
      </c>
      <c r="N5342" t="s">
        <v>47</v>
      </c>
      <c r="O5342" t="s">
        <v>9477</v>
      </c>
      <c r="P5342" t="s">
        <v>9477</v>
      </c>
      <c r="Y5342" t="s">
        <v>22063</v>
      </c>
    </row>
    <row r="5343" spans="1:25">
      <c r="A5343" t="s">
        <v>22064</v>
      </c>
      <c r="B5343" t="s">
        <v>22065</v>
      </c>
      <c r="D5343" t="s">
        <v>9473</v>
      </c>
      <c r="E5343" t="s">
        <v>9474</v>
      </c>
      <c r="H5343" t="s">
        <v>22066</v>
      </c>
      <c r="J5343" t="s">
        <v>133</v>
      </c>
      <c r="K5343" t="s">
        <v>134</v>
      </c>
      <c r="L5343">
        <v>6</v>
      </c>
      <c r="M5343" t="s">
        <v>22067</v>
      </c>
      <c r="N5343" t="s">
        <v>135</v>
      </c>
      <c r="O5343" t="s">
        <v>9477</v>
      </c>
      <c r="P5343" t="s">
        <v>9477</v>
      </c>
      <c r="Y5343" t="s">
        <v>22066</v>
      </c>
    </row>
    <row r="5344" spans="1:25">
      <c r="A5344" t="s">
        <v>22068</v>
      </c>
      <c r="B5344" t="s">
        <v>22069</v>
      </c>
      <c r="D5344" t="s">
        <v>9473</v>
      </c>
      <c r="E5344" t="s">
        <v>9474</v>
      </c>
      <c r="J5344" t="s">
        <v>90</v>
      </c>
      <c r="K5344" t="s">
        <v>91</v>
      </c>
      <c r="L5344">
        <v>6</v>
      </c>
      <c r="M5344" t="s">
        <v>22067</v>
      </c>
      <c r="N5344" t="s">
        <v>47</v>
      </c>
      <c r="O5344" t="s">
        <v>9477</v>
      </c>
      <c r="P5344" t="s">
        <v>9477</v>
      </c>
      <c r="Y5344" t="s">
        <v>22070</v>
      </c>
    </row>
    <row r="5345" spans="1:25">
      <c r="A5345" t="s">
        <v>22071</v>
      </c>
      <c r="B5345" t="s">
        <v>22072</v>
      </c>
      <c r="D5345" t="s">
        <v>9473</v>
      </c>
      <c r="E5345" t="s">
        <v>9474</v>
      </c>
      <c r="H5345" t="s">
        <v>22073</v>
      </c>
      <c r="J5345" t="s">
        <v>78</v>
      </c>
      <c r="K5345" t="s">
        <v>79</v>
      </c>
      <c r="L5345">
        <v>6</v>
      </c>
      <c r="M5345" t="s">
        <v>22074</v>
      </c>
      <c r="N5345" t="s">
        <v>47</v>
      </c>
      <c r="O5345" t="s">
        <v>9477</v>
      </c>
      <c r="P5345" t="s">
        <v>9477</v>
      </c>
      <c r="Y5345" t="s">
        <v>22073</v>
      </c>
    </row>
    <row r="5346" spans="1:25">
      <c r="A5346" t="s">
        <v>22075</v>
      </c>
      <c r="B5346" t="s">
        <v>22076</v>
      </c>
      <c r="D5346" t="s">
        <v>9473</v>
      </c>
      <c r="E5346" t="s">
        <v>9474</v>
      </c>
      <c r="J5346" t="s">
        <v>90</v>
      </c>
      <c r="K5346" t="s">
        <v>91</v>
      </c>
      <c r="L5346">
        <v>6</v>
      </c>
      <c r="M5346" t="s">
        <v>22077</v>
      </c>
      <c r="N5346" t="s">
        <v>47</v>
      </c>
      <c r="O5346" t="s">
        <v>9477</v>
      </c>
      <c r="P5346" t="s">
        <v>9477</v>
      </c>
      <c r="Y5346" t="s">
        <v>22078</v>
      </c>
    </row>
    <row r="5347" spans="1:25">
      <c r="A5347" t="s">
        <v>22079</v>
      </c>
      <c r="B5347" t="s">
        <v>22080</v>
      </c>
      <c r="D5347" t="s">
        <v>9473</v>
      </c>
      <c r="E5347" t="s">
        <v>9474</v>
      </c>
      <c r="J5347" t="s">
        <v>90</v>
      </c>
      <c r="K5347" t="s">
        <v>91</v>
      </c>
      <c r="L5347">
        <v>6</v>
      </c>
      <c r="M5347" t="s">
        <v>22081</v>
      </c>
      <c r="N5347" t="s">
        <v>47</v>
      </c>
      <c r="O5347" t="s">
        <v>9477</v>
      </c>
      <c r="P5347" t="s">
        <v>9477</v>
      </c>
      <c r="Y5347" t="s">
        <v>22082</v>
      </c>
    </row>
    <row r="5348" spans="1:25">
      <c r="A5348" t="s">
        <v>22083</v>
      </c>
      <c r="B5348" t="s">
        <v>22084</v>
      </c>
      <c r="D5348" t="s">
        <v>9473</v>
      </c>
      <c r="E5348" t="s">
        <v>9474</v>
      </c>
      <c r="J5348" t="s">
        <v>90</v>
      </c>
      <c r="K5348" t="s">
        <v>91</v>
      </c>
      <c r="L5348">
        <v>6</v>
      </c>
      <c r="M5348" t="s">
        <v>22085</v>
      </c>
      <c r="N5348" t="s">
        <v>47</v>
      </c>
      <c r="O5348" t="s">
        <v>9477</v>
      </c>
      <c r="P5348" t="s">
        <v>9477</v>
      </c>
      <c r="Y5348" t="s">
        <v>22086</v>
      </c>
    </row>
    <row r="5349" spans="1:25">
      <c r="A5349" t="s">
        <v>22087</v>
      </c>
      <c r="B5349" t="s">
        <v>22088</v>
      </c>
      <c r="D5349" t="s">
        <v>9473</v>
      </c>
      <c r="E5349" t="s">
        <v>9474</v>
      </c>
      <c r="J5349" t="s">
        <v>90</v>
      </c>
      <c r="K5349" t="s">
        <v>91</v>
      </c>
      <c r="L5349">
        <v>6</v>
      </c>
      <c r="M5349" t="s">
        <v>22085</v>
      </c>
      <c r="N5349" t="s">
        <v>47</v>
      </c>
      <c r="O5349" t="s">
        <v>9477</v>
      </c>
      <c r="P5349" t="s">
        <v>9477</v>
      </c>
      <c r="Y5349" t="s">
        <v>22089</v>
      </c>
    </row>
    <row r="5350" spans="1:25">
      <c r="A5350" t="s">
        <v>22090</v>
      </c>
      <c r="B5350" t="s">
        <v>22091</v>
      </c>
      <c r="D5350" t="s">
        <v>9473</v>
      </c>
      <c r="E5350" t="s">
        <v>9474</v>
      </c>
      <c r="H5350" t="s">
        <v>22092</v>
      </c>
      <c r="J5350" t="s">
        <v>90</v>
      </c>
      <c r="K5350" t="s">
        <v>91</v>
      </c>
      <c r="L5350">
        <v>6</v>
      </c>
      <c r="M5350" t="s">
        <v>22085</v>
      </c>
      <c r="N5350" t="s">
        <v>47</v>
      </c>
      <c r="O5350" t="s">
        <v>9477</v>
      </c>
      <c r="P5350" t="s">
        <v>9477</v>
      </c>
      <c r="Y5350" t="s">
        <v>22092</v>
      </c>
    </row>
    <row r="5351" spans="1:25">
      <c r="A5351" t="s">
        <v>22093</v>
      </c>
      <c r="B5351" t="s">
        <v>22094</v>
      </c>
      <c r="D5351" t="s">
        <v>9473</v>
      </c>
      <c r="E5351" t="s">
        <v>9474</v>
      </c>
      <c r="J5351" t="s">
        <v>371</v>
      </c>
      <c r="K5351" t="s">
        <v>372</v>
      </c>
      <c r="L5351">
        <v>6</v>
      </c>
      <c r="M5351" t="s">
        <v>22095</v>
      </c>
      <c r="N5351" t="s">
        <v>47</v>
      </c>
      <c r="O5351" t="s">
        <v>9477</v>
      </c>
      <c r="P5351" t="s">
        <v>9477</v>
      </c>
      <c r="Y5351" t="s">
        <v>22096</v>
      </c>
    </row>
    <row r="5352" spans="1:25">
      <c r="A5352" t="s">
        <v>22097</v>
      </c>
      <c r="B5352" t="s">
        <v>22098</v>
      </c>
      <c r="D5352" t="s">
        <v>9473</v>
      </c>
      <c r="E5352" t="s">
        <v>9474</v>
      </c>
      <c r="J5352" t="s">
        <v>353</v>
      </c>
      <c r="K5352" t="s">
        <v>354</v>
      </c>
      <c r="L5352">
        <v>6</v>
      </c>
      <c r="M5352" t="s">
        <v>22095</v>
      </c>
      <c r="N5352" t="s">
        <v>135</v>
      </c>
      <c r="O5352" t="s">
        <v>9477</v>
      </c>
      <c r="P5352" t="s">
        <v>9477</v>
      </c>
      <c r="Y5352" t="s">
        <v>22099</v>
      </c>
    </row>
    <row r="5353" spans="1:25">
      <c r="A5353" t="s">
        <v>22100</v>
      </c>
      <c r="B5353" t="s">
        <v>22101</v>
      </c>
      <c r="D5353" t="s">
        <v>9473</v>
      </c>
      <c r="E5353" t="s">
        <v>9474</v>
      </c>
      <c r="J5353" t="s">
        <v>133</v>
      </c>
      <c r="K5353" t="s">
        <v>134</v>
      </c>
      <c r="L5353">
        <v>6</v>
      </c>
      <c r="M5353" t="s">
        <v>22102</v>
      </c>
      <c r="N5353" t="s">
        <v>135</v>
      </c>
      <c r="O5353" t="s">
        <v>9477</v>
      </c>
      <c r="P5353" t="s">
        <v>9477</v>
      </c>
      <c r="Y5353" t="s">
        <v>22103</v>
      </c>
    </row>
    <row r="5354" spans="1:25">
      <c r="A5354" t="s">
        <v>22104</v>
      </c>
      <c r="B5354" t="s">
        <v>22105</v>
      </c>
      <c r="D5354" t="s">
        <v>9473</v>
      </c>
      <c r="E5354" t="s">
        <v>9474</v>
      </c>
      <c r="J5354" t="s">
        <v>54</v>
      </c>
      <c r="K5354" t="s">
        <v>55</v>
      </c>
      <c r="L5354">
        <v>6</v>
      </c>
      <c r="M5354" t="s">
        <v>22106</v>
      </c>
      <c r="N5354" t="s">
        <v>47</v>
      </c>
      <c r="O5354" t="s">
        <v>9477</v>
      </c>
      <c r="P5354" t="s">
        <v>9477</v>
      </c>
      <c r="Y5354" t="s">
        <v>22107</v>
      </c>
    </row>
    <row r="5355" spans="1:25">
      <c r="A5355" t="s">
        <v>22108</v>
      </c>
      <c r="B5355" t="s">
        <v>22109</v>
      </c>
      <c r="D5355" t="s">
        <v>9473</v>
      </c>
      <c r="E5355" t="s">
        <v>9474</v>
      </c>
      <c r="H5355" t="s">
        <v>22110</v>
      </c>
      <c r="J5355" t="s">
        <v>78</v>
      </c>
      <c r="K5355" t="s">
        <v>79</v>
      </c>
      <c r="L5355">
        <v>6</v>
      </c>
      <c r="M5355" t="s">
        <v>22106</v>
      </c>
      <c r="N5355" t="s">
        <v>47</v>
      </c>
      <c r="O5355" t="s">
        <v>9477</v>
      </c>
      <c r="P5355" t="s">
        <v>9477</v>
      </c>
      <c r="Y5355" t="s">
        <v>22110</v>
      </c>
    </row>
    <row r="5356" spans="1:25">
      <c r="A5356" t="s">
        <v>22111</v>
      </c>
      <c r="B5356" t="s">
        <v>22112</v>
      </c>
      <c r="D5356" t="s">
        <v>9473</v>
      </c>
      <c r="E5356" t="s">
        <v>9474</v>
      </c>
      <c r="J5356" t="s">
        <v>54</v>
      </c>
      <c r="K5356" t="s">
        <v>55</v>
      </c>
      <c r="L5356">
        <v>6</v>
      </c>
      <c r="M5356" t="s">
        <v>22106</v>
      </c>
      <c r="N5356" t="s">
        <v>47</v>
      </c>
      <c r="O5356" t="s">
        <v>9477</v>
      </c>
      <c r="P5356" t="s">
        <v>9477</v>
      </c>
      <c r="Y5356" t="s">
        <v>22113</v>
      </c>
    </row>
    <row r="5357" spans="1:25">
      <c r="A5357" t="s">
        <v>22114</v>
      </c>
      <c r="B5357" t="s">
        <v>22115</v>
      </c>
      <c r="D5357" t="s">
        <v>9473</v>
      </c>
      <c r="E5357" t="s">
        <v>9474</v>
      </c>
      <c r="J5357" t="s">
        <v>44</v>
      </c>
      <c r="K5357" t="s">
        <v>45</v>
      </c>
      <c r="L5357">
        <v>6</v>
      </c>
      <c r="M5357" t="s">
        <v>22116</v>
      </c>
      <c r="N5357" t="s">
        <v>47</v>
      </c>
      <c r="O5357" t="s">
        <v>9477</v>
      </c>
      <c r="P5357" t="s">
        <v>9477</v>
      </c>
      <c r="Y5357" t="s">
        <v>22117</v>
      </c>
    </row>
    <row r="5358" spans="1:25">
      <c r="A5358" t="s">
        <v>22118</v>
      </c>
      <c r="B5358" t="s">
        <v>22119</v>
      </c>
      <c r="D5358" t="s">
        <v>9473</v>
      </c>
      <c r="E5358" t="s">
        <v>9474</v>
      </c>
      <c r="J5358" t="s">
        <v>54</v>
      </c>
      <c r="K5358" t="s">
        <v>55</v>
      </c>
      <c r="L5358">
        <v>6</v>
      </c>
      <c r="M5358" t="s">
        <v>22120</v>
      </c>
      <c r="N5358" t="s">
        <v>47</v>
      </c>
      <c r="O5358" t="s">
        <v>9477</v>
      </c>
      <c r="P5358" t="s">
        <v>9477</v>
      </c>
      <c r="Y5358" t="s">
        <v>22121</v>
      </c>
    </row>
    <row r="5359" spans="1:25">
      <c r="A5359" t="s">
        <v>22122</v>
      </c>
      <c r="B5359" t="s">
        <v>22123</v>
      </c>
      <c r="D5359" t="s">
        <v>9473</v>
      </c>
      <c r="E5359" t="s">
        <v>9474</v>
      </c>
      <c r="J5359" t="s">
        <v>54</v>
      </c>
      <c r="K5359" t="s">
        <v>55</v>
      </c>
      <c r="L5359">
        <v>6</v>
      </c>
      <c r="M5359" t="s">
        <v>22124</v>
      </c>
      <c r="N5359" t="s">
        <v>47</v>
      </c>
      <c r="O5359" t="s">
        <v>9477</v>
      </c>
      <c r="P5359" t="s">
        <v>9477</v>
      </c>
      <c r="Y5359" t="s">
        <v>22125</v>
      </c>
    </row>
    <row r="5360" spans="1:25">
      <c r="A5360" t="s">
        <v>22126</v>
      </c>
      <c r="B5360" t="s">
        <v>22127</v>
      </c>
      <c r="D5360" t="s">
        <v>9473</v>
      </c>
      <c r="E5360" t="s">
        <v>9474</v>
      </c>
      <c r="J5360" t="s">
        <v>90</v>
      </c>
      <c r="K5360" t="s">
        <v>91</v>
      </c>
      <c r="L5360">
        <v>6</v>
      </c>
      <c r="M5360" t="s">
        <v>22128</v>
      </c>
      <c r="N5360" t="s">
        <v>47</v>
      </c>
      <c r="O5360" t="s">
        <v>9477</v>
      </c>
      <c r="P5360" t="s">
        <v>9477</v>
      </c>
      <c r="Y5360" t="s">
        <v>22129</v>
      </c>
    </row>
    <row r="5361" spans="1:25">
      <c r="A5361" t="s">
        <v>22130</v>
      </c>
      <c r="B5361" t="s">
        <v>22131</v>
      </c>
      <c r="D5361" t="s">
        <v>9473</v>
      </c>
      <c r="E5361" t="s">
        <v>9474</v>
      </c>
      <c r="J5361" t="s">
        <v>44</v>
      </c>
      <c r="K5361" t="s">
        <v>45</v>
      </c>
      <c r="L5361">
        <v>6</v>
      </c>
      <c r="M5361" t="s">
        <v>22132</v>
      </c>
      <c r="N5361" t="s">
        <v>47</v>
      </c>
      <c r="O5361" t="s">
        <v>9477</v>
      </c>
      <c r="P5361" t="s">
        <v>9477</v>
      </c>
      <c r="Y5361" t="s">
        <v>22133</v>
      </c>
    </row>
    <row r="5362" spans="1:25">
      <c r="A5362" t="s">
        <v>22134</v>
      </c>
      <c r="B5362" t="s">
        <v>22135</v>
      </c>
      <c r="D5362" t="s">
        <v>9473</v>
      </c>
      <c r="E5362" t="s">
        <v>9474</v>
      </c>
      <c r="J5362" t="s">
        <v>44</v>
      </c>
      <c r="K5362" t="s">
        <v>45</v>
      </c>
      <c r="L5362">
        <v>6</v>
      </c>
      <c r="M5362" t="s">
        <v>22132</v>
      </c>
      <c r="N5362" t="s">
        <v>47</v>
      </c>
      <c r="O5362" t="s">
        <v>9477</v>
      </c>
      <c r="P5362" t="s">
        <v>9477</v>
      </c>
      <c r="Y5362" t="s">
        <v>22136</v>
      </c>
    </row>
    <row r="5363" spans="1:25">
      <c r="A5363" t="s">
        <v>22137</v>
      </c>
      <c r="B5363" t="s">
        <v>22138</v>
      </c>
      <c r="D5363" t="s">
        <v>9473</v>
      </c>
      <c r="E5363" t="s">
        <v>9474</v>
      </c>
      <c r="H5363" t="s">
        <v>22139</v>
      </c>
      <c r="J5363" t="s">
        <v>10321</v>
      </c>
      <c r="K5363" t="s">
        <v>10322</v>
      </c>
      <c r="L5363">
        <v>6</v>
      </c>
      <c r="M5363" t="s">
        <v>22140</v>
      </c>
      <c r="N5363" t="s">
        <v>47</v>
      </c>
      <c r="O5363" t="s">
        <v>9477</v>
      </c>
      <c r="P5363" t="s">
        <v>9477</v>
      </c>
      <c r="Y5363" t="s">
        <v>22139</v>
      </c>
    </row>
    <row r="5364" spans="1:25">
      <c r="A5364" t="s">
        <v>22141</v>
      </c>
      <c r="B5364" t="s">
        <v>22142</v>
      </c>
      <c r="D5364" t="s">
        <v>9473</v>
      </c>
      <c r="E5364" t="s">
        <v>9474</v>
      </c>
      <c r="H5364" t="s">
        <v>22143</v>
      </c>
      <c r="J5364" t="s">
        <v>234</v>
      </c>
      <c r="K5364" t="s">
        <v>235</v>
      </c>
      <c r="L5364">
        <v>6</v>
      </c>
      <c r="M5364" t="s">
        <v>22144</v>
      </c>
      <c r="N5364" t="s">
        <v>47</v>
      </c>
      <c r="O5364" t="s">
        <v>9477</v>
      </c>
      <c r="P5364" t="s">
        <v>9477</v>
      </c>
      <c r="Y5364" t="s">
        <v>22143</v>
      </c>
    </row>
    <row r="5365" spans="1:25">
      <c r="A5365" t="s">
        <v>22145</v>
      </c>
      <c r="B5365" t="s">
        <v>22146</v>
      </c>
      <c r="D5365" t="s">
        <v>9473</v>
      </c>
      <c r="E5365" t="s">
        <v>9474</v>
      </c>
      <c r="H5365" t="s">
        <v>22147</v>
      </c>
      <c r="J5365" t="s">
        <v>234</v>
      </c>
      <c r="K5365" t="s">
        <v>235</v>
      </c>
      <c r="L5365">
        <v>6</v>
      </c>
      <c r="M5365" t="s">
        <v>22148</v>
      </c>
      <c r="N5365" t="s">
        <v>47</v>
      </c>
      <c r="O5365" t="s">
        <v>9477</v>
      </c>
      <c r="P5365" t="s">
        <v>9477</v>
      </c>
      <c r="Y5365" t="s">
        <v>22147</v>
      </c>
    </row>
    <row r="5366" spans="1:25">
      <c r="A5366" t="s">
        <v>22149</v>
      </c>
      <c r="B5366" t="s">
        <v>22150</v>
      </c>
      <c r="D5366" t="s">
        <v>9473</v>
      </c>
      <c r="E5366" t="s">
        <v>9474</v>
      </c>
      <c r="J5366" t="s">
        <v>371</v>
      </c>
      <c r="K5366" t="s">
        <v>372</v>
      </c>
      <c r="L5366">
        <v>6</v>
      </c>
      <c r="M5366" t="s">
        <v>22151</v>
      </c>
      <c r="N5366" t="s">
        <v>47</v>
      </c>
      <c r="O5366" t="s">
        <v>9477</v>
      </c>
      <c r="P5366" t="s">
        <v>9477</v>
      </c>
      <c r="Y5366" t="s">
        <v>22152</v>
      </c>
    </row>
    <row r="5367" spans="1:25">
      <c r="A5367" t="s">
        <v>22153</v>
      </c>
      <c r="B5367" t="s">
        <v>22154</v>
      </c>
      <c r="D5367" t="s">
        <v>9473</v>
      </c>
      <c r="E5367" t="s">
        <v>9474</v>
      </c>
      <c r="J5367" t="s">
        <v>78</v>
      </c>
      <c r="K5367" t="s">
        <v>79</v>
      </c>
      <c r="L5367">
        <v>6</v>
      </c>
      <c r="M5367" t="s">
        <v>22151</v>
      </c>
      <c r="N5367" t="s">
        <v>47</v>
      </c>
      <c r="O5367" t="s">
        <v>9477</v>
      </c>
      <c r="P5367" t="s">
        <v>9477</v>
      </c>
      <c r="Y5367" t="s">
        <v>22155</v>
      </c>
    </row>
    <row r="5368" spans="1:25">
      <c r="A5368" t="s">
        <v>22156</v>
      </c>
      <c r="B5368" t="s">
        <v>22157</v>
      </c>
      <c r="D5368" t="s">
        <v>9473</v>
      </c>
      <c r="E5368" t="s">
        <v>9474</v>
      </c>
      <c r="H5368" t="s">
        <v>22158</v>
      </c>
      <c r="J5368" t="s">
        <v>90</v>
      </c>
      <c r="K5368" t="s">
        <v>91</v>
      </c>
      <c r="L5368">
        <v>6</v>
      </c>
      <c r="M5368" t="s">
        <v>22151</v>
      </c>
      <c r="N5368" t="s">
        <v>47</v>
      </c>
      <c r="O5368" t="s">
        <v>9477</v>
      </c>
      <c r="P5368" t="s">
        <v>9477</v>
      </c>
      <c r="Y5368" t="s">
        <v>22158</v>
      </c>
    </row>
    <row r="5369" spans="1:25">
      <c r="A5369" t="s">
        <v>22159</v>
      </c>
      <c r="B5369" t="s">
        <v>22160</v>
      </c>
      <c r="D5369" t="s">
        <v>9473</v>
      </c>
      <c r="E5369" t="s">
        <v>9474</v>
      </c>
      <c r="J5369" t="s">
        <v>54</v>
      </c>
      <c r="K5369" t="s">
        <v>55</v>
      </c>
      <c r="L5369">
        <v>6</v>
      </c>
      <c r="M5369" t="s">
        <v>22151</v>
      </c>
      <c r="N5369" t="s">
        <v>47</v>
      </c>
      <c r="O5369" t="s">
        <v>9477</v>
      </c>
      <c r="P5369" t="s">
        <v>9477</v>
      </c>
      <c r="Y5369" t="s">
        <v>22161</v>
      </c>
    </row>
    <row r="5370" spans="1:25">
      <c r="A5370" t="s">
        <v>22162</v>
      </c>
      <c r="B5370" t="s">
        <v>22163</v>
      </c>
      <c r="D5370" t="s">
        <v>9473</v>
      </c>
      <c r="E5370" t="s">
        <v>9474</v>
      </c>
      <c r="H5370" t="s">
        <v>22164</v>
      </c>
      <c r="J5370" t="s">
        <v>234</v>
      </c>
      <c r="K5370" t="s">
        <v>235</v>
      </c>
      <c r="L5370">
        <v>6</v>
      </c>
      <c r="M5370" t="s">
        <v>22165</v>
      </c>
      <c r="N5370" t="s">
        <v>47</v>
      </c>
      <c r="O5370" t="s">
        <v>9477</v>
      </c>
      <c r="P5370" t="s">
        <v>9477</v>
      </c>
      <c r="Y5370" t="s">
        <v>22164</v>
      </c>
    </row>
    <row r="5371" spans="1:25">
      <c r="A5371" t="s">
        <v>22166</v>
      </c>
      <c r="B5371" t="s">
        <v>22167</v>
      </c>
      <c r="D5371" t="s">
        <v>9473</v>
      </c>
      <c r="E5371" t="s">
        <v>9474</v>
      </c>
      <c r="J5371" t="s">
        <v>90</v>
      </c>
      <c r="K5371" t="s">
        <v>91</v>
      </c>
      <c r="L5371">
        <v>6</v>
      </c>
      <c r="M5371" t="s">
        <v>22168</v>
      </c>
      <c r="N5371" t="s">
        <v>47</v>
      </c>
      <c r="O5371" t="s">
        <v>9477</v>
      </c>
      <c r="P5371" t="s">
        <v>9477</v>
      </c>
      <c r="Y5371" t="s">
        <v>22169</v>
      </c>
    </row>
    <row r="5372" spans="1:25">
      <c r="A5372" t="s">
        <v>22170</v>
      </c>
      <c r="B5372" t="s">
        <v>22171</v>
      </c>
      <c r="D5372" t="s">
        <v>9473</v>
      </c>
      <c r="E5372" t="s">
        <v>9474</v>
      </c>
      <c r="H5372" t="s">
        <v>22172</v>
      </c>
      <c r="J5372" t="s">
        <v>78</v>
      </c>
      <c r="K5372" t="s">
        <v>79</v>
      </c>
      <c r="L5372">
        <v>6</v>
      </c>
      <c r="M5372" t="s">
        <v>22173</v>
      </c>
      <c r="N5372" t="s">
        <v>47</v>
      </c>
      <c r="O5372" t="s">
        <v>9477</v>
      </c>
      <c r="P5372" t="s">
        <v>9477</v>
      </c>
      <c r="Y5372" t="s">
        <v>22172</v>
      </c>
    </row>
    <row r="5373" spans="1:25">
      <c r="A5373" t="s">
        <v>22174</v>
      </c>
      <c r="B5373" t="s">
        <v>22175</v>
      </c>
      <c r="D5373" t="s">
        <v>9473</v>
      </c>
      <c r="E5373" t="s">
        <v>9474</v>
      </c>
      <c r="J5373" t="s">
        <v>78</v>
      </c>
      <c r="K5373" t="s">
        <v>79</v>
      </c>
      <c r="L5373">
        <v>6</v>
      </c>
      <c r="M5373" t="s">
        <v>22173</v>
      </c>
      <c r="N5373" t="s">
        <v>47</v>
      </c>
      <c r="O5373" t="s">
        <v>9477</v>
      </c>
      <c r="P5373" t="s">
        <v>9477</v>
      </c>
      <c r="Y5373" t="s">
        <v>22176</v>
      </c>
    </row>
    <row r="5374" spans="1:25">
      <c r="A5374" t="s">
        <v>22177</v>
      </c>
      <c r="B5374" t="s">
        <v>22178</v>
      </c>
      <c r="D5374" t="s">
        <v>9473</v>
      </c>
      <c r="E5374" t="s">
        <v>9474</v>
      </c>
      <c r="H5374" t="s">
        <v>22179</v>
      </c>
      <c r="J5374" t="s">
        <v>90</v>
      </c>
      <c r="K5374" t="s">
        <v>91</v>
      </c>
      <c r="L5374">
        <v>6</v>
      </c>
      <c r="M5374" t="s">
        <v>22173</v>
      </c>
      <c r="N5374" t="s">
        <v>47</v>
      </c>
      <c r="O5374" t="s">
        <v>9477</v>
      </c>
      <c r="P5374" t="s">
        <v>9477</v>
      </c>
      <c r="Y5374" t="s">
        <v>22179</v>
      </c>
    </row>
    <row r="5375" spans="1:25">
      <c r="A5375" t="s">
        <v>22180</v>
      </c>
      <c r="B5375" t="s">
        <v>22181</v>
      </c>
      <c r="D5375" t="s">
        <v>9473</v>
      </c>
      <c r="E5375" t="s">
        <v>9474</v>
      </c>
      <c r="H5375" t="s">
        <v>22182</v>
      </c>
      <c r="J5375" t="s">
        <v>78</v>
      </c>
      <c r="K5375" t="s">
        <v>79</v>
      </c>
      <c r="L5375">
        <v>6</v>
      </c>
      <c r="M5375" t="s">
        <v>22183</v>
      </c>
      <c r="N5375" t="s">
        <v>47</v>
      </c>
      <c r="O5375" t="s">
        <v>9477</v>
      </c>
      <c r="P5375" t="s">
        <v>9477</v>
      </c>
      <c r="Y5375" t="s">
        <v>22182</v>
      </c>
    </row>
    <row r="5376" spans="1:25">
      <c r="A5376" t="s">
        <v>22184</v>
      </c>
      <c r="B5376" t="s">
        <v>22185</v>
      </c>
      <c r="D5376" t="s">
        <v>9473</v>
      </c>
      <c r="E5376" t="s">
        <v>9474</v>
      </c>
      <c r="J5376" t="s">
        <v>78</v>
      </c>
      <c r="K5376" t="s">
        <v>79</v>
      </c>
      <c r="L5376">
        <v>6</v>
      </c>
      <c r="M5376" t="s">
        <v>22186</v>
      </c>
      <c r="N5376" t="s">
        <v>47</v>
      </c>
      <c r="O5376" t="s">
        <v>9477</v>
      </c>
      <c r="P5376" t="s">
        <v>9477</v>
      </c>
      <c r="Y5376" t="s">
        <v>22187</v>
      </c>
    </row>
    <row r="5377" spans="1:25">
      <c r="A5377" t="s">
        <v>22188</v>
      </c>
      <c r="B5377" t="s">
        <v>22189</v>
      </c>
      <c r="D5377" t="s">
        <v>9473</v>
      </c>
      <c r="E5377" t="s">
        <v>9474</v>
      </c>
      <c r="J5377" t="s">
        <v>44</v>
      </c>
      <c r="K5377" t="s">
        <v>45</v>
      </c>
      <c r="L5377">
        <v>6</v>
      </c>
      <c r="M5377" t="s">
        <v>22186</v>
      </c>
      <c r="N5377" t="s">
        <v>47</v>
      </c>
      <c r="O5377" t="s">
        <v>9477</v>
      </c>
      <c r="P5377" t="s">
        <v>9477</v>
      </c>
      <c r="Y5377" t="s">
        <v>22190</v>
      </c>
    </row>
    <row r="5378" spans="1:25">
      <c r="A5378" t="s">
        <v>22191</v>
      </c>
      <c r="B5378" t="s">
        <v>22192</v>
      </c>
      <c r="D5378" t="s">
        <v>9473</v>
      </c>
      <c r="E5378" t="s">
        <v>9474</v>
      </c>
      <c r="J5378" t="s">
        <v>78</v>
      </c>
      <c r="K5378" t="s">
        <v>79</v>
      </c>
      <c r="L5378">
        <v>6</v>
      </c>
      <c r="M5378" t="s">
        <v>22193</v>
      </c>
      <c r="N5378" t="s">
        <v>47</v>
      </c>
      <c r="O5378" t="s">
        <v>9477</v>
      </c>
      <c r="P5378" t="s">
        <v>9477</v>
      </c>
      <c r="Y5378" t="s">
        <v>22194</v>
      </c>
    </row>
    <row r="5379" spans="1:25">
      <c r="A5379" t="s">
        <v>22195</v>
      </c>
      <c r="B5379" t="s">
        <v>22196</v>
      </c>
      <c r="D5379" t="s">
        <v>9473</v>
      </c>
      <c r="E5379" t="s">
        <v>9474</v>
      </c>
      <c r="J5379" t="s">
        <v>90</v>
      </c>
      <c r="K5379" t="s">
        <v>91</v>
      </c>
      <c r="L5379">
        <v>6</v>
      </c>
      <c r="M5379" t="s">
        <v>22193</v>
      </c>
      <c r="N5379" t="s">
        <v>47</v>
      </c>
      <c r="O5379" t="s">
        <v>9477</v>
      </c>
      <c r="P5379" t="s">
        <v>9477</v>
      </c>
      <c r="Y5379" t="s">
        <v>22197</v>
      </c>
    </row>
    <row r="5380" spans="1:25">
      <c r="A5380" t="s">
        <v>22198</v>
      </c>
      <c r="B5380" t="s">
        <v>22199</v>
      </c>
      <c r="D5380" t="s">
        <v>9473</v>
      </c>
      <c r="E5380" t="s">
        <v>9474</v>
      </c>
      <c r="J5380" t="s">
        <v>78</v>
      </c>
      <c r="K5380" t="s">
        <v>79</v>
      </c>
      <c r="L5380">
        <v>6</v>
      </c>
      <c r="M5380" t="s">
        <v>22200</v>
      </c>
      <c r="N5380" t="s">
        <v>47</v>
      </c>
      <c r="O5380" t="s">
        <v>9477</v>
      </c>
      <c r="P5380" t="s">
        <v>9477</v>
      </c>
      <c r="Y5380" t="s">
        <v>22201</v>
      </c>
    </row>
    <row r="5381" spans="1:25">
      <c r="A5381" t="s">
        <v>22202</v>
      </c>
      <c r="B5381" t="s">
        <v>22203</v>
      </c>
      <c r="D5381" t="s">
        <v>9473</v>
      </c>
      <c r="E5381" t="s">
        <v>9474</v>
      </c>
      <c r="H5381" t="s">
        <v>22204</v>
      </c>
      <c r="J5381" t="s">
        <v>133</v>
      </c>
      <c r="K5381" t="s">
        <v>134</v>
      </c>
      <c r="L5381">
        <v>6</v>
      </c>
      <c r="M5381" t="s">
        <v>22205</v>
      </c>
      <c r="N5381" t="s">
        <v>135</v>
      </c>
      <c r="O5381" t="s">
        <v>9477</v>
      </c>
      <c r="P5381" t="s">
        <v>9477</v>
      </c>
      <c r="Y5381" t="s">
        <v>22204</v>
      </c>
    </row>
    <row r="5382" spans="1:25">
      <c r="A5382" t="s">
        <v>22206</v>
      </c>
      <c r="B5382" t="s">
        <v>22207</v>
      </c>
      <c r="D5382" t="s">
        <v>9473</v>
      </c>
      <c r="E5382" t="s">
        <v>9474</v>
      </c>
      <c r="H5382" t="s">
        <v>22208</v>
      </c>
      <c r="J5382" t="s">
        <v>78</v>
      </c>
      <c r="K5382" t="s">
        <v>79</v>
      </c>
      <c r="L5382">
        <v>6</v>
      </c>
      <c r="M5382" t="s">
        <v>22205</v>
      </c>
      <c r="N5382" t="s">
        <v>47</v>
      </c>
      <c r="O5382" t="s">
        <v>9477</v>
      </c>
      <c r="P5382" t="s">
        <v>9477</v>
      </c>
      <c r="Y5382" t="s">
        <v>22208</v>
      </c>
    </row>
    <row r="5383" spans="1:25">
      <c r="A5383" t="s">
        <v>22209</v>
      </c>
      <c r="B5383" t="s">
        <v>22210</v>
      </c>
      <c r="D5383" t="s">
        <v>9473</v>
      </c>
      <c r="E5383" t="s">
        <v>9474</v>
      </c>
      <c r="J5383" t="s">
        <v>54</v>
      </c>
      <c r="K5383" t="s">
        <v>55</v>
      </c>
      <c r="L5383">
        <v>6</v>
      </c>
      <c r="M5383" t="s">
        <v>22205</v>
      </c>
      <c r="N5383" t="s">
        <v>47</v>
      </c>
      <c r="O5383" t="s">
        <v>9477</v>
      </c>
      <c r="P5383" t="s">
        <v>9477</v>
      </c>
      <c r="Y5383" t="s">
        <v>22211</v>
      </c>
    </row>
    <row r="5384" spans="1:25">
      <c r="A5384" t="s">
        <v>22212</v>
      </c>
      <c r="B5384" t="s">
        <v>22213</v>
      </c>
      <c r="D5384" t="s">
        <v>9473</v>
      </c>
      <c r="E5384" t="s">
        <v>9474</v>
      </c>
      <c r="J5384" t="s">
        <v>44</v>
      </c>
      <c r="K5384" t="s">
        <v>45</v>
      </c>
      <c r="L5384">
        <v>6</v>
      </c>
      <c r="M5384" t="s">
        <v>22205</v>
      </c>
      <c r="N5384" t="s">
        <v>47</v>
      </c>
      <c r="O5384" t="s">
        <v>9477</v>
      </c>
      <c r="P5384" t="s">
        <v>9477</v>
      </c>
      <c r="Y5384" t="s">
        <v>22214</v>
      </c>
    </row>
    <row r="5385" spans="1:25">
      <c r="A5385" t="s">
        <v>22215</v>
      </c>
      <c r="B5385" t="s">
        <v>22216</v>
      </c>
      <c r="D5385" t="s">
        <v>9473</v>
      </c>
      <c r="E5385" t="s">
        <v>9474</v>
      </c>
      <c r="J5385" t="s">
        <v>90</v>
      </c>
      <c r="K5385" t="s">
        <v>91</v>
      </c>
      <c r="L5385">
        <v>6</v>
      </c>
      <c r="M5385" t="s">
        <v>22217</v>
      </c>
      <c r="N5385" t="s">
        <v>47</v>
      </c>
      <c r="O5385" t="s">
        <v>9477</v>
      </c>
      <c r="P5385" t="s">
        <v>9477</v>
      </c>
      <c r="Y5385" t="s">
        <v>22218</v>
      </c>
    </row>
    <row r="5386" spans="1:25">
      <c r="A5386" t="s">
        <v>22219</v>
      </c>
      <c r="B5386" t="s">
        <v>22220</v>
      </c>
      <c r="D5386" t="s">
        <v>9473</v>
      </c>
      <c r="E5386" t="s">
        <v>9474</v>
      </c>
      <c r="J5386" t="s">
        <v>44</v>
      </c>
      <c r="K5386" t="s">
        <v>45</v>
      </c>
      <c r="L5386">
        <v>6</v>
      </c>
      <c r="M5386" t="s">
        <v>22221</v>
      </c>
      <c r="N5386" t="s">
        <v>47</v>
      </c>
      <c r="O5386" t="s">
        <v>9477</v>
      </c>
      <c r="P5386" t="s">
        <v>9477</v>
      </c>
      <c r="Y5386" t="s">
        <v>22222</v>
      </c>
    </row>
    <row r="5387" spans="1:25">
      <c r="A5387" t="s">
        <v>22223</v>
      </c>
      <c r="B5387" t="s">
        <v>22224</v>
      </c>
      <c r="D5387" t="s">
        <v>9473</v>
      </c>
      <c r="E5387" t="s">
        <v>9474</v>
      </c>
      <c r="J5387" t="s">
        <v>371</v>
      </c>
      <c r="K5387" t="s">
        <v>372</v>
      </c>
      <c r="L5387">
        <v>6</v>
      </c>
      <c r="M5387" t="s">
        <v>22225</v>
      </c>
      <c r="N5387" t="s">
        <v>47</v>
      </c>
      <c r="O5387" t="s">
        <v>9477</v>
      </c>
      <c r="P5387" t="s">
        <v>9477</v>
      </c>
      <c r="Y5387" t="s">
        <v>22226</v>
      </c>
    </row>
    <row r="5388" spans="1:25">
      <c r="A5388" t="s">
        <v>22227</v>
      </c>
      <c r="B5388" t="s">
        <v>22228</v>
      </c>
      <c r="D5388" t="s">
        <v>9473</v>
      </c>
      <c r="E5388" t="s">
        <v>9474</v>
      </c>
      <c r="J5388" t="s">
        <v>44</v>
      </c>
      <c r="K5388" t="s">
        <v>45</v>
      </c>
      <c r="L5388">
        <v>6</v>
      </c>
      <c r="M5388" t="s">
        <v>22225</v>
      </c>
      <c r="N5388" t="s">
        <v>47</v>
      </c>
      <c r="O5388" t="s">
        <v>9477</v>
      </c>
      <c r="P5388" t="s">
        <v>9477</v>
      </c>
      <c r="Y5388" t="s">
        <v>22229</v>
      </c>
    </row>
    <row r="5389" spans="1:25">
      <c r="A5389" t="s">
        <v>22230</v>
      </c>
      <c r="B5389" t="s">
        <v>22231</v>
      </c>
      <c r="D5389" t="s">
        <v>9473</v>
      </c>
      <c r="E5389" t="s">
        <v>9474</v>
      </c>
      <c r="H5389" t="s">
        <v>22232</v>
      </c>
      <c r="J5389" t="s">
        <v>78</v>
      </c>
      <c r="K5389" t="s">
        <v>79</v>
      </c>
      <c r="L5389">
        <v>6</v>
      </c>
      <c r="M5389" t="s">
        <v>22233</v>
      </c>
      <c r="N5389" t="s">
        <v>47</v>
      </c>
      <c r="O5389" t="s">
        <v>9477</v>
      </c>
      <c r="P5389" t="s">
        <v>9477</v>
      </c>
      <c r="Y5389" t="s">
        <v>22232</v>
      </c>
    </row>
    <row r="5390" spans="1:25">
      <c r="A5390" t="s">
        <v>22234</v>
      </c>
      <c r="B5390" t="s">
        <v>22235</v>
      </c>
      <c r="D5390" t="s">
        <v>9473</v>
      </c>
      <c r="E5390" t="s">
        <v>9474</v>
      </c>
      <c r="H5390" t="s">
        <v>22236</v>
      </c>
      <c r="J5390" t="s">
        <v>133</v>
      </c>
      <c r="K5390" t="s">
        <v>134</v>
      </c>
      <c r="L5390">
        <v>6</v>
      </c>
      <c r="M5390" t="s">
        <v>22237</v>
      </c>
      <c r="N5390" t="s">
        <v>135</v>
      </c>
      <c r="O5390" t="s">
        <v>9477</v>
      </c>
      <c r="P5390" t="s">
        <v>9477</v>
      </c>
      <c r="Y5390" t="s">
        <v>22236</v>
      </c>
    </row>
    <row r="5391" spans="1:25">
      <c r="A5391" t="s">
        <v>22238</v>
      </c>
      <c r="B5391" t="s">
        <v>22239</v>
      </c>
      <c r="D5391" t="s">
        <v>9473</v>
      </c>
      <c r="E5391" t="s">
        <v>9474</v>
      </c>
      <c r="J5391" t="s">
        <v>133</v>
      </c>
      <c r="K5391" t="s">
        <v>134</v>
      </c>
      <c r="L5391">
        <v>6</v>
      </c>
      <c r="M5391" t="s">
        <v>22240</v>
      </c>
      <c r="N5391" t="s">
        <v>135</v>
      </c>
      <c r="O5391" t="s">
        <v>9477</v>
      </c>
      <c r="P5391" t="s">
        <v>9477</v>
      </c>
      <c r="Y5391" t="s">
        <v>22241</v>
      </c>
    </row>
    <row r="5392" spans="1:25">
      <c r="A5392" t="s">
        <v>22242</v>
      </c>
      <c r="B5392" t="s">
        <v>22243</v>
      </c>
      <c r="D5392" t="s">
        <v>9473</v>
      </c>
      <c r="E5392" t="s">
        <v>9474</v>
      </c>
      <c r="H5392" t="s">
        <v>22244</v>
      </c>
      <c r="J5392" t="s">
        <v>44</v>
      </c>
      <c r="K5392" t="s">
        <v>45</v>
      </c>
      <c r="L5392">
        <v>6</v>
      </c>
      <c r="M5392" t="s">
        <v>22240</v>
      </c>
      <c r="N5392" t="s">
        <v>47</v>
      </c>
      <c r="O5392" t="s">
        <v>9477</v>
      </c>
      <c r="P5392" t="s">
        <v>9477</v>
      </c>
      <c r="Y5392" t="s">
        <v>22244</v>
      </c>
    </row>
    <row r="5393" spans="1:25">
      <c r="A5393" t="s">
        <v>22245</v>
      </c>
      <c r="B5393" t="s">
        <v>22246</v>
      </c>
      <c r="D5393" t="s">
        <v>9473</v>
      </c>
      <c r="E5393" t="s">
        <v>9474</v>
      </c>
      <c r="H5393" t="s">
        <v>22247</v>
      </c>
      <c r="J5393" t="s">
        <v>371</v>
      </c>
      <c r="K5393" t="s">
        <v>372</v>
      </c>
      <c r="L5393">
        <v>6</v>
      </c>
      <c r="M5393" t="s">
        <v>22248</v>
      </c>
      <c r="N5393" t="s">
        <v>47</v>
      </c>
      <c r="O5393" t="s">
        <v>9477</v>
      </c>
      <c r="P5393" t="s">
        <v>9477</v>
      </c>
      <c r="Y5393" t="s">
        <v>22247</v>
      </c>
    </row>
    <row r="5394" spans="1:25">
      <c r="A5394" t="s">
        <v>22249</v>
      </c>
      <c r="B5394" t="s">
        <v>22250</v>
      </c>
      <c r="D5394" t="s">
        <v>9473</v>
      </c>
      <c r="E5394" t="s">
        <v>9474</v>
      </c>
      <c r="H5394" t="s">
        <v>22251</v>
      </c>
      <c r="J5394" t="s">
        <v>133</v>
      </c>
      <c r="K5394" t="s">
        <v>134</v>
      </c>
      <c r="L5394">
        <v>6</v>
      </c>
      <c r="M5394" t="s">
        <v>22248</v>
      </c>
      <c r="N5394" t="s">
        <v>135</v>
      </c>
      <c r="O5394" t="s">
        <v>9477</v>
      </c>
      <c r="P5394" t="s">
        <v>9477</v>
      </c>
      <c r="Y5394" t="s">
        <v>22251</v>
      </c>
    </row>
    <row r="5395" spans="1:25">
      <c r="A5395" t="s">
        <v>22252</v>
      </c>
      <c r="B5395" t="s">
        <v>22253</v>
      </c>
      <c r="D5395" t="s">
        <v>9473</v>
      </c>
      <c r="E5395" t="s">
        <v>9474</v>
      </c>
      <c r="J5395" t="s">
        <v>44</v>
      </c>
      <c r="K5395" t="s">
        <v>45</v>
      </c>
      <c r="L5395">
        <v>6</v>
      </c>
      <c r="M5395" t="s">
        <v>22254</v>
      </c>
      <c r="N5395" t="s">
        <v>47</v>
      </c>
      <c r="O5395" t="s">
        <v>9477</v>
      </c>
      <c r="P5395" t="s">
        <v>9477</v>
      </c>
      <c r="Y5395" t="s">
        <v>22255</v>
      </c>
    </row>
    <row r="5396" spans="1:25">
      <c r="A5396" t="s">
        <v>22256</v>
      </c>
      <c r="B5396" t="s">
        <v>22257</v>
      </c>
      <c r="D5396" t="s">
        <v>9473</v>
      </c>
      <c r="E5396" t="s">
        <v>9474</v>
      </c>
      <c r="J5396" t="s">
        <v>90</v>
      </c>
      <c r="K5396" t="s">
        <v>91</v>
      </c>
      <c r="L5396">
        <v>6</v>
      </c>
      <c r="M5396" t="s">
        <v>22258</v>
      </c>
      <c r="N5396" t="s">
        <v>47</v>
      </c>
      <c r="O5396" t="s">
        <v>9477</v>
      </c>
      <c r="P5396" t="s">
        <v>9477</v>
      </c>
      <c r="Y5396" t="s">
        <v>22259</v>
      </c>
    </row>
    <row r="5397" spans="1:25">
      <c r="A5397" t="s">
        <v>22260</v>
      </c>
      <c r="B5397" t="s">
        <v>22261</v>
      </c>
      <c r="D5397" t="s">
        <v>9473</v>
      </c>
      <c r="E5397" t="s">
        <v>9474</v>
      </c>
      <c r="H5397" t="s">
        <v>22262</v>
      </c>
      <c r="J5397" t="s">
        <v>90</v>
      </c>
      <c r="K5397" t="s">
        <v>91</v>
      </c>
      <c r="L5397">
        <v>6</v>
      </c>
      <c r="M5397" t="s">
        <v>22263</v>
      </c>
      <c r="N5397" t="s">
        <v>47</v>
      </c>
      <c r="O5397" t="s">
        <v>9477</v>
      </c>
      <c r="P5397" t="s">
        <v>9477</v>
      </c>
      <c r="Y5397" t="s">
        <v>22262</v>
      </c>
    </row>
    <row r="5398" spans="1:25">
      <c r="A5398" t="s">
        <v>22264</v>
      </c>
      <c r="B5398" t="s">
        <v>22265</v>
      </c>
      <c r="D5398" t="s">
        <v>9473</v>
      </c>
      <c r="E5398" t="s">
        <v>9474</v>
      </c>
      <c r="H5398" t="s">
        <v>22266</v>
      </c>
      <c r="J5398" t="s">
        <v>54</v>
      </c>
      <c r="K5398" t="s">
        <v>55</v>
      </c>
      <c r="L5398">
        <v>6</v>
      </c>
      <c r="M5398" t="s">
        <v>22263</v>
      </c>
      <c r="N5398" t="s">
        <v>47</v>
      </c>
      <c r="O5398" t="s">
        <v>9477</v>
      </c>
      <c r="P5398" t="s">
        <v>9477</v>
      </c>
      <c r="Y5398" t="s">
        <v>22266</v>
      </c>
    </row>
    <row r="5399" spans="1:25">
      <c r="A5399" t="s">
        <v>22267</v>
      </c>
      <c r="B5399" t="s">
        <v>22268</v>
      </c>
      <c r="D5399" t="s">
        <v>9473</v>
      </c>
      <c r="E5399" t="s">
        <v>9474</v>
      </c>
      <c r="J5399" t="s">
        <v>78</v>
      </c>
      <c r="K5399" t="s">
        <v>79</v>
      </c>
      <c r="L5399">
        <v>6</v>
      </c>
      <c r="M5399" t="s">
        <v>22269</v>
      </c>
      <c r="N5399" t="s">
        <v>47</v>
      </c>
      <c r="O5399" t="s">
        <v>9477</v>
      </c>
      <c r="P5399" t="s">
        <v>9477</v>
      </c>
      <c r="Y5399" t="s">
        <v>22270</v>
      </c>
    </row>
    <row r="5400" spans="1:25">
      <c r="A5400" t="s">
        <v>22271</v>
      </c>
      <c r="B5400" t="s">
        <v>22272</v>
      </c>
      <c r="D5400" t="s">
        <v>9473</v>
      </c>
      <c r="E5400" t="s">
        <v>9474</v>
      </c>
      <c r="H5400" t="s">
        <v>22273</v>
      </c>
      <c r="J5400" t="s">
        <v>54</v>
      </c>
      <c r="K5400" t="s">
        <v>55</v>
      </c>
      <c r="L5400">
        <v>6</v>
      </c>
      <c r="M5400" t="s">
        <v>22274</v>
      </c>
      <c r="N5400" t="s">
        <v>47</v>
      </c>
      <c r="O5400" t="s">
        <v>9477</v>
      </c>
      <c r="P5400" t="s">
        <v>9477</v>
      </c>
      <c r="Y5400" t="s">
        <v>22273</v>
      </c>
    </row>
    <row r="5401" spans="1:25">
      <c r="A5401" t="s">
        <v>22275</v>
      </c>
      <c r="B5401" t="s">
        <v>22276</v>
      </c>
      <c r="D5401" t="s">
        <v>9473</v>
      </c>
      <c r="E5401" t="s">
        <v>9474</v>
      </c>
      <c r="J5401" t="s">
        <v>78</v>
      </c>
      <c r="K5401" t="s">
        <v>79</v>
      </c>
      <c r="L5401">
        <v>6</v>
      </c>
      <c r="M5401" t="s">
        <v>22277</v>
      </c>
      <c r="N5401" t="s">
        <v>47</v>
      </c>
      <c r="O5401" t="s">
        <v>9477</v>
      </c>
      <c r="P5401" t="s">
        <v>9477</v>
      </c>
      <c r="Y5401" t="s">
        <v>22278</v>
      </c>
    </row>
    <row r="5402" spans="1:25">
      <c r="A5402" t="s">
        <v>22279</v>
      </c>
      <c r="B5402" t="s">
        <v>22280</v>
      </c>
      <c r="D5402" t="s">
        <v>9473</v>
      </c>
      <c r="E5402" t="s">
        <v>9474</v>
      </c>
      <c r="J5402" t="s">
        <v>353</v>
      </c>
      <c r="K5402" t="s">
        <v>354</v>
      </c>
      <c r="L5402">
        <v>6</v>
      </c>
      <c r="M5402" t="s">
        <v>22281</v>
      </c>
      <c r="N5402" t="s">
        <v>135</v>
      </c>
      <c r="O5402" t="s">
        <v>9477</v>
      </c>
      <c r="P5402" t="s">
        <v>9477</v>
      </c>
      <c r="Y5402" t="s">
        <v>22282</v>
      </c>
    </row>
    <row r="5403" spans="1:25">
      <c r="A5403" t="s">
        <v>22283</v>
      </c>
      <c r="B5403" t="s">
        <v>22284</v>
      </c>
      <c r="D5403" t="s">
        <v>9473</v>
      </c>
      <c r="E5403" t="s">
        <v>9474</v>
      </c>
      <c r="J5403" t="s">
        <v>90</v>
      </c>
      <c r="K5403" t="s">
        <v>91</v>
      </c>
      <c r="L5403">
        <v>6</v>
      </c>
      <c r="M5403" t="s">
        <v>22285</v>
      </c>
      <c r="N5403" t="s">
        <v>47</v>
      </c>
      <c r="O5403" t="s">
        <v>9477</v>
      </c>
      <c r="P5403" t="s">
        <v>9477</v>
      </c>
      <c r="Y5403" t="s">
        <v>22286</v>
      </c>
    </row>
    <row r="5404" spans="1:25">
      <c r="A5404" t="s">
        <v>22287</v>
      </c>
      <c r="B5404" t="s">
        <v>22288</v>
      </c>
      <c r="D5404" t="s">
        <v>9473</v>
      </c>
      <c r="E5404" t="s">
        <v>9474</v>
      </c>
      <c r="H5404" t="s">
        <v>22289</v>
      </c>
      <c r="J5404" t="s">
        <v>44</v>
      </c>
      <c r="K5404" t="s">
        <v>45</v>
      </c>
      <c r="L5404">
        <v>6</v>
      </c>
      <c r="M5404" t="s">
        <v>22285</v>
      </c>
      <c r="N5404" t="s">
        <v>47</v>
      </c>
      <c r="O5404" t="s">
        <v>9477</v>
      </c>
      <c r="P5404" t="s">
        <v>9477</v>
      </c>
      <c r="Y5404" t="s">
        <v>22289</v>
      </c>
    </row>
    <row r="5405" spans="1:25">
      <c r="A5405" t="s">
        <v>22290</v>
      </c>
      <c r="B5405" t="s">
        <v>22291</v>
      </c>
      <c r="D5405" t="s">
        <v>9473</v>
      </c>
      <c r="E5405" t="s">
        <v>9474</v>
      </c>
      <c r="J5405" t="s">
        <v>90</v>
      </c>
      <c r="K5405" t="s">
        <v>91</v>
      </c>
      <c r="L5405">
        <v>6</v>
      </c>
      <c r="M5405" t="s">
        <v>22285</v>
      </c>
      <c r="N5405" t="s">
        <v>47</v>
      </c>
      <c r="O5405" t="s">
        <v>9477</v>
      </c>
      <c r="P5405" t="s">
        <v>9477</v>
      </c>
      <c r="Y5405" t="s">
        <v>22292</v>
      </c>
    </row>
    <row r="5406" spans="1:25">
      <c r="A5406" t="s">
        <v>22293</v>
      </c>
      <c r="B5406" t="s">
        <v>22294</v>
      </c>
      <c r="D5406" t="s">
        <v>9473</v>
      </c>
      <c r="E5406" t="s">
        <v>9474</v>
      </c>
      <c r="H5406" t="s">
        <v>22295</v>
      </c>
      <c r="J5406" t="s">
        <v>90</v>
      </c>
      <c r="K5406" t="s">
        <v>91</v>
      </c>
      <c r="L5406">
        <v>6</v>
      </c>
      <c r="M5406" t="s">
        <v>22296</v>
      </c>
      <c r="N5406" t="s">
        <v>47</v>
      </c>
      <c r="O5406" t="s">
        <v>9477</v>
      </c>
      <c r="P5406" t="s">
        <v>9477</v>
      </c>
      <c r="Y5406" t="s">
        <v>22295</v>
      </c>
    </row>
    <row r="5407" spans="1:25">
      <c r="A5407" t="s">
        <v>22297</v>
      </c>
      <c r="B5407" t="s">
        <v>22298</v>
      </c>
      <c r="D5407" t="s">
        <v>9473</v>
      </c>
      <c r="E5407" t="s">
        <v>9474</v>
      </c>
      <c r="J5407" t="s">
        <v>90</v>
      </c>
      <c r="K5407" t="s">
        <v>91</v>
      </c>
      <c r="L5407">
        <v>6</v>
      </c>
      <c r="M5407" t="s">
        <v>22299</v>
      </c>
      <c r="N5407" t="s">
        <v>47</v>
      </c>
      <c r="O5407" t="s">
        <v>9477</v>
      </c>
      <c r="P5407" t="s">
        <v>9477</v>
      </c>
      <c r="Y5407" t="s">
        <v>22300</v>
      </c>
    </row>
    <row r="5408" spans="1:25">
      <c r="A5408" t="s">
        <v>22301</v>
      </c>
      <c r="B5408" t="s">
        <v>22302</v>
      </c>
      <c r="D5408" t="s">
        <v>9473</v>
      </c>
      <c r="E5408" t="s">
        <v>9474</v>
      </c>
      <c r="J5408" t="s">
        <v>90</v>
      </c>
      <c r="K5408" t="s">
        <v>91</v>
      </c>
      <c r="L5408">
        <v>6</v>
      </c>
      <c r="M5408" t="s">
        <v>22299</v>
      </c>
      <c r="N5408" t="s">
        <v>47</v>
      </c>
      <c r="O5408" t="s">
        <v>9477</v>
      </c>
      <c r="P5408" t="s">
        <v>9477</v>
      </c>
      <c r="Y5408" t="s">
        <v>22303</v>
      </c>
    </row>
    <row r="5409" spans="1:25">
      <c r="A5409" t="s">
        <v>22304</v>
      </c>
      <c r="B5409" t="s">
        <v>22305</v>
      </c>
      <c r="D5409" t="s">
        <v>9473</v>
      </c>
      <c r="E5409" t="s">
        <v>9474</v>
      </c>
      <c r="H5409" t="s">
        <v>22306</v>
      </c>
      <c r="J5409" t="s">
        <v>90</v>
      </c>
      <c r="K5409" t="s">
        <v>91</v>
      </c>
      <c r="L5409">
        <v>6</v>
      </c>
      <c r="M5409" t="s">
        <v>22307</v>
      </c>
      <c r="N5409" t="s">
        <v>47</v>
      </c>
      <c r="O5409" t="s">
        <v>9477</v>
      </c>
      <c r="P5409" t="s">
        <v>9477</v>
      </c>
      <c r="Y5409" t="s">
        <v>22306</v>
      </c>
    </row>
    <row r="5410" spans="1:25">
      <c r="A5410" t="s">
        <v>22308</v>
      </c>
      <c r="B5410" t="s">
        <v>22309</v>
      </c>
      <c r="D5410" t="s">
        <v>9473</v>
      </c>
      <c r="E5410" t="s">
        <v>9474</v>
      </c>
      <c r="J5410" t="s">
        <v>133</v>
      </c>
      <c r="K5410" t="s">
        <v>134</v>
      </c>
      <c r="L5410">
        <v>6</v>
      </c>
      <c r="M5410" t="s">
        <v>22310</v>
      </c>
      <c r="N5410" t="s">
        <v>135</v>
      </c>
      <c r="O5410" t="s">
        <v>9477</v>
      </c>
      <c r="P5410" t="s">
        <v>9477</v>
      </c>
      <c r="Y5410" t="s">
        <v>22311</v>
      </c>
    </row>
    <row r="5411" spans="1:25">
      <c r="A5411" t="s">
        <v>22312</v>
      </c>
      <c r="B5411" t="s">
        <v>22313</v>
      </c>
      <c r="D5411" t="s">
        <v>9473</v>
      </c>
      <c r="E5411" t="s">
        <v>9474</v>
      </c>
      <c r="J5411" t="s">
        <v>54</v>
      </c>
      <c r="K5411" t="s">
        <v>55</v>
      </c>
      <c r="L5411">
        <v>6</v>
      </c>
      <c r="M5411" t="s">
        <v>22314</v>
      </c>
      <c r="N5411" t="s">
        <v>47</v>
      </c>
      <c r="O5411" t="s">
        <v>9477</v>
      </c>
      <c r="P5411" t="s">
        <v>9477</v>
      </c>
      <c r="Y5411" t="s">
        <v>22315</v>
      </c>
    </row>
    <row r="5412" spans="1:25">
      <c r="A5412" t="s">
        <v>22316</v>
      </c>
      <c r="B5412" t="s">
        <v>22317</v>
      </c>
      <c r="D5412" t="s">
        <v>9473</v>
      </c>
      <c r="E5412" t="s">
        <v>9474</v>
      </c>
      <c r="J5412" t="s">
        <v>44</v>
      </c>
      <c r="K5412" t="s">
        <v>45</v>
      </c>
      <c r="L5412">
        <v>6</v>
      </c>
      <c r="M5412" t="s">
        <v>22318</v>
      </c>
      <c r="N5412" t="s">
        <v>47</v>
      </c>
      <c r="O5412" t="s">
        <v>9477</v>
      </c>
      <c r="P5412" t="s">
        <v>9477</v>
      </c>
      <c r="Y5412" t="s">
        <v>22319</v>
      </c>
    </row>
    <row r="5413" spans="1:25">
      <c r="A5413" t="s">
        <v>22320</v>
      </c>
      <c r="B5413" t="s">
        <v>22321</v>
      </c>
      <c r="D5413" t="s">
        <v>9473</v>
      </c>
      <c r="E5413" t="s">
        <v>9474</v>
      </c>
      <c r="J5413" t="s">
        <v>90</v>
      </c>
      <c r="K5413" t="s">
        <v>91</v>
      </c>
      <c r="L5413">
        <v>6</v>
      </c>
      <c r="M5413" t="s">
        <v>22322</v>
      </c>
      <c r="N5413" t="s">
        <v>47</v>
      </c>
      <c r="O5413" t="s">
        <v>9477</v>
      </c>
      <c r="P5413" t="s">
        <v>9477</v>
      </c>
      <c r="Y5413" t="s">
        <v>22323</v>
      </c>
    </row>
    <row r="5414" spans="1:25">
      <c r="A5414" t="s">
        <v>22324</v>
      </c>
      <c r="B5414" t="s">
        <v>22325</v>
      </c>
      <c r="D5414" t="s">
        <v>9473</v>
      </c>
      <c r="E5414" t="s">
        <v>9474</v>
      </c>
      <c r="J5414" t="s">
        <v>90</v>
      </c>
      <c r="K5414" t="s">
        <v>91</v>
      </c>
      <c r="L5414">
        <v>6</v>
      </c>
      <c r="M5414" t="s">
        <v>22326</v>
      </c>
      <c r="N5414" t="s">
        <v>47</v>
      </c>
      <c r="O5414" t="s">
        <v>9477</v>
      </c>
      <c r="P5414" t="s">
        <v>9477</v>
      </c>
      <c r="Y5414" t="s">
        <v>22327</v>
      </c>
    </row>
    <row r="5415" spans="1:25">
      <c r="A5415" t="s">
        <v>22328</v>
      </c>
      <c r="B5415" t="s">
        <v>22329</v>
      </c>
      <c r="D5415" t="s">
        <v>9473</v>
      </c>
      <c r="E5415" t="s">
        <v>9474</v>
      </c>
      <c r="J5415" t="s">
        <v>90</v>
      </c>
      <c r="K5415" t="s">
        <v>91</v>
      </c>
      <c r="L5415">
        <v>6</v>
      </c>
      <c r="M5415" t="s">
        <v>22330</v>
      </c>
      <c r="N5415" t="s">
        <v>47</v>
      </c>
      <c r="O5415" t="s">
        <v>9477</v>
      </c>
      <c r="P5415" t="s">
        <v>9477</v>
      </c>
      <c r="Y5415" t="s">
        <v>22331</v>
      </c>
    </row>
    <row r="5416" spans="1:25">
      <c r="A5416" t="s">
        <v>22332</v>
      </c>
      <c r="B5416" t="s">
        <v>22333</v>
      </c>
      <c r="D5416" t="s">
        <v>9473</v>
      </c>
      <c r="E5416" t="s">
        <v>9474</v>
      </c>
      <c r="H5416" t="s">
        <v>22334</v>
      </c>
      <c r="J5416" t="s">
        <v>353</v>
      </c>
      <c r="K5416" t="s">
        <v>354</v>
      </c>
      <c r="L5416">
        <v>6</v>
      </c>
      <c r="M5416" t="s">
        <v>22330</v>
      </c>
      <c r="N5416" t="s">
        <v>135</v>
      </c>
      <c r="O5416" t="s">
        <v>9477</v>
      </c>
      <c r="P5416" t="s">
        <v>9477</v>
      </c>
      <c r="Y5416" t="s">
        <v>22334</v>
      </c>
    </row>
    <row r="5417" spans="1:25">
      <c r="A5417" t="s">
        <v>22335</v>
      </c>
      <c r="B5417" t="s">
        <v>22336</v>
      </c>
      <c r="D5417" t="s">
        <v>9473</v>
      </c>
      <c r="E5417" t="s">
        <v>9474</v>
      </c>
      <c r="H5417" t="s">
        <v>22337</v>
      </c>
      <c r="J5417" t="s">
        <v>90</v>
      </c>
      <c r="K5417" t="s">
        <v>91</v>
      </c>
      <c r="L5417">
        <v>6</v>
      </c>
      <c r="M5417" t="s">
        <v>22330</v>
      </c>
      <c r="N5417" t="s">
        <v>47</v>
      </c>
      <c r="O5417" t="s">
        <v>9477</v>
      </c>
      <c r="P5417" t="s">
        <v>9477</v>
      </c>
      <c r="Y5417" t="s">
        <v>22337</v>
      </c>
    </row>
    <row r="5418" spans="1:25">
      <c r="A5418" t="s">
        <v>22338</v>
      </c>
      <c r="B5418" t="s">
        <v>22339</v>
      </c>
      <c r="D5418" t="s">
        <v>9473</v>
      </c>
      <c r="E5418" t="s">
        <v>9474</v>
      </c>
      <c r="H5418" t="s">
        <v>22340</v>
      </c>
      <c r="J5418" t="s">
        <v>78</v>
      </c>
      <c r="K5418" t="s">
        <v>79</v>
      </c>
      <c r="L5418">
        <v>6</v>
      </c>
      <c r="M5418" t="s">
        <v>22341</v>
      </c>
      <c r="N5418" t="s">
        <v>47</v>
      </c>
      <c r="O5418" t="s">
        <v>9477</v>
      </c>
      <c r="P5418" t="s">
        <v>9477</v>
      </c>
      <c r="Y5418" t="s">
        <v>22340</v>
      </c>
    </row>
    <row r="5419" spans="1:25">
      <c r="A5419" t="s">
        <v>22342</v>
      </c>
      <c r="B5419" t="s">
        <v>22343</v>
      </c>
      <c r="D5419" t="s">
        <v>9473</v>
      </c>
      <c r="E5419" t="s">
        <v>9474</v>
      </c>
      <c r="J5419" t="s">
        <v>54</v>
      </c>
      <c r="K5419" t="s">
        <v>55</v>
      </c>
      <c r="L5419">
        <v>6</v>
      </c>
      <c r="M5419" t="s">
        <v>22341</v>
      </c>
      <c r="N5419" t="s">
        <v>47</v>
      </c>
      <c r="O5419" t="s">
        <v>9477</v>
      </c>
      <c r="P5419" t="s">
        <v>9477</v>
      </c>
      <c r="Y5419" t="s">
        <v>22344</v>
      </c>
    </row>
    <row r="5420" spans="1:25">
      <c r="A5420" t="s">
        <v>22345</v>
      </c>
      <c r="B5420" t="s">
        <v>22346</v>
      </c>
      <c r="D5420" t="s">
        <v>9473</v>
      </c>
      <c r="E5420" t="s">
        <v>9474</v>
      </c>
      <c r="J5420" t="s">
        <v>44</v>
      </c>
      <c r="K5420" t="s">
        <v>45</v>
      </c>
      <c r="L5420">
        <v>6</v>
      </c>
      <c r="M5420" t="s">
        <v>22347</v>
      </c>
      <c r="N5420" t="s">
        <v>47</v>
      </c>
      <c r="O5420" t="s">
        <v>9477</v>
      </c>
      <c r="P5420" t="s">
        <v>9477</v>
      </c>
      <c r="Y5420" t="s">
        <v>22348</v>
      </c>
    </row>
    <row r="5421" spans="1:25">
      <c r="A5421" t="s">
        <v>22349</v>
      </c>
      <c r="B5421" t="s">
        <v>22350</v>
      </c>
      <c r="D5421" t="s">
        <v>9473</v>
      </c>
      <c r="E5421" t="s">
        <v>9474</v>
      </c>
      <c r="J5421" t="s">
        <v>44</v>
      </c>
      <c r="K5421" t="s">
        <v>45</v>
      </c>
      <c r="L5421">
        <v>6</v>
      </c>
      <c r="M5421" t="s">
        <v>22351</v>
      </c>
      <c r="N5421" t="s">
        <v>47</v>
      </c>
      <c r="O5421" t="s">
        <v>9477</v>
      </c>
      <c r="P5421" t="s">
        <v>9477</v>
      </c>
      <c r="Y5421" t="s">
        <v>22352</v>
      </c>
    </row>
    <row r="5422" spans="1:25">
      <c r="A5422" t="s">
        <v>22353</v>
      </c>
      <c r="B5422" t="s">
        <v>22354</v>
      </c>
      <c r="D5422" t="s">
        <v>9473</v>
      </c>
      <c r="E5422" t="s">
        <v>9474</v>
      </c>
      <c r="J5422" t="s">
        <v>90</v>
      </c>
      <c r="K5422" t="s">
        <v>91</v>
      </c>
      <c r="L5422">
        <v>6</v>
      </c>
      <c r="M5422" t="s">
        <v>22355</v>
      </c>
      <c r="N5422" t="s">
        <v>47</v>
      </c>
      <c r="O5422" t="s">
        <v>9477</v>
      </c>
      <c r="P5422" t="s">
        <v>9477</v>
      </c>
      <c r="Y5422" t="s">
        <v>22356</v>
      </c>
    </row>
    <row r="5423" spans="1:25">
      <c r="A5423" t="s">
        <v>22357</v>
      </c>
      <c r="B5423" t="s">
        <v>22358</v>
      </c>
      <c r="D5423" t="s">
        <v>9473</v>
      </c>
      <c r="E5423" t="s">
        <v>9474</v>
      </c>
      <c r="J5423" t="s">
        <v>78</v>
      </c>
      <c r="K5423" t="s">
        <v>79</v>
      </c>
      <c r="L5423">
        <v>6</v>
      </c>
      <c r="M5423" t="s">
        <v>22359</v>
      </c>
      <c r="N5423" t="s">
        <v>47</v>
      </c>
      <c r="O5423" t="s">
        <v>9477</v>
      </c>
      <c r="P5423" t="s">
        <v>9477</v>
      </c>
      <c r="Y5423" t="s">
        <v>22360</v>
      </c>
    </row>
    <row r="5424" spans="1:25">
      <c r="A5424" t="s">
        <v>22361</v>
      </c>
      <c r="B5424" t="s">
        <v>22362</v>
      </c>
      <c r="D5424" t="s">
        <v>9473</v>
      </c>
      <c r="E5424" t="s">
        <v>9474</v>
      </c>
      <c r="H5424" t="s">
        <v>22363</v>
      </c>
      <c r="J5424" t="s">
        <v>90</v>
      </c>
      <c r="K5424" t="s">
        <v>91</v>
      </c>
      <c r="L5424">
        <v>6</v>
      </c>
      <c r="M5424" t="s">
        <v>22364</v>
      </c>
      <c r="N5424" t="s">
        <v>47</v>
      </c>
      <c r="O5424" t="s">
        <v>9477</v>
      </c>
      <c r="P5424" t="s">
        <v>9477</v>
      </c>
      <c r="Y5424" t="s">
        <v>22363</v>
      </c>
    </row>
    <row r="5425" spans="1:25">
      <c r="A5425" t="s">
        <v>22365</v>
      </c>
      <c r="B5425" t="s">
        <v>22366</v>
      </c>
      <c r="D5425" t="s">
        <v>9473</v>
      </c>
      <c r="E5425" t="s">
        <v>9474</v>
      </c>
      <c r="J5425" t="s">
        <v>683</v>
      </c>
      <c r="K5425" t="s">
        <v>684</v>
      </c>
      <c r="L5425">
        <v>6</v>
      </c>
      <c r="M5425" t="s">
        <v>22367</v>
      </c>
      <c r="N5425" t="s">
        <v>685</v>
      </c>
      <c r="O5425" t="s">
        <v>9477</v>
      </c>
      <c r="P5425" t="s">
        <v>9477</v>
      </c>
      <c r="Y5425" t="s">
        <v>22368</v>
      </c>
    </row>
    <row r="5426" spans="1:25">
      <c r="A5426" t="s">
        <v>22369</v>
      </c>
      <c r="B5426" t="s">
        <v>22370</v>
      </c>
      <c r="D5426" t="s">
        <v>9473</v>
      </c>
      <c r="E5426" t="s">
        <v>9474</v>
      </c>
      <c r="J5426" t="s">
        <v>90</v>
      </c>
      <c r="K5426" t="s">
        <v>91</v>
      </c>
      <c r="L5426">
        <v>6</v>
      </c>
      <c r="M5426" t="s">
        <v>22367</v>
      </c>
      <c r="N5426" t="s">
        <v>47</v>
      </c>
      <c r="O5426" t="s">
        <v>9477</v>
      </c>
      <c r="P5426" t="s">
        <v>9477</v>
      </c>
      <c r="Y5426" t="s">
        <v>22371</v>
      </c>
    </row>
    <row r="5427" spans="1:25">
      <c r="A5427" t="s">
        <v>22372</v>
      </c>
      <c r="B5427" t="s">
        <v>22373</v>
      </c>
      <c r="D5427" t="s">
        <v>9473</v>
      </c>
      <c r="E5427" t="s">
        <v>9474</v>
      </c>
      <c r="J5427" t="s">
        <v>78</v>
      </c>
      <c r="K5427" t="s">
        <v>79</v>
      </c>
      <c r="L5427">
        <v>6</v>
      </c>
      <c r="M5427" t="s">
        <v>22367</v>
      </c>
      <c r="N5427" t="s">
        <v>47</v>
      </c>
      <c r="O5427" t="s">
        <v>9477</v>
      </c>
      <c r="P5427" t="s">
        <v>9477</v>
      </c>
      <c r="Y5427" t="s">
        <v>22374</v>
      </c>
    </row>
    <row r="5428" spans="1:25">
      <c r="A5428" t="s">
        <v>22375</v>
      </c>
      <c r="B5428" t="s">
        <v>22376</v>
      </c>
      <c r="D5428" t="s">
        <v>9473</v>
      </c>
      <c r="E5428" t="s">
        <v>9474</v>
      </c>
      <c r="J5428" t="s">
        <v>90</v>
      </c>
      <c r="K5428" t="s">
        <v>91</v>
      </c>
      <c r="L5428">
        <v>6</v>
      </c>
      <c r="M5428" t="s">
        <v>22377</v>
      </c>
      <c r="N5428" t="s">
        <v>47</v>
      </c>
      <c r="O5428" t="s">
        <v>9477</v>
      </c>
      <c r="P5428" t="s">
        <v>9477</v>
      </c>
      <c r="Y5428" t="s">
        <v>22378</v>
      </c>
    </row>
    <row r="5429" spans="1:25">
      <c r="A5429" t="s">
        <v>22379</v>
      </c>
      <c r="B5429" t="s">
        <v>22380</v>
      </c>
      <c r="D5429" t="s">
        <v>9473</v>
      </c>
      <c r="E5429" t="s">
        <v>9474</v>
      </c>
      <c r="J5429" t="s">
        <v>44</v>
      </c>
      <c r="K5429" t="s">
        <v>45</v>
      </c>
      <c r="L5429">
        <v>6</v>
      </c>
      <c r="M5429" t="s">
        <v>22377</v>
      </c>
      <c r="N5429" t="s">
        <v>47</v>
      </c>
      <c r="O5429" t="s">
        <v>9477</v>
      </c>
      <c r="P5429" t="s">
        <v>9477</v>
      </c>
      <c r="Y5429" t="s">
        <v>22381</v>
      </c>
    </row>
    <row r="5430" spans="1:25">
      <c r="A5430" t="s">
        <v>22382</v>
      </c>
      <c r="B5430" t="s">
        <v>22383</v>
      </c>
      <c r="D5430" t="s">
        <v>9473</v>
      </c>
      <c r="E5430" t="s">
        <v>9474</v>
      </c>
      <c r="J5430" t="s">
        <v>78</v>
      </c>
      <c r="K5430" t="s">
        <v>79</v>
      </c>
      <c r="L5430">
        <v>6</v>
      </c>
      <c r="M5430" t="s">
        <v>22377</v>
      </c>
      <c r="N5430" t="s">
        <v>47</v>
      </c>
      <c r="O5430" t="s">
        <v>9477</v>
      </c>
      <c r="P5430" t="s">
        <v>9477</v>
      </c>
      <c r="Y5430" t="s">
        <v>22384</v>
      </c>
    </row>
    <row r="5431" spans="1:25">
      <c r="A5431" t="s">
        <v>22385</v>
      </c>
      <c r="B5431" t="s">
        <v>22386</v>
      </c>
      <c r="D5431" t="s">
        <v>9473</v>
      </c>
      <c r="E5431" t="s">
        <v>9474</v>
      </c>
      <c r="J5431" t="s">
        <v>44</v>
      </c>
      <c r="K5431" t="s">
        <v>45</v>
      </c>
      <c r="L5431">
        <v>6</v>
      </c>
      <c r="M5431" t="s">
        <v>22387</v>
      </c>
      <c r="N5431" t="s">
        <v>47</v>
      </c>
      <c r="O5431" t="s">
        <v>9477</v>
      </c>
      <c r="P5431" t="s">
        <v>9477</v>
      </c>
      <c r="Y5431" t="s">
        <v>22388</v>
      </c>
    </row>
    <row r="5432" spans="1:25">
      <c r="A5432" t="s">
        <v>22389</v>
      </c>
      <c r="B5432" t="s">
        <v>22390</v>
      </c>
      <c r="D5432" t="s">
        <v>9473</v>
      </c>
      <c r="E5432" t="s">
        <v>9474</v>
      </c>
      <c r="J5432" t="s">
        <v>133</v>
      </c>
      <c r="K5432" t="s">
        <v>134</v>
      </c>
      <c r="L5432">
        <v>6</v>
      </c>
      <c r="M5432" t="s">
        <v>22387</v>
      </c>
      <c r="N5432" t="s">
        <v>135</v>
      </c>
      <c r="O5432" t="s">
        <v>9477</v>
      </c>
      <c r="P5432" t="s">
        <v>9477</v>
      </c>
      <c r="Y5432" t="s">
        <v>22391</v>
      </c>
    </row>
    <row r="5433" spans="1:25">
      <c r="A5433" t="s">
        <v>22392</v>
      </c>
      <c r="B5433" t="s">
        <v>22393</v>
      </c>
      <c r="D5433" t="s">
        <v>9473</v>
      </c>
      <c r="E5433" t="s">
        <v>9474</v>
      </c>
      <c r="J5433" t="s">
        <v>133</v>
      </c>
      <c r="K5433" t="s">
        <v>134</v>
      </c>
      <c r="L5433">
        <v>6</v>
      </c>
      <c r="M5433" t="s">
        <v>22387</v>
      </c>
      <c r="N5433" t="s">
        <v>290</v>
      </c>
      <c r="O5433" t="s">
        <v>9477</v>
      </c>
      <c r="P5433" t="s">
        <v>9477</v>
      </c>
      <c r="Y5433" t="s">
        <v>22394</v>
      </c>
    </row>
    <row r="5434" spans="1:25">
      <c r="A5434" t="s">
        <v>22395</v>
      </c>
      <c r="B5434" t="s">
        <v>22396</v>
      </c>
      <c r="D5434" t="s">
        <v>9473</v>
      </c>
      <c r="E5434" t="s">
        <v>9474</v>
      </c>
      <c r="H5434" t="s">
        <v>22397</v>
      </c>
      <c r="J5434" t="s">
        <v>133</v>
      </c>
      <c r="K5434" t="s">
        <v>134</v>
      </c>
      <c r="L5434">
        <v>6</v>
      </c>
      <c r="M5434" t="s">
        <v>22398</v>
      </c>
      <c r="N5434" t="s">
        <v>685</v>
      </c>
      <c r="O5434" t="s">
        <v>9477</v>
      </c>
      <c r="P5434" t="s">
        <v>9477</v>
      </c>
      <c r="Y5434" t="s">
        <v>22397</v>
      </c>
    </row>
    <row r="5435" spans="1:25">
      <c r="A5435" t="s">
        <v>22399</v>
      </c>
      <c r="B5435" t="s">
        <v>22400</v>
      </c>
      <c r="D5435" t="s">
        <v>9473</v>
      </c>
      <c r="E5435" t="s">
        <v>9474</v>
      </c>
      <c r="H5435" t="s">
        <v>22401</v>
      </c>
      <c r="J5435" t="s">
        <v>133</v>
      </c>
      <c r="K5435" t="s">
        <v>134</v>
      </c>
      <c r="L5435">
        <v>6</v>
      </c>
      <c r="M5435" t="s">
        <v>22402</v>
      </c>
      <c r="N5435" t="s">
        <v>290</v>
      </c>
      <c r="O5435" t="s">
        <v>9477</v>
      </c>
      <c r="P5435" t="s">
        <v>9477</v>
      </c>
      <c r="Y5435" t="s">
        <v>22401</v>
      </c>
    </row>
    <row r="5436" spans="1:25">
      <c r="A5436" t="s">
        <v>22403</v>
      </c>
      <c r="B5436" t="s">
        <v>22404</v>
      </c>
      <c r="D5436" t="s">
        <v>9473</v>
      </c>
      <c r="E5436" t="s">
        <v>9474</v>
      </c>
      <c r="J5436" t="s">
        <v>44</v>
      </c>
      <c r="K5436" t="s">
        <v>45</v>
      </c>
      <c r="L5436">
        <v>6</v>
      </c>
      <c r="M5436" t="s">
        <v>22405</v>
      </c>
      <c r="N5436" t="s">
        <v>47</v>
      </c>
      <c r="O5436" t="s">
        <v>9477</v>
      </c>
      <c r="P5436" t="s">
        <v>9477</v>
      </c>
      <c r="Y5436" t="s">
        <v>22406</v>
      </c>
    </row>
    <row r="5437" spans="1:25">
      <c r="A5437" t="s">
        <v>22407</v>
      </c>
      <c r="B5437" t="s">
        <v>22408</v>
      </c>
      <c r="D5437" t="s">
        <v>9473</v>
      </c>
      <c r="E5437" t="s">
        <v>9474</v>
      </c>
      <c r="J5437" t="s">
        <v>90</v>
      </c>
      <c r="K5437" t="s">
        <v>91</v>
      </c>
      <c r="L5437">
        <v>6</v>
      </c>
      <c r="M5437" t="s">
        <v>22405</v>
      </c>
      <c r="N5437" t="s">
        <v>47</v>
      </c>
      <c r="O5437" t="s">
        <v>9477</v>
      </c>
      <c r="P5437" t="s">
        <v>9477</v>
      </c>
      <c r="Y5437" t="s">
        <v>22409</v>
      </c>
    </row>
    <row r="5438" spans="1:25">
      <c r="A5438" t="s">
        <v>22410</v>
      </c>
      <c r="B5438" t="s">
        <v>22411</v>
      </c>
      <c r="D5438" t="s">
        <v>9473</v>
      </c>
      <c r="E5438" t="s">
        <v>9474</v>
      </c>
      <c r="J5438" t="s">
        <v>44</v>
      </c>
      <c r="K5438" t="s">
        <v>45</v>
      </c>
      <c r="L5438">
        <v>6</v>
      </c>
      <c r="M5438" t="s">
        <v>22412</v>
      </c>
      <c r="N5438" t="s">
        <v>47</v>
      </c>
      <c r="O5438" t="s">
        <v>9477</v>
      </c>
      <c r="P5438" t="s">
        <v>9477</v>
      </c>
      <c r="Y5438" t="s">
        <v>22413</v>
      </c>
    </row>
    <row r="5439" spans="1:25">
      <c r="A5439" t="s">
        <v>22414</v>
      </c>
      <c r="B5439" t="s">
        <v>22415</v>
      </c>
      <c r="D5439" t="s">
        <v>9473</v>
      </c>
      <c r="E5439" t="s">
        <v>9474</v>
      </c>
      <c r="J5439" t="s">
        <v>78</v>
      </c>
      <c r="K5439" t="s">
        <v>79</v>
      </c>
      <c r="L5439">
        <v>6</v>
      </c>
      <c r="M5439" t="s">
        <v>22412</v>
      </c>
      <c r="N5439" t="s">
        <v>47</v>
      </c>
      <c r="O5439" t="s">
        <v>9477</v>
      </c>
      <c r="P5439" t="s">
        <v>9477</v>
      </c>
      <c r="Y5439" t="s">
        <v>22416</v>
      </c>
    </row>
    <row r="5440" spans="1:25">
      <c r="A5440" t="s">
        <v>22417</v>
      </c>
      <c r="B5440" t="s">
        <v>22418</v>
      </c>
      <c r="D5440" t="s">
        <v>9473</v>
      </c>
      <c r="E5440" t="s">
        <v>9474</v>
      </c>
      <c r="J5440" t="s">
        <v>133</v>
      </c>
      <c r="K5440" t="s">
        <v>134</v>
      </c>
      <c r="L5440">
        <v>6</v>
      </c>
      <c r="M5440" t="s">
        <v>22412</v>
      </c>
      <c r="N5440" t="s">
        <v>135</v>
      </c>
      <c r="O5440" t="s">
        <v>9477</v>
      </c>
      <c r="P5440" t="s">
        <v>9477</v>
      </c>
      <c r="Y5440" t="s">
        <v>22419</v>
      </c>
    </row>
    <row r="5441" spans="1:25">
      <c r="A5441" t="s">
        <v>22420</v>
      </c>
      <c r="B5441" t="s">
        <v>22421</v>
      </c>
      <c r="D5441" t="s">
        <v>9473</v>
      </c>
      <c r="E5441" t="s">
        <v>9474</v>
      </c>
      <c r="J5441" t="s">
        <v>133</v>
      </c>
      <c r="K5441" t="s">
        <v>134</v>
      </c>
      <c r="L5441">
        <v>6</v>
      </c>
      <c r="M5441" t="s">
        <v>22412</v>
      </c>
      <c r="N5441" t="s">
        <v>685</v>
      </c>
      <c r="O5441" t="s">
        <v>9477</v>
      </c>
      <c r="P5441" t="s">
        <v>9477</v>
      </c>
      <c r="Y5441" t="s">
        <v>22422</v>
      </c>
    </row>
    <row r="5442" spans="1:25">
      <c r="A5442" t="s">
        <v>22423</v>
      </c>
      <c r="B5442" t="s">
        <v>22424</v>
      </c>
      <c r="D5442" t="s">
        <v>9473</v>
      </c>
      <c r="E5442" t="s">
        <v>9474</v>
      </c>
      <c r="J5442" t="s">
        <v>133</v>
      </c>
      <c r="K5442" t="s">
        <v>134</v>
      </c>
      <c r="L5442">
        <v>6</v>
      </c>
      <c r="M5442" t="s">
        <v>22425</v>
      </c>
      <c r="N5442" t="s">
        <v>290</v>
      </c>
      <c r="O5442" t="s">
        <v>9477</v>
      </c>
      <c r="P5442" t="s">
        <v>9477</v>
      </c>
      <c r="Y5442" t="s">
        <v>22426</v>
      </c>
    </row>
    <row r="5443" spans="1:25">
      <c r="A5443" t="s">
        <v>22427</v>
      </c>
      <c r="B5443" t="s">
        <v>22428</v>
      </c>
      <c r="D5443" t="s">
        <v>9473</v>
      </c>
      <c r="E5443" t="s">
        <v>9474</v>
      </c>
      <c r="H5443" t="s">
        <v>22429</v>
      </c>
      <c r="J5443" t="s">
        <v>371</v>
      </c>
      <c r="K5443" t="s">
        <v>372</v>
      </c>
      <c r="L5443">
        <v>6</v>
      </c>
      <c r="M5443" t="s">
        <v>22425</v>
      </c>
      <c r="N5443" t="s">
        <v>47</v>
      </c>
      <c r="O5443" t="s">
        <v>9477</v>
      </c>
      <c r="P5443" t="s">
        <v>9477</v>
      </c>
      <c r="Y5443" t="s">
        <v>22429</v>
      </c>
    </row>
    <row r="5444" spans="1:25">
      <c r="A5444" t="s">
        <v>22430</v>
      </c>
      <c r="B5444" t="s">
        <v>22431</v>
      </c>
      <c r="D5444" t="s">
        <v>9473</v>
      </c>
      <c r="E5444" t="s">
        <v>9474</v>
      </c>
      <c r="J5444" t="s">
        <v>90</v>
      </c>
      <c r="K5444" t="s">
        <v>91</v>
      </c>
      <c r="L5444">
        <v>6</v>
      </c>
      <c r="M5444" t="s">
        <v>22425</v>
      </c>
      <c r="N5444" t="s">
        <v>47</v>
      </c>
      <c r="O5444" t="s">
        <v>9477</v>
      </c>
      <c r="P5444" t="s">
        <v>9477</v>
      </c>
      <c r="Y5444" t="s">
        <v>22432</v>
      </c>
    </row>
    <row r="5445" spans="1:25">
      <c r="A5445" t="s">
        <v>22433</v>
      </c>
      <c r="B5445" t="s">
        <v>22434</v>
      </c>
      <c r="D5445" t="s">
        <v>9473</v>
      </c>
      <c r="E5445" t="s">
        <v>9474</v>
      </c>
      <c r="J5445" t="s">
        <v>90</v>
      </c>
      <c r="K5445" t="s">
        <v>91</v>
      </c>
      <c r="L5445">
        <v>6</v>
      </c>
      <c r="M5445" t="s">
        <v>22425</v>
      </c>
      <c r="N5445" t="s">
        <v>47</v>
      </c>
      <c r="O5445" t="s">
        <v>9477</v>
      </c>
      <c r="P5445" t="s">
        <v>9477</v>
      </c>
      <c r="Y5445" t="s">
        <v>22435</v>
      </c>
    </row>
    <row r="5446" spans="1:25">
      <c r="A5446" t="s">
        <v>22436</v>
      </c>
      <c r="B5446" t="s">
        <v>22437</v>
      </c>
      <c r="D5446" t="s">
        <v>9473</v>
      </c>
      <c r="E5446" t="s">
        <v>9474</v>
      </c>
      <c r="J5446" t="s">
        <v>54</v>
      </c>
      <c r="K5446" t="s">
        <v>55</v>
      </c>
      <c r="L5446">
        <v>6</v>
      </c>
      <c r="M5446" t="s">
        <v>22438</v>
      </c>
      <c r="N5446" t="s">
        <v>47</v>
      </c>
      <c r="O5446" t="s">
        <v>9477</v>
      </c>
      <c r="P5446" t="s">
        <v>9477</v>
      </c>
      <c r="Y5446" t="s">
        <v>22439</v>
      </c>
    </row>
    <row r="5447" spans="1:25">
      <c r="A5447" t="s">
        <v>22440</v>
      </c>
      <c r="B5447" t="s">
        <v>22441</v>
      </c>
      <c r="D5447" t="s">
        <v>9473</v>
      </c>
      <c r="E5447" t="s">
        <v>9474</v>
      </c>
      <c r="J5447" t="s">
        <v>44</v>
      </c>
      <c r="K5447" t="s">
        <v>45</v>
      </c>
      <c r="L5447">
        <v>6</v>
      </c>
      <c r="M5447" t="s">
        <v>22442</v>
      </c>
      <c r="N5447" t="s">
        <v>47</v>
      </c>
      <c r="O5447" t="s">
        <v>9477</v>
      </c>
      <c r="P5447" t="s">
        <v>9477</v>
      </c>
      <c r="Y5447" t="s">
        <v>22443</v>
      </c>
    </row>
    <row r="5448" spans="1:25">
      <c r="A5448" t="s">
        <v>22444</v>
      </c>
      <c r="B5448" t="s">
        <v>22445</v>
      </c>
      <c r="D5448" t="s">
        <v>9473</v>
      </c>
      <c r="E5448" t="s">
        <v>9474</v>
      </c>
      <c r="H5448" t="s">
        <v>22446</v>
      </c>
      <c r="J5448" t="s">
        <v>54</v>
      </c>
      <c r="K5448" t="s">
        <v>55</v>
      </c>
      <c r="L5448">
        <v>6</v>
      </c>
      <c r="M5448" t="s">
        <v>22447</v>
      </c>
      <c r="N5448" t="s">
        <v>47</v>
      </c>
      <c r="O5448" t="s">
        <v>9477</v>
      </c>
      <c r="P5448" t="s">
        <v>9477</v>
      </c>
      <c r="Y5448" t="s">
        <v>22446</v>
      </c>
    </row>
    <row r="5449" spans="1:25">
      <c r="A5449" t="s">
        <v>22448</v>
      </c>
      <c r="B5449" t="s">
        <v>22449</v>
      </c>
      <c r="D5449" t="s">
        <v>9473</v>
      </c>
      <c r="E5449" t="s">
        <v>9474</v>
      </c>
      <c r="J5449" t="s">
        <v>54</v>
      </c>
      <c r="K5449" t="s">
        <v>55</v>
      </c>
      <c r="L5449">
        <v>6</v>
      </c>
      <c r="M5449" t="s">
        <v>22447</v>
      </c>
      <c r="N5449" t="s">
        <v>47</v>
      </c>
      <c r="O5449" t="s">
        <v>9477</v>
      </c>
      <c r="P5449" t="s">
        <v>9477</v>
      </c>
      <c r="Y5449" t="s">
        <v>22450</v>
      </c>
    </row>
    <row r="5450" spans="1:25">
      <c r="A5450" t="s">
        <v>22451</v>
      </c>
      <c r="B5450" t="s">
        <v>22452</v>
      </c>
      <c r="D5450" t="s">
        <v>9473</v>
      </c>
      <c r="E5450" t="s">
        <v>9474</v>
      </c>
      <c r="J5450" t="s">
        <v>371</v>
      </c>
      <c r="K5450" t="s">
        <v>372</v>
      </c>
      <c r="L5450">
        <v>6</v>
      </c>
      <c r="M5450" t="s">
        <v>22447</v>
      </c>
      <c r="N5450" t="s">
        <v>47</v>
      </c>
      <c r="O5450" t="s">
        <v>9477</v>
      </c>
      <c r="P5450" t="s">
        <v>9477</v>
      </c>
      <c r="Y5450" t="s">
        <v>22453</v>
      </c>
    </row>
    <row r="5451" spans="1:25">
      <c r="A5451" t="s">
        <v>22454</v>
      </c>
      <c r="B5451" t="s">
        <v>22455</v>
      </c>
      <c r="D5451" t="s">
        <v>9473</v>
      </c>
      <c r="E5451" t="s">
        <v>9474</v>
      </c>
      <c r="H5451" t="s">
        <v>22456</v>
      </c>
      <c r="J5451" t="s">
        <v>234</v>
      </c>
      <c r="K5451" t="s">
        <v>235</v>
      </c>
      <c r="L5451">
        <v>6</v>
      </c>
      <c r="M5451" t="s">
        <v>22457</v>
      </c>
      <c r="N5451" t="s">
        <v>47</v>
      </c>
      <c r="O5451" t="s">
        <v>9477</v>
      </c>
      <c r="P5451" t="s">
        <v>9477</v>
      </c>
      <c r="Y5451" t="s">
        <v>22456</v>
      </c>
    </row>
    <row r="5452" spans="1:25">
      <c r="A5452" t="s">
        <v>22458</v>
      </c>
      <c r="B5452" t="s">
        <v>22459</v>
      </c>
      <c r="D5452" t="s">
        <v>9473</v>
      </c>
      <c r="E5452" t="s">
        <v>9474</v>
      </c>
      <c r="J5452" t="s">
        <v>78</v>
      </c>
      <c r="K5452" t="s">
        <v>79</v>
      </c>
      <c r="L5452">
        <v>6</v>
      </c>
      <c r="M5452" t="s">
        <v>22460</v>
      </c>
      <c r="N5452" t="s">
        <v>47</v>
      </c>
      <c r="O5452" t="s">
        <v>9477</v>
      </c>
      <c r="P5452" t="s">
        <v>9477</v>
      </c>
      <c r="Y5452" t="s">
        <v>22461</v>
      </c>
    </row>
    <row r="5453" spans="1:25">
      <c r="A5453" t="s">
        <v>22462</v>
      </c>
      <c r="B5453" t="s">
        <v>22463</v>
      </c>
      <c r="D5453" t="s">
        <v>9473</v>
      </c>
      <c r="E5453" t="s">
        <v>9474</v>
      </c>
      <c r="J5453" t="s">
        <v>90</v>
      </c>
      <c r="K5453" t="s">
        <v>91</v>
      </c>
      <c r="L5453">
        <v>6</v>
      </c>
      <c r="M5453" t="s">
        <v>22464</v>
      </c>
      <c r="N5453" t="s">
        <v>47</v>
      </c>
      <c r="O5453" t="s">
        <v>9477</v>
      </c>
      <c r="P5453" t="s">
        <v>9477</v>
      </c>
      <c r="Y5453" t="s">
        <v>22465</v>
      </c>
    </row>
    <row r="5454" spans="1:25">
      <c r="A5454" t="s">
        <v>22466</v>
      </c>
      <c r="B5454" t="s">
        <v>22467</v>
      </c>
      <c r="D5454" t="s">
        <v>9473</v>
      </c>
      <c r="E5454" t="s">
        <v>9474</v>
      </c>
      <c r="H5454" t="s">
        <v>22468</v>
      </c>
      <c r="J5454" t="s">
        <v>90</v>
      </c>
      <c r="K5454" t="s">
        <v>91</v>
      </c>
      <c r="L5454">
        <v>6</v>
      </c>
      <c r="M5454" t="s">
        <v>22469</v>
      </c>
      <c r="N5454" t="s">
        <v>47</v>
      </c>
      <c r="O5454" t="s">
        <v>9477</v>
      </c>
      <c r="P5454" t="s">
        <v>9477</v>
      </c>
      <c r="Y5454" t="s">
        <v>22468</v>
      </c>
    </row>
    <row r="5455" spans="1:25">
      <c r="A5455" t="s">
        <v>22470</v>
      </c>
      <c r="B5455" t="s">
        <v>22471</v>
      </c>
      <c r="D5455" t="s">
        <v>9473</v>
      </c>
      <c r="E5455" t="s">
        <v>9474</v>
      </c>
      <c r="J5455" t="s">
        <v>78</v>
      </c>
      <c r="K5455" t="s">
        <v>79</v>
      </c>
      <c r="L5455">
        <v>6</v>
      </c>
      <c r="M5455" t="s">
        <v>22469</v>
      </c>
      <c r="N5455" t="s">
        <v>47</v>
      </c>
      <c r="O5455" t="s">
        <v>9477</v>
      </c>
      <c r="P5455" t="s">
        <v>9477</v>
      </c>
      <c r="Y5455" t="s">
        <v>22472</v>
      </c>
    </row>
    <row r="5456" spans="1:25">
      <c r="A5456" t="s">
        <v>22473</v>
      </c>
      <c r="B5456" t="s">
        <v>22474</v>
      </c>
      <c r="D5456" t="s">
        <v>9473</v>
      </c>
      <c r="E5456" t="s">
        <v>9474</v>
      </c>
      <c r="J5456" t="s">
        <v>133</v>
      </c>
      <c r="K5456" t="s">
        <v>134</v>
      </c>
      <c r="L5456">
        <v>6</v>
      </c>
      <c r="M5456" t="s">
        <v>22475</v>
      </c>
      <c r="N5456" t="s">
        <v>135</v>
      </c>
      <c r="O5456" t="s">
        <v>9477</v>
      </c>
      <c r="P5456" t="s">
        <v>9477</v>
      </c>
      <c r="Y5456" t="s">
        <v>22476</v>
      </c>
    </row>
    <row r="5457" spans="1:25">
      <c r="A5457" t="s">
        <v>22477</v>
      </c>
      <c r="B5457" t="s">
        <v>22478</v>
      </c>
      <c r="D5457" t="s">
        <v>9473</v>
      </c>
      <c r="E5457" t="s">
        <v>9474</v>
      </c>
      <c r="H5457" t="s">
        <v>22479</v>
      </c>
      <c r="J5457" t="s">
        <v>90</v>
      </c>
      <c r="K5457" t="s">
        <v>91</v>
      </c>
      <c r="L5457">
        <v>6</v>
      </c>
      <c r="M5457" t="s">
        <v>22475</v>
      </c>
      <c r="N5457" t="s">
        <v>47</v>
      </c>
      <c r="O5457" t="s">
        <v>9477</v>
      </c>
      <c r="P5457" t="s">
        <v>9477</v>
      </c>
      <c r="Y5457" t="s">
        <v>22479</v>
      </c>
    </row>
    <row r="5458" spans="1:25">
      <c r="A5458" t="s">
        <v>22480</v>
      </c>
      <c r="B5458" t="s">
        <v>22481</v>
      </c>
      <c r="D5458" t="s">
        <v>9473</v>
      </c>
      <c r="E5458" t="s">
        <v>9474</v>
      </c>
      <c r="H5458" t="s">
        <v>22482</v>
      </c>
      <c r="J5458" t="s">
        <v>78</v>
      </c>
      <c r="K5458" t="s">
        <v>79</v>
      </c>
      <c r="L5458">
        <v>6</v>
      </c>
      <c r="M5458" t="s">
        <v>22483</v>
      </c>
      <c r="N5458" t="s">
        <v>47</v>
      </c>
      <c r="O5458" t="s">
        <v>9477</v>
      </c>
      <c r="P5458" t="s">
        <v>9477</v>
      </c>
      <c r="Y5458" t="s">
        <v>22482</v>
      </c>
    </row>
    <row r="5459" spans="1:25">
      <c r="A5459" t="s">
        <v>22484</v>
      </c>
      <c r="B5459" t="s">
        <v>22485</v>
      </c>
      <c r="D5459" t="s">
        <v>9473</v>
      </c>
      <c r="E5459" t="s">
        <v>9474</v>
      </c>
      <c r="J5459" t="s">
        <v>90</v>
      </c>
      <c r="K5459" t="s">
        <v>91</v>
      </c>
      <c r="L5459">
        <v>6</v>
      </c>
      <c r="M5459" t="s">
        <v>22486</v>
      </c>
      <c r="N5459" t="s">
        <v>47</v>
      </c>
      <c r="O5459" t="s">
        <v>9477</v>
      </c>
      <c r="P5459" t="s">
        <v>9477</v>
      </c>
      <c r="Y5459" t="s">
        <v>22487</v>
      </c>
    </row>
    <row r="5460" spans="1:25">
      <c r="A5460" t="s">
        <v>22488</v>
      </c>
      <c r="B5460" t="s">
        <v>22489</v>
      </c>
      <c r="D5460" t="s">
        <v>9473</v>
      </c>
      <c r="E5460" t="s">
        <v>9474</v>
      </c>
      <c r="J5460" t="s">
        <v>497</v>
      </c>
      <c r="K5460" t="s">
        <v>498</v>
      </c>
      <c r="L5460">
        <v>6</v>
      </c>
      <c r="M5460" t="s">
        <v>22490</v>
      </c>
      <c r="N5460" t="s">
        <v>685</v>
      </c>
      <c r="O5460" t="s">
        <v>9477</v>
      </c>
      <c r="P5460" t="s">
        <v>9477</v>
      </c>
      <c r="Y5460" t="s">
        <v>22491</v>
      </c>
    </row>
    <row r="5461" spans="1:25">
      <c r="A5461" t="s">
        <v>22492</v>
      </c>
      <c r="B5461" t="s">
        <v>22493</v>
      </c>
      <c r="D5461" t="s">
        <v>9473</v>
      </c>
      <c r="E5461" t="s">
        <v>9474</v>
      </c>
      <c r="J5461" t="s">
        <v>44</v>
      </c>
      <c r="K5461" t="s">
        <v>45</v>
      </c>
      <c r="L5461">
        <v>6</v>
      </c>
      <c r="M5461" t="s">
        <v>22490</v>
      </c>
      <c r="N5461" t="s">
        <v>47</v>
      </c>
      <c r="O5461" t="s">
        <v>9477</v>
      </c>
      <c r="P5461" t="s">
        <v>9477</v>
      </c>
      <c r="Y5461" t="s">
        <v>22494</v>
      </c>
    </row>
    <row r="5462" spans="1:25">
      <c r="A5462" t="s">
        <v>22495</v>
      </c>
      <c r="B5462" t="s">
        <v>22496</v>
      </c>
      <c r="D5462" t="s">
        <v>9473</v>
      </c>
      <c r="E5462" t="s">
        <v>9474</v>
      </c>
      <c r="H5462" t="s">
        <v>22497</v>
      </c>
      <c r="J5462" t="s">
        <v>44</v>
      </c>
      <c r="K5462" t="s">
        <v>45</v>
      </c>
      <c r="L5462">
        <v>6</v>
      </c>
      <c r="M5462" t="s">
        <v>22490</v>
      </c>
      <c r="N5462" t="s">
        <v>47</v>
      </c>
      <c r="O5462" t="s">
        <v>9477</v>
      </c>
      <c r="P5462" t="s">
        <v>9477</v>
      </c>
      <c r="Y5462" t="s">
        <v>22497</v>
      </c>
    </row>
    <row r="5463" spans="1:25">
      <c r="A5463" t="s">
        <v>22498</v>
      </c>
      <c r="B5463" t="s">
        <v>22499</v>
      </c>
      <c r="D5463" t="s">
        <v>9473</v>
      </c>
      <c r="E5463" t="s">
        <v>9474</v>
      </c>
      <c r="J5463" t="s">
        <v>90</v>
      </c>
      <c r="K5463" t="s">
        <v>91</v>
      </c>
      <c r="L5463">
        <v>6</v>
      </c>
      <c r="M5463" t="s">
        <v>22500</v>
      </c>
      <c r="N5463" t="s">
        <v>47</v>
      </c>
      <c r="O5463" t="s">
        <v>9477</v>
      </c>
      <c r="P5463" t="s">
        <v>9477</v>
      </c>
      <c r="Y5463" t="s">
        <v>22501</v>
      </c>
    </row>
    <row r="5464" spans="1:25">
      <c r="A5464" t="s">
        <v>22502</v>
      </c>
      <c r="B5464" t="s">
        <v>22503</v>
      </c>
      <c r="D5464" t="s">
        <v>9473</v>
      </c>
      <c r="E5464" t="s">
        <v>9474</v>
      </c>
      <c r="J5464" t="s">
        <v>90</v>
      </c>
      <c r="K5464" t="s">
        <v>91</v>
      </c>
      <c r="L5464">
        <v>6</v>
      </c>
      <c r="M5464" t="s">
        <v>22504</v>
      </c>
      <c r="N5464" t="s">
        <v>47</v>
      </c>
      <c r="O5464" t="s">
        <v>9477</v>
      </c>
      <c r="P5464" t="s">
        <v>9477</v>
      </c>
      <c r="Y5464" t="s">
        <v>22505</v>
      </c>
    </row>
    <row r="5465" spans="1:25">
      <c r="A5465" t="s">
        <v>22506</v>
      </c>
      <c r="B5465" t="s">
        <v>22507</v>
      </c>
      <c r="D5465" t="s">
        <v>9473</v>
      </c>
      <c r="E5465" t="s">
        <v>9474</v>
      </c>
      <c r="J5465" t="s">
        <v>133</v>
      </c>
      <c r="K5465" t="s">
        <v>134</v>
      </c>
      <c r="L5465">
        <v>6</v>
      </c>
      <c r="M5465" t="s">
        <v>22504</v>
      </c>
      <c r="N5465" t="s">
        <v>685</v>
      </c>
      <c r="O5465" t="s">
        <v>9477</v>
      </c>
      <c r="P5465" t="s">
        <v>9477</v>
      </c>
      <c r="Y5465" t="s">
        <v>22508</v>
      </c>
    </row>
    <row r="5466" spans="1:25">
      <c r="A5466" t="s">
        <v>22509</v>
      </c>
      <c r="B5466" t="s">
        <v>22510</v>
      </c>
      <c r="D5466" t="s">
        <v>9473</v>
      </c>
      <c r="E5466" t="s">
        <v>9474</v>
      </c>
      <c r="J5466" t="s">
        <v>78</v>
      </c>
      <c r="K5466" t="s">
        <v>79</v>
      </c>
      <c r="L5466">
        <v>6</v>
      </c>
      <c r="M5466" t="s">
        <v>22511</v>
      </c>
      <c r="N5466" t="s">
        <v>47</v>
      </c>
      <c r="O5466" t="s">
        <v>9477</v>
      </c>
      <c r="P5466" t="s">
        <v>9477</v>
      </c>
      <c r="Y5466" t="s">
        <v>22512</v>
      </c>
    </row>
    <row r="5467" spans="1:25">
      <c r="A5467" t="s">
        <v>22513</v>
      </c>
      <c r="B5467" t="s">
        <v>22514</v>
      </c>
      <c r="D5467" t="s">
        <v>9473</v>
      </c>
      <c r="E5467" t="s">
        <v>9474</v>
      </c>
      <c r="J5467" t="s">
        <v>90</v>
      </c>
      <c r="K5467" t="s">
        <v>91</v>
      </c>
      <c r="L5467">
        <v>6</v>
      </c>
      <c r="M5467" t="s">
        <v>22515</v>
      </c>
      <c r="N5467" t="s">
        <v>47</v>
      </c>
      <c r="O5467" t="s">
        <v>9477</v>
      </c>
      <c r="P5467" t="s">
        <v>9477</v>
      </c>
      <c r="Y5467" t="s">
        <v>22516</v>
      </c>
    </row>
    <row r="5468" spans="1:25">
      <c r="A5468" t="s">
        <v>22517</v>
      </c>
      <c r="B5468" t="s">
        <v>22518</v>
      </c>
      <c r="D5468" t="s">
        <v>9473</v>
      </c>
      <c r="E5468" t="s">
        <v>9474</v>
      </c>
      <c r="J5468" t="s">
        <v>90</v>
      </c>
      <c r="K5468" t="s">
        <v>91</v>
      </c>
      <c r="L5468">
        <v>6</v>
      </c>
      <c r="M5468" t="s">
        <v>22519</v>
      </c>
      <c r="N5468" t="s">
        <v>47</v>
      </c>
      <c r="O5468" t="s">
        <v>9477</v>
      </c>
      <c r="P5468" t="s">
        <v>9477</v>
      </c>
      <c r="Y5468" t="s">
        <v>22520</v>
      </c>
    </row>
    <row r="5469" spans="1:25">
      <c r="A5469" t="s">
        <v>22521</v>
      </c>
      <c r="B5469" t="s">
        <v>22522</v>
      </c>
      <c r="D5469" t="s">
        <v>9473</v>
      </c>
      <c r="E5469" t="s">
        <v>9474</v>
      </c>
      <c r="J5469" t="s">
        <v>2948</v>
      </c>
      <c r="K5469" t="s">
        <v>2949</v>
      </c>
      <c r="L5469">
        <v>6</v>
      </c>
      <c r="M5469" t="s">
        <v>22519</v>
      </c>
      <c r="N5469" t="s">
        <v>290</v>
      </c>
      <c r="O5469" t="s">
        <v>9477</v>
      </c>
      <c r="P5469" t="s">
        <v>9477</v>
      </c>
      <c r="Y5469" t="s">
        <v>22523</v>
      </c>
    </row>
    <row r="5470" spans="1:25">
      <c r="A5470" t="s">
        <v>22524</v>
      </c>
      <c r="B5470" t="s">
        <v>22525</v>
      </c>
      <c r="D5470" t="s">
        <v>9473</v>
      </c>
      <c r="E5470" t="s">
        <v>9474</v>
      </c>
      <c r="J5470" t="s">
        <v>133</v>
      </c>
      <c r="K5470" t="s">
        <v>134</v>
      </c>
      <c r="L5470">
        <v>6</v>
      </c>
      <c r="M5470" t="s">
        <v>22526</v>
      </c>
      <c r="N5470" t="s">
        <v>685</v>
      </c>
      <c r="O5470" t="s">
        <v>9477</v>
      </c>
      <c r="P5470" t="s">
        <v>9477</v>
      </c>
      <c r="Y5470" t="s">
        <v>22527</v>
      </c>
    </row>
    <row r="5471" spans="1:25">
      <c r="A5471" t="s">
        <v>22528</v>
      </c>
      <c r="B5471" t="s">
        <v>22529</v>
      </c>
      <c r="D5471" t="s">
        <v>9473</v>
      </c>
      <c r="E5471" t="s">
        <v>9474</v>
      </c>
      <c r="J5471" t="s">
        <v>78</v>
      </c>
      <c r="K5471" t="s">
        <v>79</v>
      </c>
      <c r="L5471">
        <v>6</v>
      </c>
      <c r="M5471" t="s">
        <v>22530</v>
      </c>
      <c r="N5471" t="s">
        <v>47</v>
      </c>
      <c r="O5471" t="s">
        <v>9477</v>
      </c>
      <c r="P5471" t="s">
        <v>9477</v>
      </c>
      <c r="Y5471" t="s">
        <v>22531</v>
      </c>
    </row>
    <row r="5472" spans="1:25">
      <c r="A5472" t="s">
        <v>22532</v>
      </c>
      <c r="B5472" t="s">
        <v>22533</v>
      </c>
      <c r="D5472" t="s">
        <v>9473</v>
      </c>
      <c r="E5472" t="s">
        <v>9474</v>
      </c>
      <c r="J5472" t="s">
        <v>90</v>
      </c>
      <c r="K5472" t="s">
        <v>91</v>
      </c>
      <c r="L5472">
        <v>6</v>
      </c>
      <c r="M5472" t="s">
        <v>22534</v>
      </c>
      <c r="N5472" t="s">
        <v>47</v>
      </c>
      <c r="O5472" t="s">
        <v>9477</v>
      </c>
      <c r="P5472" t="s">
        <v>9477</v>
      </c>
      <c r="Y5472" t="s">
        <v>22535</v>
      </c>
    </row>
    <row r="5473" spans="1:25">
      <c r="A5473" t="s">
        <v>22536</v>
      </c>
      <c r="B5473" t="s">
        <v>22537</v>
      </c>
      <c r="D5473" t="s">
        <v>9473</v>
      </c>
      <c r="E5473" t="s">
        <v>9474</v>
      </c>
      <c r="J5473" t="s">
        <v>90</v>
      </c>
      <c r="K5473" t="s">
        <v>91</v>
      </c>
      <c r="L5473">
        <v>6</v>
      </c>
      <c r="M5473" t="s">
        <v>22538</v>
      </c>
      <c r="N5473" t="s">
        <v>47</v>
      </c>
      <c r="O5473" t="s">
        <v>9477</v>
      </c>
      <c r="P5473" t="s">
        <v>9477</v>
      </c>
      <c r="Y5473" t="s">
        <v>22539</v>
      </c>
    </row>
    <row r="5474" spans="1:25">
      <c r="A5474" t="s">
        <v>22540</v>
      </c>
      <c r="B5474" t="s">
        <v>22541</v>
      </c>
      <c r="D5474" t="s">
        <v>9473</v>
      </c>
      <c r="E5474" t="s">
        <v>9474</v>
      </c>
      <c r="J5474" t="s">
        <v>54</v>
      </c>
      <c r="K5474" t="s">
        <v>55</v>
      </c>
      <c r="L5474">
        <v>6</v>
      </c>
      <c r="M5474" t="s">
        <v>22538</v>
      </c>
      <c r="N5474" t="s">
        <v>47</v>
      </c>
      <c r="O5474" t="s">
        <v>9477</v>
      </c>
      <c r="P5474" t="s">
        <v>9477</v>
      </c>
      <c r="Y5474" t="s">
        <v>22542</v>
      </c>
    </row>
    <row r="5475" spans="1:25">
      <c r="A5475" t="s">
        <v>22543</v>
      </c>
      <c r="B5475" t="s">
        <v>22544</v>
      </c>
      <c r="D5475" t="s">
        <v>9473</v>
      </c>
      <c r="E5475" t="s">
        <v>9474</v>
      </c>
      <c r="H5475" t="s">
        <v>22545</v>
      </c>
      <c r="J5475" t="s">
        <v>234</v>
      </c>
      <c r="K5475" t="s">
        <v>235</v>
      </c>
      <c r="L5475">
        <v>6</v>
      </c>
      <c r="M5475" t="s">
        <v>22546</v>
      </c>
      <c r="N5475" t="s">
        <v>47</v>
      </c>
      <c r="O5475" t="s">
        <v>9477</v>
      </c>
      <c r="P5475" t="s">
        <v>9477</v>
      </c>
      <c r="Y5475" t="s">
        <v>22545</v>
      </c>
    </row>
    <row r="5476" spans="1:25">
      <c r="A5476" t="s">
        <v>22547</v>
      </c>
      <c r="B5476" t="s">
        <v>22548</v>
      </c>
      <c r="D5476" t="s">
        <v>9473</v>
      </c>
      <c r="E5476" t="s">
        <v>9474</v>
      </c>
      <c r="J5476" t="s">
        <v>90</v>
      </c>
      <c r="K5476" t="s">
        <v>91</v>
      </c>
      <c r="L5476">
        <v>6</v>
      </c>
      <c r="M5476" t="s">
        <v>22549</v>
      </c>
      <c r="N5476" t="s">
        <v>47</v>
      </c>
      <c r="O5476" t="s">
        <v>9477</v>
      </c>
      <c r="P5476" t="s">
        <v>9477</v>
      </c>
      <c r="Y5476" t="s">
        <v>22550</v>
      </c>
    </row>
    <row r="5477" spans="1:25">
      <c r="A5477" t="s">
        <v>22551</v>
      </c>
      <c r="B5477" t="s">
        <v>22552</v>
      </c>
      <c r="D5477" t="s">
        <v>9473</v>
      </c>
      <c r="E5477" t="s">
        <v>9474</v>
      </c>
      <c r="J5477" t="s">
        <v>78</v>
      </c>
      <c r="K5477" t="s">
        <v>79</v>
      </c>
      <c r="L5477">
        <v>6</v>
      </c>
      <c r="M5477" t="s">
        <v>22553</v>
      </c>
      <c r="N5477" t="s">
        <v>47</v>
      </c>
      <c r="O5477" t="s">
        <v>9477</v>
      </c>
      <c r="P5477" t="s">
        <v>9477</v>
      </c>
      <c r="Y5477" t="s">
        <v>22554</v>
      </c>
    </row>
    <row r="5478" spans="1:25">
      <c r="A5478" t="s">
        <v>22555</v>
      </c>
      <c r="B5478" t="s">
        <v>22556</v>
      </c>
      <c r="D5478" t="s">
        <v>9473</v>
      </c>
      <c r="E5478" t="s">
        <v>9474</v>
      </c>
      <c r="J5478" t="s">
        <v>78</v>
      </c>
      <c r="K5478" t="s">
        <v>79</v>
      </c>
      <c r="L5478">
        <v>6</v>
      </c>
      <c r="M5478" t="s">
        <v>22553</v>
      </c>
      <c r="N5478" t="s">
        <v>47</v>
      </c>
      <c r="O5478" t="s">
        <v>9477</v>
      </c>
      <c r="P5478" t="s">
        <v>9477</v>
      </c>
      <c r="Y5478" t="s">
        <v>22557</v>
      </c>
    </row>
    <row r="5479" spans="1:25">
      <c r="A5479" t="s">
        <v>22558</v>
      </c>
      <c r="B5479" t="s">
        <v>22559</v>
      </c>
      <c r="D5479" t="s">
        <v>9473</v>
      </c>
      <c r="E5479" t="s">
        <v>9474</v>
      </c>
      <c r="J5479" t="s">
        <v>44</v>
      </c>
      <c r="K5479" t="s">
        <v>45</v>
      </c>
      <c r="L5479">
        <v>6</v>
      </c>
      <c r="M5479" t="s">
        <v>22553</v>
      </c>
      <c r="N5479" t="s">
        <v>47</v>
      </c>
      <c r="O5479" t="s">
        <v>9477</v>
      </c>
      <c r="P5479" t="s">
        <v>9477</v>
      </c>
      <c r="Y5479" t="s">
        <v>22560</v>
      </c>
    </row>
    <row r="5480" spans="1:25">
      <c r="A5480" t="s">
        <v>22561</v>
      </c>
      <c r="B5480" t="s">
        <v>22562</v>
      </c>
      <c r="D5480" t="s">
        <v>9473</v>
      </c>
      <c r="E5480" t="s">
        <v>9474</v>
      </c>
      <c r="J5480" t="s">
        <v>54</v>
      </c>
      <c r="K5480" t="s">
        <v>55</v>
      </c>
      <c r="L5480">
        <v>6</v>
      </c>
      <c r="M5480" t="s">
        <v>22563</v>
      </c>
      <c r="N5480" t="s">
        <v>47</v>
      </c>
      <c r="O5480" t="s">
        <v>9477</v>
      </c>
      <c r="P5480" t="s">
        <v>9477</v>
      </c>
      <c r="Y5480" t="s">
        <v>22564</v>
      </c>
    </row>
    <row r="5481" spans="1:25">
      <c r="A5481" t="s">
        <v>22565</v>
      </c>
      <c r="B5481" t="s">
        <v>22566</v>
      </c>
      <c r="D5481" t="s">
        <v>9473</v>
      </c>
      <c r="E5481" t="s">
        <v>9474</v>
      </c>
      <c r="J5481" t="s">
        <v>541</v>
      </c>
      <c r="K5481" t="s">
        <v>542</v>
      </c>
      <c r="L5481">
        <v>6</v>
      </c>
      <c r="M5481" t="s">
        <v>22563</v>
      </c>
      <c r="N5481" t="s">
        <v>685</v>
      </c>
      <c r="O5481" t="s">
        <v>9477</v>
      </c>
      <c r="P5481" t="s">
        <v>9477</v>
      </c>
      <c r="Y5481" t="s">
        <v>22567</v>
      </c>
    </row>
    <row r="5482" spans="1:25">
      <c r="A5482" t="s">
        <v>22568</v>
      </c>
      <c r="B5482" t="s">
        <v>22569</v>
      </c>
      <c r="D5482" t="s">
        <v>9473</v>
      </c>
      <c r="E5482" t="s">
        <v>9474</v>
      </c>
      <c r="J5482" t="s">
        <v>353</v>
      </c>
      <c r="K5482" t="s">
        <v>354</v>
      </c>
      <c r="L5482">
        <v>6</v>
      </c>
      <c r="M5482" t="s">
        <v>22570</v>
      </c>
      <c r="N5482" t="s">
        <v>685</v>
      </c>
      <c r="O5482" t="s">
        <v>9477</v>
      </c>
      <c r="P5482" t="s">
        <v>9477</v>
      </c>
      <c r="Y5482" t="s">
        <v>22571</v>
      </c>
    </row>
    <row r="5483" spans="1:25">
      <c r="A5483" t="s">
        <v>22572</v>
      </c>
      <c r="B5483" t="s">
        <v>22573</v>
      </c>
      <c r="D5483" t="s">
        <v>9473</v>
      </c>
      <c r="E5483" t="s">
        <v>9474</v>
      </c>
      <c r="J5483" t="s">
        <v>90</v>
      </c>
      <c r="K5483" t="s">
        <v>91</v>
      </c>
      <c r="L5483">
        <v>6</v>
      </c>
      <c r="M5483" t="s">
        <v>22574</v>
      </c>
      <c r="N5483" t="s">
        <v>47</v>
      </c>
      <c r="O5483" t="s">
        <v>9477</v>
      </c>
      <c r="P5483" t="s">
        <v>9477</v>
      </c>
      <c r="Y5483" t="s">
        <v>22575</v>
      </c>
    </row>
    <row r="5484" spans="1:25">
      <c r="A5484" t="s">
        <v>22576</v>
      </c>
      <c r="B5484" t="s">
        <v>22577</v>
      </c>
      <c r="D5484" t="s">
        <v>9473</v>
      </c>
      <c r="E5484" t="s">
        <v>9474</v>
      </c>
      <c r="J5484" t="s">
        <v>90</v>
      </c>
      <c r="K5484" t="s">
        <v>91</v>
      </c>
      <c r="L5484">
        <v>6</v>
      </c>
      <c r="M5484" t="s">
        <v>22578</v>
      </c>
      <c r="N5484" t="s">
        <v>47</v>
      </c>
      <c r="O5484" t="s">
        <v>9477</v>
      </c>
      <c r="P5484" t="s">
        <v>9477</v>
      </c>
      <c r="Y5484" t="s">
        <v>22579</v>
      </c>
    </row>
    <row r="5485" spans="1:25">
      <c r="A5485" t="s">
        <v>22580</v>
      </c>
      <c r="B5485" t="s">
        <v>22581</v>
      </c>
      <c r="D5485" t="s">
        <v>9473</v>
      </c>
      <c r="E5485" t="s">
        <v>9474</v>
      </c>
      <c r="J5485" t="s">
        <v>1827</v>
      </c>
      <c r="K5485" t="s">
        <v>1828</v>
      </c>
      <c r="L5485">
        <v>6</v>
      </c>
      <c r="M5485" t="s">
        <v>22582</v>
      </c>
      <c r="N5485" t="s">
        <v>47</v>
      </c>
      <c r="O5485" t="s">
        <v>9477</v>
      </c>
      <c r="P5485" t="s">
        <v>9477</v>
      </c>
      <c r="Y5485" t="s">
        <v>22583</v>
      </c>
    </row>
    <row r="5486" spans="1:25">
      <c r="A5486" t="s">
        <v>22584</v>
      </c>
      <c r="B5486" t="s">
        <v>22585</v>
      </c>
      <c r="D5486" t="s">
        <v>9473</v>
      </c>
      <c r="E5486" t="s">
        <v>9474</v>
      </c>
      <c r="H5486" t="s">
        <v>22586</v>
      </c>
      <c r="J5486" t="s">
        <v>54</v>
      </c>
      <c r="K5486" t="s">
        <v>55</v>
      </c>
      <c r="L5486">
        <v>6</v>
      </c>
      <c r="M5486" t="s">
        <v>22582</v>
      </c>
      <c r="N5486" t="s">
        <v>47</v>
      </c>
      <c r="O5486" t="s">
        <v>9477</v>
      </c>
      <c r="P5486" t="s">
        <v>9477</v>
      </c>
      <c r="Y5486" t="s">
        <v>22586</v>
      </c>
    </row>
    <row r="5487" spans="1:25">
      <c r="A5487" t="s">
        <v>22587</v>
      </c>
      <c r="B5487" t="s">
        <v>22588</v>
      </c>
      <c r="D5487" t="s">
        <v>9473</v>
      </c>
      <c r="E5487" t="s">
        <v>9474</v>
      </c>
      <c r="H5487" t="s">
        <v>22589</v>
      </c>
      <c r="J5487" t="s">
        <v>133</v>
      </c>
      <c r="K5487" t="s">
        <v>134</v>
      </c>
      <c r="L5487">
        <v>6</v>
      </c>
      <c r="M5487" t="s">
        <v>22582</v>
      </c>
      <c r="N5487" t="s">
        <v>290</v>
      </c>
      <c r="O5487" t="s">
        <v>9477</v>
      </c>
      <c r="P5487" t="s">
        <v>9477</v>
      </c>
      <c r="Y5487" t="s">
        <v>22589</v>
      </c>
    </row>
    <row r="5488" spans="1:25">
      <c r="A5488" t="s">
        <v>22590</v>
      </c>
      <c r="B5488" t="s">
        <v>22591</v>
      </c>
      <c r="D5488" t="s">
        <v>9473</v>
      </c>
      <c r="E5488" t="s">
        <v>9474</v>
      </c>
      <c r="H5488" t="s">
        <v>22592</v>
      </c>
      <c r="J5488" t="s">
        <v>133</v>
      </c>
      <c r="K5488" t="s">
        <v>134</v>
      </c>
      <c r="L5488">
        <v>6</v>
      </c>
      <c r="M5488" t="s">
        <v>22582</v>
      </c>
      <c r="N5488" t="s">
        <v>685</v>
      </c>
      <c r="O5488" t="s">
        <v>9477</v>
      </c>
      <c r="P5488" t="s">
        <v>9477</v>
      </c>
      <c r="Y5488" t="s">
        <v>22592</v>
      </c>
    </row>
    <row r="5489" spans="1:25">
      <c r="A5489" t="s">
        <v>22593</v>
      </c>
      <c r="B5489" t="s">
        <v>22594</v>
      </c>
      <c r="D5489" t="s">
        <v>9473</v>
      </c>
      <c r="E5489" t="s">
        <v>9474</v>
      </c>
      <c r="J5489" t="s">
        <v>44</v>
      </c>
      <c r="K5489" t="s">
        <v>45</v>
      </c>
      <c r="L5489">
        <v>6</v>
      </c>
      <c r="M5489" t="s">
        <v>22595</v>
      </c>
      <c r="N5489" t="s">
        <v>47</v>
      </c>
      <c r="O5489" t="s">
        <v>9477</v>
      </c>
      <c r="P5489" t="s">
        <v>9477</v>
      </c>
      <c r="Y5489" t="s">
        <v>22596</v>
      </c>
    </row>
    <row r="5490" spans="1:25">
      <c r="A5490" t="s">
        <v>22597</v>
      </c>
      <c r="B5490" t="s">
        <v>22598</v>
      </c>
      <c r="D5490" t="s">
        <v>9473</v>
      </c>
      <c r="E5490" t="s">
        <v>9474</v>
      </c>
      <c r="J5490" t="s">
        <v>90</v>
      </c>
      <c r="K5490" t="s">
        <v>91</v>
      </c>
      <c r="L5490">
        <v>6</v>
      </c>
      <c r="M5490" t="s">
        <v>22599</v>
      </c>
      <c r="N5490" t="s">
        <v>47</v>
      </c>
      <c r="O5490" t="s">
        <v>9477</v>
      </c>
      <c r="P5490" t="s">
        <v>9477</v>
      </c>
      <c r="Y5490" t="s">
        <v>22600</v>
      </c>
    </row>
    <row r="5491" spans="1:25">
      <c r="A5491" t="s">
        <v>22601</v>
      </c>
      <c r="B5491" t="s">
        <v>22602</v>
      </c>
      <c r="D5491" t="s">
        <v>9473</v>
      </c>
      <c r="E5491" t="s">
        <v>9474</v>
      </c>
      <c r="J5491" t="s">
        <v>371</v>
      </c>
      <c r="K5491" t="s">
        <v>372</v>
      </c>
      <c r="L5491">
        <v>6</v>
      </c>
      <c r="M5491" t="s">
        <v>22603</v>
      </c>
      <c r="N5491" t="s">
        <v>47</v>
      </c>
      <c r="O5491" t="s">
        <v>9477</v>
      </c>
      <c r="P5491" t="s">
        <v>9477</v>
      </c>
      <c r="Y5491" t="s">
        <v>22604</v>
      </c>
    </row>
    <row r="5492" spans="1:25">
      <c r="A5492" t="s">
        <v>22605</v>
      </c>
      <c r="B5492" t="s">
        <v>22606</v>
      </c>
      <c r="D5492" t="s">
        <v>9473</v>
      </c>
      <c r="E5492" t="s">
        <v>9474</v>
      </c>
      <c r="H5492" t="s">
        <v>22607</v>
      </c>
      <c r="J5492" t="s">
        <v>44</v>
      </c>
      <c r="K5492" t="s">
        <v>45</v>
      </c>
      <c r="L5492">
        <v>6</v>
      </c>
      <c r="M5492" t="s">
        <v>22603</v>
      </c>
      <c r="N5492" t="s">
        <v>47</v>
      </c>
      <c r="O5492" t="s">
        <v>9477</v>
      </c>
      <c r="P5492" t="s">
        <v>9477</v>
      </c>
      <c r="Y5492" t="s">
        <v>22607</v>
      </c>
    </row>
    <row r="5493" spans="1:25">
      <c r="A5493" t="s">
        <v>22608</v>
      </c>
      <c r="B5493" t="s">
        <v>22609</v>
      </c>
      <c r="D5493" t="s">
        <v>9473</v>
      </c>
      <c r="E5493" t="s">
        <v>9474</v>
      </c>
      <c r="J5493" t="s">
        <v>90</v>
      </c>
      <c r="K5493" t="s">
        <v>91</v>
      </c>
      <c r="L5493">
        <v>6</v>
      </c>
      <c r="M5493" t="s">
        <v>22610</v>
      </c>
      <c r="N5493" t="s">
        <v>47</v>
      </c>
      <c r="O5493" t="s">
        <v>9477</v>
      </c>
      <c r="P5493" t="s">
        <v>9477</v>
      </c>
      <c r="Y5493" t="s">
        <v>22611</v>
      </c>
    </row>
    <row r="5494" spans="1:25">
      <c r="A5494" t="s">
        <v>22612</v>
      </c>
      <c r="B5494" t="s">
        <v>22613</v>
      </c>
      <c r="D5494" t="s">
        <v>9473</v>
      </c>
      <c r="E5494" t="s">
        <v>9474</v>
      </c>
      <c r="J5494" t="s">
        <v>44</v>
      </c>
      <c r="K5494" t="s">
        <v>45</v>
      </c>
      <c r="L5494">
        <v>6</v>
      </c>
      <c r="M5494" t="s">
        <v>22614</v>
      </c>
      <c r="N5494" t="s">
        <v>47</v>
      </c>
      <c r="O5494" t="s">
        <v>9477</v>
      </c>
      <c r="P5494" t="s">
        <v>9477</v>
      </c>
      <c r="Y5494" t="s">
        <v>22615</v>
      </c>
    </row>
    <row r="5495" spans="1:25">
      <c r="A5495" t="s">
        <v>22616</v>
      </c>
      <c r="B5495" t="s">
        <v>22617</v>
      </c>
      <c r="D5495" t="s">
        <v>9473</v>
      </c>
      <c r="E5495" t="s">
        <v>9474</v>
      </c>
      <c r="J5495" t="s">
        <v>133</v>
      </c>
      <c r="K5495" t="s">
        <v>134</v>
      </c>
      <c r="L5495">
        <v>6</v>
      </c>
      <c r="M5495" t="s">
        <v>22614</v>
      </c>
      <c r="N5495" t="s">
        <v>290</v>
      </c>
      <c r="O5495" t="s">
        <v>9477</v>
      </c>
      <c r="P5495" t="s">
        <v>9477</v>
      </c>
      <c r="Y5495" t="s">
        <v>22618</v>
      </c>
    </row>
    <row r="5496" spans="1:25">
      <c r="A5496" t="s">
        <v>22619</v>
      </c>
      <c r="B5496" t="s">
        <v>22620</v>
      </c>
      <c r="D5496" t="s">
        <v>9473</v>
      </c>
      <c r="E5496" t="s">
        <v>9474</v>
      </c>
      <c r="H5496" t="s">
        <v>22621</v>
      </c>
      <c r="J5496" t="s">
        <v>90</v>
      </c>
      <c r="K5496" t="s">
        <v>91</v>
      </c>
      <c r="L5496">
        <v>6</v>
      </c>
      <c r="M5496" t="s">
        <v>22622</v>
      </c>
      <c r="N5496" t="s">
        <v>47</v>
      </c>
      <c r="O5496" t="s">
        <v>9477</v>
      </c>
      <c r="P5496" t="s">
        <v>9477</v>
      </c>
      <c r="Y5496" t="s">
        <v>22621</v>
      </c>
    </row>
    <row r="5497" spans="1:25">
      <c r="A5497" t="s">
        <v>22623</v>
      </c>
      <c r="B5497" t="s">
        <v>22624</v>
      </c>
      <c r="D5497" t="s">
        <v>9473</v>
      </c>
      <c r="E5497" t="s">
        <v>9474</v>
      </c>
      <c r="J5497" t="s">
        <v>54</v>
      </c>
      <c r="K5497" t="s">
        <v>55</v>
      </c>
      <c r="L5497">
        <v>6</v>
      </c>
      <c r="M5497" t="s">
        <v>22625</v>
      </c>
      <c r="N5497" t="s">
        <v>47</v>
      </c>
      <c r="O5497" t="s">
        <v>9477</v>
      </c>
      <c r="P5497" t="s">
        <v>9477</v>
      </c>
      <c r="Y5497" t="s">
        <v>22626</v>
      </c>
    </row>
    <row r="5498" spans="1:25">
      <c r="A5498" t="s">
        <v>22627</v>
      </c>
      <c r="B5498" t="s">
        <v>22628</v>
      </c>
      <c r="D5498" t="s">
        <v>9473</v>
      </c>
      <c r="E5498" t="s">
        <v>9474</v>
      </c>
      <c r="J5498" t="s">
        <v>44</v>
      </c>
      <c r="K5498" t="s">
        <v>45</v>
      </c>
      <c r="L5498">
        <v>6</v>
      </c>
      <c r="M5498" t="s">
        <v>22629</v>
      </c>
      <c r="N5498" t="s">
        <v>47</v>
      </c>
      <c r="O5498" t="s">
        <v>9477</v>
      </c>
      <c r="P5498" t="s">
        <v>9477</v>
      </c>
      <c r="Y5498" t="s">
        <v>22630</v>
      </c>
    </row>
    <row r="5499" spans="1:25">
      <c r="A5499" t="s">
        <v>22631</v>
      </c>
      <c r="B5499" t="s">
        <v>22632</v>
      </c>
      <c r="D5499" t="s">
        <v>9473</v>
      </c>
      <c r="E5499" t="s">
        <v>9474</v>
      </c>
      <c r="H5499" t="s">
        <v>22633</v>
      </c>
      <c r="J5499" t="s">
        <v>133</v>
      </c>
      <c r="K5499" t="s">
        <v>134</v>
      </c>
      <c r="L5499">
        <v>6</v>
      </c>
      <c r="M5499" t="s">
        <v>22634</v>
      </c>
      <c r="N5499" t="s">
        <v>290</v>
      </c>
      <c r="O5499" t="s">
        <v>9477</v>
      </c>
      <c r="P5499" t="s">
        <v>9477</v>
      </c>
      <c r="Y5499" t="s">
        <v>22633</v>
      </c>
    </row>
    <row r="5500" spans="1:25">
      <c r="A5500" t="s">
        <v>22635</v>
      </c>
      <c r="B5500" t="s">
        <v>22636</v>
      </c>
      <c r="D5500" t="s">
        <v>9473</v>
      </c>
      <c r="E5500" t="s">
        <v>9474</v>
      </c>
      <c r="J5500" t="s">
        <v>90</v>
      </c>
      <c r="K5500" t="s">
        <v>91</v>
      </c>
      <c r="L5500">
        <v>6</v>
      </c>
      <c r="M5500" t="s">
        <v>22637</v>
      </c>
      <c r="N5500" t="s">
        <v>47</v>
      </c>
      <c r="O5500" t="s">
        <v>9477</v>
      </c>
      <c r="P5500" t="s">
        <v>9477</v>
      </c>
      <c r="Y5500" t="s">
        <v>22638</v>
      </c>
    </row>
    <row r="5501" spans="1:25">
      <c r="A5501" t="s">
        <v>22639</v>
      </c>
      <c r="B5501" t="s">
        <v>22640</v>
      </c>
      <c r="D5501" t="s">
        <v>9473</v>
      </c>
      <c r="E5501" t="s">
        <v>9474</v>
      </c>
      <c r="H5501" t="s">
        <v>22641</v>
      </c>
      <c r="J5501" t="s">
        <v>90</v>
      </c>
      <c r="K5501" t="s">
        <v>91</v>
      </c>
      <c r="L5501">
        <v>6</v>
      </c>
      <c r="M5501" t="s">
        <v>22642</v>
      </c>
      <c r="N5501" t="s">
        <v>47</v>
      </c>
      <c r="O5501" t="s">
        <v>9477</v>
      </c>
      <c r="P5501" t="s">
        <v>9477</v>
      </c>
      <c r="Y5501" t="s">
        <v>22641</v>
      </c>
    </row>
    <row r="5502" spans="1:25">
      <c r="A5502" t="s">
        <v>22643</v>
      </c>
      <c r="B5502" t="s">
        <v>22644</v>
      </c>
      <c r="D5502" t="s">
        <v>9473</v>
      </c>
      <c r="E5502" t="s">
        <v>9474</v>
      </c>
      <c r="J5502" t="s">
        <v>44</v>
      </c>
      <c r="K5502" t="s">
        <v>45</v>
      </c>
      <c r="L5502">
        <v>6</v>
      </c>
      <c r="M5502" t="s">
        <v>22645</v>
      </c>
      <c r="N5502" t="s">
        <v>47</v>
      </c>
      <c r="O5502" t="s">
        <v>9477</v>
      </c>
      <c r="P5502" t="s">
        <v>9477</v>
      </c>
      <c r="Y5502" t="s">
        <v>22646</v>
      </c>
    </row>
    <row r="5503" spans="1:25">
      <c r="A5503" t="s">
        <v>22647</v>
      </c>
      <c r="B5503" t="s">
        <v>22648</v>
      </c>
      <c r="D5503" t="s">
        <v>9473</v>
      </c>
      <c r="E5503" t="s">
        <v>9474</v>
      </c>
      <c r="J5503" t="s">
        <v>371</v>
      </c>
      <c r="K5503" t="s">
        <v>372</v>
      </c>
      <c r="L5503">
        <v>6</v>
      </c>
      <c r="M5503" t="s">
        <v>22649</v>
      </c>
      <c r="N5503" t="s">
        <v>47</v>
      </c>
      <c r="O5503" t="s">
        <v>9477</v>
      </c>
      <c r="P5503" t="s">
        <v>9477</v>
      </c>
      <c r="Y5503" t="s">
        <v>22650</v>
      </c>
    </row>
    <row r="5504" spans="1:25">
      <c r="A5504" t="s">
        <v>22651</v>
      </c>
      <c r="B5504" t="s">
        <v>22652</v>
      </c>
      <c r="D5504" t="s">
        <v>9473</v>
      </c>
      <c r="E5504" t="s">
        <v>9474</v>
      </c>
      <c r="J5504" t="s">
        <v>54</v>
      </c>
      <c r="K5504" t="s">
        <v>55</v>
      </c>
      <c r="L5504">
        <v>6</v>
      </c>
      <c r="M5504" t="s">
        <v>22649</v>
      </c>
      <c r="N5504" t="s">
        <v>47</v>
      </c>
      <c r="O5504" t="s">
        <v>9477</v>
      </c>
      <c r="P5504" t="s">
        <v>9477</v>
      </c>
      <c r="Y5504" t="s">
        <v>22653</v>
      </c>
    </row>
    <row r="5505" spans="1:25">
      <c r="A5505" t="s">
        <v>22654</v>
      </c>
      <c r="B5505" t="s">
        <v>22655</v>
      </c>
      <c r="D5505" t="s">
        <v>9473</v>
      </c>
      <c r="E5505" t="s">
        <v>9474</v>
      </c>
      <c r="H5505" t="s">
        <v>22656</v>
      </c>
      <c r="J5505" t="s">
        <v>234</v>
      </c>
      <c r="K5505" t="s">
        <v>235</v>
      </c>
      <c r="L5505">
        <v>6</v>
      </c>
      <c r="M5505" t="s">
        <v>22657</v>
      </c>
      <c r="N5505" t="s">
        <v>47</v>
      </c>
      <c r="O5505" t="s">
        <v>9477</v>
      </c>
      <c r="P5505" t="s">
        <v>9477</v>
      </c>
      <c r="Y5505" t="s">
        <v>22656</v>
      </c>
    </row>
    <row r="5506" spans="1:25">
      <c r="A5506" t="s">
        <v>22658</v>
      </c>
      <c r="B5506" t="s">
        <v>22659</v>
      </c>
      <c r="D5506" t="s">
        <v>9473</v>
      </c>
      <c r="E5506" t="s">
        <v>9474</v>
      </c>
      <c r="H5506" t="s">
        <v>22660</v>
      </c>
      <c r="J5506" t="s">
        <v>234</v>
      </c>
      <c r="K5506" t="s">
        <v>235</v>
      </c>
      <c r="L5506">
        <v>6</v>
      </c>
      <c r="M5506" t="s">
        <v>22657</v>
      </c>
      <c r="N5506" t="s">
        <v>47</v>
      </c>
      <c r="O5506" t="s">
        <v>9477</v>
      </c>
      <c r="P5506" t="s">
        <v>9477</v>
      </c>
      <c r="Y5506" t="s">
        <v>22660</v>
      </c>
    </row>
    <row r="5507" spans="1:25">
      <c r="A5507" t="s">
        <v>22661</v>
      </c>
      <c r="B5507" t="s">
        <v>22662</v>
      </c>
      <c r="D5507" t="s">
        <v>9473</v>
      </c>
      <c r="E5507" t="s">
        <v>9474</v>
      </c>
      <c r="J5507" t="s">
        <v>133</v>
      </c>
      <c r="K5507" t="s">
        <v>134</v>
      </c>
      <c r="L5507">
        <v>6</v>
      </c>
      <c r="M5507" t="s">
        <v>22663</v>
      </c>
      <c r="N5507" t="s">
        <v>290</v>
      </c>
      <c r="O5507" t="s">
        <v>9477</v>
      </c>
      <c r="P5507" t="s">
        <v>9477</v>
      </c>
      <c r="Y5507" t="s">
        <v>22664</v>
      </c>
    </row>
    <row r="5508" spans="1:25">
      <c r="A5508" t="s">
        <v>22665</v>
      </c>
      <c r="B5508" t="s">
        <v>22666</v>
      </c>
      <c r="D5508" t="s">
        <v>9473</v>
      </c>
      <c r="E5508" t="s">
        <v>9474</v>
      </c>
      <c r="J5508" t="s">
        <v>54</v>
      </c>
      <c r="K5508" t="s">
        <v>55</v>
      </c>
      <c r="L5508">
        <v>6</v>
      </c>
      <c r="M5508" t="s">
        <v>22667</v>
      </c>
      <c r="N5508" t="s">
        <v>47</v>
      </c>
      <c r="O5508" t="s">
        <v>9477</v>
      </c>
      <c r="P5508" t="s">
        <v>9477</v>
      </c>
      <c r="Y5508" t="s">
        <v>22668</v>
      </c>
    </row>
    <row r="5509" spans="1:25">
      <c r="A5509" t="s">
        <v>22669</v>
      </c>
      <c r="B5509" t="s">
        <v>22670</v>
      </c>
      <c r="D5509" t="s">
        <v>9473</v>
      </c>
      <c r="E5509" t="s">
        <v>9474</v>
      </c>
      <c r="H5509" t="s">
        <v>22671</v>
      </c>
      <c r="J5509" t="s">
        <v>54</v>
      </c>
      <c r="K5509" t="s">
        <v>55</v>
      </c>
      <c r="L5509">
        <v>6</v>
      </c>
      <c r="M5509" t="s">
        <v>22672</v>
      </c>
      <c r="N5509" t="s">
        <v>47</v>
      </c>
      <c r="O5509" t="s">
        <v>9477</v>
      </c>
      <c r="P5509" t="s">
        <v>9477</v>
      </c>
      <c r="Y5509" t="s">
        <v>22671</v>
      </c>
    </row>
    <row r="5510" spans="1:25">
      <c r="A5510" t="s">
        <v>22673</v>
      </c>
      <c r="B5510" t="s">
        <v>22674</v>
      </c>
      <c r="D5510" t="s">
        <v>9473</v>
      </c>
      <c r="E5510" t="s">
        <v>9474</v>
      </c>
      <c r="J5510" t="s">
        <v>90</v>
      </c>
      <c r="K5510" t="s">
        <v>91</v>
      </c>
      <c r="L5510">
        <v>6</v>
      </c>
      <c r="M5510" t="s">
        <v>22675</v>
      </c>
      <c r="N5510" t="s">
        <v>47</v>
      </c>
      <c r="O5510" t="s">
        <v>9477</v>
      </c>
      <c r="P5510" t="s">
        <v>9477</v>
      </c>
      <c r="Y5510" t="s">
        <v>22676</v>
      </c>
    </row>
    <row r="5511" spans="1:25">
      <c r="A5511" t="s">
        <v>22677</v>
      </c>
      <c r="B5511" t="s">
        <v>22678</v>
      </c>
      <c r="D5511" t="s">
        <v>9473</v>
      </c>
      <c r="E5511" t="s">
        <v>9474</v>
      </c>
      <c r="J5511" t="s">
        <v>765</v>
      </c>
      <c r="K5511" t="s">
        <v>766</v>
      </c>
      <c r="L5511">
        <v>6</v>
      </c>
      <c r="M5511" t="s">
        <v>22679</v>
      </c>
      <c r="N5511" t="s">
        <v>685</v>
      </c>
      <c r="O5511" t="s">
        <v>9477</v>
      </c>
      <c r="P5511" t="s">
        <v>9477</v>
      </c>
      <c r="Y5511" t="s">
        <v>22680</v>
      </c>
    </row>
    <row r="5512" spans="1:25">
      <c r="A5512" t="s">
        <v>22681</v>
      </c>
      <c r="B5512" t="s">
        <v>22682</v>
      </c>
      <c r="D5512" t="s">
        <v>9473</v>
      </c>
      <c r="E5512" t="s">
        <v>9474</v>
      </c>
      <c r="J5512" t="s">
        <v>90</v>
      </c>
      <c r="K5512" t="s">
        <v>91</v>
      </c>
      <c r="L5512">
        <v>6</v>
      </c>
      <c r="M5512" t="s">
        <v>22683</v>
      </c>
      <c r="N5512" t="s">
        <v>47</v>
      </c>
      <c r="O5512" t="s">
        <v>9477</v>
      </c>
      <c r="P5512" t="s">
        <v>9477</v>
      </c>
      <c r="Y5512" t="s">
        <v>22684</v>
      </c>
    </row>
    <row r="5513" spans="1:25">
      <c r="A5513" t="s">
        <v>22685</v>
      </c>
      <c r="B5513" t="s">
        <v>22686</v>
      </c>
      <c r="D5513" t="s">
        <v>9473</v>
      </c>
      <c r="E5513" t="s">
        <v>9474</v>
      </c>
      <c r="J5513" t="s">
        <v>90</v>
      </c>
      <c r="K5513" t="s">
        <v>91</v>
      </c>
      <c r="L5513">
        <v>6</v>
      </c>
      <c r="M5513" t="s">
        <v>22687</v>
      </c>
      <c r="N5513" t="s">
        <v>47</v>
      </c>
      <c r="O5513" t="s">
        <v>9477</v>
      </c>
      <c r="P5513" t="s">
        <v>9477</v>
      </c>
      <c r="Y5513" t="s">
        <v>22688</v>
      </c>
    </row>
    <row r="5514" spans="1:25">
      <c r="A5514" t="s">
        <v>22689</v>
      </c>
      <c r="B5514" t="s">
        <v>22690</v>
      </c>
      <c r="D5514" t="s">
        <v>9473</v>
      </c>
      <c r="E5514" t="s">
        <v>9474</v>
      </c>
      <c r="J5514" t="s">
        <v>44</v>
      </c>
      <c r="K5514" t="s">
        <v>45</v>
      </c>
      <c r="L5514">
        <v>6</v>
      </c>
      <c r="M5514" t="s">
        <v>22687</v>
      </c>
      <c r="N5514" t="s">
        <v>47</v>
      </c>
      <c r="O5514" t="s">
        <v>9477</v>
      </c>
      <c r="P5514" t="s">
        <v>9477</v>
      </c>
      <c r="Y5514" t="s">
        <v>22691</v>
      </c>
    </row>
    <row r="5515" spans="1:25">
      <c r="A5515" t="s">
        <v>22692</v>
      </c>
      <c r="B5515" t="s">
        <v>22693</v>
      </c>
      <c r="D5515" t="s">
        <v>9473</v>
      </c>
      <c r="E5515" t="s">
        <v>9474</v>
      </c>
      <c r="J5515" t="s">
        <v>54</v>
      </c>
      <c r="K5515" t="s">
        <v>55</v>
      </c>
      <c r="L5515">
        <v>6</v>
      </c>
      <c r="M5515" t="s">
        <v>22687</v>
      </c>
      <c r="N5515" t="s">
        <v>47</v>
      </c>
      <c r="O5515" t="s">
        <v>9477</v>
      </c>
      <c r="P5515" t="s">
        <v>9477</v>
      </c>
      <c r="Y5515" t="s">
        <v>22694</v>
      </c>
    </row>
    <row r="5516" spans="1:25">
      <c r="A5516" t="s">
        <v>22695</v>
      </c>
      <c r="B5516" t="s">
        <v>22696</v>
      </c>
      <c r="D5516" t="s">
        <v>9473</v>
      </c>
      <c r="E5516" t="s">
        <v>9474</v>
      </c>
      <c r="H5516" t="s">
        <v>22697</v>
      </c>
      <c r="J5516" t="s">
        <v>44</v>
      </c>
      <c r="K5516" t="s">
        <v>45</v>
      </c>
      <c r="L5516">
        <v>6</v>
      </c>
      <c r="M5516" t="s">
        <v>22687</v>
      </c>
      <c r="N5516" t="s">
        <v>47</v>
      </c>
      <c r="O5516" t="s">
        <v>9477</v>
      </c>
      <c r="P5516" t="s">
        <v>9477</v>
      </c>
      <c r="Y5516" t="s">
        <v>22697</v>
      </c>
    </row>
    <row r="5517" spans="1:25">
      <c r="A5517" t="s">
        <v>22698</v>
      </c>
      <c r="B5517" t="s">
        <v>22699</v>
      </c>
      <c r="D5517" t="s">
        <v>9473</v>
      </c>
      <c r="E5517" t="s">
        <v>9474</v>
      </c>
      <c r="J5517" t="s">
        <v>90</v>
      </c>
      <c r="K5517" t="s">
        <v>91</v>
      </c>
      <c r="L5517">
        <v>6</v>
      </c>
      <c r="M5517" t="s">
        <v>22700</v>
      </c>
      <c r="N5517" t="s">
        <v>47</v>
      </c>
      <c r="O5517" t="s">
        <v>9477</v>
      </c>
      <c r="P5517" t="s">
        <v>9477</v>
      </c>
      <c r="Y5517" t="s">
        <v>22701</v>
      </c>
    </row>
    <row r="5518" spans="1:25">
      <c r="A5518" t="s">
        <v>22702</v>
      </c>
      <c r="B5518" t="s">
        <v>22703</v>
      </c>
      <c r="D5518" t="s">
        <v>9473</v>
      </c>
      <c r="E5518" t="s">
        <v>9474</v>
      </c>
      <c r="J5518" t="s">
        <v>44</v>
      </c>
      <c r="K5518" t="s">
        <v>45</v>
      </c>
      <c r="L5518">
        <v>6</v>
      </c>
      <c r="M5518" t="s">
        <v>22704</v>
      </c>
      <c r="N5518" t="s">
        <v>47</v>
      </c>
      <c r="O5518" t="s">
        <v>9477</v>
      </c>
      <c r="P5518" t="s">
        <v>9477</v>
      </c>
      <c r="Y5518" t="s">
        <v>22705</v>
      </c>
    </row>
    <row r="5519" spans="1:25">
      <c r="A5519" t="s">
        <v>22706</v>
      </c>
      <c r="B5519" t="s">
        <v>22707</v>
      </c>
      <c r="D5519" t="s">
        <v>9473</v>
      </c>
      <c r="E5519" t="s">
        <v>9474</v>
      </c>
      <c r="H5519" t="s">
        <v>22708</v>
      </c>
      <c r="J5519" t="s">
        <v>90</v>
      </c>
      <c r="K5519" t="s">
        <v>91</v>
      </c>
      <c r="L5519">
        <v>6</v>
      </c>
      <c r="M5519" t="s">
        <v>22709</v>
      </c>
      <c r="N5519" t="s">
        <v>47</v>
      </c>
      <c r="O5519" t="s">
        <v>9477</v>
      </c>
      <c r="P5519" t="s">
        <v>9477</v>
      </c>
      <c r="Y5519" t="s">
        <v>22708</v>
      </c>
    </row>
    <row r="5520" spans="1:25">
      <c r="A5520" t="s">
        <v>22710</v>
      </c>
      <c r="B5520" t="s">
        <v>22711</v>
      </c>
      <c r="D5520" t="s">
        <v>9473</v>
      </c>
      <c r="E5520" t="s">
        <v>9474</v>
      </c>
      <c r="J5520" t="s">
        <v>44</v>
      </c>
      <c r="K5520" t="s">
        <v>45</v>
      </c>
      <c r="L5520">
        <v>6</v>
      </c>
      <c r="M5520" t="s">
        <v>22712</v>
      </c>
      <c r="N5520" t="s">
        <v>47</v>
      </c>
      <c r="O5520" t="s">
        <v>9477</v>
      </c>
      <c r="P5520" t="s">
        <v>9477</v>
      </c>
      <c r="Y5520" t="s">
        <v>22713</v>
      </c>
    </row>
    <row r="5521" spans="1:25">
      <c r="A5521" t="s">
        <v>22714</v>
      </c>
      <c r="B5521" t="s">
        <v>22715</v>
      </c>
      <c r="D5521" t="s">
        <v>9473</v>
      </c>
      <c r="E5521" t="s">
        <v>9474</v>
      </c>
      <c r="J5521" t="s">
        <v>78</v>
      </c>
      <c r="K5521" t="s">
        <v>79</v>
      </c>
      <c r="L5521">
        <v>6</v>
      </c>
      <c r="M5521" t="s">
        <v>22716</v>
      </c>
      <c r="N5521" t="s">
        <v>47</v>
      </c>
      <c r="O5521" t="s">
        <v>9477</v>
      </c>
      <c r="P5521" t="s">
        <v>9477</v>
      </c>
      <c r="Y5521" t="s">
        <v>22717</v>
      </c>
    </row>
    <row r="5522" spans="1:25">
      <c r="A5522" t="s">
        <v>22718</v>
      </c>
      <c r="B5522" t="s">
        <v>22719</v>
      </c>
      <c r="D5522" t="s">
        <v>9473</v>
      </c>
      <c r="E5522" t="s">
        <v>9474</v>
      </c>
      <c r="J5522" t="s">
        <v>44</v>
      </c>
      <c r="K5522" t="s">
        <v>45</v>
      </c>
      <c r="L5522">
        <v>6</v>
      </c>
      <c r="M5522" t="s">
        <v>22720</v>
      </c>
      <c r="N5522" t="s">
        <v>47</v>
      </c>
      <c r="O5522" t="s">
        <v>9477</v>
      </c>
      <c r="P5522" t="s">
        <v>9477</v>
      </c>
      <c r="Y5522" t="s">
        <v>22721</v>
      </c>
    </row>
    <row r="5523" spans="1:25">
      <c r="A5523" t="s">
        <v>22722</v>
      </c>
      <c r="B5523" t="s">
        <v>22723</v>
      </c>
      <c r="D5523" t="s">
        <v>9473</v>
      </c>
      <c r="E5523" t="s">
        <v>9474</v>
      </c>
      <c r="J5523" t="s">
        <v>371</v>
      </c>
      <c r="K5523" t="s">
        <v>372</v>
      </c>
      <c r="L5523">
        <v>6</v>
      </c>
      <c r="M5523" t="s">
        <v>22724</v>
      </c>
      <c r="N5523" t="s">
        <v>47</v>
      </c>
      <c r="O5523" t="s">
        <v>9477</v>
      </c>
      <c r="P5523" t="s">
        <v>9477</v>
      </c>
      <c r="Y5523" t="s">
        <v>22725</v>
      </c>
    </row>
    <row r="5524" spans="1:25">
      <c r="A5524" t="s">
        <v>22726</v>
      </c>
      <c r="B5524" t="s">
        <v>22727</v>
      </c>
      <c r="D5524" t="s">
        <v>9473</v>
      </c>
      <c r="E5524" t="s">
        <v>9474</v>
      </c>
      <c r="J5524" t="s">
        <v>54</v>
      </c>
      <c r="K5524" t="s">
        <v>55</v>
      </c>
      <c r="L5524">
        <v>6</v>
      </c>
      <c r="M5524" t="s">
        <v>22728</v>
      </c>
      <c r="N5524" t="s">
        <v>47</v>
      </c>
      <c r="O5524" t="s">
        <v>9477</v>
      </c>
      <c r="P5524" t="s">
        <v>9477</v>
      </c>
      <c r="Y5524" t="s">
        <v>22729</v>
      </c>
    </row>
    <row r="5525" spans="1:25">
      <c r="A5525" t="s">
        <v>22730</v>
      </c>
      <c r="B5525" t="s">
        <v>22731</v>
      </c>
      <c r="D5525" t="s">
        <v>9473</v>
      </c>
      <c r="E5525" t="s">
        <v>9474</v>
      </c>
      <c r="J5525" t="s">
        <v>133</v>
      </c>
      <c r="K5525" t="s">
        <v>134</v>
      </c>
      <c r="L5525">
        <v>6</v>
      </c>
      <c r="M5525" t="s">
        <v>22728</v>
      </c>
      <c r="N5525" t="s">
        <v>685</v>
      </c>
      <c r="O5525" t="s">
        <v>9477</v>
      </c>
      <c r="P5525" t="s">
        <v>9477</v>
      </c>
      <c r="Y5525" t="s">
        <v>22732</v>
      </c>
    </row>
    <row r="5526" spans="1:25">
      <c r="A5526" t="s">
        <v>22733</v>
      </c>
      <c r="B5526" t="s">
        <v>22734</v>
      </c>
      <c r="D5526" t="s">
        <v>9473</v>
      </c>
      <c r="E5526" t="s">
        <v>9474</v>
      </c>
      <c r="J5526" t="s">
        <v>78</v>
      </c>
      <c r="K5526" t="s">
        <v>79</v>
      </c>
      <c r="L5526">
        <v>6</v>
      </c>
      <c r="M5526" t="s">
        <v>22735</v>
      </c>
      <c r="N5526" t="s">
        <v>47</v>
      </c>
      <c r="O5526" t="s">
        <v>9477</v>
      </c>
      <c r="P5526" t="s">
        <v>9477</v>
      </c>
      <c r="Y5526" t="s">
        <v>22736</v>
      </c>
    </row>
    <row r="5527" spans="1:25">
      <c r="A5527" t="s">
        <v>22737</v>
      </c>
      <c r="B5527" t="s">
        <v>22738</v>
      </c>
      <c r="D5527" t="s">
        <v>9473</v>
      </c>
      <c r="E5527" t="s">
        <v>9474</v>
      </c>
      <c r="J5527" t="s">
        <v>54</v>
      </c>
      <c r="K5527" t="s">
        <v>55</v>
      </c>
      <c r="L5527">
        <v>6</v>
      </c>
      <c r="M5527" t="s">
        <v>22735</v>
      </c>
      <c r="N5527" t="s">
        <v>47</v>
      </c>
      <c r="O5527" t="s">
        <v>9477</v>
      </c>
      <c r="P5527" t="s">
        <v>9477</v>
      </c>
      <c r="Y5527" t="s">
        <v>22739</v>
      </c>
    </row>
    <row r="5528" spans="1:25">
      <c r="A5528" t="s">
        <v>22740</v>
      </c>
      <c r="B5528" t="s">
        <v>22741</v>
      </c>
      <c r="D5528" t="s">
        <v>9473</v>
      </c>
      <c r="E5528" t="s">
        <v>9474</v>
      </c>
      <c r="H5528" t="s">
        <v>22742</v>
      </c>
      <c r="J5528" t="s">
        <v>133</v>
      </c>
      <c r="K5528" t="s">
        <v>134</v>
      </c>
      <c r="L5528">
        <v>6</v>
      </c>
      <c r="M5528" t="s">
        <v>22743</v>
      </c>
      <c r="N5528" t="s">
        <v>135</v>
      </c>
      <c r="O5528" t="s">
        <v>9477</v>
      </c>
      <c r="P5528" t="s">
        <v>9477</v>
      </c>
      <c r="Y5528" t="s">
        <v>22742</v>
      </c>
    </row>
    <row r="5529" spans="1:25">
      <c r="A5529" t="s">
        <v>22744</v>
      </c>
      <c r="B5529" t="s">
        <v>22745</v>
      </c>
      <c r="D5529" t="s">
        <v>9473</v>
      </c>
      <c r="E5529" t="s">
        <v>9474</v>
      </c>
      <c r="J5529" t="s">
        <v>44</v>
      </c>
      <c r="K5529" t="s">
        <v>45</v>
      </c>
      <c r="L5529">
        <v>6</v>
      </c>
      <c r="M5529" t="s">
        <v>22743</v>
      </c>
      <c r="N5529" t="s">
        <v>47</v>
      </c>
      <c r="O5529" t="s">
        <v>9477</v>
      </c>
      <c r="P5529" t="s">
        <v>9477</v>
      </c>
      <c r="Y5529" t="s">
        <v>22746</v>
      </c>
    </row>
    <row r="5530" spans="1:25">
      <c r="A5530" t="s">
        <v>22747</v>
      </c>
      <c r="B5530" t="s">
        <v>22748</v>
      </c>
      <c r="D5530" t="s">
        <v>9473</v>
      </c>
      <c r="E5530" t="s">
        <v>9474</v>
      </c>
      <c r="H5530" t="s">
        <v>22749</v>
      </c>
      <c r="J5530" t="s">
        <v>541</v>
      </c>
      <c r="K5530" t="s">
        <v>542</v>
      </c>
      <c r="L5530">
        <v>6</v>
      </c>
      <c r="M5530" t="s">
        <v>22750</v>
      </c>
      <c r="N5530" t="s">
        <v>685</v>
      </c>
      <c r="O5530" t="s">
        <v>9477</v>
      </c>
      <c r="P5530" t="s">
        <v>9477</v>
      </c>
      <c r="Y5530" t="s">
        <v>22749</v>
      </c>
    </row>
    <row r="5531" spans="1:25">
      <c r="A5531" t="s">
        <v>22751</v>
      </c>
      <c r="B5531" t="s">
        <v>22752</v>
      </c>
      <c r="D5531" t="s">
        <v>9473</v>
      </c>
      <c r="E5531" t="s">
        <v>9474</v>
      </c>
      <c r="J5531" t="s">
        <v>133</v>
      </c>
      <c r="K5531" t="s">
        <v>134</v>
      </c>
      <c r="L5531">
        <v>6</v>
      </c>
      <c r="M5531" t="s">
        <v>22753</v>
      </c>
      <c r="N5531" t="s">
        <v>290</v>
      </c>
      <c r="O5531" t="s">
        <v>9477</v>
      </c>
      <c r="P5531" t="s">
        <v>9477</v>
      </c>
      <c r="Y5531" t="s">
        <v>22754</v>
      </c>
    </row>
    <row r="5532" spans="1:25">
      <c r="A5532" t="s">
        <v>22755</v>
      </c>
      <c r="B5532" t="s">
        <v>22756</v>
      </c>
      <c r="D5532" t="s">
        <v>9473</v>
      </c>
      <c r="E5532" t="s">
        <v>9474</v>
      </c>
      <c r="J5532" t="s">
        <v>90</v>
      </c>
      <c r="K5532" t="s">
        <v>91</v>
      </c>
      <c r="L5532">
        <v>6</v>
      </c>
      <c r="M5532" t="s">
        <v>22753</v>
      </c>
      <c r="N5532" t="s">
        <v>47</v>
      </c>
      <c r="O5532" t="s">
        <v>9477</v>
      </c>
      <c r="P5532" t="s">
        <v>9477</v>
      </c>
      <c r="Y5532" t="s">
        <v>22757</v>
      </c>
    </row>
    <row r="5533" spans="1:25">
      <c r="A5533" t="s">
        <v>22758</v>
      </c>
      <c r="B5533" t="s">
        <v>22759</v>
      </c>
      <c r="D5533" t="s">
        <v>9473</v>
      </c>
      <c r="E5533" t="s">
        <v>9474</v>
      </c>
      <c r="J5533" t="s">
        <v>44</v>
      </c>
      <c r="K5533" t="s">
        <v>45</v>
      </c>
      <c r="L5533">
        <v>6</v>
      </c>
      <c r="M5533" t="s">
        <v>22753</v>
      </c>
      <c r="N5533" t="s">
        <v>47</v>
      </c>
      <c r="O5533" t="s">
        <v>9477</v>
      </c>
      <c r="P5533" t="s">
        <v>9477</v>
      </c>
      <c r="Y5533" t="s">
        <v>22760</v>
      </c>
    </row>
    <row r="5534" spans="1:25">
      <c r="A5534" t="s">
        <v>22761</v>
      </c>
      <c r="B5534" t="s">
        <v>22762</v>
      </c>
      <c r="D5534" t="s">
        <v>9473</v>
      </c>
      <c r="E5534" t="s">
        <v>9474</v>
      </c>
      <c r="H5534" t="s">
        <v>22763</v>
      </c>
      <c r="J5534" t="s">
        <v>133</v>
      </c>
      <c r="K5534" t="s">
        <v>134</v>
      </c>
      <c r="L5534">
        <v>6</v>
      </c>
      <c r="M5534" t="s">
        <v>22764</v>
      </c>
      <c r="N5534" t="s">
        <v>290</v>
      </c>
      <c r="O5534" t="s">
        <v>9477</v>
      </c>
      <c r="P5534" t="s">
        <v>9477</v>
      </c>
      <c r="Y5534" t="s">
        <v>22763</v>
      </c>
    </row>
    <row r="5535" spans="1:25">
      <c r="A5535" t="s">
        <v>22765</v>
      </c>
      <c r="B5535" t="s">
        <v>22766</v>
      </c>
      <c r="D5535" t="s">
        <v>9473</v>
      </c>
      <c r="E5535" t="s">
        <v>9474</v>
      </c>
      <c r="H5535" t="s">
        <v>22767</v>
      </c>
      <c r="J5535" t="s">
        <v>54</v>
      </c>
      <c r="K5535" t="s">
        <v>55</v>
      </c>
      <c r="L5535">
        <v>6</v>
      </c>
      <c r="M5535" t="s">
        <v>22768</v>
      </c>
      <c r="N5535" t="s">
        <v>47</v>
      </c>
      <c r="O5535" t="s">
        <v>9477</v>
      </c>
      <c r="P5535" t="s">
        <v>9477</v>
      </c>
      <c r="Y5535" t="s">
        <v>22767</v>
      </c>
    </row>
    <row r="5536" spans="1:25">
      <c r="A5536" t="s">
        <v>22769</v>
      </c>
      <c r="B5536" t="s">
        <v>22770</v>
      </c>
      <c r="D5536" t="s">
        <v>9473</v>
      </c>
      <c r="E5536" t="s">
        <v>9474</v>
      </c>
      <c r="J5536" t="s">
        <v>90</v>
      </c>
      <c r="K5536" t="s">
        <v>91</v>
      </c>
      <c r="L5536">
        <v>6</v>
      </c>
      <c r="M5536" t="s">
        <v>22771</v>
      </c>
      <c r="N5536" t="s">
        <v>47</v>
      </c>
      <c r="O5536" t="s">
        <v>9477</v>
      </c>
      <c r="P5536" t="s">
        <v>9477</v>
      </c>
      <c r="Y5536" t="s">
        <v>22772</v>
      </c>
    </row>
    <row r="5537" spans="1:25">
      <c r="A5537" t="s">
        <v>22773</v>
      </c>
      <c r="B5537" t="s">
        <v>22774</v>
      </c>
      <c r="D5537" t="s">
        <v>9473</v>
      </c>
      <c r="E5537" t="s">
        <v>9474</v>
      </c>
      <c r="J5537" t="s">
        <v>44</v>
      </c>
      <c r="K5537" t="s">
        <v>45</v>
      </c>
      <c r="L5537">
        <v>6</v>
      </c>
      <c r="M5537" t="s">
        <v>22775</v>
      </c>
      <c r="N5537" t="s">
        <v>47</v>
      </c>
      <c r="O5537" t="s">
        <v>9477</v>
      </c>
      <c r="P5537" t="s">
        <v>9477</v>
      </c>
      <c r="Y5537" t="s">
        <v>22776</v>
      </c>
    </row>
    <row r="5538" spans="1:25">
      <c r="A5538" t="s">
        <v>22777</v>
      </c>
      <c r="B5538" t="s">
        <v>22778</v>
      </c>
      <c r="D5538" t="s">
        <v>9473</v>
      </c>
      <c r="E5538" t="s">
        <v>9474</v>
      </c>
      <c r="J5538" t="s">
        <v>44</v>
      </c>
      <c r="K5538" t="s">
        <v>45</v>
      </c>
      <c r="L5538">
        <v>6</v>
      </c>
      <c r="M5538" t="s">
        <v>22775</v>
      </c>
      <c r="N5538" t="s">
        <v>47</v>
      </c>
      <c r="O5538" t="s">
        <v>9477</v>
      </c>
      <c r="P5538" t="s">
        <v>9477</v>
      </c>
      <c r="Y5538" t="s">
        <v>22779</v>
      </c>
    </row>
    <row r="5539" spans="1:25">
      <c r="A5539" t="s">
        <v>22780</v>
      </c>
      <c r="B5539" t="s">
        <v>22781</v>
      </c>
      <c r="D5539" t="s">
        <v>9473</v>
      </c>
      <c r="E5539" t="s">
        <v>9474</v>
      </c>
      <c r="H5539" t="s">
        <v>22782</v>
      </c>
      <c r="J5539" t="s">
        <v>133</v>
      </c>
      <c r="K5539" t="s">
        <v>134</v>
      </c>
      <c r="L5539">
        <v>6</v>
      </c>
      <c r="M5539" t="s">
        <v>22775</v>
      </c>
      <c r="N5539" t="s">
        <v>685</v>
      </c>
      <c r="O5539" t="s">
        <v>9477</v>
      </c>
      <c r="P5539" t="s">
        <v>9477</v>
      </c>
      <c r="Y5539" t="s">
        <v>22782</v>
      </c>
    </row>
    <row r="5540" spans="1:25">
      <c r="A5540" t="s">
        <v>22783</v>
      </c>
      <c r="B5540" t="s">
        <v>22784</v>
      </c>
      <c r="D5540" t="s">
        <v>9473</v>
      </c>
      <c r="E5540" t="s">
        <v>9474</v>
      </c>
      <c r="J5540" t="s">
        <v>54</v>
      </c>
      <c r="K5540" t="s">
        <v>55</v>
      </c>
      <c r="L5540">
        <v>6</v>
      </c>
      <c r="M5540" t="s">
        <v>22785</v>
      </c>
      <c r="N5540" t="s">
        <v>47</v>
      </c>
      <c r="O5540" t="s">
        <v>9477</v>
      </c>
      <c r="P5540" t="s">
        <v>9477</v>
      </c>
      <c r="Y5540" t="s">
        <v>22786</v>
      </c>
    </row>
    <row r="5541" spans="1:25">
      <c r="A5541" t="s">
        <v>22787</v>
      </c>
      <c r="B5541" t="s">
        <v>22788</v>
      </c>
      <c r="D5541" t="s">
        <v>9473</v>
      </c>
      <c r="E5541" t="s">
        <v>9474</v>
      </c>
      <c r="J5541" t="s">
        <v>54</v>
      </c>
      <c r="K5541" t="s">
        <v>55</v>
      </c>
      <c r="L5541">
        <v>6</v>
      </c>
      <c r="M5541" t="s">
        <v>22789</v>
      </c>
      <c r="N5541" t="s">
        <v>47</v>
      </c>
      <c r="O5541" t="s">
        <v>9477</v>
      </c>
      <c r="P5541" t="s">
        <v>9477</v>
      </c>
      <c r="Y5541" t="s">
        <v>22790</v>
      </c>
    </row>
    <row r="5542" spans="1:25">
      <c r="A5542" t="s">
        <v>22791</v>
      </c>
      <c r="B5542" t="s">
        <v>22792</v>
      </c>
      <c r="D5542" t="s">
        <v>9473</v>
      </c>
      <c r="E5542" t="s">
        <v>9474</v>
      </c>
      <c r="J5542" t="s">
        <v>44</v>
      </c>
      <c r="K5542" t="s">
        <v>45</v>
      </c>
      <c r="L5542">
        <v>6</v>
      </c>
      <c r="M5542" t="s">
        <v>22789</v>
      </c>
      <c r="N5542" t="s">
        <v>47</v>
      </c>
      <c r="O5542" t="s">
        <v>9477</v>
      </c>
      <c r="P5542" t="s">
        <v>9477</v>
      </c>
      <c r="Y5542" t="s">
        <v>22793</v>
      </c>
    </row>
    <row r="5543" spans="1:25">
      <c r="A5543" t="s">
        <v>22794</v>
      </c>
      <c r="B5543" t="s">
        <v>22795</v>
      </c>
      <c r="D5543" t="s">
        <v>9473</v>
      </c>
      <c r="E5543" t="s">
        <v>9474</v>
      </c>
      <c r="J5543" t="s">
        <v>90</v>
      </c>
      <c r="K5543" t="s">
        <v>91</v>
      </c>
      <c r="L5543">
        <v>6</v>
      </c>
      <c r="M5543" t="s">
        <v>22789</v>
      </c>
      <c r="N5543" t="s">
        <v>47</v>
      </c>
      <c r="O5543" t="s">
        <v>9477</v>
      </c>
      <c r="P5543" t="s">
        <v>9477</v>
      </c>
      <c r="Y5543" t="s">
        <v>22796</v>
      </c>
    </row>
    <row r="5544" spans="1:25">
      <c r="A5544" t="s">
        <v>22797</v>
      </c>
      <c r="B5544" t="s">
        <v>22798</v>
      </c>
      <c r="D5544" t="s">
        <v>9473</v>
      </c>
      <c r="E5544" t="s">
        <v>9474</v>
      </c>
      <c r="J5544" t="s">
        <v>90</v>
      </c>
      <c r="K5544" t="s">
        <v>91</v>
      </c>
      <c r="L5544">
        <v>6</v>
      </c>
      <c r="M5544" t="s">
        <v>22789</v>
      </c>
      <c r="N5544" t="s">
        <v>47</v>
      </c>
      <c r="O5544" t="s">
        <v>9477</v>
      </c>
      <c r="P5544" t="s">
        <v>9477</v>
      </c>
      <c r="Y5544" t="s">
        <v>22799</v>
      </c>
    </row>
    <row r="5545" spans="1:25">
      <c r="A5545" t="s">
        <v>22800</v>
      </c>
      <c r="B5545" t="s">
        <v>22801</v>
      </c>
      <c r="D5545" t="s">
        <v>9473</v>
      </c>
      <c r="E5545" t="s">
        <v>9474</v>
      </c>
      <c r="J5545" t="s">
        <v>90</v>
      </c>
      <c r="K5545" t="s">
        <v>91</v>
      </c>
      <c r="L5545">
        <v>6</v>
      </c>
      <c r="M5545" t="s">
        <v>22789</v>
      </c>
      <c r="N5545" t="s">
        <v>47</v>
      </c>
      <c r="O5545" t="s">
        <v>9477</v>
      </c>
      <c r="P5545" t="s">
        <v>9477</v>
      </c>
      <c r="Y5545" t="s">
        <v>22802</v>
      </c>
    </row>
    <row r="5546" spans="1:25">
      <c r="A5546" t="s">
        <v>22803</v>
      </c>
      <c r="B5546" t="s">
        <v>22804</v>
      </c>
      <c r="D5546" t="s">
        <v>9473</v>
      </c>
      <c r="E5546" t="s">
        <v>9474</v>
      </c>
      <c r="H5546" t="s">
        <v>22805</v>
      </c>
      <c r="J5546" t="s">
        <v>133</v>
      </c>
      <c r="K5546" t="s">
        <v>134</v>
      </c>
      <c r="L5546">
        <v>6</v>
      </c>
      <c r="M5546" t="s">
        <v>22806</v>
      </c>
      <c r="N5546" t="s">
        <v>135</v>
      </c>
      <c r="O5546" t="s">
        <v>9477</v>
      </c>
      <c r="P5546" t="s">
        <v>9477</v>
      </c>
      <c r="Y5546" t="s">
        <v>22805</v>
      </c>
    </row>
    <row r="5547" spans="1:25">
      <c r="A5547" t="s">
        <v>22807</v>
      </c>
      <c r="B5547" t="s">
        <v>22808</v>
      </c>
      <c r="D5547" t="s">
        <v>9473</v>
      </c>
      <c r="E5547" t="s">
        <v>9474</v>
      </c>
      <c r="H5547" t="s">
        <v>22809</v>
      </c>
      <c r="J5547" t="s">
        <v>133</v>
      </c>
      <c r="K5547" t="s">
        <v>134</v>
      </c>
      <c r="L5547">
        <v>6</v>
      </c>
      <c r="M5547" t="s">
        <v>22806</v>
      </c>
      <c r="N5547" t="s">
        <v>290</v>
      </c>
      <c r="O5547" t="s">
        <v>9477</v>
      </c>
      <c r="P5547" t="s">
        <v>9477</v>
      </c>
      <c r="Y5547" t="s">
        <v>22809</v>
      </c>
    </row>
    <row r="5548" spans="1:25">
      <c r="A5548" t="s">
        <v>22810</v>
      </c>
      <c r="B5548" t="s">
        <v>22811</v>
      </c>
      <c r="D5548" t="s">
        <v>9473</v>
      </c>
      <c r="E5548" t="s">
        <v>9474</v>
      </c>
      <c r="J5548" t="s">
        <v>54</v>
      </c>
      <c r="K5548" t="s">
        <v>55</v>
      </c>
      <c r="L5548">
        <v>6</v>
      </c>
      <c r="M5548" t="s">
        <v>22806</v>
      </c>
      <c r="N5548" t="s">
        <v>47</v>
      </c>
      <c r="O5548" t="s">
        <v>9477</v>
      </c>
      <c r="P5548" t="s">
        <v>9477</v>
      </c>
      <c r="Y5548" t="s">
        <v>22812</v>
      </c>
    </row>
    <row r="5549" spans="1:25">
      <c r="A5549" t="s">
        <v>22813</v>
      </c>
      <c r="B5549" t="s">
        <v>22814</v>
      </c>
      <c r="D5549" t="s">
        <v>9473</v>
      </c>
      <c r="E5549" t="s">
        <v>9474</v>
      </c>
      <c r="J5549" t="s">
        <v>90</v>
      </c>
      <c r="K5549" t="s">
        <v>91</v>
      </c>
      <c r="L5549">
        <v>6</v>
      </c>
      <c r="M5549" t="s">
        <v>22815</v>
      </c>
      <c r="N5549" t="s">
        <v>47</v>
      </c>
      <c r="O5549" t="s">
        <v>9477</v>
      </c>
      <c r="P5549" t="s">
        <v>9477</v>
      </c>
      <c r="Y5549" t="s">
        <v>22816</v>
      </c>
    </row>
    <row r="5550" spans="1:25">
      <c r="A5550" t="s">
        <v>22817</v>
      </c>
      <c r="B5550" t="s">
        <v>22818</v>
      </c>
      <c r="D5550" t="s">
        <v>9473</v>
      </c>
      <c r="E5550" t="s">
        <v>9474</v>
      </c>
      <c r="H5550" t="s">
        <v>22819</v>
      </c>
      <c r="J5550" t="s">
        <v>234</v>
      </c>
      <c r="K5550" t="s">
        <v>235</v>
      </c>
      <c r="L5550">
        <v>6</v>
      </c>
      <c r="M5550" t="s">
        <v>22820</v>
      </c>
      <c r="N5550" t="s">
        <v>47</v>
      </c>
      <c r="O5550" t="s">
        <v>9477</v>
      </c>
      <c r="P5550" t="s">
        <v>9477</v>
      </c>
      <c r="Y5550" t="s">
        <v>22819</v>
      </c>
    </row>
    <row r="5551" spans="1:25">
      <c r="A5551" t="s">
        <v>22821</v>
      </c>
      <c r="B5551" t="s">
        <v>22822</v>
      </c>
      <c r="D5551" t="s">
        <v>9473</v>
      </c>
      <c r="E5551" t="s">
        <v>9474</v>
      </c>
      <c r="H5551" t="s">
        <v>22823</v>
      </c>
      <c r="J5551" t="s">
        <v>234</v>
      </c>
      <c r="K5551" t="s">
        <v>235</v>
      </c>
      <c r="L5551">
        <v>6</v>
      </c>
      <c r="M5551" t="s">
        <v>22824</v>
      </c>
      <c r="N5551" t="s">
        <v>47</v>
      </c>
      <c r="O5551" t="s">
        <v>9477</v>
      </c>
      <c r="P5551" t="s">
        <v>9477</v>
      </c>
      <c r="Y5551" t="s">
        <v>22823</v>
      </c>
    </row>
    <row r="5552" spans="1:25">
      <c r="A5552" t="s">
        <v>22825</v>
      </c>
      <c r="B5552" t="s">
        <v>22826</v>
      </c>
      <c r="D5552" t="s">
        <v>9473</v>
      </c>
      <c r="E5552" t="s">
        <v>9474</v>
      </c>
      <c r="J5552" t="s">
        <v>90</v>
      </c>
      <c r="K5552" t="s">
        <v>91</v>
      </c>
      <c r="L5552">
        <v>6</v>
      </c>
      <c r="M5552" t="s">
        <v>22827</v>
      </c>
      <c r="N5552" t="s">
        <v>47</v>
      </c>
      <c r="O5552" t="s">
        <v>9477</v>
      </c>
      <c r="P5552" t="s">
        <v>9477</v>
      </c>
      <c r="Y5552" t="s">
        <v>22828</v>
      </c>
    </row>
    <row r="5553" spans="1:25">
      <c r="A5553" t="s">
        <v>22829</v>
      </c>
      <c r="B5553" t="s">
        <v>22830</v>
      </c>
      <c r="D5553" t="s">
        <v>9473</v>
      </c>
      <c r="E5553" t="s">
        <v>9474</v>
      </c>
      <c r="J5553" t="s">
        <v>90</v>
      </c>
      <c r="K5553" t="s">
        <v>91</v>
      </c>
      <c r="L5553">
        <v>6</v>
      </c>
      <c r="M5553" t="s">
        <v>22827</v>
      </c>
      <c r="N5553" t="s">
        <v>47</v>
      </c>
      <c r="O5553" t="s">
        <v>9477</v>
      </c>
      <c r="P5553" t="s">
        <v>9477</v>
      </c>
      <c r="Y5553" t="s">
        <v>22831</v>
      </c>
    </row>
    <row r="5554" spans="1:25">
      <c r="A5554" t="s">
        <v>22832</v>
      </c>
      <c r="B5554" t="s">
        <v>22833</v>
      </c>
      <c r="D5554" t="s">
        <v>9473</v>
      </c>
      <c r="E5554" t="s">
        <v>9474</v>
      </c>
      <c r="H5554" t="s">
        <v>22834</v>
      </c>
      <c r="J5554" t="s">
        <v>133</v>
      </c>
      <c r="K5554" t="s">
        <v>134</v>
      </c>
      <c r="L5554">
        <v>7</v>
      </c>
      <c r="M5554" t="s">
        <v>22835</v>
      </c>
      <c r="N5554" t="s">
        <v>685</v>
      </c>
      <c r="O5554" t="s">
        <v>9477</v>
      </c>
      <c r="P5554" t="s">
        <v>9477</v>
      </c>
      <c r="Y5554" t="s">
        <v>22834</v>
      </c>
    </row>
    <row r="5555" spans="1:25">
      <c r="A5555" t="s">
        <v>22836</v>
      </c>
      <c r="B5555" t="s">
        <v>22837</v>
      </c>
      <c r="D5555" t="s">
        <v>9473</v>
      </c>
      <c r="E5555" t="s">
        <v>9474</v>
      </c>
      <c r="J5555" t="s">
        <v>44</v>
      </c>
      <c r="K5555" t="s">
        <v>45</v>
      </c>
      <c r="L5555">
        <v>6</v>
      </c>
      <c r="M5555" t="s">
        <v>22838</v>
      </c>
      <c r="N5555" t="s">
        <v>47</v>
      </c>
      <c r="O5555" t="s">
        <v>9477</v>
      </c>
      <c r="P5555" t="s">
        <v>9477</v>
      </c>
      <c r="Y5555" t="s">
        <v>22839</v>
      </c>
    </row>
    <row r="5556" spans="1:25">
      <c r="A5556" t="s">
        <v>22840</v>
      </c>
      <c r="B5556" t="s">
        <v>22841</v>
      </c>
      <c r="D5556" t="s">
        <v>9473</v>
      </c>
      <c r="E5556" t="s">
        <v>9474</v>
      </c>
      <c r="H5556" t="s">
        <v>22842</v>
      </c>
      <c r="J5556" t="s">
        <v>90</v>
      </c>
      <c r="K5556" t="s">
        <v>91</v>
      </c>
      <c r="L5556">
        <v>6</v>
      </c>
      <c r="M5556" t="s">
        <v>22838</v>
      </c>
      <c r="N5556" t="s">
        <v>47</v>
      </c>
      <c r="O5556" t="s">
        <v>9477</v>
      </c>
      <c r="P5556" t="s">
        <v>9477</v>
      </c>
      <c r="Y5556" t="s">
        <v>22842</v>
      </c>
    </row>
    <row r="5557" spans="1:25">
      <c r="A5557" t="s">
        <v>22843</v>
      </c>
      <c r="B5557" t="s">
        <v>22844</v>
      </c>
      <c r="D5557" t="s">
        <v>9473</v>
      </c>
      <c r="E5557" t="s">
        <v>9474</v>
      </c>
      <c r="H5557" t="s">
        <v>22845</v>
      </c>
      <c r="J5557" t="s">
        <v>54</v>
      </c>
      <c r="K5557" t="s">
        <v>55</v>
      </c>
      <c r="L5557">
        <v>6</v>
      </c>
      <c r="M5557" t="s">
        <v>22846</v>
      </c>
      <c r="N5557" t="s">
        <v>47</v>
      </c>
      <c r="O5557" t="s">
        <v>9477</v>
      </c>
      <c r="P5557" t="s">
        <v>9477</v>
      </c>
      <c r="Y5557" t="s">
        <v>22845</v>
      </c>
    </row>
    <row r="5558" spans="1:25">
      <c r="A5558" t="s">
        <v>22847</v>
      </c>
      <c r="B5558" t="s">
        <v>22848</v>
      </c>
      <c r="D5558" t="s">
        <v>9473</v>
      </c>
      <c r="E5558" t="s">
        <v>9474</v>
      </c>
      <c r="J5558" t="s">
        <v>90</v>
      </c>
      <c r="K5558" t="s">
        <v>91</v>
      </c>
      <c r="L5558">
        <v>6</v>
      </c>
      <c r="M5558" t="s">
        <v>22846</v>
      </c>
      <c r="N5558" t="s">
        <v>47</v>
      </c>
      <c r="O5558" t="s">
        <v>9477</v>
      </c>
      <c r="P5558" t="s">
        <v>9477</v>
      </c>
      <c r="Y5558" t="s">
        <v>22849</v>
      </c>
    </row>
    <row r="5559" spans="1:25">
      <c r="A5559" t="s">
        <v>22850</v>
      </c>
      <c r="B5559" t="s">
        <v>22851</v>
      </c>
      <c r="D5559" t="s">
        <v>9473</v>
      </c>
      <c r="E5559" t="s">
        <v>9474</v>
      </c>
      <c r="J5559" t="s">
        <v>78</v>
      </c>
      <c r="K5559" t="s">
        <v>79</v>
      </c>
      <c r="L5559">
        <v>6</v>
      </c>
      <c r="M5559" t="s">
        <v>22852</v>
      </c>
      <c r="N5559" t="s">
        <v>47</v>
      </c>
      <c r="O5559" t="s">
        <v>9477</v>
      </c>
      <c r="P5559" t="s">
        <v>9477</v>
      </c>
      <c r="Y5559" t="s">
        <v>22853</v>
      </c>
    </row>
    <row r="5560" spans="1:25">
      <c r="A5560" t="s">
        <v>22854</v>
      </c>
      <c r="B5560" t="s">
        <v>22855</v>
      </c>
      <c r="D5560" t="s">
        <v>9473</v>
      </c>
      <c r="E5560" t="s">
        <v>9474</v>
      </c>
      <c r="J5560" t="s">
        <v>44</v>
      </c>
      <c r="K5560" t="s">
        <v>45</v>
      </c>
      <c r="L5560">
        <v>6</v>
      </c>
      <c r="M5560" t="s">
        <v>22856</v>
      </c>
      <c r="N5560" t="s">
        <v>47</v>
      </c>
      <c r="O5560" t="s">
        <v>9477</v>
      </c>
      <c r="P5560" t="s">
        <v>9477</v>
      </c>
      <c r="Y5560" t="s">
        <v>22857</v>
      </c>
    </row>
    <row r="5561" spans="1:25">
      <c r="A5561" t="s">
        <v>22858</v>
      </c>
      <c r="B5561" t="s">
        <v>22859</v>
      </c>
      <c r="D5561" t="s">
        <v>9473</v>
      </c>
      <c r="E5561" t="s">
        <v>9474</v>
      </c>
      <c r="J5561" t="s">
        <v>133</v>
      </c>
      <c r="K5561" t="s">
        <v>134</v>
      </c>
      <c r="L5561">
        <v>6</v>
      </c>
      <c r="M5561" t="s">
        <v>22856</v>
      </c>
      <c r="N5561" t="s">
        <v>685</v>
      </c>
      <c r="O5561" t="s">
        <v>9477</v>
      </c>
      <c r="P5561" t="s">
        <v>9477</v>
      </c>
      <c r="Y5561" t="s">
        <v>22860</v>
      </c>
    </row>
    <row r="5562" spans="1:25">
      <c r="A5562" t="s">
        <v>22861</v>
      </c>
      <c r="B5562" t="s">
        <v>22862</v>
      </c>
      <c r="D5562" t="s">
        <v>9473</v>
      </c>
      <c r="E5562" t="s">
        <v>9474</v>
      </c>
      <c r="J5562" t="s">
        <v>78</v>
      </c>
      <c r="K5562" t="s">
        <v>79</v>
      </c>
      <c r="L5562">
        <v>6</v>
      </c>
      <c r="M5562" t="s">
        <v>22856</v>
      </c>
      <c r="N5562" t="s">
        <v>47</v>
      </c>
      <c r="O5562" t="s">
        <v>9477</v>
      </c>
      <c r="P5562" t="s">
        <v>9477</v>
      </c>
      <c r="Y5562" t="s">
        <v>22863</v>
      </c>
    </row>
    <row r="5563" spans="1:25">
      <c r="A5563" t="s">
        <v>22864</v>
      </c>
      <c r="B5563" t="s">
        <v>22865</v>
      </c>
      <c r="D5563" t="s">
        <v>9473</v>
      </c>
      <c r="E5563" t="s">
        <v>9474</v>
      </c>
      <c r="J5563" t="s">
        <v>133</v>
      </c>
      <c r="K5563" t="s">
        <v>134</v>
      </c>
      <c r="L5563">
        <v>6</v>
      </c>
      <c r="M5563" t="s">
        <v>22866</v>
      </c>
      <c r="N5563" t="s">
        <v>135</v>
      </c>
      <c r="O5563" t="s">
        <v>9477</v>
      </c>
      <c r="P5563" t="s">
        <v>9477</v>
      </c>
      <c r="Y5563" t="s">
        <v>22867</v>
      </c>
    </row>
    <row r="5564" spans="1:25">
      <c r="A5564" t="s">
        <v>22868</v>
      </c>
      <c r="B5564" t="s">
        <v>22869</v>
      </c>
      <c r="D5564" t="s">
        <v>9473</v>
      </c>
      <c r="E5564" t="s">
        <v>9474</v>
      </c>
      <c r="J5564" t="s">
        <v>353</v>
      </c>
      <c r="K5564" t="s">
        <v>354</v>
      </c>
      <c r="L5564">
        <v>10</v>
      </c>
      <c r="M5564" t="s">
        <v>22870</v>
      </c>
      <c r="N5564" t="s">
        <v>685</v>
      </c>
      <c r="O5564" t="s">
        <v>9477</v>
      </c>
      <c r="P5564" t="s">
        <v>9477</v>
      </c>
      <c r="Y5564" t="s">
        <v>22871</v>
      </c>
    </row>
    <row r="5565" spans="1:25">
      <c r="A5565" t="s">
        <v>22872</v>
      </c>
      <c r="B5565" t="s">
        <v>22873</v>
      </c>
      <c r="D5565" t="s">
        <v>9473</v>
      </c>
      <c r="E5565" t="s">
        <v>9474</v>
      </c>
      <c r="H5565" t="s">
        <v>22874</v>
      </c>
      <c r="J5565" t="s">
        <v>234</v>
      </c>
      <c r="K5565" t="s">
        <v>235</v>
      </c>
      <c r="L5565">
        <v>6</v>
      </c>
      <c r="M5565" t="s">
        <v>22875</v>
      </c>
      <c r="N5565" t="s">
        <v>47</v>
      </c>
      <c r="O5565" t="s">
        <v>9477</v>
      </c>
      <c r="P5565" t="s">
        <v>9477</v>
      </c>
      <c r="Y5565" t="s">
        <v>22874</v>
      </c>
    </row>
    <row r="5566" spans="1:25">
      <c r="A5566" t="s">
        <v>22876</v>
      </c>
      <c r="B5566" t="s">
        <v>22877</v>
      </c>
      <c r="D5566" t="s">
        <v>9473</v>
      </c>
      <c r="E5566" t="s">
        <v>9474</v>
      </c>
      <c r="J5566" t="s">
        <v>90</v>
      </c>
      <c r="K5566" t="s">
        <v>91</v>
      </c>
      <c r="L5566">
        <v>6</v>
      </c>
      <c r="M5566" t="s">
        <v>22878</v>
      </c>
      <c r="N5566" t="s">
        <v>47</v>
      </c>
      <c r="O5566" t="s">
        <v>9477</v>
      </c>
      <c r="P5566" t="s">
        <v>9477</v>
      </c>
      <c r="Y5566" t="s">
        <v>22879</v>
      </c>
    </row>
    <row r="5567" spans="1:25">
      <c r="A5567" t="s">
        <v>22880</v>
      </c>
      <c r="B5567" t="s">
        <v>22881</v>
      </c>
      <c r="D5567" t="s">
        <v>9473</v>
      </c>
      <c r="E5567" t="s">
        <v>9474</v>
      </c>
      <c r="J5567" t="s">
        <v>90</v>
      </c>
      <c r="K5567" t="s">
        <v>91</v>
      </c>
      <c r="L5567">
        <v>6</v>
      </c>
      <c r="M5567" t="s">
        <v>22882</v>
      </c>
      <c r="N5567" t="s">
        <v>47</v>
      </c>
      <c r="O5567" t="s">
        <v>9477</v>
      </c>
      <c r="P5567" t="s">
        <v>9477</v>
      </c>
      <c r="Y5567" t="s">
        <v>22883</v>
      </c>
    </row>
    <row r="5568" spans="1:25">
      <c r="A5568" t="s">
        <v>22884</v>
      </c>
      <c r="B5568" t="s">
        <v>22885</v>
      </c>
      <c r="D5568" t="s">
        <v>9473</v>
      </c>
      <c r="E5568" t="s">
        <v>9474</v>
      </c>
      <c r="H5568" t="s">
        <v>22886</v>
      </c>
      <c r="J5568" t="s">
        <v>133</v>
      </c>
      <c r="K5568" t="s">
        <v>134</v>
      </c>
      <c r="L5568">
        <v>6</v>
      </c>
      <c r="M5568" t="s">
        <v>22882</v>
      </c>
      <c r="N5568" t="s">
        <v>290</v>
      </c>
      <c r="O5568" t="s">
        <v>9477</v>
      </c>
      <c r="P5568" t="s">
        <v>9477</v>
      </c>
      <c r="Y5568" t="s">
        <v>22886</v>
      </c>
    </row>
    <row r="5569" spans="1:25">
      <c r="A5569" t="s">
        <v>22887</v>
      </c>
      <c r="B5569" t="s">
        <v>22888</v>
      </c>
      <c r="D5569" t="s">
        <v>9473</v>
      </c>
      <c r="E5569" t="s">
        <v>9474</v>
      </c>
      <c r="H5569" t="s">
        <v>22889</v>
      </c>
      <c r="J5569" t="s">
        <v>90</v>
      </c>
      <c r="K5569" t="s">
        <v>91</v>
      </c>
      <c r="L5569">
        <v>6</v>
      </c>
      <c r="M5569" t="s">
        <v>22882</v>
      </c>
      <c r="N5569" t="s">
        <v>47</v>
      </c>
      <c r="O5569" t="s">
        <v>9477</v>
      </c>
      <c r="P5569" t="s">
        <v>9477</v>
      </c>
      <c r="Y5569" t="s">
        <v>22889</v>
      </c>
    </row>
    <row r="5570" spans="1:25">
      <c r="A5570" t="s">
        <v>22890</v>
      </c>
      <c r="B5570" t="s">
        <v>22891</v>
      </c>
      <c r="D5570" t="s">
        <v>9473</v>
      </c>
      <c r="E5570" t="s">
        <v>9474</v>
      </c>
      <c r="J5570" t="s">
        <v>90</v>
      </c>
      <c r="K5570" t="s">
        <v>91</v>
      </c>
      <c r="L5570">
        <v>6</v>
      </c>
      <c r="M5570" t="s">
        <v>22882</v>
      </c>
      <c r="N5570" t="s">
        <v>47</v>
      </c>
      <c r="O5570" t="s">
        <v>9477</v>
      </c>
      <c r="P5570" t="s">
        <v>9477</v>
      </c>
      <c r="Y5570" t="s">
        <v>22892</v>
      </c>
    </row>
    <row r="5571" spans="1:25">
      <c r="A5571" t="s">
        <v>22893</v>
      </c>
      <c r="B5571" t="s">
        <v>22894</v>
      </c>
      <c r="D5571" t="s">
        <v>9473</v>
      </c>
      <c r="E5571" t="s">
        <v>9474</v>
      </c>
      <c r="H5571" t="s">
        <v>22895</v>
      </c>
      <c r="J5571" t="s">
        <v>234</v>
      </c>
      <c r="K5571" t="s">
        <v>235</v>
      </c>
      <c r="L5571">
        <v>6</v>
      </c>
      <c r="M5571" t="s">
        <v>22896</v>
      </c>
      <c r="N5571" t="s">
        <v>47</v>
      </c>
      <c r="O5571" t="s">
        <v>9477</v>
      </c>
      <c r="P5571" t="s">
        <v>9477</v>
      </c>
      <c r="Y5571" t="s">
        <v>22895</v>
      </c>
    </row>
    <row r="5572" spans="1:25">
      <c r="A5572" t="s">
        <v>22897</v>
      </c>
      <c r="B5572" t="s">
        <v>22898</v>
      </c>
      <c r="D5572" t="s">
        <v>9473</v>
      </c>
      <c r="E5572" t="s">
        <v>9474</v>
      </c>
      <c r="H5572" t="s">
        <v>22899</v>
      </c>
      <c r="J5572" t="s">
        <v>234</v>
      </c>
      <c r="K5572" t="s">
        <v>235</v>
      </c>
      <c r="L5572">
        <v>6</v>
      </c>
      <c r="M5572" t="s">
        <v>22900</v>
      </c>
      <c r="N5572" t="s">
        <v>47</v>
      </c>
      <c r="O5572" t="s">
        <v>9477</v>
      </c>
      <c r="P5572" t="s">
        <v>9477</v>
      </c>
      <c r="Y5572" t="s">
        <v>22899</v>
      </c>
    </row>
    <row r="5573" spans="1:25">
      <c r="A5573" t="s">
        <v>22901</v>
      </c>
      <c r="B5573" t="s">
        <v>22902</v>
      </c>
      <c r="D5573" t="s">
        <v>9473</v>
      </c>
      <c r="E5573" t="s">
        <v>9474</v>
      </c>
      <c r="J5573" t="s">
        <v>44</v>
      </c>
      <c r="K5573" t="s">
        <v>45</v>
      </c>
      <c r="L5573">
        <v>6</v>
      </c>
      <c r="M5573" t="s">
        <v>22903</v>
      </c>
      <c r="N5573" t="s">
        <v>47</v>
      </c>
      <c r="O5573" t="s">
        <v>9477</v>
      </c>
      <c r="P5573" t="s">
        <v>9477</v>
      </c>
      <c r="Y5573" t="s">
        <v>22904</v>
      </c>
    </row>
    <row r="5574" spans="1:25">
      <c r="A5574" t="s">
        <v>22905</v>
      </c>
      <c r="B5574" t="s">
        <v>22906</v>
      </c>
      <c r="D5574" t="s">
        <v>9473</v>
      </c>
      <c r="E5574" t="s">
        <v>9474</v>
      </c>
      <c r="J5574" t="s">
        <v>54</v>
      </c>
      <c r="K5574" t="s">
        <v>55</v>
      </c>
      <c r="L5574">
        <v>6</v>
      </c>
      <c r="M5574" t="s">
        <v>22903</v>
      </c>
      <c r="N5574" t="s">
        <v>47</v>
      </c>
      <c r="O5574" t="s">
        <v>9477</v>
      </c>
      <c r="P5574" t="s">
        <v>9477</v>
      </c>
      <c r="Y5574" t="s">
        <v>22907</v>
      </c>
    </row>
    <row r="5575" spans="1:25">
      <c r="A5575" t="s">
        <v>22908</v>
      </c>
      <c r="B5575" t="s">
        <v>22909</v>
      </c>
      <c r="D5575" t="s">
        <v>9473</v>
      </c>
      <c r="E5575" t="s">
        <v>9474</v>
      </c>
      <c r="J5575" t="s">
        <v>78</v>
      </c>
      <c r="K5575" t="s">
        <v>79</v>
      </c>
      <c r="L5575">
        <v>6</v>
      </c>
      <c r="M5575" t="s">
        <v>22903</v>
      </c>
      <c r="N5575" t="s">
        <v>47</v>
      </c>
      <c r="O5575" t="s">
        <v>9477</v>
      </c>
      <c r="P5575" t="s">
        <v>9477</v>
      </c>
      <c r="Y5575" t="s">
        <v>22910</v>
      </c>
    </row>
    <row r="5576" spans="1:25">
      <c r="A5576" t="s">
        <v>22911</v>
      </c>
      <c r="B5576" t="s">
        <v>22912</v>
      </c>
      <c r="D5576" t="s">
        <v>9473</v>
      </c>
      <c r="E5576" t="s">
        <v>9474</v>
      </c>
      <c r="J5576" t="s">
        <v>90</v>
      </c>
      <c r="K5576" t="s">
        <v>91</v>
      </c>
      <c r="L5576">
        <v>6</v>
      </c>
      <c r="M5576" t="s">
        <v>22913</v>
      </c>
      <c r="N5576" t="s">
        <v>47</v>
      </c>
      <c r="O5576" t="s">
        <v>9477</v>
      </c>
      <c r="P5576" t="s">
        <v>9477</v>
      </c>
      <c r="Y5576" t="s">
        <v>22914</v>
      </c>
    </row>
    <row r="5577" spans="1:25">
      <c r="A5577" t="s">
        <v>22915</v>
      </c>
      <c r="B5577" t="s">
        <v>22916</v>
      </c>
      <c r="D5577" t="s">
        <v>9473</v>
      </c>
      <c r="E5577" t="s">
        <v>9474</v>
      </c>
      <c r="J5577" t="s">
        <v>90</v>
      </c>
      <c r="K5577" t="s">
        <v>91</v>
      </c>
      <c r="L5577">
        <v>6</v>
      </c>
      <c r="M5577" t="s">
        <v>22917</v>
      </c>
      <c r="N5577" t="s">
        <v>47</v>
      </c>
      <c r="O5577" t="s">
        <v>9477</v>
      </c>
      <c r="P5577" t="s">
        <v>9477</v>
      </c>
      <c r="Y5577" t="s">
        <v>22918</v>
      </c>
    </row>
    <row r="5578" spans="1:25">
      <c r="A5578" t="s">
        <v>22919</v>
      </c>
      <c r="B5578" t="s">
        <v>22920</v>
      </c>
      <c r="D5578" t="s">
        <v>9473</v>
      </c>
      <c r="E5578" t="s">
        <v>9474</v>
      </c>
      <c r="J5578" t="s">
        <v>44</v>
      </c>
      <c r="K5578" t="s">
        <v>45</v>
      </c>
      <c r="L5578">
        <v>6</v>
      </c>
      <c r="M5578" t="s">
        <v>22917</v>
      </c>
      <c r="N5578" t="s">
        <v>47</v>
      </c>
      <c r="O5578" t="s">
        <v>9477</v>
      </c>
      <c r="P5578" t="s">
        <v>9477</v>
      </c>
      <c r="Y5578" t="s">
        <v>22921</v>
      </c>
    </row>
    <row r="5579" spans="1:25">
      <c r="A5579" t="s">
        <v>22922</v>
      </c>
      <c r="B5579" t="s">
        <v>22923</v>
      </c>
      <c r="D5579" t="s">
        <v>9473</v>
      </c>
      <c r="E5579" t="s">
        <v>9474</v>
      </c>
      <c r="J5579" t="s">
        <v>78</v>
      </c>
      <c r="K5579" t="s">
        <v>79</v>
      </c>
      <c r="L5579">
        <v>6</v>
      </c>
      <c r="M5579" t="s">
        <v>22917</v>
      </c>
      <c r="N5579" t="s">
        <v>47</v>
      </c>
      <c r="O5579" t="s">
        <v>9477</v>
      </c>
      <c r="P5579" t="s">
        <v>9477</v>
      </c>
      <c r="Y5579" t="s">
        <v>22924</v>
      </c>
    </row>
    <row r="5580" spans="1:25">
      <c r="A5580" t="s">
        <v>22925</v>
      </c>
      <c r="B5580" t="s">
        <v>22926</v>
      </c>
      <c r="D5580" t="s">
        <v>9473</v>
      </c>
      <c r="E5580" t="s">
        <v>9474</v>
      </c>
      <c r="H5580" t="s">
        <v>22927</v>
      </c>
      <c r="J5580" t="s">
        <v>133</v>
      </c>
      <c r="K5580" t="s">
        <v>134</v>
      </c>
      <c r="L5580">
        <v>6</v>
      </c>
      <c r="M5580" t="s">
        <v>22928</v>
      </c>
      <c r="N5580" t="s">
        <v>685</v>
      </c>
      <c r="O5580" t="s">
        <v>9477</v>
      </c>
      <c r="P5580" t="s">
        <v>9477</v>
      </c>
      <c r="Y5580" t="s">
        <v>22927</v>
      </c>
    </row>
    <row r="5581" spans="1:25">
      <c r="A5581" t="s">
        <v>22929</v>
      </c>
      <c r="B5581" t="s">
        <v>22930</v>
      </c>
      <c r="D5581" t="s">
        <v>9473</v>
      </c>
      <c r="E5581" t="s">
        <v>9474</v>
      </c>
      <c r="J5581" t="s">
        <v>133</v>
      </c>
      <c r="K5581" t="s">
        <v>134</v>
      </c>
      <c r="L5581">
        <v>6</v>
      </c>
      <c r="M5581" t="s">
        <v>22931</v>
      </c>
      <c r="N5581" t="s">
        <v>685</v>
      </c>
      <c r="O5581" t="s">
        <v>9477</v>
      </c>
      <c r="P5581" t="s">
        <v>9477</v>
      </c>
      <c r="Y5581" t="s">
        <v>22932</v>
      </c>
    </row>
    <row r="5582" spans="1:25">
      <c r="A5582" t="s">
        <v>22933</v>
      </c>
      <c r="B5582" t="s">
        <v>22934</v>
      </c>
      <c r="D5582" t="s">
        <v>9473</v>
      </c>
      <c r="E5582" t="s">
        <v>9474</v>
      </c>
      <c r="J5582" t="s">
        <v>90</v>
      </c>
      <c r="K5582" t="s">
        <v>91</v>
      </c>
      <c r="L5582">
        <v>6</v>
      </c>
      <c r="M5582" t="s">
        <v>22931</v>
      </c>
      <c r="N5582" t="s">
        <v>47</v>
      </c>
      <c r="O5582" t="s">
        <v>9477</v>
      </c>
      <c r="P5582" t="s">
        <v>9477</v>
      </c>
      <c r="Y5582" t="s">
        <v>22935</v>
      </c>
    </row>
    <row r="5583" spans="1:25">
      <c r="A5583" t="s">
        <v>22936</v>
      </c>
      <c r="B5583" t="s">
        <v>22937</v>
      </c>
      <c r="D5583" t="s">
        <v>9473</v>
      </c>
      <c r="E5583" t="s">
        <v>9474</v>
      </c>
      <c r="J5583" t="s">
        <v>78</v>
      </c>
      <c r="K5583" t="s">
        <v>79</v>
      </c>
      <c r="L5583">
        <v>6</v>
      </c>
      <c r="M5583" t="s">
        <v>22931</v>
      </c>
      <c r="N5583" t="s">
        <v>47</v>
      </c>
      <c r="O5583" t="s">
        <v>9477</v>
      </c>
      <c r="P5583" t="s">
        <v>9477</v>
      </c>
      <c r="Y5583" t="s">
        <v>22938</v>
      </c>
    </row>
    <row r="5584" spans="1:25">
      <c r="A5584" t="s">
        <v>22939</v>
      </c>
      <c r="B5584" t="s">
        <v>22940</v>
      </c>
      <c r="D5584" t="s">
        <v>9473</v>
      </c>
      <c r="E5584" t="s">
        <v>9474</v>
      </c>
      <c r="J5584" t="s">
        <v>133</v>
      </c>
      <c r="K5584" t="s">
        <v>134</v>
      </c>
      <c r="L5584">
        <v>6</v>
      </c>
      <c r="M5584" t="s">
        <v>22941</v>
      </c>
      <c r="N5584" t="s">
        <v>685</v>
      </c>
      <c r="O5584" t="s">
        <v>9477</v>
      </c>
      <c r="P5584" t="s">
        <v>9477</v>
      </c>
      <c r="Y5584" t="s">
        <v>22942</v>
      </c>
    </row>
    <row r="5585" spans="1:25">
      <c r="A5585" t="s">
        <v>22943</v>
      </c>
      <c r="B5585" t="s">
        <v>22944</v>
      </c>
      <c r="D5585" t="s">
        <v>9473</v>
      </c>
      <c r="E5585" t="s">
        <v>9474</v>
      </c>
      <c r="H5585" t="s">
        <v>22945</v>
      </c>
      <c r="J5585" t="s">
        <v>54</v>
      </c>
      <c r="K5585" t="s">
        <v>55</v>
      </c>
      <c r="L5585">
        <v>6</v>
      </c>
      <c r="M5585" t="s">
        <v>22941</v>
      </c>
      <c r="N5585" t="s">
        <v>47</v>
      </c>
      <c r="O5585" t="s">
        <v>9477</v>
      </c>
      <c r="P5585" t="s">
        <v>9477</v>
      </c>
      <c r="Y5585" t="s">
        <v>22945</v>
      </c>
    </row>
    <row r="5586" spans="1:25">
      <c r="A5586" t="s">
        <v>22946</v>
      </c>
      <c r="B5586" t="s">
        <v>22947</v>
      </c>
      <c r="D5586" t="s">
        <v>9473</v>
      </c>
      <c r="E5586" t="s">
        <v>9474</v>
      </c>
      <c r="J5586" t="s">
        <v>90</v>
      </c>
      <c r="K5586" t="s">
        <v>91</v>
      </c>
      <c r="L5586">
        <v>6</v>
      </c>
      <c r="M5586" t="s">
        <v>22941</v>
      </c>
      <c r="N5586" t="s">
        <v>47</v>
      </c>
      <c r="O5586" t="s">
        <v>9477</v>
      </c>
      <c r="P5586" t="s">
        <v>9477</v>
      </c>
      <c r="Y5586" t="s">
        <v>22948</v>
      </c>
    </row>
    <row r="5587" spans="1:25">
      <c r="A5587" t="s">
        <v>22949</v>
      </c>
      <c r="B5587" t="s">
        <v>22950</v>
      </c>
      <c r="D5587" t="s">
        <v>9473</v>
      </c>
      <c r="E5587" t="s">
        <v>9474</v>
      </c>
      <c r="H5587" t="s">
        <v>22951</v>
      </c>
      <c r="J5587" t="s">
        <v>133</v>
      </c>
      <c r="K5587" t="s">
        <v>134</v>
      </c>
      <c r="L5587">
        <v>6</v>
      </c>
      <c r="M5587" t="s">
        <v>22952</v>
      </c>
      <c r="N5587" t="s">
        <v>290</v>
      </c>
      <c r="O5587" t="s">
        <v>9477</v>
      </c>
      <c r="P5587" t="s">
        <v>9477</v>
      </c>
      <c r="Y5587" t="s">
        <v>22951</v>
      </c>
    </row>
    <row r="5588" spans="1:25">
      <c r="A5588" t="s">
        <v>22953</v>
      </c>
      <c r="B5588" t="s">
        <v>22954</v>
      </c>
      <c r="D5588" t="s">
        <v>9473</v>
      </c>
      <c r="E5588" t="s">
        <v>9474</v>
      </c>
      <c r="J5588" t="s">
        <v>90</v>
      </c>
      <c r="K5588" t="s">
        <v>91</v>
      </c>
      <c r="L5588">
        <v>6</v>
      </c>
      <c r="M5588" t="s">
        <v>22955</v>
      </c>
      <c r="N5588" t="s">
        <v>47</v>
      </c>
      <c r="O5588" t="s">
        <v>9477</v>
      </c>
      <c r="P5588" t="s">
        <v>9477</v>
      </c>
      <c r="Y5588" t="s">
        <v>22956</v>
      </c>
    </row>
    <row r="5589" spans="1:25">
      <c r="A5589" t="s">
        <v>22957</v>
      </c>
      <c r="B5589" t="s">
        <v>22958</v>
      </c>
      <c r="D5589" t="s">
        <v>9473</v>
      </c>
      <c r="E5589" t="s">
        <v>9474</v>
      </c>
      <c r="J5589" t="s">
        <v>133</v>
      </c>
      <c r="K5589" t="s">
        <v>134</v>
      </c>
      <c r="L5589">
        <v>6</v>
      </c>
      <c r="M5589" t="s">
        <v>22959</v>
      </c>
      <c r="N5589" t="s">
        <v>290</v>
      </c>
      <c r="O5589" t="s">
        <v>9477</v>
      </c>
      <c r="P5589" t="s">
        <v>9477</v>
      </c>
      <c r="Y5589" t="s">
        <v>22960</v>
      </c>
    </row>
    <row r="5590" spans="1:25">
      <c r="A5590" t="s">
        <v>22961</v>
      </c>
      <c r="B5590" t="s">
        <v>22962</v>
      </c>
      <c r="D5590" t="s">
        <v>9473</v>
      </c>
      <c r="E5590" t="s">
        <v>9474</v>
      </c>
      <c r="H5590" t="s">
        <v>22963</v>
      </c>
      <c r="J5590" t="s">
        <v>90</v>
      </c>
      <c r="K5590" t="s">
        <v>91</v>
      </c>
      <c r="L5590">
        <v>6</v>
      </c>
      <c r="M5590" t="s">
        <v>22964</v>
      </c>
      <c r="N5590" t="s">
        <v>47</v>
      </c>
      <c r="O5590" t="s">
        <v>9477</v>
      </c>
      <c r="P5590" t="s">
        <v>9477</v>
      </c>
      <c r="Y5590" t="s">
        <v>22963</v>
      </c>
    </row>
    <row r="5591" spans="1:25">
      <c r="A5591" t="s">
        <v>22965</v>
      </c>
      <c r="B5591" t="s">
        <v>22966</v>
      </c>
      <c r="D5591" t="s">
        <v>9473</v>
      </c>
      <c r="E5591" t="s">
        <v>9474</v>
      </c>
      <c r="J5591" t="s">
        <v>90</v>
      </c>
      <c r="K5591" t="s">
        <v>91</v>
      </c>
      <c r="L5591">
        <v>6</v>
      </c>
      <c r="M5591" t="s">
        <v>22964</v>
      </c>
      <c r="N5591" t="s">
        <v>47</v>
      </c>
      <c r="O5591" t="s">
        <v>9477</v>
      </c>
      <c r="P5591" t="s">
        <v>9477</v>
      </c>
      <c r="Y5591" t="s">
        <v>22967</v>
      </c>
    </row>
    <row r="5592" spans="1:25">
      <c r="A5592" t="s">
        <v>22968</v>
      </c>
      <c r="B5592" t="s">
        <v>22969</v>
      </c>
      <c r="D5592" t="s">
        <v>9473</v>
      </c>
      <c r="E5592" t="s">
        <v>9474</v>
      </c>
      <c r="H5592" t="s">
        <v>22970</v>
      </c>
      <c r="J5592" t="s">
        <v>90</v>
      </c>
      <c r="K5592" t="s">
        <v>91</v>
      </c>
      <c r="L5592">
        <v>6</v>
      </c>
      <c r="M5592" t="s">
        <v>22964</v>
      </c>
      <c r="N5592" t="s">
        <v>47</v>
      </c>
      <c r="O5592" t="s">
        <v>9477</v>
      </c>
      <c r="P5592" t="s">
        <v>9477</v>
      </c>
      <c r="Y5592" t="s">
        <v>22970</v>
      </c>
    </row>
    <row r="5593" spans="1:25">
      <c r="A5593" t="s">
        <v>22971</v>
      </c>
      <c r="B5593" t="s">
        <v>22972</v>
      </c>
      <c r="D5593" t="s">
        <v>9473</v>
      </c>
      <c r="E5593" t="s">
        <v>9474</v>
      </c>
      <c r="J5593" t="s">
        <v>54</v>
      </c>
      <c r="K5593" t="s">
        <v>55</v>
      </c>
      <c r="L5593">
        <v>6</v>
      </c>
      <c r="M5593" t="s">
        <v>22964</v>
      </c>
      <c r="N5593" t="s">
        <v>47</v>
      </c>
      <c r="O5593" t="s">
        <v>9477</v>
      </c>
      <c r="P5593" t="s">
        <v>9477</v>
      </c>
      <c r="Y5593" t="s">
        <v>22973</v>
      </c>
    </row>
    <row r="5594" spans="1:25">
      <c r="A5594" t="s">
        <v>22974</v>
      </c>
      <c r="B5594" t="s">
        <v>22975</v>
      </c>
      <c r="D5594" t="s">
        <v>9473</v>
      </c>
      <c r="E5594" t="s">
        <v>9474</v>
      </c>
      <c r="J5594" t="s">
        <v>44</v>
      </c>
      <c r="K5594" t="s">
        <v>45</v>
      </c>
      <c r="L5594">
        <v>6</v>
      </c>
      <c r="M5594" t="s">
        <v>22976</v>
      </c>
      <c r="N5594" t="s">
        <v>47</v>
      </c>
      <c r="O5594" t="s">
        <v>9477</v>
      </c>
      <c r="P5594" t="s">
        <v>9477</v>
      </c>
      <c r="Y5594" t="s">
        <v>22977</v>
      </c>
    </row>
    <row r="5595" spans="1:25">
      <c r="A5595" t="s">
        <v>22978</v>
      </c>
      <c r="B5595" t="s">
        <v>22979</v>
      </c>
      <c r="D5595" t="s">
        <v>9473</v>
      </c>
      <c r="E5595" t="s">
        <v>9474</v>
      </c>
      <c r="J5595" t="s">
        <v>133</v>
      </c>
      <c r="K5595" t="s">
        <v>134</v>
      </c>
      <c r="L5595">
        <v>6</v>
      </c>
      <c r="M5595" t="s">
        <v>22980</v>
      </c>
      <c r="N5595" t="s">
        <v>135</v>
      </c>
      <c r="O5595" t="s">
        <v>9477</v>
      </c>
      <c r="P5595" t="s">
        <v>9477</v>
      </c>
      <c r="Y5595" t="s">
        <v>22981</v>
      </c>
    </row>
    <row r="5596" spans="1:25">
      <c r="A5596" t="s">
        <v>22982</v>
      </c>
      <c r="B5596" t="s">
        <v>22983</v>
      </c>
      <c r="D5596" t="s">
        <v>9473</v>
      </c>
      <c r="E5596" t="s">
        <v>9474</v>
      </c>
      <c r="J5596" t="s">
        <v>44</v>
      </c>
      <c r="K5596" t="s">
        <v>45</v>
      </c>
      <c r="L5596">
        <v>6</v>
      </c>
      <c r="M5596" t="s">
        <v>22980</v>
      </c>
      <c r="N5596" t="s">
        <v>47</v>
      </c>
      <c r="O5596" t="s">
        <v>9477</v>
      </c>
      <c r="P5596" t="s">
        <v>9477</v>
      </c>
      <c r="Y5596" t="s">
        <v>22984</v>
      </c>
    </row>
    <row r="5597" spans="1:25">
      <c r="A5597" t="s">
        <v>22985</v>
      </c>
      <c r="B5597" t="s">
        <v>22986</v>
      </c>
      <c r="D5597" t="s">
        <v>9473</v>
      </c>
      <c r="E5597" t="s">
        <v>9474</v>
      </c>
      <c r="J5597" t="s">
        <v>44</v>
      </c>
      <c r="K5597" t="s">
        <v>45</v>
      </c>
      <c r="L5597">
        <v>6</v>
      </c>
      <c r="M5597" t="s">
        <v>22987</v>
      </c>
      <c r="N5597" t="s">
        <v>47</v>
      </c>
      <c r="O5597" t="s">
        <v>9477</v>
      </c>
      <c r="P5597" t="s">
        <v>9477</v>
      </c>
      <c r="Y5597" t="s">
        <v>22988</v>
      </c>
    </row>
    <row r="5598" spans="1:25">
      <c r="A5598" t="s">
        <v>22989</v>
      </c>
      <c r="B5598" t="s">
        <v>22990</v>
      </c>
      <c r="D5598" t="s">
        <v>9473</v>
      </c>
      <c r="E5598" t="s">
        <v>9474</v>
      </c>
      <c r="H5598" t="s">
        <v>22991</v>
      </c>
      <c r="J5598" t="s">
        <v>90</v>
      </c>
      <c r="K5598" t="s">
        <v>91</v>
      </c>
      <c r="L5598">
        <v>6</v>
      </c>
      <c r="M5598" t="s">
        <v>22992</v>
      </c>
      <c r="N5598" t="s">
        <v>47</v>
      </c>
      <c r="O5598" t="s">
        <v>9477</v>
      </c>
      <c r="P5598" t="s">
        <v>9477</v>
      </c>
      <c r="Y5598" t="s">
        <v>22991</v>
      </c>
    </row>
    <row r="5599" spans="1:25">
      <c r="A5599" t="s">
        <v>22993</v>
      </c>
      <c r="B5599" t="s">
        <v>22994</v>
      </c>
      <c r="D5599" t="s">
        <v>9473</v>
      </c>
      <c r="E5599" t="s">
        <v>9474</v>
      </c>
      <c r="J5599" t="s">
        <v>90</v>
      </c>
      <c r="K5599" t="s">
        <v>91</v>
      </c>
      <c r="L5599">
        <v>6</v>
      </c>
      <c r="M5599" t="s">
        <v>22992</v>
      </c>
      <c r="N5599" t="s">
        <v>47</v>
      </c>
      <c r="O5599" t="s">
        <v>9477</v>
      </c>
      <c r="P5599" t="s">
        <v>9477</v>
      </c>
      <c r="Y5599" t="s">
        <v>22995</v>
      </c>
    </row>
    <row r="5600" spans="1:25">
      <c r="A5600" t="s">
        <v>22996</v>
      </c>
      <c r="B5600" t="s">
        <v>22997</v>
      </c>
      <c r="D5600" t="s">
        <v>9473</v>
      </c>
      <c r="E5600" t="s">
        <v>9474</v>
      </c>
      <c r="J5600" t="s">
        <v>54</v>
      </c>
      <c r="K5600" t="s">
        <v>55</v>
      </c>
      <c r="L5600">
        <v>6</v>
      </c>
      <c r="M5600" t="s">
        <v>22998</v>
      </c>
      <c r="N5600" t="s">
        <v>47</v>
      </c>
      <c r="O5600" t="s">
        <v>9477</v>
      </c>
      <c r="P5600" t="s">
        <v>9477</v>
      </c>
      <c r="Y5600" t="s">
        <v>22999</v>
      </c>
    </row>
    <row r="5601" spans="1:25">
      <c r="A5601" t="s">
        <v>23000</v>
      </c>
      <c r="B5601" t="s">
        <v>23001</v>
      </c>
      <c r="D5601" t="s">
        <v>9473</v>
      </c>
      <c r="E5601" t="s">
        <v>9474</v>
      </c>
      <c r="H5601" t="s">
        <v>23002</v>
      </c>
      <c r="J5601" t="s">
        <v>133</v>
      </c>
      <c r="K5601" t="s">
        <v>134</v>
      </c>
      <c r="L5601">
        <v>6</v>
      </c>
      <c r="M5601" t="s">
        <v>22998</v>
      </c>
      <c r="N5601" t="s">
        <v>290</v>
      </c>
      <c r="O5601" t="s">
        <v>9477</v>
      </c>
      <c r="P5601" t="s">
        <v>9477</v>
      </c>
      <c r="Y5601" t="s">
        <v>23002</v>
      </c>
    </row>
    <row r="5602" spans="1:25">
      <c r="A5602" t="s">
        <v>23003</v>
      </c>
      <c r="B5602" t="s">
        <v>23004</v>
      </c>
      <c r="D5602" t="s">
        <v>9473</v>
      </c>
      <c r="E5602" t="s">
        <v>9474</v>
      </c>
      <c r="J5602" t="s">
        <v>54</v>
      </c>
      <c r="K5602" t="s">
        <v>55</v>
      </c>
      <c r="L5602">
        <v>6</v>
      </c>
      <c r="M5602" t="s">
        <v>23005</v>
      </c>
      <c r="N5602" t="s">
        <v>47</v>
      </c>
      <c r="O5602" t="s">
        <v>9477</v>
      </c>
      <c r="P5602" t="s">
        <v>9477</v>
      </c>
      <c r="Y5602" t="s">
        <v>23006</v>
      </c>
    </row>
    <row r="5603" spans="1:25">
      <c r="A5603" t="s">
        <v>23007</v>
      </c>
      <c r="B5603" t="s">
        <v>23008</v>
      </c>
      <c r="D5603" t="s">
        <v>9473</v>
      </c>
      <c r="E5603" t="s">
        <v>9474</v>
      </c>
      <c r="J5603" t="s">
        <v>765</v>
      </c>
      <c r="K5603" t="s">
        <v>766</v>
      </c>
      <c r="L5603">
        <v>6</v>
      </c>
      <c r="M5603" t="s">
        <v>23005</v>
      </c>
      <c r="N5603" t="s">
        <v>685</v>
      </c>
      <c r="O5603" t="s">
        <v>9477</v>
      </c>
      <c r="P5603" t="s">
        <v>9477</v>
      </c>
      <c r="Y5603" t="s">
        <v>23009</v>
      </c>
    </row>
    <row r="5604" spans="1:25">
      <c r="A5604" t="s">
        <v>23010</v>
      </c>
      <c r="B5604" t="s">
        <v>23011</v>
      </c>
      <c r="D5604" t="s">
        <v>9473</v>
      </c>
      <c r="E5604" t="s">
        <v>9474</v>
      </c>
      <c r="J5604" t="s">
        <v>44</v>
      </c>
      <c r="K5604" t="s">
        <v>45</v>
      </c>
      <c r="L5604">
        <v>6</v>
      </c>
      <c r="M5604" t="s">
        <v>23012</v>
      </c>
      <c r="N5604" t="s">
        <v>47</v>
      </c>
      <c r="O5604" t="s">
        <v>9477</v>
      </c>
      <c r="P5604" t="s">
        <v>9477</v>
      </c>
      <c r="Y5604" t="s">
        <v>23013</v>
      </c>
    </row>
    <row r="5605" spans="1:25">
      <c r="A5605" t="s">
        <v>23014</v>
      </c>
      <c r="B5605" t="s">
        <v>23015</v>
      </c>
      <c r="D5605" t="s">
        <v>9473</v>
      </c>
      <c r="E5605" t="s">
        <v>9474</v>
      </c>
      <c r="J5605" t="s">
        <v>90</v>
      </c>
      <c r="K5605" t="s">
        <v>91</v>
      </c>
      <c r="L5605">
        <v>6</v>
      </c>
      <c r="M5605" t="s">
        <v>23016</v>
      </c>
      <c r="N5605" t="s">
        <v>47</v>
      </c>
      <c r="O5605" t="s">
        <v>9477</v>
      </c>
      <c r="P5605" t="s">
        <v>9477</v>
      </c>
      <c r="Y5605" t="s">
        <v>23017</v>
      </c>
    </row>
    <row r="5606" spans="1:25">
      <c r="A5606" t="s">
        <v>23018</v>
      </c>
      <c r="B5606" t="s">
        <v>23019</v>
      </c>
      <c r="D5606" t="s">
        <v>9473</v>
      </c>
      <c r="E5606" t="s">
        <v>9474</v>
      </c>
      <c r="J5606" t="s">
        <v>44</v>
      </c>
      <c r="K5606" t="s">
        <v>45</v>
      </c>
      <c r="L5606">
        <v>6</v>
      </c>
      <c r="M5606" t="s">
        <v>23016</v>
      </c>
      <c r="N5606" t="s">
        <v>47</v>
      </c>
      <c r="O5606" t="s">
        <v>9477</v>
      </c>
      <c r="P5606" t="s">
        <v>9477</v>
      </c>
      <c r="Y5606" t="s">
        <v>23020</v>
      </c>
    </row>
    <row r="5607" spans="1:25">
      <c r="A5607" t="s">
        <v>23021</v>
      </c>
      <c r="B5607" t="s">
        <v>23022</v>
      </c>
      <c r="D5607" t="s">
        <v>9473</v>
      </c>
      <c r="E5607" t="s">
        <v>9474</v>
      </c>
      <c r="J5607" t="s">
        <v>54</v>
      </c>
      <c r="K5607" t="s">
        <v>55</v>
      </c>
      <c r="L5607">
        <v>6</v>
      </c>
      <c r="M5607" t="s">
        <v>23023</v>
      </c>
      <c r="N5607" t="s">
        <v>47</v>
      </c>
      <c r="O5607" t="s">
        <v>9477</v>
      </c>
      <c r="P5607" t="s">
        <v>9477</v>
      </c>
      <c r="Y5607" t="s">
        <v>23024</v>
      </c>
    </row>
    <row r="5608" spans="1:25">
      <c r="A5608" t="s">
        <v>23025</v>
      </c>
      <c r="B5608" t="s">
        <v>23026</v>
      </c>
      <c r="D5608" t="s">
        <v>9473</v>
      </c>
      <c r="E5608" t="s">
        <v>9474</v>
      </c>
      <c r="J5608" t="s">
        <v>90</v>
      </c>
      <c r="K5608" t="s">
        <v>91</v>
      </c>
      <c r="L5608">
        <v>6</v>
      </c>
      <c r="M5608" t="s">
        <v>23027</v>
      </c>
      <c r="N5608" t="s">
        <v>47</v>
      </c>
      <c r="O5608" t="s">
        <v>9477</v>
      </c>
      <c r="P5608" t="s">
        <v>9477</v>
      </c>
      <c r="Y5608" t="s">
        <v>23028</v>
      </c>
    </row>
    <row r="5609" spans="1:25">
      <c r="A5609" t="s">
        <v>23029</v>
      </c>
      <c r="B5609" t="s">
        <v>23030</v>
      </c>
      <c r="D5609" t="s">
        <v>9473</v>
      </c>
      <c r="E5609" t="s">
        <v>9474</v>
      </c>
      <c r="J5609" t="s">
        <v>133</v>
      </c>
      <c r="K5609" t="s">
        <v>134</v>
      </c>
      <c r="L5609">
        <v>6</v>
      </c>
      <c r="M5609" t="s">
        <v>23031</v>
      </c>
      <c r="N5609" t="s">
        <v>685</v>
      </c>
      <c r="O5609" t="s">
        <v>9477</v>
      </c>
      <c r="P5609" t="s">
        <v>9477</v>
      </c>
      <c r="Y5609" t="s">
        <v>23032</v>
      </c>
    </row>
    <row r="5610" spans="1:25">
      <c r="A5610" t="s">
        <v>23033</v>
      </c>
      <c r="B5610" t="s">
        <v>23034</v>
      </c>
      <c r="D5610" t="s">
        <v>9473</v>
      </c>
      <c r="E5610" t="s">
        <v>9474</v>
      </c>
      <c r="J5610" t="s">
        <v>44</v>
      </c>
      <c r="K5610" t="s">
        <v>45</v>
      </c>
      <c r="L5610">
        <v>6</v>
      </c>
      <c r="M5610" t="s">
        <v>23035</v>
      </c>
      <c r="N5610" t="s">
        <v>47</v>
      </c>
      <c r="O5610" t="s">
        <v>9477</v>
      </c>
      <c r="P5610" t="s">
        <v>9477</v>
      </c>
      <c r="Y5610" t="s">
        <v>23036</v>
      </c>
    </row>
    <row r="5611" spans="1:25">
      <c r="A5611" t="s">
        <v>23037</v>
      </c>
      <c r="B5611" t="s">
        <v>23038</v>
      </c>
      <c r="D5611" t="s">
        <v>9473</v>
      </c>
      <c r="E5611" t="s">
        <v>9474</v>
      </c>
      <c r="J5611" t="s">
        <v>133</v>
      </c>
      <c r="K5611" t="s">
        <v>134</v>
      </c>
      <c r="L5611">
        <v>6</v>
      </c>
      <c r="M5611" t="s">
        <v>23035</v>
      </c>
      <c r="N5611" t="s">
        <v>290</v>
      </c>
      <c r="O5611" t="s">
        <v>9477</v>
      </c>
      <c r="P5611" t="s">
        <v>9477</v>
      </c>
      <c r="Y5611" t="s">
        <v>23039</v>
      </c>
    </row>
    <row r="5612" spans="1:25">
      <c r="A5612" t="s">
        <v>23040</v>
      </c>
      <c r="B5612" t="s">
        <v>23041</v>
      </c>
      <c r="D5612" t="s">
        <v>9473</v>
      </c>
      <c r="E5612" t="s">
        <v>9474</v>
      </c>
      <c r="J5612" t="s">
        <v>90</v>
      </c>
      <c r="K5612" t="s">
        <v>91</v>
      </c>
      <c r="L5612">
        <v>6</v>
      </c>
      <c r="M5612" t="s">
        <v>23042</v>
      </c>
      <c r="N5612" t="s">
        <v>47</v>
      </c>
      <c r="O5612" t="s">
        <v>9477</v>
      </c>
      <c r="P5612" t="s">
        <v>9477</v>
      </c>
      <c r="Y5612" t="s">
        <v>23043</v>
      </c>
    </row>
    <row r="5613" spans="1:25">
      <c r="A5613" t="s">
        <v>23044</v>
      </c>
      <c r="B5613" t="s">
        <v>23045</v>
      </c>
      <c r="D5613" t="s">
        <v>9473</v>
      </c>
      <c r="E5613" t="s">
        <v>9474</v>
      </c>
      <c r="J5613" t="s">
        <v>90</v>
      </c>
      <c r="K5613" t="s">
        <v>91</v>
      </c>
      <c r="L5613">
        <v>6</v>
      </c>
      <c r="M5613" t="s">
        <v>23042</v>
      </c>
      <c r="N5613" t="s">
        <v>47</v>
      </c>
      <c r="O5613" t="s">
        <v>9477</v>
      </c>
      <c r="P5613" t="s">
        <v>9477</v>
      </c>
      <c r="Y5613" t="s">
        <v>23046</v>
      </c>
    </row>
    <row r="5614" spans="1:25">
      <c r="A5614" t="s">
        <v>23047</v>
      </c>
      <c r="B5614" t="s">
        <v>23048</v>
      </c>
      <c r="D5614" t="s">
        <v>9473</v>
      </c>
      <c r="E5614" t="s">
        <v>9474</v>
      </c>
      <c r="J5614" t="s">
        <v>353</v>
      </c>
      <c r="K5614" t="s">
        <v>354</v>
      </c>
      <c r="L5614">
        <v>6</v>
      </c>
      <c r="M5614" t="s">
        <v>23049</v>
      </c>
      <c r="N5614" t="s">
        <v>685</v>
      </c>
      <c r="O5614" t="s">
        <v>9477</v>
      </c>
      <c r="P5614" t="s">
        <v>9477</v>
      </c>
      <c r="Y5614" t="s">
        <v>23050</v>
      </c>
    </row>
    <row r="5615" spans="1:25">
      <c r="A5615" t="s">
        <v>23051</v>
      </c>
      <c r="B5615" t="s">
        <v>23052</v>
      </c>
      <c r="D5615" t="s">
        <v>9473</v>
      </c>
      <c r="E5615" t="s">
        <v>9474</v>
      </c>
      <c r="J5615" t="s">
        <v>44</v>
      </c>
      <c r="K5615" t="s">
        <v>45</v>
      </c>
      <c r="L5615">
        <v>6</v>
      </c>
      <c r="M5615" t="s">
        <v>23053</v>
      </c>
      <c r="N5615" t="s">
        <v>47</v>
      </c>
      <c r="O5615" t="s">
        <v>9477</v>
      </c>
      <c r="P5615" t="s">
        <v>9477</v>
      </c>
      <c r="Y5615" t="s">
        <v>23054</v>
      </c>
    </row>
    <row r="5616" spans="1:25">
      <c r="A5616" t="s">
        <v>23055</v>
      </c>
      <c r="B5616" t="s">
        <v>23056</v>
      </c>
      <c r="D5616" t="s">
        <v>9473</v>
      </c>
      <c r="E5616" t="s">
        <v>9474</v>
      </c>
      <c r="J5616" t="s">
        <v>90</v>
      </c>
      <c r="K5616" t="s">
        <v>91</v>
      </c>
      <c r="L5616">
        <v>6</v>
      </c>
      <c r="M5616" t="s">
        <v>23057</v>
      </c>
      <c r="N5616" t="s">
        <v>47</v>
      </c>
      <c r="O5616" t="s">
        <v>9477</v>
      </c>
      <c r="P5616" t="s">
        <v>9477</v>
      </c>
      <c r="Y5616" t="s">
        <v>23058</v>
      </c>
    </row>
    <row r="5617" spans="1:25">
      <c r="A5617" t="s">
        <v>23059</v>
      </c>
      <c r="B5617" t="s">
        <v>23060</v>
      </c>
      <c r="D5617" t="s">
        <v>9473</v>
      </c>
      <c r="E5617" t="s">
        <v>9474</v>
      </c>
      <c r="J5617" t="s">
        <v>54</v>
      </c>
      <c r="K5617" t="s">
        <v>55</v>
      </c>
      <c r="L5617">
        <v>6</v>
      </c>
      <c r="M5617" t="s">
        <v>23061</v>
      </c>
      <c r="N5617" t="s">
        <v>47</v>
      </c>
      <c r="O5617" t="s">
        <v>9477</v>
      </c>
      <c r="P5617" t="s">
        <v>9477</v>
      </c>
      <c r="Y5617" t="s">
        <v>23062</v>
      </c>
    </row>
    <row r="5618" spans="1:25">
      <c r="A5618" t="s">
        <v>23063</v>
      </c>
      <c r="B5618" t="s">
        <v>23064</v>
      </c>
      <c r="D5618" t="s">
        <v>9473</v>
      </c>
      <c r="E5618" t="s">
        <v>9474</v>
      </c>
      <c r="H5618" t="s">
        <v>23065</v>
      </c>
      <c r="J5618" t="s">
        <v>54</v>
      </c>
      <c r="K5618" t="s">
        <v>55</v>
      </c>
      <c r="L5618">
        <v>6</v>
      </c>
      <c r="M5618" t="s">
        <v>23061</v>
      </c>
      <c r="N5618" t="s">
        <v>47</v>
      </c>
      <c r="O5618" t="s">
        <v>9477</v>
      </c>
      <c r="P5618" t="s">
        <v>9477</v>
      </c>
      <c r="Y5618" t="s">
        <v>23065</v>
      </c>
    </row>
    <row r="5619" spans="1:25">
      <c r="A5619" t="s">
        <v>23066</v>
      </c>
      <c r="B5619" t="s">
        <v>23067</v>
      </c>
      <c r="D5619" t="s">
        <v>9473</v>
      </c>
      <c r="E5619" t="s">
        <v>9474</v>
      </c>
      <c r="H5619" t="s">
        <v>23068</v>
      </c>
      <c r="J5619" t="s">
        <v>44</v>
      </c>
      <c r="K5619" t="s">
        <v>45</v>
      </c>
      <c r="L5619">
        <v>6</v>
      </c>
      <c r="M5619" t="s">
        <v>23061</v>
      </c>
      <c r="N5619" t="s">
        <v>47</v>
      </c>
      <c r="O5619" t="s">
        <v>9477</v>
      </c>
      <c r="P5619" t="s">
        <v>9477</v>
      </c>
      <c r="Y5619" t="s">
        <v>23068</v>
      </c>
    </row>
    <row r="5620" spans="1:25">
      <c r="A5620" t="s">
        <v>23069</v>
      </c>
      <c r="B5620" t="s">
        <v>23070</v>
      </c>
      <c r="D5620" t="s">
        <v>9473</v>
      </c>
      <c r="E5620" t="s">
        <v>9474</v>
      </c>
      <c r="J5620" t="s">
        <v>44</v>
      </c>
      <c r="K5620" t="s">
        <v>45</v>
      </c>
      <c r="L5620">
        <v>6</v>
      </c>
      <c r="M5620" t="s">
        <v>23071</v>
      </c>
      <c r="N5620" t="s">
        <v>47</v>
      </c>
      <c r="O5620" t="s">
        <v>9477</v>
      </c>
      <c r="P5620" t="s">
        <v>9477</v>
      </c>
      <c r="Y5620" t="s">
        <v>23072</v>
      </c>
    </row>
    <row r="5621" spans="1:25">
      <c r="A5621" t="s">
        <v>23073</v>
      </c>
      <c r="B5621" t="s">
        <v>23074</v>
      </c>
      <c r="D5621" t="s">
        <v>9473</v>
      </c>
      <c r="E5621" t="s">
        <v>9474</v>
      </c>
      <c r="J5621" t="s">
        <v>90</v>
      </c>
      <c r="K5621" t="s">
        <v>91</v>
      </c>
      <c r="L5621">
        <v>6</v>
      </c>
      <c r="M5621" t="s">
        <v>23075</v>
      </c>
      <c r="N5621" t="s">
        <v>47</v>
      </c>
      <c r="O5621" t="s">
        <v>9477</v>
      </c>
      <c r="P5621" t="s">
        <v>9477</v>
      </c>
      <c r="Y5621" t="s">
        <v>23076</v>
      </c>
    </row>
    <row r="5622" spans="1:25">
      <c r="A5622" t="s">
        <v>23077</v>
      </c>
      <c r="B5622" t="s">
        <v>23078</v>
      </c>
      <c r="D5622" t="s">
        <v>9473</v>
      </c>
      <c r="E5622" t="s">
        <v>9474</v>
      </c>
      <c r="J5622" t="s">
        <v>78</v>
      </c>
      <c r="K5622" t="s">
        <v>79</v>
      </c>
      <c r="L5622">
        <v>6</v>
      </c>
      <c r="M5622" t="s">
        <v>23079</v>
      </c>
      <c r="N5622" t="s">
        <v>47</v>
      </c>
      <c r="O5622" t="s">
        <v>9477</v>
      </c>
      <c r="P5622" t="s">
        <v>9477</v>
      </c>
      <c r="Y5622" t="s">
        <v>23080</v>
      </c>
    </row>
    <row r="5623" spans="1:25">
      <c r="A5623" t="s">
        <v>23081</v>
      </c>
      <c r="B5623" t="s">
        <v>23082</v>
      </c>
      <c r="D5623" t="s">
        <v>9473</v>
      </c>
      <c r="E5623" t="s">
        <v>9474</v>
      </c>
      <c r="J5623" t="s">
        <v>90</v>
      </c>
      <c r="K5623" t="s">
        <v>91</v>
      </c>
      <c r="L5623">
        <v>6</v>
      </c>
      <c r="M5623" t="s">
        <v>23083</v>
      </c>
      <c r="N5623" t="s">
        <v>47</v>
      </c>
      <c r="O5623" t="s">
        <v>9477</v>
      </c>
      <c r="P5623" t="s">
        <v>9477</v>
      </c>
      <c r="Y5623" t="s">
        <v>23084</v>
      </c>
    </row>
    <row r="5624" spans="1:25">
      <c r="A5624" t="s">
        <v>23085</v>
      </c>
      <c r="B5624" t="s">
        <v>23086</v>
      </c>
      <c r="D5624" t="s">
        <v>9473</v>
      </c>
      <c r="E5624" t="s">
        <v>9474</v>
      </c>
      <c r="H5624" t="s">
        <v>23087</v>
      </c>
      <c r="J5624" t="s">
        <v>90</v>
      </c>
      <c r="K5624" t="s">
        <v>91</v>
      </c>
      <c r="L5624">
        <v>6</v>
      </c>
      <c r="M5624" t="s">
        <v>23083</v>
      </c>
      <c r="N5624" t="s">
        <v>47</v>
      </c>
      <c r="O5624" t="s">
        <v>9477</v>
      </c>
      <c r="P5624" t="s">
        <v>9477</v>
      </c>
      <c r="Y5624" t="s">
        <v>23087</v>
      </c>
    </row>
    <row r="5625" spans="1:25">
      <c r="A5625" t="s">
        <v>23088</v>
      </c>
      <c r="B5625" t="s">
        <v>23089</v>
      </c>
      <c r="D5625" t="s">
        <v>9473</v>
      </c>
      <c r="E5625" t="s">
        <v>9474</v>
      </c>
      <c r="H5625" t="s">
        <v>23090</v>
      </c>
      <c r="J5625" t="s">
        <v>133</v>
      </c>
      <c r="K5625" t="s">
        <v>134</v>
      </c>
      <c r="L5625">
        <v>6</v>
      </c>
      <c r="M5625" t="s">
        <v>23083</v>
      </c>
      <c r="N5625" t="s">
        <v>290</v>
      </c>
      <c r="O5625" t="s">
        <v>9477</v>
      </c>
      <c r="P5625" t="s">
        <v>9477</v>
      </c>
      <c r="Y5625" t="s">
        <v>23090</v>
      </c>
    </row>
    <row r="5626" spans="1:25">
      <c r="A5626" t="s">
        <v>23091</v>
      </c>
      <c r="B5626" t="s">
        <v>23092</v>
      </c>
      <c r="D5626" t="s">
        <v>9473</v>
      </c>
      <c r="E5626" t="s">
        <v>9474</v>
      </c>
      <c r="J5626" t="s">
        <v>44</v>
      </c>
      <c r="K5626" t="s">
        <v>45</v>
      </c>
      <c r="L5626">
        <v>6</v>
      </c>
      <c r="M5626" t="s">
        <v>23093</v>
      </c>
      <c r="N5626" t="s">
        <v>47</v>
      </c>
      <c r="O5626" t="s">
        <v>9477</v>
      </c>
      <c r="P5626" t="s">
        <v>9477</v>
      </c>
      <c r="Y5626" t="s">
        <v>23094</v>
      </c>
    </row>
    <row r="5627" spans="1:25">
      <c r="A5627" t="s">
        <v>23095</v>
      </c>
      <c r="B5627" t="s">
        <v>23096</v>
      </c>
      <c r="D5627" t="s">
        <v>9473</v>
      </c>
      <c r="E5627" t="s">
        <v>9474</v>
      </c>
      <c r="J5627" t="s">
        <v>90</v>
      </c>
      <c r="K5627" t="s">
        <v>91</v>
      </c>
      <c r="L5627">
        <v>6</v>
      </c>
      <c r="M5627" t="s">
        <v>23097</v>
      </c>
      <c r="N5627" t="s">
        <v>47</v>
      </c>
      <c r="O5627" t="s">
        <v>9477</v>
      </c>
      <c r="P5627" t="s">
        <v>9477</v>
      </c>
      <c r="Y5627" t="s">
        <v>23098</v>
      </c>
    </row>
    <row r="5628" spans="1:25">
      <c r="A5628" t="s">
        <v>23099</v>
      </c>
      <c r="B5628" t="s">
        <v>23100</v>
      </c>
      <c r="D5628" t="s">
        <v>9473</v>
      </c>
      <c r="E5628" t="s">
        <v>9474</v>
      </c>
      <c r="J5628" t="s">
        <v>90</v>
      </c>
      <c r="K5628" t="s">
        <v>91</v>
      </c>
      <c r="L5628">
        <v>6</v>
      </c>
      <c r="M5628" t="s">
        <v>23101</v>
      </c>
      <c r="N5628" t="s">
        <v>47</v>
      </c>
      <c r="O5628" t="s">
        <v>9477</v>
      </c>
      <c r="P5628" t="s">
        <v>9477</v>
      </c>
      <c r="Y5628" t="s">
        <v>23102</v>
      </c>
    </row>
    <row r="5629" spans="1:25">
      <c r="A5629" t="s">
        <v>23103</v>
      </c>
      <c r="B5629" t="s">
        <v>23104</v>
      </c>
      <c r="D5629" t="s">
        <v>9473</v>
      </c>
      <c r="E5629" t="s">
        <v>9474</v>
      </c>
      <c r="J5629" t="s">
        <v>44</v>
      </c>
      <c r="K5629" t="s">
        <v>45</v>
      </c>
      <c r="L5629">
        <v>6</v>
      </c>
      <c r="M5629" t="s">
        <v>23105</v>
      </c>
      <c r="N5629" t="s">
        <v>47</v>
      </c>
      <c r="O5629" t="s">
        <v>9477</v>
      </c>
      <c r="P5629" t="s">
        <v>9477</v>
      </c>
      <c r="Y5629" t="s">
        <v>23106</v>
      </c>
    </row>
    <row r="5630" spans="1:25">
      <c r="A5630" t="s">
        <v>23107</v>
      </c>
      <c r="B5630" t="s">
        <v>23108</v>
      </c>
      <c r="D5630" t="s">
        <v>9473</v>
      </c>
      <c r="E5630" t="s">
        <v>9474</v>
      </c>
      <c r="J5630" t="s">
        <v>133</v>
      </c>
      <c r="K5630" t="s">
        <v>134</v>
      </c>
      <c r="L5630">
        <v>6</v>
      </c>
      <c r="M5630" t="s">
        <v>23109</v>
      </c>
      <c r="N5630" t="s">
        <v>135</v>
      </c>
      <c r="O5630" t="s">
        <v>9477</v>
      </c>
      <c r="P5630" t="s">
        <v>9477</v>
      </c>
      <c r="Y5630" t="s">
        <v>23110</v>
      </c>
    </row>
    <row r="5631" spans="1:25">
      <c r="A5631" t="s">
        <v>23111</v>
      </c>
      <c r="B5631" t="s">
        <v>23112</v>
      </c>
      <c r="D5631" t="s">
        <v>9473</v>
      </c>
      <c r="E5631" t="s">
        <v>9474</v>
      </c>
      <c r="J5631" t="s">
        <v>90</v>
      </c>
      <c r="K5631" t="s">
        <v>91</v>
      </c>
      <c r="L5631">
        <v>6</v>
      </c>
      <c r="M5631" t="s">
        <v>23109</v>
      </c>
      <c r="N5631" t="s">
        <v>47</v>
      </c>
      <c r="O5631" t="s">
        <v>9477</v>
      </c>
      <c r="P5631" t="s">
        <v>9477</v>
      </c>
      <c r="Y5631" t="s">
        <v>23113</v>
      </c>
    </row>
    <row r="5632" spans="1:25">
      <c r="A5632" t="s">
        <v>23114</v>
      </c>
      <c r="B5632" t="s">
        <v>23115</v>
      </c>
      <c r="D5632" t="s">
        <v>9473</v>
      </c>
      <c r="E5632" t="s">
        <v>9474</v>
      </c>
      <c r="H5632" t="s">
        <v>23116</v>
      </c>
      <c r="J5632" t="s">
        <v>371</v>
      </c>
      <c r="K5632" t="s">
        <v>372</v>
      </c>
      <c r="L5632">
        <v>6</v>
      </c>
      <c r="M5632" t="s">
        <v>23109</v>
      </c>
      <c r="N5632" t="s">
        <v>47</v>
      </c>
      <c r="O5632" t="s">
        <v>9477</v>
      </c>
      <c r="P5632" t="s">
        <v>9477</v>
      </c>
      <c r="Y5632" t="s">
        <v>23116</v>
      </c>
    </row>
    <row r="5633" spans="1:25">
      <c r="A5633" t="s">
        <v>23117</v>
      </c>
      <c r="B5633" t="s">
        <v>23118</v>
      </c>
      <c r="D5633" t="s">
        <v>9473</v>
      </c>
      <c r="E5633" t="s">
        <v>9474</v>
      </c>
      <c r="H5633" t="s">
        <v>23119</v>
      </c>
      <c r="J5633" t="s">
        <v>234</v>
      </c>
      <c r="K5633" t="s">
        <v>235</v>
      </c>
      <c r="L5633">
        <v>6</v>
      </c>
      <c r="M5633" t="s">
        <v>23120</v>
      </c>
      <c r="N5633" t="s">
        <v>47</v>
      </c>
      <c r="O5633" t="s">
        <v>9477</v>
      </c>
      <c r="P5633" t="s">
        <v>9477</v>
      </c>
      <c r="Y5633" t="s">
        <v>23119</v>
      </c>
    </row>
    <row r="5634" spans="1:25">
      <c r="A5634" t="s">
        <v>23121</v>
      </c>
      <c r="B5634" t="s">
        <v>23122</v>
      </c>
      <c r="D5634" t="s">
        <v>9473</v>
      </c>
      <c r="E5634" t="s">
        <v>9474</v>
      </c>
      <c r="H5634" t="s">
        <v>23123</v>
      </c>
      <c r="J5634" t="s">
        <v>78</v>
      </c>
      <c r="K5634" t="s">
        <v>79</v>
      </c>
      <c r="L5634">
        <v>6</v>
      </c>
      <c r="M5634" t="s">
        <v>23124</v>
      </c>
      <c r="N5634" t="s">
        <v>47</v>
      </c>
      <c r="O5634" t="s">
        <v>9477</v>
      </c>
      <c r="P5634" t="s">
        <v>9477</v>
      </c>
      <c r="Y5634" t="s">
        <v>23123</v>
      </c>
    </row>
    <row r="5635" spans="1:25">
      <c r="A5635" t="s">
        <v>23125</v>
      </c>
      <c r="B5635" t="s">
        <v>23126</v>
      </c>
      <c r="D5635" t="s">
        <v>9473</v>
      </c>
      <c r="E5635" t="s">
        <v>9474</v>
      </c>
      <c r="J5635" t="s">
        <v>90</v>
      </c>
      <c r="K5635" t="s">
        <v>91</v>
      </c>
      <c r="L5635">
        <v>6</v>
      </c>
      <c r="M5635" t="s">
        <v>23127</v>
      </c>
      <c r="N5635" t="s">
        <v>47</v>
      </c>
      <c r="O5635" t="s">
        <v>9477</v>
      </c>
      <c r="P5635" t="s">
        <v>9477</v>
      </c>
      <c r="Y5635" t="s">
        <v>23128</v>
      </c>
    </row>
    <row r="5636" spans="1:25">
      <c r="A5636" t="s">
        <v>23129</v>
      </c>
      <c r="B5636" t="s">
        <v>23130</v>
      </c>
      <c r="D5636" t="s">
        <v>9473</v>
      </c>
      <c r="E5636" t="s">
        <v>9474</v>
      </c>
      <c r="J5636" t="s">
        <v>90</v>
      </c>
      <c r="K5636" t="s">
        <v>91</v>
      </c>
      <c r="L5636">
        <v>6</v>
      </c>
      <c r="M5636" t="s">
        <v>23131</v>
      </c>
      <c r="N5636" t="s">
        <v>47</v>
      </c>
      <c r="O5636" t="s">
        <v>9477</v>
      </c>
      <c r="P5636" t="s">
        <v>9477</v>
      </c>
      <c r="Y5636" t="s">
        <v>23132</v>
      </c>
    </row>
    <row r="5637" spans="1:25">
      <c r="A5637" t="s">
        <v>23133</v>
      </c>
      <c r="B5637" t="s">
        <v>23134</v>
      </c>
      <c r="D5637" t="s">
        <v>9473</v>
      </c>
      <c r="E5637" t="s">
        <v>9474</v>
      </c>
      <c r="J5637" t="s">
        <v>90</v>
      </c>
      <c r="K5637" t="s">
        <v>91</v>
      </c>
      <c r="L5637">
        <v>6</v>
      </c>
      <c r="M5637" t="s">
        <v>23131</v>
      </c>
      <c r="N5637" t="s">
        <v>47</v>
      </c>
      <c r="O5637" t="s">
        <v>9477</v>
      </c>
      <c r="P5637" t="s">
        <v>9477</v>
      </c>
      <c r="Y5637" t="s">
        <v>23135</v>
      </c>
    </row>
    <row r="5638" spans="1:25">
      <c r="A5638" t="s">
        <v>23136</v>
      </c>
      <c r="B5638" t="s">
        <v>23137</v>
      </c>
      <c r="D5638" t="s">
        <v>9473</v>
      </c>
      <c r="E5638" t="s">
        <v>9474</v>
      </c>
      <c r="J5638" t="s">
        <v>90</v>
      </c>
      <c r="K5638" t="s">
        <v>91</v>
      </c>
      <c r="L5638">
        <v>6</v>
      </c>
      <c r="M5638" t="s">
        <v>23131</v>
      </c>
      <c r="N5638" t="s">
        <v>47</v>
      </c>
      <c r="O5638" t="s">
        <v>9477</v>
      </c>
      <c r="P5638" t="s">
        <v>9477</v>
      </c>
      <c r="Y5638" t="s">
        <v>23138</v>
      </c>
    </row>
    <row r="5639" spans="1:25">
      <c r="A5639" t="s">
        <v>23139</v>
      </c>
      <c r="B5639" t="s">
        <v>23140</v>
      </c>
      <c r="D5639" t="s">
        <v>9473</v>
      </c>
      <c r="E5639" t="s">
        <v>9474</v>
      </c>
      <c r="J5639" t="s">
        <v>133</v>
      </c>
      <c r="K5639" t="s">
        <v>134</v>
      </c>
      <c r="L5639">
        <v>6</v>
      </c>
      <c r="M5639" t="s">
        <v>23131</v>
      </c>
      <c r="N5639" t="s">
        <v>135</v>
      </c>
      <c r="O5639" t="s">
        <v>9477</v>
      </c>
      <c r="P5639" t="s">
        <v>9477</v>
      </c>
      <c r="Y5639" t="s">
        <v>23141</v>
      </c>
    </row>
    <row r="5640" spans="1:25">
      <c r="A5640" t="s">
        <v>23142</v>
      </c>
      <c r="B5640" t="s">
        <v>23143</v>
      </c>
      <c r="D5640" t="s">
        <v>9473</v>
      </c>
      <c r="E5640" t="s">
        <v>9474</v>
      </c>
      <c r="J5640" t="s">
        <v>90</v>
      </c>
      <c r="K5640" t="s">
        <v>91</v>
      </c>
      <c r="L5640">
        <v>6</v>
      </c>
      <c r="M5640" t="s">
        <v>23144</v>
      </c>
      <c r="N5640" t="s">
        <v>47</v>
      </c>
      <c r="O5640" t="s">
        <v>9477</v>
      </c>
      <c r="P5640" t="s">
        <v>9477</v>
      </c>
      <c r="Y5640" t="s">
        <v>23145</v>
      </c>
    </row>
    <row r="5641" spans="1:25">
      <c r="A5641" t="s">
        <v>23146</v>
      </c>
      <c r="B5641" t="s">
        <v>23147</v>
      </c>
      <c r="D5641" t="s">
        <v>9473</v>
      </c>
      <c r="E5641" t="s">
        <v>9474</v>
      </c>
      <c r="J5641" t="s">
        <v>78</v>
      </c>
      <c r="K5641" t="s">
        <v>79</v>
      </c>
      <c r="L5641">
        <v>6</v>
      </c>
      <c r="M5641" t="s">
        <v>23148</v>
      </c>
      <c r="N5641" t="s">
        <v>47</v>
      </c>
      <c r="O5641" t="s">
        <v>9477</v>
      </c>
      <c r="P5641" t="s">
        <v>9477</v>
      </c>
      <c r="Y5641" t="s">
        <v>23149</v>
      </c>
    </row>
    <row r="5642" spans="1:25">
      <c r="A5642" t="s">
        <v>23150</v>
      </c>
      <c r="B5642" t="s">
        <v>23151</v>
      </c>
      <c r="D5642" t="s">
        <v>9473</v>
      </c>
      <c r="E5642" t="s">
        <v>9474</v>
      </c>
      <c r="J5642" t="s">
        <v>497</v>
      </c>
      <c r="K5642" t="s">
        <v>498</v>
      </c>
      <c r="L5642">
        <v>6</v>
      </c>
      <c r="M5642" t="s">
        <v>23152</v>
      </c>
      <c r="N5642" t="s">
        <v>685</v>
      </c>
      <c r="O5642" t="s">
        <v>9477</v>
      </c>
      <c r="P5642" t="s">
        <v>9477</v>
      </c>
      <c r="Y5642" t="s">
        <v>23153</v>
      </c>
    </row>
    <row r="5643" spans="1:25">
      <c r="A5643" t="s">
        <v>23154</v>
      </c>
      <c r="B5643" t="s">
        <v>23155</v>
      </c>
      <c r="D5643" t="s">
        <v>9473</v>
      </c>
      <c r="E5643" t="s">
        <v>9474</v>
      </c>
      <c r="J5643" t="s">
        <v>54</v>
      </c>
      <c r="K5643" t="s">
        <v>55</v>
      </c>
      <c r="L5643">
        <v>6</v>
      </c>
      <c r="M5643" t="s">
        <v>23156</v>
      </c>
      <c r="N5643" t="s">
        <v>47</v>
      </c>
      <c r="O5643" t="s">
        <v>9477</v>
      </c>
      <c r="P5643" t="s">
        <v>9477</v>
      </c>
      <c r="Y5643" t="s">
        <v>23157</v>
      </c>
    </row>
    <row r="5644" spans="1:25">
      <c r="A5644" t="s">
        <v>23158</v>
      </c>
      <c r="B5644" t="s">
        <v>23159</v>
      </c>
      <c r="D5644" t="s">
        <v>9473</v>
      </c>
      <c r="E5644" t="s">
        <v>9474</v>
      </c>
      <c r="J5644" t="s">
        <v>44</v>
      </c>
      <c r="K5644" t="s">
        <v>45</v>
      </c>
      <c r="L5644">
        <v>6</v>
      </c>
      <c r="M5644" t="s">
        <v>23156</v>
      </c>
      <c r="N5644" t="s">
        <v>47</v>
      </c>
      <c r="O5644" t="s">
        <v>9477</v>
      </c>
      <c r="P5644" t="s">
        <v>9477</v>
      </c>
      <c r="Y5644" t="s">
        <v>23160</v>
      </c>
    </row>
    <row r="5645" spans="1:25">
      <c r="A5645" t="s">
        <v>23161</v>
      </c>
      <c r="B5645" t="s">
        <v>23162</v>
      </c>
      <c r="D5645" t="s">
        <v>9473</v>
      </c>
      <c r="E5645" t="s">
        <v>9474</v>
      </c>
      <c r="J5645" t="s">
        <v>44</v>
      </c>
      <c r="K5645" t="s">
        <v>45</v>
      </c>
      <c r="L5645">
        <v>6</v>
      </c>
      <c r="M5645" t="s">
        <v>23163</v>
      </c>
      <c r="N5645" t="s">
        <v>47</v>
      </c>
      <c r="O5645" t="s">
        <v>9477</v>
      </c>
      <c r="P5645" t="s">
        <v>9477</v>
      </c>
      <c r="Y5645" t="s">
        <v>23164</v>
      </c>
    </row>
    <row r="5646" spans="1:25">
      <c r="A5646" t="s">
        <v>23165</v>
      </c>
      <c r="B5646" t="s">
        <v>23166</v>
      </c>
      <c r="D5646" t="s">
        <v>9473</v>
      </c>
      <c r="E5646" t="s">
        <v>9474</v>
      </c>
      <c r="J5646" t="s">
        <v>90</v>
      </c>
      <c r="K5646" t="s">
        <v>91</v>
      </c>
      <c r="L5646">
        <v>6</v>
      </c>
      <c r="M5646" t="s">
        <v>23163</v>
      </c>
      <c r="N5646" t="s">
        <v>47</v>
      </c>
      <c r="O5646" t="s">
        <v>9477</v>
      </c>
      <c r="P5646" t="s">
        <v>9477</v>
      </c>
      <c r="Y5646" t="s">
        <v>23167</v>
      </c>
    </row>
    <row r="5647" spans="1:25">
      <c r="A5647" t="s">
        <v>23168</v>
      </c>
      <c r="B5647" t="s">
        <v>23169</v>
      </c>
      <c r="D5647" t="s">
        <v>9473</v>
      </c>
      <c r="E5647" t="s">
        <v>9474</v>
      </c>
      <c r="J5647" t="s">
        <v>44</v>
      </c>
      <c r="K5647" t="s">
        <v>45</v>
      </c>
      <c r="L5647">
        <v>6</v>
      </c>
      <c r="M5647" t="s">
        <v>23170</v>
      </c>
      <c r="N5647" t="s">
        <v>47</v>
      </c>
      <c r="O5647" t="s">
        <v>9477</v>
      </c>
      <c r="P5647" t="s">
        <v>9477</v>
      </c>
      <c r="Y5647" t="s">
        <v>23171</v>
      </c>
    </row>
    <row r="5648" spans="1:25">
      <c r="A5648" t="s">
        <v>23172</v>
      </c>
      <c r="B5648" t="s">
        <v>23173</v>
      </c>
      <c r="D5648" t="s">
        <v>9473</v>
      </c>
      <c r="E5648" t="s">
        <v>9474</v>
      </c>
      <c r="J5648" t="s">
        <v>44</v>
      </c>
      <c r="K5648" t="s">
        <v>45</v>
      </c>
      <c r="L5648">
        <v>6</v>
      </c>
      <c r="M5648" t="s">
        <v>23174</v>
      </c>
      <c r="N5648" t="s">
        <v>47</v>
      </c>
      <c r="O5648" t="s">
        <v>9477</v>
      </c>
      <c r="P5648" t="s">
        <v>9477</v>
      </c>
      <c r="Y5648" t="s">
        <v>23175</v>
      </c>
    </row>
    <row r="5649" spans="1:25">
      <c r="A5649" t="s">
        <v>23176</v>
      </c>
      <c r="B5649" t="s">
        <v>23177</v>
      </c>
      <c r="D5649" t="s">
        <v>9473</v>
      </c>
      <c r="E5649" t="s">
        <v>9474</v>
      </c>
      <c r="J5649" t="s">
        <v>90</v>
      </c>
      <c r="K5649" t="s">
        <v>91</v>
      </c>
      <c r="L5649">
        <v>6</v>
      </c>
      <c r="M5649" t="s">
        <v>23178</v>
      </c>
      <c r="N5649" t="s">
        <v>47</v>
      </c>
      <c r="O5649" t="s">
        <v>9477</v>
      </c>
      <c r="P5649" t="s">
        <v>9477</v>
      </c>
      <c r="Y5649" t="s">
        <v>23179</v>
      </c>
    </row>
    <row r="5650" spans="1:25">
      <c r="A5650" t="s">
        <v>23180</v>
      </c>
      <c r="B5650" t="s">
        <v>23181</v>
      </c>
      <c r="D5650" t="s">
        <v>9473</v>
      </c>
      <c r="E5650" t="s">
        <v>9474</v>
      </c>
      <c r="J5650" t="s">
        <v>371</v>
      </c>
      <c r="K5650" t="s">
        <v>372</v>
      </c>
      <c r="L5650">
        <v>6</v>
      </c>
      <c r="M5650" t="s">
        <v>23178</v>
      </c>
      <c r="N5650" t="s">
        <v>47</v>
      </c>
      <c r="O5650" t="s">
        <v>9477</v>
      </c>
      <c r="P5650" t="s">
        <v>9477</v>
      </c>
      <c r="Y5650" t="s">
        <v>23182</v>
      </c>
    </row>
    <row r="5651" spans="1:25">
      <c r="A5651" t="s">
        <v>23183</v>
      </c>
      <c r="B5651" t="s">
        <v>23184</v>
      </c>
      <c r="D5651" t="s">
        <v>9473</v>
      </c>
      <c r="E5651" t="s">
        <v>9474</v>
      </c>
      <c r="J5651" t="s">
        <v>90</v>
      </c>
      <c r="K5651" t="s">
        <v>91</v>
      </c>
      <c r="L5651">
        <v>6</v>
      </c>
      <c r="M5651" t="s">
        <v>23185</v>
      </c>
      <c r="N5651" t="s">
        <v>47</v>
      </c>
      <c r="O5651" t="s">
        <v>9477</v>
      </c>
      <c r="P5651" t="s">
        <v>9477</v>
      </c>
      <c r="Y5651" t="s">
        <v>23186</v>
      </c>
    </row>
    <row r="5652" spans="1:25">
      <c r="A5652" t="s">
        <v>23187</v>
      </c>
      <c r="B5652" t="s">
        <v>23188</v>
      </c>
      <c r="D5652" t="s">
        <v>9473</v>
      </c>
      <c r="E5652" t="s">
        <v>9474</v>
      </c>
      <c r="J5652" t="s">
        <v>133</v>
      </c>
      <c r="K5652" t="s">
        <v>134</v>
      </c>
      <c r="L5652">
        <v>6</v>
      </c>
      <c r="M5652" t="s">
        <v>23189</v>
      </c>
      <c r="N5652" t="s">
        <v>290</v>
      </c>
      <c r="O5652" t="s">
        <v>9477</v>
      </c>
      <c r="P5652" t="s">
        <v>9477</v>
      </c>
      <c r="Y5652" t="s">
        <v>23190</v>
      </c>
    </row>
    <row r="5653" spans="1:25">
      <c r="A5653" t="s">
        <v>23191</v>
      </c>
      <c r="B5653" t="s">
        <v>23192</v>
      </c>
      <c r="D5653" t="s">
        <v>9473</v>
      </c>
      <c r="E5653" t="s">
        <v>9474</v>
      </c>
      <c r="J5653" t="s">
        <v>44</v>
      </c>
      <c r="K5653" t="s">
        <v>45</v>
      </c>
      <c r="L5653">
        <v>6</v>
      </c>
      <c r="M5653" t="s">
        <v>23193</v>
      </c>
      <c r="N5653" t="s">
        <v>47</v>
      </c>
      <c r="O5653" t="s">
        <v>9477</v>
      </c>
      <c r="P5653" t="s">
        <v>9477</v>
      </c>
      <c r="Y5653" t="s">
        <v>23194</v>
      </c>
    </row>
    <row r="5654" spans="1:25">
      <c r="A5654" t="s">
        <v>23195</v>
      </c>
      <c r="B5654" t="s">
        <v>23196</v>
      </c>
      <c r="D5654" t="s">
        <v>9473</v>
      </c>
      <c r="E5654" t="s">
        <v>9474</v>
      </c>
      <c r="J5654" t="s">
        <v>371</v>
      </c>
      <c r="K5654" t="s">
        <v>372</v>
      </c>
      <c r="L5654">
        <v>6</v>
      </c>
      <c r="M5654" t="s">
        <v>23197</v>
      </c>
      <c r="N5654" t="s">
        <v>47</v>
      </c>
      <c r="O5654" t="s">
        <v>9477</v>
      </c>
      <c r="P5654" t="s">
        <v>9477</v>
      </c>
      <c r="Y5654" t="s">
        <v>23198</v>
      </c>
    </row>
    <row r="5655" spans="1:25">
      <c r="A5655" t="s">
        <v>23199</v>
      </c>
      <c r="B5655" t="s">
        <v>23200</v>
      </c>
      <c r="D5655" t="s">
        <v>9473</v>
      </c>
      <c r="E5655" t="s">
        <v>9474</v>
      </c>
      <c r="J5655" t="s">
        <v>90</v>
      </c>
      <c r="K5655" t="s">
        <v>91</v>
      </c>
      <c r="L5655">
        <v>6</v>
      </c>
      <c r="M5655" t="s">
        <v>23201</v>
      </c>
      <c r="N5655" t="s">
        <v>47</v>
      </c>
      <c r="O5655" t="s">
        <v>9477</v>
      </c>
      <c r="P5655" t="s">
        <v>9477</v>
      </c>
      <c r="Y5655" t="s">
        <v>23202</v>
      </c>
    </row>
    <row r="5656" spans="1:25">
      <c r="A5656" t="s">
        <v>23203</v>
      </c>
      <c r="B5656" t="s">
        <v>23204</v>
      </c>
      <c r="D5656" t="s">
        <v>9473</v>
      </c>
      <c r="E5656" t="s">
        <v>9474</v>
      </c>
      <c r="J5656" t="s">
        <v>371</v>
      </c>
      <c r="K5656" t="s">
        <v>372</v>
      </c>
      <c r="L5656">
        <v>6</v>
      </c>
      <c r="M5656" t="s">
        <v>23201</v>
      </c>
      <c r="N5656" t="s">
        <v>47</v>
      </c>
      <c r="O5656" t="s">
        <v>9477</v>
      </c>
      <c r="P5656" t="s">
        <v>9477</v>
      </c>
      <c r="Y5656" t="s">
        <v>23205</v>
      </c>
    </row>
    <row r="5657" spans="1:25">
      <c r="A5657" t="s">
        <v>23206</v>
      </c>
      <c r="B5657" t="s">
        <v>23207</v>
      </c>
      <c r="D5657" t="s">
        <v>9473</v>
      </c>
      <c r="E5657" t="s">
        <v>9474</v>
      </c>
      <c r="H5657" t="s">
        <v>23208</v>
      </c>
      <c r="J5657" t="s">
        <v>497</v>
      </c>
      <c r="K5657" t="s">
        <v>498</v>
      </c>
      <c r="L5657">
        <v>12</v>
      </c>
      <c r="M5657" t="s">
        <v>23209</v>
      </c>
      <c r="N5657" t="s">
        <v>685</v>
      </c>
      <c r="O5657" t="s">
        <v>9477</v>
      </c>
      <c r="P5657" t="s">
        <v>9477</v>
      </c>
      <c r="Y5657" t="s">
        <v>23208</v>
      </c>
    </row>
    <row r="5658" spans="1:25">
      <c r="A5658" t="s">
        <v>23210</v>
      </c>
      <c r="B5658" t="s">
        <v>23211</v>
      </c>
      <c r="D5658" t="s">
        <v>9473</v>
      </c>
      <c r="E5658" t="s">
        <v>9474</v>
      </c>
      <c r="J5658" t="s">
        <v>90</v>
      </c>
      <c r="K5658" t="s">
        <v>91</v>
      </c>
      <c r="L5658">
        <v>6</v>
      </c>
      <c r="M5658" t="s">
        <v>23212</v>
      </c>
      <c r="N5658" t="s">
        <v>47</v>
      </c>
      <c r="O5658" t="s">
        <v>9477</v>
      </c>
      <c r="P5658" t="s">
        <v>9477</v>
      </c>
      <c r="Y5658" t="s">
        <v>23213</v>
      </c>
    </row>
    <row r="5659" spans="1:25">
      <c r="A5659" t="s">
        <v>23214</v>
      </c>
      <c r="B5659" t="s">
        <v>23215</v>
      </c>
      <c r="D5659" t="s">
        <v>9473</v>
      </c>
      <c r="E5659" t="s">
        <v>9474</v>
      </c>
      <c r="J5659" t="s">
        <v>78</v>
      </c>
      <c r="K5659" t="s">
        <v>79</v>
      </c>
      <c r="L5659">
        <v>6</v>
      </c>
      <c r="M5659" t="s">
        <v>23212</v>
      </c>
      <c r="N5659" t="s">
        <v>47</v>
      </c>
      <c r="O5659" t="s">
        <v>9477</v>
      </c>
      <c r="P5659" t="s">
        <v>9477</v>
      </c>
      <c r="Y5659" t="s">
        <v>23216</v>
      </c>
    </row>
    <row r="5660" spans="1:25">
      <c r="A5660" t="s">
        <v>23217</v>
      </c>
      <c r="B5660" t="s">
        <v>23218</v>
      </c>
      <c r="D5660" t="s">
        <v>9473</v>
      </c>
      <c r="E5660" t="s">
        <v>9474</v>
      </c>
      <c r="J5660" t="s">
        <v>54</v>
      </c>
      <c r="K5660" t="s">
        <v>55</v>
      </c>
      <c r="L5660">
        <v>6</v>
      </c>
      <c r="M5660" t="s">
        <v>23212</v>
      </c>
      <c r="N5660" t="s">
        <v>47</v>
      </c>
      <c r="O5660" t="s">
        <v>9477</v>
      </c>
      <c r="P5660" t="s">
        <v>9477</v>
      </c>
      <c r="Y5660" t="s">
        <v>23219</v>
      </c>
    </row>
    <row r="5661" spans="1:25">
      <c r="A5661" t="s">
        <v>23220</v>
      </c>
      <c r="B5661" t="s">
        <v>23221</v>
      </c>
      <c r="D5661" t="s">
        <v>9473</v>
      </c>
      <c r="E5661" t="s">
        <v>9474</v>
      </c>
      <c r="J5661" t="s">
        <v>90</v>
      </c>
      <c r="K5661" t="s">
        <v>91</v>
      </c>
      <c r="L5661">
        <v>6</v>
      </c>
      <c r="M5661" t="s">
        <v>23222</v>
      </c>
      <c r="N5661" t="s">
        <v>47</v>
      </c>
      <c r="O5661" t="s">
        <v>9477</v>
      </c>
      <c r="P5661" t="s">
        <v>9477</v>
      </c>
      <c r="Y5661" t="s">
        <v>23223</v>
      </c>
    </row>
    <row r="5662" spans="1:25">
      <c r="A5662" t="s">
        <v>23224</v>
      </c>
      <c r="B5662" t="s">
        <v>23225</v>
      </c>
      <c r="D5662" t="s">
        <v>9473</v>
      </c>
      <c r="E5662" t="s">
        <v>9474</v>
      </c>
      <c r="J5662" t="s">
        <v>133</v>
      </c>
      <c r="K5662" t="s">
        <v>134</v>
      </c>
      <c r="L5662">
        <v>6</v>
      </c>
      <c r="M5662" t="s">
        <v>23226</v>
      </c>
      <c r="N5662" t="s">
        <v>290</v>
      </c>
      <c r="O5662" t="s">
        <v>9477</v>
      </c>
      <c r="P5662" t="s">
        <v>9477</v>
      </c>
      <c r="Y5662" t="s">
        <v>23227</v>
      </c>
    </row>
    <row r="5663" spans="1:25">
      <c r="A5663" t="s">
        <v>23228</v>
      </c>
      <c r="B5663" t="s">
        <v>23229</v>
      </c>
      <c r="D5663" t="s">
        <v>9473</v>
      </c>
      <c r="E5663" t="s">
        <v>9474</v>
      </c>
      <c r="J5663" t="s">
        <v>54</v>
      </c>
      <c r="K5663" t="s">
        <v>55</v>
      </c>
      <c r="L5663">
        <v>6</v>
      </c>
      <c r="M5663" t="s">
        <v>23230</v>
      </c>
      <c r="N5663" t="s">
        <v>47</v>
      </c>
      <c r="O5663" t="s">
        <v>9477</v>
      </c>
      <c r="P5663" t="s">
        <v>9477</v>
      </c>
      <c r="Y5663" t="s">
        <v>23231</v>
      </c>
    </row>
    <row r="5664" spans="1:25">
      <c r="A5664" t="s">
        <v>23232</v>
      </c>
      <c r="B5664" t="s">
        <v>23233</v>
      </c>
      <c r="D5664" t="s">
        <v>9473</v>
      </c>
      <c r="E5664" t="s">
        <v>9474</v>
      </c>
      <c r="J5664" t="s">
        <v>90</v>
      </c>
      <c r="K5664" t="s">
        <v>91</v>
      </c>
      <c r="L5664">
        <v>6</v>
      </c>
      <c r="M5664" t="s">
        <v>23234</v>
      </c>
      <c r="N5664" t="s">
        <v>47</v>
      </c>
      <c r="O5664" t="s">
        <v>9477</v>
      </c>
      <c r="P5664" t="s">
        <v>9477</v>
      </c>
      <c r="Y5664" t="s">
        <v>23235</v>
      </c>
    </row>
    <row r="5665" spans="1:25">
      <c r="A5665" t="s">
        <v>23236</v>
      </c>
      <c r="B5665" t="s">
        <v>23237</v>
      </c>
      <c r="D5665" t="s">
        <v>9473</v>
      </c>
      <c r="E5665" t="s">
        <v>9474</v>
      </c>
      <c r="H5665" t="s">
        <v>23238</v>
      </c>
      <c r="J5665" t="s">
        <v>78</v>
      </c>
      <c r="K5665" t="s">
        <v>79</v>
      </c>
      <c r="L5665">
        <v>6</v>
      </c>
      <c r="M5665" t="s">
        <v>23234</v>
      </c>
      <c r="N5665" t="s">
        <v>47</v>
      </c>
      <c r="O5665" t="s">
        <v>9477</v>
      </c>
      <c r="P5665" t="s">
        <v>9477</v>
      </c>
      <c r="Y5665" t="s">
        <v>23238</v>
      </c>
    </row>
    <row r="5666" spans="1:25">
      <c r="A5666" t="s">
        <v>23239</v>
      </c>
      <c r="B5666" t="s">
        <v>23240</v>
      </c>
      <c r="D5666" t="s">
        <v>9473</v>
      </c>
      <c r="E5666" t="s">
        <v>9474</v>
      </c>
      <c r="H5666" t="s">
        <v>23241</v>
      </c>
      <c r="J5666" t="s">
        <v>6594</v>
      </c>
      <c r="K5666" t="s">
        <v>6595</v>
      </c>
      <c r="L5666">
        <v>7</v>
      </c>
      <c r="M5666" t="s">
        <v>23242</v>
      </c>
      <c r="N5666" t="s">
        <v>685</v>
      </c>
      <c r="O5666" t="s">
        <v>9477</v>
      </c>
      <c r="P5666" t="s">
        <v>9477</v>
      </c>
      <c r="Y5666" t="s">
        <v>23241</v>
      </c>
    </row>
    <row r="5667" spans="1:25">
      <c r="A5667" t="s">
        <v>23243</v>
      </c>
      <c r="B5667" t="s">
        <v>23244</v>
      </c>
      <c r="D5667" t="s">
        <v>9473</v>
      </c>
      <c r="E5667" t="s">
        <v>9474</v>
      </c>
      <c r="J5667" t="s">
        <v>44</v>
      </c>
      <c r="K5667" t="s">
        <v>45</v>
      </c>
      <c r="L5667">
        <v>6</v>
      </c>
      <c r="M5667" t="s">
        <v>23242</v>
      </c>
      <c r="N5667" t="s">
        <v>47</v>
      </c>
      <c r="O5667" t="s">
        <v>9477</v>
      </c>
      <c r="P5667" t="s">
        <v>9477</v>
      </c>
      <c r="Y5667" t="s">
        <v>23245</v>
      </c>
    </row>
    <row r="5668" spans="1:25">
      <c r="A5668" t="s">
        <v>23246</v>
      </c>
      <c r="B5668" t="s">
        <v>23247</v>
      </c>
      <c r="D5668" t="s">
        <v>9473</v>
      </c>
      <c r="E5668" t="s">
        <v>9474</v>
      </c>
      <c r="J5668" t="s">
        <v>54</v>
      </c>
      <c r="K5668" t="s">
        <v>55</v>
      </c>
      <c r="L5668">
        <v>6</v>
      </c>
      <c r="M5668" t="s">
        <v>23242</v>
      </c>
      <c r="N5668" t="s">
        <v>47</v>
      </c>
      <c r="O5668" t="s">
        <v>9477</v>
      </c>
      <c r="P5668" t="s">
        <v>9477</v>
      </c>
      <c r="Y5668" t="s">
        <v>23248</v>
      </c>
    </row>
    <row r="5669" spans="1:25">
      <c r="A5669" t="s">
        <v>23249</v>
      </c>
      <c r="B5669" t="s">
        <v>23250</v>
      </c>
      <c r="D5669" t="s">
        <v>9473</v>
      </c>
      <c r="E5669" t="s">
        <v>9474</v>
      </c>
      <c r="J5669" t="s">
        <v>7250</v>
      </c>
      <c r="K5669" t="s">
        <v>7251</v>
      </c>
      <c r="L5669">
        <v>6</v>
      </c>
      <c r="M5669" t="s">
        <v>23251</v>
      </c>
      <c r="N5669" t="s">
        <v>685</v>
      </c>
      <c r="O5669" t="s">
        <v>9477</v>
      </c>
      <c r="P5669" t="s">
        <v>9477</v>
      </c>
      <c r="Y5669" t="s">
        <v>23252</v>
      </c>
    </row>
    <row r="5670" spans="1:25">
      <c r="A5670" t="s">
        <v>23253</v>
      </c>
      <c r="B5670" t="s">
        <v>23254</v>
      </c>
      <c r="D5670" t="s">
        <v>9473</v>
      </c>
      <c r="E5670" t="s">
        <v>9474</v>
      </c>
      <c r="J5670" t="s">
        <v>90</v>
      </c>
      <c r="K5670" t="s">
        <v>91</v>
      </c>
      <c r="L5670">
        <v>6</v>
      </c>
      <c r="M5670" t="s">
        <v>23255</v>
      </c>
      <c r="N5670" t="s">
        <v>47</v>
      </c>
      <c r="O5670" t="s">
        <v>9477</v>
      </c>
      <c r="P5670" t="s">
        <v>9477</v>
      </c>
      <c r="Y5670" t="s">
        <v>23256</v>
      </c>
    </row>
    <row r="5671" spans="1:25">
      <c r="A5671" t="s">
        <v>23257</v>
      </c>
      <c r="B5671" t="s">
        <v>23258</v>
      </c>
      <c r="D5671" t="s">
        <v>9473</v>
      </c>
      <c r="E5671" t="s">
        <v>9474</v>
      </c>
      <c r="J5671" t="s">
        <v>44</v>
      </c>
      <c r="K5671" t="s">
        <v>45</v>
      </c>
      <c r="L5671">
        <v>6</v>
      </c>
      <c r="M5671" t="s">
        <v>23259</v>
      </c>
      <c r="N5671" t="s">
        <v>47</v>
      </c>
      <c r="O5671" t="s">
        <v>9477</v>
      </c>
      <c r="P5671" t="s">
        <v>9477</v>
      </c>
      <c r="Y5671" t="s">
        <v>23260</v>
      </c>
    </row>
    <row r="5672" spans="1:25">
      <c r="A5672" t="s">
        <v>23261</v>
      </c>
      <c r="B5672" t="s">
        <v>23262</v>
      </c>
      <c r="D5672" t="s">
        <v>9473</v>
      </c>
      <c r="E5672" t="s">
        <v>9474</v>
      </c>
      <c r="J5672" t="s">
        <v>44</v>
      </c>
      <c r="K5672" t="s">
        <v>45</v>
      </c>
      <c r="L5672">
        <v>6</v>
      </c>
      <c r="M5672" t="s">
        <v>23263</v>
      </c>
      <c r="N5672" t="s">
        <v>47</v>
      </c>
      <c r="O5672" t="s">
        <v>9477</v>
      </c>
      <c r="P5672" t="s">
        <v>9477</v>
      </c>
      <c r="Y5672" t="s">
        <v>23264</v>
      </c>
    </row>
    <row r="5673" spans="1:25">
      <c r="A5673" t="s">
        <v>23265</v>
      </c>
      <c r="B5673" t="s">
        <v>23266</v>
      </c>
      <c r="D5673" t="s">
        <v>9473</v>
      </c>
      <c r="E5673" t="s">
        <v>9474</v>
      </c>
      <c r="J5673" t="s">
        <v>90</v>
      </c>
      <c r="K5673" t="s">
        <v>91</v>
      </c>
      <c r="L5673">
        <v>6</v>
      </c>
      <c r="M5673" t="s">
        <v>23267</v>
      </c>
      <c r="N5673" t="s">
        <v>47</v>
      </c>
      <c r="O5673" t="s">
        <v>9477</v>
      </c>
      <c r="P5673" t="s">
        <v>9477</v>
      </c>
      <c r="Y5673" t="s">
        <v>23268</v>
      </c>
    </row>
    <row r="5674" spans="1:25">
      <c r="A5674" t="s">
        <v>23269</v>
      </c>
      <c r="B5674" t="s">
        <v>23270</v>
      </c>
      <c r="D5674" t="s">
        <v>9473</v>
      </c>
      <c r="E5674" t="s">
        <v>9474</v>
      </c>
      <c r="H5674" t="s">
        <v>23271</v>
      </c>
      <c r="J5674" t="s">
        <v>133</v>
      </c>
      <c r="K5674" t="s">
        <v>134</v>
      </c>
      <c r="L5674">
        <v>6</v>
      </c>
      <c r="M5674" t="s">
        <v>23267</v>
      </c>
      <c r="N5674" t="s">
        <v>135</v>
      </c>
      <c r="O5674" t="s">
        <v>9477</v>
      </c>
      <c r="P5674" t="s">
        <v>9477</v>
      </c>
      <c r="Y5674" t="s">
        <v>23271</v>
      </c>
    </row>
    <row r="5675" spans="1:25">
      <c r="A5675" t="s">
        <v>23272</v>
      </c>
      <c r="B5675" t="s">
        <v>23273</v>
      </c>
      <c r="D5675" t="s">
        <v>9473</v>
      </c>
      <c r="E5675" t="s">
        <v>9474</v>
      </c>
      <c r="J5675" t="s">
        <v>90</v>
      </c>
      <c r="K5675" t="s">
        <v>91</v>
      </c>
      <c r="L5675">
        <v>6</v>
      </c>
      <c r="M5675" t="s">
        <v>23267</v>
      </c>
      <c r="N5675" t="s">
        <v>47</v>
      </c>
      <c r="O5675" t="s">
        <v>9477</v>
      </c>
      <c r="P5675" t="s">
        <v>9477</v>
      </c>
      <c r="Y5675" t="s">
        <v>23274</v>
      </c>
    </row>
    <row r="5676" spans="1:25">
      <c r="A5676" t="s">
        <v>23275</v>
      </c>
      <c r="B5676" t="s">
        <v>23276</v>
      </c>
      <c r="D5676" t="s">
        <v>9473</v>
      </c>
      <c r="E5676" t="s">
        <v>9474</v>
      </c>
      <c r="J5676" t="s">
        <v>90</v>
      </c>
      <c r="K5676" t="s">
        <v>91</v>
      </c>
      <c r="L5676">
        <v>6</v>
      </c>
      <c r="M5676" t="s">
        <v>23267</v>
      </c>
      <c r="N5676" t="s">
        <v>47</v>
      </c>
      <c r="O5676" t="s">
        <v>9477</v>
      </c>
      <c r="P5676" t="s">
        <v>9477</v>
      </c>
      <c r="Y5676" t="s">
        <v>23277</v>
      </c>
    </row>
    <row r="5677" spans="1:25">
      <c r="A5677" t="s">
        <v>23278</v>
      </c>
      <c r="B5677" t="s">
        <v>23279</v>
      </c>
      <c r="D5677" t="s">
        <v>9473</v>
      </c>
      <c r="E5677" t="s">
        <v>9474</v>
      </c>
      <c r="J5677" t="s">
        <v>54</v>
      </c>
      <c r="K5677" t="s">
        <v>55</v>
      </c>
      <c r="L5677">
        <v>6</v>
      </c>
      <c r="M5677" t="s">
        <v>23280</v>
      </c>
      <c r="N5677" t="s">
        <v>47</v>
      </c>
      <c r="O5677" t="s">
        <v>9477</v>
      </c>
      <c r="P5677" t="s">
        <v>9477</v>
      </c>
      <c r="Y5677" t="s">
        <v>23281</v>
      </c>
    </row>
    <row r="5678" spans="1:25">
      <c r="A5678" t="s">
        <v>23282</v>
      </c>
      <c r="B5678" t="s">
        <v>23283</v>
      </c>
      <c r="D5678" t="s">
        <v>9473</v>
      </c>
      <c r="E5678" t="s">
        <v>9474</v>
      </c>
      <c r="J5678" t="s">
        <v>44</v>
      </c>
      <c r="K5678" t="s">
        <v>45</v>
      </c>
      <c r="L5678">
        <v>6</v>
      </c>
      <c r="M5678" t="s">
        <v>23284</v>
      </c>
      <c r="N5678" t="s">
        <v>47</v>
      </c>
      <c r="O5678" t="s">
        <v>9477</v>
      </c>
      <c r="P5678" t="s">
        <v>9477</v>
      </c>
      <c r="Y5678" t="s">
        <v>23285</v>
      </c>
    </row>
    <row r="5679" spans="1:25">
      <c r="A5679" t="s">
        <v>23286</v>
      </c>
      <c r="B5679" t="s">
        <v>23287</v>
      </c>
      <c r="D5679" t="s">
        <v>9473</v>
      </c>
      <c r="E5679" t="s">
        <v>9474</v>
      </c>
      <c r="J5679" t="s">
        <v>44</v>
      </c>
      <c r="K5679" t="s">
        <v>45</v>
      </c>
      <c r="L5679">
        <v>6</v>
      </c>
      <c r="M5679" t="s">
        <v>23288</v>
      </c>
      <c r="N5679" t="s">
        <v>47</v>
      </c>
      <c r="O5679" t="s">
        <v>9477</v>
      </c>
      <c r="P5679" t="s">
        <v>9477</v>
      </c>
      <c r="Y5679" t="s">
        <v>23289</v>
      </c>
    </row>
    <row r="5680" spans="1:25">
      <c r="A5680" t="s">
        <v>23290</v>
      </c>
      <c r="B5680" t="s">
        <v>23291</v>
      </c>
      <c r="D5680" t="s">
        <v>9473</v>
      </c>
      <c r="E5680" t="s">
        <v>9474</v>
      </c>
      <c r="J5680" t="s">
        <v>90</v>
      </c>
      <c r="K5680" t="s">
        <v>91</v>
      </c>
      <c r="L5680">
        <v>6</v>
      </c>
      <c r="M5680" t="s">
        <v>23292</v>
      </c>
      <c r="N5680" t="s">
        <v>47</v>
      </c>
      <c r="O5680" t="s">
        <v>9477</v>
      </c>
      <c r="P5680" t="s">
        <v>9477</v>
      </c>
      <c r="Y5680" t="s">
        <v>23293</v>
      </c>
    </row>
    <row r="5681" spans="1:25">
      <c r="A5681" t="s">
        <v>23294</v>
      </c>
      <c r="B5681" t="s">
        <v>23295</v>
      </c>
      <c r="D5681" t="s">
        <v>9473</v>
      </c>
      <c r="E5681" t="s">
        <v>9474</v>
      </c>
      <c r="J5681" t="s">
        <v>44</v>
      </c>
      <c r="K5681" t="s">
        <v>45</v>
      </c>
      <c r="L5681">
        <v>6</v>
      </c>
      <c r="M5681" t="s">
        <v>23292</v>
      </c>
      <c r="N5681" t="s">
        <v>47</v>
      </c>
      <c r="O5681" t="s">
        <v>9477</v>
      </c>
      <c r="P5681" t="s">
        <v>9477</v>
      </c>
      <c r="Y5681" t="s">
        <v>23296</v>
      </c>
    </row>
    <row r="5682" spans="1:25">
      <c r="A5682" t="s">
        <v>23297</v>
      </c>
      <c r="B5682" t="s">
        <v>23298</v>
      </c>
      <c r="D5682" t="s">
        <v>9473</v>
      </c>
      <c r="E5682" t="s">
        <v>9474</v>
      </c>
      <c r="J5682" t="s">
        <v>90</v>
      </c>
      <c r="K5682" t="s">
        <v>91</v>
      </c>
      <c r="L5682">
        <v>6</v>
      </c>
      <c r="M5682" t="s">
        <v>23299</v>
      </c>
      <c r="N5682" t="s">
        <v>47</v>
      </c>
      <c r="O5682" t="s">
        <v>9477</v>
      </c>
      <c r="P5682" t="s">
        <v>9477</v>
      </c>
      <c r="Y5682" t="s">
        <v>23300</v>
      </c>
    </row>
    <row r="5683" spans="1:25">
      <c r="A5683" t="s">
        <v>23301</v>
      </c>
      <c r="B5683" t="s">
        <v>23302</v>
      </c>
      <c r="D5683" t="s">
        <v>9473</v>
      </c>
      <c r="E5683" t="s">
        <v>9474</v>
      </c>
      <c r="J5683" t="s">
        <v>54</v>
      </c>
      <c r="K5683" t="s">
        <v>55</v>
      </c>
      <c r="L5683">
        <v>6</v>
      </c>
      <c r="M5683" t="s">
        <v>23303</v>
      </c>
      <c r="N5683" t="s">
        <v>47</v>
      </c>
      <c r="O5683" t="s">
        <v>9477</v>
      </c>
      <c r="P5683" t="s">
        <v>9477</v>
      </c>
      <c r="Y5683" t="s">
        <v>23304</v>
      </c>
    </row>
    <row r="5684" spans="1:25">
      <c r="A5684" t="s">
        <v>23305</v>
      </c>
      <c r="B5684" t="s">
        <v>23306</v>
      </c>
      <c r="D5684" t="s">
        <v>9473</v>
      </c>
      <c r="E5684" t="s">
        <v>9474</v>
      </c>
      <c r="J5684" t="s">
        <v>44</v>
      </c>
      <c r="K5684" t="s">
        <v>45</v>
      </c>
      <c r="L5684">
        <v>6</v>
      </c>
      <c r="M5684" t="s">
        <v>23303</v>
      </c>
      <c r="N5684" t="s">
        <v>47</v>
      </c>
      <c r="O5684" t="s">
        <v>9477</v>
      </c>
      <c r="P5684" t="s">
        <v>9477</v>
      </c>
      <c r="Y5684" t="s">
        <v>23307</v>
      </c>
    </row>
    <row r="5685" spans="1:25">
      <c r="A5685" t="s">
        <v>23308</v>
      </c>
      <c r="B5685" t="s">
        <v>23309</v>
      </c>
      <c r="D5685" t="s">
        <v>9473</v>
      </c>
      <c r="E5685" t="s">
        <v>9474</v>
      </c>
      <c r="J5685" t="s">
        <v>133</v>
      </c>
      <c r="K5685" t="s">
        <v>134</v>
      </c>
      <c r="L5685">
        <v>6</v>
      </c>
      <c r="M5685" t="s">
        <v>23303</v>
      </c>
      <c r="N5685" t="s">
        <v>290</v>
      </c>
      <c r="O5685" t="s">
        <v>9477</v>
      </c>
      <c r="P5685" t="s">
        <v>9477</v>
      </c>
      <c r="Y5685" t="s">
        <v>23310</v>
      </c>
    </row>
    <row r="5686" spans="1:25">
      <c r="A5686" t="s">
        <v>23311</v>
      </c>
      <c r="B5686" t="s">
        <v>23312</v>
      </c>
      <c r="D5686" t="s">
        <v>9473</v>
      </c>
      <c r="E5686" t="s">
        <v>9474</v>
      </c>
      <c r="J5686" t="s">
        <v>133</v>
      </c>
      <c r="K5686" t="s">
        <v>134</v>
      </c>
      <c r="L5686">
        <v>6</v>
      </c>
      <c r="M5686" t="s">
        <v>23313</v>
      </c>
      <c r="N5686" t="s">
        <v>135</v>
      </c>
      <c r="O5686" t="s">
        <v>9477</v>
      </c>
      <c r="P5686" t="s">
        <v>9477</v>
      </c>
      <c r="Y5686" t="s">
        <v>23314</v>
      </c>
    </row>
    <row r="5687" spans="1:25">
      <c r="A5687" t="s">
        <v>23315</v>
      </c>
      <c r="B5687" t="s">
        <v>23316</v>
      </c>
      <c r="D5687" t="s">
        <v>9473</v>
      </c>
      <c r="E5687" t="s">
        <v>9474</v>
      </c>
      <c r="J5687" t="s">
        <v>78</v>
      </c>
      <c r="K5687" t="s">
        <v>79</v>
      </c>
      <c r="L5687">
        <v>6</v>
      </c>
      <c r="M5687" t="s">
        <v>23313</v>
      </c>
      <c r="N5687" t="s">
        <v>47</v>
      </c>
      <c r="O5687" t="s">
        <v>9477</v>
      </c>
      <c r="P5687" t="s">
        <v>9477</v>
      </c>
      <c r="Y5687" t="s">
        <v>23317</v>
      </c>
    </row>
    <row r="5688" spans="1:25">
      <c r="A5688" t="s">
        <v>23318</v>
      </c>
      <c r="B5688" t="s">
        <v>23319</v>
      </c>
      <c r="D5688" t="s">
        <v>9473</v>
      </c>
      <c r="E5688" t="s">
        <v>9474</v>
      </c>
      <c r="H5688" t="s">
        <v>23320</v>
      </c>
      <c r="J5688" t="s">
        <v>234</v>
      </c>
      <c r="K5688" t="s">
        <v>235</v>
      </c>
      <c r="L5688">
        <v>6</v>
      </c>
      <c r="M5688" t="s">
        <v>23321</v>
      </c>
      <c r="N5688" t="s">
        <v>47</v>
      </c>
      <c r="O5688" t="s">
        <v>9477</v>
      </c>
      <c r="P5688" t="s">
        <v>9477</v>
      </c>
      <c r="Y5688" t="s">
        <v>23320</v>
      </c>
    </row>
    <row r="5689" spans="1:25">
      <c r="A5689" t="s">
        <v>23322</v>
      </c>
      <c r="B5689" t="s">
        <v>23323</v>
      </c>
      <c r="D5689" t="s">
        <v>9473</v>
      </c>
      <c r="E5689" t="s">
        <v>9474</v>
      </c>
      <c r="H5689" t="s">
        <v>23324</v>
      </c>
      <c r="J5689" t="s">
        <v>133</v>
      </c>
      <c r="K5689" t="s">
        <v>134</v>
      </c>
      <c r="L5689">
        <v>7</v>
      </c>
      <c r="M5689" t="s">
        <v>23325</v>
      </c>
      <c r="N5689" t="s">
        <v>135</v>
      </c>
      <c r="O5689" t="s">
        <v>9477</v>
      </c>
      <c r="P5689" t="s">
        <v>9477</v>
      </c>
      <c r="Y5689" t="s">
        <v>23324</v>
      </c>
    </row>
    <row r="5690" spans="1:25">
      <c r="A5690" t="s">
        <v>23326</v>
      </c>
      <c r="B5690" t="s">
        <v>23327</v>
      </c>
      <c r="D5690" t="s">
        <v>9473</v>
      </c>
      <c r="E5690" t="s">
        <v>9474</v>
      </c>
      <c r="H5690" t="s">
        <v>23328</v>
      </c>
      <c r="J5690" t="s">
        <v>54</v>
      </c>
      <c r="K5690" t="s">
        <v>55</v>
      </c>
      <c r="L5690">
        <v>6</v>
      </c>
      <c r="M5690" t="s">
        <v>23329</v>
      </c>
      <c r="N5690" t="s">
        <v>47</v>
      </c>
      <c r="O5690" t="s">
        <v>9477</v>
      </c>
      <c r="P5690" t="s">
        <v>9477</v>
      </c>
      <c r="Y5690" t="s">
        <v>23328</v>
      </c>
    </row>
    <row r="5691" spans="1:25">
      <c r="A5691" t="s">
        <v>23330</v>
      </c>
      <c r="B5691" t="s">
        <v>23331</v>
      </c>
      <c r="D5691" t="s">
        <v>9473</v>
      </c>
      <c r="E5691" t="s">
        <v>9474</v>
      </c>
      <c r="J5691" t="s">
        <v>78</v>
      </c>
      <c r="K5691" t="s">
        <v>79</v>
      </c>
      <c r="L5691">
        <v>6</v>
      </c>
      <c r="M5691" t="s">
        <v>23329</v>
      </c>
      <c r="N5691" t="s">
        <v>47</v>
      </c>
      <c r="O5691" t="s">
        <v>9477</v>
      </c>
      <c r="P5691" t="s">
        <v>9477</v>
      </c>
      <c r="Y5691" t="s">
        <v>23332</v>
      </c>
    </row>
    <row r="5692" spans="1:25">
      <c r="A5692" t="s">
        <v>23333</v>
      </c>
      <c r="B5692" t="s">
        <v>23334</v>
      </c>
      <c r="D5692" t="s">
        <v>9473</v>
      </c>
      <c r="E5692" t="s">
        <v>9474</v>
      </c>
      <c r="J5692" t="s">
        <v>90</v>
      </c>
      <c r="K5692" t="s">
        <v>91</v>
      </c>
      <c r="L5692">
        <v>6</v>
      </c>
      <c r="M5692" t="s">
        <v>23335</v>
      </c>
      <c r="N5692" t="s">
        <v>47</v>
      </c>
      <c r="O5692" t="s">
        <v>9477</v>
      </c>
      <c r="P5692" t="s">
        <v>9477</v>
      </c>
      <c r="Y5692" t="s">
        <v>23336</v>
      </c>
    </row>
    <row r="5693" spans="1:25">
      <c r="A5693" t="s">
        <v>23337</v>
      </c>
      <c r="B5693" t="s">
        <v>23338</v>
      </c>
      <c r="D5693" t="s">
        <v>9473</v>
      </c>
      <c r="E5693" t="s">
        <v>9474</v>
      </c>
      <c r="J5693" t="s">
        <v>90</v>
      </c>
      <c r="K5693" t="s">
        <v>91</v>
      </c>
      <c r="L5693">
        <v>6</v>
      </c>
      <c r="M5693" t="s">
        <v>23339</v>
      </c>
      <c r="N5693" t="s">
        <v>47</v>
      </c>
      <c r="O5693" t="s">
        <v>9477</v>
      </c>
      <c r="P5693" t="s">
        <v>9477</v>
      </c>
      <c r="Y5693" t="s">
        <v>23340</v>
      </c>
    </row>
    <row r="5694" spans="1:25">
      <c r="A5694" t="s">
        <v>23341</v>
      </c>
      <c r="B5694" t="s">
        <v>23342</v>
      </c>
      <c r="D5694" t="s">
        <v>9473</v>
      </c>
      <c r="E5694" t="s">
        <v>9474</v>
      </c>
      <c r="H5694" t="s">
        <v>23343</v>
      </c>
      <c r="J5694" t="s">
        <v>90</v>
      </c>
      <c r="K5694" t="s">
        <v>91</v>
      </c>
      <c r="L5694">
        <v>6</v>
      </c>
      <c r="M5694" t="s">
        <v>23344</v>
      </c>
      <c r="N5694" t="s">
        <v>47</v>
      </c>
      <c r="O5694" t="s">
        <v>9477</v>
      </c>
      <c r="P5694" t="s">
        <v>9477</v>
      </c>
      <c r="Y5694" t="s">
        <v>23343</v>
      </c>
    </row>
    <row r="5695" spans="1:25">
      <c r="A5695" t="s">
        <v>23345</v>
      </c>
      <c r="B5695" t="s">
        <v>23346</v>
      </c>
      <c r="D5695" t="s">
        <v>9473</v>
      </c>
      <c r="E5695" t="s">
        <v>9474</v>
      </c>
      <c r="J5695" t="s">
        <v>54</v>
      </c>
      <c r="K5695" t="s">
        <v>55</v>
      </c>
      <c r="L5695">
        <v>6</v>
      </c>
      <c r="M5695" t="s">
        <v>23344</v>
      </c>
      <c r="N5695" t="s">
        <v>47</v>
      </c>
      <c r="O5695" t="s">
        <v>9477</v>
      </c>
      <c r="P5695" t="s">
        <v>9477</v>
      </c>
      <c r="Y5695" t="s">
        <v>23347</v>
      </c>
    </row>
    <row r="5696" spans="1:25">
      <c r="A5696" t="s">
        <v>23348</v>
      </c>
      <c r="B5696" t="s">
        <v>23349</v>
      </c>
      <c r="D5696" t="s">
        <v>9473</v>
      </c>
      <c r="E5696" t="s">
        <v>9474</v>
      </c>
      <c r="H5696" t="s">
        <v>23350</v>
      </c>
      <c r="J5696" t="s">
        <v>133</v>
      </c>
      <c r="K5696" t="s">
        <v>134</v>
      </c>
      <c r="L5696">
        <v>6</v>
      </c>
      <c r="M5696" t="s">
        <v>23344</v>
      </c>
      <c r="N5696" t="s">
        <v>290</v>
      </c>
      <c r="O5696" t="s">
        <v>9477</v>
      </c>
      <c r="P5696" t="s">
        <v>9477</v>
      </c>
      <c r="Y5696" t="s">
        <v>23350</v>
      </c>
    </row>
    <row r="5697" spans="1:25">
      <c r="A5697" t="s">
        <v>23351</v>
      </c>
      <c r="B5697" t="s">
        <v>23352</v>
      </c>
      <c r="D5697" t="s">
        <v>9473</v>
      </c>
      <c r="E5697" t="s">
        <v>9474</v>
      </c>
      <c r="H5697" t="s">
        <v>23353</v>
      </c>
      <c r="J5697" t="s">
        <v>234</v>
      </c>
      <c r="K5697" t="s">
        <v>235</v>
      </c>
      <c r="L5697">
        <v>6</v>
      </c>
      <c r="M5697" t="s">
        <v>23354</v>
      </c>
      <c r="N5697" t="s">
        <v>47</v>
      </c>
      <c r="O5697" t="s">
        <v>9477</v>
      </c>
      <c r="P5697" t="s">
        <v>9477</v>
      </c>
      <c r="Y5697" t="s">
        <v>23353</v>
      </c>
    </row>
    <row r="5698" spans="1:25">
      <c r="A5698" t="s">
        <v>23355</v>
      </c>
      <c r="B5698" t="s">
        <v>23356</v>
      </c>
      <c r="D5698" t="s">
        <v>9473</v>
      </c>
      <c r="E5698" t="s">
        <v>9474</v>
      </c>
      <c r="J5698" t="s">
        <v>44</v>
      </c>
      <c r="K5698" t="s">
        <v>45</v>
      </c>
      <c r="L5698">
        <v>6</v>
      </c>
      <c r="M5698" t="s">
        <v>23357</v>
      </c>
      <c r="N5698" t="s">
        <v>47</v>
      </c>
      <c r="O5698" t="s">
        <v>9477</v>
      </c>
      <c r="P5698" t="s">
        <v>9477</v>
      </c>
      <c r="Y5698" t="s">
        <v>23358</v>
      </c>
    </row>
    <row r="5699" spans="1:25">
      <c r="A5699" t="s">
        <v>23359</v>
      </c>
      <c r="B5699" t="s">
        <v>23360</v>
      </c>
      <c r="D5699" t="s">
        <v>9473</v>
      </c>
      <c r="E5699" t="s">
        <v>9474</v>
      </c>
      <c r="J5699" t="s">
        <v>78</v>
      </c>
      <c r="K5699" t="s">
        <v>79</v>
      </c>
      <c r="L5699">
        <v>6</v>
      </c>
      <c r="M5699" t="s">
        <v>23361</v>
      </c>
      <c r="N5699" t="s">
        <v>47</v>
      </c>
      <c r="O5699" t="s">
        <v>9477</v>
      </c>
      <c r="P5699" t="s">
        <v>9477</v>
      </c>
      <c r="Y5699" t="s">
        <v>23362</v>
      </c>
    </row>
    <row r="5700" spans="1:25">
      <c r="A5700" t="s">
        <v>23363</v>
      </c>
      <c r="B5700" t="s">
        <v>23364</v>
      </c>
      <c r="D5700" t="s">
        <v>9473</v>
      </c>
      <c r="E5700" t="s">
        <v>9474</v>
      </c>
      <c r="J5700" t="s">
        <v>44</v>
      </c>
      <c r="K5700" t="s">
        <v>45</v>
      </c>
      <c r="L5700">
        <v>6</v>
      </c>
      <c r="M5700" t="s">
        <v>23365</v>
      </c>
      <c r="N5700" t="s">
        <v>47</v>
      </c>
      <c r="O5700" t="s">
        <v>9477</v>
      </c>
      <c r="P5700" t="s">
        <v>9477</v>
      </c>
      <c r="Y5700" t="s">
        <v>23366</v>
      </c>
    </row>
    <row r="5701" spans="1:25">
      <c r="A5701" t="s">
        <v>23367</v>
      </c>
      <c r="B5701" t="s">
        <v>23368</v>
      </c>
      <c r="D5701" t="s">
        <v>9473</v>
      </c>
      <c r="E5701" t="s">
        <v>9474</v>
      </c>
      <c r="J5701" t="s">
        <v>44</v>
      </c>
      <c r="K5701" t="s">
        <v>45</v>
      </c>
      <c r="L5701">
        <v>6</v>
      </c>
      <c r="M5701" t="s">
        <v>23369</v>
      </c>
      <c r="N5701" t="s">
        <v>47</v>
      </c>
      <c r="O5701" t="s">
        <v>9477</v>
      </c>
      <c r="P5701" t="s">
        <v>9477</v>
      </c>
      <c r="Y5701" t="s">
        <v>23370</v>
      </c>
    </row>
    <row r="5702" spans="1:25">
      <c r="A5702" t="s">
        <v>23371</v>
      </c>
      <c r="B5702" t="s">
        <v>23372</v>
      </c>
      <c r="D5702" t="s">
        <v>9473</v>
      </c>
      <c r="E5702" t="s">
        <v>9474</v>
      </c>
      <c r="J5702" t="s">
        <v>133</v>
      </c>
      <c r="K5702" t="s">
        <v>134</v>
      </c>
      <c r="L5702">
        <v>6</v>
      </c>
      <c r="M5702" t="s">
        <v>23373</v>
      </c>
      <c r="N5702" t="s">
        <v>135</v>
      </c>
      <c r="O5702" t="s">
        <v>9477</v>
      </c>
      <c r="P5702" t="s">
        <v>9477</v>
      </c>
      <c r="Y5702" t="s">
        <v>23374</v>
      </c>
    </row>
    <row r="5703" spans="1:25">
      <c r="A5703" t="s">
        <v>23375</v>
      </c>
      <c r="B5703" t="s">
        <v>23376</v>
      </c>
      <c r="D5703" t="s">
        <v>9473</v>
      </c>
      <c r="E5703" t="s">
        <v>9474</v>
      </c>
      <c r="J5703" t="s">
        <v>90</v>
      </c>
      <c r="K5703" t="s">
        <v>91</v>
      </c>
      <c r="L5703">
        <v>6</v>
      </c>
      <c r="M5703" t="s">
        <v>23373</v>
      </c>
      <c r="N5703" t="s">
        <v>47</v>
      </c>
      <c r="O5703" t="s">
        <v>9477</v>
      </c>
      <c r="P5703" t="s">
        <v>9477</v>
      </c>
      <c r="Y5703" t="s">
        <v>23377</v>
      </c>
    </row>
    <row r="5704" spans="1:25">
      <c r="A5704" t="s">
        <v>23378</v>
      </c>
      <c r="B5704" t="s">
        <v>23379</v>
      </c>
      <c r="D5704" t="s">
        <v>9473</v>
      </c>
      <c r="E5704" t="s">
        <v>9474</v>
      </c>
      <c r="J5704" t="s">
        <v>44</v>
      </c>
      <c r="K5704" t="s">
        <v>45</v>
      </c>
      <c r="L5704">
        <v>6</v>
      </c>
      <c r="M5704" t="s">
        <v>23380</v>
      </c>
      <c r="N5704" t="s">
        <v>47</v>
      </c>
      <c r="O5704" t="s">
        <v>9477</v>
      </c>
      <c r="P5704" t="s">
        <v>9477</v>
      </c>
      <c r="Y5704" t="s">
        <v>23381</v>
      </c>
    </row>
    <row r="5705" spans="1:25">
      <c r="A5705" t="s">
        <v>23382</v>
      </c>
      <c r="B5705" t="s">
        <v>23383</v>
      </c>
      <c r="D5705" t="s">
        <v>9473</v>
      </c>
      <c r="E5705" t="s">
        <v>9474</v>
      </c>
      <c r="H5705" t="s">
        <v>23384</v>
      </c>
      <c r="J5705" t="s">
        <v>234</v>
      </c>
      <c r="K5705" t="s">
        <v>235</v>
      </c>
      <c r="L5705">
        <v>6</v>
      </c>
      <c r="M5705" t="s">
        <v>23385</v>
      </c>
      <c r="N5705" t="s">
        <v>47</v>
      </c>
      <c r="O5705" t="s">
        <v>9477</v>
      </c>
      <c r="P5705" t="s">
        <v>9477</v>
      </c>
      <c r="Y5705" t="s">
        <v>23384</v>
      </c>
    </row>
    <row r="5706" spans="1:25">
      <c r="A5706" t="s">
        <v>23386</v>
      </c>
      <c r="B5706" t="s">
        <v>23387</v>
      </c>
      <c r="D5706" t="s">
        <v>9473</v>
      </c>
      <c r="E5706" t="s">
        <v>9474</v>
      </c>
      <c r="H5706" t="s">
        <v>23388</v>
      </c>
      <c r="J5706" t="s">
        <v>78</v>
      </c>
      <c r="K5706" t="s">
        <v>79</v>
      </c>
      <c r="L5706">
        <v>6</v>
      </c>
      <c r="M5706" t="s">
        <v>23389</v>
      </c>
      <c r="N5706" t="s">
        <v>47</v>
      </c>
      <c r="O5706" t="s">
        <v>9477</v>
      </c>
      <c r="P5706" t="s">
        <v>9477</v>
      </c>
      <c r="Y5706" t="s">
        <v>23388</v>
      </c>
    </row>
    <row r="5707" spans="1:25">
      <c r="A5707" t="s">
        <v>23390</v>
      </c>
      <c r="B5707" t="s">
        <v>23391</v>
      </c>
      <c r="D5707" t="s">
        <v>9473</v>
      </c>
      <c r="E5707" t="s">
        <v>9474</v>
      </c>
      <c r="J5707" t="s">
        <v>54</v>
      </c>
      <c r="K5707" t="s">
        <v>55</v>
      </c>
      <c r="L5707">
        <v>6</v>
      </c>
      <c r="M5707" t="s">
        <v>23392</v>
      </c>
      <c r="N5707" t="s">
        <v>47</v>
      </c>
      <c r="O5707" t="s">
        <v>9477</v>
      </c>
      <c r="P5707" t="s">
        <v>9477</v>
      </c>
      <c r="Y5707" t="s">
        <v>23393</v>
      </c>
    </row>
    <row r="5708" spans="1:25">
      <c r="A5708" t="s">
        <v>23394</v>
      </c>
      <c r="B5708" t="s">
        <v>23395</v>
      </c>
      <c r="D5708" t="s">
        <v>9473</v>
      </c>
      <c r="E5708" t="s">
        <v>9474</v>
      </c>
      <c r="H5708" t="s">
        <v>23396</v>
      </c>
      <c r="J5708" t="s">
        <v>497</v>
      </c>
      <c r="K5708" t="s">
        <v>498</v>
      </c>
      <c r="L5708">
        <v>6</v>
      </c>
      <c r="M5708" t="s">
        <v>23392</v>
      </c>
      <c r="N5708" t="s">
        <v>290</v>
      </c>
      <c r="O5708" t="s">
        <v>9477</v>
      </c>
      <c r="P5708" t="s">
        <v>9477</v>
      </c>
      <c r="Y5708" t="s">
        <v>23396</v>
      </c>
    </row>
    <row r="5709" spans="1:25">
      <c r="A5709" t="s">
        <v>23397</v>
      </c>
      <c r="B5709" t="s">
        <v>23398</v>
      </c>
      <c r="D5709" t="s">
        <v>9473</v>
      </c>
      <c r="E5709" t="s">
        <v>9474</v>
      </c>
      <c r="J5709" t="s">
        <v>133</v>
      </c>
      <c r="K5709" t="s">
        <v>134</v>
      </c>
      <c r="L5709">
        <v>6</v>
      </c>
      <c r="M5709" t="s">
        <v>23399</v>
      </c>
      <c r="N5709" t="s">
        <v>135</v>
      </c>
      <c r="O5709" t="s">
        <v>9477</v>
      </c>
      <c r="P5709" t="s">
        <v>9477</v>
      </c>
      <c r="Y5709" t="s">
        <v>23400</v>
      </c>
    </row>
    <row r="5710" spans="1:25">
      <c r="A5710" t="s">
        <v>23401</v>
      </c>
      <c r="B5710" t="s">
        <v>23402</v>
      </c>
      <c r="D5710" t="s">
        <v>9473</v>
      </c>
      <c r="E5710" t="s">
        <v>9474</v>
      </c>
      <c r="J5710" t="s">
        <v>90</v>
      </c>
      <c r="K5710" t="s">
        <v>91</v>
      </c>
      <c r="L5710">
        <v>6</v>
      </c>
      <c r="M5710" t="s">
        <v>23403</v>
      </c>
      <c r="N5710" t="s">
        <v>47</v>
      </c>
      <c r="O5710" t="s">
        <v>9477</v>
      </c>
      <c r="P5710" t="s">
        <v>9477</v>
      </c>
      <c r="Y5710" t="s">
        <v>23404</v>
      </c>
    </row>
    <row r="5711" spans="1:25">
      <c r="A5711" t="s">
        <v>23405</v>
      </c>
      <c r="B5711" t="s">
        <v>23406</v>
      </c>
      <c r="D5711" t="s">
        <v>9473</v>
      </c>
      <c r="E5711" t="s">
        <v>9474</v>
      </c>
      <c r="J5711" t="s">
        <v>44</v>
      </c>
      <c r="K5711" t="s">
        <v>45</v>
      </c>
      <c r="L5711">
        <v>6</v>
      </c>
      <c r="M5711" t="s">
        <v>23403</v>
      </c>
      <c r="N5711" t="s">
        <v>47</v>
      </c>
      <c r="O5711" t="s">
        <v>9477</v>
      </c>
      <c r="P5711" t="s">
        <v>9477</v>
      </c>
      <c r="Y5711" t="s">
        <v>23407</v>
      </c>
    </row>
    <row r="5712" spans="1:25">
      <c r="A5712" t="s">
        <v>23408</v>
      </c>
      <c r="B5712" t="s">
        <v>23409</v>
      </c>
      <c r="D5712" t="s">
        <v>9473</v>
      </c>
      <c r="E5712" t="s">
        <v>9474</v>
      </c>
      <c r="J5712" t="s">
        <v>90</v>
      </c>
      <c r="K5712" t="s">
        <v>91</v>
      </c>
      <c r="L5712">
        <v>6</v>
      </c>
      <c r="M5712" t="s">
        <v>23403</v>
      </c>
      <c r="N5712" t="s">
        <v>47</v>
      </c>
      <c r="O5712" t="s">
        <v>9477</v>
      </c>
      <c r="P5712" t="s">
        <v>9477</v>
      </c>
      <c r="Y5712" t="s">
        <v>23410</v>
      </c>
    </row>
    <row r="5713" spans="1:25">
      <c r="A5713" t="s">
        <v>23411</v>
      </c>
      <c r="B5713" t="s">
        <v>23412</v>
      </c>
      <c r="D5713" t="s">
        <v>9473</v>
      </c>
      <c r="E5713" t="s">
        <v>9474</v>
      </c>
      <c r="J5713" t="s">
        <v>90</v>
      </c>
      <c r="K5713" t="s">
        <v>91</v>
      </c>
      <c r="L5713">
        <v>6</v>
      </c>
      <c r="M5713" t="s">
        <v>23413</v>
      </c>
      <c r="N5713" t="s">
        <v>47</v>
      </c>
      <c r="O5713" t="s">
        <v>9477</v>
      </c>
      <c r="P5713" t="s">
        <v>9477</v>
      </c>
      <c r="Y5713" t="s">
        <v>23414</v>
      </c>
    </row>
    <row r="5714" spans="1:25">
      <c r="A5714" t="s">
        <v>23415</v>
      </c>
      <c r="B5714" t="s">
        <v>23416</v>
      </c>
      <c r="D5714" t="s">
        <v>9473</v>
      </c>
      <c r="E5714" t="s">
        <v>9474</v>
      </c>
      <c r="J5714" t="s">
        <v>44</v>
      </c>
      <c r="K5714" t="s">
        <v>45</v>
      </c>
      <c r="L5714">
        <v>6</v>
      </c>
      <c r="M5714" t="s">
        <v>23417</v>
      </c>
      <c r="N5714" t="s">
        <v>47</v>
      </c>
      <c r="O5714" t="s">
        <v>9477</v>
      </c>
      <c r="P5714" t="s">
        <v>9477</v>
      </c>
      <c r="Y5714" t="s">
        <v>23418</v>
      </c>
    </row>
    <row r="5715" spans="1:25">
      <c r="A5715" t="s">
        <v>23419</v>
      </c>
      <c r="B5715" t="s">
        <v>23420</v>
      </c>
      <c r="D5715" t="s">
        <v>9473</v>
      </c>
      <c r="E5715" t="s">
        <v>9474</v>
      </c>
      <c r="H5715" t="s">
        <v>23421</v>
      </c>
      <c r="J5715" t="s">
        <v>54</v>
      </c>
      <c r="K5715" t="s">
        <v>55</v>
      </c>
      <c r="L5715">
        <v>6</v>
      </c>
      <c r="M5715" t="s">
        <v>23422</v>
      </c>
      <c r="N5715" t="s">
        <v>47</v>
      </c>
      <c r="O5715" t="s">
        <v>9477</v>
      </c>
      <c r="P5715" t="s">
        <v>9477</v>
      </c>
      <c r="Y5715" t="s">
        <v>23421</v>
      </c>
    </row>
    <row r="5716" spans="1:25">
      <c r="A5716" t="s">
        <v>23423</v>
      </c>
      <c r="B5716" t="s">
        <v>23424</v>
      </c>
      <c r="D5716" t="s">
        <v>9473</v>
      </c>
      <c r="E5716" t="s">
        <v>9474</v>
      </c>
      <c r="H5716" t="s">
        <v>23425</v>
      </c>
      <c r="J5716" t="s">
        <v>90</v>
      </c>
      <c r="K5716" t="s">
        <v>91</v>
      </c>
      <c r="L5716">
        <v>6</v>
      </c>
      <c r="M5716" t="s">
        <v>23426</v>
      </c>
      <c r="N5716" t="s">
        <v>47</v>
      </c>
      <c r="O5716" t="s">
        <v>9477</v>
      </c>
      <c r="P5716" t="s">
        <v>9477</v>
      </c>
      <c r="Y5716" t="s">
        <v>23425</v>
      </c>
    </row>
    <row r="5717" spans="1:25">
      <c r="A5717" t="s">
        <v>23427</v>
      </c>
      <c r="B5717" t="s">
        <v>23428</v>
      </c>
      <c r="D5717" t="s">
        <v>9473</v>
      </c>
      <c r="E5717" t="s">
        <v>9474</v>
      </c>
      <c r="H5717" t="s">
        <v>23429</v>
      </c>
      <c r="J5717" t="s">
        <v>927</v>
      </c>
      <c r="K5717" t="s">
        <v>928</v>
      </c>
      <c r="L5717">
        <v>6</v>
      </c>
      <c r="M5717" t="s">
        <v>23430</v>
      </c>
      <c r="N5717" t="s">
        <v>685</v>
      </c>
      <c r="O5717" t="s">
        <v>9477</v>
      </c>
      <c r="P5717" t="s">
        <v>9477</v>
      </c>
      <c r="Y5717" t="s">
        <v>23429</v>
      </c>
    </row>
    <row r="5718" spans="1:25">
      <c r="A5718" t="s">
        <v>23431</v>
      </c>
      <c r="B5718" t="s">
        <v>23432</v>
      </c>
      <c r="D5718" t="s">
        <v>9473</v>
      </c>
      <c r="E5718" t="s">
        <v>9474</v>
      </c>
      <c r="J5718" t="s">
        <v>54</v>
      </c>
      <c r="K5718" t="s">
        <v>55</v>
      </c>
      <c r="L5718">
        <v>6</v>
      </c>
      <c r="M5718" t="s">
        <v>23430</v>
      </c>
      <c r="N5718" t="s">
        <v>47</v>
      </c>
      <c r="O5718" t="s">
        <v>9477</v>
      </c>
      <c r="P5718" t="s">
        <v>9477</v>
      </c>
      <c r="Y5718" t="s">
        <v>23433</v>
      </c>
    </row>
    <row r="5719" spans="1:25">
      <c r="A5719" t="s">
        <v>23434</v>
      </c>
      <c r="B5719" t="s">
        <v>23435</v>
      </c>
      <c r="D5719" t="s">
        <v>9473</v>
      </c>
      <c r="E5719" t="s">
        <v>9474</v>
      </c>
      <c r="J5719" t="s">
        <v>44</v>
      </c>
      <c r="K5719" t="s">
        <v>45</v>
      </c>
      <c r="L5719">
        <v>6</v>
      </c>
      <c r="M5719" t="s">
        <v>23436</v>
      </c>
      <c r="N5719" t="s">
        <v>47</v>
      </c>
      <c r="O5719" t="s">
        <v>9477</v>
      </c>
      <c r="P5719" t="s">
        <v>9477</v>
      </c>
      <c r="Y5719" t="s">
        <v>23437</v>
      </c>
    </row>
    <row r="5720" spans="1:25">
      <c r="A5720" t="s">
        <v>23438</v>
      </c>
      <c r="B5720" t="s">
        <v>23439</v>
      </c>
      <c r="D5720" t="s">
        <v>9473</v>
      </c>
      <c r="E5720" t="s">
        <v>9474</v>
      </c>
      <c r="J5720" t="s">
        <v>44</v>
      </c>
      <c r="K5720" t="s">
        <v>45</v>
      </c>
      <c r="L5720">
        <v>6</v>
      </c>
      <c r="M5720" t="s">
        <v>23436</v>
      </c>
      <c r="N5720" t="s">
        <v>47</v>
      </c>
      <c r="O5720" t="s">
        <v>9477</v>
      </c>
      <c r="P5720" t="s">
        <v>9477</v>
      </c>
      <c r="Y5720" t="s">
        <v>23440</v>
      </c>
    </row>
    <row r="5721" spans="1:25">
      <c r="A5721" t="s">
        <v>23441</v>
      </c>
      <c r="B5721" t="s">
        <v>23442</v>
      </c>
      <c r="D5721" t="s">
        <v>9473</v>
      </c>
      <c r="E5721" t="s">
        <v>9474</v>
      </c>
      <c r="J5721" t="s">
        <v>54</v>
      </c>
      <c r="K5721" t="s">
        <v>55</v>
      </c>
      <c r="L5721">
        <v>6</v>
      </c>
      <c r="M5721" t="s">
        <v>23436</v>
      </c>
      <c r="N5721" t="s">
        <v>47</v>
      </c>
      <c r="O5721" t="s">
        <v>9477</v>
      </c>
      <c r="P5721" t="s">
        <v>9477</v>
      </c>
      <c r="Y5721" t="s">
        <v>23443</v>
      </c>
    </row>
    <row r="5722" spans="1:25">
      <c r="A5722" t="s">
        <v>23444</v>
      </c>
      <c r="B5722" t="s">
        <v>23445</v>
      </c>
      <c r="D5722" t="s">
        <v>9473</v>
      </c>
      <c r="E5722" t="s">
        <v>9474</v>
      </c>
      <c r="J5722" t="s">
        <v>90</v>
      </c>
      <c r="K5722" t="s">
        <v>91</v>
      </c>
      <c r="L5722">
        <v>6</v>
      </c>
      <c r="M5722" t="s">
        <v>23446</v>
      </c>
      <c r="N5722" t="s">
        <v>47</v>
      </c>
      <c r="O5722" t="s">
        <v>9477</v>
      </c>
      <c r="P5722" t="s">
        <v>9477</v>
      </c>
      <c r="Y5722" t="s">
        <v>23447</v>
      </c>
    </row>
    <row r="5723" spans="1:25">
      <c r="A5723" t="s">
        <v>23448</v>
      </c>
      <c r="B5723" t="s">
        <v>23449</v>
      </c>
      <c r="D5723" t="s">
        <v>9473</v>
      </c>
      <c r="E5723" t="s">
        <v>9474</v>
      </c>
      <c r="J5723" t="s">
        <v>90</v>
      </c>
      <c r="K5723" t="s">
        <v>91</v>
      </c>
      <c r="L5723">
        <v>6</v>
      </c>
      <c r="M5723" t="s">
        <v>23450</v>
      </c>
      <c r="N5723" t="s">
        <v>47</v>
      </c>
      <c r="O5723" t="s">
        <v>9477</v>
      </c>
      <c r="P5723" t="s">
        <v>9477</v>
      </c>
      <c r="Y5723" t="s">
        <v>23451</v>
      </c>
    </row>
    <row r="5724" spans="1:25">
      <c r="A5724" t="s">
        <v>23452</v>
      </c>
      <c r="B5724" t="s">
        <v>23453</v>
      </c>
      <c r="D5724" t="s">
        <v>9473</v>
      </c>
      <c r="E5724" t="s">
        <v>9474</v>
      </c>
      <c r="J5724" t="s">
        <v>44</v>
      </c>
      <c r="K5724" t="s">
        <v>45</v>
      </c>
      <c r="L5724">
        <v>6</v>
      </c>
      <c r="M5724" t="s">
        <v>23454</v>
      </c>
      <c r="N5724" t="s">
        <v>47</v>
      </c>
      <c r="O5724" t="s">
        <v>9477</v>
      </c>
      <c r="P5724" t="s">
        <v>9477</v>
      </c>
      <c r="Y5724" t="s">
        <v>23455</v>
      </c>
    </row>
    <row r="5725" spans="1:25">
      <c r="A5725" t="s">
        <v>23456</v>
      </c>
      <c r="B5725" t="s">
        <v>23457</v>
      </c>
      <c r="D5725" t="s">
        <v>9473</v>
      </c>
      <c r="E5725" t="s">
        <v>9474</v>
      </c>
      <c r="J5725" t="s">
        <v>371</v>
      </c>
      <c r="K5725" t="s">
        <v>372</v>
      </c>
      <c r="L5725">
        <v>6</v>
      </c>
      <c r="M5725" t="s">
        <v>23458</v>
      </c>
      <c r="N5725" t="s">
        <v>47</v>
      </c>
      <c r="O5725" t="s">
        <v>9477</v>
      </c>
      <c r="P5725" t="s">
        <v>9477</v>
      </c>
      <c r="Y5725" t="s">
        <v>23459</v>
      </c>
    </row>
    <row r="5726" spans="1:25">
      <c r="A5726" t="s">
        <v>23460</v>
      </c>
      <c r="B5726" t="s">
        <v>23461</v>
      </c>
      <c r="D5726" t="s">
        <v>9473</v>
      </c>
      <c r="E5726" t="s">
        <v>9474</v>
      </c>
      <c r="H5726" t="s">
        <v>23462</v>
      </c>
      <c r="J5726" t="s">
        <v>371</v>
      </c>
      <c r="K5726" t="s">
        <v>372</v>
      </c>
      <c r="L5726">
        <v>6</v>
      </c>
      <c r="M5726" t="s">
        <v>23458</v>
      </c>
      <c r="N5726" t="s">
        <v>47</v>
      </c>
      <c r="O5726" t="s">
        <v>9477</v>
      </c>
      <c r="P5726" t="s">
        <v>9477</v>
      </c>
      <c r="Y5726" t="s">
        <v>23462</v>
      </c>
    </row>
    <row r="5727" spans="1:25">
      <c r="A5727" t="s">
        <v>23463</v>
      </c>
      <c r="B5727" t="s">
        <v>23464</v>
      </c>
      <c r="D5727" t="s">
        <v>9473</v>
      </c>
      <c r="E5727" t="s">
        <v>9474</v>
      </c>
      <c r="J5727" t="s">
        <v>90</v>
      </c>
      <c r="K5727" t="s">
        <v>91</v>
      </c>
      <c r="L5727">
        <v>6</v>
      </c>
      <c r="M5727" t="s">
        <v>23458</v>
      </c>
      <c r="N5727" t="s">
        <v>47</v>
      </c>
      <c r="O5727" t="s">
        <v>9477</v>
      </c>
      <c r="P5727" t="s">
        <v>9477</v>
      </c>
      <c r="Y5727" t="s">
        <v>23465</v>
      </c>
    </row>
    <row r="5728" spans="1:25">
      <c r="A5728" t="s">
        <v>23466</v>
      </c>
      <c r="B5728" t="s">
        <v>23467</v>
      </c>
      <c r="D5728" t="s">
        <v>9473</v>
      </c>
      <c r="E5728" t="s">
        <v>9474</v>
      </c>
      <c r="J5728" t="s">
        <v>90</v>
      </c>
      <c r="K5728" t="s">
        <v>91</v>
      </c>
      <c r="L5728">
        <v>6</v>
      </c>
      <c r="M5728" t="s">
        <v>23468</v>
      </c>
      <c r="N5728" t="s">
        <v>47</v>
      </c>
      <c r="O5728" t="s">
        <v>9477</v>
      </c>
      <c r="P5728" t="s">
        <v>9477</v>
      </c>
      <c r="Y5728" t="s">
        <v>23469</v>
      </c>
    </row>
    <row r="5729" spans="1:25">
      <c r="A5729" t="s">
        <v>23470</v>
      </c>
      <c r="B5729" t="s">
        <v>23471</v>
      </c>
      <c r="D5729" t="s">
        <v>9473</v>
      </c>
      <c r="E5729" t="s">
        <v>9474</v>
      </c>
      <c r="J5729" t="s">
        <v>78</v>
      </c>
      <c r="K5729" t="s">
        <v>79</v>
      </c>
      <c r="L5729">
        <v>6</v>
      </c>
      <c r="M5729" t="s">
        <v>23468</v>
      </c>
      <c r="N5729" t="s">
        <v>47</v>
      </c>
      <c r="O5729" t="s">
        <v>9477</v>
      </c>
      <c r="P5729" t="s">
        <v>9477</v>
      </c>
      <c r="Y5729" t="s">
        <v>23472</v>
      </c>
    </row>
    <row r="5730" spans="1:25">
      <c r="A5730" t="s">
        <v>23473</v>
      </c>
      <c r="B5730" t="s">
        <v>23474</v>
      </c>
      <c r="D5730" t="s">
        <v>9473</v>
      </c>
      <c r="E5730" t="s">
        <v>9474</v>
      </c>
      <c r="J5730" t="s">
        <v>90</v>
      </c>
      <c r="K5730" t="s">
        <v>91</v>
      </c>
      <c r="L5730">
        <v>6</v>
      </c>
      <c r="M5730" t="s">
        <v>23468</v>
      </c>
      <c r="N5730" t="s">
        <v>47</v>
      </c>
      <c r="O5730" t="s">
        <v>9477</v>
      </c>
      <c r="P5730" t="s">
        <v>9477</v>
      </c>
      <c r="Y5730" t="s">
        <v>23475</v>
      </c>
    </row>
    <row r="5731" spans="1:25">
      <c r="A5731" t="s">
        <v>23476</v>
      </c>
      <c r="B5731" t="s">
        <v>23477</v>
      </c>
      <c r="D5731" t="s">
        <v>9473</v>
      </c>
      <c r="E5731" t="s">
        <v>9474</v>
      </c>
      <c r="J5731" t="s">
        <v>44</v>
      </c>
      <c r="K5731" t="s">
        <v>45</v>
      </c>
      <c r="L5731">
        <v>6</v>
      </c>
      <c r="M5731" t="s">
        <v>23468</v>
      </c>
      <c r="N5731" t="s">
        <v>47</v>
      </c>
      <c r="O5731" t="s">
        <v>9477</v>
      </c>
      <c r="P5731" t="s">
        <v>9477</v>
      </c>
      <c r="Y5731" t="s">
        <v>23478</v>
      </c>
    </row>
    <row r="5732" spans="1:25">
      <c r="A5732" t="s">
        <v>23479</v>
      </c>
      <c r="B5732" t="s">
        <v>23480</v>
      </c>
      <c r="D5732" t="s">
        <v>9473</v>
      </c>
      <c r="E5732" t="s">
        <v>9474</v>
      </c>
      <c r="J5732" t="s">
        <v>90</v>
      </c>
      <c r="K5732" t="s">
        <v>91</v>
      </c>
      <c r="L5732">
        <v>6</v>
      </c>
      <c r="M5732" t="s">
        <v>23481</v>
      </c>
      <c r="N5732" t="s">
        <v>47</v>
      </c>
      <c r="O5732" t="s">
        <v>9477</v>
      </c>
      <c r="P5732" t="s">
        <v>9477</v>
      </c>
      <c r="Y5732" t="s">
        <v>23482</v>
      </c>
    </row>
    <row r="5733" spans="1:25">
      <c r="A5733" t="s">
        <v>23483</v>
      </c>
      <c r="B5733" t="s">
        <v>23484</v>
      </c>
      <c r="D5733" t="s">
        <v>9473</v>
      </c>
      <c r="E5733" t="s">
        <v>9474</v>
      </c>
      <c r="H5733" t="s">
        <v>23485</v>
      </c>
      <c r="J5733" t="s">
        <v>133</v>
      </c>
      <c r="K5733" t="s">
        <v>134</v>
      </c>
      <c r="L5733">
        <v>6</v>
      </c>
      <c r="M5733" t="s">
        <v>23486</v>
      </c>
      <c r="N5733" t="s">
        <v>290</v>
      </c>
      <c r="O5733" t="s">
        <v>9477</v>
      </c>
      <c r="P5733" t="s">
        <v>9477</v>
      </c>
      <c r="Y5733" t="s">
        <v>23485</v>
      </c>
    </row>
    <row r="5734" spans="1:25">
      <c r="A5734" t="s">
        <v>23487</v>
      </c>
      <c r="B5734" t="s">
        <v>23488</v>
      </c>
      <c r="D5734" t="s">
        <v>9473</v>
      </c>
      <c r="E5734" t="s">
        <v>9474</v>
      </c>
      <c r="J5734" t="s">
        <v>497</v>
      </c>
      <c r="K5734" t="s">
        <v>498</v>
      </c>
      <c r="L5734">
        <v>6</v>
      </c>
      <c r="M5734" t="s">
        <v>23489</v>
      </c>
      <c r="N5734" t="s">
        <v>135</v>
      </c>
      <c r="O5734" t="s">
        <v>9477</v>
      </c>
      <c r="P5734" t="s">
        <v>9477</v>
      </c>
      <c r="Y5734" t="s">
        <v>23490</v>
      </c>
    </row>
    <row r="5735" spans="1:25">
      <c r="A5735" t="s">
        <v>23491</v>
      </c>
      <c r="B5735" t="s">
        <v>23492</v>
      </c>
      <c r="D5735" t="s">
        <v>9473</v>
      </c>
      <c r="E5735" t="s">
        <v>9474</v>
      </c>
      <c r="J5735" t="s">
        <v>44</v>
      </c>
      <c r="K5735" t="s">
        <v>45</v>
      </c>
      <c r="L5735">
        <v>6</v>
      </c>
      <c r="M5735" t="s">
        <v>23493</v>
      </c>
      <c r="N5735" t="s">
        <v>47</v>
      </c>
      <c r="O5735" t="s">
        <v>9477</v>
      </c>
      <c r="P5735" t="s">
        <v>9477</v>
      </c>
      <c r="Y5735" t="s">
        <v>23494</v>
      </c>
    </row>
    <row r="5736" spans="1:25">
      <c r="A5736" t="s">
        <v>23495</v>
      </c>
      <c r="B5736" t="s">
        <v>23496</v>
      </c>
      <c r="D5736" t="s">
        <v>9473</v>
      </c>
      <c r="E5736" t="s">
        <v>9474</v>
      </c>
      <c r="J5736" t="s">
        <v>90</v>
      </c>
      <c r="K5736" t="s">
        <v>91</v>
      </c>
      <c r="L5736">
        <v>6</v>
      </c>
      <c r="M5736" t="s">
        <v>23493</v>
      </c>
      <c r="N5736" t="s">
        <v>47</v>
      </c>
      <c r="O5736" t="s">
        <v>9477</v>
      </c>
      <c r="P5736" t="s">
        <v>9477</v>
      </c>
      <c r="Y5736" t="s">
        <v>23497</v>
      </c>
    </row>
    <row r="5737" spans="1:25">
      <c r="A5737" t="s">
        <v>23498</v>
      </c>
      <c r="B5737" t="s">
        <v>23499</v>
      </c>
      <c r="D5737" t="s">
        <v>9473</v>
      </c>
      <c r="E5737" t="s">
        <v>9474</v>
      </c>
      <c r="J5737" t="s">
        <v>90</v>
      </c>
      <c r="K5737" t="s">
        <v>91</v>
      </c>
      <c r="L5737">
        <v>6</v>
      </c>
      <c r="M5737" t="s">
        <v>23493</v>
      </c>
      <c r="N5737" t="s">
        <v>47</v>
      </c>
      <c r="O5737" t="s">
        <v>9477</v>
      </c>
      <c r="P5737" t="s">
        <v>9477</v>
      </c>
      <c r="Y5737" t="s">
        <v>23500</v>
      </c>
    </row>
    <row r="5738" spans="1:25">
      <c r="A5738" t="s">
        <v>23501</v>
      </c>
      <c r="B5738" t="s">
        <v>23502</v>
      </c>
      <c r="D5738" t="s">
        <v>9473</v>
      </c>
      <c r="E5738" t="s">
        <v>9474</v>
      </c>
      <c r="J5738" t="s">
        <v>497</v>
      </c>
      <c r="K5738" t="s">
        <v>498</v>
      </c>
      <c r="L5738">
        <v>6</v>
      </c>
      <c r="M5738" t="s">
        <v>23503</v>
      </c>
      <c r="N5738" t="s">
        <v>685</v>
      </c>
      <c r="O5738" t="s">
        <v>9477</v>
      </c>
      <c r="P5738" t="s">
        <v>9477</v>
      </c>
      <c r="Y5738" t="s">
        <v>23504</v>
      </c>
    </row>
    <row r="5739" spans="1:25">
      <c r="A5739" t="s">
        <v>23505</v>
      </c>
      <c r="B5739" t="s">
        <v>23506</v>
      </c>
      <c r="D5739" t="s">
        <v>9473</v>
      </c>
      <c r="E5739" t="s">
        <v>9474</v>
      </c>
      <c r="J5739" t="s">
        <v>90</v>
      </c>
      <c r="K5739" t="s">
        <v>91</v>
      </c>
      <c r="L5739">
        <v>6</v>
      </c>
      <c r="M5739" t="s">
        <v>23503</v>
      </c>
      <c r="N5739" t="s">
        <v>47</v>
      </c>
      <c r="O5739" t="s">
        <v>9477</v>
      </c>
      <c r="P5739" t="s">
        <v>9477</v>
      </c>
      <c r="Y5739" t="s">
        <v>23507</v>
      </c>
    </row>
    <row r="5740" spans="1:25">
      <c r="A5740" t="s">
        <v>23508</v>
      </c>
      <c r="B5740" t="s">
        <v>23509</v>
      </c>
      <c r="D5740" t="s">
        <v>9473</v>
      </c>
      <c r="E5740" t="s">
        <v>9474</v>
      </c>
      <c r="J5740" t="s">
        <v>90</v>
      </c>
      <c r="K5740" t="s">
        <v>91</v>
      </c>
      <c r="L5740">
        <v>6</v>
      </c>
      <c r="M5740" t="s">
        <v>23510</v>
      </c>
      <c r="N5740" t="s">
        <v>47</v>
      </c>
      <c r="O5740" t="s">
        <v>9477</v>
      </c>
      <c r="P5740" t="s">
        <v>9477</v>
      </c>
      <c r="Y5740" t="s">
        <v>23511</v>
      </c>
    </row>
    <row r="5741" spans="1:25">
      <c r="A5741" t="s">
        <v>23512</v>
      </c>
      <c r="B5741" t="s">
        <v>23513</v>
      </c>
      <c r="D5741" t="s">
        <v>9473</v>
      </c>
      <c r="E5741" t="s">
        <v>9474</v>
      </c>
      <c r="J5741" t="s">
        <v>54</v>
      </c>
      <c r="K5741" t="s">
        <v>55</v>
      </c>
      <c r="L5741">
        <v>6</v>
      </c>
      <c r="M5741" t="s">
        <v>23514</v>
      </c>
      <c r="N5741" t="s">
        <v>47</v>
      </c>
      <c r="O5741" t="s">
        <v>9477</v>
      </c>
      <c r="P5741" t="s">
        <v>9477</v>
      </c>
      <c r="Y5741" t="s">
        <v>23515</v>
      </c>
    </row>
    <row r="5742" spans="1:25">
      <c r="A5742" t="s">
        <v>23516</v>
      </c>
      <c r="B5742" t="s">
        <v>23517</v>
      </c>
      <c r="D5742" t="s">
        <v>9473</v>
      </c>
      <c r="E5742" t="s">
        <v>9474</v>
      </c>
      <c r="J5742" t="s">
        <v>133</v>
      </c>
      <c r="K5742" t="s">
        <v>134</v>
      </c>
      <c r="L5742">
        <v>6</v>
      </c>
      <c r="M5742" t="s">
        <v>23518</v>
      </c>
      <c r="N5742" t="s">
        <v>135</v>
      </c>
      <c r="O5742" t="s">
        <v>9477</v>
      </c>
      <c r="P5742" t="s">
        <v>9477</v>
      </c>
      <c r="Y5742" t="s">
        <v>23519</v>
      </c>
    </row>
    <row r="5743" spans="1:25">
      <c r="A5743" t="s">
        <v>23520</v>
      </c>
      <c r="B5743" t="s">
        <v>23521</v>
      </c>
      <c r="D5743" t="s">
        <v>9473</v>
      </c>
      <c r="E5743" t="s">
        <v>9474</v>
      </c>
      <c r="J5743" t="s">
        <v>54</v>
      </c>
      <c r="K5743" t="s">
        <v>55</v>
      </c>
      <c r="L5743">
        <v>6</v>
      </c>
      <c r="M5743" t="s">
        <v>23522</v>
      </c>
      <c r="N5743" t="s">
        <v>47</v>
      </c>
      <c r="O5743" t="s">
        <v>9477</v>
      </c>
      <c r="P5743" t="s">
        <v>9477</v>
      </c>
      <c r="Y5743" t="s">
        <v>23523</v>
      </c>
    </row>
    <row r="5744" spans="1:25">
      <c r="A5744" t="s">
        <v>23524</v>
      </c>
      <c r="B5744" t="s">
        <v>23525</v>
      </c>
      <c r="D5744" t="s">
        <v>9473</v>
      </c>
      <c r="E5744" t="s">
        <v>9474</v>
      </c>
      <c r="H5744" t="s">
        <v>23526</v>
      </c>
      <c r="J5744" t="s">
        <v>54</v>
      </c>
      <c r="K5744" t="s">
        <v>55</v>
      </c>
      <c r="L5744">
        <v>6</v>
      </c>
      <c r="M5744" t="s">
        <v>23522</v>
      </c>
      <c r="N5744" t="s">
        <v>47</v>
      </c>
      <c r="O5744" t="s">
        <v>9477</v>
      </c>
      <c r="P5744" t="s">
        <v>9477</v>
      </c>
      <c r="Y5744" t="s">
        <v>23526</v>
      </c>
    </row>
    <row r="5745" spans="1:25">
      <c r="A5745" t="s">
        <v>23527</v>
      </c>
      <c r="B5745" t="s">
        <v>23528</v>
      </c>
      <c r="D5745" t="s">
        <v>9473</v>
      </c>
      <c r="E5745" t="s">
        <v>9474</v>
      </c>
      <c r="J5745" t="s">
        <v>90</v>
      </c>
      <c r="K5745" t="s">
        <v>91</v>
      </c>
      <c r="L5745">
        <v>6</v>
      </c>
      <c r="M5745" t="s">
        <v>23529</v>
      </c>
      <c r="N5745" t="s">
        <v>47</v>
      </c>
      <c r="O5745" t="s">
        <v>9477</v>
      </c>
      <c r="P5745" t="s">
        <v>9477</v>
      </c>
      <c r="Y5745" t="s">
        <v>23530</v>
      </c>
    </row>
    <row r="5746" spans="1:25">
      <c r="A5746" t="s">
        <v>23531</v>
      </c>
      <c r="B5746" t="s">
        <v>23532</v>
      </c>
      <c r="D5746" t="s">
        <v>9473</v>
      </c>
      <c r="E5746" t="s">
        <v>9474</v>
      </c>
      <c r="H5746" t="s">
        <v>23533</v>
      </c>
      <c r="J5746" t="s">
        <v>133</v>
      </c>
      <c r="K5746" t="s">
        <v>134</v>
      </c>
      <c r="L5746">
        <v>6</v>
      </c>
      <c r="M5746" t="s">
        <v>23529</v>
      </c>
      <c r="N5746" t="s">
        <v>685</v>
      </c>
      <c r="O5746" t="s">
        <v>9477</v>
      </c>
      <c r="P5746" t="s">
        <v>9477</v>
      </c>
      <c r="Y5746" t="s">
        <v>23533</v>
      </c>
    </row>
    <row r="5747" spans="1:25">
      <c r="A5747" t="s">
        <v>23534</v>
      </c>
      <c r="B5747" t="s">
        <v>23535</v>
      </c>
      <c r="D5747" t="s">
        <v>9473</v>
      </c>
      <c r="E5747" t="s">
        <v>9474</v>
      </c>
      <c r="J5747" t="s">
        <v>90</v>
      </c>
      <c r="K5747" t="s">
        <v>91</v>
      </c>
      <c r="L5747">
        <v>6</v>
      </c>
      <c r="M5747" t="s">
        <v>23529</v>
      </c>
      <c r="N5747" t="s">
        <v>47</v>
      </c>
      <c r="O5747" t="s">
        <v>9477</v>
      </c>
      <c r="P5747" t="s">
        <v>9477</v>
      </c>
      <c r="Y5747" t="s">
        <v>23536</v>
      </c>
    </row>
    <row r="5748" spans="1:25">
      <c r="A5748" t="s">
        <v>23537</v>
      </c>
      <c r="B5748" t="s">
        <v>23538</v>
      </c>
      <c r="D5748" t="s">
        <v>9473</v>
      </c>
      <c r="E5748" t="s">
        <v>9474</v>
      </c>
      <c r="J5748" t="s">
        <v>54</v>
      </c>
      <c r="K5748" t="s">
        <v>55</v>
      </c>
      <c r="L5748">
        <v>6</v>
      </c>
      <c r="M5748" t="s">
        <v>23539</v>
      </c>
      <c r="N5748" t="s">
        <v>47</v>
      </c>
      <c r="O5748" t="s">
        <v>9477</v>
      </c>
      <c r="P5748" t="s">
        <v>9477</v>
      </c>
      <c r="Y5748" t="s">
        <v>23540</v>
      </c>
    </row>
    <row r="5749" spans="1:25">
      <c r="A5749" t="s">
        <v>23541</v>
      </c>
      <c r="B5749" t="s">
        <v>23542</v>
      </c>
      <c r="D5749" t="s">
        <v>9473</v>
      </c>
      <c r="E5749" t="s">
        <v>9474</v>
      </c>
      <c r="H5749" t="s">
        <v>23543</v>
      </c>
      <c r="J5749" t="s">
        <v>133</v>
      </c>
      <c r="K5749" t="s">
        <v>134</v>
      </c>
      <c r="L5749">
        <v>6</v>
      </c>
      <c r="M5749" t="s">
        <v>23539</v>
      </c>
      <c r="N5749" t="s">
        <v>135</v>
      </c>
      <c r="O5749" t="s">
        <v>9477</v>
      </c>
      <c r="P5749" t="s">
        <v>9477</v>
      </c>
      <c r="Y5749" t="s">
        <v>23543</v>
      </c>
    </row>
    <row r="5750" spans="1:25">
      <c r="A5750" t="s">
        <v>23544</v>
      </c>
      <c r="B5750" t="s">
        <v>23545</v>
      </c>
      <c r="D5750" t="s">
        <v>9473</v>
      </c>
      <c r="E5750" t="s">
        <v>9474</v>
      </c>
      <c r="H5750" t="s">
        <v>23546</v>
      </c>
      <c r="J5750" t="s">
        <v>44</v>
      </c>
      <c r="K5750" t="s">
        <v>45</v>
      </c>
      <c r="L5750">
        <v>6</v>
      </c>
      <c r="M5750" t="s">
        <v>23547</v>
      </c>
      <c r="N5750" t="s">
        <v>47</v>
      </c>
      <c r="O5750" t="s">
        <v>9477</v>
      </c>
      <c r="P5750" t="s">
        <v>9477</v>
      </c>
      <c r="Y5750" t="s">
        <v>23546</v>
      </c>
    </row>
    <row r="5751" spans="1:25">
      <c r="A5751" t="s">
        <v>23548</v>
      </c>
      <c r="B5751" t="s">
        <v>23549</v>
      </c>
      <c r="D5751" t="s">
        <v>9473</v>
      </c>
      <c r="E5751" t="s">
        <v>9474</v>
      </c>
      <c r="J5751" t="s">
        <v>78</v>
      </c>
      <c r="K5751" t="s">
        <v>79</v>
      </c>
      <c r="L5751">
        <v>6</v>
      </c>
      <c r="M5751" t="s">
        <v>23547</v>
      </c>
      <c r="N5751" t="s">
        <v>47</v>
      </c>
      <c r="O5751" t="s">
        <v>9477</v>
      </c>
      <c r="P5751" t="s">
        <v>9477</v>
      </c>
      <c r="Y5751" t="s">
        <v>23550</v>
      </c>
    </row>
    <row r="5752" spans="1:25">
      <c r="A5752" t="s">
        <v>23551</v>
      </c>
      <c r="B5752" t="s">
        <v>23552</v>
      </c>
      <c r="D5752" t="s">
        <v>9473</v>
      </c>
      <c r="E5752" t="s">
        <v>9474</v>
      </c>
      <c r="J5752" t="s">
        <v>90</v>
      </c>
      <c r="K5752" t="s">
        <v>91</v>
      </c>
      <c r="L5752">
        <v>6</v>
      </c>
      <c r="M5752" t="s">
        <v>23553</v>
      </c>
      <c r="N5752" t="s">
        <v>47</v>
      </c>
      <c r="O5752" t="s">
        <v>9477</v>
      </c>
      <c r="P5752" t="s">
        <v>9477</v>
      </c>
      <c r="Y5752" t="s">
        <v>23554</v>
      </c>
    </row>
    <row r="5753" spans="1:25">
      <c r="A5753" t="s">
        <v>23555</v>
      </c>
      <c r="B5753" t="s">
        <v>23556</v>
      </c>
      <c r="D5753" t="s">
        <v>9473</v>
      </c>
      <c r="E5753" t="s">
        <v>9474</v>
      </c>
      <c r="J5753" t="s">
        <v>133</v>
      </c>
      <c r="K5753" t="s">
        <v>134</v>
      </c>
      <c r="L5753">
        <v>6</v>
      </c>
      <c r="M5753" t="s">
        <v>23553</v>
      </c>
      <c r="N5753" t="s">
        <v>290</v>
      </c>
      <c r="O5753" t="s">
        <v>9477</v>
      </c>
      <c r="P5753" t="s">
        <v>9477</v>
      </c>
      <c r="Y5753" t="s">
        <v>23557</v>
      </c>
    </row>
    <row r="5754" spans="1:25">
      <c r="A5754" t="s">
        <v>23558</v>
      </c>
      <c r="B5754" t="s">
        <v>23559</v>
      </c>
      <c r="D5754" t="s">
        <v>9473</v>
      </c>
      <c r="E5754" t="s">
        <v>9474</v>
      </c>
      <c r="H5754" t="s">
        <v>23560</v>
      </c>
      <c r="J5754" t="s">
        <v>497</v>
      </c>
      <c r="K5754" t="s">
        <v>498</v>
      </c>
      <c r="L5754">
        <v>6</v>
      </c>
      <c r="M5754" t="s">
        <v>23561</v>
      </c>
      <c r="N5754" t="s">
        <v>685</v>
      </c>
      <c r="O5754" t="s">
        <v>9477</v>
      </c>
      <c r="P5754" t="s">
        <v>9477</v>
      </c>
      <c r="Y5754" t="s">
        <v>23560</v>
      </c>
    </row>
    <row r="5755" spans="1:25">
      <c r="A5755" t="s">
        <v>23562</v>
      </c>
      <c r="B5755" t="s">
        <v>23563</v>
      </c>
      <c r="D5755" t="s">
        <v>9473</v>
      </c>
      <c r="E5755" t="s">
        <v>9474</v>
      </c>
      <c r="J5755" t="s">
        <v>54</v>
      </c>
      <c r="K5755" t="s">
        <v>55</v>
      </c>
      <c r="L5755">
        <v>6</v>
      </c>
      <c r="M5755" t="s">
        <v>23561</v>
      </c>
      <c r="N5755" t="s">
        <v>47</v>
      </c>
      <c r="O5755" t="s">
        <v>9477</v>
      </c>
      <c r="P5755" t="s">
        <v>9477</v>
      </c>
      <c r="Y5755" t="s">
        <v>23564</v>
      </c>
    </row>
    <row r="5756" spans="1:25">
      <c r="A5756" t="s">
        <v>23565</v>
      </c>
      <c r="B5756" t="s">
        <v>23566</v>
      </c>
      <c r="D5756" t="s">
        <v>9473</v>
      </c>
      <c r="E5756" t="s">
        <v>9474</v>
      </c>
      <c r="H5756" t="s">
        <v>23567</v>
      </c>
      <c r="J5756" t="s">
        <v>371</v>
      </c>
      <c r="K5756" t="s">
        <v>372</v>
      </c>
      <c r="L5756">
        <v>6</v>
      </c>
      <c r="M5756" t="s">
        <v>23561</v>
      </c>
      <c r="N5756" t="s">
        <v>47</v>
      </c>
      <c r="O5756" t="s">
        <v>9477</v>
      </c>
      <c r="P5756" t="s">
        <v>9477</v>
      </c>
      <c r="Y5756" t="s">
        <v>23567</v>
      </c>
    </row>
    <row r="5757" spans="1:25">
      <c r="A5757" t="s">
        <v>23568</v>
      </c>
      <c r="B5757" t="s">
        <v>23569</v>
      </c>
      <c r="D5757" t="s">
        <v>9473</v>
      </c>
      <c r="E5757" t="s">
        <v>9474</v>
      </c>
      <c r="J5757" t="s">
        <v>78</v>
      </c>
      <c r="K5757" t="s">
        <v>79</v>
      </c>
      <c r="L5757">
        <v>6</v>
      </c>
      <c r="M5757" t="s">
        <v>23570</v>
      </c>
      <c r="N5757" t="s">
        <v>47</v>
      </c>
      <c r="O5757" t="s">
        <v>9477</v>
      </c>
      <c r="P5757" t="s">
        <v>9477</v>
      </c>
      <c r="Y5757" t="s">
        <v>23571</v>
      </c>
    </row>
    <row r="5758" spans="1:25">
      <c r="A5758" t="s">
        <v>23572</v>
      </c>
      <c r="B5758" t="s">
        <v>23573</v>
      </c>
      <c r="D5758" t="s">
        <v>9473</v>
      </c>
      <c r="E5758" t="s">
        <v>9474</v>
      </c>
      <c r="J5758" t="s">
        <v>90</v>
      </c>
      <c r="K5758" t="s">
        <v>91</v>
      </c>
      <c r="L5758">
        <v>6</v>
      </c>
      <c r="M5758" t="s">
        <v>23574</v>
      </c>
      <c r="N5758" t="s">
        <v>47</v>
      </c>
      <c r="O5758" t="s">
        <v>9477</v>
      </c>
      <c r="P5758" t="s">
        <v>9477</v>
      </c>
      <c r="Y5758" t="s">
        <v>23575</v>
      </c>
    </row>
    <row r="5759" spans="1:25">
      <c r="A5759" t="s">
        <v>23576</v>
      </c>
      <c r="B5759" t="s">
        <v>23577</v>
      </c>
      <c r="D5759" t="s">
        <v>9473</v>
      </c>
      <c r="E5759" t="s">
        <v>9474</v>
      </c>
      <c r="J5759" t="s">
        <v>90</v>
      </c>
      <c r="K5759" t="s">
        <v>91</v>
      </c>
      <c r="L5759">
        <v>6</v>
      </c>
      <c r="M5759" t="s">
        <v>23578</v>
      </c>
      <c r="N5759" t="s">
        <v>47</v>
      </c>
      <c r="O5759" t="s">
        <v>9477</v>
      </c>
      <c r="P5759" t="s">
        <v>9477</v>
      </c>
      <c r="Y5759" t="s">
        <v>23579</v>
      </c>
    </row>
    <row r="5760" spans="1:25">
      <c r="A5760" t="s">
        <v>23580</v>
      </c>
      <c r="B5760" t="s">
        <v>23581</v>
      </c>
      <c r="D5760" t="s">
        <v>9473</v>
      </c>
      <c r="E5760" t="s">
        <v>9474</v>
      </c>
      <c r="J5760" t="s">
        <v>44</v>
      </c>
      <c r="K5760" t="s">
        <v>45</v>
      </c>
      <c r="L5760">
        <v>6</v>
      </c>
      <c r="M5760" t="s">
        <v>23578</v>
      </c>
      <c r="N5760" t="s">
        <v>47</v>
      </c>
      <c r="O5760" t="s">
        <v>9477</v>
      </c>
      <c r="P5760" t="s">
        <v>9477</v>
      </c>
      <c r="Y5760" t="s">
        <v>23582</v>
      </c>
    </row>
    <row r="5761" spans="1:25">
      <c r="A5761" t="s">
        <v>23583</v>
      </c>
      <c r="B5761" t="s">
        <v>23584</v>
      </c>
      <c r="D5761" t="s">
        <v>9473</v>
      </c>
      <c r="E5761" t="s">
        <v>9474</v>
      </c>
      <c r="J5761" t="s">
        <v>1827</v>
      </c>
      <c r="K5761" t="s">
        <v>1828</v>
      </c>
      <c r="L5761">
        <v>6</v>
      </c>
      <c r="M5761" t="s">
        <v>23578</v>
      </c>
      <c r="N5761" t="s">
        <v>47</v>
      </c>
      <c r="O5761" t="s">
        <v>9477</v>
      </c>
      <c r="P5761" t="s">
        <v>9477</v>
      </c>
      <c r="Y5761" t="s">
        <v>23585</v>
      </c>
    </row>
    <row r="5762" spans="1:25">
      <c r="A5762" t="s">
        <v>23586</v>
      </c>
      <c r="B5762" t="s">
        <v>23587</v>
      </c>
      <c r="D5762" t="s">
        <v>9473</v>
      </c>
      <c r="E5762" t="s">
        <v>9474</v>
      </c>
      <c r="H5762" t="s">
        <v>23588</v>
      </c>
      <c r="J5762" t="s">
        <v>541</v>
      </c>
      <c r="K5762" t="s">
        <v>542</v>
      </c>
      <c r="L5762">
        <v>6</v>
      </c>
      <c r="M5762" t="s">
        <v>23578</v>
      </c>
      <c r="N5762" t="s">
        <v>290</v>
      </c>
      <c r="O5762" t="s">
        <v>9477</v>
      </c>
      <c r="P5762" t="s">
        <v>9477</v>
      </c>
      <c r="Y5762" t="s">
        <v>23588</v>
      </c>
    </row>
    <row r="5763" spans="1:25">
      <c r="A5763" t="s">
        <v>23589</v>
      </c>
      <c r="B5763" t="s">
        <v>23590</v>
      </c>
      <c r="D5763" t="s">
        <v>9473</v>
      </c>
      <c r="E5763" t="s">
        <v>9474</v>
      </c>
      <c r="H5763" t="s">
        <v>23591</v>
      </c>
      <c r="J5763" t="s">
        <v>497</v>
      </c>
      <c r="K5763" t="s">
        <v>498</v>
      </c>
      <c r="L5763">
        <v>6</v>
      </c>
      <c r="M5763" t="s">
        <v>23592</v>
      </c>
      <c r="N5763" t="s">
        <v>290</v>
      </c>
      <c r="O5763" t="s">
        <v>9477</v>
      </c>
      <c r="P5763" t="s">
        <v>9477</v>
      </c>
      <c r="Y5763" t="s">
        <v>23591</v>
      </c>
    </row>
    <row r="5764" spans="1:25">
      <c r="A5764" t="s">
        <v>23593</v>
      </c>
      <c r="B5764" t="s">
        <v>23594</v>
      </c>
      <c r="D5764" t="s">
        <v>9473</v>
      </c>
      <c r="E5764" t="s">
        <v>9474</v>
      </c>
      <c r="J5764" t="s">
        <v>78</v>
      </c>
      <c r="K5764" t="s">
        <v>79</v>
      </c>
      <c r="L5764">
        <v>6</v>
      </c>
      <c r="M5764" t="s">
        <v>23595</v>
      </c>
      <c r="N5764" t="s">
        <v>47</v>
      </c>
      <c r="O5764" t="s">
        <v>9477</v>
      </c>
      <c r="P5764" t="s">
        <v>9477</v>
      </c>
      <c r="Y5764" t="s">
        <v>23596</v>
      </c>
    </row>
    <row r="5765" spans="1:25">
      <c r="A5765" t="s">
        <v>23597</v>
      </c>
      <c r="B5765" t="s">
        <v>23598</v>
      </c>
      <c r="D5765" t="s">
        <v>9473</v>
      </c>
      <c r="E5765" t="s">
        <v>9474</v>
      </c>
      <c r="H5765" t="s">
        <v>23599</v>
      </c>
      <c r="J5765" t="s">
        <v>90</v>
      </c>
      <c r="K5765" t="s">
        <v>91</v>
      </c>
      <c r="L5765">
        <v>6</v>
      </c>
      <c r="M5765" t="s">
        <v>23600</v>
      </c>
      <c r="N5765" t="s">
        <v>47</v>
      </c>
      <c r="O5765" t="s">
        <v>9477</v>
      </c>
      <c r="P5765" t="s">
        <v>9477</v>
      </c>
      <c r="Y5765" t="s">
        <v>23599</v>
      </c>
    </row>
    <row r="5766" spans="1:25">
      <c r="A5766" t="s">
        <v>23601</v>
      </c>
      <c r="B5766" t="s">
        <v>23602</v>
      </c>
      <c r="D5766" t="s">
        <v>9473</v>
      </c>
      <c r="E5766" t="s">
        <v>9474</v>
      </c>
      <c r="H5766" t="s">
        <v>23603</v>
      </c>
      <c r="J5766" t="s">
        <v>54</v>
      </c>
      <c r="K5766" t="s">
        <v>55</v>
      </c>
      <c r="L5766">
        <v>6</v>
      </c>
      <c r="M5766" t="s">
        <v>23604</v>
      </c>
      <c r="N5766" t="s">
        <v>47</v>
      </c>
      <c r="O5766" t="s">
        <v>9477</v>
      </c>
      <c r="P5766" t="s">
        <v>9477</v>
      </c>
      <c r="Y5766" t="s">
        <v>23603</v>
      </c>
    </row>
    <row r="5767" spans="1:25">
      <c r="A5767" t="s">
        <v>23605</v>
      </c>
      <c r="B5767" t="s">
        <v>23606</v>
      </c>
      <c r="D5767" t="s">
        <v>9473</v>
      </c>
      <c r="E5767" t="s">
        <v>9474</v>
      </c>
      <c r="H5767" t="s">
        <v>23607</v>
      </c>
      <c r="J5767" t="s">
        <v>133</v>
      </c>
      <c r="K5767" t="s">
        <v>134</v>
      </c>
      <c r="L5767">
        <v>6</v>
      </c>
      <c r="M5767" t="s">
        <v>23608</v>
      </c>
      <c r="N5767" t="s">
        <v>290</v>
      </c>
      <c r="O5767" t="s">
        <v>9477</v>
      </c>
      <c r="P5767" t="s">
        <v>9477</v>
      </c>
      <c r="Y5767" t="s">
        <v>23607</v>
      </c>
    </row>
    <row r="5768" spans="1:25">
      <c r="A5768" t="s">
        <v>23609</v>
      </c>
      <c r="B5768" t="s">
        <v>23610</v>
      </c>
      <c r="D5768" t="s">
        <v>9473</v>
      </c>
      <c r="E5768" t="s">
        <v>9474</v>
      </c>
      <c r="J5768" t="s">
        <v>54</v>
      </c>
      <c r="K5768" t="s">
        <v>55</v>
      </c>
      <c r="L5768">
        <v>6</v>
      </c>
      <c r="M5768" t="s">
        <v>23608</v>
      </c>
      <c r="N5768" t="s">
        <v>47</v>
      </c>
      <c r="O5768" t="s">
        <v>9477</v>
      </c>
      <c r="P5768" t="s">
        <v>9477</v>
      </c>
      <c r="Y5768" t="s">
        <v>23611</v>
      </c>
    </row>
    <row r="5769" spans="1:25">
      <c r="A5769" t="s">
        <v>23612</v>
      </c>
      <c r="B5769" t="s">
        <v>23613</v>
      </c>
      <c r="D5769" t="s">
        <v>9473</v>
      </c>
      <c r="E5769" t="s">
        <v>9474</v>
      </c>
      <c r="J5769" t="s">
        <v>90</v>
      </c>
      <c r="K5769" t="s">
        <v>91</v>
      </c>
      <c r="L5769">
        <v>6</v>
      </c>
      <c r="M5769" t="s">
        <v>23614</v>
      </c>
      <c r="N5769" t="s">
        <v>47</v>
      </c>
      <c r="O5769" t="s">
        <v>9477</v>
      </c>
      <c r="P5769" t="s">
        <v>9477</v>
      </c>
      <c r="Y5769" t="s">
        <v>23615</v>
      </c>
    </row>
    <row r="5770" spans="1:25">
      <c r="A5770" t="s">
        <v>23616</v>
      </c>
      <c r="B5770" t="s">
        <v>23617</v>
      </c>
      <c r="D5770" t="s">
        <v>9473</v>
      </c>
      <c r="E5770" t="s">
        <v>9474</v>
      </c>
      <c r="J5770" t="s">
        <v>54</v>
      </c>
      <c r="K5770" t="s">
        <v>55</v>
      </c>
      <c r="L5770">
        <v>6</v>
      </c>
      <c r="M5770" t="s">
        <v>23618</v>
      </c>
      <c r="N5770" t="s">
        <v>47</v>
      </c>
      <c r="O5770" t="s">
        <v>9477</v>
      </c>
      <c r="P5770" t="s">
        <v>9477</v>
      </c>
      <c r="Y5770" t="s">
        <v>23619</v>
      </c>
    </row>
    <row r="5771" spans="1:25">
      <c r="A5771" t="s">
        <v>23620</v>
      </c>
      <c r="B5771" t="s">
        <v>23621</v>
      </c>
      <c r="D5771" t="s">
        <v>9473</v>
      </c>
      <c r="E5771" t="s">
        <v>9474</v>
      </c>
      <c r="H5771" t="s">
        <v>23622</v>
      </c>
      <c r="J5771" t="s">
        <v>133</v>
      </c>
      <c r="K5771" t="s">
        <v>134</v>
      </c>
      <c r="L5771">
        <v>6</v>
      </c>
      <c r="M5771" t="s">
        <v>23623</v>
      </c>
      <c r="N5771" t="s">
        <v>290</v>
      </c>
      <c r="O5771" t="s">
        <v>9477</v>
      </c>
      <c r="P5771" t="s">
        <v>9477</v>
      </c>
      <c r="Y5771" t="s">
        <v>23622</v>
      </c>
    </row>
    <row r="5772" spans="1:25">
      <c r="A5772" t="s">
        <v>23624</v>
      </c>
      <c r="B5772" t="s">
        <v>23625</v>
      </c>
      <c r="D5772" t="s">
        <v>9473</v>
      </c>
      <c r="E5772" t="s">
        <v>9474</v>
      </c>
      <c r="J5772" t="s">
        <v>90</v>
      </c>
      <c r="K5772" t="s">
        <v>91</v>
      </c>
      <c r="L5772">
        <v>6</v>
      </c>
      <c r="M5772" t="s">
        <v>23626</v>
      </c>
      <c r="N5772" t="s">
        <v>47</v>
      </c>
      <c r="O5772" t="s">
        <v>9477</v>
      </c>
      <c r="P5772" t="s">
        <v>9477</v>
      </c>
      <c r="Y5772" t="s">
        <v>23627</v>
      </c>
    </row>
    <row r="5773" spans="1:25">
      <c r="A5773" t="s">
        <v>23628</v>
      </c>
      <c r="B5773" t="s">
        <v>23629</v>
      </c>
      <c r="D5773" t="s">
        <v>9473</v>
      </c>
      <c r="E5773" t="s">
        <v>9474</v>
      </c>
      <c r="H5773" t="s">
        <v>23630</v>
      </c>
      <c r="J5773" t="s">
        <v>371</v>
      </c>
      <c r="K5773" t="s">
        <v>372</v>
      </c>
      <c r="L5773">
        <v>6</v>
      </c>
      <c r="M5773" t="s">
        <v>23631</v>
      </c>
      <c r="N5773" t="s">
        <v>47</v>
      </c>
      <c r="O5773" t="s">
        <v>9477</v>
      </c>
      <c r="P5773" t="s">
        <v>9477</v>
      </c>
      <c r="Y5773" t="s">
        <v>23630</v>
      </c>
    </row>
    <row r="5774" spans="1:25">
      <c r="A5774" t="s">
        <v>23632</v>
      </c>
      <c r="B5774" t="s">
        <v>23633</v>
      </c>
      <c r="D5774" t="s">
        <v>9473</v>
      </c>
      <c r="E5774" t="s">
        <v>9474</v>
      </c>
      <c r="J5774" t="s">
        <v>44</v>
      </c>
      <c r="K5774" t="s">
        <v>45</v>
      </c>
      <c r="L5774">
        <v>6</v>
      </c>
      <c r="M5774" t="s">
        <v>23631</v>
      </c>
      <c r="N5774" t="s">
        <v>47</v>
      </c>
      <c r="O5774" t="s">
        <v>9477</v>
      </c>
      <c r="P5774" t="s">
        <v>9477</v>
      </c>
      <c r="Y5774" t="s">
        <v>23634</v>
      </c>
    </row>
    <row r="5775" spans="1:25">
      <c r="A5775" t="s">
        <v>23635</v>
      </c>
      <c r="B5775" t="s">
        <v>23636</v>
      </c>
      <c r="D5775" t="s">
        <v>9473</v>
      </c>
      <c r="E5775" t="s">
        <v>9474</v>
      </c>
      <c r="J5775" t="s">
        <v>44</v>
      </c>
      <c r="K5775" t="s">
        <v>45</v>
      </c>
      <c r="L5775">
        <v>6</v>
      </c>
      <c r="M5775" t="s">
        <v>23631</v>
      </c>
      <c r="N5775" t="s">
        <v>47</v>
      </c>
      <c r="O5775" t="s">
        <v>9477</v>
      </c>
      <c r="P5775" t="s">
        <v>9477</v>
      </c>
      <c r="Y5775" t="s">
        <v>23637</v>
      </c>
    </row>
    <row r="5776" spans="1:25">
      <c r="A5776" t="s">
        <v>23638</v>
      </c>
      <c r="B5776" t="s">
        <v>23639</v>
      </c>
      <c r="D5776" t="s">
        <v>9473</v>
      </c>
      <c r="E5776" t="s">
        <v>9474</v>
      </c>
      <c r="J5776" t="s">
        <v>90</v>
      </c>
      <c r="K5776" t="s">
        <v>91</v>
      </c>
      <c r="L5776">
        <v>6</v>
      </c>
      <c r="M5776" t="s">
        <v>23640</v>
      </c>
      <c r="N5776" t="s">
        <v>47</v>
      </c>
      <c r="O5776" t="s">
        <v>9477</v>
      </c>
      <c r="P5776" t="s">
        <v>9477</v>
      </c>
      <c r="Y5776" t="s">
        <v>23641</v>
      </c>
    </row>
    <row r="5777" spans="1:25">
      <c r="A5777" t="s">
        <v>23642</v>
      </c>
      <c r="B5777" t="s">
        <v>23643</v>
      </c>
      <c r="D5777" t="s">
        <v>9473</v>
      </c>
      <c r="E5777" t="s">
        <v>9474</v>
      </c>
      <c r="J5777" t="s">
        <v>78</v>
      </c>
      <c r="K5777" t="s">
        <v>79</v>
      </c>
      <c r="L5777">
        <v>6</v>
      </c>
      <c r="M5777" t="s">
        <v>23644</v>
      </c>
      <c r="N5777" t="s">
        <v>47</v>
      </c>
      <c r="O5777" t="s">
        <v>9477</v>
      </c>
      <c r="P5777" t="s">
        <v>9477</v>
      </c>
      <c r="Y5777" t="s">
        <v>23645</v>
      </c>
    </row>
    <row r="5778" spans="1:25">
      <c r="A5778" t="s">
        <v>23646</v>
      </c>
      <c r="B5778" t="s">
        <v>23647</v>
      </c>
      <c r="D5778" t="s">
        <v>9473</v>
      </c>
      <c r="E5778" t="s">
        <v>9474</v>
      </c>
      <c r="J5778" t="s">
        <v>90</v>
      </c>
      <c r="K5778" t="s">
        <v>91</v>
      </c>
      <c r="L5778">
        <v>6</v>
      </c>
      <c r="M5778" t="s">
        <v>23644</v>
      </c>
      <c r="N5778" t="s">
        <v>47</v>
      </c>
      <c r="O5778" t="s">
        <v>9477</v>
      </c>
      <c r="P5778" t="s">
        <v>9477</v>
      </c>
      <c r="Y5778" t="s">
        <v>23648</v>
      </c>
    </row>
    <row r="5779" spans="1:25">
      <c r="A5779" t="s">
        <v>23649</v>
      </c>
      <c r="B5779" t="s">
        <v>23650</v>
      </c>
      <c r="D5779" t="s">
        <v>9473</v>
      </c>
      <c r="E5779" t="s">
        <v>9474</v>
      </c>
      <c r="H5779" t="s">
        <v>23651</v>
      </c>
      <c r="J5779" t="s">
        <v>78</v>
      </c>
      <c r="K5779" t="s">
        <v>79</v>
      </c>
      <c r="L5779">
        <v>6</v>
      </c>
      <c r="M5779" t="s">
        <v>23644</v>
      </c>
      <c r="N5779" t="s">
        <v>47</v>
      </c>
      <c r="O5779" t="s">
        <v>9477</v>
      </c>
      <c r="P5779" t="s">
        <v>9477</v>
      </c>
      <c r="Y5779" t="s">
        <v>23651</v>
      </c>
    </row>
    <row r="5780" spans="1:25">
      <c r="A5780" t="s">
        <v>23652</v>
      </c>
      <c r="B5780" t="s">
        <v>23653</v>
      </c>
      <c r="D5780" t="s">
        <v>9473</v>
      </c>
      <c r="E5780" t="s">
        <v>9474</v>
      </c>
      <c r="H5780" t="s">
        <v>23654</v>
      </c>
      <c r="J5780" t="s">
        <v>90</v>
      </c>
      <c r="K5780" t="s">
        <v>91</v>
      </c>
      <c r="L5780">
        <v>6</v>
      </c>
      <c r="M5780" t="s">
        <v>23644</v>
      </c>
      <c r="N5780" t="s">
        <v>47</v>
      </c>
      <c r="O5780" t="s">
        <v>9477</v>
      </c>
      <c r="P5780" t="s">
        <v>9477</v>
      </c>
      <c r="Y5780" t="s">
        <v>23654</v>
      </c>
    </row>
    <row r="5781" spans="1:25">
      <c r="A5781" t="s">
        <v>23655</v>
      </c>
      <c r="B5781" t="s">
        <v>23656</v>
      </c>
      <c r="D5781" t="s">
        <v>9473</v>
      </c>
      <c r="E5781" t="s">
        <v>9474</v>
      </c>
      <c r="J5781" t="s">
        <v>44</v>
      </c>
      <c r="K5781" t="s">
        <v>45</v>
      </c>
      <c r="L5781">
        <v>6</v>
      </c>
      <c r="M5781" t="s">
        <v>23657</v>
      </c>
      <c r="N5781" t="s">
        <v>47</v>
      </c>
      <c r="O5781" t="s">
        <v>9477</v>
      </c>
      <c r="P5781" t="s">
        <v>9477</v>
      </c>
      <c r="Y5781" t="s">
        <v>23658</v>
      </c>
    </row>
    <row r="5782" spans="1:25">
      <c r="A5782" t="s">
        <v>23659</v>
      </c>
      <c r="B5782" t="s">
        <v>23660</v>
      </c>
      <c r="D5782" t="s">
        <v>9473</v>
      </c>
      <c r="E5782" t="s">
        <v>9474</v>
      </c>
      <c r="J5782" t="s">
        <v>2948</v>
      </c>
      <c r="K5782" t="s">
        <v>2949</v>
      </c>
      <c r="L5782">
        <v>6</v>
      </c>
      <c r="M5782" t="s">
        <v>23661</v>
      </c>
      <c r="N5782" t="s">
        <v>685</v>
      </c>
      <c r="O5782" t="s">
        <v>9477</v>
      </c>
      <c r="P5782" t="s">
        <v>9477</v>
      </c>
      <c r="Y5782" t="s">
        <v>23662</v>
      </c>
    </row>
    <row r="5783" spans="1:25">
      <c r="A5783" t="s">
        <v>23663</v>
      </c>
      <c r="B5783" t="s">
        <v>23664</v>
      </c>
      <c r="D5783" t="s">
        <v>9473</v>
      </c>
      <c r="E5783" t="s">
        <v>9474</v>
      </c>
      <c r="J5783" t="s">
        <v>133</v>
      </c>
      <c r="K5783" t="s">
        <v>134</v>
      </c>
      <c r="L5783">
        <v>6</v>
      </c>
      <c r="M5783" t="s">
        <v>23661</v>
      </c>
      <c r="N5783" t="s">
        <v>290</v>
      </c>
      <c r="O5783" t="s">
        <v>9477</v>
      </c>
      <c r="P5783" t="s">
        <v>9477</v>
      </c>
      <c r="Y5783" t="s">
        <v>23665</v>
      </c>
    </row>
    <row r="5784" spans="1:25">
      <c r="A5784" t="s">
        <v>23666</v>
      </c>
      <c r="B5784" t="s">
        <v>23667</v>
      </c>
      <c r="D5784" t="s">
        <v>9473</v>
      </c>
      <c r="E5784" t="s">
        <v>9474</v>
      </c>
      <c r="H5784" t="s">
        <v>23668</v>
      </c>
      <c r="J5784" t="s">
        <v>90</v>
      </c>
      <c r="K5784" t="s">
        <v>91</v>
      </c>
      <c r="L5784">
        <v>6</v>
      </c>
      <c r="M5784" t="s">
        <v>23669</v>
      </c>
      <c r="N5784" t="s">
        <v>47</v>
      </c>
      <c r="O5784" t="s">
        <v>9477</v>
      </c>
      <c r="P5784" t="s">
        <v>9477</v>
      </c>
      <c r="Y5784" t="s">
        <v>23668</v>
      </c>
    </row>
    <row r="5785" spans="1:25">
      <c r="A5785" t="s">
        <v>23670</v>
      </c>
      <c r="B5785" t="s">
        <v>23671</v>
      </c>
      <c r="D5785" t="s">
        <v>9473</v>
      </c>
      <c r="E5785" t="s">
        <v>9474</v>
      </c>
      <c r="J5785" t="s">
        <v>90</v>
      </c>
      <c r="K5785" t="s">
        <v>91</v>
      </c>
      <c r="L5785">
        <v>6</v>
      </c>
      <c r="M5785" t="s">
        <v>23672</v>
      </c>
      <c r="N5785" t="s">
        <v>47</v>
      </c>
      <c r="O5785" t="s">
        <v>9477</v>
      </c>
      <c r="P5785" t="s">
        <v>9477</v>
      </c>
      <c r="Y5785" t="s">
        <v>23673</v>
      </c>
    </row>
    <row r="5786" spans="1:25">
      <c r="A5786" t="s">
        <v>23674</v>
      </c>
      <c r="B5786" t="s">
        <v>23675</v>
      </c>
      <c r="D5786" t="s">
        <v>9473</v>
      </c>
      <c r="E5786" t="s">
        <v>9474</v>
      </c>
      <c r="J5786" t="s">
        <v>765</v>
      </c>
      <c r="K5786" t="s">
        <v>766</v>
      </c>
      <c r="L5786">
        <v>6</v>
      </c>
      <c r="M5786" t="s">
        <v>23672</v>
      </c>
      <c r="N5786" t="s">
        <v>685</v>
      </c>
      <c r="O5786" t="s">
        <v>9477</v>
      </c>
      <c r="P5786" t="s">
        <v>9477</v>
      </c>
      <c r="Y5786" t="s">
        <v>23676</v>
      </c>
    </row>
    <row r="5787" spans="1:25">
      <c r="A5787" t="s">
        <v>23677</v>
      </c>
      <c r="B5787" t="s">
        <v>23678</v>
      </c>
      <c r="D5787" t="s">
        <v>9473</v>
      </c>
      <c r="E5787" t="s">
        <v>9474</v>
      </c>
      <c r="H5787" t="s">
        <v>23679</v>
      </c>
      <c r="J5787" t="s">
        <v>78</v>
      </c>
      <c r="K5787" t="s">
        <v>79</v>
      </c>
      <c r="L5787">
        <v>6</v>
      </c>
      <c r="M5787" t="s">
        <v>23672</v>
      </c>
      <c r="N5787" t="s">
        <v>47</v>
      </c>
      <c r="O5787" t="s">
        <v>9477</v>
      </c>
      <c r="P5787" t="s">
        <v>9477</v>
      </c>
      <c r="Y5787" t="s">
        <v>23679</v>
      </c>
    </row>
    <row r="5788" spans="1:25">
      <c r="A5788" t="s">
        <v>23680</v>
      </c>
      <c r="B5788" t="s">
        <v>23681</v>
      </c>
      <c r="D5788" t="s">
        <v>9473</v>
      </c>
      <c r="E5788" t="s">
        <v>9474</v>
      </c>
      <c r="J5788" t="s">
        <v>287</v>
      </c>
      <c r="K5788" t="s">
        <v>288</v>
      </c>
      <c r="L5788">
        <v>10</v>
      </c>
      <c r="M5788" t="s">
        <v>23682</v>
      </c>
      <c r="N5788" t="s">
        <v>685</v>
      </c>
      <c r="O5788" t="s">
        <v>9477</v>
      </c>
      <c r="P5788" t="s">
        <v>9477</v>
      </c>
      <c r="Y5788" t="s">
        <v>23683</v>
      </c>
    </row>
    <row r="5789" spans="1:25">
      <c r="A5789" t="s">
        <v>23684</v>
      </c>
      <c r="B5789" t="s">
        <v>23685</v>
      </c>
      <c r="D5789" t="s">
        <v>9473</v>
      </c>
      <c r="E5789" t="s">
        <v>9474</v>
      </c>
      <c r="J5789" t="s">
        <v>44</v>
      </c>
      <c r="K5789" t="s">
        <v>45</v>
      </c>
      <c r="L5789">
        <v>6</v>
      </c>
      <c r="M5789" t="s">
        <v>23686</v>
      </c>
      <c r="N5789" t="s">
        <v>47</v>
      </c>
      <c r="O5789" t="s">
        <v>9477</v>
      </c>
      <c r="P5789" t="s">
        <v>9477</v>
      </c>
      <c r="Y5789" t="s">
        <v>23687</v>
      </c>
    </row>
    <row r="5790" spans="1:25">
      <c r="A5790" t="s">
        <v>23688</v>
      </c>
      <c r="B5790" t="s">
        <v>23689</v>
      </c>
      <c r="D5790" t="s">
        <v>9473</v>
      </c>
      <c r="E5790" t="s">
        <v>9474</v>
      </c>
      <c r="J5790" t="s">
        <v>371</v>
      </c>
      <c r="K5790" t="s">
        <v>372</v>
      </c>
      <c r="L5790">
        <v>6</v>
      </c>
      <c r="M5790" t="s">
        <v>23690</v>
      </c>
      <c r="N5790" t="s">
        <v>47</v>
      </c>
      <c r="O5790" t="s">
        <v>9477</v>
      </c>
      <c r="P5790" t="s">
        <v>9477</v>
      </c>
      <c r="Y5790" t="s">
        <v>23691</v>
      </c>
    </row>
    <row r="5791" spans="1:25">
      <c r="A5791" t="s">
        <v>23692</v>
      </c>
      <c r="B5791" t="s">
        <v>23693</v>
      </c>
      <c r="D5791" t="s">
        <v>9473</v>
      </c>
      <c r="E5791" t="s">
        <v>9474</v>
      </c>
      <c r="J5791" t="s">
        <v>54</v>
      </c>
      <c r="K5791" t="s">
        <v>55</v>
      </c>
      <c r="L5791">
        <v>6</v>
      </c>
      <c r="M5791" t="s">
        <v>23694</v>
      </c>
      <c r="N5791" t="s">
        <v>47</v>
      </c>
      <c r="O5791" t="s">
        <v>9477</v>
      </c>
      <c r="P5791" t="s">
        <v>9477</v>
      </c>
      <c r="Y5791" t="s">
        <v>23695</v>
      </c>
    </row>
    <row r="5792" spans="1:25">
      <c r="A5792" t="s">
        <v>23696</v>
      </c>
      <c r="B5792" t="s">
        <v>23697</v>
      </c>
      <c r="D5792" t="s">
        <v>9473</v>
      </c>
      <c r="E5792" t="s">
        <v>9474</v>
      </c>
      <c r="J5792" t="s">
        <v>78</v>
      </c>
      <c r="K5792" t="s">
        <v>79</v>
      </c>
      <c r="L5792">
        <v>6</v>
      </c>
      <c r="M5792" t="s">
        <v>23694</v>
      </c>
      <c r="N5792" t="s">
        <v>47</v>
      </c>
      <c r="O5792" t="s">
        <v>9477</v>
      </c>
      <c r="P5792" t="s">
        <v>9477</v>
      </c>
      <c r="Y5792" t="s">
        <v>23698</v>
      </c>
    </row>
    <row r="5793" spans="1:25">
      <c r="A5793" t="s">
        <v>23699</v>
      </c>
      <c r="B5793" t="s">
        <v>23700</v>
      </c>
      <c r="D5793" t="s">
        <v>9473</v>
      </c>
      <c r="E5793" t="s">
        <v>9474</v>
      </c>
      <c r="J5793" t="s">
        <v>44</v>
      </c>
      <c r="K5793" t="s">
        <v>45</v>
      </c>
      <c r="L5793">
        <v>6</v>
      </c>
      <c r="M5793" t="s">
        <v>23694</v>
      </c>
      <c r="N5793" t="s">
        <v>47</v>
      </c>
      <c r="O5793" t="s">
        <v>9477</v>
      </c>
      <c r="P5793" t="s">
        <v>9477</v>
      </c>
      <c r="Y5793" t="s">
        <v>23701</v>
      </c>
    </row>
    <row r="5794" spans="1:25">
      <c r="A5794" t="s">
        <v>23702</v>
      </c>
      <c r="B5794" t="s">
        <v>23703</v>
      </c>
      <c r="D5794" t="s">
        <v>9473</v>
      </c>
      <c r="E5794" t="s">
        <v>9474</v>
      </c>
      <c r="H5794" t="s">
        <v>23704</v>
      </c>
      <c r="J5794" t="s">
        <v>44</v>
      </c>
      <c r="K5794" t="s">
        <v>45</v>
      </c>
      <c r="L5794">
        <v>6</v>
      </c>
      <c r="M5794" t="s">
        <v>23705</v>
      </c>
      <c r="N5794" t="s">
        <v>47</v>
      </c>
      <c r="O5794" t="s">
        <v>9477</v>
      </c>
      <c r="P5794" t="s">
        <v>9477</v>
      </c>
      <c r="Y5794" t="s">
        <v>23704</v>
      </c>
    </row>
    <row r="5795" spans="1:25">
      <c r="A5795" t="s">
        <v>23706</v>
      </c>
      <c r="B5795" t="s">
        <v>23707</v>
      </c>
      <c r="D5795" t="s">
        <v>9473</v>
      </c>
      <c r="E5795" t="s">
        <v>9474</v>
      </c>
      <c r="H5795" t="s">
        <v>23708</v>
      </c>
      <c r="J5795" t="s">
        <v>541</v>
      </c>
      <c r="K5795" t="s">
        <v>542</v>
      </c>
      <c r="L5795">
        <v>6</v>
      </c>
      <c r="M5795" t="s">
        <v>23709</v>
      </c>
      <c r="N5795" t="s">
        <v>685</v>
      </c>
      <c r="O5795" t="s">
        <v>9477</v>
      </c>
      <c r="P5795" t="s">
        <v>9477</v>
      </c>
      <c r="Y5795" t="s">
        <v>23708</v>
      </c>
    </row>
    <row r="5796" spans="1:25">
      <c r="A5796" t="s">
        <v>23710</v>
      </c>
      <c r="B5796" t="s">
        <v>23711</v>
      </c>
      <c r="D5796" t="s">
        <v>9473</v>
      </c>
      <c r="E5796" t="s">
        <v>9474</v>
      </c>
      <c r="H5796" t="s">
        <v>23712</v>
      </c>
      <c r="J5796" t="s">
        <v>78</v>
      </c>
      <c r="K5796" t="s">
        <v>79</v>
      </c>
      <c r="L5796">
        <v>6</v>
      </c>
      <c r="M5796" t="s">
        <v>23713</v>
      </c>
      <c r="N5796" t="s">
        <v>47</v>
      </c>
      <c r="O5796" t="s">
        <v>9477</v>
      </c>
      <c r="P5796" t="s">
        <v>9477</v>
      </c>
      <c r="Y5796" t="s">
        <v>23712</v>
      </c>
    </row>
    <row r="5797" spans="1:25">
      <c r="A5797" t="s">
        <v>23714</v>
      </c>
      <c r="B5797" t="s">
        <v>23715</v>
      </c>
      <c r="D5797" t="s">
        <v>9473</v>
      </c>
      <c r="E5797" t="s">
        <v>9474</v>
      </c>
      <c r="H5797" t="s">
        <v>23716</v>
      </c>
      <c r="J5797" t="s">
        <v>2328</v>
      </c>
      <c r="K5797" t="s">
        <v>2329</v>
      </c>
      <c r="L5797">
        <v>6</v>
      </c>
      <c r="M5797" t="s">
        <v>23717</v>
      </c>
      <c r="N5797" t="s">
        <v>685</v>
      </c>
      <c r="O5797" t="s">
        <v>9477</v>
      </c>
      <c r="P5797" t="s">
        <v>9477</v>
      </c>
      <c r="Y5797" t="s">
        <v>23716</v>
      </c>
    </row>
    <row r="5798" spans="1:25">
      <c r="A5798" t="s">
        <v>23718</v>
      </c>
      <c r="B5798" t="s">
        <v>23719</v>
      </c>
      <c r="D5798" t="s">
        <v>9473</v>
      </c>
      <c r="E5798" t="s">
        <v>9474</v>
      </c>
      <c r="H5798" t="s">
        <v>23720</v>
      </c>
      <c r="J5798" t="s">
        <v>54</v>
      </c>
      <c r="K5798" t="s">
        <v>55</v>
      </c>
      <c r="L5798">
        <v>6</v>
      </c>
      <c r="M5798" t="s">
        <v>23721</v>
      </c>
      <c r="N5798" t="s">
        <v>47</v>
      </c>
      <c r="O5798" t="s">
        <v>9477</v>
      </c>
      <c r="P5798" t="s">
        <v>9477</v>
      </c>
      <c r="Y5798" t="s">
        <v>23720</v>
      </c>
    </row>
    <row r="5799" spans="1:25">
      <c r="A5799" t="s">
        <v>23722</v>
      </c>
      <c r="B5799" t="s">
        <v>23723</v>
      </c>
      <c r="D5799" t="s">
        <v>9473</v>
      </c>
      <c r="E5799" t="s">
        <v>9474</v>
      </c>
      <c r="H5799" t="s">
        <v>23724</v>
      </c>
      <c r="J5799" t="s">
        <v>44</v>
      </c>
      <c r="K5799" t="s">
        <v>45</v>
      </c>
      <c r="L5799">
        <v>6</v>
      </c>
      <c r="M5799" t="s">
        <v>23725</v>
      </c>
      <c r="N5799" t="s">
        <v>47</v>
      </c>
      <c r="O5799" t="s">
        <v>9477</v>
      </c>
      <c r="P5799" t="s">
        <v>9477</v>
      </c>
      <c r="Y5799" t="s">
        <v>23724</v>
      </c>
    </row>
    <row r="5800" spans="1:25">
      <c r="A5800" t="s">
        <v>23726</v>
      </c>
      <c r="B5800" t="s">
        <v>23727</v>
      </c>
      <c r="D5800" t="s">
        <v>9473</v>
      </c>
      <c r="E5800" t="s">
        <v>9474</v>
      </c>
      <c r="J5800" t="s">
        <v>541</v>
      </c>
      <c r="K5800" t="s">
        <v>542</v>
      </c>
      <c r="L5800">
        <v>6</v>
      </c>
      <c r="M5800" t="s">
        <v>23728</v>
      </c>
      <c r="N5800" t="s">
        <v>685</v>
      </c>
      <c r="O5800" t="s">
        <v>9477</v>
      </c>
      <c r="P5800" t="s">
        <v>9477</v>
      </c>
      <c r="Y5800" t="s">
        <v>23729</v>
      </c>
    </row>
    <row r="5801" spans="1:25">
      <c r="A5801" t="s">
        <v>23730</v>
      </c>
      <c r="B5801" t="s">
        <v>23731</v>
      </c>
      <c r="D5801" t="s">
        <v>9473</v>
      </c>
      <c r="E5801" t="s">
        <v>9474</v>
      </c>
      <c r="J5801" t="s">
        <v>78</v>
      </c>
      <c r="K5801" t="s">
        <v>79</v>
      </c>
      <c r="L5801">
        <v>6</v>
      </c>
      <c r="M5801" t="s">
        <v>23732</v>
      </c>
      <c r="N5801" t="s">
        <v>47</v>
      </c>
      <c r="O5801" t="s">
        <v>9477</v>
      </c>
      <c r="P5801" t="s">
        <v>9477</v>
      </c>
      <c r="Y5801" t="s">
        <v>23733</v>
      </c>
    </row>
    <row r="5802" spans="1:25">
      <c r="A5802" t="s">
        <v>23734</v>
      </c>
      <c r="B5802" t="s">
        <v>23735</v>
      </c>
      <c r="D5802" t="s">
        <v>9473</v>
      </c>
      <c r="E5802" t="s">
        <v>9474</v>
      </c>
      <c r="J5802" t="s">
        <v>54</v>
      </c>
      <c r="K5802" t="s">
        <v>55</v>
      </c>
      <c r="L5802">
        <v>6</v>
      </c>
      <c r="M5802" t="s">
        <v>23736</v>
      </c>
      <c r="N5802" t="s">
        <v>47</v>
      </c>
      <c r="O5802" t="s">
        <v>9477</v>
      </c>
      <c r="P5802" t="s">
        <v>9477</v>
      </c>
      <c r="Y5802" t="s">
        <v>23737</v>
      </c>
    </row>
    <row r="5803" spans="1:25">
      <c r="A5803" t="s">
        <v>23738</v>
      </c>
      <c r="B5803" t="s">
        <v>23739</v>
      </c>
      <c r="D5803" t="s">
        <v>9473</v>
      </c>
      <c r="E5803" t="s">
        <v>9474</v>
      </c>
      <c r="J5803" t="s">
        <v>90</v>
      </c>
      <c r="K5803" t="s">
        <v>91</v>
      </c>
      <c r="L5803">
        <v>6</v>
      </c>
      <c r="M5803" t="s">
        <v>23740</v>
      </c>
      <c r="N5803" t="s">
        <v>47</v>
      </c>
      <c r="O5803" t="s">
        <v>9477</v>
      </c>
      <c r="P5803" t="s">
        <v>9477</v>
      </c>
      <c r="Y5803" t="s">
        <v>23741</v>
      </c>
    </row>
    <row r="5804" spans="1:25">
      <c r="A5804" t="s">
        <v>23742</v>
      </c>
      <c r="B5804" t="s">
        <v>23743</v>
      </c>
      <c r="D5804" t="s">
        <v>9473</v>
      </c>
      <c r="E5804" t="s">
        <v>9474</v>
      </c>
      <c r="H5804" t="s">
        <v>23744</v>
      </c>
      <c r="J5804" t="s">
        <v>90</v>
      </c>
      <c r="K5804" t="s">
        <v>91</v>
      </c>
      <c r="L5804">
        <v>6</v>
      </c>
      <c r="M5804" t="s">
        <v>23740</v>
      </c>
      <c r="N5804" t="s">
        <v>47</v>
      </c>
      <c r="O5804" t="s">
        <v>9477</v>
      </c>
      <c r="P5804" t="s">
        <v>9477</v>
      </c>
      <c r="Y5804" t="s">
        <v>23744</v>
      </c>
    </row>
    <row r="5805" spans="1:25">
      <c r="A5805" t="s">
        <v>23745</v>
      </c>
      <c r="B5805" t="s">
        <v>23746</v>
      </c>
      <c r="D5805" t="s">
        <v>9473</v>
      </c>
      <c r="E5805" t="s">
        <v>9474</v>
      </c>
      <c r="J5805" t="s">
        <v>44</v>
      </c>
      <c r="K5805" t="s">
        <v>45</v>
      </c>
      <c r="L5805">
        <v>6</v>
      </c>
      <c r="M5805" t="s">
        <v>23740</v>
      </c>
      <c r="N5805" t="s">
        <v>47</v>
      </c>
      <c r="O5805" t="s">
        <v>9477</v>
      </c>
      <c r="P5805" t="s">
        <v>9477</v>
      </c>
      <c r="Y5805" t="s">
        <v>23747</v>
      </c>
    </row>
    <row r="5806" spans="1:25">
      <c r="A5806" t="s">
        <v>23748</v>
      </c>
      <c r="B5806" t="s">
        <v>23749</v>
      </c>
      <c r="D5806" t="s">
        <v>9473</v>
      </c>
      <c r="E5806" t="s">
        <v>9474</v>
      </c>
      <c r="J5806" t="s">
        <v>54</v>
      </c>
      <c r="K5806" t="s">
        <v>55</v>
      </c>
      <c r="L5806">
        <v>6</v>
      </c>
      <c r="M5806" t="s">
        <v>23750</v>
      </c>
      <c r="N5806" t="s">
        <v>47</v>
      </c>
      <c r="O5806" t="s">
        <v>9477</v>
      </c>
      <c r="P5806" t="s">
        <v>9477</v>
      </c>
      <c r="Y5806" t="s">
        <v>23751</v>
      </c>
    </row>
    <row r="5807" spans="1:25">
      <c r="A5807" t="s">
        <v>23752</v>
      </c>
      <c r="B5807" t="s">
        <v>23753</v>
      </c>
      <c r="D5807" t="s">
        <v>9473</v>
      </c>
      <c r="E5807" t="s">
        <v>9474</v>
      </c>
      <c r="J5807" t="s">
        <v>90</v>
      </c>
      <c r="K5807" t="s">
        <v>91</v>
      </c>
      <c r="L5807">
        <v>6</v>
      </c>
      <c r="M5807" t="s">
        <v>23754</v>
      </c>
      <c r="N5807" t="s">
        <v>47</v>
      </c>
      <c r="O5807" t="s">
        <v>9477</v>
      </c>
      <c r="P5807" t="s">
        <v>9477</v>
      </c>
      <c r="Y5807" t="s">
        <v>23755</v>
      </c>
    </row>
    <row r="5808" spans="1:25">
      <c r="A5808" t="s">
        <v>23756</v>
      </c>
      <c r="B5808" t="s">
        <v>23757</v>
      </c>
      <c r="D5808" t="s">
        <v>9473</v>
      </c>
      <c r="E5808" t="s">
        <v>9474</v>
      </c>
      <c r="J5808" t="s">
        <v>90</v>
      </c>
      <c r="K5808" t="s">
        <v>91</v>
      </c>
      <c r="L5808">
        <v>6</v>
      </c>
      <c r="M5808" t="s">
        <v>23758</v>
      </c>
      <c r="N5808" t="s">
        <v>47</v>
      </c>
      <c r="O5808" t="s">
        <v>9477</v>
      </c>
      <c r="P5808" t="s">
        <v>9477</v>
      </c>
      <c r="Y5808" t="s">
        <v>23759</v>
      </c>
    </row>
    <row r="5809" spans="1:25">
      <c r="A5809" t="s">
        <v>23760</v>
      </c>
      <c r="B5809" t="s">
        <v>23761</v>
      </c>
      <c r="D5809" t="s">
        <v>9473</v>
      </c>
      <c r="E5809" t="s">
        <v>9474</v>
      </c>
      <c r="J5809" t="s">
        <v>44</v>
      </c>
      <c r="K5809" t="s">
        <v>45</v>
      </c>
      <c r="L5809">
        <v>6</v>
      </c>
      <c r="M5809" t="s">
        <v>23762</v>
      </c>
      <c r="N5809" t="s">
        <v>47</v>
      </c>
      <c r="O5809" t="s">
        <v>9477</v>
      </c>
      <c r="P5809" t="s">
        <v>9477</v>
      </c>
      <c r="Y5809" t="s">
        <v>23763</v>
      </c>
    </row>
    <row r="5810" spans="1:25">
      <c r="A5810" t="s">
        <v>23764</v>
      </c>
      <c r="B5810" t="s">
        <v>23765</v>
      </c>
      <c r="D5810" t="s">
        <v>9473</v>
      </c>
      <c r="E5810" t="s">
        <v>9474</v>
      </c>
      <c r="J5810" t="s">
        <v>78</v>
      </c>
      <c r="K5810" t="s">
        <v>79</v>
      </c>
      <c r="L5810">
        <v>6</v>
      </c>
      <c r="M5810" t="s">
        <v>23762</v>
      </c>
      <c r="N5810" t="s">
        <v>47</v>
      </c>
      <c r="O5810" t="s">
        <v>9477</v>
      </c>
      <c r="P5810" t="s">
        <v>9477</v>
      </c>
      <c r="Y5810" t="s">
        <v>23766</v>
      </c>
    </row>
    <row r="5811" spans="1:25">
      <c r="A5811" t="s">
        <v>23767</v>
      </c>
      <c r="B5811" t="s">
        <v>23768</v>
      </c>
      <c r="D5811" t="s">
        <v>9473</v>
      </c>
      <c r="E5811" t="s">
        <v>9474</v>
      </c>
      <c r="H5811" t="s">
        <v>23769</v>
      </c>
      <c r="J5811" t="s">
        <v>497</v>
      </c>
      <c r="K5811" t="s">
        <v>498</v>
      </c>
      <c r="L5811">
        <v>6</v>
      </c>
      <c r="M5811" t="s">
        <v>23762</v>
      </c>
      <c r="N5811" t="s">
        <v>685</v>
      </c>
      <c r="O5811" t="s">
        <v>9477</v>
      </c>
      <c r="P5811" t="s">
        <v>9477</v>
      </c>
      <c r="Y5811" t="s">
        <v>23769</v>
      </c>
    </row>
    <row r="5812" spans="1:25">
      <c r="A5812" t="s">
        <v>23770</v>
      </c>
      <c r="B5812" t="s">
        <v>23771</v>
      </c>
      <c r="D5812" t="s">
        <v>9473</v>
      </c>
      <c r="E5812" t="s">
        <v>9474</v>
      </c>
      <c r="J5812" t="s">
        <v>44</v>
      </c>
      <c r="K5812" t="s">
        <v>45</v>
      </c>
      <c r="L5812">
        <v>6</v>
      </c>
      <c r="M5812" t="s">
        <v>23762</v>
      </c>
      <c r="N5812" t="s">
        <v>47</v>
      </c>
      <c r="O5812" t="s">
        <v>9477</v>
      </c>
      <c r="P5812" t="s">
        <v>9477</v>
      </c>
      <c r="Y5812" t="s">
        <v>23772</v>
      </c>
    </row>
    <row r="5813" spans="1:25">
      <c r="A5813" t="s">
        <v>23773</v>
      </c>
      <c r="B5813" t="s">
        <v>23774</v>
      </c>
      <c r="D5813" t="s">
        <v>9473</v>
      </c>
      <c r="E5813" t="s">
        <v>9474</v>
      </c>
      <c r="J5813" t="s">
        <v>90</v>
      </c>
      <c r="K5813" t="s">
        <v>91</v>
      </c>
      <c r="L5813">
        <v>6</v>
      </c>
      <c r="M5813" t="s">
        <v>23775</v>
      </c>
      <c r="N5813" t="s">
        <v>47</v>
      </c>
      <c r="O5813" t="s">
        <v>9477</v>
      </c>
      <c r="P5813" t="s">
        <v>9477</v>
      </c>
      <c r="Y5813" t="s">
        <v>23776</v>
      </c>
    </row>
    <row r="5814" spans="1:25">
      <c r="A5814" t="s">
        <v>23777</v>
      </c>
      <c r="B5814" t="s">
        <v>23778</v>
      </c>
      <c r="D5814" t="s">
        <v>9473</v>
      </c>
      <c r="E5814" t="s">
        <v>9474</v>
      </c>
      <c r="J5814" t="s">
        <v>78</v>
      </c>
      <c r="K5814" t="s">
        <v>79</v>
      </c>
      <c r="L5814">
        <v>6</v>
      </c>
      <c r="M5814" t="s">
        <v>23779</v>
      </c>
      <c r="N5814" t="s">
        <v>47</v>
      </c>
      <c r="O5814" t="s">
        <v>9477</v>
      </c>
      <c r="P5814" t="s">
        <v>9477</v>
      </c>
      <c r="Y5814" t="s">
        <v>23780</v>
      </c>
    </row>
    <row r="5815" spans="1:25">
      <c r="A5815" t="s">
        <v>23781</v>
      </c>
      <c r="B5815" t="s">
        <v>23782</v>
      </c>
      <c r="D5815" t="s">
        <v>9473</v>
      </c>
      <c r="E5815" t="s">
        <v>9474</v>
      </c>
      <c r="J5815" t="s">
        <v>90</v>
      </c>
      <c r="K5815" t="s">
        <v>91</v>
      </c>
      <c r="L5815">
        <v>6</v>
      </c>
      <c r="M5815" t="s">
        <v>23783</v>
      </c>
      <c r="N5815" t="s">
        <v>47</v>
      </c>
      <c r="O5815" t="s">
        <v>9477</v>
      </c>
      <c r="P5815" t="s">
        <v>9477</v>
      </c>
      <c r="Y5815" t="s">
        <v>23784</v>
      </c>
    </row>
    <row r="5816" spans="1:25">
      <c r="A5816" t="s">
        <v>23785</v>
      </c>
      <c r="B5816" t="s">
        <v>23786</v>
      </c>
      <c r="D5816" t="s">
        <v>9473</v>
      </c>
      <c r="E5816" t="s">
        <v>9474</v>
      </c>
      <c r="J5816" t="s">
        <v>5844</v>
      </c>
      <c r="K5816" t="s">
        <v>5845</v>
      </c>
      <c r="L5816">
        <v>6</v>
      </c>
      <c r="M5816" t="s">
        <v>23783</v>
      </c>
      <c r="N5816" t="s">
        <v>135</v>
      </c>
      <c r="O5816" t="s">
        <v>9477</v>
      </c>
      <c r="P5816" t="s">
        <v>9477</v>
      </c>
      <c r="Y5816" t="s">
        <v>23787</v>
      </c>
    </row>
    <row r="5817" spans="1:25">
      <c r="A5817" t="s">
        <v>23788</v>
      </c>
      <c r="B5817" t="s">
        <v>23789</v>
      </c>
      <c r="D5817" t="s">
        <v>9473</v>
      </c>
      <c r="E5817" t="s">
        <v>9474</v>
      </c>
      <c r="H5817" t="s">
        <v>23790</v>
      </c>
      <c r="J5817" t="s">
        <v>497</v>
      </c>
      <c r="K5817" t="s">
        <v>498</v>
      </c>
      <c r="L5817">
        <v>6</v>
      </c>
      <c r="M5817" t="s">
        <v>23791</v>
      </c>
      <c r="N5817" t="s">
        <v>685</v>
      </c>
      <c r="O5817" t="s">
        <v>9477</v>
      </c>
      <c r="P5817" t="s">
        <v>9477</v>
      </c>
      <c r="Y5817" t="s">
        <v>23790</v>
      </c>
    </row>
    <row r="5818" spans="1:25">
      <c r="A5818" t="s">
        <v>23792</v>
      </c>
      <c r="B5818" t="s">
        <v>23793</v>
      </c>
      <c r="D5818" t="s">
        <v>9473</v>
      </c>
      <c r="E5818" t="s">
        <v>9474</v>
      </c>
      <c r="J5818" t="s">
        <v>90</v>
      </c>
      <c r="K5818" t="s">
        <v>91</v>
      </c>
      <c r="L5818">
        <v>6</v>
      </c>
      <c r="M5818" t="s">
        <v>23794</v>
      </c>
      <c r="N5818" t="s">
        <v>47</v>
      </c>
      <c r="O5818" t="s">
        <v>9477</v>
      </c>
      <c r="P5818" t="s">
        <v>9477</v>
      </c>
      <c r="Y5818" t="s">
        <v>23795</v>
      </c>
    </row>
    <row r="5819" spans="1:25">
      <c r="A5819" t="s">
        <v>23796</v>
      </c>
      <c r="B5819" t="s">
        <v>23797</v>
      </c>
      <c r="D5819" t="s">
        <v>9473</v>
      </c>
      <c r="E5819" t="s">
        <v>9474</v>
      </c>
      <c r="J5819" t="s">
        <v>90</v>
      </c>
      <c r="K5819" t="s">
        <v>91</v>
      </c>
      <c r="L5819">
        <v>6</v>
      </c>
      <c r="M5819" t="s">
        <v>23794</v>
      </c>
      <c r="N5819" t="s">
        <v>47</v>
      </c>
      <c r="O5819" t="s">
        <v>9477</v>
      </c>
      <c r="P5819" t="s">
        <v>9477</v>
      </c>
      <c r="Y5819" t="s">
        <v>23798</v>
      </c>
    </row>
    <row r="5820" spans="1:25">
      <c r="A5820" t="s">
        <v>23799</v>
      </c>
      <c r="B5820" t="s">
        <v>23800</v>
      </c>
      <c r="D5820" t="s">
        <v>9473</v>
      </c>
      <c r="E5820" t="s">
        <v>9474</v>
      </c>
      <c r="J5820" t="s">
        <v>54</v>
      </c>
      <c r="K5820" t="s">
        <v>55</v>
      </c>
      <c r="L5820">
        <v>6</v>
      </c>
      <c r="M5820" t="s">
        <v>23801</v>
      </c>
      <c r="N5820" t="s">
        <v>47</v>
      </c>
      <c r="O5820" t="s">
        <v>9477</v>
      </c>
      <c r="P5820" t="s">
        <v>9477</v>
      </c>
      <c r="Y5820" t="s">
        <v>23802</v>
      </c>
    </row>
    <row r="5821" spans="1:25">
      <c r="A5821" t="s">
        <v>23803</v>
      </c>
      <c r="B5821" t="s">
        <v>23804</v>
      </c>
      <c r="D5821" t="s">
        <v>9473</v>
      </c>
      <c r="E5821" t="s">
        <v>9474</v>
      </c>
      <c r="J5821" t="s">
        <v>90</v>
      </c>
      <c r="K5821" t="s">
        <v>91</v>
      </c>
      <c r="L5821">
        <v>6</v>
      </c>
      <c r="M5821" t="s">
        <v>23805</v>
      </c>
      <c r="N5821" t="s">
        <v>47</v>
      </c>
      <c r="O5821" t="s">
        <v>9477</v>
      </c>
      <c r="P5821" t="s">
        <v>9477</v>
      </c>
      <c r="Y5821" t="s">
        <v>23806</v>
      </c>
    </row>
    <row r="5822" spans="1:25">
      <c r="A5822" t="s">
        <v>23807</v>
      </c>
      <c r="B5822" t="s">
        <v>23808</v>
      </c>
      <c r="D5822" t="s">
        <v>9473</v>
      </c>
      <c r="E5822" t="s">
        <v>9474</v>
      </c>
      <c r="J5822" t="s">
        <v>133</v>
      </c>
      <c r="K5822" t="s">
        <v>134</v>
      </c>
      <c r="L5822">
        <v>6</v>
      </c>
      <c r="M5822" t="s">
        <v>23805</v>
      </c>
      <c r="N5822" t="s">
        <v>135</v>
      </c>
      <c r="O5822" t="s">
        <v>9477</v>
      </c>
      <c r="P5822" t="s">
        <v>9477</v>
      </c>
      <c r="Y5822" t="s">
        <v>23809</v>
      </c>
    </row>
    <row r="5823" spans="1:25">
      <c r="A5823" t="s">
        <v>23810</v>
      </c>
      <c r="B5823" t="s">
        <v>23811</v>
      </c>
      <c r="D5823" t="s">
        <v>9473</v>
      </c>
      <c r="E5823" t="s">
        <v>9474</v>
      </c>
      <c r="J5823" t="s">
        <v>54</v>
      </c>
      <c r="K5823" t="s">
        <v>55</v>
      </c>
      <c r="L5823">
        <v>6</v>
      </c>
      <c r="M5823" t="s">
        <v>23812</v>
      </c>
      <c r="N5823" t="s">
        <v>47</v>
      </c>
      <c r="O5823" t="s">
        <v>9477</v>
      </c>
      <c r="P5823" t="s">
        <v>9477</v>
      </c>
      <c r="Y5823" t="s">
        <v>23813</v>
      </c>
    </row>
    <row r="5824" spans="1:25">
      <c r="A5824" t="s">
        <v>23814</v>
      </c>
      <c r="B5824" t="s">
        <v>23815</v>
      </c>
      <c r="D5824" t="s">
        <v>9473</v>
      </c>
      <c r="E5824" t="s">
        <v>9474</v>
      </c>
      <c r="J5824" t="s">
        <v>90</v>
      </c>
      <c r="K5824" t="s">
        <v>91</v>
      </c>
      <c r="L5824">
        <v>6</v>
      </c>
      <c r="M5824" t="s">
        <v>23812</v>
      </c>
      <c r="N5824" t="s">
        <v>47</v>
      </c>
      <c r="O5824" t="s">
        <v>9477</v>
      </c>
      <c r="P5824" t="s">
        <v>9477</v>
      </c>
      <c r="Y5824" t="s">
        <v>23816</v>
      </c>
    </row>
    <row r="5825" spans="1:25">
      <c r="A5825" t="s">
        <v>23817</v>
      </c>
      <c r="B5825" t="s">
        <v>23818</v>
      </c>
      <c r="D5825" t="s">
        <v>9473</v>
      </c>
      <c r="E5825" t="s">
        <v>9474</v>
      </c>
      <c r="J5825" t="s">
        <v>78</v>
      </c>
      <c r="K5825" t="s">
        <v>79</v>
      </c>
      <c r="L5825">
        <v>6</v>
      </c>
      <c r="M5825" t="s">
        <v>23819</v>
      </c>
      <c r="N5825" t="s">
        <v>47</v>
      </c>
      <c r="O5825" t="s">
        <v>9477</v>
      </c>
      <c r="P5825" t="s">
        <v>9477</v>
      </c>
      <c r="Y5825" t="s">
        <v>23820</v>
      </c>
    </row>
    <row r="5826" spans="1:25">
      <c r="A5826" t="s">
        <v>23821</v>
      </c>
      <c r="B5826" t="s">
        <v>23822</v>
      </c>
      <c r="D5826" t="s">
        <v>9473</v>
      </c>
      <c r="E5826" t="s">
        <v>9474</v>
      </c>
      <c r="J5826" t="s">
        <v>90</v>
      </c>
      <c r="K5826" t="s">
        <v>91</v>
      </c>
      <c r="L5826">
        <v>6</v>
      </c>
      <c r="M5826" t="s">
        <v>23819</v>
      </c>
      <c r="N5826" t="s">
        <v>47</v>
      </c>
      <c r="O5826" t="s">
        <v>9477</v>
      </c>
      <c r="P5826" t="s">
        <v>9477</v>
      </c>
      <c r="Y5826" t="s">
        <v>23823</v>
      </c>
    </row>
    <row r="5827" spans="1:25">
      <c r="A5827" t="s">
        <v>23824</v>
      </c>
      <c r="B5827" t="s">
        <v>23825</v>
      </c>
      <c r="D5827" t="s">
        <v>9473</v>
      </c>
      <c r="E5827" t="s">
        <v>9474</v>
      </c>
      <c r="J5827" t="s">
        <v>78</v>
      </c>
      <c r="K5827" t="s">
        <v>79</v>
      </c>
      <c r="L5827">
        <v>6</v>
      </c>
      <c r="M5827" t="s">
        <v>23826</v>
      </c>
      <c r="N5827" t="s">
        <v>47</v>
      </c>
      <c r="O5827" t="s">
        <v>9477</v>
      </c>
      <c r="P5827" t="s">
        <v>9477</v>
      </c>
      <c r="Y5827" t="s">
        <v>23827</v>
      </c>
    </row>
    <row r="5828" spans="1:25">
      <c r="A5828" t="s">
        <v>23828</v>
      </c>
      <c r="B5828" t="s">
        <v>23829</v>
      </c>
      <c r="D5828" t="s">
        <v>9473</v>
      </c>
      <c r="E5828" t="s">
        <v>9474</v>
      </c>
      <c r="J5828" t="s">
        <v>78</v>
      </c>
      <c r="K5828" t="s">
        <v>79</v>
      </c>
      <c r="L5828">
        <v>6</v>
      </c>
      <c r="M5828" t="s">
        <v>23826</v>
      </c>
      <c r="N5828" t="s">
        <v>47</v>
      </c>
      <c r="O5828" t="s">
        <v>9477</v>
      </c>
      <c r="P5828" t="s">
        <v>9477</v>
      </c>
      <c r="Y5828" t="s">
        <v>23830</v>
      </c>
    </row>
    <row r="5829" spans="1:25">
      <c r="A5829" t="s">
        <v>23831</v>
      </c>
      <c r="B5829" t="s">
        <v>23832</v>
      </c>
      <c r="D5829" t="s">
        <v>9473</v>
      </c>
      <c r="E5829" t="s">
        <v>9474</v>
      </c>
      <c r="H5829" t="s">
        <v>23833</v>
      </c>
      <c r="J5829" t="s">
        <v>90</v>
      </c>
      <c r="K5829" t="s">
        <v>91</v>
      </c>
      <c r="L5829">
        <v>6</v>
      </c>
      <c r="M5829" t="s">
        <v>23826</v>
      </c>
      <c r="N5829" t="s">
        <v>47</v>
      </c>
      <c r="O5829" t="s">
        <v>9477</v>
      </c>
      <c r="P5829" t="s">
        <v>9477</v>
      </c>
      <c r="Y5829" t="s">
        <v>23833</v>
      </c>
    </row>
    <row r="5830" spans="1:25">
      <c r="A5830" t="s">
        <v>23834</v>
      </c>
      <c r="B5830" t="s">
        <v>23835</v>
      </c>
      <c r="D5830" t="s">
        <v>9473</v>
      </c>
      <c r="E5830" t="s">
        <v>9474</v>
      </c>
      <c r="J5830" t="s">
        <v>133</v>
      </c>
      <c r="K5830" t="s">
        <v>134</v>
      </c>
      <c r="L5830">
        <v>6</v>
      </c>
      <c r="M5830" t="s">
        <v>23826</v>
      </c>
      <c r="N5830" t="s">
        <v>135</v>
      </c>
      <c r="O5830" t="s">
        <v>9477</v>
      </c>
      <c r="P5830" t="s">
        <v>9477</v>
      </c>
      <c r="Y5830" t="s">
        <v>23836</v>
      </c>
    </row>
    <row r="5831" spans="1:25">
      <c r="A5831" t="s">
        <v>23837</v>
      </c>
      <c r="B5831" t="s">
        <v>23838</v>
      </c>
      <c r="D5831" t="s">
        <v>9473</v>
      </c>
      <c r="E5831" t="s">
        <v>9474</v>
      </c>
      <c r="J5831" t="s">
        <v>90</v>
      </c>
      <c r="K5831" t="s">
        <v>91</v>
      </c>
      <c r="L5831">
        <v>6</v>
      </c>
      <c r="M5831" t="s">
        <v>23839</v>
      </c>
      <c r="N5831" t="s">
        <v>47</v>
      </c>
      <c r="O5831" t="s">
        <v>9477</v>
      </c>
      <c r="P5831" t="s">
        <v>9477</v>
      </c>
      <c r="Y5831" t="s">
        <v>23840</v>
      </c>
    </row>
    <row r="5832" spans="1:25">
      <c r="A5832" t="s">
        <v>23841</v>
      </c>
      <c r="B5832" t="s">
        <v>23842</v>
      </c>
      <c r="D5832" t="s">
        <v>9473</v>
      </c>
      <c r="E5832" t="s">
        <v>9474</v>
      </c>
      <c r="J5832" t="s">
        <v>44</v>
      </c>
      <c r="K5832" t="s">
        <v>45</v>
      </c>
      <c r="L5832">
        <v>6</v>
      </c>
      <c r="M5832" t="s">
        <v>23843</v>
      </c>
      <c r="N5832" t="s">
        <v>47</v>
      </c>
      <c r="O5832" t="s">
        <v>9477</v>
      </c>
      <c r="P5832" t="s">
        <v>9477</v>
      </c>
      <c r="Y5832" t="s">
        <v>23844</v>
      </c>
    </row>
    <row r="5833" spans="1:25">
      <c r="A5833" t="s">
        <v>23845</v>
      </c>
      <c r="B5833" t="s">
        <v>23846</v>
      </c>
      <c r="D5833" t="s">
        <v>9473</v>
      </c>
      <c r="E5833" t="s">
        <v>9474</v>
      </c>
      <c r="J5833" t="s">
        <v>133</v>
      </c>
      <c r="K5833" t="s">
        <v>134</v>
      </c>
      <c r="L5833">
        <v>6</v>
      </c>
      <c r="M5833" t="s">
        <v>23847</v>
      </c>
      <c r="N5833" t="s">
        <v>135</v>
      </c>
      <c r="O5833" t="s">
        <v>9477</v>
      </c>
      <c r="P5833" t="s">
        <v>9477</v>
      </c>
      <c r="Y5833" t="s">
        <v>23848</v>
      </c>
    </row>
    <row r="5834" spans="1:25">
      <c r="A5834" t="s">
        <v>23849</v>
      </c>
      <c r="B5834" t="s">
        <v>23850</v>
      </c>
      <c r="D5834" t="s">
        <v>9473</v>
      </c>
      <c r="E5834" t="s">
        <v>9474</v>
      </c>
      <c r="J5834" t="s">
        <v>78</v>
      </c>
      <c r="K5834" t="s">
        <v>79</v>
      </c>
      <c r="L5834">
        <v>6</v>
      </c>
      <c r="M5834" t="s">
        <v>23847</v>
      </c>
      <c r="N5834" t="s">
        <v>47</v>
      </c>
      <c r="O5834" t="s">
        <v>9477</v>
      </c>
      <c r="P5834" t="s">
        <v>9477</v>
      </c>
      <c r="Y5834" t="s">
        <v>23851</v>
      </c>
    </row>
    <row r="5835" spans="1:25">
      <c r="A5835" t="s">
        <v>23852</v>
      </c>
      <c r="B5835" t="s">
        <v>23853</v>
      </c>
      <c r="D5835" t="s">
        <v>9473</v>
      </c>
      <c r="E5835" t="s">
        <v>9474</v>
      </c>
      <c r="J5835" t="s">
        <v>90</v>
      </c>
      <c r="K5835" t="s">
        <v>91</v>
      </c>
      <c r="L5835">
        <v>6</v>
      </c>
      <c r="M5835" t="s">
        <v>23847</v>
      </c>
      <c r="N5835" t="s">
        <v>47</v>
      </c>
      <c r="O5835" t="s">
        <v>9477</v>
      </c>
      <c r="P5835" t="s">
        <v>9477</v>
      </c>
      <c r="Y5835" t="s">
        <v>23854</v>
      </c>
    </row>
    <row r="5836" spans="1:25">
      <c r="A5836" t="s">
        <v>23855</v>
      </c>
      <c r="B5836" t="s">
        <v>23856</v>
      </c>
      <c r="D5836" t="s">
        <v>9473</v>
      </c>
      <c r="E5836" t="s">
        <v>9474</v>
      </c>
      <c r="H5836" t="s">
        <v>23857</v>
      </c>
      <c r="J5836" t="s">
        <v>78</v>
      </c>
      <c r="K5836" t="s">
        <v>79</v>
      </c>
      <c r="L5836">
        <v>6</v>
      </c>
      <c r="M5836" t="s">
        <v>23858</v>
      </c>
      <c r="N5836" t="s">
        <v>47</v>
      </c>
      <c r="O5836" t="s">
        <v>9477</v>
      </c>
      <c r="P5836" t="s">
        <v>9477</v>
      </c>
      <c r="Y5836" t="s">
        <v>23857</v>
      </c>
    </row>
    <row r="5837" spans="1:25">
      <c r="A5837" t="s">
        <v>23859</v>
      </c>
      <c r="B5837" t="s">
        <v>23860</v>
      </c>
      <c r="D5837" t="s">
        <v>9473</v>
      </c>
      <c r="E5837" t="s">
        <v>9474</v>
      </c>
      <c r="J5837" t="s">
        <v>765</v>
      </c>
      <c r="K5837" t="s">
        <v>766</v>
      </c>
      <c r="L5837">
        <v>6</v>
      </c>
      <c r="M5837" t="s">
        <v>23861</v>
      </c>
      <c r="N5837" t="s">
        <v>685</v>
      </c>
      <c r="O5837" t="s">
        <v>9477</v>
      </c>
      <c r="P5837" t="s">
        <v>9477</v>
      </c>
      <c r="Y5837" t="s">
        <v>23862</v>
      </c>
    </row>
    <row r="5838" spans="1:25">
      <c r="A5838" t="s">
        <v>23863</v>
      </c>
      <c r="B5838" t="s">
        <v>23864</v>
      </c>
      <c r="D5838" t="s">
        <v>9473</v>
      </c>
      <c r="E5838" t="s">
        <v>9474</v>
      </c>
      <c r="J5838" t="s">
        <v>371</v>
      </c>
      <c r="K5838" t="s">
        <v>372</v>
      </c>
      <c r="L5838">
        <v>6</v>
      </c>
      <c r="M5838" t="s">
        <v>23865</v>
      </c>
      <c r="N5838" t="s">
        <v>47</v>
      </c>
      <c r="O5838" t="s">
        <v>9477</v>
      </c>
      <c r="P5838" t="s">
        <v>9477</v>
      </c>
      <c r="Y5838" t="s">
        <v>23866</v>
      </c>
    </row>
    <row r="5839" spans="1:25">
      <c r="A5839" t="s">
        <v>23867</v>
      </c>
      <c r="B5839" t="s">
        <v>23868</v>
      </c>
      <c r="D5839" t="s">
        <v>9473</v>
      </c>
      <c r="E5839" t="s">
        <v>9474</v>
      </c>
      <c r="J5839" t="s">
        <v>90</v>
      </c>
      <c r="K5839" t="s">
        <v>91</v>
      </c>
      <c r="L5839">
        <v>6</v>
      </c>
      <c r="M5839" t="s">
        <v>23869</v>
      </c>
      <c r="N5839" t="s">
        <v>47</v>
      </c>
      <c r="O5839" t="s">
        <v>9477</v>
      </c>
      <c r="P5839" t="s">
        <v>9477</v>
      </c>
      <c r="Y5839" t="s">
        <v>23870</v>
      </c>
    </row>
    <row r="5840" spans="1:25">
      <c r="A5840" t="s">
        <v>23871</v>
      </c>
      <c r="B5840" t="s">
        <v>23872</v>
      </c>
      <c r="D5840" t="s">
        <v>9473</v>
      </c>
      <c r="E5840" t="s">
        <v>9474</v>
      </c>
      <c r="J5840" t="s">
        <v>133</v>
      </c>
      <c r="K5840" t="s">
        <v>134</v>
      </c>
      <c r="L5840">
        <v>6</v>
      </c>
      <c r="M5840" t="s">
        <v>23873</v>
      </c>
      <c r="N5840" t="s">
        <v>685</v>
      </c>
      <c r="O5840" t="s">
        <v>9477</v>
      </c>
      <c r="P5840" t="s">
        <v>9477</v>
      </c>
      <c r="Y5840" t="s">
        <v>23874</v>
      </c>
    </row>
    <row r="5841" spans="1:25">
      <c r="A5841" t="s">
        <v>23875</v>
      </c>
      <c r="B5841" t="s">
        <v>23876</v>
      </c>
      <c r="D5841" t="s">
        <v>9473</v>
      </c>
      <c r="E5841" t="s">
        <v>9474</v>
      </c>
      <c r="J5841" t="s">
        <v>353</v>
      </c>
      <c r="K5841" t="s">
        <v>354</v>
      </c>
      <c r="L5841">
        <v>6</v>
      </c>
      <c r="M5841" t="s">
        <v>23877</v>
      </c>
      <c r="N5841" t="s">
        <v>685</v>
      </c>
      <c r="O5841" t="s">
        <v>9477</v>
      </c>
      <c r="P5841" t="s">
        <v>9477</v>
      </c>
      <c r="Y5841" t="s">
        <v>23878</v>
      </c>
    </row>
    <row r="5842" spans="1:25">
      <c r="A5842" t="s">
        <v>23879</v>
      </c>
      <c r="B5842" t="s">
        <v>23880</v>
      </c>
      <c r="D5842" t="s">
        <v>9473</v>
      </c>
      <c r="E5842" t="s">
        <v>9474</v>
      </c>
      <c r="J5842" t="s">
        <v>44</v>
      </c>
      <c r="K5842" t="s">
        <v>45</v>
      </c>
      <c r="L5842">
        <v>6</v>
      </c>
      <c r="M5842" t="s">
        <v>23877</v>
      </c>
      <c r="N5842" t="s">
        <v>47</v>
      </c>
      <c r="O5842" t="s">
        <v>9477</v>
      </c>
      <c r="P5842" t="s">
        <v>9477</v>
      </c>
      <c r="Y5842" t="s">
        <v>23881</v>
      </c>
    </row>
    <row r="5843" spans="1:25">
      <c r="A5843" t="s">
        <v>23882</v>
      </c>
      <c r="B5843" t="s">
        <v>23883</v>
      </c>
      <c r="D5843" t="s">
        <v>9473</v>
      </c>
      <c r="E5843" t="s">
        <v>9474</v>
      </c>
      <c r="H5843" t="s">
        <v>23884</v>
      </c>
      <c r="J5843" t="s">
        <v>54</v>
      </c>
      <c r="K5843" t="s">
        <v>55</v>
      </c>
      <c r="L5843">
        <v>6</v>
      </c>
      <c r="M5843" t="s">
        <v>23877</v>
      </c>
      <c r="N5843" t="s">
        <v>47</v>
      </c>
      <c r="O5843" t="s">
        <v>9477</v>
      </c>
      <c r="P5843" t="s">
        <v>9477</v>
      </c>
      <c r="Y5843" t="s">
        <v>23884</v>
      </c>
    </row>
    <row r="5844" spans="1:25">
      <c r="A5844" t="s">
        <v>23885</v>
      </c>
      <c r="B5844" t="s">
        <v>23886</v>
      </c>
      <c r="D5844" t="s">
        <v>9473</v>
      </c>
      <c r="E5844" t="s">
        <v>9474</v>
      </c>
      <c r="J5844" t="s">
        <v>44</v>
      </c>
      <c r="K5844" t="s">
        <v>45</v>
      </c>
      <c r="L5844">
        <v>6</v>
      </c>
      <c r="M5844" t="s">
        <v>23877</v>
      </c>
      <c r="N5844" t="s">
        <v>47</v>
      </c>
      <c r="O5844" t="s">
        <v>9477</v>
      </c>
      <c r="P5844" t="s">
        <v>9477</v>
      </c>
      <c r="Y5844" t="s">
        <v>23887</v>
      </c>
    </row>
    <row r="5845" spans="1:25">
      <c r="A5845" t="s">
        <v>23888</v>
      </c>
      <c r="B5845" t="s">
        <v>23889</v>
      </c>
      <c r="D5845" t="s">
        <v>9473</v>
      </c>
      <c r="E5845" t="s">
        <v>9474</v>
      </c>
      <c r="J5845" t="s">
        <v>44</v>
      </c>
      <c r="K5845" t="s">
        <v>45</v>
      </c>
      <c r="L5845">
        <v>6</v>
      </c>
      <c r="M5845" t="s">
        <v>23890</v>
      </c>
      <c r="N5845" t="s">
        <v>47</v>
      </c>
      <c r="O5845" t="s">
        <v>9477</v>
      </c>
      <c r="P5845" t="s">
        <v>9477</v>
      </c>
      <c r="Y5845" t="s">
        <v>23891</v>
      </c>
    </row>
    <row r="5846" spans="1:25">
      <c r="A5846" t="s">
        <v>23892</v>
      </c>
      <c r="B5846" t="s">
        <v>23893</v>
      </c>
      <c r="D5846" t="s">
        <v>9473</v>
      </c>
      <c r="E5846" t="s">
        <v>9474</v>
      </c>
      <c r="J5846" t="s">
        <v>54</v>
      </c>
      <c r="K5846" t="s">
        <v>55</v>
      </c>
      <c r="L5846">
        <v>6</v>
      </c>
      <c r="M5846" t="s">
        <v>23894</v>
      </c>
      <c r="N5846" t="s">
        <v>47</v>
      </c>
      <c r="O5846" t="s">
        <v>9477</v>
      </c>
      <c r="P5846" t="s">
        <v>9477</v>
      </c>
      <c r="Y5846" t="s">
        <v>23895</v>
      </c>
    </row>
    <row r="5847" spans="1:25">
      <c r="A5847" t="s">
        <v>23896</v>
      </c>
      <c r="B5847" t="s">
        <v>23897</v>
      </c>
      <c r="D5847" t="s">
        <v>9473</v>
      </c>
      <c r="E5847" t="s">
        <v>9474</v>
      </c>
      <c r="H5847" t="s">
        <v>23898</v>
      </c>
      <c r="J5847" t="s">
        <v>497</v>
      </c>
      <c r="K5847" t="s">
        <v>498</v>
      </c>
      <c r="L5847">
        <v>6</v>
      </c>
      <c r="M5847" t="s">
        <v>23894</v>
      </c>
      <c r="N5847" t="s">
        <v>685</v>
      </c>
      <c r="O5847" t="s">
        <v>9477</v>
      </c>
      <c r="P5847" t="s">
        <v>9477</v>
      </c>
      <c r="Y5847" t="s">
        <v>23898</v>
      </c>
    </row>
    <row r="5848" spans="1:25">
      <c r="A5848" t="s">
        <v>23899</v>
      </c>
      <c r="B5848" t="s">
        <v>23900</v>
      </c>
      <c r="D5848" t="s">
        <v>9473</v>
      </c>
      <c r="E5848" t="s">
        <v>9474</v>
      </c>
      <c r="J5848" t="s">
        <v>90</v>
      </c>
      <c r="K5848" t="s">
        <v>91</v>
      </c>
      <c r="L5848">
        <v>6</v>
      </c>
      <c r="M5848" t="s">
        <v>23901</v>
      </c>
      <c r="N5848" t="s">
        <v>47</v>
      </c>
      <c r="O5848" t="s">
        <v>9477</v>
      </c>
      <c r="P5848" t="s">
        <v>9477</v>
      </c>
      <c r="Y5848" t="s">
        <v>23902</v>
      </c>
    </row>
    <row r="5849" spans="1:25">
      <c r="A5849" t="s">
        <v>23903</v>
      </c>
      <c r="B5849" t="s">
        <v>23904</v>
      </c>
      <c r="D5849" t="s">
        <v>9473</v>
      </c>
      <c r="E5849" t="s">
        <v>9474</v>
      </c>
      <c r="H5849" t="s">
        <v>23905</v>
      </c>
      <c r="J5849" t="s">
        <v>54</v>
      </c>
      <c r="K5849" t="s">
        <v>55</v>
      </c>
      <c r="L5849">
        <v>6</v>
      </c>
      <c r="M5849" t="s">
        <v>23901</v>
      </c>
      <c r="N5849" t="s">
        <v>47</v>
      </c>
      <c r="O5849" t="s">
        <v>9477</v>
      </c>
      <c r="P5849" t="s">
        <v>9477</v>
      </c>
      <c r="Y5849" t="s">
        <v>23905</v>
      </c>
    </row>
    <row r="5850" spans="1:25">
      <c r="A5850" t="s">
        <v>23906</v>
      </c>
      <c r="B5850" t="s">
        <v>23907</v>
      </c>
      <c r="D5850" t="s">
        <v>9473</v>
      </c>
      <c r="E5850" t="s">
        <v>9474</v>
      </c>
      <c r="H5850" t="s">
        <v>23908</v>
      </c>
      <c r="J5850" t="s">
        <v>541</v>
      </c>
      <c r="K5850" t="s">
        <v>542</v>
      </c>
      <c r="L5850">
        <v>6</v>
      </c>
      <c r="M5850" t="s">
        <v>23909</v>
      </c>
      <c r="N5850" t="s">
        <v>135</v>
      </c>
      <c r="O5850" t="s">
        <v>9477</v>
      </c>
      <c r="P5850" t="s">
        <v>9477</v>
      </c>
      <c r="Y5850" t="s">
        <v>23908</v>
      </c>
    </row>
    <row r="5851" spans="1:25">
      <c r="A5851" t="s">
        <v>23910</v>
      </c>
      <c r="B5851" t="s">
        <v>23911</v>
      </c>
      <c r="D5851" t="s">
        <v>9473</v>
      </c>
      <c r="E5851" t="s">
        <v>9474</v>
      </c>
      <c r="J5851" t="s">
        <v>54</v>
      </c>
      <c r="K5851" t="s">
        <v>55</v>
      </c>
      <c r="L5851">
        <v>6</v>
      </c>
      <c r="M5851" t="s">
        <v>23912</v>
      </c>
      <c r="N5851" t="s">
        <v>47</v>
      </c>
      <c r="O5851" t="s">
        <v>9477</v>
      </c>
      <c r="P5851" t="s">
        <v>9477</v>
      </c>
      <c r="Y5851" t="s">
        <v>23913</v>
      </c>
    </row>
    <row r="5852" spans="1:25">
      <c r="A5852" t="s">
        <v>23914</v>
      </c>
      <c r="B5852" t="s">
        <v>23915</v>
      </c>
      <c r="D5852" t="s">
        <v>9473</v>
      </c>
      <c r="E5852" t="s">
        <v>9474</v>
      </c>
      <c r="J5852" t="s">
        <v>90</v>
      </c>
      <c r="K5852" t="s">
        <v>91</v>
      </c>
      <c r="L5852">
        <v>6</v>
      </c>
      <c r="M5852" t="s">
        <v>23912</v>
      </c>
      <c r="N5852" t="s">
        <v>47</v>
      </c>
      <c r="O5852" t="s">
        <v>9477</v>
      </c>
      <c r="P5852" t="s">
        <v>9477</v>
      </c>
      <c r="Y5852" t="s">
        <v>23916</v>
      </c>
    </row>
    <row r="5853" spans="1:25">
      <c r="A5853" t="s">
        <v>23917</v>
      </c>
      <c r="B5853" t="s">
        <v>23918</v>
      </c>
      <c r="D5853" t="s">
        <v>9473</v>
      </c>
      <c r="E5853" t="s">
        <v>9474</v>
      </c>
      <c r="J5853" t="s">
        <v>90</v>
      </c>
      <c r="K5853" t="s">
        <v>91</v>
      </c>
      <c r="L5853">
        <v>6</v>
      </c>
      <c r="M5853" t="s">
        <v>23919</v>
      </c>
      <c r="N5853" t="s">
        <v>47</v>
      </c>
      <c r="O5853" t="s">
        <v>9477</v>
      </c>
      <c r="P5853" t="s">
        <v>9477</v>
      </c>
      <c r="Y5853" t="s">
        <v>23920</v>
      </c>
    </row>
    <row r="5854" spans="1:25">
      <c r="A5854" t="s">
        <v>23921</v>
      </c>
      <c r="B5854" t="s">
        <v>23922</v>
      </c>
      <c r="D5854" t="s">
        <v>9473</v>
      </c>
      <c r="E5854" t="s">
        <v>9474</v>
      </c>
      <c r="J5854" t="s">
        <v>133</v>
      </c>
      <c r="K5854" t="s">
        <v>134</v>
      </c>
      <c r="L5854">
        <v>6</v>
      </c>
      <c r="M5854" t="s">
        <v>23919</v>
      </c>
      <c r="N5854" t="s">
        <v>685</v>
      </c>
      <c r="O5854" t="s">
        <v>9477</v>
      </c>
      <c r="P5854" t="s">
        <v>9477</v>
      </c>
      <c r="Y5854" t="s">
        <v>23923</v>
      </c>
    </row>
    <row r="5855" spans="1:25">
      <c r="A5855" t="s">
        <v>23924</v>
      </c>
      <c r="B5855" t="s">
        <v>23925</v>
      </c>
      <c r="D5855" t="s">
        <v>9473</v>
      </c>
      <c r="E5855" t="s">
        <v>9474</v>
      </c>
      <c r="J5855" t="s">
        <v>78</v>
      </c>
      <c r="K5855" t="s">
        <v>79</v>
      </c>
      <c r="L5855">
        <v>6</v>
      </c>
      <c r="M5855" t="s">
        <v>23926</v>
      </c>
      <c r="N5855" t="s">
        <v>47</v>
      </c>
      <c r="O5855" t="s">
        <v>9477</v>
      </c>
      <c r="P5855" t="s">
        <v>9477</v>
      </c>
      <c r="Y5855" t="s">
        <v>23927</v>
      </c>
    </row>
    <row r="5856" spans="1:25">
      <c r="A5856" t="s">
        <v>23928</v>
      </c>
      <c r="B5856" t="s">
        <v>23929</v>
      </c>
      <c r="D5856" t="s">
        <v>9473</v>
      </c>
      <c r="E5856" t="s">
        <v>9474</v>
      </c>
      <c r="J5856" t="s">
        <v>54</v>
      </c>
      <c r="K5856" t="s">
        <v>55</v>
      </c>
      <c r="L5856">
        <v>6</v>
      </c>
      <c r="M5856" t="s">
        <v>23930</v>
      </c>
      <c r="N5856" t="s">
        <v>47</v>
      </c>
      <c r="O5856" t="s">
        <v>9477</v>
      </c>
      <c r="P5856" t="s">
        <v>9477</v>
      </c>
      <c r="Y5856" t="s">
        <v>23931</v>
      </c>
    </row>
    <row r="5857" spans="1:25">
      <c r="A5857" t="s">
        <v>23932</v>
      </c>
      <c r="B5857" t="s">
        <v>23933</v>
      </c>
      <c r="D5857" t="s">
        <v>9473</v>
      </c>
      <c r="E5857" t="s">
        <v>9474</v>
      </c>
      <c r="J5857" t="s">
        <v>44</v>
      </c>
      <c r="K5857" t="s">
        <v>45</v>
      </c>
      <c r="L5857">
        <v>6</v>
      </c>
      <c r="M5857" t="s">
        <v>23934</v>
      </c>
      <c r="N5857" t="s">
        <v>47</v>
      </c>
      <c r="O5857" t="s">
        <v>9477</v>
      </c>
      <c r="P5857" t="s">
        <v>9477</v>
      </c>
      <c r="Y5857" t="s">
        <v>23935</v>
      </c>
    </row>
    <row r="5858" spans="1:25">
      <c r="A5858" t="s">
        <v>23936</v>
      </c>
      <c r="B5858" t="s">
        <v>23937</v>
      </c>
      <c r="D5858" t="s">
        <v>9473</v>
      </c>
      <c r="E5858" t="s">
        <v>9474</v>
      </c>
      <c r="J5858" t="s">
        <v>54</v>
      </c>
      <c r="K5858" t="s">
        <v>55</v>
      </c>
      <c r="L5858">
        <v>6</v>
      </c>
      <c r="M5858" t="s">
        <v>23934</v>
      </c>
      <c r="N5858" t="s">
        <v>47</v>
      </c>
      <c r="O5858" t="s">
        <v>9477</v>
      </c>
      <c r="P5858" t="s">
        <v>9477</v>
      </c>
      <c r="Y5858" t="s">
        <v>23938</v>
      </c>
    </row>
    <row r="5859" spans="1:25">
      <c r="A5859" t="s">
        <v>23939</v>
      </c>
      <c r="B5859" t="s">
        <v>23940</v>
      </c>
      <c r="D5859" t="s">
        <v>9473</v>
      </c>
      <c r="E5859" t="s">
        <v>9474</v>
      </c>
      <c r="H5859" t="s">
        <v>23941</v>
      </c>
      <c r="J5859" t="s">
        <v>54</v>
      </c>
      <c r="K5859" t="s">
        <v>55</v>
      </c>
      <c r="L5859">
        <v>6</v>
      </c>
      <c r="M5859" t="s">
        <v>23934</v>
      </c>
      <c r="N5859" t="s">
        <v>47</v>
      </c>
      <c r="O5859" t="s">
        <v>9477</v>
      </c>
      <c r="P5859" t="s">
        <v>9477</v>
      </c>
      <c r="Y5859" t="s">
        <v>23941</v>
      </c>
    </row>
    <row r="5860" spans="1:25">
      <c r="A5860" t="s">
        <v>23942</v>
      </c>
      <c r="B5860" t="s">
        <v>23943</v>
      </c>
      <c r="D5860" t="s">
        <v>9473</v>
      </c>
      <c r="E5860" t="s">
        <v>9474</v>
      </c>
      <c r="J5860" t="s">
        <v>78</v>
      </c>
      <c r="K5860" t="s">
        <v>79</v>
      </c>
      <c r="L5860">
        <v>6</v>
      </c>
      <c r="M5860" t="s">
        <v>23944</v>
      </c>
      <c r="N5860" t="s">
        <v>47</v>
      </c>
      <c r="O5860" t="s">
        <v>9477</v>
      </c>
      <c r="P5860" t="s">
        <v>9477</v>
      </c>
      <c r="Y5860" t="s">
        <v>23945</v>
      </c>
    </row>
    <row r="5861" spans="1:25">
      <c r="A5861" t="s">
        <v>23946</v>
      </c>
      <c r="B5861" t="s">
        <v>23947</v>
      </c>
      <c r="D5861" t="s">
        <v>9473</v>
      </c>
      <c r="E5861" t="s">
        <v>9474</v>
      </c>
      <c r="J5861" t="s">
        <v>90</v>
      </c>
      <c r="K5861" t="s">
        <v>91</v>
      </c>
      <c r="L5861">
        <v>6</v>
      </c>
      <c r="M5861" t="s">
        <v>23948</v>
      </c>
      <c r="N5861" t="s">
        <v>47</v>
      </c>
      <c r="O5861" t="s">
        <v>9477</v>
      </c>
      <c r="P5861" t="s">
        <v>9477</v>
      </c>
      <c r="Y5861" t="s">
        <v>23949</v>
      </c>
    </row>
    <row r="5862" spans="1:25">
      <c r="A5862" t="s">
        <v>23950</v>
      </c>
      <c r="B5862" t="s">
        <v>23951</v>
      </c>
      <c r="D5862" t="s">
        <v>9473</v>
      </c>
      <c r="E5862" t="s">
        <v>9474</v>
      </c>
      <c r="H5862" t="s">
        <v>23952</v>
      </c>
      <c r="J5862" t="s">
        <v>90</v>
      </c>
      <c r="K5862" t="s">
        <v>91</v>
      </c>
      <c r="L5862">
        <v>6</v>
      </c>
      <c r="M5862" t="s">
        <v>23953</v>
      </c>
      <c r="N5862" t="s">
        <v>47</v>
      </c>
      <c r="O5862" t="s">
        <v>9477</v>
      </c>
      <c r="P5862" t="s">
        <v>9477</v>
      </c>
      <c r="Y5862" t="s">
        <v>23952</v>
      </c>
    </row>
    <row r="5863" spans="1:25">
      <c r="A5863" t="s">
        <v>23954</v>
      </c>
      <c r="B5863" t="s">
        <v>23955</v>
      </c>
      <c r="D5863" t="s">
        <v>9473</v>
      </c>
      <c r="E5863" t="s">
        <v>9474</v>
      </c>
      <c r="H5863" t="s">
        <v>23956</v>
      </c>
      <c r="J5863" t="s">
        <v>90</v>
      </c>
      <c r="K5863" t="s">
        <v>91</v>
      </c>
      <c r="L5863">
        <v>6</v>
      </c>
      <c r="M5863" t="s">
        <v>23957</v>
      </c>
      <c r="N5863" t="s">
        <v>47</v>
      </c>
      <c r="O5863" t="s">
        <v>9477</v>
      </c>
      <c r="P5863" t="s">
        <v>9477</v>
      </c>
      <c r="Y5863" t="s">
        <v>23956</v>
      </c>
    </row>
    <row r="5864" spans="1:25">
      <c r="A5864" t="s">
        <v>23958</v>
      </c>
      <c r="B5864" t="s">
        <v>23959</v>
      </c>
      <c r="D5864" t="s">
        <v>9473</v>
      </c>
      <c r="E5864" t="s">
        <v>9474</v>
      </c>
      <c r="H5864" t="s">
        <v>23960</v>
      </c>
      <c r="J5864" t="s">
        <v>44</v>
      </c>
      <c r="K5864" t="s">
        <v>45</v>
      </c>
      <c r="L5864">
        <v>6</v>
      </c>
      <c r="M5864" t="s">
        <v>23961</v>
      </c>
      <c r="N5864" t="s">
        <v>47</v>
      </c>
      <c r="O5864" t="s">
        <v>9477</v>
      </c>
      <c r="P5864" t="s">
        <v>9477</v>
      </c>
      <c r="Y5864" t="s">
        <v>23960</v>
      </c>
    </row>
    <row r="5865" spans="1:25">
      <c r="A5865" t="s">
        <v>23962</v>
      </c>
      <c r="B5865" t="s">
        <v>23963</v>
      </c>
      <c r="D5865" t="s">
        <v>9473</v>
      </c>
      <c r="E5865" t="s">
        <v>9474</v>
      </c>
      <c r="H5865" t="s">
        <v>23964</v>
      </c>
      <c r="J5865" t="s">
        <v>78</v>
      </c>
      <c r="K5865" t="s">
        <v>79</v>
      </c>
      <c r="L5865">
        <v>6</v>
      </c>
      <c r="M5865" t="s">
        <v>23961</v>
      </c>
      <c r="N5865" t="s">
        <v>47</v>
      </c>
      <c r="O5865" t="s">
        <v>9477</v>
      </c>
      <c r="P5865" t="s">
        <v>9477</v>
      </c>
      <c r="Y5865" t="s">
        <v>23964</v>
      </c>
    </row>
    <row r="5866" spans="1:25">
      <c r="A5866" t="s">
        <v>23965</v>
      </c>
      <c r="B5866" t="s">
        <v>23966</v>
      </c>
      <c r="D5866" t="s">
        <v>9473</v>
      </c>
      <c r="E5866" t="s">
        <v>9474</v>
      </c>
      <c r="J5866" t="s">
        <v>133</v>
      </c>
      <c r="K5866" t="s">
        <v>134</v>
      </c>
      <c r="L5866">
        <v>6</v>
      </c>
      <c r="M5866" t="s">
        <v>23967</v>
      </c>
      <c r="N5866" t="s">
        <v>290</v>
      </c>
      <c r="O5866" t="s">
        <v>9477</v>
      </c>
      <c r="P5866" t="s">
        <v>9477</v>
      </c>
      <c r="Y5866" t="s">
        <v>23968</v>
      </c>
    </row>
    <row r="5867" spans="1:25">
      <c r="A5867" t="s">
        <v>23969</v>
      </c>
      <c r="B5867" t="s">
        <v>23970</v>
      </c>
      <c r="D5867" t="s">
        <v>9473</v>
      </c>
      <c r="E5867" t="s">
        <v>9474</v>
      </c>
      <c r="J5867" t="s">
        <v>5964</v>
      </c>
      <c r="K5867" t="s">
        <v>5965</v>
      </c>
      <c r="L5867">
        <v>6</v>
      </c>
      <c r="M5867" t="s">
        <v>23967</v>
      </c>
      <c r="N5867" t="s">
        <v>685</v>
      </c>
      <c r="O5867" t="s">
        <v>9477</v>
      </c>
      <c r="P5867" t="s">
        <v>9477</v>
      </c>
      <c r="Y5867" t="s">
        <v>23971</v>
      </c>
    </row>
    <row r="5868" spans="1:25">
      <c r="A5868" t="s">
        <v>23972</v>
      </c>
      <c r="B5868" t="s">
        <v>23973</v>
      </c>
      <c r="D5868" t="s">
        <v>9473</v>
      </c>
      <c r="E5868" t="s">
        <v>9474</v>
      </c>
      <c r="J5868" t="s">
        <v>90</v>
      </c>
      <c r="K5868" t="s">
        <v>91</v>
      </c>
      <c r="L5868">
        <v>6</v>
      </c>
      <c r="M5868" t="s">
        <v>23974</v>
      </c>
      <c r="N5868" t="s">
        <v>47</v>
      </c>
      <c r="O5868" t="s">
        <v>9477</v>
      </c>
      <c r="P5868" t="s">
        <v>9477</v>
      </c>
      <c r="Y5868" t="s">
        <v>23975</v>
      </c>
    </row>
    <row r="5869" spans="1:25">
      <c r="A5869" t="s">
        <v>23976</v>
      </c>
      <c r="B5869" t="s">
        <v>23977</v>
      </c>
      <c r="D5869" t="s">
        <v>9473</v>
      </c>
      <c r="E5869" t="s">
        <v>9474</v>
      </c>
      <c r="H5869" t="s">
        <v>23978</v>
      </c>
      <c r="J5869" t="s">
        <v>90</v>
      </c>
      <c r="K5869" t="s">
        <v>91</v>
      </c>
      <c r="L5869">
        <v>6</v>
      </c>
      <c r="M5869" t="s">
        <v>23974</v>
      </c>
      <c r="N5869" t="s">
        <v>47</v>
      </c>
      <c r="O5869" t="s">
        <v>9477</v>
      </c>
      <c r="P5869" t="s">
        <v>9477</v>
      </c>
      <c r="Y5869" t="s">
        <v>23978</v>
      </c>
    </row>
    <row r="5870" spans="1:25">
      <c r="A5870" t="s">
        <v>23979</v>
      </c>
      <c r="B5870" t="s">
        <v>23980</v>
      </c>
      <c r="D5870" t="s">
        <v>9473</v>
      </c>
      <c r="E5870" t="s">
        <v>9474</v>
      </c>
      <c r="J5870" t="s">
        <v>90</v>
      </c>
      <c r="K5870" t="s">
        <v>91</v>
      </c>
      <c r="L5870">
        <v>6</v>
      </c>
      <c r="M5870" t="s">
        <v>23974</v>
      </c>
      <c r="N5870" t="s">
        <v>47</v>
      </c>
      <c r="O5870" t="s">
        <v>9477</v>
      </c>
      <c r="P5870" t="s">
        <v>9477</v>
      </c>
      <c r="Y5870" t="s">
        <v>23981</v>
      </c>
    </row>
    <row r="5871" spans="1:25">
      <c r="A5871" t="s">
        <v>23982</v>
      </c>
      <c r="B5871" t="s">
        <v>23983</v>
      </c>
      <c r="D5871" t="s">
        <v>9473</v>
      </c>
      <c r="E5871" t="s">
        <v>9474</v>
      </c>
      <c r="H5871" t="s">
        <v>23984</v>
      </c>
      <c r="J5871" t="s">
        <v>90</v>
      </c>
      <c r="K5871" t="s">
        <v>91</v>
      </c>
      <c r="L5871">
        <v>6</v>
      </c>
      <c r="M5871" t="s">
        <v>23985</v>
      </c>
      <c r="N5871" t="s">
        <v>47</v>
      </c>
      <c r="O5871" t="s">
        <v>9477</v>
      </c>
      <c r="P5871" t="s">
        <v>9477</v>
      </c>
      <c r="Y5871" t="s">
        <v>23984</v>
      </c>
    </row>
    <row r="5872" spans="1:25">
      <c r="A5872" t="s">
        <v>23986</v>
      </c>
      <c r="B5872" t="s">
        <v>23987</v>
      </c>
      <c r="D5872" t="s">
        <v>9473</v>
      </c>
      <c r="E5872" t="s">
        <v>9474</v>
      </c>
      <c r="J5872" t="s">
        <v>133</v>
      </c>
      <c r="K5872" t="s">
        <v>134</v>
      </c>
      <c r="L5872">
        <v>6</v>
      </c>
      <c r="M5872" t="s">
        <v>23988</v>
      </c>
      <c r="N5872" t="s">
        <v>135</v>
      </c>
      <c r="O5872" t="s">
        <v>9477</v>
      </c>
      <c r="P5872" t="s">
        <v>9477</v>
      </c>
      <c r="Y5872" t="s">
        <v>23989</v>
      </c>
    </row>
    <row r="5873" spans="1:25">
      <c r="A5873" t="s">
        <v>23990</v>
      </c>
      <c r="B5873" t="s">
        <v>23991</v>
      </c>
      <c r="D5873" t="s">
        <v>9473</v>
      </c>
      <c r="E5873" t="s">
        <v>9474</v>
      </c>
      <c r="H5873" t="s">
        <v>23992</v>
      </c>
      <c r="J5873" t="s">
        <v>90</v>
      </c>
      <c r="K5873" t="s">
        <v>91</v>
      </c>
      <c r="L5873">
        <v>6</v>
      </c>
      <c r="M5873" t="s">
        <v>23988</v>
      </c>
      <c r="N5873" t="s">
        <v>47</v>
      </c>
      <c r="O5873" t="s">
        <v>9477</v>
      </c>
      <c r="P5873" t="s">
        <v>9477</v>
      </c>
      <c r="Y5873" t="s">
        <v>23992</v>
      </c>
    </row>
    <row r="5874" spans="1:25">
      <c r="A5874" t="s">
        <v>23993</v>
      </c>
      <c r="B5874" t="s">
        <v>23994</v>
      </c>
      <c r="D5874" t="s">
        <v>9473</v>
      </c>
      <c r="E5874" t="s">
        <v>9474</v>
      </c>
      <c r="H5874" t="s">
        <v>23995</v>
      </c>
      <c r="J5874" t="s">
        <v>90</v>
      </c>
      <c r="K5874" t="s">
        <v>91</v>
      </c>
      <c r="L5874">
        <v>6</v>
      </c>
      <c r="M5874" t="s">
        <v>23996</v>
      </c>
      <c r="N5874" t="s">
        <v>47</v>
      </c>
      <c r="O5874" t="s">
        <v>9477</v>
      </c>
      <c r="P5874" t="s">
        <v>9477</v>
      </c>
      <c r="Y5874" t="s">
        <v>23995</v>
      </c>
    </row>
    <row r="5875" spans="1:25">
      <c r="A5875" t="s">
        <v>23997</v>
      </c>
      <c r="B5875" t="s">
        <v>23998</v>
      </c>
      <c r="D5875" t="s">
        <v>9473</v>
      </c>
      <c r="E5875" t="s">
        <v>9474</v>
      </c>
      <c r="J5875" t="s">
        <v>541</v>
      </c>
      <c r="K5875" t="s">
        <v>542</v>
      </c>
      <c r="L5875">
        <v>6</v>
      </c>
      <c r="M5875" t="s">
        <v>23999</v>
      </c>
      <c r="N5875" t="s">
        <v>290</v>
      </c>
      <c r="O5875" t="s">
        <v>9477</v>
      </c>
      <c r="P5875" t="s">
        <v>9477</v>
      </c>
      <c r="Y5875" t="s">
        <v>24000</v>
      </c>
    </row>
    <row r="5876" spans="1:25">
      <c r="A5876" t="s">
        <v>24001</v>
      </c>
      <c r="B5876" t="s">
        <v>24002</v>
      </c>
      <c r="D5876" t="s">
        <v>9473</v>
      </c>
      <c r="E5876" t="s">
        <v>9474</v>
      </c>
      <c r="H5876" t="s">
        <v>24003</v>
      </c>
      <c r="J5876" t="s">
        <v>54</v>
      </c>
      <c r="K5876" t="s">
        <v>55</v>
      </c>
      <c r="L5876">
        <v>6</v>
      </c>
      <c r="M5876" t="s">
        <v>24004</v>
      </c>
      <c r="N5876" t="s">
        <v>47</v>
      </c>
      <c r="O5876" t="s">
        <v>9477</v>
      </c>
      <c r="P5876" t="s">
        <v>9477</v>
      </c>
      <c r="Y5876" t="s">
        <v>24003</v>
      </c>
    </row>
    <row r="5877" spans="1:25">
      <c r="A5877" t="s">
        <v>24005</v>
      </c>
      <c r="B5877" t="s">
        <v>24006</v>
      </c>
      <c r="D5877" t="s">
        <v>9473</v>
      </c>
      <c r="E5877" t="s">
        <v>9474</v>
      </c>
      <c r="J5877" t="s">
        <v>90</v>
      </c>
      <c r="K5877" t="s">
        <v>91</v>
      </c>
      <c r="L5877">
        <v>6</v>
      </c>
      <c r="M5877" t="s">
        <v>24007</v>
      </c>
      <c r="N5877" t="s">
        <v>47</v>
      </c>
      <c r="O5877" t="s">
        <v>9477</v>
      </c>
      <c r="P5877" t="s">
        <v>9477</v>
      </c>
      <c r="Y5877" t="s">
        <v>24008</v>
      </c>
    </row>
    <row r="5878" spans="1:25">
      <c r="A5878" t="s">
        <v>24009</v>
      </c>
      <c r="B5878" t="s">
        <v>24010</v>
      </c>
      <c r="D5878" t="s">
        <v>9473</v>
      </c>
      <c r="E5878" t="s">
        <v>9474</v>
      </c>
      <c r="H5878" t="s">
        <v>24011</v>
      </c>
      <c r="J5878" t="s">
        <v>54</v>
      </c>
      <c r="K5878" t="s">
        <v>55</v>
      </c>
      <c r="L5878">
        <v>6</v>
      </c>
      <c r="M5878" t="s">
        <v>24012</v>
      </c>
      <c r="N5878" t="s">
        <v>47</v>
      </c>
      <c r="O5878" t="s">
        <v>9477</v>
      </c>
      <c r="P5878" t="s">
        <v>9477</v>
      </c>
      <c r="Y5878" t="s">
        <v>24011</v>
      </c>
    </row>
    <row r="5879" spans="1:25">
      <c r="A5879" t="s">
        <v>24013</v>
      </c>
      <c r="B5879" t="s">
        <v>24014</v>
      </c>
      <c r="D5879" t="s">
        <v>9473</v>
      </c>
      <c r="E5879" t="s">
        <v>9474</v>
      </c>
      <c r="H5879" t="s">
        <v>24015</v>
      </c>
      <c r="J5879" t="s">
        <v>54</v>
      </c>
      <c r="K5879" t="s">
        <v>55</v>
      </c>
      <c r="L5879">
        <v>6</v>
      </c>
      <c r="M5879" t="s">
        <v>24012</v>
      </c>
      <c r="N5879" t="s">
        <v>47</v>
      </c>
      <c r="O5879" t="s">
        <v>9477</v>
      </c>
      <c r="P5879" t="s">
        <v>9477</v>
      </c>
      <c r="Y5879" t="s">
        <v>24015</v>
      </c>
    </row>
    <row r="5880" spans="1:25">
      <c r="A5880" t="s">
        <v>24016</v>
      </c>
      <c r="B5880" t="s">
        <v>24017</v>
      </c>
      <c r="D5880" t="s">
        <v>9473</v>
      </c>
      <c r="E5880" t="s">
        <v>9474</v>
      </c>
      <c r="H5880" t="s">
        <v>24018</v>
      </c>
      <c r="J5880" t="s">
        <v>371</v>
      </c>
      <c r="K5880" t="s">
        <v>372</v>
      </c>
      <c r="L5880">
        <v>6</v>
      </c>
      <c r="M5880" t="s">
        <v>24012</v>
      </c>
      <c r="N5880" t="s">
        <v>47</v>
      </c>
      <c r="O5880" t="s">
        <v>9477</v>
      </c>
      <c r="P5880" t="s">
        <v>9477</v>
      </c>
      <c r="Y5880" t="s">
        <v>24018</v>
      </c>
    </row>
    <row r="5881" spans="1:25">
      <c r="A5881" t="s">
        <v>24019</v>
      </c>
      <c r="B5881" t="s">
        <v>24020</v>
      </c>
      <c r="D5881" t="s">
        <v>9473</v>
      </c>
      <c r="E5881" t="s">
        <v>9474</v>
      </c>
      <c r="H5881" t="s">
        <v>24021</v>
      </c>
      <c r="J5881" t="s">
        <v>497</v>
      </c>
      <c r="K5881" t="s">
        <v>498</v>
      </c>
      <c r="L5881">
        <v>6</v>
      </c>
      <c r="M5881" t="s">
        <v>24012</v>
      </c>
      <c r="N5881" t="s">
        <v>685</v>
      </c>
      <c r="O5881" t="s">
        <v>9477</v>
      </c>
      <c r="P5881" t="s">
        <v>9477</v>
      </c>
      <c r="Y5881" t="s">
        <v>24021</v>
      </c>
    </row>
    <row r="5882" spans="1:25">
      <c r="A5882" t="s">
        <v>24022</v>
      </c>
      <c r="B5882" t="s">
        <v>24023</v>
      </c>
      <c r="D5882" t="s">
        <v>9473</v>
      </c>
      <c r="E5882" t="s">
        <v>9474</v>
      </c>
      <c r="J5882" t="s">
        <v>90</v>
      </c>
      <c r="K5882" t="s">
        <v>91</v>
      </c>
      <c r="L5882">
        <v>6</v>
      </c>
      <c r="M5882" t="s">
        <v>24024</v>
      </c>
      <c r="N5882" t="s">
        <v>47</v>
      </c>
      <c r="O5882" t="s">
        <v>9477</v>
      </c>
      <c r="P5882" t="s">
        <v>9477</v>
      </c>
      <c r="Y5882" t="s">
        <v>24025</v>
      </c>
    </row>
    <row r="5883" spans="1:25">
      <c r="A5883" t="s">
        <v>24026</v>
      </c>
      <c r="B5883" t="s">
        <v>24027</v>
      </c>
      <c r="D5883" t="s">
        <v>9473</v>
      </c>
      <c r="E5883" t="s">
        <v>9474</v>
      </c>
      <c r="J5883" t="s">
        <v>78</v>
      </c>
      <c r="K5883" t="s">
        <v>79</v>
      </c>
      <c r="L5883">
        <v>6</v>
      </c>
      <c r="M5883" t="s">
        <v>24024</v>
      </c>
      <c r="N5883" t="s">
        <v>47</v>
      </c>
      <c r="O5883" t="s">
        <v>9477</v>
      </c>
      <c r="P5883" t="s">
        <v>9477</v>
      </c>
      <c r="Y5883" t="s">
        <v>24028</v>
      </c>
    </row>
    <row r="5884" spans="1:25">
      <c r="A5884" t="s">
        <v>24029</v>
      </c>
      <c r="B5884" t="s">
        <v>24030</v>
      </c>
      <c r="D5884" t="s">
        <v>9473</v>
      </c>
      <c r="E5884" t="s">
        <v>9474</v>
      </c>
      <c r="H5884" t="s">
        <v>24031</v>
      </c>
      <c r="J5884" t="s">
        <v>353</v>
      </c>
      <c r="K5884" t="s">
        <v>354</v>
      </c>
      <c r="L5884">
        <v>6</v>
      </c>
      <c r="M5884" t="s">
        <v>24024</v>
      </c>
      <c r="N5884" t="s">
        <v>135</v>
      </c>
      <c r="O5884" t="s">
        <v>9477</v>
      </c>
      <c r="P5884" t="s">
        <v>9477</v>
      </c>
      <c r="Y5884" t="s">
        <v>24031</v>
      </c>
    </row>
    <row r="5885" spans="1:25">
      <c r="A5885" t="s">
        <v>24032</v>
      </c>
      <c r="B5885" t="s">
        <v>24033</v>
      </c>
      <c r="D5885" t="s">
        <v>9473</v>
      </c>
      <c r="E5885" t="s">
        <v>9474</v>
      </c>
      <c r="J5885" t="s">
        <v>54</v>
      </c>
      <c r="K5885" t="s">
        <v>55</v>
      </c>
      <c r="L5885">
        <v>6</v>
      </c>
      <c r="M5885" t="s">
        <v>24024</v>
      </c>
      <c r="N5885" t="s">
        <v>47</v>
      </c>
      <c r="O5885" t="s">
        <v>9477</v>
      </c>
      <c r="P5885" t="s">
        <v>9477</v>
      </c>
      <c r="Y5885" t="s">
        <v>24034</v>
      </c>
    </row>
    <row r="5886" spans="1:25">
      <c r="A5886" t="s">
        <v>24035</v>
      </c>
      <c r="B5886" t="s">
        <v>24036</v>
      </c>
      <c r="D5886" t="s">
        <v>9473</v>
      </c>
      <c r="E5886" t="s">
        <v>9474</v>
      </c>
      <c r="H5886" t="s">
        <v>24037</v>
      </c>
      <c r="J5886" t="s">
        <v>234</v>
      </c>
      <c r="K5886" t="s">
        <v>235</v>
      </c>
      <c r="L5886">
        <v>6</v>
      </c>
      <c r="M5886" t="s">
        <v>24038</v>
      </c>
      <c r="N5886" t="s">
        <v>47</v>
      </c>
      <c r="O5886" t="s">
        <v>9477</v>
      </c>
      <c r="P5886" t="s">
        <v>9477</v>
      </c>
      <c r="Y5886" t="s">
        <v>24037</v>
      </c>
    </row>
    <row r="5887" spans="1:25">
      <c r="A5887" t="s">
        <v>24039</v>
      </c>
      <c r="B5887" t="s">
        <v>24040</v>
      </c>
      <c r="D5887" t="s">
        <v>9473</v>
      </c>
      <c r="E5887" t="s">
        <v>9474</v>
      </c>
      <c r="J5887" t="s">
        <v>78</v>
      </c>
      <c r="K5887" t="s">
        <v>79</v>
      </c>
      <c r="L5887">
        <v>6</v>
      </c>
      <c r="M5887" t="s">
        <v>24041</v>
      </c>
      <c r="N5887" t="s">
        <v>47</v>
      </c>
      <c r="O5887" t="s">
        <v>9477</v>
      </c>
      <c r="P5887" t="s">
        <v>9477</v>
      </c>
      <c r="Y5887" t="s">
        <v>24042</v>
      </c>
    </row>
    <row r="5888" spans="1:25">
      <c r="A5888" t="s">
        <v>24043</v>
      </c>
      <c r="B5888" t="s">
        <v>24044</v>
      </c>
      <c r="D5888" t="s">
        <v>9473</v>
      </c>
      <c r="E5888" t="s">
        <v>9474</v>
      </c>
      <c r="H5888" t="s">
        <v>24045</v>
      </c>
      <c r="J5888" t="s">
        <v>234</v>
      </c>
      <c r="K5888" t="s">
        <v>235</v>
      </c>
      <c r="L5888">
        <v>6</v>
      </c>
      <c r="M5888" t="s">
        <v>24046</v>
      </c>
      <c r="N5888" t="s">
        <v>47</v>
      </c>
      <c r="O5888" t="s">
        <v>9477</v>
      </c>
      <c r="P5888" t="s">
        <v>9477</v>
      </c>
      <c r="Y5888" t="s">
        <v>24045</v>
      </c>
    </row>
    <row r="5889" spans="1:25">
      <c r="A5889" t="s">
        <v>24047</v>
      </c>
      <c r="B5889" t="s">
        <v>24048</v>
      </c>
      <c r="D5889" t="s">
        <v>9473</v>
      </c>
      <c r="E5889" t="s">
        <v>9474</v>
      </c>
      <c r="J5889" t="s">
        <v>54</v>
      </c>
      <c r="K5889" t="s">
        <v>55</v>
      </c>
      <c r="L5889">
        <v>6</v>
      </c>
      <c r="M5889" t="s">
        <v>24049</v>
      </c>
      <c r="N5889" t="s">
        <v>47</v>
      </c>
      <c r="O5889" t="s">
        <v>9477</v>
      </c>
      <c r="P5889" t="s">
        <v>9477</v>
      </c>
      <c r="Y5889" t="s">
        <v>24050</v>
      </c>
    </row>
    <row r="5890" spans="1:25">
      <c r="A5890" t="s">
        <v>24051</v>
      </c>
      <c r="B5890" t="s">
        <v>24052</v>
      </c>
      <c r="D5890" t="s">
        <v>9473</v>
      </c>
      <c r="E5890" t="s">
        <v>9474</v>
      </c>
      <c r="H5890" t="s">
        <v>24053</v>
      </c>
      <c r="J5890" t="s">
        <v>371</v>
      </c>
      <c r="K5890" t="s">
        <v>372</v>
      </c>
      <c r="L5890">
        <v>6</v>
      </c>
      <c r="M5890" t="s">
        <v>24054</v>
      </c>
      <c r="N5890" t="s">
        <v>47</v>
      </c>
      <c r="O5890" t="s">
        <v>9477</v>
      </c>
      <c r="P5890" t="s">
        <v>9477</v>
      </c>
      <c r="Y5890" t="s">
        <v>24053</v>
      </c>
    </row>
    <row r="5891" spans="1:25">
      <c r="A5891" t="s">
        <v>24055</v>
      </c>
      <c r="B5891" t="s">
        <v>24056</v>
      </c>
      <c r="D5891" t="s">
        <v>9473</v>
      </c>
      <c r="E5891" t="s">
        <v>9474</v>
      </c>
      <c r="J5891" t="s">
        <v>90</v>
      </c>
      <c r="K5891" t="s">
        <v>91</v>
      </c>
      <c r="L5891">
        <v>6</v>
      </c>
      <c r="M5891" t="s">
        <v>24057</v>
      </c>
      <c r="N5891" t="s">
        <v>47</v>
      </c>
      <c r="O5891" t="s">
        <v>9477</v>
      </c>
      <c r="P5891" t="s">
        <v>9477</v>
      </c>
      <c r="Y5891" t="s">
        <v>24058</v>
      </c>
    </row>
    <row r="5892" spans="1:25">
      <c r="A5892" t="s">
        <v>24059</v>
      </c>
      <c r="B5892" t="s">
        <v>24060</v>
      </c>
      <c r="D5892" t="s">
        <v>9473</v>
      </c>
      <c r="E5892" t="s">
        <v>9474</v>
      </c>
      <c r="J5892" t="s">
        <v>44</v>
      </c>
      <c r="K5892" t="s">
        <v>45</v>
      </c>
      <c r="L5892">
        <v>6</v>
      </c>
      <c r="M5892" t="s">
        <v>24057</v>
      </c>
      <c r="N5892" t="s">
        <v>47</v>
      </c>
      <c r="O5892" t="s">
        <v>9477</v>
      </c>
      <c r="P5892" t="s">
        <v>9477</v>
      </c>
      <c r="Y5892" t="s">
        <v>24061</v>
      </c>
    </row>
    <row r="5893" spans="1:25">
      <c r="A5893" t="s">
        <v>24062</v>
      </c>
      <c r="B5893" t="s">
        <v>24063</v>
      </c>
      <c r="D5893" t="s">
        <v>9473</v>
      </c>
      <c r="E5893" t="s">
        <v>9474</v>
      </c>
      <c r="J5893" t="s">
        <v>78</v>
      </c>
      <c r="K5893" t="s">
        <v>79</v>
      </c>
      <c r="L5893">
        <v>6</v>
      </c>
      <c r="M5893" t="s">
        <v>24057</v>
      </c>
      <c r="N5893" t="s">
        <v>47</v>
      </c>
      <c r="O5893" t="s">
        <v>9477</v>
      </c>
      <c r="P5893" t="s">
        <v>9477</v>
      </c>
      <c r="Y5893" t="s">
        <v>24064</v>
      </c>
    </row>
    <row r="5894" spans="1:25">
      <c r="A5894" t="s">
        <v>24065</v>
      </c>
      <c r="B5894" t="s">
        <v>24066</v>
      </c>
      <c r="D5894" t="s">
        <v>9473</v>
      </c>
      <c r="E5894" t="s">
        <v>9474</v>
      </c>
      <c r="J5894" t="s">
        <v>54</v>
      </c>
      <c r="K5894" t="s">
        <v>55</v>
      </c>
      <c r="L5894">
        <v>6</v>
      </c>
      <c r="M5894" t="s">
        <v>24057</v>
      </c>
      <c r="N5894" t="s">
        <v>47</v>
      </c>
      <c r="O5894" t="s">
        <v>9477</v>
      </c>
      <c r="P5894" t="s">
        <v>9477</v>
      </c>
      <c r="Y5894" t="s">
        <v>24067</v>
      </c>
    </row>
    <row r="5895" spans="1:25">
      <c r="A5895" t="s">
        <v>24068</v>
      </c>
      <c r="B5895" t="s">
        <v>24069</v>
      </c>
      <c r="D5895" t="s">
        <v>9473</v>
      </c>
      <c r="E5895" t="s">
        <v>9474</v>
      </c>
      <c r="H5895" t="s">
        <v>24070</v>
      </c>
      <c r="J5895" t="s">
        <v>78</v>
      </c>
      <c r="K5895" t="s">
        <v>79</v>
      </c>
      <c r="L5895">
        <v>6</v>
      </c>
      <c r="M5895" t="s">
        <v>24071</v>
      </c>
      <c r="N5895" t="s">
        <v>47</v>
      </c>
      <c r="O5895" t="s">
        <v>9477</v>
      </c>
      <c r="P5895" t="s">
        <v>9477</v>
      </c>
      <c r="Y5895" t="s">
        <v>24070</v>
      </c>
    </row>
    <row r="5896" spans="1:25">
      <c r="A5896" t="s">
        <v>24072</v>
      </c>
      <c r="B5896" t="s">
        <v>24073</v>
      </c>
      <c r="D5896" t="s">
        <v>9473</v>
      </c>
      <c r="E5896" t="s">
        <v>9474</v>
      </c>
      <c r="J5896" t="s">
        <v>54</v>
      </c>
      <c r="K5896" t="s">
        <v>55</v>
      </c>
      <c r="L5896">
        <v>6</v>
      </c>
      <c r="M5896" t="s">
        <v>24074</v>
      </c>
      <c r="N5896" t="s">
        <v>47</v>
      </c>
      <c r="O5896" t="s">
        <v>9477</v>
      </c>
      <c r="P5896" t="s">
        <v>9477</v>
      </c>
      <c r="Y5896" t="s">
        <v>24075</v>
      </c>
    </row>
    <row r="5897" spans="1:25">
      <c r="A5897" t="s">
        <v>24076</v>
      </c>
      <c r="B5897" t="s">
        <v>24077</v>
      </c>
      <c r="D5897" t="s">
        <v>9473</v>
      </c>
      <c r="E5897" t="s">
        <v>9474</v>
      </c>
      <c r="J5897" t="s">
        <v>78</v>
      </c>
      <c r="K5897" t="s">
        <v>79</v>
      </c>
      <c r="L5897">
        <v>6</v>
      </c>
      <c r="M5897" t="s">
        <v>24074</v>
      </c>
      <c r="N5897" t="s">
        <v>47</v>
      </c>
      <c r="O5897" t="s">
        <v>9477</v>
      </c>
      <c r="P5897" t="s">
        <v>9477</v>
      </c>
      <c r="Y5897" t="s">
        <v>24078</v>
      </c>
    </row>
    <row r="5898" spans="1:25">
      <c r="A5898" t="s">
        <v>24079</v>
      </c>
      <c r="B5898" t="s">
        <v>24080</v>
      </c>
      <c r="D5898" t="s">
        <v>9473</v>
      </c>
      <c r="E5898" t="s">
        <v>9474</v>
      </c>
      <c r="J5898" t="s">
        <v>78</v>
      </c>
      <c r="K5898" t="s">
        <v>79</v>
      </c>
      <c r="L5898">
        <v>6</v>
      </c>
      <c r="M5898" t="s">
        <v>24074</v>
      </c>
      <c r="N5898" t="s">
        <v>47</v>
      </c>
      <c r="O5898" t="s">
        <v>9477</v>
      </c>
      <c r="P5898" t="s">
        <v>9477</v>
      </c>
      <c r="Y5898" t="s">
        <v>24081</v>
      </c>
    </row>
    <row r="5899" spans="1:25">
      <c r="A5899" t="s">
        <v>24082</v>
      </c>
      <c r="B5899" t="s">
        <v>24083</v>
      </c>
      <c r="D5899" t="s">
        <v>9473</v>
      </c>
      <c r="E5899" t="s">
        <v>9474</v>
      </c>
      <c r="H5899" t="s">
        <v>24084</v>
      </c>
      <c r="J5899" t="s">
        <v>353</v>
      </c>
      <c r="K5899" t="s">
        <v>354</v>
      </c>
      <c r="L5899">
        <v>6</v>
      </c>
      <c r="M5899" t="s">
        <v>24085</v>
      </c>
      <c r="N5899" t="s">
        <v>135</v>
      </c>
      <c r="O5899" t="s">
        <v>9477</v>
      </c>
      <c r="P5899" t="s">
        <v>9477</v>
      </c>
      <c r="Y5899" t="s">
        <v>24084</v>
      </c>
    </row>
    <row r="5900" spans="1:25">
      <c r="A5900" t="s">
        <v>24086</v>
      </c>
      <c r="B5900" t="s">
        <v>24087</v>
      </c>
      <c r="D5900" t="s">
        <v>9473</v>
      </c>
      <c r="E5900" t="s">
        <v>9474</v>
      </c>
      <c r="H5900" t="s">
        <v>24088</v>
      </c>
      <c r="J5900" t="s">
        <v>78</v>
      </c>
      <c r="K5900" t="s">
        <v>79</v>
      </c>
      <c r="L5900">
        <v>6</v>
      </c>
      <c r="M5900" t="s">
        <v>24089</v>
      </c>
      <c r="N5900" t="s">
        <v>47</v>
      </c>
      <c r="O5900" t="s">
        <v>9477</v>
      </c>
      <c r="P5900" t="s">
        <v>9477</v>
      </c>
      <c r="Y5900" t="s">
        <v>24088</v>
      </c>
    </row>
    <row r="5901" spans="1:25">
      <c r="A5901" t="s">
        <v>24090</v>
      </c>
      <c r="B5901" t="s">
        <v>24091</v>
      </c>
      <c r="D5901" t="s">
        <v>9473</v>
      </c>
      <c r="E5901" t="s">
        <v>9474</v>
      </c>
      <c r="J5901" t="s">
        <v>90</v>
      </c>
      <c r="K5901" t="s">
        <v>91</v>
      </c>
      <c r="L5901">
        <v>6</v>
      </c>
      <c r="M5901" t="s">
        <v>24092</v>
      </c>
      <c r="N5901" t="s">
        <v>47</v>
      </c>
      <c r="O5901" t="s">
        <v>9477</v>
      </c>
      <c r="P5901" t="s">
        <v>9477</v>
      </c>
      <c r="Y5901" t="s">
        <v>24093</v>
      </c>
    </row>
    <row r="5902" spans="1:25">
      <c r="A5902" t="s">
        <v>24094</v>
      </c>
      <c r="B5902" t="s">
        <v>24095</v>
      </c>
      <c r="D5902" t="s">
        <v>9473</v>
      </c>
      <c r="E5902" t="s">
        <v>9474</v>
      </c>
      <c r="H5902" t="s">
        <v>24096</v>
      </c>
      <c r="J5902" t="s">
        <v>371</v>
      </c>
      <c r="K5902" t="s">
        <v>372</v>
      </c>
      <c r="L5902">
        <v>6</v>
      </c>
      <c r="M5902" t="s">
        <v>24092</v>
      </c>
      <c r="N5902" t="s">
        <v>47</v>
      </c>
      <c r="O5902" t="s">
        <v>9477</v>
      </c>
      <c r="P5902" t="s">
        <v>9477</v>
      </c>
      <c r="Y5902" t="s">
        <v>24096</v>
      </c>
    </row>
    <row r="5903" spans="1:25">
      <c r="A5903" t="s">
        <v>24097</v>
      </c>
      <c r="B5903" t="s">
        <v>24098</v>
      </c>
      <c r="D5903" t="s">
        <v>9473</v>
      </c>
      <c r="E5903" t="s">
        <v>9474</v>
      </c>
      <c r="J5903" t="s">
        <v>90</v>
      </c>
      <c r="K5903" t="s">
        <v>91</v>
      </c>
      <c r="L5903">
        <v>6</v>
      </c>
      <c r="M5903" t="s">
        <v>24099</v>
      </c>
      <c r="N5903" t="s">
        <v>47</v>
      </c>
      <c r="O5903" t="s">
        <v>9477</v>
      </c>
      <c r="P5903" t="s">
        <v>9477</v>
      </c>
      <c r="Y5903" t="s">
        <v>24100</v>
      </c>
    </row>
    <row r="5904" spans="1:25">
      <c r="A5904" t="s">
        <v>24101</v>
      </c>
      <c r="B5904" t="s">
        <v>24102</v>
      </c>
      <c r="D5904" t="s">
        <v>9473</v>
      </c>
      <c r="E5904" t="s">
        <v>9474</v>
      </c>
      <c r="J5904" t="s">
        <v>90</v>
      </c>
      <c r="K5904" t="s">
        <v>91</v>
      </c>
      <c r="L5904">
        <v>6</v>
      </c>
      <c r="M5904" t="s">
        <v>24103</v>
      </c>
      <c r="N5904" t="s">
        <v>47</v>
      </c>
      <c r="O5904" t="s">
        <v>9477</v>
      </c>
      <c r="P5904" t="s">
        <v>9477</v>
      </c>
      <c r="Y5904" t="s">
        <v>24104</v>
      </c>
    </row>
    <row r="5905" spans="1:25">
      <c r="A5905" t="s">
        <v>24105</v>
      </c>
      <c r="B5905" t="s">
        <v>24106</v>
      </c>
      <c r="D5905" t="s">
        <v>9473</v>
      </c>
      <c r="E5905" t="s">
        <v>9474</v>
      </c>
      <c r="J5905" t="s">
        <v>44</v>
      </c>
      <c r="K5905" t="s">
        <v>45</v>
      </c>
      <c r="L5905">
        <v>6</v>
      </c>
      <c r="M5905" t="s">
        <v>24107</v>
      </c>
      <c r="N5905" t="s">
        <v>47</v>
      </c>
      <c r="O5905" t="s">
        <v>9477</v>
      </c>
      <c r="P5905" t="s">
        <v>9477</v>
      </c>
      <c r="Y5905" t="s">
        <v>24108</v>
      </c>
    </row>
    <row r="5906" spans="1:25">
      <c r="A5906" t="s">
        <v>24109</v>
      </c>
      <c r="B5906" t="s">
        <v>24110</v>
      </c>
      <c r="D5906" t="s">
        <v>9473</v>
      </c>
      <c r="E5906" t="s">
        <v>9474</v>
      </c>
      <c r="J5906" t="s">
        <v>44</v>
      </c>
      <c r="K5906" t="s">
        <v>45</v>
      </c>
      <c r="L5906">
        <v>6</v>
      </c>
      <c r="M5906" t="s">
        <v>24111</v>
      </c>
      <c r="N5906" t="s">
        <v>47</v>
      </c>
      <c r="O5906" t="s">
        <v>9477</v>
      </c>
      <c r="P5906" t="s">
        <v>9477</v>
      </c>
      <c r="Y5906" t="s">
        <v>24112</v>
      </c>
    </row>
    <row r="5907" spans="1:25">
      <c r="A5907" t="s">
        <v>24113</v>
      </c>
      <c r="B5907" t="s">
        <v>24114</v>
      </c>
      <c r="D5907" t="s">
        <v>9473</v>
      </c>
      <c r="E5907" t="s">
        <v>9474</v>
      </c>
      <c r="J5907" t="s">
        <v>90</v>
      </c>
      <c r="K5907" t="s">
        <v>91</v>
      </c>
      <c r="L5907">
        <v>6</v>
      </c>
      <c r="M5907" t="s">
        <v>24115</v>
      </c>
      <c r="N5907" t="s">
        <v>47</v>
      </c>
      <c r="O5907" t="s">
        <v>9477</v>
      </c>
      <c r="P5907" t="s">
        <v>9477</v>
      </c>
      <c r="Y5907" t="s">
        <v>24116</v>
      </c>
    </row>
    <row r="5908" spans="1:25">
      <c r="A5908" t="s">
        <v>24117</v>
      </c>
      <c r="B5908" t="s">
        <v>24118</v>
      </c>
      <c r="D5908" t="s">
        <v>9473</v>
      </c>
      <c r="E5908" t="s">
        <v>9474</v>
      </c>
      <c r="J5908" t="s">
        <v>44</v>
      </c>
      <c r="K5908" t="s">
        <v>45</v>
      </c>
      <c r="L5908">
        <v>6</v>
      </c>
      <c r="M5908" t="s">
        <v>24119</v>
      </c>
      <c r="N5908" t="s">
        <v>47</v>
      </c>
      <c r="O5908" t="s">
        <v>9477</v>
      </c>
      <c r="P5908" t="s">
        <v>9477</v>
      </c>
      <c r="Y5908" t="s">
        <v>24120</v>
      </c>
    </row>
    <row r="5909" spans="1:25">
      <c r="A5909" t="s">
        <v>24121</v>
      </c>
      <c r="B5909" t="s">
        <v>24122</v>
      </c>
      <c r="D5909" t="s">
        <v>9473</v>
      </c>
      <c r="E5909" t="s">
        <v>9474</v>
      </c>
      <c r="J5909" t="s">
        <v>90</v>
      </c>
      <c r="K5909" t="s">
        <v>91</v>
      </c>
      <c r="L5909">
        <v>6</v>
      </c>
      <c r="M5909" t="s">
        <v>24119</v>
      </c>
      <c r="N5909" t="s">
        <v>47</v>
      </c>
      <c r="O5909" t="s">
        <v>9477</v>
      </c>
      <c r="P5909" t="s">
        <v>9477</v>
      </c>
      <c r="Y5909" t="s">
        <v>24123</v>
      </c>
    </row>
    <row r="5910" spans="1:25">
      <c r="A5910" t="s">
        <v>24124</v>
      </c>
      <c r="B5910" t="s">
        <v>24125</v>
      </c>
      <c r="D5910" t="s">
        <v>9473</v>
      </c>
      <c r="E5910" t="s">
        <v>9474</v>
      </c>
      <c r="H5910" t="s">
        <v>24126</v>
      </c>
      <c r="J5910" t="s">
        <v>78</v>
      </c>
      <c r="K5910" t="s">
        <v>79</v>
      </c>
      <c r="L5910">
        <v>6</v>
      </c>
      <c r="M5910" t="s">
        <v>24127</v>
      </c>
      <c r="N5910" t="s">
        <v>47</v>
      </c>
      <c r="O5910" t="s">
        <v>9477</v>
      </c>
      <c r="P5910" t="s">
        <v>9477</v>
      </c>
      <c r="Y5910" t="s">
        <v>24126</v>
      </c>
    </row>
    <row r="5911" spans="1:25">
      <c r="A5911" t="s">
        <v>24128</v>
      </c>
      <c r="B5911" t="s">
        <v>24129</v>
      </c>
      <c r="D5911" t="s">
        <v>9473</v>
      </c>
      <c r="E5911" t="s">
        <v>9474</v>
      </c>
      <c r="H5911" t="s">
        <v>24130</v>
      </c>
      <c r="J5911" t="s">
        <v>44</v>
      </c>
      <c r="K5911" t="s">
        <v>45</v>
      </c>
      <c r="L5911">
        <v>6</v>
      </c>
      <c r="M5911" t="s">
        <v>24127</v>
      </c>
      <c r="N5911" t="s">
        <v>47</v>
      </c>
      <c r="O5911" t="s">
        <v>9477</v>
      </c>
      <c r="P5911" t="s">
        <v>9477</v>
      </c>
      <c r="Y5911" t="s">
        <v>24130</v>
      </c>
    </row>
    <row r="5912" spans="1:25">
      <c r="A5912" t="s">
        <v>24131</v>
      </c>
      <c r="B5912" t="s">
        <v>24132</v>
      </c>
      <c r="D5912" t="s">
        <v>9473</v>
      </c>
      <c r="E5912" t="s">
        <v>9474</v>
      </c>
      <c r="J5912" t="s">
        <v>90</v>
      </c>
      <c r="K5912" t="s">
        <v>91</v>
      </c>
      <c r="L5912">
        <v>6</v>
      </c>
      <c r="M5912" t="s">
        <v>24133</v>
      </c>
      <c r="N5912" t="s">
        <v>47</v>
      </c>
      <c r="O5912" t="s">
        <v>9477</v>
      </c>
      <c r="P5912" t="s">
        <v>9477</v>
      </c>
      <c r="Y5912" t="s">
        <v>24134</v>
      </c>
    </row>
    <row r="5913" spans="1:25">
      <c r="A5913" t="s">
        <v>24135</v>
      </c>
      <c r="B5913" t="s">
        <v>24136</v>
      </c>
      <c r="D5913" t="s">
        <v>9473</v>
      </c>
      <c r="E5913" t="s">
        <v>9474</v>
      </c>
      <c r="J5913" t="s">
        <v>90</v>
      </c>
      <c r="K5913" t="s">
        <v>91</v>
      </c>
      <c r="L5913">
        <v>6</v>
      </c>
      <c r="M5913" t="s">
        <v>24133</v>
      </c>
      <c r="N5913" t="s">
        <v>47</v>
      </c>
      <c r="O5913" t="s">
        <v>9477</v>
      </c>
      <c r="P5913" t="s">
        <v>9477</v>
      </c>
      <c r="Y5913" t="s">
        <v>24137</v>
      </c>
    </row>
    <row r="5914" spans="1:25">
      <c r="A5914" t="s">
        <v>24138</v>
      </c>
      <c r="B5914" t="s">
        <v>24139</v>
      </c>
      <c r="D5914" t="s">
        <v>9473</v>
      </c>
      <c r="E5914" t="s">
        <v>9474</v>
      </c>
      <c r="H5914" t="s">
        <v>24140</v>
      </c>
      <c r="J5914" t="s">
        <v>234</v>
      </c>
      <c r="K5914" t="s">
        <v>235</v>
      </c>
      <c r="L5914">
        <v>6</v>
      </c>
      <c r="M5914" t="s">
        <v>24141</v>
      </c>
      <c r="N5914" t="s">
        <v>47</v>
      </c>
      <c r="O5914" t="s">
        <v>9477</v>
      </c>
      <c r="P5914" t="s">
        <v>9477</v>
      </c>
      <c r="Y5914" t="s">
        <v>24140</v>
      </c>
    </row>
    <row r="5915" spans="1:25">
      <c r="A5915" t="s">
        <v>24142</v>
      </c>
      <c r="B5915" t="s">
        <v>24143</v>
      </c>
      <c r="D5915" t="s">
        <v>9473</v>
      </c>
      <c r="E5915" t="s">
        <v>9474</v>
      </c>
      <c r="H5915" t="s">
        <v>24144</v>
      </c>
      <c r="J5915" t="s">
        <v>234</v>
      </c>
      <c r="K5915" t="s">
        <v>235</v>
      </c>
      <c r="L5915">
        <v>6</v>
      </c>
      <c r="M5915" t="s">
        <v>24145</v>
      </c>
      <c r="N5915" t="s">
        <v>47</v>
      </c>
      <c r="O5915" t="s">
        <v>9477</v>
      </c>
      <c r="P5915" t="s">
        <v>9477</v>
      </c>
      <c r="Y5915" t="s">
        <v>24144</v>
      </c>
    </row>
    <row r="5916" spans="1:25">
      <c r="A5916" t="s">
        <v>24146</v>
      </c>
      <c r="B5916" t="s">
        <v>24147</v>
      </c>
      <c r="D5916" t="s">
        <v>9473</v>
      </c>
      <c r="E5916" t="s">
        <v>9474</v>
      </c>
      <c r="J5916" t="s">
        <v>90</v>
      </c>
      <c r="K5916" t="s">
        <v>91</v>
      </c>
      <c r="L5916">
        <v>6</v>
      </c>
      <c r="M5916" t="s">
        <v>24148</v>
      </c>
      <c r="N5916" t="s">
        <v>47</v>
      </c>
      <c r="O5916" t="s">
        <v>9477</v>
      </c>
      <c r="P5916" t="s">
        <v>9477</v>
      </c>
      <c r="Y5916" t="s">
        <v>24149</v>
      </c>
    </row>
    <row r="5917" spans="1:25">
      <c r="A5917" t="s">
        <v>24150</v>
      </c>
      <c r="B5917" t="s">
        <v>24151</v>
      </c>
      <c r="D5917" t="s">
        <v>9473</v>
      </c>
      <c r="E5917" t="s">
        <v>9474</v>
      </c>
      <c r="H5917" t="s">
        <v>24152</v>
      </c>
      <c r="J5917" t="s">
        <v>44</v>
      </c>
      <c r="K5917" t="s">
        <v>45</v>
      </c>
      <c r="L5917">
        <v>6</v>
      </c>
      <c r="M5917" t="s">
        <v>24153</v>
      </c>
      <c r="N5917" t="s">
        <v>47</v>
      </c>
      <c r="O5917" t="s">
        <v>9477</v>
      </c>
      <c r="P5917" t="s">
        <v>9477</v>
      </c>
      <c r="Y5917" t="s">
        <v>24152</v>
      </c>
    </row>
    <row r="5918" spans="1:25">
      <c r="A5918" t="s">
        <v>24154</v>
      </c>
      <c r="B5918" t="s">
        <v>24155</v>
      </c>
      <c r="D5918" t="s">
        <v>9473</v>
      </c>
      <c r="E5918" t="s">
        <v>9474</v>
      </c>
      <c r="J5918" t="s">
        <v>44</v>
      </c>
      <c r="K5918" t="s">
        <v>45</v>
      </c>
      <c r="L5918">
        <v>6</v>
      </c>
      <c r="M5918" t="s">
        <v>24156</v>
      </c>
      <c r="N5918" t="s">
        <v>47</v>
      </c>
      <c r="O5918" t="s">
        <v>9477</v>
      </c>
      <c r="P5918" t="s">
        <v>9477</v>
      </c>
      <c r="Y5918" t="s">
        <v>24157</v>
      </c>
    </row>
    <row r="5919" spans="1:25">
      <c r="A5919" t="s">
        <v>24158</v>
      </c>
      <c r="B5919" t="s">
        <v>24159</v>
      </c>
      <c r="D5919" t="s">
        <v>9473</v>
      </c>
      <c r="E5919" t="s">
        <v>9474</v>
      </c>
      <c r="J5919" t="s">
        <v>78</v>
      </c>
      <c r="K5919" t="s">
        <v>79</v>
      </c>
      <c r="L5919">
        <v>6</v>
      </c>
      <c r="M5919" t="s">
        <v>24160</v>
      </c>
      <c r="N5919" t="s">
        <v>47</v>
      </c>
      <c r="O5919" t="s">
        <v>9477</v>
      </c>
      <c r="P5919" t="s">
        <v>9477</v>
      </c>
      <c r="Y5919" t="s">
        <v>24161</v>
      </c>
    </row>
    <row r="5920" spans="1:25">
      <c r="A5920" t="s">
        <v>24162</v>
      </c>
      <c r="B5920" t="s">
        <v>24163</v>
      </c>
      <c r="D5920" t="s">
        <v>9473</v>
      </c>
      <c r="E5920" t="s">
        <v>9474</v>
      </c>
      <c r="J5920" t="s">
        <v>90</v>
      </c>
      <c r="K5920" t="s">
        <v>91</v>
      </c>
      <c r="L5920">
        <v>6</v>
      </c>
      <c r="M5920" t="s">
        <v>24164</v>
      </c>
      <c r="N5920" t="s">
        <v>47</v>
      </c>
      <c r="O5920" t="s">
        <v>9477</v>
      </c>
      <c r="P5920" t="s">
        <v>9477</v>
      </c>
      <c r="Y5920" t="s">
        <v>24165</v>
      </c>
    </row>
    <row r="5921" spans="1:25">
      <c r="A5921" t="s">
        <v>24166</v>
      </c>
      <c r="B5921" t="s">
        <v>24167</v>
      </c>
      <c r="D5921" t="s">
        <v>9473</v>
      </c>
      <c r="E5921" t="s">
        <v>9474</v>
      </c>
      <c r="J5921" t="s">
        <v>44</v>
      </c>
      <c r="K5921" t="s">
        <v>45</v>
      </c>
      <c r="L5921">
        <v>6</v>
      </c>
      <c r="M5921" t="s">
        <v>24168</v>
      </c>
      <c r="N5921" t="s">
        <v>47</v>
      </c>
      <c r="O5921" t="s">
        <v>9477</v>
      </c>
      <c r="P5921" t="s">
        <v>9477</v>
      </c>
      <c r="Y5921" t="s">
        <v>24169</v>
      </c>
    </row>
    <row r="5922" spans="1:25">
      <c r="A5922" t="s">
        <v>24170</v>
      </c>
      <c r="B5922" t="s">
        <v>24171</v>
      </c>
      <c r="D5922" t="s">
        <v>9473</v>
      </c>
      <c r="E5922" t="s">
        <v>9474</v>
      </c>
      <c r="J5922" t="s">
        <v>78</v>
      </c>
      <c r="K5922" t="s">
        <v>79</v>
      </c>
      <c r="L5922">
        <v>6</v>
      </c>
      <c r="M5922" t="s">
        <v>24168</v>
      </c>
      <c r="N5922" t="s">
        <v>47</v>
      </c>
      <c r="O5922" t="s">
        <v>9477</v>
      </c>
      <c r="P5922" t="s">
        <v>9477</v>
      </c>
      <c r="Y5922" t="s">
        <v>24172</v>
      </c>
    </row>
    <row r="5923" spans="1:25">
      <c r="A5923" t="s">
        <v>24173</v>
      </c>
      <c r="B5923" t="s">
        <v>24174</v>
      </c>
      <c r="D5923" t="s">
        <v>9473</v>
      </c>
      <c r="E5923" t="s">
        <v>9474</v>
      </c>
      <c r="H5923" t="s">
        <v>24175</v>
      </c>
      <c r="J5923" t="s">
        <v>54</v>
      </c>
      <c r="K5923" t="s">
        <v>55</v>
      </c>
      <c r="L5923">
        <v>6</v>
      </c>
      <c r="M5923" t="s">
        <v>24168</v>
      </c>
      <c r="N5923" t="s">
        <v>47</v>
      </c>
      <c r="O5923" t="s">
        <v>9477</v>
      </c>
      <c r="P5923" t="s">
        <v>9477</v>
      </c>
      <c r="Y5923" t="s">
        <v>24175</v>
      </c>
    </row>
    <row r="5924" spans="1:25">
      <c r="A5924" t="s">
        <v>24176</v>
      </c>
      <c r="B5924" t="s">
        <v>24177</v>
      </c>
      <c r="D5924" t="s">
        <v>9473</v>
      </c>
      <c r="E5924" t="s">
        <v>9474</v>
      </c>
      <c r="J5924" t="s">
        <v>90</v>
      </c>
      <c r="K5924" t="s">
        <v>91</v>
      </c>
      <c r="L5924">
        <v>6</v>
      </c>
      <c r="M5924" t="s">
        <v>24178</v>
      </c>
      <c r="N5924" t="s">
        <v>47</v>
      </c>
      <c r="O5924" t="s">
        <v>9477</v>
      </c>
      <c r="P5924" t="s">
        <v>9477</v>
      </c>
      <c r="Y5924" t="s">
        <v>24179</v>
      </c>
    </row>
    <row r="5925" spans="1:25">
      <c r="A5925" t="s">
        <v>24180</v>
      </c>
      <c r="B5925" t="s">
        <v>24181</v>
      </c>
      <c r="D5925" t="s">
        <v>9473</v>
      </c>
      <c r="E5925" t="s">
        <v>9474</v>
      </c>
      <c r="J5925" t="s">
        <v>54</v>
      </c>
      <c r="K5925" t="s">
        <v>55</v>
      </c>
      <c r="L5925">
        <v>6</v>
      </c>
      <c r="M5925" t="s">
        <v>24178</v>
      </c>
      <c r="N5925" t="s">
        <v>47</v>
      </c>
      <c r="O5925" t="s">
        <v>9477</v>
      </c>
      <c r="P5925" t="s">
        <v>9477</v>
      </c>
      <c r="Y5925" t="s">
        <v>24182</v>
      </c>
    </row>
    <row r="5926" spans="1:25">
      <c r="A5926" t="s">
        <v>24183</v>
      </c>
      <c r="B5926" t="s">
        <v>24184</v>
      </c>
      <c r="D5926" t="s">
        <v>9473</v>
      </c>
      <c r="E5926" t="s">
        <v>9474</v>
      </c>
      <c r="J5926" t="s">
        <v>78</v>
      </c>
      <c r="K5926" t="s">
        <v>79</v>
      </c>
      <c r="L5926">
        <v>6</v>
      </c>
      <c r="M5926" t="s">
        <v>24185</v>
      </c>
      <c r="N5926" t="s">
        <v>47</v>
      </c>
      <c r="O5926" t="s">
        <v>9477</v>
      </c>
      <c r="P5926" t="s">
        <v>9477</v>
      </c>
      <c r="Y5926" t="s">
        <v>24186</v>
      </c>
    </row>
    <row r="5927" spans="1:25">
      <c r="A5927" t="s">
        <v>24187</v>
      </c>
      <c r="B5927" t="s">
        <v>24188</v>
      </c>
      <c r="D5927" t="s">
        <v>9473</v>
      </c>
      <c r="E5927" t="s">
        <v>9474</v>
      </c>
      <c r="H5927" t="s">
        <v>24189</v>
      </c>
      <c r="J5927" t="s">
        <v>497</v>
      </c>
      <c r="K5927" t="s">
        <v>498</v>
      </c>
      <c r="L5927">
        <v>6</v>
      </c>
      <c r="M5927" t="s">
        <v>24190</v>
      </c>
      <c r="N5927" t="s">
        <v>135</v>
      </c>
      <c r="O5927" t="s">
        <v>9477</v>
      </c>
      <c r="P5927" t="s">
        <v>9477</v>
      </c>
      <c r="Y5927" t="s">
        <v>24189</v>
      </c>
    </row>
    <row r="5928" spans="1:25">
      <c r="A5928" t="s">
        <v>24191</v>
      </c>
      <c r="B5928" t="s">
        <v>24192</v>
      </c>
      <c r="D5928" t="s">
        <v>9473</v>
      </c>
      <c r="E5928" t="s">
        <v>9474</v>
      </c>
      <c r="J5928" t="s">
        <v>44</v>
      </c>
      <c r="K5928" t="s">
        <v>45</v>
      </c>
      <c r="L5928">
        <v>6</v>
      </c>
      <c r="M5928" t="s">
        <v>24193</v>
      </c>
      <c r="N5928" t="s">
        <v>47</v>
      </c>
      <c r="O5928" t="s">
        <v>9477</v>
      </c>
      <c r="P5928" t="s">
        <v>9477</v>
      </c>
      <c r="Y5928" t="s">
        <v>24194</v>
      </c>
    </row>
    <row r="5929" spans="1:25">
      <c r="A5929" t="s">
        <v>24195</v>
      </c>
      <c r="B5929" t="s">
        <v>24196</v>
      </c>
      <c r="D5929" t="s">
        <v>9473</v>
      </c>
      <c r="E5929" t="s">
        <v>9474</v>
      </c>
      <c r="J5929" t="s">
        <v>44</v>
      </c>
      <c r="K5929" t="s">
        <v>45</v>
      </c>
      <c r="L5929">
        <v>6</v>
      </c>
      <c r="M5929" t="s">
        <v>24193</v>
      </c>
      <c r="N5929" t="s">
        <v>47</v>
      </c>
      <c r="O5929" t="s">
        <v>9477</v>
      </c>
      <c r="P5929" t="s">
        <v>9477</v>
      </c>
      <c r="Y5929" t="s">
        <v>24197</v>
      </c>
    </row>
    <row r="5930" spans="1:25">
      <c r="A5930" t="s">
        <v>24198</v>
      </c>
      <c r="B5930" t="s">
        <v>24199</v>
      </c>
      <c r="D5930" t="s">
        <v>9473</v>
      </c>
      <c r="E5930" t="s">
        <v>9474</v>
      </c>
      <c r="H5930" t="s">
        <v>24200</v>
      </c>
      <c r="J5930" t="s">
        <v>2948</v>
      </c>
      <c r="K5930" t="s">
        <v>2949</v>
      </c>
      <c r="L5930">
        <v>6</v>
      </c>
      <c r="M5930" t="s">
        <v>24193</v>
      </c>
      <c r="N5930" t="s">
        <v>685</v>
      </c>
      <c r="O5930" t="s">
        <v>9477</v>
      </c>
      <c r="P5930" t="s">
        <v>9477</v>
      </c>
      <c r="Y5930" t="s">
        <v>24200</v>
      </c>
    </row>
    <row r="5931" spans="1:25">
      <c r="A5931" t="s">
        <v>24201</v>
      </c>
      <c r="B5931" t="s">
        <v>24202</v>
      </c>
      <c r="D5931" t="s">
        <v>9473</v>
      </c>
      <c r="E5931" t="s">
        <v>9474</v>
      </c>
      <c r="H5931" t="s">
        <v>24203</v>
      </c>
      <c r="J5931" t="s">
        <v>234</v>
      </c>
      <c r="K5931" t="s">
        <v>235</v>
      </c>
      <c r="L5931">
        <v>6</v>
      </c>
      <c r="M5931" t="s">
        <v>24204</v>
      </c>
      <c r="N5931" t="s">
        <v>47</v>
      </c>
      <c r="O5931" t="s">
        <v>9477</v>
      </c>
      <c r="P5931" t="s">
        <v>9477</v>
      </c>
      <c r="Y5931" t="s">
        <v>24203</v>
      </c>
    </row>
    <row r="5932" spans="1:25">
      <c r="A5932" t="s">
        <v>24205</v>
      </c>
      <c r="B5932" t="s">
        <v>24206</v>
      </c>
      <c r="D5932" t="s">
        <v>9473</v>
      </c>
      <c r="E5932" t="s">
        <v>9474</v>
      </c>
      <c r="H5932" t="s">
        <v>24207</v>
      </c>
      <c r="J5932" t="s">
        <v>133</v>
      </c>
      <c r="K5932" t="s">
        <v>134</v>
      </c>
      <c r="L5932">
        <v>6</v>
      </c>
      <c r="M5932" t="s">
        <v>24208</v>
      </c>
      <c r="N5932" t="s">
        <v>135</v>
      </c>
      <c r="O5932" t="s">
        <v>9477</v>
      </c>
      <c r="P5932" t="s">
        <v>9477</v>
      </c>
      <c r="Y5932" t="s">
        <v>24207</v>
      </c>
    </row>
    <row r="5933" spans="1:25">
      <c r="A5933" t="s">
        <v>24209</v>
      </c>
      <c r="B5933" t="s">
        <v>24210</v>
      </c>
      <c r="D5933" t="s">
        <v>9473</v>
      </c>
      <c r="E5933" t="s">
        <v>9474</v>
      </c>
      <c r="J5933" t="s">
        <v>54</v>
      </c>
      <c r="K5933" t="s">
        <v>55</v>
      </c>
      <c r="L5933">
        <v>6</v>
      </c>
      <c r="M5933" t="s">
        <v>24211</v>
      </c>
      <c r="N5933" t="s">
        <v>47</v>
      </c>
      <c r="O5933" t="s">
        <v>9477</v>
      </c>
      <c r="P5933" t="s">
        <v>9477</v>
      </c>
      <c r="Y5933" t="s">
        <v>24212</v>
      </c>
    </row>
    <row r="5934" spans="1:25">
      <c r="A5934" t="s">
        <v>24213</v>
      </c>
      <c r="B5934" t="s">
        <v>24214</v>
      </c>
      <c r="D5934" t="s">
        <v>9473</v>
      </c>
      <c r="E5934" t="s">
        <v>9474</v>
      </c>
      <c r="J5934" t="s">
        <v>90</v>
      </c>
      <c r="K5934" t="s">
        <v>91</v>
      </c>
      <c r="L5934">
        <v>6</v>
      </c>
      <c r="M5934" t="s">
        <v>24211</v>
      </c>
      <c r="N5934" t="s">
        <v>47</v>
      </c>
      <c r="O5934" t="s">
        <v>9477</v>
      </c>
      <c r="P5934" t="s">
        <v>9477</v>
      </c>
      <c r="Y5934" t="s">
        <v>24215</v>
      </c>
    </row>
    <row r="5935" spans="1:25">
      <c r="A5935" t="s">
        <v>24216</v>
      </c>
      <c r="B5935" t="s">
        <v>24217</v>
      </c>
      <c r="D5935" t="s">
        <v>9473</v>
      </c>
      <c r="E5935" t="s">
        <v>9474</v>
      </c>
      <c r="J5935" t="s">
        <v>90</v>
      </c>
      <c r="K5935" t="s">
        <v>91</v>
      </c>
      <c r="L5935">
        <v>6</v>
      </c>
      <c r="M5935" t="s">
        <v>24218</v>
      </c>
      <c r="N5935" t="s">
        <v>47</v>
      </c>
      <c r="O5935" t="s">
        <v>9477</v>
      </c>
      <c r="P5935" t="s">
        <v>9477</v>
      </c>
      <c r="Y5935" t="s">
        <v>24219</v>
      </c>
    </row>
    <row r="5936" spans="1:25">
      <c r="A5936" t="s">
        <v>24220</v>
      </c>
      <c r="B5936" t="s">
        <v>24221</v>
      </c>
      <c r="D5936" t="s">
        <v>9473</v>
      </c>
      <c r="E5936" t="s">
        <v>9474</v>
      </c>
      <c r="J5936" t="s">
        <v>44</v>
      </c>
      <c r="K5936" t="s">
        <v>45</v>
      </c>
      <c r="L5936">
        <v>6</v>
      </c>
      <c r="M5936" t="s">
        <v>24218</v>
      </c>
      <c r="N5936" t="s">
        <v>47</v>
      </c>
      <c r="O5936" t="s">
        <v>9477</v>
      </c>
      <c r="P5936" t="s">
        <v>9477</v>
      </c>
      <c r="Y5936" t="s">
        <v>24222</v>
      </c>
    </row>
    <row r="5937" spans="1:25">
      <c r="A5937" t="s">
        <v>24223</v>
      </c>
      <c r="B5937" t="s">
        <v>24224</v>
      </c>
      <c r="D5937" t="s">
        <v>9473</v>
      </c>
      <c r="E5937" t="s">
        <v>9474</v>
      </c>
      <c r="H5937" t="s">
        <v>24225</v>
      </c>
      <c r="J5937" t="s">
        <v>44</v>
      </c>
      <c r="K5937" t="s">
        <v>45</v>
      </c>
      <c r="L5937">
        <v>6</v>
      </c>
      <c r="M5937" t="s">
        <v>24226</v>
      </c>
      <c r="N5937" t="s">
        <v>47</v>
      </c>
      <c r="O5937" t="s">
        <v>9477</v>
      </c>
      <c r="P5937" t="s">
        <v>9477</v>
      </c>
      <c r="Y5937" t="s">
        <v>24225</v>
      </c>
    </row>
    <row r="5938" spans="1:25">
      <c r="A5938" t="s">
        <v>24227</v>
      </c>
      <c r="B5938" t="s">
        <v>24228</v>
      </c>
      <c r="D5938" t="s">
        <v>9473</v>
      </c>
      <c r="E5938" t="s">
        <v>9474</v>
      </c>
      <c r="J5938" t="s">
        <v>90</v>
      </c>
      <c r="K5938" t="s">
        <v>91</v>
      </c>
      <c r="L5938">
        <v>6</v>
      </c>
      <c r="M5938" t="s">
        <v>24229</v>
      </c>
      <c r="N5938" t="s">
        <v>47</v>
      </c>
      <c r="O5938" t="s">
        <v>9477</v>
      </c>
      <c r="P5938" t="s">
        <v>9477</v>
      </c>
      <c r="Y5938" t="s">
        <v>24230</v>
      </c>
    </row>
    <row r="5939" spans="1:25">
      <c r="A5939" t="s">
        <v>24231</v>
      </c>
      <c r="B5939" t="s">
        <v>24232</v>
      </c>
      <c r="D5939" t="s">
        <v>9473</v>
      </c>
      <c r="E5939" t="s">
        <v>9474</v>
      </c>
      <c r="J5939" t="s">
        <v>44</v>
      </c>
      <c r="K5939" t="s">
        <v>45</v>
      </c>
      <c r="L5939">
        <v>6</v>
      </c>
      <c r="M5939" t="s">
        <v>24233</v>
      </c>
      <c r="N5939" t="s">
        <v>47</v>
      </c>
      <c r="O5939" t="s">
        <v>9477</v>
      </c>
      <c r="P5939" t="s">
        <v>9477</v>
      </c>
      <c r="Y5939" t="s">
        <v>24234</v>
      </c>
    </row>
    <row r="5940" spans="1:25">
      <c r="A5940" t="s">
        <v>24235</v>
      </c>
      <c r="B5940" t="s">
        <v>24236</v>
      </c>
      <c r="D5940" t="s">
        <v>9473</v>
      </c>
      <c r="E5940" t="s">
        <v>9474</v>
      </c>
      <c r="H5940" t="s">
        <v>24237</v>
      </c>
      <c r="J5940" t="s">
        <v>234</v>
      </c>
      <c r="K5940" t="s">
        <v>235</v>
      </c>
      <c r="L5940">
        <v>6</v>
      </c>
      <c r="M5940" t="s">
        <v>24238</v>
      </c>
      <c r="N5940" t="s">
        <v>47</v>
      </c>
      <c r="O5940" t="s">
        <v>9477</v>
      </c>
      <c r="P5940" t="s">
        <v>9477</v>
      </c>
      <c r="Y5940" t="s">
        <v>24237</v>
      </c>
    </row>
    <row r="5941" spans="1:25">
      <c r="A5941" t="s">
        <v>24239</v>
      </c>
      <c r="B5941" t="s">
        <v>24240</v>
      </c>
      <c r="D5941" t="s">
        <v>9473</v>
      </c>
      <c r="E5941" t="s">
        <v>9474</v>
      </c>
      <c r="H5941" t="s">
        <v>24241</v>
      </c>
      <c r="J5941" t="s">
        <v>133</v>
      </c>
      <c r="K5941" t="s">
        <v>134</v>
      </c>
      <c r="L5941">
        <v>7</v>
      </c>
      <c r="M5941" t="s">
        <v>24242</v>
      </c>
      <c r="N5941" t="s">
        <v>135</v>
      </c>
      <c r="O5941" t="s">
        <v>9477</v>
      </c>
      <c r="P5941" t="s">
        <v>9477</v>
      </c>
      <c r="Y5941" t="s">
        <v>24241</v>
      </c>
    </row>
    <row r="5942" spans="1:25">
      <c r="A5942" t="s">
        <v>24243</v>
      </c>
      <c r="B5942" t="s">
        <v>24244</v>
      </c>
      <c r="D5942" t="s">
        <v>9473</v>
      </c>
      <c r="E5942" t="s">
        <v>9474</v>
      </c>
      <c r="J5942" t="s">
        <v>90</v>
      </c>
      <c r="K5942" t="s">
        <v>91</v>
      </c>
      <c r="L5942">
        <v>6</v>
      </c>
      <c r="M5942" t="s">
        <v>24245</v>
      </c>
      <c r="N5942" t="s">
        <v>47</v>
      </c>
      <c r="O5942" t="s">
        <v>9477</v>
      </c>
      <c r="P5942" t="s">
        <v>9477</v>
      </c>
      <c r="Y5942" t="s">
        <v>24246</v>
      </c>
    </row>
    <row r="5943" spans="1:25">
      <c r="A5943" t="s">
        <v>24247</v>
      </c>
      <c r="B5943" t="s">
        <v>24248</v>
      </c>
      <c r="D5943" t="s">
        <v>9473</v>
      </c>
      <c r="E5943" t="s">
        <v>9474</v>
      </c>
      <c r="J5943" t="s">
        <v>44</v>
      </c>
      <c r="K5943" t="s">
        <v>45</v>
      </c>
      <c r="L5943">
        <v>6</v>
      </c>
      <c r="M5943" t="s">
        <v>24249</v>
      </c>
      <c r="N5943" t="s">
        <v>47</v>
      </c>
      <c r="O5943" t="s">
        <v>9477</v>
      </c>
      <c r="P5943" t="s">
        <v>9477</v>
      </c>
      <c r="Y5943" t="s">
        <v>24250</v>
      </c>
    </row>
    <row r="5944" spans="1:25">
      <c r="A5944" t="s">
        <v>24251</v>
      </c>
      <c r="B5944" t="s">
        <v>24252</v>
      </c>
      <c r="D5944" t="s">
        <v>9473</v>
      </c>
      <c r="E5944" t="s">
        <v>9474</v>
      </c>
      <c r="J5944" t="s">
        <v>90</v>
      </c>
      <c r="K5944" t="s">
        <v>91</v>
      </c>
      <c r="L5944">
        <v>6</v>
      </c>
      <c r="M5944" t="s">
        <v>24249</v>
      </c>
      <c r="N5944" t="s">
        <v>47</v>
      </c>
      <c r="O5944" t="s">
        <v>9477</v>
      </c>
      <c r="P5944" t="s">
        <v>9477</v>
      </c>
      <c r="Y5944" t="s">
        <v>24253</v>
      </c>
    </row>
    <row r="5945" spans="1:25">
      <c r="A5945" t="s">
        <v>24254</v>
      </c>
      <c r="B5945" t="s">
        <v>24255</v>
      </c>
      <c r="D5945" t="s">
        <v>9473</v>
      </c>
      <c r="E5945" t="s">
        <v>9474</v>
      </c>
      <c r="H5945" t="s">
        <v>24256</v>
      </c>
      <c r="J5945" t="s">
        <v>133</v>
      </c>
      <c r="K5945" t="s">
        <v>134</v>
      </c>
      <c r="L5945">
        <v>6</v>
      </c>
      <c r="M5945" t="s">
        <v>24257</v>
      </c>
      <c r="N5945" t="s">
        <v>290</v>
      </c>
      <c r="O5945" t="s">
        <v>9477</v>
      </c>
      <c r="P5945" t="s">
        <v>9477</v>
      </c>
      <c r="Y5945" t="s">
        <v>24256</v>
      </c>
    </row>
    <row r="5946" spans="1:25">
      <c r="A5946" t="s">
        <v>24258</v>
      </c>
      <c r="B5946" t="s">
        <v>24259</v>
      </c>
      <c r="D5946" t="s">
        <v>9473</v>
      </c>
      <c r="E5946" t="s">
        <v>9474</v>
      </c>
      <c r="H5946" t="s">
        <v>24260</v>
      </c>
      <c r="J5946" t="s">
        <v>90</v>
      </c>
      <c r="K5946" t="s">
        <v>91</v>
      </c>
      <c r="L5946">
        <v>6</v>
      </c>
      <c r="M5946" t="s">
        <v>24261</v>
      </c>
      <c r="N5946" t="s">
        <v>47</v>
      </c>
      <c r="O5946" t="s">
        <v>9477</v>
      </c>
      <c r="P5946" t="s">
        <v>9477</v>
      </c>
      <c r="Y5946" t="s">
        <v>24260</v>
      </c>
    </row>
    <row r="5947" spans="1:25">
      <c r="A5947" t="s">
        <v>24262</v>
      </c>
      <c r="B5947" t="s">
        <v>24263</v>
      </c>
      <c r="D5947" t="s">
        <v>9473</v>
      </c>
      <c r="E5947" t="s">
        <v>9474</v>
      </c>
      <c r="H5947" t="s">
        <v>24264</v>
      </c>
      <c r="J5947" t="s">
        <v>90</v>
      </c>
      <c r="K5947" t="s">
        <v>91</v>
      </c>
      <c r="L5947">
        <v>6</v>
      </c>
      <c r="M5947" t="s">
        <v>24261</v>
      </c>
      <c r="N5947" t="s">
        <v>47</v>
      </c>
      <c r="O5947" t="s">
        <v>9477</v>
      </c>
      <c r="P5947" t="s">
        <v>9477</v>
      </c>
      <c r="Y5947" t="s">
        <v>24264</v>
      </c>
    </row>
    <row r="5948" spans="1:25">
      <c r="A5948" t="s">
        <v>24265</v>
      </c>
      <c r="B5948" t="s">
        <v>24266</v>
      </c>
      <c r="D5948" t="s">
        <v>9473</v>
      </c>
      <c r="E5948" t="s">
        <v>9474</v>
      </c>
      <c r="J5948" t="s">
        <v>765</v>
      </c>
      <c r="K5948" t="s">
        <v>766</v>
      </c>
      <c r="L5948">
        <v>6</v>
      </c>
      <c r="M5948" t="s">
        <v>24261</v>
      </c>
      <c r="N5948" t="s">
        <v>685</v>
      </c>
      <c r="O5948" t="s">
        <v>9477</v>
      </c>
      <c r="P5948" t="s">
        <v>9477</v>
      </c>
      <c r="Y5948" t="s">
        <v>24267</v>
      </c>
    </row>
    <row r="5949" spans="1:25">
      <c r="A5949" t="s">
        <v>24268</v>
      </c>
      <c r="B5949" t="s">
        <v>24269</v>
      </c>
      <c r="D5949" t="s">
        <v>9473</v>
      </c>
      <c r="E5949" t="s">
        <v>9474</v>
      </c>
      <c r="J5949" t="s">
        <v>90</v>
      </c>
      <c r="K5949" t="s">
        <v>91</v>
      </c>
      <c r="L5949">
        <v>6</v>
      </c>
      <c r="M5949" t="s">
        <v>24261</v>
      </c>
      <c r="N5949" t="s">
        <v>47</v>
      </c>
      <c r="O5949" t="s">
        <v>9477</v>
      </c>
      <c r="P5949" t="s">
        <v>9477</v>
      </c>
      <c r="Y5949" t="s">
        <v>24270</v>
      </c>
    </row>
    <row r="5950" spans="1:25">
      <c r="A5950" t="s">
        <v>24271</v>
      </c>
      <c r="B5950" t="s">
        <v>24272</v>
      </c>
      <c r="D5950" t="s">
        <v>9473</v>
      </c>
      <c r="E5950" t="s">
        <v>9474</v>
      </c>
      <c r="J5950" t="s">
        <v>54</v>
      </c>
      <c r="K5950" t="s">
        <v>55</v>
      </c>
      <c r="L5950">
        <v>6</v>
      </c>
      <c r="M5950" t="s">
        <v>24273</v>
      </c>
      <c r="N5950" t="s">
        <v>47</v>
      </c>
      <c r="O5950" t="s">
        <v>9477</v>
      </c>
      <c r="P5950" t="s">
        <v>9477</v>
      </c>
      <c r="Y5950" t="s">
        <v>24274</v>
      </c>
    </row>
    <row r="5951" spans="1:25">
      <c r="A5951" t="s">
        <v>24275</v>
      </c>
      <c r="B5951" t="s">
        <v>24276</v>
      </c>
      <c r="D5951" t="s">
        <v>9473</v>
      </c>
      <c r="E5951" t="s">
        <v>9474</v>
      </c>
      <c r="H5951" t="s">
        <v>24277</v>
      </c>
      <c r="J5951" t="s">
        <v>54</v>
      </c>
      <c r="K5951" t="s">
        <v>55</v>
      </c>
      <c r="L5951">
        <v>6</v>
      </c>
      <c r="M5951" t="s">
        <v>24278</v>
      </c>
      <c r="N5951" t="s">
        <v>47</v>
      </c>
      <c r="O5951" t="s">
        <v>9477</v>
      </c>
      <c r="P5951" t="s">
        <v>9477</v>
      </c>
      <c r="Y5951" t="s">
        <v>24277</v>
      </c>
    </row>
    <row r="5952" spans="1:25">
      <c r="A5952" t="s">
        <v>24279</v>
      </c>
      <c r="B5952" t="s">
        <v>24280</v>
      </c>
      <c r="D5952" t="s">
        <v>9473</v>
      </c>
      <c r="E5952" t="s">
        <v>9474</v>
      </c>
      <c r="H5952" t="s">
        <v>24281</v>
      </c>
      <c r="J5952" t="s">
        <v>541</v>
      </c>
      <c r="K5952" t="s">
        <v>542</v>
      </c>
      <c r="L5952">
        <v>6</v>
      </c>
      <c r="M5952" t="s">
        <v>24282</v>
      </c>
      <c r="N5952" t="s">
        <v>290</v>
      </c>
      <c r="O5952" t="s">
        <v>9477</v>
      </c>
      <c r="P5952" t="s">
        <v>9477</v>
      </c>
      <c r="Y5952" t="s">
        <v>24281</v>
      </c>
    </row>
    <row r="5953" spans="1:25">
      <c r="A5953" t="s">
        <v>24283</v>
      </c>
      <c r="B5953" t="s">
        <v>24284</v>
      </c>
      <c r="D5953" t="s">
        <v>9473</v>
      </c>
      <c r="E5953" t="s">
        <v>9474</v>
      </c>
      <c r="J5953" t="s">
        <v>90</v>
      </c>
      <c r="K5953" t="s">
        <v>91</v>
      </c>
      <c r="L5953">
        <v>6</v>
      </c>
      <c r="M5953" t="s">
        <v>24285</v>
      </c>
      <c r="N5953" t="s">
        <v>47</v>
      </c>
      <c r="O5953" t="s">
        <v>9477</v>
      </c>
      <c r="P5953" t="s">
        <v>9477</v>
      </c>
      <c r="Y5953" t="s">
        <v>24286</v>
      </c>
    </row>
    <row r="5954" spans="1:25">
      <c r="A5954" t="s">
        <v>24287</v>
      </c>
      <c r="B5954" t="s">
        <v>24288</v>
      </c>
      <c r="D5954" t="s">
        <v>9473</v>
      </c>
      <c r="E5954" t="s">
        <v>9474</v>
      </c>
      <c r="H5954" t="s">
        <v>24289</v>
      </c>
      <c r="J5954" t="s">
        <v>90</v>
      </c>
      <c r="K5954" t="s">
        <v>91</v>
      </c>
      <c r="L5954">
        <v>6</v>
      </c>
      <c r="M5954" t="s">
        <v>24290</v>
      </c>
      <c r="N5954" t="s">
        <v>47</v>
      </c>
      <c r="O5954" t="s">
        <v>9477</v>
      </c>
      <c r="P5954" t="s">
        <v>9477</v>
      </c>
      <c r="Y5954" t="s">
        <v>24289</v>
      </c>
    </row>
    <row r="5955" spans="1:25">
      <c r="A5955" t="s">
        <v>24291</v>
      </c>
      <c r="B5955" t="s">
        <v>24292</v>
      </c>
      <c r="D5955" t="s">
        <v>9473</v>
      </c>
      <c r="E5955" t="s">
        <v>9474</v>
      </c>
      <c r="J5955" t="s">
        <v>44</v>
      </c>
      <c r="K5955" t="s">
        <v>45</v>
      </c>
      <c r="L5955">
        <v>6</v>
      </c>
      <c r="M5955" t="s">
        <v>24293</v>
      </c>
      <c r="N5955" t="s">
        <v>47</v>
      </c>
      <c r="O5955" t="s">
        <v>9477</v>
      </c>
      <c r="P5955" t="s">
        <v>9477</v>
      </c>
      <c r="Y5955" t="s">
        <v>24294</v>
      </c>
    </row>
    <row r="5956" spans="1:25">
      <c r="A5956" t="s">
        <v>24295</v>
      </c>
      <c r="B5956" t="s">
        <v>24296</v>
      </c>
      <c r="D5956" t="s">
        <v>9473</v>
      </c>
      <c r="E5956" t="s">
        <v>9474</v>
      </c>
      <c r="J5956" t="s">
        <v>90</v>
      </c>
      <c r="K5956" t="s">
        <v>91</v>
      </c>
      <c r="L5956">
        <v>6</v>
      </c>
      <c r="M5956" t="s">
        <v>24293</v>
      </c>
      <c r="N5956" t="s">
        <v>47</v>
      </c>
      <c r="O5956" t="s">
        <v>9477</v>
      </c>
      <c r="P5956" t="s">
        <v>9477</v>
      </c>
      <c r="Y5956" t="s">
        <v>24297</v>
      </c>
    </row>
    <row r="5957" spans="1:25">
      <c r="A5957" t="s">
        <v>24298</v>
      </c>
      <c r="B5957" t="s">
        <v>24299</v>
      </c>
      <c r="D5957" t="s">
        <v>9473</v>
      </c>
      <c r="E5957" t="s">
        <v>9474</v>
      </c>
      <c r="H5957" t="s">
        <v>24300</v>
      </c>
      <c r="J5957" t="s">
        <v>90</v>
      </c>
      <c r="K5957" t="s">
        <v>91</v>
      </c>
      <c r="L5957">
        <v>6</v>
      </c>
      <c r="M5957" t="s">
        <v>24301</v>
      </c>
      <c r="N5957" t="s">
        <v>47</v>
      </c>
      <c r="O5957" t="s">
        <v>9477</v>
      </c>
      <c r="P5957" t="s">
        <v>9477</v>
      </c>
      <c r="Y5957" t="s">
        <v>24300</v>
      </c>
    </row>
    <row r="5958" spans="1:25">
      <c r="A5958" t="s">
        <v>24302</v>
      </c>
      <c r="B5958" t="s">
        <v>24303</v>
      </c>
      <c r="D5958" t="s">
        <v>9473</v>
      </c>
      <c r="E5958" t="s">
        <v>9474</v>
      </c>
      <c r="J5958" t="s">
        <v>78</v>
      </c>
      <c r="K5958" t="s">
        <v>79</v>
      </c>
      <c r="L5958">
        <v>6</v>
      </c>
      <c r="M5958" t="s">
        <v>24301</v>
      </c>
      <c r="N5958" t="s">
        <v>47</v>
      </c>
      <c r="O5958" t="s">
        <v>9477</v>
      </c>
      <c r="P5958" t="s">
        <v>9477</v>
      </c>
      <c r="Y5958" t="s">
        <v>24304</v>
      </c>
    </row>
    <row r="5959" spans="1:25">
      <c r="A5959" t="s">
        <v>24305</v>
      </c>
      <c r="B5959" t="s">
        <v>24306</v>
      </c>
      <c r="D5959" t="s">
        <v>9473</v>
      </c>
      <c r="E5959" t="s">
        <v>9474</v>
      </c>
      <c r="J5959" t="s">
        <v>44</v>
      </c>
      <c r="K5959" t="s">
        <v>45</v>
      </c>
      <c r="L5959">
        <v>6</v>
      </c>
      <c r="M5959" t="s">
        <v>24307</v>
      </c>
      <c r="N5959" t="s">
        <v>47</v>
      </c>
      <c r="O5959" t="s">
        <v>9477</v>
      </c>
      <c r="P5959" t="s">
        <v>9477</v>
      </c>
      <c r="Y5959" t="s">
        <v>24308</v>
      </c>
    </row>
    <row r="5960" spans="1:25">
      <c r="A5960" t="s">
        <v>24309</v>
      </c>
      <c r="B5960" t="s">
        <v>24310</v>
      </c>
      <c r="D5960" t="s">
        <v>9473</v>
      </c>
      <c r="E5960" t="s">
        <v>9474</v>
      </c>
      <c r="J5960" t="s">
        <v>133</v>
      </c>
      <c r="K5960" t="s">
        <v>134</v>
      </c>
      <c r="L5960">
        <v>6</v>
      </c>
      <c r="M5960" t="s">
        <v>24311</v>
      </c>
      <c r="N5960" t="s">
        <v>685</v>
      </c>
      <c r="O5960" t="s">
        <v>9477</v>
      </c>
      <c r="P5960" t="s">
        <v>9477</v>
      </c>
      <c r="Y5960" t="s">
        <v>24312</v>
      </c>
    </row>
    <row r="5961" spans="1:25">
      <c r="A5961" t="s">
        <v>24313</v>
      </c>
      <c r="B5961" t="s">
        <v>24314</v>
      </c>
      <c r="D5961" t="s">
        <v>9473</v>
      </c>
      <c r="E5961" t="s">
        <v>9474</v>
      </c>
      <c r="H5961" t="s">
        <v>24315</v>
      </c>
      <c r="J5961" t="s">
        <v>44</v>
      </c>
      <c r="K5961" t="s">
        <v>45</v>
      </c>
      <c r="L5961">
        <v>6</v>
      </c>
      <c r="M5961" t="s">
        <v>24316</v>
      </c>
      <c r="N5961" t="s">
        <v>47</v>
      </c>
      <c r="O5961" t="s">
        <v>9477</v>
      </c>
      <c r="P5961" t="s">
        <v>9477</v>
      </c>
      <c r="Y5961" t="s">
        <v>24315</v>
      </c>
    </row>
    <row r="5962" spans="1:25">
      <c r="A5962" t="s">
        <v>24317</v>
      </c>
      <c r="B5962" t="s">
        <v>24318</v>
      </c>
      <c r="D5962" t="s">
        <v>9473</v>
      </c>
      <c r="E5962" t="s">
        <v>9474</v>
      </c>
      <c r="J5962" t="s">
        <v>90</v>
      </c>
      <c r="K5962" t="s">
        <v>91</v>
      </c>
      <c r="L5962">
        <v>6</v>
      </c>
      <c r="M5962" t="s">
        <v>24319</v>
      </c>
      <c r="N5962" t="s">
        <v>47</v>
      </c>
      <c r="O5962" t="s">
        <v>9477</v>
      </c>
      <c r="P5962" t="s">
        <v>9477</v>
      </c>
      <c r="Y5962" t="s">
        <v>24320</v>
      </c>
    </row>
    <row r="5963" spans="1:25">
      <c r="A5963" t="s">
        <v>24321</v>
      </c>
      <c r="B5963" t="s">
        <v>24322</v>
      </c>
      <c r="D5963" t="s">
        <v>9473</v>
      </c>
      <c r="E5963" t="s">
        <v>9474</v>
      </c>
      <c r="J5963" t="s">
        <v>90</v>
      </c>
      <c r="K5963" t="s">
        <v>91</v>
      </c>
      <c r="L5963">
        <v>6</v>
      </c>
      <c r="M5963" t="s">
        <v>24319</v>
      </c>
      <c r="N5963" t="s">
        <v>47</v>
      </c>
      <c r="O5963" t="s">
        <v>9477</v>
      </c>
      <c r="P5963" t="s">
        <v>9477</v>
      </c>
      <c r="Y5963" t="s">
        <v>24323</v>
      </c>
    </row>
    <row r="5964" spans="1:25">
      <c r="A5964" t="s">
        <v>24324</v>
      </c>
      <c r="B5964" t="s">
        <v>24325</v>
      </c>
      <c r="D5964" t="s">
        <v>9473</v>
      </c>
      <c r="E5964" t="s">
        <v>9474</v>
      </c>
      <c r="J5964" t="s">
        <v>54</v>
      </c>
      <c r="K5964" t="s">
        <v>55</v>
      </c>
      <c r="L5964">
        <v>6</v>
      </c>
      <c r="M5964" t="s">
        <v>24319</v>
      </c>
      <c r="N5964" t="s">
        <v>47</v>
      </c>
      <c r="O5964" t="s">
        <v>9477</v>
      </c>
      <c r="P5964" t="s">
        <v>9477</v>
      </c>
      <c r="Y5964" t="s">
        <v>24326</v>
      </c>
    </row>
    <row r="5965" spans="1:25">
      <c r="A5965" t="s">
        <v>24327</v>
      </c>
      <c r="B5965" t="s">
        <v>24328</v>
      </c>
      <c r="D5965" t="s">
        <v>9473</v>
      </c>
      <c r="E5965" t="s">
        <v>9474</v>
      </c>
      <c r="J5965" t="s">
        <v>90</v>
      </c>
      <c r="K5965" t="s">
        <v>91</v>
      </c>
      <c r="L5965">
        <v>6</v>
      </c>
      <c r="M5965" t="s">
        <v>24329</v>
      </c>
      <c r="N5965" t="s">
        <v>47</v>
      </c>
      <c r="O5965" t="s">
        <v>9477</v>
      </c>
      <c r="P5965" t="s">
        <v>9477</v>
      </c>
      <c r="Y5965" t="s">
        <v>24330</v>
      </c>
    </row>
    <row r="5966" spans="1:25">
      <c r="A5966" t="s">
        <v>24331</v>
      </c>
      <c r="B5966" t="s">
        <v>24332</v>
      </c>
      <c r="D5966" t="s">
        <v>9473</v>
      </c>
      <c r="E5966" t="s">
        <v>9474</v>
      </c>
      <c r="H5966" t="s">
        <v>24333</v>
      </c>
      <c r="J5966" t="s">
        <v>54</v>
      </c>
      <c r="K5966" t="s">
        <v>55</v>
      </c>
      <c r="L5966">
        <v>6</v>
      </c>
      <c r="M5966" t="s">
        <v>24334</v>
      </c>
      <c r="N5966" t="s">
        <v>685</v>
      </c>
      <c r="O5966" t="s">
        <v>9477</v>
      </c>
      <c r="P5966" t="s">
        <v>9477</v>
      </c>
      <c r="Y5966" t="s">
        <v>24333</v>
      </c>
    </row>
    <row r="5967" spans="1:25">
      <c r="A5967" t="s">
        <v>24335</v>
      </c>
      <c r="B5967" t="s">
        <v>24336</v>
      </c>
      <c r="D5967" t="s">
        <v>9473</v>
      </c>
      <c r="E5967" t="s">
        <v>9474</v>
      </c>
      <c r="J5967" t="s">
        <v>78</v>
      </c>
      <c r="K5967" t="s">
        <v>79</v>
      </c>
      <c r="L5967">
        <v>6</v>
      </c>
      <c r="M5967" t="s">
        <v>24337</v>
      </c>
      <c r="N5967" t="s">
        <v>47</v>
      </c>
      <c r="O5967" t="s">
        <v>9477</v>
      </c>
      <c r="P5967" t="s">
        <v>9477</v>
      </c>
      <c r="Y5967" t="s">
        <v>24338</v>
      </c>
    </row>
    <row r="5968" spans="1:25">
      <c r="A5968" t="s">
        <v>24339</v>
      </c>
      <c r="B5968" t="s">
        <v>24340</v>
      </c>
      <c r="D5968" t="s">
        <v>9473</v>
      </c>
      <c r="E5968" t="s">
        <v>9474</v>
      </c>
      <c r="J5968" t="s">
        <v>44</v>
      </c>
      <c r="K5968" t="s">
        <v>45</v>
      </c>
      <c r="L5968">
        <v>6</v>
      </c>
      <c r="M5968" t="s">
        <v>24341</v>
      </c>
      <c r="N5968" t="s">
        <v>47</v>
      </c>
      <c r="O5968" t="s">
        <v>9477</v>
      </c>
      <c r="P5968" t="s">
        <v>9477</v>
      </c>
      <c r="Y5968" t="s">
        <v>24342</v>
      </c>
    </row>
    <row r="5969" spans="1:25">
      <c r="A5969" t="s">
        <v>24343</v>
      </c>
      <c r="B5969" t="s">
        <v>24344</v>
      </c>
      <c r="D5969" t="s">
        <v>9473</v>
      </c>
      <c r="E5969" t="s">
        <v>9474</v>
      </c>
      <c r="J5969" t="s">
        <v>133</v>
      </c>
      <c r="K5969" t="s">
        <v>134</v>
      </c>
      <c r="L5969">
        <v>6</v>
      </c>
      <c r="M5969" t="s">
        <v>24345</v>
      </c>
      <c r="N5969" t="s">
        <v>135</v>
      </c>
      <c r="O5969" t="s">
        <v>9477</v>
      </c>
      <c r="P5969" t="s">
        <v>9477</v>
      </c>
      <c r="Y5969" t="s">
        <v>24346</v>
      </c>
    </row>
    <row r="5970" spans="1:25">
      <c r="A5970" t="s">
        <v>24347</v>
      </c>
      <c r="B5970" t="s">
        <v>24348</v>
      </c>
      <c r="D5970" t="s">
        <v>9473</v>
      </c>
      <c r="E5970" t="s">
        <v>9474</v>
      </c>
      <c r="J5970" t="s">
        <v>78</v>
      </c>
      <c r="K5970" t="s">
        <v>79</v>
      </c>
      <c r="L5970">
        <v>6</v>
      </c>
      <c r="M5970" t="s">
        <v>24349</v>
      </c>
      <c r="N5970" t="s">
        <v>47</v>
      </c>
      <c r="O5970" t="s">
        <v>9477</v>
      </c>
      <c r="P5970" t="s">
        <v>9477</v>
      </c>
      <c r="Y5970" t="s">
        <v>24350</v>
      </c>
    </row>
    <row r="5971" spans="1:25">
      <c r="A5971" t="s">
        <v>24351</v>
      </c>
      <c r="B5971" t="s">
        <v>24352</v>
      </c>
      <c r="D5971" t="s">
        <v>9473</v>
      </c>
      <c r="E5971" t="s">
        <v>9474</v>
      </c>
      <c r="J5971" t="s">
        <v>54</v>
      </c>
      <c r="K5971" t="s">
        <v>55</v>
      </c>
      <c r="L5971">
        <v>6</v>
      </c>
      <c r="M5971" t="s">
        <v>24349</v>
      </c>
      <c r="N5971" t="s">
        <v>47</v>
      </c>
      <c r="O5971" t="s">
        <v>9477</v>
      </c>
      <c r="P5971" t="s">
        <v>9477</v>
      </c>
      <c r="Y5971" t="s">
        <v>24353</v>
      </c>
    </row>
    <row r="5972" spans="1:25">
      <c r="A5972" t="s">
        <v>24354</v>
      </c>
      <c r="B5972" t="s">
        <v>24355</v>
      </c>
      <c r="D5972" t="s">
        <v>9473</v>
      </c>
      <c r="E5972" t="s">
        <v>9474</v>
      </c>
      <c r="J5972" t="s">
        <v>287</v>
      </c>
      <c r="K5972" t="s">
        <v>288</v>
      </c>
      <c r="L5972">
        <v>6</v>
      </c>
      <c r="M5972" t="s">
        <v>24356</v>
      </c>
      <c r="N5972" t="s">
        <v>290</v>
      </c>
      <c r="O5972" t="s">
        <v>9477</v>
      </c>
      <c r="P5972" t="s">
        <v>9477</v>
      </c>
      <c r="Y5972" t="s">
        <v>24357</v>
      </c>
    </row>
    <row r="5973" spans="1:25">
      <c r="A5973" t="s">
        <v>24358</v>
      </c>
      <c r="B5973" t="s">
        <v>24359</v>
      </c>
      <c r="D5973" t="s">
        <v>9473</v>
      </c>
      <c r="E5973" t="s">
        <v>9474</v>
      </c>
      <c r="J5973" t="s">
        <v>90</v>
      </c>
      <c r="K5973" t="s">
        <v>91</v>
      </c>
      <c r="L5973">
        <v>6</v>
      </c>
      <c r="M5973" t="s">
        <v>24360</v>
      </c>
      <c r="N5973" t="s">
        <v>47</v>
      </c>
      <c r="O5973" t="s">
        <v>9477</v>
      </c>
      <c r="P5973" t="s">
        <v>9477</v>
      </c>
      <c r="Y5973" t="s">
        <v>24361</v>
      </c>
    </row>
    <row r="5974" spans="1:25">
      <c r="A5974" t="s">
        <v>24362</v>
      </c>
      <c r="B5974" t="s">
        <v>24363</v>
      </c>
      <c r="D5974" t="s">
        <v>9473</v>
      </c>
      <c r="E5974" t="s">
        <v>9474</v>
      </c>
      <c r="J5974" t="s">
        <v>90</v>
      </c>
      <c r="K5974" t="s">
        <v>91</v>
      </c>
      <c r="L5974">
        <v>6</v>
      </c>
      <c r="M5974" t="s">
        <v>24364</v>
      </c>
      <c r="N5974" t="s">
        <v>47</v>
      </c>
      <c r="O5974" t="s">
        <v>9477</v>
      </c>
      <c r="P5974" t="s">
        <v>9477</v>
      </c>
      <c r="Y5974" t="s">
        <v>24365</v>
      </c>
    </row>
    <row r="5975" spans="1:25">
      <c r="A5975" t="s">
        <v>24366</v>
      </c>
      <c r="B5975" t="s">
        <v>24367</v>
      </c>
      <c r="D5975" t="s">
        <v>9473</v>
      </c>
      <c r="E5975" t="s">
        <v>9474</v>
      </c>
      <c r="J5975" t="s">
        <v>90</v>
      </c>
      <c r="K5975" t="s">
        <v>91</v>
      </c>
      <c r="L5975">
        <v>6</v>
      </c>
      <c r="M5975" t="s">
        <v>24364</v>
      </c>
      <c r="N5975" t="s">
        <v>47</v>
      </c>
      <c r="O5975" t="s">
        <v>9477</v>
      </c>
      <c r="P5975" t="s">
        <v>9477</v>
      </c>
      <c r="Y5975" t="s">
        <v>24368</v>
      </c>
    </row>
    <row r="5976" spans="1:25">
      <c r="A5976" t="s">
        <v>24369</v>
      </c>
      <c r="B5976" t="s">
        <v>24370</v>
      </c>
      <c r="D5976" t="s">
        <v>9473</v>
      </c>
      <c r="E5976" t="s">
        <v>9474</v>
      </c>
      <c r="H5976" t="s">
        <v>24371</v>
      </c>
      <c r="J5976" t="s">
        <v>90</v>
      </c>
      <c r="K5976" t="s">
        <v>91</v>
      </c>
      <c r="L5976">
        <v>6</v>
      </c>
      <c r="M5976" t="s">
        <v>24372</v>
      </c>
      <c r="N5976" t="s">
        <v>47</v>
      </c>
      <c r="O5976" t="s">
        <v>9477</v>
      </c>
      <c r="P5976" t="s">
        <v>9477</v>
      </c>
      <c r="Y5976" t="s">
        <v>24371</v>
      </c>
    </row>
    <row r="5977" spans="1:25">
      <c r="A5977" t="s">
        <v>24373</v>
      </c>
      <c r="B5977" t="s">
        <v>24374</v>
      </c>
      <c r="D5977" t="s">
        <v>9473</v>
      </c>
      <c r="E5977" t="s">
        <v>9474</v>
      </c>
      <c r="J5977" t="s">
        <v>90</v>
      </c>
      <c r="K5977" t="s">
        <v>91</v>
      </c>
      <c r="L5977">
        <v>6</v>
      </c>
      <c r="M5977" t="s">
        <v>24372</v>
      </c>
      <c r="N5977" t="s">
        <v>47</v>
      </c>
      <c r="O5977" t="s">
        <v>9477</v>
      </c>
      <c r="P5977" t="s">
        <v>9477</v>
      </c>
      <c r="Y5977" t="s">
        <v>24375</v>
      </c>
    </row>
    <row r="5978" spans="1:25">
      <c r="A5978" t="s">
        <v>24376</v>
      </c>
      <c r="B5978" t="s">
        <v>24377</v>
      </c>
      <c r="D5978" t="s">
        <v>9473</v>
      </c>
      <c r="E5978" t="s">
        <v>9474</v>
      </c>
      <c r="J5978" t="s">
        <v>44</v>
      </c>
      <c r="K5978" t="s">
        <v>45</v>
      </c>
      <c r="L5978">
        <v>6</v>
      </c>
      <c r="M5978" t="s">
        <v>24372</v>
      </c>
      <c r="N5978" t="s">
        <v>47</v>
      </c>
      <c r="O5978" t="s">
        <v>9477</v>
      </c>
      <c r="P5978" t="s">
        <v>9477</v>
      </c>
      <c r="Y5978" t="s">
        <v>24378</v>
      </c>
    </row>
    <row r="5979" spans="1:25">
      <c r="A5979" t="s">
        <v>24379</v>
      </c>
      <c r="B5979" t="s">
        <v>24380</v>
      </c>
      <c r="D5979" t="s">
        <v>9473</v>
      </c>
      <c r="E5979" t="s">
        <v>9474</v>
      </c>
      <c r="H5979" t="s">
        <v>24381</v>
      </c>
      <c r="J5979" t="s">
        <v>54</v>
      </c>
      <c r="K5979" t="s">
        <v>55</v>
      </c>
      <c r="L5979">
        <v>6</v>
      </c>
      <c r="M5979" t="s">
        <v>24382</v>
      </c>
      <c r="N5979" t="s">
        <v>47</v>
      </c>
      <c r="O5979" t="s">
        <v>9477</v>
      </c>
      <c r="P5979" t="s">
        <v>9477</v>
      </c>
      <c r="Y5979" t="s">
        <v>24381</v>
      </c>
    </row>
    <row r="5980" spans="1:25">
      <c r="A5980" t="s">
        <v>24383</v>
      </c>
      <c r="B5980" t="s">
        <v>24384</v>
      </c>
      <c r="D5980" t="s">
        <v>9473</v>
      </c>
      <c r="E5980" t="s">
        <v>9474</v>
      </c>
      <c r="J5980" t="s">
        <v>44</v>
      </c>
      <c r="K5980" t="s">
        <v>45</v>
      </c>
      <c r="L5980">
        <v>6</v>
      </c>
      <c r="M5980" t="s">
        <v>24385</v>
      </c>
      <c r="N5980" t="s">
        <v>47</v>
      </c>
      <c r="O5980" t="s">
        <v>9477</v>
      </c>
      <c r="P5980" t="s">
        <v>9477</v>
      </c>
      <c r="Y5980" t="s">
        <v>24386</v>
      </c>
    </row>
    <row r="5981" spans="1:25">
      <c r="A5981" t="s">
        <v>24387</v>
      </c>
      <c r="B5981" t="s">
        <v>24388</v>
      </c>
      <c r="D5981" t="s">
        <v>9473</v>
      </c>
      <c r="E5981" t="s">
        <v>9474</v>
      </c>
      <c r="H5981" t="s">
        <v>24389</v>
      </c>
      <c r="J5981" t="s">
        <v>44</v>
      </c>
      <c r="K5981" t="s">
        <v>45</v>
      </c>
      <c r="L5981">
        <v>6</v>
      </c>
      <c r="M5981" t="s">
        <v>24390</v>
      </c>
      <c r="N5981" t="s">
        <v>47</v>
      </c>
      <c r="O5981" t="s">
        <v>9477</v>
      </c>
      <c r="P5981" t="s">
        <v>9477</v>
      </c>
      <c r="Y5981" t="s">
        <v>24389</v>
      </c>
    </row>
    <row r="5982" spans="1:25">
      <c r="A5982" t="s">
        <v>24391</v>
      </c>
      <c r="B5982" t="s">
        <v>24392</v>
      </c>
      <c r="D5982" t="s">
        <v>9473</v>
      </c>
      <c r="E5982" t="s">
        <v>9474</v>
      </c>
      <c r="J5982" t="s">
        <v>90</v>
      </c>
      <c r="K5982" t="s">
        <v>91</v>
      </c>
      <c r="L5982">
        <v>6</v>
      </c>
      <c r="M5982" t="s">
        <v>24390</v>
      </c>
      <c r="N5982" t="s">
        <v>47</v>
      </c>
      <c r="O5982" t="s">
        <v>9477</v>
      </c>
      <c r="P5982" t="s">
        <v>9477</v>
      </c>
      <c r="Y5982" t="s">
        <v>24393</v>
      </c>
    </row>
    <row r="5983" spans="1:25">
      <c r="A5983" t="s">
        <v>24394</v>
      </c>
      <c r="B5983" t="s">
        <v>24395</v>
      </c>
      <c r="D5983" t="s">
        <v>9473</v>
      </c>
      <c r="E5983" t="s">
        <v>9474</v>
      </c>
      <c r="J5983" t="s">
        <v>353</v>
      </c>
      <c r="K5983" t="s">
        <v>354</v>
      </c>
      <c r="L5983">
        <v>6</v>
      </c>
      <c r="M5983" t="s">
        <v>24390</v>
      </c>
      <c r="N5983" t="s">
        <v>685</v>
      </c>
      <c r="O5983" t="s">
        <v>9477</v>
      </c>
      <c r="P5983" t="s">
        <v>9477</v>
      </c>
      <c r="Y5983" t="s">
        <v>24396</v>
      </c>
    </row>
    <row r="5984" spans="1:25">
      <c r="A5984" t="s">
        <v>24397</v>
      </c>
      <c r="B5984" t="s">
        <v>24398</v>
      </c>
      <c r="D5984" t="s">
        <v>9473</v>
      </c>
      <c r="E5984" t="s">
        <v>9474</v>
      </c>
      <c r="J5984" t="s">
        <v>90</v>
      </c>
      <c r="K5984" t="s">
        <v>91</v>
      </c>
      <c r="L5984">
        <v>6</v>
      </c>
      <c r="M5984" t="s">
        <v>24399</v>
      </c>
      <c r="N5984" t="s">
        <v>47</v>
      </c>
      <c r="O5984" t="s">
        <v>9477</v>
      </c>
      <c r="P5984" t="s">
        <v>9477</v>
      </c>
      <c r="Y5984" t="s">
        <v>24400</v>
      </c>
    </row>
    <row r="5985" spans="1:25">
      <c r="A5985" t="s">
        <v>24401</v>
      </c>
      <c r="B5985" t="s">
        <v>24402</v>
      </c>
      <c r="D5985" t="s">
        <v>9473</v>
      </c>
      <c r="E5985" t="s">
        <v>9474</v>
      </c>
      <c r="H5985" t="s">
        <v>24403</v>
      </c>
      <c r="J5985" t="s">
        <v>78</v>
      </c>
      <c r="K5985" t="s">
        <v>79</v>
      </c>
      <c r="L5985">
        <v>6</v>
      </c>
      <c r="M5985" t="s">
        <v>24404</v>
      </c>
      <c r="N5985" t="s">
        <v>47</v>
      </c>
      <c r="O5985" t="s">
        <v>9477</v>
      </c>
      <c r="P5985" t="s">
        <v>9477</v>
      </c>
      <c r="Y5985" t="s">
        <v>24403</v>
      </c>
    </row>
    <row r="5986" spans="1:25">
      <c r="A5986" t="s">
        <v>24405</v>
      </c>
      <c r="B5986" t="s">
        <v>24406</v>
      </c>
      <c r="D5986" t="s">
        <v>9473</v>
      </c>
      <c r="E5986" t="s">
        <v>9474</v>
      </c>
      <c r="J5986" t="s">
        <v>371</v>
      </c>
      <c r="K5986" t="s">
        <v>372</v>
      </c>
      <c r="L5986">
        <v>6</v>
      </c>
      <c r="M5986" t="s">
        <v>24407</v>
      </c>
      <c r="N5986" t="s">
        <v>47</v>
      </c>
      <c r="O5986" t="s">
        <v>9477</v>
      </c>
      <c r="P5986" t="s">
        <v>9477</v>
      </c>
      <c r="Y5986" t="s">
        <v>24408</v>
      </c>
    </row>
    <row r="5987" spans="1:25">
      <c r="A5987" t="s">
        <v>24409</v>
      </c>
      <c r="B5987" t="s">
        <v>24410</v>
      </c>
      <c r="D5987" t="s">
        <v>9473</v>
      </c>
      <c r="E5987" t="s">
        <v>9474</v>
      </c>
      <c r="J5987" t="s">
        <v>78</v>
      </c>
      <c r="K5987" t="s">
        <v>79</v>
      </c>
      <c r="L5987">
        <v>6</v>
      </c>
      <c r="M5987" t="s">
        <v>24411</v>
      </c>
      <c r="N5987" t="s">
        <v>47</v>
      </c>
      <c r="O5987" t="s">
        <v>9477</v>
      </c>
      <c r="P5987" t="s">
        <v>9477</v>
      </c>
      <c r="Y5987" t="s">
        <v>24412</v>
      </c>
    </row>
    <row r="5988" spans="1:25">
      <c r="A5988" t="s">
        <v>24413</v>
      </c>
      <c r="B5988" t="s">
        <v>24414</v>
      </c>
      <c r="D5988" t="s">
        <v>9473</v>
      </c>
      <c r="E5988" t="s">
        <v>9474</v>
      </c>
      <c r="J5988" t="s">
        <v>44</v>
      </c>
      <c r="K5988" t="s">
        <v>45</v>
      </c>
      <c r="L5988">
        <v>6</v>
      </c>
      <c r="M5988" t="s">
        <v>24415</v>
      </c>
      <c r="N5988" t="s">
        <v>47</v>
      </c>
      <c r="O5988" t="s">
        <v>9477</v>
      </c>
      <c r="P5988" t="s">
        <v>9477</v>
      </c>
      <c r="Y5988" t="s">
        <v>24416</v>
      </c>
    </row>
    <row r="5989" spans="1:25">
      <c r="A5989" t="s">
        <v>24417</v>
      </c>
      <c r="B5989" t="s">
        <v>24418</v>
      </c>
      <c r="D5989" t="s">
        <v>9473</v>
      </c>
      <c r="E5989" t="s">
        <v>9474</v>
      </c>
      <c r="H5989" t="s">
        <v>24419</v>
      </c>
      <c r="J5989" t="s">
        <v>371</v>
      </c>
      <c r="K5989" t="s">
        <v>372</v>
      </c>
      <c r="L5989">
        <v>6</v>
      </c>
      <c r="M5989" t="s">
        <v>24415</v>
      </c>
      <c r="N5989" t="s">
        <v>47</v>
      </c>
      <c r="O5989" t="s">
        <v>9477</v>
      </c>
      <c r="P5989" t="s">
        <v>9477</v>
      </c>
      <c r="Y5989" t="s">
        <v>24419</v>
      </c>
    </row>
    <row r="5990" spans="1:25">
      <c r="A5990" t="s">
        <v>24420</v>
      </c>
      <c r="B5990" t="s">
        <v>24421</v>
      </c>
      <c r="D5990" t="s">
        <v>9473</v>
      </c>
      <c r="E5990" t="s">
        <v>9474</v>
      </c>
      <c r="J5990" t="s">
        <v>133</v>
      </c>
      <c r="K5990" t="s">
        <v>134</v>
      </c>
      <c r="L5990">
        <v>6</v>
      </c>
      <c r="M5990" t="s">
        <v>24415</v>
      </c>
      <c r="N5990" t="s">
        <v>135</v>
      </c>
      <c r="O5990" t="s">
        <v>9477</v>
      </c>
      <c r="P5990" t="s">
        <v>9477</v>
      </c>
      <c r="Y5990" t="s">
        <v>24422</v>
      </c>
    </row>
    <row r="5991" spans="1:25">
      <c r="A5991" t="s">
        <v>24423</v>
      </c>
      <c r="B5991" t="s">
        <v>24424</v>
      </c>
      <c r="D5991" t="s">
        <v>9473</v>
      </c>
      <c r="E5991" t="s">
        <v>9474</v>
      </c>
      <c r="J5991" t="s">
        <v>90</v>
      </c>
      <c r="K5991" t="s">
        <v>91</v>
      </c>
      <c r="L5991">
        <v>6</v>
      </c>
      <c r="M5991" t="s">
        <v>24425</v>
      </c>
      <c r="N5991" t="s">
        <v>47</v>
      </c>
      <c r="O5991" t="s">
        <v>9477</v>
      </c>
      <c r="P5991" t="s">
        <v>9477</v>
      </c>
      <c r="Y5991" t="s">
        <v>24426</v>
      </c>
    </row>
    <row r="5992" spans="1:25">
      <c r="A5992" t="s">
        <v>24427</v>
      </c>
      <c r="B5992" t="s">
        <v>24428</v>
      </c>
      <c r="D5992" t="s">
        <v>9473</v>
      </c>
      <c r="E5992" t="s">
        <v>9474</v>
      </c>
      <c r="J5992" t="s">
        <v>133</v>
      </c>
      <c r="K5992" t="s">
        <v>134</v>
      </c>
      <c r="L5992">
        <v>6</v>
      </c>
      <c r="M5992" t="s">
        <v>24429</v>
      </c>
      <c r="N5992" t="s">
        <v>290</v>
      </c>
      <c r="O5992" t="s">
        <v>9477</v>
      </c>
      <c r="P5992" t="s">
        <v>9477</v>
      </c>
      <c r="Y5992" t="s">
        <v>24430</v>
      </c>
    </row>
    <row r="5993" spans="1:25">
      <c r="A5993" t="s">
        <v>24431</v>
      </c>
      <c r="B5993" t="s">
        <v>24432</v>
      </c>
      <c r="D5993" t="s">
        <v>9473</v>
      </c>
      <c r="E5993" t="s">
        <v>9474</v>
      </c>
      <c r="J5993" t="s">
        <v>78</v>
      </c>
      <c r="K5993" t="s">
        <v>79</v>
      </c>
      <c r="L5993">
        <v>6</v>
      </c>
      <c r="M5993" t="s">
        <v>24433</v>
      </c>
      <c r="N5993" t="s">
        <v>47</v>
      </c>
      <c r="O5993" t="s">
        <v>9477</v>
      </c>
      <c r="P5993" t="s">
        <v>9477</v>
      </c>
      <c r="Y5993" t="s">
        <v>24434</v>
      </c>
    </row>
    <row r="5994" spans="1:25">
      <c r="A5994" t="s">
        <v>24435</v>
      </c>
      <c r="B5994" t="s">
        <v>24436</v>
      </c>
      <c r="D5994" t="s">
        <v>9473</v>
      </c>
      <c r="E5994" t="s">
        <v>9474</v>
      </c>
      <c r="H5994" t="s">
        <v>24437</v>
      </c>
      <c r="J5994" t="s">
        <v>78</v>
      </c>
      <c r="K5994" t="s">
        <v>79</v>
      </c>
      <c r="L5994">
        <v>6</v>
      </c>
      <c r="M5994" t="s">
        <v>24433</v>
      </c>
      <c r="N5994" t="s">
        <v>47</v>
      </c>
      <c r="O5994" t="s">
        <v>9477</v>
      </c>
      <c r="P5994" t="s">
        <v>9477</v>
      </c>
      <c r="Y5994" t="s">
        <v>24437</v>
      </c>
    </row>
    <row r="5995" spans="1:25">
      <c r="A5995" t="s">
        <v>24438</v>
      </c>
      <c r="B5995" t="s">
        <v>24439</v>
      </c>
      <c r="D5995" t="s">
        <v>9473</v>
      </c>
      <c r="E5995" t="s">
        <v>9474</v>
      </c>
      <c r="H5995" t="s">
        <v>24440</v>
      </c>
      <c r="J5995" t="s">
        <v>54</v>
      </c>
      <c r="K5995" t="s">
        <v>55</v>
      </c>
      <c r="L5995">
        <v>6</v>
      </c>
      <c r="M5995" t="s">
        <v>24441</v>
      </c>
      <c r="N5995" t="s">
        <v>47</v>
      </c>
      <c r="O5995" t="s">
        <v>9477</v>
      </c>
      <c r="P5995" t="s">
        <v>9477</v>
      </c>
      <c r="Y5995" t="s">
        <v>24440</v>
      </c>
    </row>
    <row r="5996" spans="1:25">
      <c r="A5996" t="s">
        <v>24442</v>
      </c>
      <c r="B5996" t="s">
        <v>24443</v>
      </c>
      <c r="D5996" t="s">
        <v>9473</v>
      </c>
      <c r="E5996" t="s">
        <v>9474</v>
      </c>
      <c r="H5996" t="s">
        <v>24444</v>
      </c>
      <c r="J5996" t="s">
        <v>90</v>
      </c>
      <c r="K5996" t="s">
        <v>91</v>
      </c>
      <c r="L5996">
        <v>6</v>
      </c>
      <c r="M5996" t="s">
        <v>24445</v>
      </c>
      <c r="N5996" t="s">
        <v>47</v>
      </c>
      <c r="O5996" t="s">
        <v>9477</v>
      </c>
      <c r="P5996" t="s">
        <v>9477</v>
      </c>
      <c r="Y5996" t="s">
        <v>24444</v>
      </c>
    </row>
    <row r="5997" spans="1:25">
      <c r="A5997" t="s">
        <v>24446</v>
      </c>
      <c r="B5997" t="s">
        <v>24447</v>
      </c>
      <c r="D5997" t="s">
        <v>9473</v>
      </c>
      <c r="E5997" t="s">
        <v>9474</v>
      </c>
      <c r="J5997" t="s">
        <v>54</v>
      </c>
      <c r="K5997" t="s">
        <v>55</v>
      </c>
      <c r="L5997">
        <v>6</v>
      </c>
      <c r="M5997" t="s">
        <v>24448</v>
      </c>
      <c r="N5997" t="s">
        <v>47</v>
      </c>
      <c r="O5997" t="s">
        <v>9477</v>
      </c>
      <c r="P5997" t="s">
        <v>9477</v>
      </c>
      <c r="Y5997" t="s">
        <v>24449</v>
      </c>
    </row>
    <row r="5998" spans="1:25">
      <c r="A5998" t="s">
        <v>24450</v>
      </c>
      <c r="B5998" t="s">
        <v>24451</v>
      </c>
      <c r="D5998" t="s">
        <v>9473</v>
      </c>
      <c r="E5998" t="s">
        <v>9474</v>
      </c>
      <c r="H5998" t="s">
        <v>24452</v>
      </c>
      <c r="J5998" t="s">
        <v>78</v>
      </c>
      <c r="K5998" t="s">
        <v>79</v>
      </c>
      <c r="L5998">
        <v>6</v>
      </c>
      <c r="M5998" t="s">
        <v>24453</v>
      </c>
      <c r="N5998" t="s">
        <v>47</v>
      </c>
      <c r="O5998" t="s">
        <v>9477</v>
      </c>
      <c r="P5998" t="s">
        <v>9477</v>
      </c>
      <c r="Y5998" t="s">
        <v>24452</v>
      </c>
    </row>
    <row r="5999" spans="1:25">
      <c r="A5999" t="s">
        <v>24454</v>
      </c>
      <c r="B5999" t="s">
        <v>24455</v>
      </c>
      <c r="D5999" t="s">
        <v>9473</v>
      </c>
      <c r="E5999" t="s">
        <v>9474</v>
      </c>
      <c r="J5999" t="s">
        <v>90</v>
      </c>
      <c r="K5999" t="s">
        <v>91</v>
      </c>
      <c r="L5999">
        <v>6</v>
      </c>
      <c r="M5999" t="s">
        <v>24453</v>
      </c>
      <c r="N5999" t="s">
        <v>47</v>
      </c>
      <c r="O5999" t="s">
        <v>9477</v>
      </c>
      <c r="P5999" t="s">
        <v>9477</v>
      </c>
      <c r="Y5999" t="s">
        <v>24456</v>
      </c>
    </row>
    <row r="6000" spans="1:25">
      <c r="A6000" t="s">
        <v>24457</v>
      </c>
      <c r="B6000" t="s">
        <v>24458</v>
      </c>
      <c r="D6000" t="s">
        <v>9473</v>
      </c>
      <c r="E6000" t="s">
        <v>9474</v>
      </c>
      <c r="J6000" t="s">
        <v>44</v>
      </c>
      <c r="K6000" t="s">
        <v>45</v>
      </c>
      <c r="L6000">
        <v>6</v>
      </c>
      <c r="M6000" t="s">
        <v>24459</v>
      </c>
      <c r="N6000" t="s">
        <v>47</v>
      </c>
      <c r="O6000" t="s">
        <v>9477</v>
      </c>
      <c r="P6000" t="s">
        <v>9477</v>
      </c>
      <c r="Y6000" t="s">
        <v>24460</v>
      </c>
    </row>
    <row r="6001" spans="1:25">
      <c r="A6001" t="s">
        <v>24461</v>
      </c>
      <c r="B6001" t="s">
        <v>24462</v>
      </c>
      <c r="D6001" t="s">
        <v>9473</v>
      </c>
      <c r="E6001" t="s">
        <v>9474</v>
      </c>
      <c r="J6001" t="s">
        <v>78</v>
      </c>
      <c r="K6001" t="s">
        <v>79</v>
      </c>
      <c r="L6001">
        <v>6</v>
      </c>
      <c r="M6001" t="s">
        <v>24463</v>
      </c>
      <c r="N6001" t="s">
        <v>47</v>
      </c>
      <c r="O6001" t="s">
        <v>9477</v>
      </c>
      <c r="P6001" t="s">
        <v>9477</v>
      </c>
      <c r="Y6001" t="s">
        <v>24464</v>
      </c>
    </row>
    <row r="6002" spans="1:25">
      <c r="A6002" t="s">
        <v>24465</v>
      </c>
      <c r="B6002" t="s">
        <v>24466</v>
      </c>
      <c r="D6002" t="s">
        <v>9473</v>
      </c>
      <c r="E6002" t="s">
        <v>9474</v>
      </c>
      <c r="H6002" t="s">
        <v>24467</v>
      </c>
      <c r="J6002" t="s">
        <v>44</v>
      </c>
      <c r="K6002" t="s">
        <v>45</v>
      </c>
      <c r="L6002">
        <v>6</v>
      </c>
      <c r="M6002" t="s">
        <v>24463</v>
      </c>
      <c r="N6002" t="s">
        <v>47</v>
      </c>
      <c r="O6002" t="s">
        <v>9477</v>
      </c>
      <c r="P6002" t="s">
        <v>9477</v>
      </c>
      <c r="Y6002" t="s">
        <v>24467</v>
      </c>
    </row>
    <row r="6003" spans="1:25">
      <c r="A6003" t="s">
        <v>24468</v>
      </c>
      <c r="B6003" t="s">
        <v>24469</v>
      </c>
      <c r="D6003" t="s">
        <v>9473</v>
      </c>
      <c r="E6003" t="s">
        <v>9474</v>
      </c>
      <c r="H6003" t="s">
        <v>24470</v>
      </c>
      <c r="J6003" t="s">
        <v>90</v>
      </c>
      <c r="K6003" t="s">
        <v>91</v>
      </c>
      <c r="L6003">
        <v>6</v>
      </c>
      <c r="M6003" t="s">
        <v>24463</v>
      </c>
      <c r="N6003" t="s">
        <v>47</v>
      </c>
      <c r="O6003" t="s">
        <v>9477</v>
      </c>
      <c r="P6003" t="s">
        <v>9477</v>
      </c>
      <c r="Y6003" t="s">
        <v>24470</v>
      </c>
    </row>
    <row r="6004" spans="1:25">
      <c r="A6004" t="s">
        <v>24471</v>
      </c>
      <c r="B6004" t="s">
        <v>24472</v>
      </c>
      <c r="D6004" t="s">
        <v>9473</v>
      </c>
      <c r="E6004" t="s">
        <v>9474</v>
      </c>
      <c r="J6004" t="s">
        <v>90</v>
      </c>
      <c r="K6004" t="s">
        <v>91</v>
      </c>
      <c r="L6004">
        <v>6</v>
      </c>
      <c r="M6004" t="s">
        <v>24463</v>
      </c>
      <c r="N6004" t="s">
        <v>47</v>
      </c>
      <c r="O6004" t="s">
        <v>9477</v>
      </c>
      <c r="P6004" t="s">
        <v>9477</v>
      </c>
      <c r="Y6004" t="s">
        <v>24473</v>
      </c>
    </row>
    <row r="6005" spans="1:25">
      <c r="A6005" t="s">
        <v>24474</v>
      </c>
      <c r="B6005" t="s">
        <v>24475</v>
      </c>
      <c r="D6005" t="s">
        <v>9473</v>
      </c>
      <c r="E6005" t="s">
        <v>9474</v>
      </c>
      <c r="H6005" t="s">
        <v>24476</v>
      </c>
      <c r="J6005" t="s">
        <v>133</v>
      </c>
      <c r="K6005" t="s">
        <v>134</v>
      </c>
      <c r="L6005">
        <v>6</v>
      </c>
      <c r="M6005" t="s">
        <v>24477</v>
      </c>
      <c r="N6005" t="s">
        <v>685</v>
      </c>
      <c r="O6005" t="s">
        <v>9477</v>
      </c>
      <c r="P6005" t="s">
        <v>9477</v>
      </c>
      <c r="Y6005" t="s">
        <v>24476</v>
      </c>
    </row>
    <row r="6006" spans="1:25">
      <c r="A6006" t="s">
        <v>24478</v>
      </c>
      <c r="B6006" t="s">
        <v>24479</v>
      </c>
      <c r="D6006" t="s">
        <v>9473</v>
      </c>
      <c r="E6006" t="s">
        <v>9474</v>
      </c>
      <c r="J6006" t="s">
        <v>133</v>
      </c>
      <c r="K6006" t="s">
        <v>134</v>
      </c>
      <c r="L6006">
        <v>6</v>
      </c>
      <c r="M6006" t="s">
        <v>24480</v>
      </c>
      <c r="N6006" t="s">
        <v>135</v>
      </c>
      <c r="O6006" t="s">
        <v>9477</v>
      </c>
      <c r="P6006" t="s">
        <v>9477</v>
      </c>
      <c r="Y6006" t="s">
        <v>24481</v>
      </c>
    </row>
    <row r="6007" spans="1:25">
      <c r="A6007" t="s">
        <v>24482</v>
      </c>
      <c r="B6007" t="s">
        <v>24483</v>
      </c>
      <c r="D6007" t="s">
        <v>9473</v>
      </c>
      <c r="E6007" t="s">
        <v>9474</v>
      </c>
      <c r="J6007" t="s">
        <v>90</v>
      </c>
      <c r="K6007" t="s">
        <v>91</v>
      </c>
      <c r="L6007">
        <v>6</v>
      </c>
      <c r="M6007" t="s">
        <v>24484</v>
      </c>
      <c r="N6007" t="s">
        <v>47</v>
      </c>
      <c r="O6007" t="s">
        <v>9477</v>
      </c>
      <c r="P6007" t="s">
        <v>9477</v>
      </c>
      <c r="Y6007" t="s">
        <v>24485</v>
      </c>
    </row>
    <row r="6008" spans="1:25">
      <c r="A6008" t="s">
        <v>24486</v>
      </c>
      <c r="B6008" t="s">
        <v>24487</v>
      </c>
      <c r="D6008" t="s">
        <v>9473</v>
      </c>
      <c r="E6008" t="s">
        <v>9474</v>
      </c>
      <c r="J6008" t="s">
        <v>371</v>
      </c>
      <c r="K6008" t="s">
        <v>372</v>
      </c>
      <c r="L6008">
        <v>6</v>
      </c>
      <c r="M6008" t="s">
        <v>24484</v>
      </c>
      <c r="N6008" t="s">
        <v>47</v>
      </c>
      <c r="O6008" t="s">
        <v>9477</v>
      </c>
      <c r="P6008" t="s">
        <v>9477</v>
      </c>
      <c r="Y6008" t="s">
        <v>24488</v>
      </c>
    </row>
    <row r="6009" spans="1:25">
      <c r="A6009" t="s">
        <v>24489</v>
      </c>
      <c r="B6009" t="s">
        <v>24490</v>
      </c>
      <c r="D6009" t="s">
        <v>9473</v>
      </c>
      <c r="E6009" t="s">
        <v>9474</v>
      </c>
      <c r="J6009" t="s">
        <v>78</v>
      </c>
      <c r="K6009" t="s">
        <v>79</v>
      </c>
      <c r="L6009">
        <v>6</v>
      </c>
      <c r="M6009" t="s">
        <v>24491</v>
      </c>
      <c r="N6009" t="s">
        <v>47</v>
      </c>
      <c r="O6009" t="s">
        <v>9477</v>
      </c>
      <c r="P6009" t="s">
        <v>9477</v>
      </c>
      <c r="Y6009" t="s">
        <v>24492</v>
      </c>
    </row>
    <row r="6010" spans="1:25">
      <c r="A6010" t="s">
        <v>24493</v>
      </c>
      <c r="B6010" t="s">
        <v>24494</v>
      </c>
      <c r="D6010" t="s">
        <v>9473</v>
      </c>
      <c r="E6010" t="s">
        <v>9474</v>
      </c>
      <c r="H6010" t="s">
        <v>24495</v>
      </c>
      <c r="J6010" t="s">
        <v>78</v>
      </c>
      <c r="K6010" t="s">
        <v>79</v>
      </c>
      <c r="L6010">
        <v>6</v>
      </c>
      <c r="M6010" t="s">
        <v>24496</v>
      </c>
      <c r="N6010" t="s">
        <v>47</v>
      </c>
      <c r="O6010" t="s">
        <v>9477</v>
      </c>
      <c r="P6010" t="s">
        <v>9477</v>
      </c>
      <c r="Y6010" t="s">
        <v>24495</v>
      </c>
    </row>
    <row r="6011" spans="1:25">
      <c r="A6011" t="s">
        <v>24497</v>
      </c>
      <c r="B6011" t="s">
        <v>24498</v>
      </c>
      <c r="D6011" t="s">
        <v>9473</v>
      </c>
      <c r="E6011" t="s">
        <v>9474</v>
      </c>
      <c r="H6011" t="s">
        <v>24499</v>
      </c>
      <c r="J6011" t="s">
        <v>54</v>
      </c>
      <c r="K6011" t="s">
        <v>55</v>
      </c>
      <c r="L6011">
        <v>6</v>
      </c>
      <c r="M6011" t="s">
        <v>24500</v>
      </c>
      <c r="N6011" t="s">
        <v>47</v>
      </c>
      <c r="O6011" t="s">
        <v>9477</v>
      </c>
      <c r="P6011" t="s">
        <v>9477</v>
      </c>
      <c r="Y6011" t="s">
        <v>24499</v>
      </c>
    </row>
    <row r="6012" spans="1:25">
      <c r="A6012" t="s">
        <v>24501</v>
      </c>
      <c r="B6012" t="s">
        <v>24502</v>
      </c>
      <c r="D6012" t="s">
        <v>9473</v>
      </c>
      <c r="E6012" t="s">
        <v>9474</v>
      </c>
      <c r="J6012" t="s">
        <v>90</v>
      </c>
      <c r="K6012" t="s">
        <v>91</v>
      </c>
      <c r="L6012">
        <v>6</v>
      </c>
      <c r="M6012" t="s">
        <v>24503</v>
      </c>
      <c r="N6012" t="s">
        <v>47</v>
      </c>
      <c r="O6012" t="s">
        <v>9477</v>
      </c>
      <c r="P6012" t="s">
        <v>9477</v>
      </c>
      <c r="Y6012" t="s">
        <v>24504</v>
      </c>
    </row>
    <row r="6013" spans="1:25">
      <c r="A6013" t="s">
        <v>24505</v>
      </c>
      <c r="B6013" t="s">
        <v>24506</v>
      </c>
      <c r="D6013" t="s">
        <v>9473</v>
      </c>
      <c r="E6013" t="s">
        <v>9474</v>
      </c>
      <c r="J6013" t="s">
        <v>44</v>
      </c>
      <c r="K6013" t="s">
        <v>45</v>
      </c>
      <c r="L6013">
        <v>6</v>
      </c>
      <c r="M6013" t="s">
        <v>24503</v>
      </c>
      <c r="N6013" t="s">
        <v>47</v>
      </c>
      <c r="O6013" t="s">
        <v>9477</v>
      </c>
      <c r="P6013" t="s">
        <v>9477</v>
      </c>
      <c r="Y6013" t="s">
        <v>24507</v>
      </c>
    </row>
    <row r="6014" spans="1:25">
      <c r="A6014" t="s">
        <v>24508</v>
      </c>
      <c r="B6014" t="s">
        <v>24509</v>
      </c>
      <c r="D6014" t="s">
        <v>9473</v>
      </c>
      <c r="E6014" t="s">
        <v>9474</v>
      </c>
      <c r="J6014" t="s">
        <v>54</v>
      </c>
      <c r="K6014" t="s">
        <v>55</v>
      </c>
      <c r="L6014">
        <v>6</v>
      </c>
      <c r="M6014" t="s">
        <v>24503</v>
      </c>
      <c r="N6014" t="s">
        <v>47</v>
      </c>
      <c r="O6014" t="s">
        <v>9477</v>
      </c>
      <c r="P6014" t="s">
        <v>9477</v>
      </c>
      <c r="Y6014" t="s">
        <v>24510</v>
      </c>
    </row>
    <row r="6015" spans="1:25">
      <c r="A6015" t="s">
        <v>24511</v>
      </c>
      <c r="B6015" t="s">
        <v>24512</v>
      </c>
      <c r="D6015" t="s">
        <v>9473</v>
      </c>
      <c r="E6015" t="s">
        <v>9474</v>
      </c>
      <c r="H6015" t="s">
        <v>24513</v>
      </c>
      <c r="J6015" t="s">
        <v>44</v>
      </c>
      <c r="K6015" t="s">
        <v>45</v>
      </c>
      <c r="L6015">
        <v>6</v>
      </c>
      <c r="M6015" t="s">
        <v>24503</v>
      </c>
      <c r="N6015" t="s">
        <v>47</v>
      </c>
      <c r="O6015" t="s">
        <v>9477</v>
      </c>
      <c r="P6015" t="s">
        <v>9477</v>
      </c>
      <c r="Y6015" t="s">
        <v>24513</v>
      </c>
    </row>
    <row r="6016" spans="1:25">
      <c r="A6016" t="s">
        <v>24514</v>
      </c>
      <c r="B6016" t="s">
        <v>24515</v>
      </c>
      <c r="D6016" t="s">
        <v>9473</v>
      </c>
      <c r="E6016" t="s">
        <v>9474</v>
      </c>
      <c r="H6016" t="s">
        <v>24516</v>
      </c>
      <c r="J6016" t="s">
        <v>133</v>
      </c>
      <c r="K6016" t="s">
        <v>134</v>
      </c>
      <c r="L6016">
        <v>6</v>
      </c>
      <c r="M6016" t="s">
        <v>24517</v>
      </c>
      <c r="N6016" t="s">
        <v>290</v>
      </c>
      <c r="O6016" t="s">
        <v>9477</v>
      </c>
      <c r="P6016" t="s">
        <v>9477</v>
      </c>
      <c r="Y6016" t="s">
        <v>24516</v>
      </c>
    </row>
    <row r="6017" spans="1:25">
      <c r="A6017" t="s">
        <v>24518</v>
      </c>
      <c r="B6017" t="s">
        <v>24519</v>
      </c>
      <c r="D6017" t="s">
        <v>9473</v>
      </c>
      <c r="E6017" t="s">
        <v>9474</v>
      </c>
      <c r="H6017" t="s">
        <v>24520</v>
      </c>
      <c r="J6017" t="s">
        <v>765</v>
      </c>
      <c r="K6017" t="s">
        <v>766</v>
      </c>
      <c r="L6017">
        <v>6</v>
      </c>
      <c r="M6017" t="s">
        <v>24521</v>
      </c>
      <c r="N6017" t="s">
        <v>290</v>
      </c>
      <c r="O6017" t="s">
        <v>9477</v>
      </c>
      <c r="P6017" t="s">
        <v>9477</v>
      </c>
      <c r="Y6017" t="s">
        <v>24520</v>
      </c>
    </row>
    <row r="6018" spans="1:25">
      <c r="A6018" t="s">
        <v>24522</v>
      </c>
      <c r="B6018" t="s">
        <v>24523</v>
      </c>
      <c r="D6018" t="s">
        <v>9473</v>
      </c>
      <c r="E6018" t="s">
        <v>9474</v>
      </c>
      <c r="J6018" t="s">
        <v>90</v>
      </c>
      <c r="K6018" t="s">
        <v>91</v>
      </c>
      <c r="L6018">
        <v>6</v>
      </c>
      <c r="M6018" t="s">
        <v>24524</v>
      </c>
      <c r="N6018" t="s">
        <v>47</v>
      </c>
      <c r="O6018" t="s">
        <v>9477</v>
      </c>
      <c r="P6018" t="s">
        <v>9477</v>
      </c>
      <c r="Y6018" t="s">
        <v>24525</v>
      </c>
    </row>
    <row r="6019" spans="1:25">
      <c r="A6019" t="s">
        <v>24526</v>
      </c>
      <c r="B6019" t="s">
        <v>24527</v>
      </c>
      <c r="D6019" t="s">
        <v>9473</v>
      </c>
      <c r="E6019" t="s">
        <v>9474</v>
      </c>
      <c r="H6019" t="s">
        <v>24528</v>
      </c>
      <c r="J6019" t="s">
        <v>78</v>
      </c>
      <c r="K6019" t="s">
        <v>79</v>
      </c>
      <c r="L6019">
        <v>6</v>
      </c>
      <c r="M6019" t="s">
        <v>24524</v>
      </c>
      <c r="N6019" t="s">
        <v>47</v>
      </c>
      <c r="O6019" t="s">
        <v>9477</v>
      </c>
      <c r="P6019" t="s">
        <v>9477</v>
      </c>
      <c r="Y6019" t="s">
        <v>24528</v>
      </c>
    </row>
    <row r="6020" spans="1:25">
      <c r="A6020" t="s">
        <v>24529</v>
      </c>
      <c r="B6020" t="s">
        <v>24530</v>
      </c>
      <c r="D6020" t="s">
        <v>9473</v>
      </c>
      <c r="E6020" t="s">
        <v>9474</v>
      </c>
      <c r="H6020" t="s">
        <v>24531</v>
      </c>
      <c r="J6020" t="s">
        <v>90</v>
      </c>
      <c r="K6020" t="s">
        <v>91</v>
      </c>
      <c r="L6020">
        <v>6</v>
      </c>
      <c r="M6020" t="s">
        <v>24532</v>
      </c>
      <c r="N6020" t="s">
        <v>47</v>
      </c>
      <c r="O6020" t="s">
        <v>9477</v>
      </c>
      <c r="P6020" t="s">
        <v>9477</v>
      </c>
      <c r="Y6020" t="s">
        <v>24531</v>
      </c>
    </row>
    <row r="6021" spans="1:25">
      <c r="A6021" t="s">
        <v>24533</v>
      </c>
      <c r="B6021" t="s">
        <v>24534</v>
      </c>
      <c r="D6021" t="s">
        <v>9473</v>
      </c>
      <c r="E6021" t="s">
        <v>9474</v>
      </c>
      <c r="J6021" t="s">
        <v>90</v>
      </c>
      <c r="K6021" t="s">
        <v>91</v>
      </c>
      <c r="L6021">
        <v>6</v>
      </c>
      <c r="M6021" t="s">
        <v>24535</v>
      </c>
      <c r="N6021" t="s">
        <v>47</v>
      </c>
      <c r="O6021" t="s">
        <v>9477</v>
      </c>
      <c r="P6021" t="s">
        <v>9477</v>
      </c>
      <c r="Y6021" t="s">
        <v>24536</v>
      </c>
    </row>
    <row r="6022" spans="1:25">
      <c r="A6022" t="s">
        <v>24537</v>
      </c>
      <c r="B6022" t="s">
        <v>24538</v>
      </c>
      <c r="D6022" t="s">
        <v>9473</v>
      </c>
      <c r="E6022" t="s">
        <v>9474</v>
      </c>
      <c r="J6022" t="s">
        <v>90</v>
      </c>
      <c r="K6022" t="s">
        <v>91</v>
      </c>
      <c r="L6022">
        <v>6</v>
      </c>
      <c r="M6022" t="s">
        <v>24539</v>
      </c>
      <c r="N6022" t="s">
        <v>47</v>
      </c>
      <c r="O6022" t="s">
        <v>9477</v>
      </c>
      <c r="P6022" t="s">
        <v>9477</v>
      </c>
      <c r="Y6022" t="s">
        <v>24540</v>
      </c>
    </row>
    <row r="6023" spans="1:25">
      <c r="A6023" t="s">
        <v>24541</v>
      </c>
      <c r="B6023" t="s">
        <v>24542</v>
      </c>
      <c r="D6023" t="s">
        <v>9473</v>
      </c>
      <c r="E6023" t="s">
        <v>9474</v>
      </c>
      <c r="H6023" t="s">
        <v>24543</v>
      </c>
      <c r="J6023" t="s">
        <v>44</v>
      </c>
      <c r="K6023" t="s">
        <v>45</v>
      </c>
      <c r="L6023">
        <v>6</v>
      </c>
      <c r="M6023" t="s">
        <v>24544</v>
      </c>
      <c r="N6023" t="s">
        <v>47</v>
      </c>
      <c r="O6023" t="s">
        <v>9477</v>
      </c>
      <c r="P6023" t="s">
        <v>9477</v>
      </c>
      <c r="Y6023" t="s">
        <v>24543</v>
      </c>
    </row>
    <row r="6024" spans="1:25">
      <c r="A6024" t="s">
        <v>24545</v>
      </c>
      <c r="B6024" t="s">
        <v>24546</v>
      </c>
      <c r="D6024" t="s">
        <v>9473</v>
      </c>
      <c r="E6024" t="s">
        <v>9474</v>
      </c>
      <c r="J6024" t="s">
        <v>90</v>
      </c>
      <c r="K6024" t="s">
        <v>91</v>
      </c>
      <c r="L6024">
        <v>6</v>
      </c>
      <c r="M6024" t="s">
        <v>24544</v>
      </c>
      <c r="N6024" t="s">
        <v>47</v>
      </c>
      <c r="O6024" t="s">
        <v>9477</v>
      </c>
      <c r="P6024" t="s">
        <v>9477</v>
      </c>
      <c r="Y6024" t="s">
        <v>24547</v>
      </c>
    </row>
    <row r="6025" spans="1:25">
      <c r="A6025" t="s">
        <v>24548</v>
      </c>
      <c r="B6025" t="s">
        <v>24549</v>
      </c>
      <c r="D6025" t="s">
        <v>9473</v>
      </c>
      <c r="E6025" t="s">
        <v>9474</v>
      </c>
      <c r="H6025" t="s">
        <v>24550</v>
      </c>
      <c r="J6025" t="s">
        <v>78</v>
      </c>
      <c r="K6025" t="s">
        <v>79</v>
      </c>
      <c r="L6025">
        <v>6</v>
      </c>
      <c r="M6025" t="s">
        <v>24544</v>
      </c>
      <c r="N6025" t="s">
        <v>47</v>
      </c>
      <c r="O6025" t="s">
        <v>9477</v>
      </c>
      <c r="P6025" t="s">
        <v>9477</v>
      </c>
      <c r="Y6025" t="s">
        <v>24550</v>
      </c>
    </row>
    <row r="6026" spans="1:25">
      <c r="A6026" t="s">
        <v>24551</v>
      </c>
      <c r="B6026" t="s">
        <v>24552</v>
      </c>
      <c r="D6026" t="s">
        <v>9473</v>
      </c>
      <c r="E6026" t="s">
        <v>9474</v>
      </c>
      <c r="J6026" t="s">
        <v>78</v>
      </c>
      <c r="K6026" t="s">
        <v>79</v>
      </c>
      <c r="L6026">
        <v>6</v>
      </c>
      <c r="M6026" t="s">
        <v>24544</v>
      </c>
      <c r="N6026" t="s">
        <v>47</v>
      </c>
      <c r="O6026" t="s">
        <v>9477</v>
      </c>
      <c r="P6026" t="s">
        <v>9477</v>
      </c>
      <c r="Y6026" t="s">
        <v>24553</v>
      </c>
    </row>
    <row r="6027" spans="1:25">
      <c r="A6027" t="s">
        <v>24554</v>
      </c>
      <c r="B6027" t="s">
        <v>24555</v>
      </c>
      <c r="D6027" t="s">
        <v>9473</v>
      </c>
      <c r="E6027" t="s">
        <v>9474</v>
      </c>
      <c r="H6027" t="s">
        <v>24556</v>
      </c>
      <c r="J6027" t="s">
        <v>90</v>
      </c>
      <c r="K6027" t="s">
        <v>91</v>
      </c>
      <c r="L6027">
        <v>6</v>
      </c>
      <c r="M6027" t="s">
        <v>24557</v>
      </c>
      <c r="N6027" t="s">
        <v>47</v>
      </c>
      <c r="O6027" t="s">
        <v>9477</v>
      </c>
      <c r="P6027" t="s">
        <v>9477</v>
      </c>
      <c r="Y6027" t="s">
        <v>24556</v>
      </c>
    </row>
    <row r="6028" spans="1:25">
      <c r="A6028" t="s">
        <v>24558</v>
      </c>
      <c r="B6028" t="s">
        <v>24559</v>
      </c>
      <c r="D6028" t="s">
        <v>9473</v>
      </c>
      <c r="E6028" t="s">
        <v>9474</v>
      </c>
      <c r="J6028" t="s">
        <v>44</v>
      </c>
      <c r="K6028" t="s">
        <v>45</v>
      </c>
      <c r="L6028">
        <v>6</v>
      </c>
      <c r="M6028" t="s">
        <v>24560</v>
      </c>
      <c r="N6028" t="s">
        <v>47</v>
      </c>
      <c r="O6028" t="s">
        <v>9477</v>
      </c>
      <c r="P6028" t="s">
        <v>9477</v>
      </c>
      <c r="Y6028" t="s">
        <v>24561</v>
      </c>
    </row>
    <row r="6029" spans="1:25">
      <c r="A6029" t="s">
        <v>24562</v>
      </c>
      <c r="B6029" t="s">
        <v>24563</v>
      </c>
      <c r="D6029" t="s">
        <v>9473</v>
      </c>
      <c r="E6029" t="s">
        <v>9474</v>
      </c>
      <c r="J6029" t="s">
        <v>44</v>
      </c>
      <c r="K6029" t="s">
        <v>45</v>
      </c>
      <c r="L6029">
        <v>6</v>
      </c>
      <c r="M6029" t="s">
        <v>24560</v>
      </c>
      <c r="N6029" t="s">
        <v>47</v>
      </c>
      <c r="O6029" t="s">
        <v>9477</v>
      </c>
      <c r="P6029" t="s">
        <v>9477</v>
      </c>
      <c r="Y6029" t="s">
        <v>24564</v>
      </c>
    </row>
    <row r="6030" spans="1:25">
      <c r="A6030" t="s">
        <v>24565</v>
      </c>
      <c r="B6030" t="s">
        <v>24566</v>
      </c>
      <c r="D6030" t="s">
        <v>9473</v>
      </c>
      <c r="E6030" t="s">
        <v>9474</v>
      </c>
      <c r="J6030" t="s">
        <v>44</v>
      </c>
      <c r="K6030" t="s">
        <v>45</v>
      </c>
      <c r="L6030">
        <v>6</v>
      </c>
      <c r="M6030" t="s">
        <v>24560</v>
      </c>
      <c r="N6030" t="s">
        <v>47</v>
      </c>
      <c r="O6030" t="s">
        <v>9477</v>
      </c>
      <c r="P6030" t="s">
        <v>9477</v>
      </c>
      <c r="Y6030" t="s">
        <v>24567</v>
      </c>
    </row>
    <row r="6031" spans="1:25">
      <c r="A6031" t="s">
        <v>24568</v>
      </c>
      <c r="B6031" t="s">
        <v>24569</v>
      </c>
      <c r="D6031" t="s">
        <v>9473</v>
      </c>
      <c r="E6031" t="s">
        <v>9474</v>
      </c>
      <c r="J6031" t="s">
        <v>6594</v>
      </c>
      <c r="K6031" t="s">
        <v>6595</v>
      </c>
      <c r="L6031">
        <v>22</v>
      </c>
      <c r="M6031" t="s">
        <v>24570</v>
      </c>
      <c r="N6031" t="s">
        <v>685</v>
      </c>
      <c r="O6031" t="s">
        <v>9477</v>
      </c>
      <c r="P6031" t="s">
        <v>9477</v>
      </c>
      <c r="Y6031" t="s">
        <v>24571</v>
      </c>
    </row>
    <row r="6032" spans="1:25">
      <c r="A6032" t="s">
        <v>24572</v>
      </c>
      <c r="B6032" t="s">
        <v>24573</v>
      </c>
      <c r="D6032" t="s">
        <v>9473</v>
      </c>
      <c r="E6032" t="s">
        <v>9474</v>
      </c>
      <c r="J6032" t="s">
        <v>90</v>
      </c>
      <c r="K6032" t="s">
        <v>91</v>
      </c>
      <c r="L6032">
        <v>6</v>
      </c>
      <c r="M6032" t="s">
        <v>24574</v>
      </c>
      <c r="N6032" t="s">
        <v>47</v>
      </c>
      <c r="O6032" t="s">
        <v>9477</v>
      </c>
      <c r="P6032" t="s">
        <v>9477</v>
      </c>
      <c r="Y6032" t="s">
        <v>24575</v>
      </c>
    </row>
    <row r="6033" spans="1:25">
      <c r="A6033" t="s">
        <v>24576</v>
      </c>
      <c r="B6033" t="s">
        <v>24577</v>
      </c>
      <c r="D6033" t="s">
        <v>9473</v>
      </c>
      <c r="E6033" t="s">
        <v>9474</v>
      </c>
      <c r="H6033" t="s">
        <v>24578</v>
      </c>
      <c r="J6033" t="s">
        <v>90</v>
      </c>
      <c r="K6033" t="s">
        <v>91</v>
      </c>
      <c r="L6033">
        <v>6</v>
      </c>
      <c r="M6033" t="s">
        <v>24574</v>
      </c>
      <c r="N6033" t="s">
        <v>47</v>
      </c>
      <c r="O6033" t="s">
        <v>9477</v>
      </c>
      <c r="P6033" t="s">
        <v>9477</v>
      </c>
      <c r="Y6033" t="s">
        <v>24578</v>
      </c>
    </row>
    <row r="6034" spans="1:25">
      <c r="A6034" t="s">
        <v>24579</v>
      </c>
      <c r="B6034" t="s">
        <v>24580</v>
      </c>
      <c r="D6034" t="s">
        <v>9473</v>
      </c>
      <c r="E6034" t="s">
        <v>9474</v>
      </c>
      <c r="J6034" t="s">
        <v>353</v>
      </c>
      <c r="K6034" t="s">
        <v>354</v>
      </c>
      <c r="L6034">
        <v>6</v>
      </c>
      <c r="M6034" t="s">
        <v>24574</v>
      </c>
      <c r="N6034" t="s">
        <v>685</v>
      </c>
      <c r="O6034" t="s">
        <v>9477</v>
      </c>
      <c r="P6034" t="s">
        <v>9477</v>
      </c>
      <c r="Y6034" t="s">
        <v>24581</v>
      </c>
    </row>
    <row r="6035" spans="1:25">
      <c r="A6035" t="s">
        <v>24582</v>
      </c>
      <c r="B6035" t="s">
        <v>24583</v>
      </c>
      <c r="D6035" t="s">
        <v>9473</v>
      </c>
      <c r="E6035" t="s">
        <v>9474</v>
      </c>
      <c r="J6035" t="s">
        <v>90</v>
      </c>
      <c r="K6035" t="s">
        <v>91</v>
      </c>
      <c r="L6035">
        <v>6</v>
      </c>
      <c r="M6035" t="s">
        <v>24574</v>
      </c>
      <c r="N6035" t="s">
        <v>47</v>
      </c>
      <c r="O6035" t="s">
        <v>9477</v>
      </c>
      <c r="P6035" t="s">
        <v>9477</v>
      </c>
      <c r="Y6035" t="s">
        <v>24584</v>
      </c>
    </row>
    <row r="6036" spans="1:25">
      <c r="A6036" t="s">
        <v>24585</v>
      </c>
      <c r="B6036" t="s">
        <v>24586</v>
      </c>
      <c r="D6036" t="s">
        <v>9473</v>
      </c>
      <c r="E6036" t="s">
        <v>9474</v>
      </c>
      <c r="J6036" t="s">
        <v>133</v>
      </c>
      <c r="K6036" t="s">
        <v>134</v>
      </c>
      <c r="L6036">
        <v>6</v>
      </c>
      <c r="M6036" t="s">
        <v>24587</v>
      </c>
      <c r="N6036" t="s">
        <v>685</v>
      </c>
      <c r="O6036" t="s">
        <v>9477</v>
      </c>
      <c r="P6036" t="s">
        <v>9477</v>
      </c>
      <c r="Y6036" t="s">
        <v>24588</v>
      </c>
    </row>
    <row r="6037" spans="1:25">
      <c r="A6037" t="s">
        <v>24589</v>
      </c>
      <c r="B6037" t="s">
        <v>24590</v>
      </c>
      <c r="D6037" t="s">
        <v>9473</v>
      </c>
      <c r="E6037" t="s">
        <v>9474</v>
      </c>
      <c r="J6037" t="s">
        <v>54</v>
      </c>
      <c r="K6037" t="s">
        <v>55</v>
      </c>
      <c r="L6037">
        <v>6</v>
      </c>
      <c r="M6037" t="s">
        <v>24591</v>
      </c>
      <c r="N6037" t="s">
        <v>47</v>
      </c>
      <c r="O6037" t="s">
        <v>9477</v>
      </c>
      <c r="P6037" t="s">
        <v>9477</v>
      </c>
      <c r="Y6037" t="s">
        <v>24592</v>
      </c>
    </row>
    <row r="6038" spans="1:25">
      <c r="A6038" t="s">
        <v>24593</v>
      </c>
      <c r="B6038" t="s">
        <v>24594</v>
      </c>
      <c r="D6038" t="s">
        <v>9473</v>
      </c>
      <c r="E6038" t="s">
        <v>9474</v>
      </c>
      <c r="H6038" t="s">
        <v>24595</v>
      </c>
      <c r="J6038" t="s">
        <v>54</v>
      </c>
      <c r="K6038" t="s">
        <v>55</v>
      </c>
      <c r="L6038">
        <v>6</v>
      </c>
      <c r="M6038" t="s">
        <v>24591</v>
      </c>
      <c r="N6038" t="s">
        <v>47</v>
      </c>
      <c r="O6038" t="s">
        <v>9477</v>
      </c>
      <c r="P6038" t="s">
        <v>9477</v>
      </c>
      <c r="Y6038" t="s">
        <v>24595</v>
      </c>
    </row>
    <row r="6039" spans="1:25">
      <c r="A6039" t="s">
        <v>24596</v>
      </c>
      <c r="B6039" t="s">
        <v>24597</v>
      </c>
      <c r="D6039" t="s">
        <v>9473</v>
      </c>
      <c r="E6039" t="s">
        <v>9474</v>
      </c>
      <c r="H6039" t="s">
        <v>24598</v>
      </c>
      <c r="J6039" t="s">
        <v>133</v>
      </c>
      <c r="K6039" t="s">
        <v>134</v>
      </c>
      <c r="L6039">
        <v>6</v>
      </c>
      <c r="M6039" t="s">
        <v>24599</v>
      </c>
      <c r="N6039" t="s">
        <v>685</v>
      </c>
      <c r="O6039" t="s">
        <v>9477</v>
      </c>
      <c r="P6039" t="s">
        <v>9477</v>
      </c>
      <c r="Y6039" t="s">
        <v>24598</v>
      </c>
    </row>
    <row r="6040" spans="1:25">
      <c r="A6040" t="s">
        <v>24600</v>
      </c>
      <c r="B6040" t="s">
        <v>24601</v>
      </c>
      <c r="D6040" t="s">
        <v>9473</v>
      </c>
      <c r="E6040" t="s">
        <v>9474</v>
      </c>
      <c r="J6040" t="s">
        <v>90</v>
      </c>
      <c r="K6040" t="s">
        <v>91</v>
      </c>
      <c r="L6040">
        <v>6</v>
      </c>
      <c r="M6040" t="s">
        <v>24602</v>
      </c>
      <c r="N6040" t="s">
        <v>47</v>
      </c>
      <c r="O6040" t="s">
        <v>9477</v>
      </c>
      <c r="P6040" t="s">
        <v>9477</v>
      </c>
      <c r="Y6040" t="s">
        <v>24603</v>
      </c>
    </row>
    <row r="6041" spans="1:25">
      <c r="A6041" t="s">
        <v>24604</v>
      </c>
      <c r="B6041" t="s">
        <v>24605</v>
      </c>
      <c r="D6041" t="s">
        <v>9473</v>
      </c>
      <c r="E6041" t="s">
        <v>9474</v>
      </c>
      <c r="J6041" t="s">
        <v>54</v>
      </c>
      <c r="K6041" t="s">
        <v>55</v>
      </c>
      <c r="L6041">
        <v>6</v>
      </c>
      <c r="M6041" t="s">
        <v>24606</v>
      </c>
      <c r="N6041" t="s">
        <v>47</v>
      </c>
      <c r="O6041" t="s">
        <v>9477</v>
      </c>
      <c r="P6041" t="s">
        <v>9477</v>
      </c>
      <c r="Y6041" t="s">
        <v>24607</v>
      </c>
    </row>
    <row r="6042" spans="1:25">
      <c r="A6042" t="s">
        <v>24608</v>
      </c>
      <c r="B6042" t="s">
        <v>24609</v>
      </c>
      <c r="D6042" t="s">
        <v>9473</v>
      </c>
      <c r="E6042" t="s">
        <v>9474</v>
      </c>
      <c r="J6042" t="s">
        <v>44</v>
      </c>
      <c r="K6042" t="s">
        <v>45</v>
      </c>
      <c r="L6042">
        <v>6</v>
      </c>
      <c r="M6042" t="s">
        <v>24610</v>
      </c>
      <c r="N6042" t="s">
        <v>47</v>
      </c>
      <c r="O6042" t="s">
        <v>9477</v>
      </c>
      <c r="P6042" t="s">
        <v>9477</v>
      </c>
      <c r="Y6042" t="s">
        <v>24611</v>
      </c>
    </row>
    <row r="6043" spans="1:25">
      <c r="A6043" t="s">
        <v>24612</v>
      </c>
      <c r="B6043" t="s">
        <v>24613</v>
      </c>
      <c r="D6043" t="s">
        <v>9473</v>
      </c>
      <c r="E6043" t="s">
        <v>9474</v>
      </c>
      <c r="J6043" t="s">
        <v>90</v>
      </c>
      <c r="K6043" t="s">
        <v>91</v>
      </c>
      <c r="L6043">
        <v>6</v>
      </c>
      <c r="M6043" t="s">
        <v>24610</v>
      </c>
      <c r="N6043" t="s">
        <v>47</v>
      </c>
      <c r="O6043" t="s">
        <v>9477</v>
      </c>
      <c r="P6043" t="s">
        <v>9477</v>
      </c>
      <c r="Y6043" t="s">
        <v>24614</v>
      </c>
    </row>
    <row r="6044" spans="1:25">
      <c r="A6044" t="s">
        <v>24615</v>
      </c>
      <c r="B6044" t="s">
        <v>24616</v>
      </c>
      <c r="D6044" t="s">
        <v>9473</v>
      </c>
      <c r="E6044" t="s">
        <v>9474</v>
      </c>
      <c r="J6044" t="s">
        <v>54</v>
      </c>
      <c r="K6044" t="s">
        <v>55</v>
      </c>
      <c r="L6044">
        <v>6</v>
      </c>
      <c r="M6044" t="s">
        <v>24617</v>
      </c>
      <c r="N6044" t="s">
        <v>47</v>
      </c>
      <c r="O6044" t="s">
        <v>9477</v>
      </c>
      <c r="P6044" t="s">
        <v>9477</v>
      </c>
      <c r="Y6044" t="s">
        <v>24618</v>
      </c>
    </row>
    <row r="6045" spans="1:25">
      <c r="A6045" t="s">
        <v>24619</v>
      </c>
      <c r="B6045" t="s">
        <v>24620</v>
      </c>
      <c r="D6045" t="s">
        <v>9473</v>
      </c>
      <c r="E6045" t="s">
        <v>9474</v>
      </c>
      <c r="J6045" t="s">
        <v>90</v>
      </c>
      <c r="K6045" t="s">
        <v>91</v>
      </c>
      <c r="L6045">
        <v>6</v>
      </c>
      <c r="M6045" t="s">
        <v>24617</v>
      </c>
      <c r="N6045" t="s">
        <v>47</v>
      </c>
      <c r="O6045" t="s">
        <v>9477</v>
      </c>
      <c r="P6045" t="s">
        <v>9477</v>
      </c>
      <c r="Y6045" t="s">
        <v>24621</v>
      </c>
    </row>
    <row r="6046" spans="1:25">
      <c r="A6046" t="s">
        <v>24622</v>
      </c>
      <c r="B6046" t="s">
        <v>24623</v>
      </c>
      <c r="D6046" t="s">
        <v>9473</v>
      </c>
      <c r="E6046" t="s">
        <v>9474</v>
      </c>
      <c r="J6046" t="s">
        <v>353</v>
      </c>
      <c r="K6046" t="s">
        <v>354</v>
      </c>
      <c r="L6046">
        <v>6</v>
      </c>
      <c r="M6046" t="s">
        <v>24617</v>
      </c>
      <c r="N6046" t="s">
        <v>135</v>
      </c>
      <c r="O6046" t="s">
        <v>9477</v>
      </c>
      <c r="P6046" t="s">
        <v>9477</v>
      </c>
      <c r="Y6046" t="s">
        <v>24624</v>
      </c>
    </row>
    <row r="6047" spans="1:25">
      <c r="A6047" t="s">
        <v>24625</v>
      </c>
      <c r="B6047" t="s">
        <v>24626</v>
      </c>
      <c r="D6047" t="s">
        <v>9473</v>
      </c>
      <c r="E6047" t="s">
        <v>9474</v>
      </c>
      <c r="H6047" t="s">
        <v>24627</v>
      </c>
      <c r="J6047" t="s">
        <v>44</v>
      </c>
      <c r="K6047" t="s">
        <v>45</v>
      </c>
      <c r="L6047">
        <v>6</v>
      </c>
      <c r="M6047" t="s">
        <v>24617</v>
      </c>
      <c r="N6047" t="s">
        <v>47</v>
      </c>
      <c r="O6047" t="s">
        <v>9477</v>
      </c>
      <c r="P6047" t="s">
        <v>9477</v>
      </c>
      <c r="Y6047" t="s">
        <v>24627</v>
      </c>
    </row>
    <row r="6048" spans="1:25">
      <c r="A6048" t="s">
        <v>24628</v>
      </c>
      <c r="B6048" t="s">
        <v>24629</v>
      </c>
      <c r="D6048" t="s">
        <v>9473</v>
      </c>
      <c r="E6048" t="s">
        <v>9474</v>
      </c>
      <c r="J6048" t="s">
        <v>90</v>
      </c>
      <c r="K6048" t="s">
        <v>91</v>
      </c>
      <c r="L6048">
        <v>6</v>
      </c>
      <c r="M6048" t="s">
        <v>24617</v>
      </c>
      <c r="N6048" t="s">
        <v>47</v>
      </c>
      <c r="O6048" t="s">
        <v>9477</v>
      </c>
      <c r="P6048" t="s">
        <v>9477</v>
      </c>
      <c r="Y6048" t="s">
        <v>24630</v>
      </c>
    </row>
    <row r="6049" spans="1:25">
      <c r="A6049" t="s">
        <v>24631</v>
      </c>
      <c r="B6049" t="s">
        <v>24632</v>
      </c>
      <c r="D6049" t="s">
        <v>9473</v>
      </c>
      <c r="E6049" t="s">
        <v>9474</v>
      </c>
      <c r="J6049" t="s">
        <v>78</v>
      </c>
      <c r="K6049" t="s">
        <v>79</v>
      </c>
      <c r="L6049">
        <v>6</v>
      </c>
      <c r="M6049" t="s">
        <v>24633</v>
      </c>
      <c r="N6049" t="s">
        <v>47</v>
      </c>
      <c r="O6049" t="s">
        <v>9477</v>
      </c>
      <c r="P6049" t="s">
        <v>9477</v>
      </c>
      <c r="Y6049" t="s">
        <v>24634</v>
      </c>
    </row>
    <row r="6050" spans="1:25">
      <c r="A6050" t="s">
        <v>24635</v>
      </c>
      <c r="B6050" t="s">
        <v>24636</v>
      </c>
      <c r="D6050" t="s">
        <v>9473</v>
      </c>
      <c r="E6050" t="s">
        <v>9474</v>
      </c>
      <c r="J6050" t="s">
        <v>133</v>
      </c>
      <c r="K6050" t="s">
        <v>134</v>
      </c>
      <c r="L6050">
        <v>6</v>
      </c>
      <c r="M6050" t="s">
        <v>24633</v>
      </c>
      <c r="N6050" t="s">
        <v>135</v>
      </c>
      <c r="O6050" t="s">
        <v>9477</v>
      </c>
      <c r="P6050" t="s">
        <v>9477</v>
      </c>
      <c r="Y6050" t="s">
        <v>24637</v>
      </c>
    </row>
    <row r="6051" spans="1:25">
      <c r="A6051" t="s">
        <v>24638</v>
      </c>
      <c r="B6051" t="s">
        <v>24639</v>
      </c>
      <c r="D6051" t="s">
        <v>9473</v>
      </c>
      <c r="E6051" t="s">
        <v>9474</v>
      </c>
      <c r="J6051" t="s">
        <v>90</v>
      </c>
      <c r="K6051" t="s">
        <v>91</v>
      </c>
      <c r="L6051">
        <v>6</v>
      </c>
      <c r="M6051" t="s">
        <v>24633</v>
      </c>
      <c r="N6051" t="s">
        <v>47</v>
      </c>
      <c r="O6051" t="s">
        <v>9477</v>
      </c>
      <c r="P6051" t="s">
        <v>9477</v>
      </c>
      <c r="Y6051" t="s">
        <v>24640</v>
      </c>
    </row>
    <row r="6052" spans="1:25">
      <c r="A6052" t="s">
        <v>24641</v>
      </c>
      <c r="B6052" t="s">
        <v>24642</v>
      </c>
      <c r="D6052" t="s">
        <v>9473</v>
      </c>
      <c r="E6052" t="s">
        <v>9474</v>
      </c>
      <c r="J6052" t="s">
        <v>54</v>
      </c>
      <c r="K6052" t="s">
        <v>55</v>
      </c>
      <c r="L6052">
        <v>6</v>
      </c>
      <c r="M6052" t="s">
        <v>24633</v>
      </c>
      <c r="N6052" t="s">
        <v>47</v>
      </c>
      <c r="O6052" t="s">
        <v>9477</v>
      </c>
      <c r="P6052" t="s">
        <v>9477</v>
      </c>
      <c r="Y6052" t="s">
        <v>24643</v>
      </c>
    </row>
    <row r="6053" spans="1:25">
      <c r="A6053" t="s">
        <v>24644</v>
      </c>
      <c r="B6053" t="s">
        <v>24645</v>
      </c>
      <c r="D6053" t="s">
        <v>9473</v>
      </c>
      <c r="E6053" t="s">
        <v>9474</v>
      </c>
      <c r="H6053" t="s">
        <v>24646</v>
      </c>
      <c r="J6053" t="s">
        <v>78</v>
      </c>
      <c r="K6053" t="s">
        <v>79</v>
      </c>
      <c r="L6053">
        <v>6</v>
      </c>
      <c r="M6053" t="s">
        <v>24647</v>
      </c>
      <c r="N6053" t="s">
        <v>47</v>
      </c>
      <c r="O6053" t="s">
        <v>9477</v>
      </c>
      <c r="P6053" t="s">
        <v>9477</v>
      </c>
      <c r="Y6053" t="s">
        <v>24646</v>
      </c>
    </row>
    <row r="6054" spans="1:25">
      <c r="A6054" t="s">
        <v>24648</v>
      </c>
      <c r="B6054" t="s">
        <v>24649</v>
      </c>
      <c r="D6054" t="s">
        <v>9473</v>
      </c>
      <c r="E6054" t="s">
        <v>9474</v>
      </c>
      <c r="H6054" t="s">
        <v>24650</v>
      </c>
      <c r="J6054" t="s">
        <v>133</v>
      </c>
      <c r="K6054" t="s">
        <v>134</v>
      </c>
      <c r="L6054">
        <v>6</v>
      </c>
      <c r="M6054" t="s">
        <v>24647</v>
      </c>
      <c r="N6054" t="s">
        <v>685</v>
      </c>
      <c r="O6054" t="s">
        <v>9477</v>
      </c>
      <c r="P6054" t="s">
        <v>9477</v>
      </c>
      <c r="Y6054" t="s">
        <v>24650</v>
      </c>
    </row>
    <row r="6055" spans="1:25">
      <c r="A6055" t="s">
        <v>24651</v>
      </c>
      <c r="B6055" t="s">
        <v>24652</v>
      </c>
      <c r="D6055" t="s">
        <v>9473</v>
      </c>
      <c r="E6055" t="s">
        <v>9474</v>
      </c>
      <c r="H6055" t="s">
        <v>24653</v>
      </c>
      <c r="J6055" t="s">
        <v>44</v>
      </c>
      <c r="K6055" t="s">
        <v>45</v>
      </c>
      <c r="L6055">
        <v>6</v>
      </c>
      <c r="M6055" t="s">
        <v>24654</v>
      </c>
      <c r="N6055" t="s">
        <v>47</v>
      </c>
      <c r="O6055" t="s">
        <v>9477</v>
      </c>
      <c r="P6055" t="s">
        <v>9477</v>
      </c>
      <c r="Y6055" t="s">
        <v>24653</v>
      </c>
    </row>
    <row r="6056" spans="1:25">
      <c r="A6056" t="s">
        <v>24655</v>
      </c>
      <c r="B6056" t="s">
        <v>24656</v>
      </c>
      <c r="D6056" t="s">
        <v>9473</v>
      </c>
      <c r="E6056" t="s">
        <v>9474</v>
      </c>
      <c r="H6056" t="s">
        <v>24657</v>
      </c>
      <c r="J6056" t="s">
        <v>90</v>
      </c>
      <c r="K6056" t="s">
        <v>91</v>
      </c>
      <c r="L6056">
        <v>6</v>
      </c>
      <c r="M6056" t="s">
        <v>24658</v>
      </c>
      <c r="N6056" t="s">
        <v>47</v>
      </c>
      <c r="O6056" t="s">
        <v>9477</v>
      </c>
      <c r="P6056" t="s">
        <v>9477</v>
      </c>
      <c r="Y6056" t="s">
        <v>24657</v>
      </c>
    </row>
    <row r="6057" spans="1:25">
      <c r="A6057" t="s">
        <v>24659</v>
      </c>
      <c r="B6057" t="s">
        <v>24660</v>
      </c>
      <c r="D6057" t="s">
        <v>9473</v>
      </c>
      <c r="E6057" t="s">
        <v>9474</v>
      </c>
      <c r="H6057" t="s">
        <v>24661</v>
      </c>
      <c r="J6057" t="s">
        <v>133</v>
      </c>
      <c r="K6057" t="s">
        <v>134</v>
      </c>
      <c r="L6057">
        <v>6</v>
      </c>
      <c r="M6057" t="s">
        <v>24662</v>
      </c>
      <c r="N6057" t="s">
        <v>685</v>
      </c>
      <c r="O6057" t="s">
        <v>9477</v>
      </c>
      <c r="P6057" t="s">
        <v>9477</v>
      </c>
      <c r="Y6057" t="s">
        <v>24661</v>
      </c>
    </row>
    <row r="6058" spans="1:25">
      <c r="A6058" t="s">
        <v>24663</v>
      </c>
      <c r="B6058" t="s">
        <v>24664</v>
      </c>
      <c r="D6058" t="s">
        <v>9473</v>
      </c>
      <c r="E6058" t="s">
        <v>9474</v>
      </c>
      <c r="H6058" t="s">
        <v>24665</v>
      </c>
      <c r="J6058" t="s">
        <v>90</v>
      </c>
      <c r="K6058" t="s">
        <v>91</v>
      </c>
      <c r="L6058">
        <v>6</v>
      </c>
      <c r="M6058" t="s">
        <v>24666</v>
      </c>
      <c r="N6058" t="s">
        <v>47</v>
      </c>
      <c r="O6058" t="s">
        <v>9477</v>
      </c>
      <c r="P6058" t="s">
        <v>9477</v>
      </c>
      <c r="Y6058" t="s">
        <v>24665</v>
      </c>
    </row>
    <row r="6059" spans="1:25">
      <c r="A6059" t="s">
        <v>24667</v>
      </c>
      <c r="B6059" t="s">
        <v>24668</v>
      </c>
      <c r="D6059" t="s">
        <v>9473</v>
      </c>
      <c r="E6059" t="s">
        <v>9474</v>
      </c>
      <c r="H6059" t="s">
        <v>24669</v>
      </c>
      <c r="J6059" t="s">
        <v>78</v>
      </c>
      <c r="K6059" t="s">
        <v>79</v>
      </c>
      <c r="L6059">
        <v>6</v>
      </c>
      <c r="M6059" t="s">
        <v>24666</v>
      </c>
      <c r="N6059" t="s">
        <v>47</v>
      </c>
      <c r="O6059" t="s">
        <v>9477</v>
      </c>
      <c r="P6059" t="s">
        <v>9477</v>
      </c>
      <c r="Y6059" t="s">
        <v>24669</v>
      </c>
    </row>
    <row r="6060" spans="1:25">
      <c r="A6060" t="s">
        <v>24670</v>
      </c>
      <c r="B6060" t="s">
        <v>24671</v>
      </c>
      <c r="D6060" t="s">
        <v>9473</v>
      </c>
      <c r="E6060" t="s">
        <v>9474</v>
      </c>
      <c r="H6060" t="s">
        <v>24672</v>
      </c>
      <c r="J6060" t="s">
        <v>54</v>
      </c>
      <c r="K6060" t="s">
        <v>55</v>
      </c>
      <c r="L6060">
        <v>6</v>
      </c>
      <c r="M6060" t="s">
        <v>24673</v>
      </c>
      <c r="N6060" t="s">
        <v>47</v>
      </c>
      <c r="O6060" t="s">
        <v>9477</v>
      </c>
      <c r="P6060" t="s">
        <v>9477</v>
      </c>
      <c r="Y6060" t="s">
        <v>24672</v>
      </c>
    </row>
    <row r="6061" spans="1:25">
      <c r="A6061" t="s">
        <v>24674</v>
      </c>
      <c r="B6061" t="s">
        <v>24675</v>
      </c>
      <c r="D6061" t="s">
        <v>9473</v>
      </c>
      <c r="E6061" t="s">
        <v>9474</v>
      </c>
      <c r="J6061" t="s">
        <v>54</v>
      </c>
      <c r="K6061" t="s">
        <v>55</v>
      </c>
      <c r="L6061">
        <v>6</v>
      </c>
      <c r="M6061" t="s">
        <v>24673</v>
      </c>
      <c r="N6061" t="s">
        <v>47</v>
      </c>
      <c r="O6061" t="s">
        <v>9477</v>
      </c>
      <c r="P6061" t="s">
        <v>9477</v>
      </c>
      <c r="Y6061" t="s">
        <v>24676</v>
      </c>
    </row>
    <row r="6062" spans="1:25">
      <c r="A6062" t="s">
        <v>24677</v>
      </c>
      <c r="B6062" t="s">
        <v>24678</v>
      </c>
      <c r="D6062" t="s">
        <v>9473</v>
      </c>
      <c r="E6062" t="s">
        <v>9474</v>
      </c>
      <c r="J6062" t="s">
        <v>353</v>
      </c>
      <c r="K6062" t="s">
        <v>354</v>
      </c>
      <c r="L6062">
        <v>6</v>
      </c>
      <c r="M6062" t="s">
        <v>24673</v>
      </c>
      <c r="N6062" t="s">
        <v>135</v>
      </c>
      <c r="O6062" t="s">
        <v>9477</v>
      </c>
      <c r="P6062" t="s">
        <v>9477</v>
      </c>
      <c r="Y6062" t="s">
        <v>24679</v>
      </c>
    </row>
    <row r="6063" spans="1:25">
      <c r="A6063" t="s">
        <v>24680</v>
      </c>
      <c r="B6063" t="s">
        <v>24681</v>
      </c>
      <c r="D6063" t="s">
        <v>9473</v>
      </c>
      <c r="E6063" t="s">
        <v>9474</v>
      </c>
      <c r="J6063" t="s">
        <v>44</v>
      </c>
      <c r="K6063" t="s">
        <v>45</v>
      </c>
      <c r="L6063">
        <v>6</v>
      </c>
      <c r="M6063" t="s">
        <v>24682</v>
      </c>
      <c r="N6063" t="s">
        <v>47</v>
      </c>
      <c r="O6063" t="s">
        <v>9477</v>
      </c>
      <c r="P6063" t="s">
        <v>9477</v>
      </c>
      <c r="Y6063" t="s">
        <v>24683</v>
      </c>
    </row>
    <row r="6064" spans="1:25">
      <c r="A6064" t="s">
        <v>24684</v>
      </c>
      <c r="B6064" t="s">
        <v>24685</v>
      </c>
      <c r="D6064" t="s">
        <v>9473</v>
      </c>
      <c r="E6064" t="s">
        <v>9474</v>
      </c>
      <c r="H6064" t="s">
        <v>24686</v>
      </c>
      <c r="J6064" t="s">
        <v>54</v>
      </c>
      <c r="K6064" t="s">
        <v>55</v>
      </c>
      <c r="L6064">
        <v>6</v>
      </c>
      <c r="M6064" t="s">
        <v>24687</v>
      </c>
      <c r="N6064" t="s">
        <v>47</v>
      </c>
      <c r="O6064" t="s">
        <v>9477</v>
      </c>
      <c r="P6064" t="s">
        <v>9477</v>
      </c>
      <c r="Y6064" t="s">
        <v>24686</v>
      </c>
    </row>
    <row r="6065" spans="1:25">
      <c r="A6065" t="s">
        <v>24688</v>
      </c>
      <c r="B6065" t="s">
        <v>24689</v>
      </c>
      <c r="D6065" t="s">
        <v>9473</v>
      </c>
      <c r="E6065" t="s">
        <v>9474</v>
      </c>
      <c r="H6065" t="s">
        <v>24690</v>
      </c>
      <c r="J6065" t="s">
        <v>44</v>
      </c>
      <c r="K6065" t="s">
        <v>45</v>
      </c>
      <c r="L6065">
        <v>6</v>
      </c>
      <c r="M6065" t="s">
        <v>24691</v>
      </c>
      <c r="N6065" t="s">
        <v>47</v>
      </c>
      <c r="O6065" t="s">
        <v>9477</v>
      </c>
      <c r="P6065" t="s">
        <v>9477</v>
      </c>
      <c r="Y6065" t="s">
        <v>24690</v>
      </c>
    </row>
    <row r="6066" spans="1:25">
      <c r="A6066" t="s">
        <v>24692</v>
      </c>
      <c r="B6066" t="s">
        <v>24693</v>
      </c>
      <c r="D6066" t="s">
        <v>9473</v>
      </c>
      <c r="E6066" t="s">
        <v>9474</v>
      </c>
      <c r="J6066" t="s">
        <v>90</v>
      </c>
      <c r="K6066" t="s">
        <v>91</v>
      </c>
      <c r="L6066">
        <v>6</v>
      </c>
      <c r="M6066" t="s">
        <v>24694</v>
      </c>
      <c r="N6066" t="s">
        <v>47</v>
      </c>
      <c r="O6066" t="s">
        <v>9477</v>
      </c>
      <c r="P6066" t="s">
        <v>9477</v>
      </c>
      <c r="Y6066" t="s">
        <v>24695</v>
      </c>
    </row>
    <row r="6067" spans="1:25">
      <c r="A6067" t="s">
        <v>24696</v>
      </c>
      <c r="B6067" t="s">
        <v>24697</v>
      </c>
      <c r="D6067" t="s">
        <v>9473</v>
      </c>
      <c r="E6067" t="s">
        <v>9474</v>
      </c>
      <c r="H6067" t="s">
        <v>24698</v>
      </c>
      <c r="J6067" t="s">
        <v>371</v>
      </c>
      <c r="K6067" t="s">
        <v>372</v>
      </c>
      <c r="L6067">
        <v>6</v>
      </c>
      <c r="M6067" t="s">
        <v>24699</v>
      </c>
      <c r="N6067" t="s">
        <v>47</v>
      </c>
      <c r="O6067" t="s">
        <v>9477</v>
      </c>
      <c r="P6067" t="s">
        <v>9477</v>
      </c>
      <c r="Y6067" t="s">
        <v>24698</v>
      </c>
    </row>
    <row r="6068" spans="1:25">
      <c r="A6068" t="s">
        <v>24700</v>
      </c>
      <c r="B6068" t="s">
        <v>24701</v>
      </c>
      <c r="D6068" t="s">
        <v>9473</v>
      </c>
      <c r="E6068" t="s">
        <v>9474</v>
      </c>
      <c r="J6068" t="s">
        <v>90</v>
      </c>
      <c r="K6068" t="s">
        <v>91</v>
      </c>
      <c r="L6068">
        <v>6</v>
      </c>
      <c r="M6068" t="s">
        <v>24699</v>
      </c>
      <c r="N6068" t="s">
        <v>47</v>
      </c>
      <c r="O6068" t="s">
        <v>9477</v>
      </c>
      <c r="P6068" t="s">
        <v>9477</v>
      </c>
      <c r="Y6068" t="s">
        <v>24702</v>
      </c>
    </row>
    <row r="6069" spans="1:25">
      <c r="A6069" t="s">
        <v>24703</v>
      </c>
      <c r="B6069" t="s">
        <v>24704</v>
      </c>
      <c r="D6069" t="s">
        <v>9473</v>
      </c>
      <c r="E6069" t="s">
        <v>9474</v>
      </c>
      <c r="J6069" t="s">
        <v>54</v>
      </c>
      <c r="K6069" t="s">
        <v>55</v>
      </c>
      <c r="L6069">
        <v>6</v>
      </c>
      <c r="M6069" t="s">
        <v>24705</v>
      </c>
      <c r="N6069" t="s">
        <v>47</v>
      </c>
      <c r="O6069" t="s">
        <v>9477</v>
      </c>
      <c r="P6069" t="s">
        <v>9477</v>
      </c>
      <c r="Y6069" t="s">
        <v>24706</v>
      </c>
    </row>
    <row r="6070" spans="1:25">
      <c r="A6070" t="s">
        <v>24707</v>
      </c>
      <c r="B6070" t="s">
        <v>24708</v>
      </c>
      <c r="D6070" t="s">
        <v>9473</v>
      </c>
      <c r="E6070" t="s">
        <v>9474</v>
      </c>
      <c r="J6070" t="s">
        <v>90</v>
      </c>
      <c r="K6070" t="s">
        <v>91</v>
      </c>
      <c r="L6070">
        <v>6</v>
      </c>
      <c r="M6070" t="s">
        <v>24709</v>
      </c>
      <c r="N6070" t="s">
        <v>47</v>
      </c>
      <c r="O6070" t="s">
        <v>9477</v>
      </c>
      <c r="P6070" t="s">
        <v>9477</v>
      </c>
      <c r="Y6070" t="s">
        <v>24710</v>
      </c>
    </row>
    <row r="6071" spans="1:25">
      <c r="A6071" t="s">
        <v>24711</v>
      </c>
      <c r="B6071" t="s">
        <v>24712</v>
      </c>
      <c r="D6071" t="s">
        <v>9473</v>
      </c>
      <c r="E6071" t="s">
        <v>9474</v>
      </c>
      <c r="H6071" t="s">
        <v>24713</v>
      </c>
      <c r="J6071" t="s">
        <v>78</v>
      </c>
      <c r="K6071" t="s">
        <v>79</v>
      </c>
      <c r="L6071">
        <v>6</v>
      </c>
      <c r="M6071" t="s">
        <v>24709</v>
      </c>
      <c r="N6071" t="s">
        <v>47</v>
      </c>
      <c r="O6071" t="s">
        <v>9477</v>
      </c>
      <c r="P6071" t="s">
        <v>9477</v>
      </c>
      <c r="Y6071" t="s">
        <v>24713</v>
      </c>
    </row>
    <row r="6072" spans="1:25">
      <c r="A6072" t="s">
        <v>24714</v>
      </c>
      <c r="B6072" t="s">
        <v>24715</v>
      </c>
      <c r="D6072" t="s">
        <v>9473</v>
      </c>
      <c r="E6072" t="s">
        <v>9474</v>
      </c>
      <c r="J6072" t="s">
        <v>44</v>
      </c>
      <c r="K6072" t="s">
        <v>45</v>
      </c>
      <c r="L6072">
        <v>6</v>
      </c>
      <c r="M6072" t="s">
        <v>24716</v>
      </c>
      <c r="N6072" t="s">
        <v>47</v>
      </c>
      <c r="O6072" t="s">
        <v>9477</v>
      </c>
      <c r="P6072" t="s">
        <v>9477</v>
      </c>
      <c r="Y6072" t="s">
        <v>24717</v>
      </c>
    </row>
    <row r="6073" spans="1:25">
      <c r="A6073" t="s">
        <v>24718</v>
      </c>
      <c r="B6073" t="s">
        <v>24719</v>
      </c>
      <c r="D6073" t="s">
        <v>9473</v>
      </c>
      <c r="E6073" t="s">
        <v>9474</v>
      </c>
      <c r="J6073" t="s">
        <v>78</v>
      </c>
      <c r="K6073" t="s">
        <v>79</v>
      </c>
      <c r="L6073">
        <v>6</v>
      </c>
      <c r="M6073" t="s">
        <v>24720</v>
      </c>
      <c r="N6073" t="s">
        <v>47</v>
      </c>
      <c r="O6073" t="s">
        <v>9477</v>
      </c>
      <c r="P6073" t="s">
        <v>9477</v>
      </c>
      <c r="Y6073" t="s">
        <v>24721</v>
      </c>
    </row>
    <row r="6074" spans="1:25">
      <c r="A6074" t="s">
        <v>24722</v>
      </c>
      <c r="B6074" t="s">
        <v>24723</v>
      </c>
      <c r="D6074" t="s">
        <v>9473</v>
      </c>
      <c r="E6074" t="s">
        <v>9474</v>
      </c>
      <c r="H6074" t="s">
        <v>24724</v>
      </c>
      <c r="J6074" t="s">
        <v>44</v>
      </c>
      <c r="K6074" t="s">
        <v>45</v>
      </c>
      <c r="L6074">
        <v>6</v>
      </c>
      <c r="M6074" t="s">
        <v>24725</v>
      </c>
      <c r="N6074" t="s">
        <v>47</v>
      </c>
      <c r="O6074" t="s">
        <v>9477</v>
      </c>
      <c r="P6074" t="s">
        <v>9477</v>
      </c>
      <c r="Y6074" t="s">
        <v>24724</v>
      </c>
    </row>
    <row r="6075" spans="1:25">
      <c r="A6075" t="s">
        <v>24726</v>
      </c>
      <c r="B6075" t="s">
        <v>24727</v>
      </c>
      <c r="D6075" t="s">
        <v>9473</v>
      </c>
      <c r="E6075" t="s">
        <v>9474</v>
      </c>
      <c r="J6075" t="s">
        <v>44</v>
      </c>
      <c r="K6075" t="s">
        <v>45</v>
      </c>
      <c r="L6075">
        <v>6</v>
      </c>
      <c r="M6075" t="s">
        <v>24728</v>
      </c>
      <c r="N6075" t="s">
        <v>47</v>
      </c>
      <c r="O6075" t="s">
        <v>9477</v>
      </c>
      <c r="P6075" t="s">
        <v>9477</v>
      </c>
      <c r="Y6075" t="s">
        <v>24729</v>
      </c>
    </row>
    <row r="6076" spans="1:25">
      <c r="A6076" t="s">
        <v>24730</v>
      </c>
      <c r="B6076" t="s">
        <v>24731</v>
      </c>
      <c r="D6076" t="s">
        <v>9473</v>
      </c>
      <c r="E6076" t="s">
        <v>9474</v>
      </c>
      <c r="H6076" t="s">
        <v>24732</v>
      </c>
      <c r="J6076" t="s">
        <v>7250</v>
      </c>
      <c r="K6076" t="s">
        <v>7251</v>
      </c>
      <c r="L6076">
        <v>6</v>
      </c>
      <c r="M6076" t="s">
        <v>24728</v>
      </c>
      <c r="N6076" t="s">
        <v>685</v>
      </c>
      <c r="O6076" t="s">
        <v>9477</v>
      </c>
      <c r="P6076" t="s">
        <v>9477</v>
      </c>
      <c r="Y6076" t="s">
        <v>24732</v>
      </c>
    </row>
    <row r="6077" spans="1:25">
      <c r="A6077" t="s">
        <v>24733</v>
      </c>
      <c r="B6077" t="s">
        <v>24734</v>
      </c>
      <c r="D6077" t="s">
        <v>9473</v>
      </c>
      <c r="E6077" t="s">
        <v>9474</v>
      </c>
      <c r="J6077" t="s">
        <v>90</v>
      </c>
      <c r="K6077" t="s">
        <v>91</v>
      </c>
      <c r="L6077">
        <v>6</v>
      </c>
      <c r="M6077" t="s">
        <v>24728</v>
      </c>
      <c r="N6077" t="s">
        <v>47</v>
      </c>
      <c r="O6077" t="s">
        <v>9477</v>
      </c>
      <c r="P6077" t="s">
        <v>9477</v>
      </c>
      <c r="Y6077" t="s">
        <v>24735</v>
      </c>
    </row>
    <row r="6078" spans="1:25">
      <c r="A6078" t="s">
        <v>24736</v>
      </c>
      <c r="B6078" t="s">
        <v>24737</v>
      </c>
      <c r="D6078" t="s">
        <v>9473</v>
      </c>
      <c r="E6078" t="s">
        <v>9474</v>
      </c>
      <c r="J6078" t="s">
        <v>90</v>
      </c>
      <c r="K6078" t="s">
        <v>91</v>
      </c>
      <c r="L6078">
        <v>6</v>
      </c>
      <c r="M6078" t="s">
        <v>24738</v>
      </c>
      <c r="N6078" t="s">
        <v>47</v>
      </c>
      <c r="O6078" t="s">
        <v>9477</v>
      </c>
      <c r="P6078" t="s">
        <v>9477</v>
      </c>
      <c r="Y6078" t="s">
        <v>24739</v>
      </c>
    </row>
    <row r="6079" spans="1:25">
      <c r="A6079" t="s">
        <v>24740</v>
      </c>
      <c r="B6079" t="s">
        <v>24741</v>
      </c>
      <c r="D6079" t="s">
        <v>9473</v>
      </c>
      <c r="E6079" t="s">
        <v>9474</v>
      </c>
      <c r="H6079" t="s">
        <v>24742</v>
      </c>
      <c r="J6079" t="s">
        <v>90</v>
      </c>
      <c r="K6079" t="s">
        <v>91</v>
      </c>
      <c r="L6079">
        <v>6</v>
      </c>
      <c r="M6079" t="s">
        <v>24738</v>
      </c>
      <c r="N6079" t="s">
        <v>47</v>
      </c>
      <c r="O6079" t="s">
        <v>9477</v>
      </c>
      <c r="P6079" t="s">
        <v>9477</v>
      </c>
      <c r="Y6079" t="s">
        <v>24742</v>
      </c>
    </row>
    <row r="6080" spans="1:25">
      <c r="A6080" t="s">
        <v>24743</v>
      </c>
      <c r="B6080" t="s">
        <v>24744</v>
      </c>
      <c r="D6080" t="s">
        <v>9473</v>
      </c>
      <c r="E6080" t="s">
        <v>9474</v>
      </c>
      <c r="J6080" t="s">
        <v>90</v>
      </c>
      <c r="K6080" t="s">
        <v>91</v>
      </c>
      <c r="L6080">
        <v>6</v>
      </c>
      <c r="M6080" t="s">
        <v>24738</v>
      </c>
      <c r="N6080" t="s">
        <v>47</v>
      </c>
      <c r="O6080" t="s">
        <v>9477</v>
      </c>
      <c r="P6080" t="s">
        <v>9477</v>
      </c>
      <c r="Y6080" t="s">
        <v>24745</v>
      </c>
    </row>
    <row r="6081" spans="1:25">
      <c r="A6081" t="s">
        <v>24746</v>
      </c>
      <c r="B6081" t="s">
        <v>24747</v>
      </c>
      <c r="D6081" t="s">
        <v>9473</v>
      </c>
      <c r="E6081" t="s">
        <v>9474</v>
      </c>
      <c r="J6081" t="s">
        <v>371</v>
      </c>
      <c r="K6081" t="s">
        <v>372</v>
      </c>
      <c r="L6081">
        <v>6</v>
      </c>
      <c r="M6081" t="s">
        <v>24748</v>
      </c>
      <c r="N6081" t="s">
        <v>47</v>
      </c>
      <c r="O6081" t="s">
        <v>9477</v>
      </c>
      <c r="P6081" t="s">
        <v>9477</v>
      </c>
      <c r="Y6081" t="s">
        <v>24749</v>
      </c>
    </row>
    <row r="6082" spans="1:25">
      <c r="A6082" t="s">
        <v>24750</v>
      </c>
      <c r="B6082" t="s">
        <v>24751</v>
      </c>
      <c r="D6082" t="s">
        <v>9473</v>
      </c>
      <c r="E6082" t="s">
        <v>9474</v>
      </c>
      <c r="J6082" t="s">
        <v>78</v>
      </c>
      <c r="K6082" t="s">
        <v>79</v>
      </c>
      <c r="L6082">
        <v>6</v>
      </c>
      <c r="M6082" t="s">
        <v>24748</v>
      </c>
      <c r="N6082" t="s">
        <v>47</v>
      </c>
      <c r="O6082" t="s">
        <v>9477</v>
      </c>
      <c r="P6082" t="s">
        <v>9477</v>
      </c>
      <c r="Y6082" t="s">
        <v>24752</v>
      </c>
    </row>
    <row r="6083" spans="1:25">
      <c r="A6083" t="s">
        <v>24753</v>
      </c>
      <c r="B6083" t="s">
        <v>24754</v>
      </c>
      <c r="D6083" t="s">
        <v>9473</v>
      </c>
      <c r="E6083" t="s">
        <v>9474</v>
      </c>
      <c r="J6083" t="s">
        <v>44</v>
      </c>
      <c r="K6083" t="s">
        <v>45</v>
      </c>
      <c r="L6083">
        <v>6</v>
      </c>
      <c r="M6083" t="s">
        <v>24748</v>
      </c>
      <c r="N6083" t="s">
        <v>47</v>
      </c>
      <c r="O6083" t="s">
        <v>9477</v>
      </c>
      <c r="P6083" t="s">
        <v>9477</v>
      </c>
      <c r="Y6083" t="s">
        <v>24755</v>
      </c>
    </row>
    <row r="6084" spans="1:25">
      <c r="A6084" t="s">
        <v>24756</v>
      </c>
      <c r="B6084" t="s">
        <v>24757</v>
      </c>
      <c r="D6084" t="s">
        <v>9473</v>
      </c>
      <c r="E6084" t="s">
        <v>9474</v>
      </c>
      <c r="J6084" t="s">
        <v>78</v>
      </c>
      <c r="K6084" t="s">
        <v>79</v>
      </c>
      <c r="L6084">
        <v>6</v>
      </c>
      <c r="M6084" t="s">
        <v>24758</v>
      </c>
      <c r="N6084" t="s">
        <v>47</v>
      </c>
      <c r="O6084" t="s">
        <v>9477</v>
      </c>
      <c r="P6084" t="s">
        <v>9477</v>
      </c>
      <c r="Y6084" t="s">
        <v>24759</v>
      </c>
    </row>
    <row r="6085" spans="1:25">
      <c r="A6085" t="s">
        <v>24760</v>
      </c>
      <c r="B6085" t="s">
        <v>24761</v>
      </c>
      <c r="D6085" t="s">
        <v>9473</v>
      </c>
      <c r="E6085" t="s">
        <v>9474</v>
      </c>
      <c r="J6085" t="s">
        <v>133</v>
      </c>
      <c r="K6085" t="s">
        <v>134</v>
      </c>
      <c r="L6085">
        <v>6</v>
      </c>
      <c r="M6085" t="s">
        <v>24762</v>
      </c>
      <c r="N6085" t="s">
        <v>135</v>
      </c>
      <c r="O6085" t="s">
        <v>9477</v>
      </c>
      <c r="P6085" t="s">
        <v>9477</v>
      </c>
      <c r="Y6085" t="s">
        <v>24763</v>
      </c>
    </row>
    <row r="6086" spans="1:25">
      <c r="A6086" t="s">
        <v>24764</v>
      </c>
      <c r="B6086" t="s">
        <v>24765</v>
      </c>
      <c r="D6086" t="s">
        <v>9473</v>
      </c>
      <c r="E6086" t="s">
        <v>9474</v>
      </c>
      <c r="J6086" t="s">
        <v>54</v>
      </c>
      <c r="K6086" t="s">
        <v>55</v>
      </c>
      <c r="L6086">
        <v>6</v>
      </c>
      <c r="M6086" t="s">
        <v>24766</v>
      </c>
      <c r="N6086" t="s">
        <v>47</v>
      </c>
      <c r="O6086" t="s">
        <v>9477</v>
      </c>
      <c r="P6086" t="s">
        <v>9477</v>
      </c>
      <c r="Y6086" t="s">
        <v>24767</v>
      </c>
    </row>
    <row r="6087" spans="1:25">
      <c r="A6087" t="s">
        <v>24768</v>
      </c>
      <c r="B6087" t="s">
        <v>24769</v>
      </c>
      <c r="D6087" t="s">
        <v>9473</v>
      </c>
      <c r="E6087" t="s">
        <v>9474</v>
      </c>
      <c r="J6087" t="s">
        <v>90</v>
      </c>
      <c r="K6087" t="s">
        <v>91</v>
      </c>
      <c r="L6087">
        <v>6</v>
      </c>
      <c r="M6087" t="s">
        <v>24770</v>
      </c>
      <c r="N6087" t="s">
        <v>47</v>
      </c>
      <c r="O6087" t="s">
        <v>9477</v>
      </c>
      <c r="P6087" t="s">
        <v>9477</v>
      </c>
      <c r="Y6087" t="s">
        <v>24771</v>
      </c>
    </row>
    <row r="6088" spans="1:25">
      <c r="A6088" t="s">
        <v>24772</v>
      </c>
      <c r="B6088" t="s">
        <v>24773</v>
      </c>
      <c r="D6088" t="s">
        <v>9473</v>
      </c>
      <c r="E6088" t="s">
        <v>9474</v>
      </c>
      <c r="J6088" t="s">
        <v>78</v>
      </c>
      <c r="K6088" t="s">
        <v>79</v>
      </c>
      <c r="L6088">
        <v>6</v>
      </c>
      <c r="M6088" t="s">
        <v>24770</v>
      </c>
      <c r="N6088" t="s">
        <v>47</v>
      </c>
      <c r="O6088" t="s">
        <v>9477</v>
      </c>
      <c r="P6088" t="s">
        <v>9477</v>
      </c>
      <c r="Y6088" t="s">
        <v>24774</v>
      </c>
    </row>
    <row r="6089" spans="1:25">
      <c r="A6089" t="s">
        <v>24775</v>
      </c>
      <c r="B6089" t="s">
        <v>24776</v>
      </c>
      <c r="D6089" t="s">
        <v>9473</v>
      </c>
      <c r="E6089" t="s">
        <v>9474</v>
      </c>
      <c r="J6089" t="s">
        <v>90</v>
      </c>
      <c r="K6089" t="s">
        <v>91</v>
      </c>
      <c r="L6089">
        <v>6</v>
      </c>
      <c r="M6089" t="s">
        <v>24770</v>
      </c>
      <c r="N6089" t="s">
        <v>47</v>
      </c>
      <c r="O6089" t="s">
        <v>9477</v>
      </c>
      <c r="P6089" t="s">
        <v>9477</v>
      </c>
      <c r="Y6089" t="s">
        <v>24777</v>
      </c>
    </row>
    <row r="6090" spans="1:25">
      <c r="A6090" t="s">
        <v>24778</v>
      </c>
      <c r="B6090" t="s">
        <v>24779</v>
      </c>
      <c r="D6090" t="s">
        <v>9473</v>
      </c>
      <c r="E6090" t="s">
        <v>9474</v>
      </c>
      <c r="J6090" t="s">
        <v>44</v>
      </c>
      <c r="K6090" t="s">
        <v>45</v>
      </c>
      <c r="L6090">
        <v>6</v>
      </c>
      <c r="M6090" t="s">
        <v>24770</v>
      </c>
      <c r="N6090" t="s">
        <v>47</v>
      </c>
      <c r="O6090" t="s">
        <v>9477</v>
      </c>
      <c r="P6090" t="s">
        <v>9477</v>
      </c>
      <c r="Y6090" t="s">
        <v>24780</v>
      </c>
    </row>
    <row r="6091" spans="1:25">
      <c r="A6091" t="s">
        <v>24781</v>
      </c>
      <c r="B6091" t="s">
        <v>24782</v>
      </c>
      <c r="D6091" t="s">
        <v>9473</v>
      </c>
      <c r="E6091" t="s">
        <v>9474</v>
      </c>
      <c r="J6091" t="s">
        <v>54</v>
      </c>
      <c r="K6091" t="s">
        <v>55</v>
      </c>
      <c r="L6091">
        <v>6</v>
      </c>
      <c r="M6091" t="s">
        <v>24783</v>
      </c>
      <c r="N6091" t="s">
        <v>47</v>
      </c>
      <c r="O6091" t="s">
        <v>9477</v>
      </c>
      <c r="P6091" t="s">
        <v>9477</v>
      </c>
      <c r="Y6091" t="s">
        <v>24784</v>
      </c>
    </row>
    <row r="6092" spans="1:25">
      <c r="A6092" t="s">
        <v>24785</v>
      </c>
      <c r="B6092" t="s">
        <v>24786</v>
      </c>
      <c r="D6092" t="s">
        <v>9473</v>
      </c>
      <c r="E6092" t="s">
        <v>9474</v>
      </c>
      <c r="J6092" t="s">
        <v>90</v>
      </c>
      <c r="K6092" t="s">
        <v>91</v>
      </c>
      <c r="L6092">
        <v>6</v>
      </c>
      <c r="M6092" t="s">
        <v>24787</v>
      </c>
      <c r="N6092" t="s">
        <v>47</v>
      </c>
      <c r="O6092" t="s">
        <v>9477</v>
      </c>
      <c r="P6092" t="s">
        <v>9477</v>
      </c>
      <c r="Y6092" t="s">
        <v>24788</v>
      </c>
    </row>
    <row r="6093" spans="1:25">
      <c r="A6093" t="s">
        <v>24789</v>
      </c>
      <c r="B6093" t="s">
        <v>24790</v>
      </c>
      <c r="D6093" t="s">
        <v>9473</v>
      </c>
      <c r="E6093" t="s">
        <v>9474</v>
      </c>
      <c r="J6093" t="s">
        <v>54</v>
      </c>
      <c r="K6093" t="s">
        <v>55</v>
      </c>
      <c r="L6093">
        <v>6</v>
      </c>
      <c r="M6093" t="s">
        <v>24787</v>
      </c>
      <c r="N6093" t="s">
        <v>47</v>
      </c>
      <c r="O6093" t="s">
        <v>9477</v>
      </c>
      <c r="P6093" t="s">
        <v>9477</v>
      </c>
      <c r="Y6093" t="s">
        <v>24791</v>
      </c>
    </row>
    <row r="6094" spans="1:25">
      <c r="A6094" t="s">
        <v>24792</v>
      </c>
      <c r="B6094" t="s">
        <v>24793</v>
      </c>
      <c r="D6094" t="s">
        <v>9473</v>
      </c>
      <c r="E6094" t="s">
        <v>9474</v>
      </c>
      <c r="J6094" t="s">
        <v>133</v>
      </c>
      <c r="K6094" t="s">
        <v>134</v>
      </c>
      <c r="L6094">
        <v>6</v>
      </c>
      <c r="M6094" t="s">
        <v>24787</v>
      </c>
      <c r="N6094" t="s">
        <v>135</v>
      </c>
      <c r="O6094" t="s">
        <v>9477</v>
      </c>
      <c r="P6094" t="s">
        <v>9477</v>
      </c>
      <c r="Y6094" t="s">
        <v>24794</v>
      </c>
    </row>
    <row r="6095" spans="1:25">
      <c r="A6095" t="s">
        <v>24795</v>
      </c>
      <c r="B6095" t="s">
        <v>24796</v>
      </c>
      <c r="D6095" t="s">
        <v>9473</v>
      </c>
      <c r="E6095" t="s">
        <v>9474</v>
      </c>
      <c r="J6095" t="s">
        <v>78</v>
      </c>
      <c r="K6095" t="s">
        <v>79</v>
      </c>
      <c r="L6095">
        <v>6</v>
      </c>
      <c r="M6095" t="s">
        <v>24787</v>
      </c>
      <c r="N6095" t="s">
        <v>47</v>
      </c>
      <c r="O6095" t="s">
        <v>9477</v>
      </c>
      <c r="P6095" t="s">
        <v>9477</v>
      </c>
      <c r="Y6095" t="s">
        <v>24797</v>
      </c>
    </row>
    <row r="6096" spans="1:25">
      <c r="A6096" t="s">
        <v>24798</v>
      </c>
      <c r="B6096" t="s">
        <v>24799</v>
      </c>
      <c r="D6096" t="s">
        <v>9473</v>
      </c>
      <c r="E6096" t="s">
        <v>9474</v>
      </c>
      <c r="H6096" t="s">
        <v>24800</v>
      </c>
      <c r="J6096" t="s">
        <v>44</v>
      </c>
      <c r="K6096" t="s">
        <v>45</v>
      </c>
      <c r="L6096">
        <v>6</v>
      </c>
      <c r="M6096" t="s">
        <v>24801</v>
      </c>
      <c r="N6096" t="s">
        <v>47</v>
      </c>
      <c r="O6096" t="s">
        <v>9477</v>
      </c>
      <c r="P6096" t="s">
        <v>9477</v>
      </c>
      <c r="Y6096" t="s">
        <v>24800</v>
      </c>
    </row>
    <row r="6097" spans="1:25">
      <c r="A6097" t="s">
        <v>24802</v>
      </c>
      <c r="B6097" t="s">
        <v>24803</v>
      </c>
      <c r="D6097" t="s">
        <v>9473</v>
      </c>
      <c r="E6097" t="s">
        <v>9474</v>
      </c>
      <c r="J6097" t="s">
        <v>133</v>
      </c>
      <c r="K6097" t="s">
        <v>134</v>
      </c>
      <c r="L6097">
        <v>6</v>
      </c>
      <c r="M6097" t="s">
        <v>24804</v>
      </c>
      <c r="N6097" t="s">
        <v>135</v>
      </c>
      <c r="O6097" t="s">
        <v>9477</v>
      </c>
      <c r="P6097" t="s">
        <v>9477</v>
      </c>
      <c r="Y6097" t="s">
        <v>24805</v>
      </c>
    </row>
    <row r="6098" spans="1:25">
      <c r="A6098" t="s">
        <v>24806</v>
      </c>
      <c r="B6098" t="s">
        <v>24807</v>
      </c>
      <c r="D6098" t="s">
        <v>9473</v>
      </c>
      <c r="E6098" t="s">
        <v>9474</v>
      </c>
      <c r="J6098" t="s">
        <v>44</v>
      </c>
      <c r="K6098" t="s">
        <v>45</v>
      </c>
      <c r="L6098">
        <v>6</v>
      </c>
      <c r="M6098" t="s">
        <v>24808</v>
      </c>
      <c r="N6098" t="s">
        <v>47</v>
      </c>
      <c r="O6098" t="s">
        <v>9477</v>
      </c>
      <c r="P6098" t="s">
        <v>9477</v>
      </c>
      <c r="Y6098" t="s">
        <v>24809</v>
      </c>
    </row>
    <row r="6099" spans="1:25">
      <c r="A6099" t="s">
        <v>24810</v>
      </c>
      <c r="B6099" t="s">
        <v>24811</v>
      </c>
      <c r="D6099" t="s">
        <v>9473</v>
      </c>
      <c r="E6099" t="s">
        <v>9474</v>
      </c>
      <c r="J6099" t="s">
        <v>44</v>
      </c>
      <c r="K6099" t="s">
        <v>45</v>
      </c>
      <c r="L6099">
        <v>6</v>
      </c>
      <c r="M6099" t="s">
        <v>24812</v>
      </c>
      <c r="N6099" t="s">
        <v>47</v>
      </c>
      <c r="O6099" t="s">
        <v>9477</v>
      </c>
      <c r="P6099" t="s">
        <v>9477</v>
      </c>
      <c r="Y6099" t="s">
        <v>24813</v>
      </c>
    </row>
    <row r="6100" spans="1:25">
      <c r="A6100" t="s">
        <v>24814</v>
      </c>
      <c r="B6100" t="s">
        <v>24815</v>
      </c>
      <c r="D6100" t="s">
        <v>9473</v>
      </c>
      <c r="E6100" t="s">
        <v>9474</v>
      </c>
      <c r="J6100" t="s">
        <v>90</v>
      </c>
      <c r="K6100" t="s">
        <v>91</v>
      </c>
      <c r="L6100">
        <v>6</v>
      </c>
      <c r="M6100" t="s">
        <v>24816</v>
      </c>
      <c r="N6100" t="s">
        <v>47</v>
      </c>
      <c r="O6100" t="s">
        <v>9477</v>
      </c>
      <c r="P6100" t="s">
        <v>9477</v>
      </c>
      <c r="Y6100" t="s">
        <v>24817</v>
      </c>
    </row>
    <row r="6101" spans="1:25">
      <c r="A6101" t="s">
        <v>24818</v>
      </c>
      <c r="B6101" t="s">
        <v>24819</v>
      </c>
      <c r="D6101" t="s">
        <v>9473</v>
      </c>
      <c r="E6101" t="s">
        <v>9474</v>
      </c>
      <c r="J6101" t="s">
        <v>90</v>
      </c>
      <c r="K6101" t="s">
        <v>91</v>
      </c>
      <c r="L6101">
        <v>6</v>
      </c>
      <c r="M6101" t="s">
        <v>24820</v>
      </c>
      <c r="N6101" t="s">
        <v>47</v>
      </c>
      <c r="O6101" t="s">
        <v>9477</v>
      </c>
      <c r="P6101" t="s">
        <v>9477</v>
      </c>
      <c r="Y6101" t="s">
        <v>24821</v>
      </c>
    </row>
    <row r="6102" spans="1:25">
      <c r="A6102" t="s">
        <v>24822</v>
      </c>
      <c r="B6102" t="s">
        <v>24823</v>
      </c>
      <c r="D6102" t="s">
        <v>9473</v>
      </c>
      <c r="E6102" t="s">
        <v>9474</v>
      </c>
      <c r="H6102" t="s">
        <v>24824</v>
      </c>
      <c r="J6102" t="s">
        <v>90</v>
      </c>
      <c r="K6102" t="s">
        <v>91</v>
      </c>
      <c r="L6102">
        <v>6</v>
      </c>
      <c r="M6102" t="s">
        <v>24820</v>
      </c>
      <c r="N6102" t="s">
        <v>47</v>
      </c>
      <c r="O6102" t="s">
        <v>9477</v>
      </c>
      <c r="P6102" t="s">
        <v>9477</v>
      </c>
      <c r="Y6102" t="s">
        <v>24824</v>
      </c>
    </row>
    <row r="6103" spans="1:25">
      <c r="A6103" t="s">
        <v>24825</v>
      </c>
      <c r="B6103" t="s">
        <v>24826</v>
      </c>
      <c r="D6103" t="s">
        <v>9473</v>
      </c>
      <c r="E6103" t="s">
        <v>9474</v>
      </c>
      <c r="J6103" t="s">
        <v>54</v>
      </c>
      <c r="K6103" t="s">
        <v>55</v>
      </c>
      <c r="L6103">
        <v>6</v>
      </c>
      <c r="M6103" t="s">
        <v>24827</v>
      </c>
      <c r="N6103" t="s">
        <v>47</v>
      </c>
      <c r="O6103" t="s">
        <v>9477</v>
      </c>
      <c r="P6103" t="s">
        <v>9477</v>
      </c>
      <c r="Y6103" t="s">
        <v>24828</v>
      </c>
    </row>
    <row r="6104" spans="1:25">
      <c r="A6104" t="s">
        <v>24829</v>
      </c>
      <c r="B6104" t="s">
        <v>24830</v>
      </c>
      <c r="D6104" t="s">
        <v>9473</v>
      </c>
      <c r="E6104" t="s">
        <v>9474</v>
      </c>
      <c r="J6104" t="s">
        <v>44</v>
      </c>
      <c r="K6104" t="s">
        <v>45</v>
      </c>
      <c r="L6104">
        <v>6</v>
      </c>
      <c r="M6104" t="s">
        <v>24827</v>
      </c>
      <c r="N6104" t="s">
        <v>47</v>
      </c>
      <c r="O6104" t="s">
        <v>9477</v>
      </c>
      <c r="P6104" t="s">
        <v>9477</v>
      </c>
      <c r="Y6104" t="s">
        <v>24831</v>
      </c>
    </row>
    <row r="6105" spans="1:25">
      <c r="A6105" t="s">
        <v>24832</v>
      </c>
      <c r="B6105" t="s">
        <v>24833</v>
      </c>
      <c r="D6105" t="s">
        <v>9473</v>
      </c>
      <c r="E6105" t="s">
        <v>9474</v>
      </c>
      <c r="J6105" t="s">
        <v>54</v>
      </c>
      <c r="K6105" t="s">
        <v>55</v>
      </c>
      <c r="L6105">
        <v>6</v>
      </c>
      <c r="M6105" t="s">
        <v>24834</v>
      </c>
      <c r="N6105" t="s">
        <v>47</v>
      </c>
      <c r="O6105" t="s">
        <v>9477</v>
      </c>
      <c r="P6105" t="s">
        <v>9477</v>
      </c>
      <c r="Y6105" t="s">
        <v>24835</v>
      </c>
    </row>
    <row r="6106" spans="1:25">
      <c r="A6106" t="s">
        <v>24836</v>
      </c>
      <c r="B6106" t="s">
        <v>24837</v>
      </c>
      <c r="D6106" t="s">
        <v>9473</v>
      </c>
      <c r="E6106" t="s">
        <v>9474</v>
      </c>
      <c r="J6106" t="s">
        <v>90</v>
      </c>
      <c r="K6106" t="s">
        <v>91</v>
      </c>
      <c r="L6106">
        <v>6</v>
      </c>
      <c r="M6106" t="s">
        <v>24838</v>
      </c>
      <c r="N6106" t="s">
        <v>47</v>
      </c>
      <c r="O6106" t="s">
        <v>9477</v>
      </c>
      <c r="P6106" t="s">
        <v>9477</v>
      </c>
      <c r="Y6106" t="s">
        <v>24839</v>
      </c>
    </row>
    <row r="6107" spans="1:25">
      <c r="A6107" t="s">
        <v>24840</v>
      </c>
      <c r="B6107" t="s">
        <v>24841</v>
      </c>
      <c r="D6107" t="s">
        <v>9473</v>
      </c>
      <c r="E6107" t="s">
        <v>9474</v>
      </c>
      <c r="J6107" t="s">
        <v>90</v>
      </c>
      <c r="K6107" t="s">
        <v>91</v>
      </c>
      <c r="L6107">
        <v>6</v>
      </c>
      <c r="M6107" t="s">
        <v>24838</v>
      </c>
      <c r="N6107" t="s">
        <v>47</v>
      </c>
      <c r="O6107" t="s">
        <v>9477</v>
      </c>
      <c r="P6107" t="s">
        <v>9477</v>
      </c>
      <c r="Y6107" t="s">
        <v>24842</v>
      </c>
    </row>
    <row r="6108" spans="1:25">
      <c r="A6108" t="s">
        <v>24843</v>
      </c>
      <c r="B6108" t="s">
        <v>24844</v>
      </c>
      <c r="D6108" t="s">
        <v>9473</v>
      </c>
      <c r="E6108" t="s">
        <v>9474</v>
      </c>
      <c r="J6108" t="s">
        <v>90</v>
      </c>
      <c r="K6108" t="s">
        <v>91</v>
      </c>
      <c r="L6108">
        <v>6</v>
      </c>
      <c r="M6108" t="s">
        <v>24845</v>
      </c>
      <c r="N6108" t="s">
        <v>47</v>
      </c>
      <c r="O6108" t="s">
        <v>9477</v>
      </c>
      <c r="P6108" t="s">
        <v>9477</v>
      </c>
      <c r="Y6108" t="s">
        <v>24846</v>
      </c>
    </row>
    <row r="6109" spans="1:25">
      <c r="A6109" t="s">
        <v>24847</v>
      </c>
      <c r="B6109" t="s">
        <v>24848</v>
      </c>
      <c r="D6109" t="s">
        <v>9473</v>
      </c>
      <c r="E6109" t="s">
        <v>9474</v>
      </c>
      <c r="J6109" t="s">
        <v>353</v>
      </c>
      <c r="K6109" t="s">
        <v>354</v>
      </c>
      <c r="L6109">
        <v>6</v>
      </c>
      <c r="M6109" t="s">
        <v>24849</v>
      </c>
      <c r="N6109" t="s">
        <v>290</v>
      </c>
      <c r="O6109" t="s">
        <v>9477</v>
      </c>
      <c r="P6109" t="s">
        <v>9477</v>
      </c>
      <c r="Y6109" t="s">
        <v>24850</v>
      </c>
    </row>
    <row r="6110" spans="1:25">
      <c r="A6110" t="s">
        <v>24851</v>
      </c>
      <c r="B6110" t="s">
        <v>24852</v>
      </c>
      <c r="D6110" t="s">
        <v>9473</v>
      </c>
      <c r="E6110" t="s">
        <v>9474</v>
      </c>
      <c r="H6110" t="s">
        <v>24853</v>
      </c>
      <c r="J6110" t="s">
        <v>44</v>
      </c>
      <c r="K6110" t="s">
        <v>45</v>
      </c>
      <c r="L6110">
        <v>6</v>
      </c>
      <c r="M6110" t="s">
        <v>24854</v>
      </c>
      <c r="N6110" t="s">
        <v>47</v>
      </c>
      <c r="O6110" t="s">
        <v>9477</v>
      </c>
      <c r="P6110" t="s">
        <v>9477</v>
      </c>
      <c r="Y6110" t="s">
        <v>24853</v>
      </c>
    </row>
    <row r="6111" spans="1:25">
      <c r="A6111" t="s">
        <v>24855</v>
      </c>
      <c r="B6111" t="s">
        <v>24856</v>
      </c>
      <c r="D6111" t="s">
        <v>9473</v>
      </c>
      <c r="E6111" t="s">
        <v>9474</v>
      </c>
      <c r="J6111" t="s">
        <v>90</v>
      </c>
      <c r="K6111" t="s">
        <v>91</v>
      </c>
      <c r="L6111">
        <v>6</v>
      </c>
      <c r="M6111" t="s">
        <v>24854</v>
      </c>
      <c r="N6111" t="s">
        <v>47</v>
      </c>
      <c r="O6111" t="s">
        <v>9477</v>
      </c>
      <c r="P6111" t="s">
        <v>9477</v>
      </c>
      <c r="Y6111" t="s">
        <v>24857</v>
      </c>
    </row>
    <row r="6112" spans="1:25">
      <c r="A6112" t="s">
        <v>24858</v>
      </c>
      <c r="B6112" t="s">
        <v>24859</v>
      </c>
      <c r="D6112" t="s">
        <v>9473</v>
      </c>
      <c r="E6112" t="s">
        <v>9474</v>
      </c>
      <c r="J6112" t="s">
        <v>90</v>
      </c>
      <c r="K6112" t="s">
        <v>91</v>
      </c>
      <c r="L6112">
        <v>6</v>
      </c>
      <c r="M6112" t="s">
        <v>24860</v>
      </c>
      <c r="N6112" t="s">
        <v>47</v>
      </c>
      <c r="O6112" t="s">
        <v>9477</v>
      </c>
      <c r="P6112" t="s">
        <v>9477</v>
      </c>
      <c r="Y6112" t="s">
        <v>24861</v>
      </c>
    </row>
    <row r="6113" spans="1:25">
      <c r="A6113" t="s">
        <v>24862</v>
      </c>
      <c r="B6113" t="s">
        <v>24863</v>
      </c>
      <c r="D6113" t="s">
        <v>9473</v>
      </c>
      <c r="E6113" t="s">
        <v>9474</v>
      </c>
      <c r="J6113" t="s">
        <v>133</v>
      </c>
      <c r="K6113" t="s">
        <v>134</v>
      </c>
      <c r="L6113">
        <v>6</v>
      </c>
      <c r="M6113" t="s">
        <v>24864</v>
      </c>
      <c r="N6113" t="s">
        <v>135</v>
      </c>
      <c r="O6113" t="s">
        <v>9477</v>
      </c>
      <c r="P6113" t="s">
        <v>9477</v>
      </c>
      <c r="Y6113" t="s">
        <v>24865</v>
      </c>
    </row>
    <row r="6114" spans="1:25">
      <c r="A6114" t="s">
        <v>24866</v>
      </c>
      <c r="B6114" t="s">
        <v>24867</v>
      </c>
      <c r="D6114" t="s">
        <v>9473</v>
      </c>
      <c r="E6114" t="s">
        <v>9474</v>
      </c>
      <c r="J6114" t="s">
        <v>44</v>
      </c>
      <c r="K6114" t="s">
        <v>45</v>
      </c>
      <c r="L6114">
        <v>6</v>
      </c>
      <c r="M6114" t="s">
        <v>24868</v>
      </c>
      <c r="N6114" t="s">
        <v>47</v>
      </c>
      <c r="O6114" t="s">
        <v>9477</v>
      </c>
      <c r="P6114" t="s">
        <v>9477</v>
      </c>
      <c r="Y6114" t="s">
        <v>24869</v>
      </c>
    </row>
    <row r="6115" spans="1:25">
      <c r="A6115" t="s">
        <v>24870</v>
      </c>
      <c r="B6115" t="s">
        <v>24871</v>
      </c>
      <c r="D6115" t="s">
        <v>9473</v>
      </c>
      <c r="E6115" t="s">
        <v>9474</v>
      </c>
      <c r="J6115" t="s">
        <v>90</v>
      </c>
      <c r="K6115" t="s">
        <v>91</v>
      </c>
      <c r="L6115">
        <v>6</v>
      </c>
      <c r="M6115" t="s">
        <v>24872</v>
      </c>
      <c r="N6115" t="s">
        <v>47</v>
      </c>
      <c r="O6115" t="s">
        <v>9477</v>
      </c>
      <c r="P6115" t="s">
        <v>9477</v>
      </c>
      <c r="Y6115" t="s">
        <v>24873</v>
      </c>
    </row>
    <row r="6116" spans="1:25">
      <c r="A6116" t="s">
        <v>24874</v>
      </c>
      <c r="B6116" t="s">
        <v>24875</v>
      </c>
      <c r="D6116" t="s">
        <v>9473</v>
      </c>
      <c r="E6116" t="s">
        <v>9474</v>
      </c>
      <c r="H6116" t="s">
        <v>24876</v>
      </c>
      <c r="J6116" t="s">
        <v>90</v>
      </c>
      <c r="K6116" t="s">
        <v>91</v>
      </c>
      <c r="L6116">
        <v>6</v>
      </c>
      <c r="M6116" t="s">
        <v>24877</v>
      </c>
      <c r="N6116" t="s">
        <v>47</v>
      </c>
      <c r="O6116" t="s">
        <v>9477</v>
      </c>
      <c r="P6116" t="s">
        <v>9477</v>
      </c>
      <c r="Y6116" t="s">
        <v>24876</v>
      </c>
    </row>
    <row r="6117" spans="1:25">
      <c r="A6117" t="s">
        <v>24878</v>
      </c>
      <c r="B6117" t="s">
        <v>24879</v>
      </c>
      <c r="D6117" t="s">
        <v>9473</v>
      </c>
      <c r="E6117" t="s">
        <v>9474</v>
      </c>
      <c r="J6117" t="s">
        <v>90</v>
      </c>
      <c r="K6117" t="s">
        <v>91</v>
      </c>
      <c r="L6117">
        <v>6</v>
      </c>
      <c r="M6117" t="s">
        <v>24880</v>
      </c>
      <c r="N6117" t="s">
        <v>47</v>
      </c>
      <c r="O6117" t="s">
        <v>9477</v>
      </c>
      <c r="P6117" t="s">
        <v>9477</v>
      </c>
      <c r="Y6117" t="s">
        <v>24881</v>
      </c>
    </row>
    <row r="6118" spans="1:25">
      <c r="A6118" t="s">
        <v>24882</v>
      </c>
      <c r="B6118" t="s">
        <v>24883</v>
      </c>
      <c r="D6118" t="s">
        <v>9473</v>
      </c>
      <c r="E6118" t="s">
        <v>9474</v>
      </c>
      <c r="J6118" t="s">
        <v>54</v>
      </c>
      <c r="K6118" t="s">
        <v>55</v>
      </c>
      <c r="L6118">
        <v>6</v>
      </c>
      <c r="M6118" t="s">
        <v>24880</v>
      </c>
      <c r="N6118" t="s">
        <v>47</v>
      </c>
      <c r="O6118" t="s">
        <v>9477</v>
      </c>
      <c r="P6118" t="s">
        <v>9477</v>
      </c>
      <c r="Y6118" t="s">
        <v>24884</v>
      </c>
    </row>
    <row r="6119" spans="1:25">
      <c r="A6119" t="s">
        <v>24885</v>
      </c>
      <c r="B6119" t="s">
        <v>24886</v>
      </c>
      <c r="D6119" t="s">
        <v>9473</v>
      </c>
      <c r="E6119" t="s">
        <v>9474</v>
      </c>
      <c r="J6119" t="s">
        <v>54</v>
      </c>
      <c r="K6119" t="s">
        <v>55</v>
      </c>
      <c r="L6119">
        <v>6</v>
      </c>
      <c r="M6119" t="s">
        <v>24880</v>
      </c>
      <c r="N6119" t="s">
        <v>47</v>
      </c>
      <c r="O6119" t="s">
        <v>9477</v>
      </c>
      <c r="P6119" t="s">
        <v>9477</v>
      </c>
      <c r="Y6119" t="s">
        <v>24887</v>
      </c>
    </row>
    <row r="6120" spans="1:25">
      <c r="A6120" t="s">
        <v>24888</v>
      </c>
      <c r="B6120" t="s">
        <v>24889</v>
      </c>
      <c r="D6120" t="s">
        <v>9473</v>
      </c>
      <c r="E6120" t="s">
        <v>9474</v>
      </c>
      <c r="J6120" t="s">
        <v>54</v>
      </c>
      <c r="K6120" t="s">
        <v>55</v>
      </c>
      <c r="L6120">
        <v>6</v>
      </c>
      <c r="M6120" t="s">
        <v>24890</v>
      </c>
      <c r="N6120" t="s">
        <v>47</v>
      </c>
      <c r="O6120" t="s">
        <v>9477</v>
      </c>
      <c r="P6120" t="s">
        <v>9477</v>
      </c>
      <c r="Y6120" t="s">
        <v>24891</v>
      </c>
    </row>
    <row r="6121" spans="1:25">
      <c r="A6121" t="s">
        <v>24892</v>
      </c>
      <c r="B6121" t="s">
        <v>24893</v>
      </c>
      <c r="D6121" t="s">
        <v>9473</v>
      </c>
      <c r="E6121" t="s">
        <v>9474</v>
      </c>
      <c r="H6121" t="s">
        <v>24894</v>
      </c>
      <c r="J6121" t="s">
        <v>90</v>
      </c>
      <c r="K6121" t="s">
        <v>91</v>
      </c>
      <c r="L6121">
        <v>6</v>
      </c>
      <c r="M6121" t="s">
        <v>24890</v>
      </c>
      <c r="N6121" t="s">
        <v>47</v>
      </c>
      <c r="O6121" t="s">
        <v>9477</v>
      </c>
      <c r="P6121" t="s">
        <v>9477</v>
      </c>
      <c r="Y6121" t="s">
        <v>24894</v>
      </c>
    </row>
    <row r="6122" spans="1:25">
      <c r="A6122" t="s">
        <v>24895</v>
      </c>
      <c r="B6122" t="s">
        <v>24896</v>
      </c>
      <c r="D6122" t="s">
        <v>9473</v>
      </c>
      <c r="E6122" t="s">
        <v>9474</v>
      </c>
      <c r="J6122" t="s">
        <v>90</v>
      </c>
      <c r="K6122" t="s">
        <v>91</v>
      </c>
      <c r="L6122">
        <v>6</v>
      </c>
      <c r="M6122" t="s">
        <v>24897</v>
      </c>
      <c r="N6122" t="s">
        <v>47</v>
      </c>
      <c r="O6122" t="s">
        <v>9477</v>
      </c>
      <c r="P6122" t="s">
        <v>9477</v>
      </c>
      <c r="Y6122" t="s">
        <v>24898</v>
      </c>
    </row>
    <row r="6123" spans="1:25">
      <c r="A6123" t="s">
        <v>24899</v>
      </c>
      <c r="B6123" t="s">
        <v>24900</v>
      </c>
      <c r="D6123" t="s">
        <v>9473</v>
      </c>
      <c r="E6123" t="s">
        <v>9474</v>
      </c>
      <c r="J6123" t="s">
        <v>44</v>
      </c>
      <c r="K6123" t="s">
        <v>45</v>
      </c>
      <c r="L6123">
        <v>6</v>
      </c>
      <c r="M6123" t="s">
        <v>24897</v>
      </c>
      <c r="N6123" t="s">
        <v>47</v>
      </c>
      <c r="O6123" t="s">
        <v>9477</v>
      </c>
      <c r="P6123" t="s">
        <v>9477</v>
      </c>
      <c r="Y6123" t="s">
        <v>24901</v>
      </c>
    </row>
    <row r="6124" spans="1:25">
      <c r="A6124" t="s">
        <v>24902</v>
      </c>
      <c r="B6124" t="s">
        <v>24903</v>
      </c>
      <c r="D6124" t="s">
        <v>9473</v>
      </c>
      <c r="E6124" t="s">
        <v>9474</v>
      </c>
      <c r="J6124" t="s">
        <v>133</v>
      </c>
      <c r="K6124" t="s">
        <v>134</v>
      </c>
      <c r="L6124">
        <v>6</v>
      </c>
      <c r="M6124" t="s">
        <v>24897</v>
      </c>
      <c r="N6124" t="s">
        <v>135</v>
      </c>
      <c r="O6124" t="s">
        <v>9477</v>
      </c>
      <c r="P6124" t="s">
        <v>9477</v>
      </c>
      <c r="Y6124" t="s">
        <v>24904</v>
      </c>
    </row>
    <row r="6125" spans="1:25">
      <c r="A6125" t="s">
        <v>24905</v>
      </c>
      <c r="B6125" t="s">
        <v>24906</v>
      </c>
      <c r="D6125" t="s">
        <v>9473</v>
      </c>
      <c r="E6125" t="s">
        <v>9474</v>
      </c>
      <c r="H6125" t="s">
        <v>24907</v>
      </c>
      <c r="J6125" t="s">
        <v>44</v>
      </c>
      <c r="K6125" t="s">
        <v>45</v>
      </c>
      <c r="L6125">
        <v>6</v>
      </c>
      <c r="M6125" t="s">
        <v>24897</v>
      </c>
      <c r="N6125" t="s">
        <v>47</v>
      </c>
      <c r="O6125" t="s">
        <v>9477</v>
      </c>
      <c r="P6125" t="s">
        <v>9477</v>
      </c>
      <c r="Y6125" t="s">
        <v>24907</v>
      </c>
    </row>
    <row r="6126" spans="1:25">
      <c r="A6126" t="s">
        <v>24908</v>
      </c>
      <c r="B6126" t="s">
        <v>24909</v>
      </c>
      <c r="D6126" t="s">
        <v>9473</v>
      </c>
      <c r="E6126" t="s">
        <v>9474</v>
      </c>
      <c r="J6126" t="s">
        <v>54</v>
      </c>
      <c r="K6126" t="s">
        <v>55</v>
      </c>
      <c r="L6126">
        <v>6</v>
      </c>
      <c r="M6126" t="s">
        <v>24910</v>
      </c>
      <c r="N6126" t="s">
        <v>47</v>
      </c>
      <c r="O6126" t="s">
        <v>9477</v>
      </c>
      <c r="P6126" t="s">
        <v>9477</v>
      </c>
      <c r="Y6126" t="s">
        <v>24911</v>
      </c>
    </row>
    <row r="6127" spans="1:25">
      <c r="A6127" t="s">
        <v>24912</v>
      </c>
      <c r="B6127" t="s">
        <v>24913</v>
      </c>
      <c r="D6127" t="s">
        <v>9473</v>
      </c>
      <c r="E6127" t="s">
        <v>9474</v>
      </c>
      <c r="J6127" t="s">
        <v>54</v>
      </c>
      <c r="K6127" t="s">
        <v>55</v>
      </c>
      <c r="L6127">
        <v>6</v>
      </c>
      <c r="M6127" t="s">
        <v>24914</v>
      </c>
      <c r="N6127" t="s">
        <v>47</v>
      </c>
      <c r="O6127" t="s">
        <v>9477</v>
      </c>
      <c r="P6127" t="s">
        <v>9477</v>
      </c>
      <c r="Y6127" t="s">
        <v>24915</v>
      </c>
    </row>
    <row r="6128" spans="1:25">
      <c r="A6128" t="s">
        <v>24916</v>
      </c>
      <c r="B6128" t="s">
        <v>24917</v>
      </c>
      <c r="D6128" t="s">
        <v>9473</v>
      </c>
      <c r="E6128" t="s">
        <v>9474</v>
      </c>
      <c r="H6128" t="s">
        <v>24918</v>
      </c>
      <c r="J6128" t="s">
        <v>78</v>
      </c>
      <c r="K6128" t="s">
        <v>79</v>
      </c>
      <c r="L6128">
        <v>6</v>
      </c>
      <c r="M6128" t="s">
        <v>24914</v>
      </c>
      <c r="N6128" t="s">
        <v>47</v>
      </c>
      <c r="O6128" t="s">
        <v>9477</v>
      </c>
      <c r="P6128" t="s">
        <v>9477</v>
      </c>
      <c r="Y6128" t="s">
        <v>24918</v>
      </c>
    </row>
    <row r="6129" spans="1:25">
      <c r="A6129" t="s">
        <v>24919</v>
      </c>
      <c r="B6129" t="s">
        <v>24920</v>
      </c>
      <c r="D6129" t="s">
        <v>9473</v>
      </c>
      <c r="E6129" t="s">
        <v>9474</v>
      </c>
      <c r="J6129" t="s">
        <v>90</v>
      </c>
      <c r="K6129" t="s">
        <v>91</v>
      </c>
      <c r="L6129">
        <v>6</v>
      </c>
      <c r="M6129" t="s">
        <v>24921</v>
      </c>
      <c r="N6129" t="s">
        <v>47</v>
      </c>
      <c r="O6129" t="s">
        <v>9477</v>
      </c>
      <c r="P6129" t="s">
        <v>9477</v>
      </c>
      <c r="Y6129" t="s">
        <v>24922</v>
      </c>
    </row>
    <row r="6130" spans="1:25">
      <c r="A6130" t="s">
        <v>24923</v>
      </c>
      <c r="B6130" t="s">
        <v>24924</v>
      </c>
      <c r="D6130" t="s">
        <v>9473</v>
      </c>
      <c r="E6130" t="s">
        <v>9474</v>
      </c>
      <c r="J6130" t="s">
        <v>54</v>
      </c>
      <c r="K6130" t="s">
        <v>55</v>
      </c>
      <c r="L6130">
        <v>6</v>
      </c>
      <c r="M6130" t="s">
        <v>24921</v>
      </c>
      <c r="N6130" t="s">
        <v>47</v>
      </c>
      <c r="O6130" t="s">
        <v>9477</v>
      </c>
      <c r="P6130" t="s">
        <v>9477</v>
      </c>
      <c r="Y6130" t="s">
        <v>24925</v>
      </c>
    </row>
    <row r="6131" spans="1:25">
      <c r="A6131" t="s">
        <v>24926</v>
      </c>
      <c r="B6131" t="s">
        <v>24927</v>
      </c>
      <c r="D6131" t="s">
        <v>9473</v>
      </c>
      <c r="E6131" t="s">
        <v>9474</v>
      </c>
      <c r="H6131" t="s">
        <v>24928</v>
      </c>
      <c r="J6131" t="s">
        <v>54</v>
      </c>
      <c r="K6131" t="s">
        <v>55</v>
      </c>
      <c r="L6131">
        <v>6</v>
      </c>
      <c r="M6131" t="s">
        <v>24929</v>
      </c>
      <c r="N6131" t="s">
        <v>47</v>
      </c>
      <c r="O6131" t="s">
        <v>9477</v>
      </c>
      <c r="P6131" t="s">
        <v>9477</v>
      </c>
      <c r="Y6131" t="s">
        <v>24928</v>
      </c>
    </row>
    <row r="6132" spans="1:25">
      <c r="A6132" t="s">
        <v>24930</v>
      </c>
      <c r="B6132" t="s">
        <v>24931</v>
      </c>
      <c r="D6132" t="s">
        <v>9473</v>
      </c>
      <c r="E6132" t="s">
        <v>9474</v>
      </c>
      <c r="J6132" t="s">
        <v>353</v>
      </c>
      <c r="K6132" t="s">
        <v>354</v>
      </c>
      <c r="L6132">
        <v>6</v>
      </c>
      <c r="M6132" t="s">
        <v>24932</v>
      </c>
      <c r="N6132" t="s">
        <v>135</v>
      </c>
      <c r="O6132" t="s">
        <v>9477</v>
      </c>
      <c r="P6132" t="s">
        <v>9477</v>
      </c>
      <c r="Y6132" t="s">
        <v>24933</v>
      </c>
    </row>
    <row r="6133" spans="1:25">
      <c r="A6133" t="s">
        <v>24934</v>
      </c>
      <c r="B6133" t="s">
        <v>24935</v>
      </c>
      <c r="D6133" t="s">
        <v>9473</v>
      </c>
      <c r="E6133" t="s">
        <v>9474</v>
      </c>
      <c r="J6133" t="s">
        <v>54</v>
      </c>
      <c r="K6133" t="s">
        <v>55</v>
      </c>
      <c r="L6133">
        <v>6</v>
      </c>
      <c r="M6133" t="s">
        <v>24936</v>
      </c>
      <c r="N6133" t="s">
        <v>47</v>
      </c>
      <c r="O6133" t="s">
        <v>9477</v>
      </c>
      <c r="P6133" t="s">
        <v>9477</v>
      </c>
      <c r="Y6133" t="s">
        <v>24937</v>
      </c>
    </row>
    <row r="6134" spans="1:25">
      <c r="A6134" t="s">
        <v>24938</v>
      </c>
      <c r="B6134" t="s">
        <v>24939</v>
      </c>
      <c r="D6134" t="s">
        <v>9473</v>
      </c>
      <c r="E6134" t="s">
        <v>9474</v>
      </c>
      <c r="J6134" t="s">
        <v>90</v>
      </c>
      <c r="K6134" t="s">
        <v>91</v>
      </c>
      <c r="L6134">
        <v>6</v>
      </c>
      <c r="M6134" t="s">
        <v>24936</v>
      </c>
      <c r="N6134" t="s">
        <v>47</v>
      </c>
      <c r="O6134" t="s">
        <v>9477</v>
      </c>
      <c r="P6134" t="s">
        <v>9477</v>
      </c>
      <c r="Y6134" t="s">
        <v>24940</v>
      </c>
    </row>
    <row r="6135" spans="1:25">
      <c r="A6135" t="s">
        <v>24941</v>
      </c>
      <c r="B6135" t="s">
        <v>24942</v>
      </c>
      <c r="D6135" t="s">
        <v>9473</v>
      </c>
      <c r="E6135" t="s">
        <v>9474</v>
      </c>
      <c r="H6135" t="s">
        <v>24943</v>
      </c>
      <c r="J6135" t="s">
        <v>133</v>
      </c>
      <c r="K6135" t="s">
        <v>134</v>
      </c>
      <c r="L6135">
        <v>6</v>
      </c>
      <c r="M6135" t="s">
        <v>24944</v>
      </c>
      <c r="N6135" t="s">
        <v>290</v>
      </c>
      <c r="O6135" t="s">
        <v>9477</v>
      </c>
      <c r="P6135" t="s">
        <v>9477</v>
      </c>
      <c r="Y6135" t="s">
        <v>24943</v>
      </c>
    </row>
    <row r="6136" spans="1:25">
      <c r="A6136" t="s">
        <v>24945</v>
      </c>
      <c r="B6136" t="s">
        <v>24946</v>
      </c>
      <c r="D6136" t="s">
        <v>9473</v>
      </c>
      <c r="E6136" t="s">
        <v>9474</v>
      </c>
      <c r="J6136" t="s">
        <v>90</v>
      </c>
      <c r="K6136" t="s">
        <v>91</v>
      </c>
      <c r="L6136">
        <v>6</v>
      </c>
      <c r="M6136" t="s">
        <v>24947</v>
      </c>
      <c r="N6136" t="s">
        <v>47</v>
      </c>
      <c r="O6136" t="s">
        <v>9477</v>
      </c>
      <c r="P6136" t="s">
        <v>9477</v>
      </c>
      <c r="Y6136" t="s">
        <v>24948</v>
      </c>
    </row>
    <row r="6137" spans="1:25">
      <c r="A6137" t="s">
        <v>24949</v>
      </c>
      <c r="B6137" t="s">
        <v>24950</v>
      </c>
      <c r="D6137" t="s">
        <v>9473</v>
      </c>
      <c r="E6137" t="s">
        <v>9474</v>
      </c>
      <c r="J6137" t="s">
        <v>90</v>
      </c>
      <c r="K6137" t="s">
        <v>91</v>
      </c>
      <c r="L6137">
        <v>6</v>
      </c>
      <c r="M6137" t="s">
        <v>24951</v>
      </c>
      <c r="N6137" t="s">
        <v>47</v>
      </c>
      <c r="O6137" t="s">
        <v>9477</v>
      </c>
      <c r="P6137" t="s">
        <v>9477</v>
      </c>
      <c r="Y6137" t="s">
        <v>24952</v>
      </c>
    </row>
    <row r="6138" spans="1:25">
      <c r="A6138" t="s">
        <v>24953</v>
      </c>
      <c r="B6138" t="s">
        <v>24954</v>
      </c>
      <c r="D6138" t="s">
        <v>9473</v>
      </c>
      <c r="E6138" t="s">
        <v>9474</v>
      </c>
      <c r="J6138" t="s">
        <v>44</v>
      </c>
      <c r="K6138" t="s">
        <v>45</v>
      </c>
      <c r="L6138">
        <v>6</v>
      </c>
      <c r="M6138" t="s">
        <v>24951</v>
      </c>
      <c r="N6138" t="s">
        <v>47</v>
      </c>
      <c r="O6138" t="s">
        <v>9477</v>
      </c>
      <c r="P6138" t="s">
        <v>9477</v>
      </c>
      <c r="Y6138" t="s">
        <v>24955</v>
      </c>
    </row>
    <row r="6139" spans="1:25">
      <c r="A6139" t="s">
        <v>24956</v>
      </c>
      <c r="B6139" t="s">
        <v>24957</v>
      </c>
      <c r="D6139" t="s">
        <v>9473</v>
      </c>
      <c r="E6139" t="s">
        <v>9474</v>
      </c>
      <c r="J6139" t="s">
        <v>90</v>
      </c>
      <c r="K6139" t="s">
        <v>91</v>
      </c>
      <c r="L6139">
        <v>6</v>
      </c>
      <c r="M6139" t="s">
        <v>24951</v>
      </c>
      <c r="N6139" t="s">
        <v>47</v>
      </c>
      <c r="O6139" t="s">
        <v>9477</v>
      </c>
      <c r="P6139" t="s">
        <v>9477</v>
      </c>
      <c r="Y6139" t="s">
        <v>24958</v>
      </c>
    </row>
    <row r="6140" spans="1:25">
      <c r="A6140" t="s">
        <v>24959</v>
      </c>
      <c r="B6140" t="s">
        <v>24960</v>
      </c>
      <c r="D6140" t="s">
        <v>9473</v>
      </c>
      <c r="E6140" t="s">
        <v>9474</v>
      </c>
      <c r="J6140" t="s">
        <v>371</v>
      </c>
      <c r="K6140" t="s">
        <v>372</v>
      </c>
      <c r="L6140">
        <v>6</v>
      </c>
      <c r="M6140" t="s">
        <v>24951</v>
      </c>
      <c r="N6140" t="s">
        <v>47</v>
      </c>
      <c r="O6140" t="s">
        <v>9477</v>
      </c>
      <c r="P6140" t="s">
        <v>9477</v>
      </c>
      <c r="Y6140" t="s">
        <v>24961</v>
      </c>
    </row>
    <row r="6141" spans="1:25">
      <c r="A6141" t="s">
        <v>24962</v>
      </c>
      <c r="B6141" t="s">
        <v>24963</v>
      </c>
      <c r="D6141" t="s">
        <v>9473</v>
      </c>
      <c r="E6141" t="s">
        <v>9474</v>
      </c>
      <c r="J6141" t="s">
        <v>78</v>
      </c>
      <c r="K6141" t="s">
        <v>79</v>
      </c>
      <c r="L6141">
        <v>6</v>
      </c>
      <c r="M6141" t="s">
        <v>24964</v>
      </c>
      <c r="N6141" t="s">
        <v>47</v>
      </c>
      <c r="O6141" t="s">
        <v>9477</v>
      </c>
      <c r="P6141" t="s">
        <v>9477</v>
      </c>
      <c r="Y6141" t="s">
        <v>24965</v>
      </c>
    </row>
    <row r="6142" spans="1:25">
      <c r="A6142" t="s">
        <v>24966</v>
      </c>
      <c r="B6142" t="s">
        <v>24967</v>
      </c>
      <c r="D6142" t="s">
        <v>9473</v>
      </c>
      <c r="E6142" t="s">
        <v>9474</v>
      </c>
      <c r="J6142" t="s">
        <v>78</v>
      </c>
      <c r="K6142" t="s">
        <v>79</v>
      </c>
      <c r="L6142">
        <v>6</v>
      </c>
      <c r="M6142" t="s">
        <v>24968</v>
      </c>
      <c r="N6142" t="s">
        <v>47</v>
      </c>
      <c r="O6142" t="s">
        <v>9477</v>
      </c>
      <c r="P6142" t="s">
        <v>9477</v>
      </c>
      <c r="Y6142" t="s">
        <v>24969</v>
      </c>
    </row>
    <row r="6143" spans="1:25">
      <c r="A6143" t="s">
        <v>24970</v>
      </c>
      <c r="B6143" t="s">
        <v>24971</v>
      </c>
      <c r="D6143" t="s">
        <v>9473</v>
      </c>
      <c r="E6143" t="s">
        <v>9474</v>
      </c>
      <c r="J6143" t="s">
        <v>90</v>
      </c>
      <c r="K6143" t="s">
        <v>91</v>
      </c>
      <c r="L6143">
        <v>6</v>
      </c>
      <c r="M6143" t="s">
        <v>24972</v>
      </c>
      <c r="N6143" t="s">
        <v>47</v>
      </c>
      <c r="O6143" t="s">
        <v>9477</v>
      </c>
      <c r="P6143" t="s">
        <v>9477</v>
      </c>
      <c r="Y6143" t="s">
        <v>24973</v>
      </c>
    </row>
    <row r="6144" spans="1:25">
      <c r="A6144" t="s">
        <v>24974</v>
      </c>
      <c r="B6144" t="s">
        <v>24975</v>
      </c>
      <c r="D6144" t="s">
        <v>9473</v>
      </c>
      <c r="E6144" t="s">
        <v>9474</v>
      </c>
      <c r="J6144" t="s">
        <v>90</v>
      </c>
      <c r="K6144" t="s">
        <v>91</v>
      </c>
      <c r="L6144">
        <v>6</v>
      </c>
      <c r="M6144" t="s">
        <v>24976</v>
      </c>
      <c r="N6144" t="s">
        <v>47</v>
      </c>
      <c r="O6144" t="s">
        <v>9477</v>
      </c>
      <c r="P6144" t="s">
        <v>9477</v>
      </c>
      <c r="Y6144" t="s">
        <v>24977</v>
      </c>
    </row>
    <row r="6145" spans="1:25">
      <c r="A6145" t="s">
        <v>24978</v>
      </c>
      <c r="B6145" t="s">
        <v>24979</v>
      </c>
      <c r="D6145" t="s">
        <v>9473</v>
      </c>
      <c r="E6145" t="s">
        <v>9474</v>
      </c>
      <c r="J6145" t="s">
        <v>44</v>
      </c>
      <c r="K6145" t="s">
        <v>45</v>
      </c>
      <c r="L6145">
        <v>6</v>
      </c>
      <c r="M6145" t="s">
        <v>24980</v>
      </c>
      <c r="N6145" t="s">
        <v>47</v>
      </c>
      <c r="O6145" t="s">
        <v>9477</v>
      </c>
      <c r="P6145" t="s">
        <v>9477</v>
      </c>
      <c r="Y6145" t="s">
        <v>24981</v>
      </c>
    </row>
    <row r="6146" spans="1:25">
      <c r="A6146" t="s">
        <v>24982</v>
      </c>
      <c r="B6146" t="s">
        <v>24983</v>
      </c>
      <c r="D6146" t="s">
        <v>9473</v>
      </c>
      <c r="E6146" t="s">
        <v>9474</v>
      </c>
      <c r="J6146" t="s">
        <v>90</v>
      </c>
      <c r="K6146" t="s">
        <v>91</v>
      </c>
      <c r="L6146">
        <v>6</v>
      </c>
      <c r="M6146" t="s">
        <v>24980</v>
      </c>
      <c r="N6146" t="s">
        <v>47</v>
      </c>
      <c r="O6146" t="s">
        <v>9477</v>
      </c>
      <c r="P6146" t="s">
        <v>9477</v>
      </c>
      <c r="Y6146" t="s">
        <v>24984</v>
      </c>
    </row>
    <row r="6147" spans="1:25">
      <c r="A6147" t="s">
        <v>24985</v>
      </c>
      <c r="B6147" t="s">
        <v>24986</v>
      </c>
      <c r="D6147" t="s">
        <v>9473</v>
      </c>
      <c r="E6147" t="s">
        <v>9474</v>
      </c>
      <c r="H6147" t="s">
        <v>24987</v>
      </c>
      <c r="J6147" t="s">
        <v>54</v>
      </c>
      <c r="K6147" t="s">
        <v>55</v>
      </c>
      <c r="L6147">
        <v>6</v>
      </c>
      <c r="M6147" t="s">
        <v>24988</v>
      </c>
      <c r="N6147" t="s">
        <v>47</v>
      </c>
      <c r="O6147" t="s">
        <v>9477</v>
      </c>
      <c r="P6147" t="s">
        <v>9477</v>
      </c>
      <c r="Y6147" t="s">
        <v>24987</v>
      </c>
    </row>
    <row r="6148" spans="1:25">
      <c r="A6148" t="s">
        <v>24989</v>
      </c>
      <c r="B6148" t="s">
        <v>24990</v>
      </c>
      <c r="D6148" t="s">
        <v>9473</v>
      </c>
      <c r="E6148" t="s">
        <v>9474</v>
      </c>
      <c r="H6148" t="s">
        <v>24991</v>
      </c>
      <c r="J6148" t="s">
        <v>78</v>
      </c>
      <c r="K6148" t="s">
        <v>79</v>
      </c>
      <c r="L6148">
        <v>6</v>
      </c>
      <c r="M6148" t="s">
        <v>24992</v>
      </c>
      <c r="N6148" t="s">
        <v>47</v>
      </c>
      <c r="O6148" t="s">
        <v>9477</v>
      </c>
      <c r="P6148" t="s">
        <v>9477</v>
      </c>
      <c r="Y6148" t="s">
        <v>24991</v>
      </c>
    </row>
    <row r="6149" spans="1:25">
      <c r="A6149" t="s">
        <v>24993</v>
      </c>
      <c r="B6149" t="s">
        <v>24994</v>
      </c>
      <c r="D6149" t="s">
        <v>9473</v>
      </c>
      <c r="E6149" t="s">
        <v>9474</v>
      </c>
      <c r="J6149" t="s">
        <v>44</v>
      </c>
      <c r="K6149" t="s">
        <v>45</v>
      </c>
      <c r="L6149">
        <v>6</v>
      </c>
      <c r="M6149" t="s">
        <v>24992</v>
      </c>
      <c r="N6149" t="s">
        <v>47</v>
      </c>
      <c r="O6149" t="s">
        <v>9477</v>
      </c>
      <c r="P6149" t="s">
        <v>9477</v>
      </c>
      <c r="Y6149" t="s">
        <v>24995</v>
      </c>
    </row>
    <row r="6150" spans="1:25">
      <c r="A6150" t="s">
        <v>24996</v>
      </c>
      <c r="B6150" t="s">
        <v>24997</v>
      </c>
      <c r="D6150" t="s">
        <v>9473</v>
      </c>
      <c r="E6150" t="s">
        <v>9474</v>
      </c>
      <c r="J6150" t="s">
        <v>90</v>
      </c>
      <c r="K6150" t="s">
        <v>91</v>
      </c>
      <c r="L6150">
        <v>6</v>
      </c>
      <c r="M6150" t="s">
        <v>24992</v>
      </c>
      <c r="N6150" t="s">
        <v>47</v>
      </c>
      <c r="O6150" t="s">
        <v>9477</v>
      </c>
      <c r="P6150" t="s">
        <v>9477</v>
      </c>
      <c r="Y6150" t="s">
        <v>24998</v>
      </c>
    </row>
    <row r="6151" spans="1:25">
      <c r="A6151" t="s">
        <v>24999</v>
      </c>
      <c r="B6151" t="s">
        <v>25000</v>
      </c>
      <c r="D6151" t="s">
        <v>9473</v>
      </c>
      <c r="E6151" t="s">
        <v>9474</v>
      </c>
      <c r="H6151" t="s">
        <v>25001</v>
      </c>
      <c r="J6151" t="s">
        <v>78</v>
      </c>
      <c r="K6151" t="s">
        <v>79</v>
      </c>
      <c r="L6151">
        <v>6</v>
      </c>
      <c r="M6151" t="s">
        <v>24992</v>
      </c>
      <c r="N6151" t="s">
        <v>47</v>
      </c>
      <c r="O6151" t="s">
        <v>9477</v>
      </c>
      <c r="P6151" t="s">
        <v>9477</v>
      </c>
      <c r="Y6151" t="s">
        <v>25001</v>
      </c>
    </row>
    <row r="6152" spans="1:25">
      <c r="A6152" t="s">
        <v>25002</v>
      </c>
      <c r="B6152" t="s">
        <v>25003</v>
      </c>
      <c r="D6152" t="s">
        <v>9473</v>
      </c>
      <c r="E6152" t="s">
        <v>9474</v>
      </c>
      <c r="H6152" t="s">
        <v>25004</v>
      </c>
      <c r="J6152" t="s">
        <v>234</v>
      </c>
      <c r="K6152" t="s">
        <v>235</v>
      </c>
      <c r="L6152">
        <v>6</v>
      </c>
      <c r="M6152" t="s">
        <v>25005</v>
      </c>
      <c r="N6152" t="s">
        <v>47</v>
      </c>
      <c r="O6152" t="s">
        <v>9477</v>
      </c>
      <c r="P6152" t="s">
        <v>9477</v>
      </c>
      <c r="Y6152" t="s">
        <v>25004</v>
      </c>
    </row>
    <row r="6153" spans="1:25">
      <c r="A6153" t="s">
        <v>25006</v>
      </c>
      <c r="B6153" t="s">
        <v>25007</v>
      </c>
      <c r="D6153" t="s">
        <v>9473</v>
      </c>
      <c r="E6153" t="s">
        <v>9474</v>
      </c>
      <c r="H6153" t="s">
        <v>25008</v>
      </c>
      <c r="J6153" t="s">
        <v>90</v>
      </c>
      <c r="K6153" t="s">
        <v>91</v>
      </c>
      <c r="L6153">
        <v>6</v>
      </c>
      <c r="M6153" t="s">
        <v>25009</v>
      </c>
      <c r="N6153" t="s">
        <v>47</v>
      </c>
      <c r="O6153" t="s">
        <v>9477</v>
      </c>
      <c r="P6153" t="s">
        <v>9477</v>
      </c>
      <c r="Y6153" t="s">
        <v>25008</v>
      </c>
    </row>
    <row r="6154" spans="1:25">
      <c r="A6154" t="s">
        <v>25010</v>
      </c>
      <c r="B6154" t="s">
        <v>25011</v>
      </c>
      <c r="D6154" t="s">
        <v>9473</v>
      </c>
      <c r="E6154" t="s">
        <v>9474</v>
      </c>
      <c r="J6154" t="s">
        <v>78</v>
      </c>
      <c r="K6154" t="s">
        <v>79</v>
      </c>
      <c r="L6154">
        <v>6</v>
      </c>
      <c r="M6154" t="s">
        <v>25009</v>
      </c>
      <c r="N6154" t="s">
        <v>47</v>
      </c>
      <c r="O6154" t="s">
        <v>9477</v>
      </c>
      <c r="P6154" t="s">
        <v>9477</v>
      </c>
      <c r="Y6154" t="s">
        <v>25012</v>
      </c>
    </row>
    <row r="6155" spans="1:25">
      <c r="A6155" t="s">
        <v>25013</v>
      </c>
      <c r="B6155" t="s">
        <v>25014</v>
      </c>
      <c r="D6155" t="s">
        <v>9473</v>
      </c>
      <c r="E6155" t="s">
        <v>9474</v>
      </c>
      <c r="H6155" t="s">
        <v>25015</v>
      </c>
      <c r="J6155" t="s">
        <v>927</v>
      </c>
      <c r="K6155" t="s">
        <v>928</v>
      </c>
      <c r="L6155">
        <v>6</v>
      </c>
      <c r="M6155" t="s">
        <v>25016</v>
      </c>
      <c r="N6155" t="s">
        <v>135</v>
      </c>
      <c r="O6155" t="s">
        <v>9477</v>
      </c>
      <c r="P6155" t="s">
        <v>9477</v>
      </c>
      <c r="Y6155" t="s">
        <v>25015</v>
      </c>
    </row>
    <row r="6156" spans="1:25">
      <c r="A6156" t="s">
        <v>25017</v>
      </c>
      <c r="B6156" t="s">
        <v>25018</v>
      </c>
      <c r="D6156" t="s">
        <v>9473</v>
      </c>
      <c r="E6156" t="s">
        <v>9474</v>
      </c>
      <c r="J6156" t="s">
        <v>54</v>
      </c>
      <c r="K6156" t="s">
        <v>55</v>
      </c>
      <c r="L6156">
        <v>6</v>
      </c>
      <c r="M6156" t="s">
        <v>25019</v>
      </c>
      <c r="N6156" t="s">
        <v>47</v>
      </c>
      <c r="O6156" t="s">
        <v>9477</v>
      </c>
      <c r="P6156" t="s">
        <v>9477</v>
      </c>
      <c r="Y6156" t="s">
        <v>25020</v>
      </c>
    </row>
    <row r="6157" spans="1:25">
      <c r="A6157" t="s">
        <v>25021</v>
      </c>
      <c r="B6157" t="s">
        <v>25022</v>
      </c>
      <c r="D6157" t="s">
        <v>9473</v>
      </c>
      <c r="E6157" t="s">
        <v>9474</v>
      </c>
      <c r="J6157" t="s">
        <v>90</v>
      </c>
      <c r="K6157" t="s">
        <v>91</v>
      </c>
      <c r="L6157">
        <v>6</v>
      </c>
      <c r="M6157" t="s">
        <v>25019</v>
      </c>
      <c r="N6157" t="s">
        <v>47</v>
      </c>
      <c r="O6157" t="s">
        <v>9477</v>
      </c>
      <c r="P6157" t="s">
        <v>9477</v>
      </c>
      <c r="Y6157" t="s">
        <v>25023</v>
      </c>
    </row>
    <row r="6158" spans="1:25">
      <c r="A6158" t="s">
        <v>25024</v>
      </c>
      <c r="B6158" t="s">
        <v>25025</v>
      </c>
      <c r="D6158" t="s">
        <v>9473</v>
      </c>
      <c r="E6158" t="s">
        <v>9474</v>
      </c>
      <c r="J6158" t="s">
        <v>90</v>
      </c>
      <c r="K6158" t="s">
        <v>91</v>
      </c>
      <c r="L6158">
        <v>6</v>
      </c>
      <c r="M6158" t="s">
        <v>25019</v>
      </c>
      <c r="N6158" t="s">
        <v>47</v>
      </c>
      <c r="O6158" t="s">
        <v>9477</v>
      </c>
      <c r="P6158" t="s">
        <v>9477</v>
      </c>
      <c r="Y6158" t="s">
        <v>25026</v>
      </c>
    </row>
    <row r="6159" spans="1:25">
      <c r="A6159" t="s">
        <v>25027</v>
      </c>
      <c r="B6159" t="s">
        <v>25028</v>
      </c>
      <c r="D6159" t="s">
        <v>9473</v>
      </c>
      <c r="E6159" t="s">
        <v>9474</v>
      </c>
      <c r="J6159" t="s">
        <v>1827</v>
      </c>
      <c r="K6159" t="s">
        <v>1828</v>
      </c>
      <c r="L6159">
        <v>6</v>
      </c>
      <c r="M6159" t="s">
        <v>25019</v>
      </c>
      <c r="N6159" t="s">
        <v>47</v>
      </c>
      <c r="O6159" t="s">
        <v>9477</v>
      </c>
      <c r="P6159" t="s">
        <v>9477</v>
      </c>
      <c r="Y6159" t="s">
        <v>25029</v>
      </c>
    </row>
    <row r="6160" spans="1:25">
      <c r="A6160" t="s">
        <v>25030</v>
      </c>
      <c r="B6160" t="s">
        <v>25031</v>
      </c>
      <c r="D6160" t="s">
        <v>9473</v>
      </c>
      <c r="E6160" t="s">
        <v>9474</v>
      </c>
      <c r="H6160" t="s">
        <v>25032</v>
      </c>
      <c r="J6160" t="s">
        <v>133</v>
      </c>
      <c r="K6160" t="s">
        <v>134</v>
      </c>
      <c r="L6160">
        <v>6</v>
      </c>
      <c r="M6160" t="s">
        <v>25033</v>
      </c>
      <c r="N6160" t="s">
        <v>290</v>
      </c>
      <c r="O6160" t="s">
        <v>9477</v>
      </c>
      <c r="P6160" t="s">
        <v>9477</v>
      </c>
      <c r="Y6160" t="s">
        <v>25032</v>
      </c>
    </row>
    <row r="6161" spans="1:25">
      <c r="A6161" t="s">
        <v>25034</v>
      </c>
      <c r="B6161" t="s">
        <v>25035</v>
      </c>
      <c r="D6161" t="s">
        <v>9473</v>
      </c>
      <c r="E6161" t="s">
        <v>9474</v>
      </c>
      <c r="H6161" t="s">
        <v>25036</v>
      </c>
      <c r="J6161" t="s">
        <v>78</v>
      </c>
      <c r="K6161" t="s">
        <v>79</v>
      </c>
      <c r="L6161">
        <v>6</v>
      </c>
      <c r="M6161" t="s">
        <v>25033</v>
      </c>
      <c r="N6161" t="s">
        <v>47</v>
      </c>
      <c r="O6161" t="s">
        <v>9477</v>
      </c>
      <c r="P6161" t="s">
        <v>9477</v>
      </c>
      <c r="Y6161" t="s">
        <v>25036</v>
      </c>
    </row>
    <row r="6162" spans="1:25">
      <c r="A6162" t="s">
        <v>25037</v>
      </c>
      <c r="B6162" t="s">
        <v>25038</v>
      </c>
      <c r="D6162" t="s">
        <v>9473</v>
      </c>
      <c r="E6162" t="s">
        <v>9474</v>
      </c>
      <c r="J6162" t="s">
        <v>54</v>
      </c>
      <c r="K6162" t="s">
        <v>55</v>
      </c>
      <c r="L6162">
        <v>6</v>
      </c>
      <c r="M6162" t="s">
        <v>25033</v>
      </c>
      <c r="N6162" t="s">
        <v>47</v>
      </c>
      <c r="O6162" t="s">
        <v>9477</v>
      </c>
      <c r="P6162" t="s">
        <v>9477</v>
      </c>
      <c r="Y6162" t="s">
        <v>25039</v>
      </c>
    </row>
    <row r="6163" spans="1:25">
      <c r="A6163" t="s">
        <v>25040</v>
      </c>
      <c r="B6163" t="s">
        <v>25041</v>
      </c>
      <c r="D6163" t="s">
        <v>9473</v>
      </c>
      <c r="E6163" t="s">
        <v>9474</v>
      </c>
      <c r="J6163" t="s">
        <v>90</v>
      </c>
      <c r="K6163" t="s">
        <v>91</v>
      </c>
      <c r="L6163">
        <v>6</v>
      </c>
      <c r="M6163" t="s">
        <v>25042</v>
      </c>
      <c r="N6163" t="s">
        <v>47</v>
      </c>
      <c r="O6163" t="s">
        <v>9477</v>
      </c>
      <c r="P6163" t="s">
        <v>9477</v>
      </c>
      <c r="Y6163" t="s">
        <v>25043</v>
      </c>
    </row>
    <row r="6164" spans="1:25">
      <c r="A6164" t="s">
        <v>25044</v>
      </c>
      <c r="B6164" t="s">
        <v>25045</v>
      </c>
      <c r="D6164" t="s">
        <v>9473</v>
      </c>
      <c r="E6164" t="s">
        <v>9474</v>
      </c>
      <c r="J6164" t="s">
        <v>90</v>
      </c>
      <c r="K6164" t="s">
        <v>91</v>
      </c>
      <c r="L6164">
        <v>6</v>
      </c>
      <c r="M6164" t="s">
        <v>25046</v>
      </c>
      <c r="N6164" t="s">
        <v>47</v>
      </c>
      <c r="O6164" t="s">
        <v>9477</v>
      </c>
      <c r="P6164" t="s">
        <v>9477</v>
      </c>
      <c r="Y6164" t="s">
        <v>25047</v>
      </c>
    </row>
    <row r="6165" spans="1:25">
      <c r="A6165" t="s">
        <v>25048</v>
      </c>
      <c r="B6165" t="s">
        <v>25049</v>
      </c>
      <c r="D6165" t="s">
        <v>9473</v>
      </c>
      <c r="E6165" t="s">
        <v>9474</v>
      </c>
      <c r="J6165" t="s">
        <v>90</v>
      </c>
      <c r="K6165" t="s">
        <v>91</v>
      </c>
      <c r="L6165">
        <v>6</v>
      </c>
      <c r="M6165" t="s">
        <v>25046</v>
      </c>
      <c r="N6165" t="s">
        <v>47</v>
      </c>
      <c r="O6165" t="s">
        <v>9477</v>
      </c>
      <c r="P6165" t="s">
        <v>9477</v>
      </c>
      <c r="Y6165" t="s">
        <v>25050</v>
      </c>
    </row>
    <row r="6166" spans="1:25">
      <c r="A6166" t="s">
        <v>25051</v>
      </c>
      <c r="B6166" t="s">
        <v>25052</v>
      </c>
      <c r="D6166" t="s">
        <v>9473</v>
      </c>
      <c r="E6166" t="s">
        <v>9474</v>
      </c>
      <c r="H6166" t="s">
        <v>25053</v>
      </c>
      <c r="J6166" t="s">
        <v>54</v>
      </c>
      <c r="K6166" t="s">
        <v>55</v>
      </c>
      <c r="L6166">
        <v>6</v>
      </c>
      <c r="M6166" t="s">
        <v>25046</v>
      </c>
      <c r="N6166" t="s">
        <v>47</v>
      </c>
      <c r="O6166" t="s">
        <v>9477</v>
      </c>
      <c r="P6166" t="s">
        <v>9477</v>
      </c>
      <c r="Y6166" t="s">
        <v>25053</v>
      </c>
    </row>
    <row r="6167" spans="1:25">
      <c r="A6167" t="s">
        <v>25054</v>
      </c>
      <c r="B6167" t="s">
        <v>25055</v>
      </c>
      <c r="D6167" t="s">
        <v>9473</v>
      </c>
      <c r="E6167" t="s">
        <v>9474</v>
      </c>
      <c r="H6167" t="s">
        <v>25056</v>
      </c>
      <c r="J6167" t="s">
        <v>90</v>
      </c>
      <c r="K6167" t="s">
        <v>91</v>
      </c>
      <c r="L6167">
        <v>6</v>
      </c>
      <c r="M6167" t="s">
        <v>25057</v>
      </c>
      <c r="N6167" t="s">
        <v>47</v>
      </c>
      <c r="O6167" t="s">
        <v>9477</v>
      </c>
      <c r="P6167" t="s">
        <v>9477</v>
      </c>
      <c r="Y6167" t="s">
        <v>25056</v>
      </c>
    </row>
    <row r="6168" spans="1:25">
      <c r="A6168" t="s">
        <v>25058</v>
      </c>
      <c r="B6168" t="s">
        <v>25059</v>
      </c>
      <c r="D6168" t="s">
        <v>9473</v>
      </c>
      <c r="E6168" t="s">
        <v>9474</v>
      </c>
      <c r="H6168" t="s">
        <v>25060</v>
      </c>
      <c r="J6168" t="s">
        <v>371</v>
      </c>
      <c r="K6168" t="s">
        <v>372</v>
      </c>
      <c r="L6168">
        <v>6</v>
      </c>
      <c r="M6168" t="s">
        <v>25061</v>
      </c>
      <c r="N6168" t="s">
        <v>47</v>
      </c>
      <c r="O6168" t="s">
        <v>9477</v>
      </c>
      <c r="P6168" t="s">
        <v>9477</v>
      </c>
      <c r="Y6168" t="s">
        <v>25060</v>
      </c>
    </row>
    <row r="6169" spans="1:25">
      <c r="A6169" t="s">
        <v>25062</v>
      </c>
      <c r="B6169" t="s">
        <v>25063</v>
      </c>
      <c r="D6169" t="s">
        <v>9473</v>
      </c>
      <c r="E6169" t="s">
        <v>9474</v>
      </c>
      <c r="H6169" t="s">
        <v>25064</v>
      </c>
      <c r="J6169" t="s">
        <v>133</v>
      </c>
      <c r="K6169" t="s">
        <v>134</v>
      </c>
      <c r="L6169">
        <v>6</v>
      </c>
      <c r="M6169" t="s">
        <v>25065</v>
      </c>
      <c r="N6169" t="s">
        <v>685</v>
      </c>
      <c r="O6169" t="s">
        <v>9477</v>
      </c>
      <c r="P6169" t="s">
        <v>9477</v>
      </c>
      <c r="Y6169" t="s">
        <v>25064</v>
      </c>
    </row>
    <row r="6170" spans="1:25">
      <c r="A6170" t="s">
        <v>25066</v>
      </c>
      <c r="B6170" t="s">
        <v>25067</v>
      </c>
      <c r="D6170" t="s">
        <v>9473</v>
      </c>
      <c r="E6170" t="s">
        <v>9474</v>
      </c>
      <c r="H6170" t="s">
        <v>25068</v>
      </c>
      <c r="J6170" t="s">
        <v>90</v>
      </c>
      <c r="K6170" t="s">
        <v>91</v>
      </c>
      <c r="L6170">
        <v>6</v>
      </c>
      <c r="M6170" t="s">
        <v>25069</v>
      </c>
      <c r="N6170" t="s">
        <v>47</v>
      </c>
      <c r="O6170" t="s">
        <v>9477</v>
      </c>
      <c r="P6170" t="s">
        <v>9477</v>
      </c>
      <c r="Y6170" t="s">
        <v>25068</v>
      </c>
    </row>
    <row r="6171" spans="1:25">
      <c r="A6171" t="s">
        <v>25070</v>
      </c>
      <c r="B6171" t="s">
        <v>25071</v>
      </c>
      <c r="D6171" t="s">
        <v>9473</v>
      </c>
      <c r="E6171" t="s">
        <v>9474</v>
      </c>
      <c r="J6171" t="s">
        <v>90</v>
      </c>
      <c r="K6171" t="s">
        <v>91</v>
      </c>
      <c r="L6171">
        <v>6</v>
      </c>
      <c r="M6171" t="s">
        <v>25069</v>
      </c>
      <c r="N6171" t="s">
        <v>47</v>
      </c>
      <c r="O6171" t="s">
        <v>9477</v>
      </c>
      <c r="P6171" t="s">
        <v>9477</v>
      </c>
      <c r="Y6171" t="s">
        <v>25072</v>
      </c>
    </row>
    <row r="6172" spans="1:25">
      <c r="A6172" t="s">
        <v>25073</v>
      </c>
      <c r="B6172" t="s">
        <v>25074</v>
      </c>
      <c r="D6172" t="s">
        <v>9473</v>
      </c>
      <c r="E6172" t="s">
        <v>9474</v>
      </c>
      <c r="J6172" t="s">
        <v>90</v>
      </c>
      <c r="K6172" t="s">
        <v>91</v>
      </c>
      <c r="L6172">
        <v>6</v>
      </c>
      <c r="M6172" t="s">
        <v>25075</v>
      </c>
      <c r="N6172" t="s">
        <v>47</v>
      </c>
      <c r="O6172" t="s">
        <v>9477</v>
      </c>
      <c r="P6172" t="s">
        <v>9477</v>
      </c>
      <c r="Y6172" t="s">
        <v>25076</v>
      </c>
    </row>
    <row r="6173" spans="1:25">
      <c r="A6173" t="s">
        <v>25077</v>
      </c>
      <c r="B6173" t="s">
        <v>25078</v>
      </c>
      <c r="D6173" t="s">
        <v>9473</v>
      </c>
      <c r="E6173" t="s">
        <v>9474</v>
      </c>
      <c r="J6173" t="s">
        <v>54</v>
      </c>
      <c r="K6173" t="s">
        <v>55</v>
      </c>
      <c r="L6173">
        <v>6</v>
      </c>
      <c r="M6173" t="s">
        <v>25075</v>
      </c>
      <c r="N6173" t="s">
        <v>47</v>
      </c>
      <c r="O6173" t="s">
        <v>9477</v>
      </c>
      <c r="P6173" t="s">
        <v>9477</v>
      </c>
      <c r="Y6173" t="s">
        <v>25079</v>
      </c>
    </row>
    <row r="6174" spans="1:25">
      <c r="A6174" t="s">
        <v>25080</v>
      </c>
      <c r="B6174" t="s">
        <v>25081</v>
      </c>
      <c r="D6174" t="s">
        <v>9473</v>
      </c>
      <c r="E6174" t="s">
        <v>9474</v>
      </c>
      <c r="J6174" t="s">
        <v>54</v>
      </c>
      <c r="K6174" t="s">
        <v>55</v>
      </c>
      <c r="L6174">
        <v>6</v>
      </c>
      <c r="M6174" t="s">
        <v>25075</v>
      </c>
      <c r="N6174" t="s">
        <v>47</v>
      </c>
      <c r="O6174" t="s">
        <v>9477</v>
      </c>
      <c r="P6174" t="s">
        <v>9477</v>
      </c>
      <c r="Y6174" t="s">
        <v>25082</v>
      </c>
    </row>
    <row r="6175" spans="1:25">
      <c r="A6175" t="s">
        <v>25083</v>
      </c>
      <c r="B6175" t="s">
        <v>25084</v>
      </c>
      <c r="D6175" t="s">
        <v>9473</v>
      </c>
      <c r="E6175" t="s">
        <v>9474</v>
      </c>
      <c r="H6175" t="s">
        <v>25085</v>
      </c>
      <c r="J6175" t="s">
        <v>133</v>
      </c>
      <c r="K6175" t="s">
        <v>134</v>
      </c>
      <c r="L6175">
        <v>6</v>
      </c>
      <c r="M6175" t="s">
        <v>25086</v>
      </c>
      <c r="N6175" t="s">
        <v>135</v>
      </c>
      <c r="O6175" t="s">
        <v>9477</v>
      </c>
      <c r="P6175" t="s">
        <v>9477</v>
      </c>
      <c r="Y6175" t="s">
        <v>25085</v>
      </c>
    </row>
    <row r="6176" spans="1:25">
      <c r="A6176" t="s">
        <v>25087</v>
      </c>
      <c r="B6176" t="s">
        <v>25088</v>
      </c>
      <c r="D6176" t="s">
        <v>9473</v>
      </c>
      <c r="E6176" t="s">
        <v>9474</v>
      </c>
      <c r="H6176" t="s">
        <v>25089</v>
      </c>
      <c r="J6176" t="s">
        <v>78</v>
      </c>
      <c r="K6176" t="s">
        <v>79</v>
      </c>
      <c r="L6176">
        <v>6</v>
      </c>
      <c r="M6176" t="s">
        <v>25090</v>
      </c>
      <c r="N6176" t="s">
        <v>47</v>
      </c>
      <c r="O6176" t="s">
        <v>9477</v>
      </c>
      <c r="P6176" t="s">
        <v>9477</v>
      </c>
      <c r="Y6176" t="s">
        <v>25089</v>
      </c>
    </row>
    <row r="6177" spans="1:25">
      <c r="A6177" t="s">
        <v>25091</v>
      </c>
      <c r="B6177" t="s">
        <v>25092</v>
      </c>
      <c r="D6177" t="s">
        <v>9473</v>
      </c>
      <c r="E6177" t="s">
        <v>9474</v>
      </c>
      <c r="J6177" t="s">
        <v>78</v>
      </c>
      <c r="K6177" t="s">
        <v>79</v>
      </c>
      <c r="L6177">
        <v>6</v>
      </c>
      <c r="M6177" t="s">
        <v>25093</v>
      </c>
      <c r="N6177" t="s">
        <v>47</v>
      </c>
      <c r="O6177" t="s">
        <v>9477</v>
      </c>
      <c r="P6177" t="s">
        <v>9477</v>
      </c>
      <c r="Y6177" t="s">
        <v>25094</v>
      </c>
    </row>
    <row r="6178" spans="1:25">
      <c r="A6178" t="s">
        <v>25095</v>
      </c>
      <c r="B6178" t="s">
        <v>25096</v>
      </c>
      <c r="D6178" t="s">
        <v>9473</v>
      </c>
      <c r="E6178" t="s">
        <v>9474</v>
      </c>
      <c r="H6178" t="s">
        <v>25097</v>
      </c>
      <c r="J6178" t="s">
        <v>44</v>
      </c>
      <c r="K6178" t="s">
        <v>45</v>
      </c>
      <c r="L6178">
        <v>6</v>
      </c>
      <c r="M6178" t="s">
        <v>25098</v>
      </c>
      <c r="N6178" t="s">
        <v>47</v>
      </c>
      <c r="O6178" t="s">
        <v>9477</v>
      </c>
      <c r="P6178" t="s">
        <v>9477</v>
      </c>
      <c r="Y6178" t="s">
        <v>25097</v>
      </c>
    </row>
    <row r="6179" spans="1:25">
      <c r="A6179" t="s">
        <v>25099</v>
      </c>
      <c r="B6179" t="s">
        <v>25100</v>
      </c>
      <c r="D6179" t="s">
        <v>9473</v>
      </c>
      <c r="E6179" t="s">
        <v>9474</v>
      </c>
      <c r="J6179" t="s">
        <v>133</v>
      </c>
      <c r="K6179" t="s">
        <v>134</v>
      </c>
      <c r="L6179">
        <v>6</v>
      </c>
      <c r="M6179" t="s">
        <v>25101</v>
      </c>
      <c r="N6179" t="s">
        <v>685</v>
      </c>
      <c r="O6179" t="s">
        <v>9477</v>
      </c>
      <c r="P6179" t="s">
        <v>9477</v>
      </c>
      <c r="Y6179" t="s">
        <v>25102</v>
      </c>
    </row>
    <row r="6180" spans="1:25">
      <c r="A6180" t="s">
        <v>25103</v>
      </c>
      <c r="B6180" t="s">
        <v>25104</v>
      </c>
      <c r="D6180" t="s">
        <v>9473</v>
      </c>
      <c r="E6180" t="s">
        <v>9474</v>
      </c>
      <c r="J6180" t="s">
        <v>44</v>
      </c>
      <c r="K6180" t="s">
        <v>45</v>
      </c>
      <c r="L6180">
        <v>6</v>
      </c>
      <c r="M6180" t="s">
        <v>25105</v>
      </c>
      <c r="N6180" t="s">
        <v>47</v>
      </c>
      <c r="O6180" t="s">
        <v>9477</v>
      </c>
      <c r="P6180" t="s">
        <v>9477</v>
      </c>
      <c r="Y6180" t="s">
        <v>25106</v>
      </c>
    </row>
    <row r="6181" spans="1:25">
      <c r="A6181" t="s">
        <v>25107</v>
      </c>
      <c r="B6181" t="s">
        <v>25108</v>
      </c>
      <c r="D6181" t="s">
        <v>9473</v>
      </c>
      <c r="E6181" t="s">
        <v>9474</v>
      </c>
      <c r="J6181" t="s">
        <v>371</v>
      </c>
      <c r="K6181" t="s">
        <v>372</v>
      </c>
      <c r="L6181">
        <v>6</v>
      </c>
      <c r="M6181" t="s">
        <v>25109</v>
      </c>
      <c r="N6181" t="s">
        <v>47</v>
      </c>
      <c r="O6181" t="s">
        <v>9477</v>
      </c>
      <c r="P6181" t="s">
        <v>9477</v>
      </c>
      <c r="Y6181" t="s">
        <v>25110</v>
      </c>
    </row>
    <row r="6182" spans="1:25">
      <c r="A6182" t="s">
        <v>25111</v>
      </c>
      <c r="B6182" t="s">
        <v>25112</v>
      </c>
      <c r="D6182" t="s">
        <v>9473</v>
      </c>
      <c r="E6182" t="s">
        <v>9474</v>
      </c>
      <c r="H6182" t="s">
        <v>25113</v>
      </c>
      <c r="J6182" t="s">
        <v>90</v>
      </c>
      <c r="K6182" t="s">
        <v>91</v>
      </c>
      <c r="L6182">
        <v>6</v>
      </c>
      <c r="M6182" t="s">
        <v>25114</v>
      </c>
      <c r="N6182" t="s">
        <v>47</v>
      </c>
      <c r="O6182" t="s">
        <v>9477</v>
      </c>
      <c r="P6182" t="s">
        <v>9477</v>
      </c>
      <c r="Y6182" t="s">
        <v>25113</v>
      </c>
    </row>
    <row r="6183" spans="1:25">
      <c r="A6183" t="s">
        <v>25115</v>
      </c>
      <c r="B6183" t="s">
        <v>25116</v>
      </c>
      <c r="D6183" t="s">
        <v>9473</v>
      </c>
      <c r="E6183" t="s">
        <v>9474</v>
      </c>
      <c r="J6183" t="s">
        <v>90</v>
      </c>
      <c r="K6183" t="s">
        <v>91</v>
      </c>
      <c r="L6183">
        <v>6</v>
      </c>
      <c r="M6183" t="s">
        <v>25117</v>
      </c>
      <c r="N6183" t="s">
        <v>47</v>
      </c>
      <c r="O6183" t="s">
        <v>9477</v>
      </c>
      <c r="P6183" t="s">
        <v>9477</v>
      </c>
      <c r="Y6183" t="s">
        <v>25118</v>
      </c>
    </row>
    <row r="6184" spans="1:25">
      <c r="A6184" t="s">
        <v>25119</v>
      </c>
      <c r="B6184" t="s">
        <v>25120</v>
      </c>
      <c r="D6184" t="s">
        <v>9473</v>
      </c>
      <c r="E6184" t="s">
        <v>9474</v>
      </c>
      <c r="J6184" t="s">
        <v>54</v>
      </c>
      <c r="K6184" t="s">
        <v>55</v>
      </c>
      <c r="L6184">
        <v>6</v>
      </c>
      <c r="M6184" t="s">
        <v>25121</v>
      </c>
      <c r="N6184" t="s">
        <v>47</v>
      </c>
      <c r="O6184" t="s">
        <v>9477</v>
      </c>
      <c r="P6184" t="s">
        <v>9477</v>
      </c>
      <c r="Y6184" t="s">
        <v>25122</v>
      </c>
    </row>
    <row r="6185" spans="1:25">
      <c r="A6185" t="s">
        <v>25123</v>
      </c>
      <c r="B6185" t="s">
        <v>25124</v>
      </c>
      <c r="D6185" t="s">
        <v>9473</v>
      </c>
      <c r="E6185" t="s">
        <v>9474</v>
      </c>
      <c r="J6185" t="s">
        <v>133</v>
      </c>
      <c r="K6185" t="s">
        <v>134</v>
      </c>
      <c r="L6185">
        <v>6</v>
      </c>
      <c r="M6185" t="s">
        <v>25121</v>
      </c>
      <c r="N6185" t="s">
        <v>290</v>
      </c>
      <c r="O6185" t="s">
        <v>9477</v>
      </c>
      <c r="P6185" t="s">
        <v>9477</v>
      </c>
      <c r="Y6185" t="s">
        <v>25125</v>
      </c>
    </row>
    <row r="6186" spans="1:25">
      <c r="A6186" t="s">
        <v>25126</v>
      </c>
      <c r="B6186" t="s">
        <v>25127</v>
      </c>
      <c r="D6186" t="s">
        <v>9473</v>
      </c>
      <c r="E6186" t="s">
        <v>9474</v>
      </c>
      <c r="H6186" t="s">
        <v>25128</v>
      </c>
      <c r="J6186" t="s">
        <v>44</v>
      </c>
      <c r="K6186" t="s">
        <v>45</v>
      </c>
      <c r="L6186">
        <v>6</v>
      </c>
      <c r="M6186" t="s">
        <v>25121</v>
      </c>
      <c r="N6186" t="s">
        <v>47</v>
      </c>
      <c r="O6186" t="s">
        <v>9477</v>
      </c>
      <c r="P6186" t="s">
        <v>9477</v>
      </c>
      <c r="Y6186" t="s">
        <v>25128</v>
      </c>
    </row>
    <row r="6187" spans="1:25">
      <c r="A6187" t="s">
        <v>25129</v>
      </c>
      <c r="B6187" t="s">
        <v>25130</v>
      </c>
      <c r="D6187" t="s">
        <v>9473</v>
      </c>
      <c r="E6187" t="s">
        <v>9474</v>
      </c>
      <c r="J6187" t="s">
        <v>90</v>
      </c>
      <c r="K6187" t="s">
        <v>91</v>
      </c>
      <c r="L6187">
        <v>6</v>
      </c>
      <c r="M6187" t="s">
        <v>25131</v>
      </c>
      <c r="N6187" t="s">
        <v>47</v>
      </c>
      <c r="O6187" t="s">
        <v>9477</v>
      </c>
      <c r="P6187" t="s">
        <v>9477</v>
      </c>
      <c r="Y6187" t="s">
        <v>25132</v>
      </c>
    </row>
    <row r="6188" spans="1:25">
      <c r="A6188" t="s">
        <v>25133</v>
      </c>
      <c r="B6188" t="s">
        <v>25134</v>
      </c>
      <c r="D6188" t="s">
        <v>9473</v>
      </c>
      <c r="E6188" t="s">
        <v>9474</v>
      </c>
      <c r="J6188" t="s">
        <v>371</v>
      </c>
      <c r="K6188" t="s">
        <v>372</v>
      </c>
      <c r="L6188">
        <v>6</v>
      </c>
      <c r="M6188" t="s">
        <v>25131</v>
      </c>
      <c r="N6188" t="s">
        <v>47</v>
      </c>
      <c r="O6188" t="s">
        <v>9477</v>
      </c>
      <c r="P6188" t="s">
        <v>9477</v>
      </c>
      <c r="Y6188" t="s">
        <v>25135</v>
      </c>
    </row>
    <row r="6189" spans="1:25">
      <c r="A6189" t="s">
        <v>25136</v>
      </c>
      <c r="B6189" t="s">
        <v>25137</v>
      </c>
      <c r="D6189" t="s">
        <v>9473</v>
      </c>
      <c r="E6189" t="s">
        <v>9474</v>
      </c>
      <c r="J6189" t="s">
        <v>54</v>
      </c>
      <c r="K6189" t="s">
        <v>55</v>
      </c>
      <c r="L6189">
        <v>6</v>
      </c>
      <c r="M6189" t="s">
        <v>25131</v>
      </c>
      <c r="N6189" t="s">
        <v>47</v>
      </c>
      <c r="O6189" t="s">
        <v>9477</v>
      </c>
      <c r="P6189" t="s">
        <v>9477</v>
      </c>
      <c r="Y6189" t="s">
        <v>25138</v>
      </c>
    </row>
    <row r="6190" spans="1:25">
      <c r="A6190" t="s">
        <v>25139</v>
      </c>
      <c r="B6190" t="s">
        <v>25140</v>
      </c>
      <c r="D6190" t="s">
        <v>9473</v>
      </c>
      <c r="E6190" t="s">
        <v>9474</v>
      </c>
      <c r="H6190" t="s">
        <v>25141</v>
      </c>
      <c r="J6190" t="s">
        <v>90</v>
      </c>
      <c r="K6190" t="s">
        <v>91</v>
      </c>
      <c r="L6190">
        <v>6</v>
      </c>
      <c r="M6190" t="s">
        <v>25142</v>
      </c>
      <c r="N6190" t="s">
        <v>47</v>
      </c>
      <c r="O6190" t="s">
        <v>9477</v>
      </c>
      <c r="P6190" t="s">
        <v>9477</v>
      </c>
      <c r="Y6190" t="s">
        <v>25141</v>
      </c>
    </row>
    <row r="6191" spans="1:25">
      <c r="A6191" t="s">
        <v>25143</v>
      </c>
      <c r="B6191" t="s">
        <v>25144</v>
      </c>
      <c r="D6191" t="s">
        <v>9473</v>
      </c>
      <c r="E6191" t="s">
        <v>9474</v>
      </c>
      <c r="J6191" t="s">
        <v>44</v>
      </c>
      <c r="K6191" t="s">
        <v>45</v>
      </c>
      <c r="L6191">
        <v>6</v>
      </c>
      <c r="M6191" t="s">
        <v>25145</v>
      </c>
      <c r="N6191" t="s">
        <v>47</v>
      </c>
      <c r="O6191" t="s">
        <v>9477</v>
      </c>
      <c r="P6191" t="s">
        <v>9477</v>
      </c>
      <c r="Y6191" t="s">
        <v>25146</v>
      </c>
    </row>
    <row r="6192" spans="1:25">
      <c r="A6192" t="s">
        <v>25147</v>
      </c>
      <c r="B6192" t="s">
        <v>25148</v>
      </c>
      <c r="D6192" t="s">
        <v>9473</v>
      </c>
      <c r="E6192" t="s">
        <v>9474</v>
      </c>
      <c r="J6192" t="s">
        <v>90</v>
      </c>
      <c r="K6192" t="s">
        <v>91</v>
      </c>
      <c r="L6192">
        <v>6</v>
      </c>
      <c r="M6192" t="s">
        <v>25149</v>
      </c>
      <c r="N6192" t="s">
        <v>47</v>
      </c>
      <c r="O6192" t="s">
        <v>9477</v>
      </c>
      <c r="P6192" t="s">
        <v>9477</v>
      </c>
      <c r="Y6192" t="s">
        <v>25150</v>
      </c>
    </row>
    <row r="6193" spans="1:25">
      <c r="A6193" t="s">
        <v>25151</v>
      </c>
      <c r="B6193" t="s">
        <v>25152</v>
      </c>
      <c r="D6193" t="s">
        <v>9473</v>
      </c>
      <c r="E6193" t="s">
        <v>9474</v>
      </c>
      <c r="J6193" t="s">
        <v>54</v>
      </c>
      <c r="K6193" t="s">
        <v>55</v>
      </c>
      <c r="L6193">
        <v>6</v>
      </c>
      <c r="M6193" t="s">
        <v>25149</v>
      </c>
      <c r="N6193" t="s">
        <v>47</v>
      </c>
      <c r="O6193" t="s">
        <v>9477</v>
      </c>
      <c r="P6193" t="s">
        <v>9477</v>
      </c>
      <c r="Y6193" t="s">
        <v>25153</v>
      </c>
    </row>
    <row r="6194" spans="1:25">
      <c r="A6194" t="s">
        <v>25154</v>
      </c>
      <c r="B6194" t="s">
        <v>25155</v>
      </c>
      <c r="D6194" t="s">
        <v>9473</v>
      </c>
      <c r="E6194" t="s">
        <v>9474</v>
      </c>
      <c r="J6194" t="s">
        <v>78</v>
      </c>
      <c r="K6194" t="s">
        <v>79</v>
      </c>
      <c r="L6194">
        <v>6</v>
      </c>
      <c r="M6194" t="s">
        <v>25149</v>
      </c>
      <c r="N6194" t="s">
        <v>47</v>
      </c>
      <c r="O6194" t="s">
        <v>9477</v>
      </c>
      <c r="P6194" t="s">
        <v>9477</v>
      </c>
      <c r="Y6194" t="s">
        <v>25156</v>
      </c>
    </row>
    <row r="6195" spans="1:25">
      <c r="A6195" t="s">
        <v>25157</v>
      </c>
      <c r="B6195" t="s">
        <v>25158</v>
      </c>
      <c r="D6195" t="s">
        <v>9473</v>
      </c>
      <c r="E6195" t="s">
        <v>9474</v>
      </c>
      <c r="J6195" t="s">
        <v>44</v>
      </c>
      <c r="K6195" t="s">
        <v>45</v>
      </c>
      <c r="L6195">
        <v>6</v>
      </c>
      <c r="M6195" t="s">
        <v>25159</v>
      </c>
      <c r="N6195" t="s">
        <v>47</v>
      </c>
      <c r="O6195" t="s">
        <v>9477</v>
      </c>
      <c r="P6195" t="s">
        <v>9477</v>
      </c>
      <c r="Y6195" t="s">
        <v>25160</v>
      </c>
    </row>
    <row r="6196" spans="1:25">
      <c r="A6196" t="s">
        <v>25161</v>
      </c>
      <c r="B6196" t="s">
        <v>25162</v>
      </c>
      <c r="D6196" t="s">
        <v>9473</v>
      </c>
      <c r="E6196" t="s">
        <v>9474</v>
      </c>
      <c r="J6196" t="s">
        <v>44</v>
      </c>
      <c r="K6196" t="s">
        <v>45</v>
      </c>
      <c r="L6196">
        <v>6</v>
      </c>
      <c r="M6196" t="s">
        <v>25163</v>
      </c>
      <c r="N6196" t="s">
        <v>47</v>
      </c>
      <c r="O6196" t="s">
        <v>9477</v>
      </c>
      <c r="P6196" t="s">
        <v>9477</v>
      </c>
      <c r="Y6196" t="s">
        <v>25164</v>
      </c>
    </row>
    <row r="6197" spans="1:25">
      <c r="A6197" t="s">
        <v>25165</v>
      </c>
      <c r="B6197" t="s">
        <v>25166</v>
      </c>
      <c r="D6197" t="s">
        <v>9473</v>
      </c>
      <c r="E6197" t="s">
        <v>9474</v>
      </c>
      <c r="J6197" t="s">
        <v>44</v>
      </c>
      <c r="K6197" t="s">
        <v>45</v>
      </c>
      <c r="L6197">
        <v>6</v>
      </c>
      <c r="M6197" t="s">
        <v>25167</v>
      </c>
      <c r="N6197" t="s">
        <v>47</v>
      </c>
      <c r="O6197" t="s">
        <v>9477</v>
      </c>
      <c r="P6197" t="s">
        <v>9477</v>
      </c>
      <c r="Y6197" t="s">
        <v>25168</v>
      </c>
    </row>
    <row r="6198" spans="1:25">
      <c r="A6198" t="s">
        <v>25169</v>
      </c>
      <c r="B6198" t="s">
        <v>25170</v>
      </c>
      <c r="D6198" t="s">
        <v>9473</v>
      </c>
      <c r="E6198" t="s">
        <v>9474</v>
      </c>
      <c r="J6198" t="s">
        <v>133</v>
      </c>
      <c r="K6198" t="s">
        <v>134</v>
      </c>
      <c r="L6198">
        <v>6</v>
      </c>
      <c r="M6198" t="s">
        <v>25171</v>
      </c>
      <c r="N6198" t="s">
        <v>135</v>
      </c>
      <c r="O6198" t="s">
        <v>9477</v>
      </c>
      <c r="P6198" t="s">
        <v>9477</v>
      </c>
      <c r="Y6198" t="s">
        <v>25172</v>
      </c>
    </row>
    <row r="6199" spans="1:25">
      <c r="A6199" t="s">
        <v>25173</v>
      </c>
      <c r="B6199" t="s">
        <v>25174</v>
      </c>
      <c r="D6199" t="s">
        <v>9473</v>
      </c>
      <c r="E6199" t="s">
        <v>9474</v>
      </c>
      <c r="J6199" t="s">
        <v>44</v>
      </c>
      <c r="K6199" t="s">
        <v>45</v>
      </c>
      <c r="L6199">
        <v>6</v>
      </c>
      <c r="M6199" t="s">
        <v>25171</v>
      </c>
      <c r="N6199" t="s">
        <v>47</v>
      </c>
      <c r="O6199" t="s">
        <v>9477</v>
      </c>
      <c r="P6199" t="s">
        <v>9477</v>
      </c>
      <c r="Y6199" t="s">
        <v>25175</v>
      </c>
    </row>
    <row r="6200" spans="1:25">
      <c r="A6200" t="s">
        <v>25176</v>
      </c>
      <c r="B6200" t="s">
        <v>25177</v>
      </c>
      <c r="D6200" t="s">
        <v>9473</v>
      </c>
      <c r="E6200" t="s">
        <v>9474</v>
      </c>
      <c r="H6200" t="s">
        <v>25178</v>
      </c>
      <c r="J6200" t="s">
        <v>44</v>
      </c>
      <c r="K6200" t="s">
        <v>45</v>
      </c>
      <c r="L6200">
        <v>6</v>
      </c>
      <c r="M6200" t="s">
        <v>25171</v>
      </c>
      <c r="N6200" t="s">
        <v>47</v>
      </c>
      <c r="O6200" t="s">
        <v>9477</v>
      </c>
      <c r="P6200" t="s">
        <v>9477</v>
      </c>
      <c r="Y6200" t="s">
        <v>25178</v>
      </c>
    </row>
    <row r="6201" spans="1:25">
      <c r="A6201" t="s">
        <v>25179</v>
      </c>
      <c r="B6201" t="s">
        <v>25180</v>
      </c>
      <c r="D6201" t="s">
        <v>9473</v>
      </c>
      <c r="E6201" t="s">
        <v>9474</v>
      </c>
      <c r="J6201" t="s">
        <v>133</v>
      </c>
      <c r="K6201" t="s">
        <v>134</v>
      </c>
      <c r="L6201">
        <v>6</v>
      </c>
      <c r="M6201" t="s">
        <v>25181</v>
      </c>
      <c r="N6201" t="s">
        <v>685</v>
      </c>
      <c r="O6201" t="s">
        <v>9477</v>
      </c>
      <c r="P6201" t="s">
        <v>9477</v>
      </c>
      <c r="Y6201" t="s">
        <v>25182</v>
      </c>
    </row>
    <row r="6202" spans="1:25">
      <c r="A6202" t="s">
        <v>25183</v>
      </c>
      <c r="B6202" t="s">
        <v>25184</v>
      </c>
      <c r="D6202" t="s">
        <v>9473</v>
      </c>
      <c r="E6202" t="s">
        <v>9474</v>
      </c>
      <c r="J6202" t="s">
        <v>90</v>
      </c>
      <c r="K6202" t="s">
        <v>91</v>
      </c>
      <c r="L6202">
        <v>6</v>
      </c>
      <c r="M6202" t="s">
        <v>25181</v>
      </c>
      <c r="N6202" t="s">
        <v>47</v>
      </c>
      <c r="O6202" t="s">
        <v>9477</v>
      </c>
      <c r="P6202" t="s">
        <v>9477</v>
      </c>
      <c r="Y6202" t="s">
        <v>25185</v>
      </c>
    </row>
    <row r="6203" spans="1:25">
      <c r="A6203" t="s">
        <v>25186</v>
      </c>
      <c r="B6203" t="s">
        <v>25187</v>
      </c>
      <c r="D6203" t="s">
        <v>9473</v>
      </c>
      <c r="E6203" t="s">
        <v>9474</v>
      </c>
      <c r="J6203" t="s">
        <v>90</v>
      </c>
      <c r="K6203" t="s">
        <v>91</v>
      </c>
      <c r="L6203">
        <v>6</v>
      </c>
      <c r="M6203" t="s">
        <v>25188</v>
      </c>
      <c r="N6203" t="s">
        <v>47</v>
      </c>
      <c r="O6203" t="s">
        <v>9477</v>
      </c>
      <c r="P6203" t="s">
        <v>9477</v>
      </c>
      <c r="Y6203" t="s">
        <v>25189</v>
      </c>
    </row>
    <row r="6204" spans="1:25">
      <c r="A6204" t="s">
        <v>25190</v>
      </c>
      <c r="B6204" t="s">
        <v>25191</v>
      </c>
      <c r="D6204" t="s">
        <v>9473</v>
      </c>
      <c r="E6204" t="s">
        <v>9474</v>
      </c>
      <c r="H6204" t="s">
        <v>25192</v>
      </c>
      <c r="J6204" t="s">
        <v>497</v>
      </c>
      <c r="K6204" t="s">
        <v>498</v>
      </c>
      <c r="L6204">
        <v>6</v>
      </c>
      <c r="M6204" t="s">
        <v>25188</v>
      </c>
      <c r="N6204" t="s">
        <v>290</v>
      </c>
      <c r="O6204" t="s">
        <v>9477</v>
      </c>
      <c r="P6204" t="s">
        <v>9477</v>
      </c>
      <c r="Y6204" t="s">
        <v>25192</v>
      </c>
    </row>
    <row r="6205" spans="1:25">
      <c r="A6205" t="s">
        <v>25193</v>
      </c>
      <c r="B6205" t="s">
        <v>25194</v>
      </c>
      <c r="D6205" t="s">
        <v>9473</v>
      </c>
      <c r="E6205" t="s">
        <v>9474</v>
      </c>
      <c r="H6205" t="s">
        <v>25195</v>
      </c>
      <c r="J6205" t="s">
        <v>44</v>
      </c>
      <c r="K6205" t="s">
        <v>45</v>
      </c>
      <c r="L6205">
        <v>6</v>
      </c>
      <c r="M6205" t="s">
        <v>25196</v>
      </c>
      <c r="N6205" t="s">
        <v>47</v>
      </c>
      <c r="O6205" t="s">
        <v>9477</v>
      </c>
      <c r="P6205" t="s">
        <v>9477</v>
      </c>
      <c r="Y6205" t="s">
        <v>25195</v>
      </c>
    </row>
    <row r="6206" spans="1:25">
      <c r="A6206" t="s">
        <v>25197</v>
      </c>
      <c r="B6206" t="s">
        <v>25198</v>
      </c>
      <c r="D6206" t="s">
        <v>9473</v>
      </c>
      <c r="E6206" t="s">
        <v>9474</v>
      </c>
      <c r="J6206" t="s">
        <v>54</v>
      </c>
      <c r="K6206" t="s">
        <v>55</v>
      </c>
      <c r="L6206">
        <v>6</v>
      </c>
      <c r="M6206" t="s">
        <v>25199</v>
      </c>
      <c r="N6206" t="s">
        <v>47</v>
      </c>
      <c r="O6206" t="s">
        <v>9477</v>
      </c>
      <c r="P6206" t="s">
        <v>9477</v>
      </c>
      <c r="Y6206" t="s">
        <v>25200</v>
      </c>
    </row>
    <row r="6207" spans="1:25">
      <c r="A6207" t="s">
        <v>25201</v>
      </c>
      <c r="B6207" t="s">
        <v>25202</v>
      </c>
      <c r="D6207" t="s">
        <v>9473</v>
      </c>
      <c r="E6207" t="s">
        <v>9474</v>
      </c>
      <c r="J6207" t="s">
        <v>133</v>
      </c>
      <c r="K6207" t="s">
        <v>134</v>
      </c>
      <c r="L6207">
        <v>6</v>
      </c>
      <c r="M6207" t="s">
        <v>25203</v>
      </c>
      <c r="N6207" t="s">
        <v>685</v>
      </c>
      <c r="O6207" t="s">
        <v>9477</v>
      </c>
      <c r="P6207" t="s">
        <v>9477</v>
      </c>
      <c r="Y6207" t="s">
        <v>25204</v>
      </c>
    </row>
    <row r="6208" spans="1:25">
      <c r="A6208" t="s">
        <v>25205</v>
      </c>
      <c r="B6208" t="s">
        <v>25206</v>
      </c>
      <c r="D6208" t="s">
        <v>9473</v>
      </c>
      <c r="E6208" t="s">
        <v>9474</v>
      </c>
      <c r="J6208" t="s">
        <v>44</v>
      </c>
      <c r="K6208" t="s">
        <v>45</v>
      </c>
      <c r="L6208">
        <v>6</v>
      </c>
      <c r="M6208" t="s">
        <v>25207</v>
      </c>
      <c r="N6208" t="s">
        <v>47</v>
      </c>
      <c r="O6208" t="s">
        <v>9477</v>
      </c>
      <c r="P6208" t="s">
        <v>9477</v>
      </c>
      <c r="Y6208" t="s">
        <v>25208</v>
      </c>
    </row>
    <row r="6209" spans="1:25">
      <c r="A6209" t="s">
        <v>25209</v>
      </c>
      <c r="B6209" t="s">
        <v>25210</v>
      </c>
      <c r="D6209" t="s">
        <v>9473</v>
      </c>
      <c r="E6209" t="s">
        <v>9474</v>
      </c>
      <c r="J6209" t="s">
        <v>78</v>
      </c>
      <c r="K6209" t="s">
        <v>79</v>
      </c>
      <c r="L6209">
        <v>6</v>
      </c>
      <c r="M6209" t="s">
        <v>25211</v>
      </c>
      <c r="N6209" t="s">
        <v>47</v>
      </c>
      <c r="O6209" t="s">
        <v>9477</v>
      </c>
      <c r="P6209" t="s">
        <v>9477</v>
      </c>
      <c r="Y6209" t="s">
        <v>25212</v>
      </c>
    </row>
    <row r="6210" spans="1:25">
      <c r="A6210" t="s">
        <v>25213</v>
      </c>
      <c r="B6210" t="s">
        <v>25214</v>
      </c>
      <c r="D6210" t="s">
        <v>9473</v>
      </c>
      <c r="E6210" t="s">
        <v>9474</v>
      </c>
      <c r="J6210" t="s">
        <v>54</v>
      </c>
      <c r="K6210" t="s">
        <v>55</v>
      </c>
      <c r="L6210">
        <v>6</v>
      </c>
      <c r="M6210" t="s">
        <v>25211</v>
      </c>
      <c r="N6210" t="s">
        <v>47</v>
      </c>
      <c r="O6210" t="s">
        <v>9477</v>
      </c>
      <c r="P6210" t="s">
        <v>9477</v>
      </c>
      <c r="Y6210" t="s">
        <v>25215</v>
      </c>
    </row>
    <row r="6211" spans="1:25">
      <c r="A6211" t="s">
        <v>25216</v>
      </c>
      <c r="B6211" t="s">
        <v>25217</v>
      </c>
      <c r="D6211" t="s">
        <v>9473</v>
      </c>
      <c r="E6211" t="s">
        <v>9474</v>
      </c>
      <c r="J6211" t="s">
        <v>78</v>
      </c>
      <c r="K6211" t="s">
        <v>79</v>
      </c>
      <c r="L6211">
        <v>6</v>
      </c>
      <c r="M6211" t="s">
        <v>25211</v>
      </c>
      <c r="N6211" t="s">
        <v>47</v>
      </c>
      <c r="O6211" t="s">
        <v>9477</v>
      </c>
      <c r="P6211" t="s">
        <v>9477</v>
      </c>
      <c r="Y6211" t="s">
        <v>25218</v>
      </c>
    </row>
    <row r="6212" spans="1:25">
      <c r="A6212" t="s">
        <v>25219</v>
      </c>
      <c r="B6212" t="s">
        <v>25220</v>
      </c>
      <c r="D6212" t="s">
        <v>9473</v>
      </c>
      <c r="E6212" t="s">
        <v>9474</v>
      </c>
      <c r="H6212" t="s">
        <v>25221</v>
      </c>
      <c r="J6212" t="s">
        <v>90</v>
      </c>
      <c r="K6212" t="s">
        <v>91</v>
      </c>
      <c r="L6212">
        <v>6</v>
      </c>
      <c r="M6212" t="s">
        <v>25211</v>
      </c>
      <c r="N6212" t="s">
        <v>47</v>
      </c>
      <c r="O6212" t="s">
        <v>9477</v>
      </c>
      <c r="P6212" t="s">
        <v>9477</v>
      </c>
      <c r="Y6212" t="s">
        <v>25221</v>
      </c>
    </row>
    <row r="6213" spans="1:25">
      <c r="A6213" t="s">
        <v>25222</v>
      </c>
      <c r="B6213" t="s">
        <v>25223</v>
      </c>
      <c r="D6213" t="s">
        <v>9473</v>
      </c>
      <c r="E6213" t="s">
        <v>9474</v>
      </c>
      <c r="J6213" t="s">
        <v>44</v>
      </c>
      <c r="K6213" t="s">
        <v>45</v>
      </c>
      <c r="L6213">
        <v>6</v>
      </c>
      <c r="M6213" t="s">
        <v>25211</v>
      </c>
      <c r="N6213" t="s">
        <v>47</v>
      </c>
      <c r="O6213" t="s">
        <v>9477</v>
      </c>
      <c r="P6213" t="s">
        <v>9477</v>
      </c>
      <c r="Y6213" t="s">
        <v>25224</v>
      </c>
    </row>
    <row r="6214" spans="1:25">
      <c r="A6214" t="s">
        <v>25225</v>
      </c>
      <c r="B6214" t="s">
        <v>25226</v>
      </c>
      <c r="D6214" t="s">
        <v>9473</v>
      </c>
      <c r="E6214" t="s">
        <v>9474</v>
      </c>
      <c r="J6214" t="s">
        <v>133</v>
      </c>
      <c r="K6214" t="s">
        <v>134</v>
      </c>
      <c r="L6214">
        <v>6</v>
      </c>
      <c r="M6214" t="s">
        <v>25227</v>
      </c>
      <c r="N6214" t="s">
        <v>135</v>
      </c>
      <c r="O6214" t="s">
        <v>9477</v>
      </c>
      <c r="P6214" t="s">
        <v>9477</v>
      </c>
      <c r="Y6214" t="s">
        <v>25228</v>
      </c>
    </row>
    <row r="6215" spans="1:25">
      <c r="A6215" t="s">
        <v>25229</v>
      </c>
      <c r="B6215" t="s">
        <v>25230</v>
      </c>
      <c r="D6215" t="s">
        <v>9473</v>
      </c>
      <c r="E6215" t="s">
        <v>9474</v>
      </c>
      <c r="J6215" t="s">
        <v>90</v>
      </c>
      <c r="K6215" t="s">
        <v>91</v>
      </c>
      <c r="L6215">
        <v>6</v>
      </c>
      <c r="M6215" t="s">
        <v>25227</v>
      </c>
      <c r="N6215" t="s">
        <v>47</v>
      </c>
      <c r="O6215" t="s">
        <v>9477</v>
      </c>
      <c r="P6215" t="s">
        <v>9477</v>
      </c>
      <c r="Y6215" t="s">
        <v>25231</v>
      </c>
    </row>
    <row r="6216" spans="1:25">
      <c r="A6216" t="s">
        <v>25232</v>
      </c>
      <c r="B6216" t="s">
        <v>25233</v>
      </c>
      <c r="D6216" t="s">
        <v>9473</v>
      </c>
      <c r="E6216" t="s">
        <v>9474</v>
      </c>
      <c r="J6216" t="s">
        <v>371</v>
      </c>
      <c r="K6216" t="s">
        <v>372</v>
      </c>
      <c r="L6216">
        <v>6</v>
      </c>
      <c r="M6216" t="s">
        <v>25234</v>
      </c>
      <c r="N6216" t="s">
        <v>47</v>
      </c>
      <c r="O6216" t="s">
        <v>9477</v>
      </c>
      <c r="P6216" t="s">
        <v>9477</v>
      </c>
      <c r="Y6216" t="s">
        <v>25235</v>
      </c>
    </row>
    <row r="6217" spans="1:25">
      <c r="A6217" t="s">
        <v>25236</v>
      </c>
      <c r="B6217" t="s">
        <v>25237</v>
      </c>
      <c r="D6217" t="s">
        <v>9473</v>
      </c>
      <c r="E6217" t="s">
        <v>9474</v>
      </c>
      <c r="J6217" t="s">
        <v>90</v>
      </c>
      <c r="K6217" t="s">
        <v>91</v>
      </c>
      <c r="L6217">
        <v>6</v>
      </c>
      <c r="M6217" t="s">
        <v>25234</v>
      </c>
      <c r="N6217" t="s">
        <v>47</v>
      </c>
      <c r="O6217" t="s">
        <v>9477</v>
      </c>
      <c r="P6217" t="s">
        <v>9477</v>
      </c>
      <c r="Y6217" t="s">
        <v>25238</v>
      </c>
    </row>
    <row r="6218" spans="1:25">
      <c r="A6218" t="s">
        <v>25239</v>
      </c>
      <c r="B6218" t="s">
        <v>25240</v>
      </c>
      <c r="D6218" t="s">
        <v>9473</v>
      </c>
      <c r="E6218" t="s">
        <v>9474</v>
      </c>
      <c r="J6218" t="s">
        <v>90</v>
      </c>
      <c r="K6218" t="s">
        <v>91</v>
      </c>
      <c r="L6218">
        <v>6</v>
      </c>
      <c r="M6218" t="s">
        <v>25241</v>
      </c>
      <c r="N6218" t="s">
        <v>47</v>
      </c>
      <c r="O6218" t="s">
        <v>9477</v>
      </c>
      <c r="P6218" t="s">
        <v>9477</v>
      </c>
      <c r="Y6218" t="s">
        <v>25242</v>
      </c>
    </row>
    <row r="6219" spans="1:25">
      <c r="A6219" t="s">
        <v>25243</v>
      </c>
      <c r="B6219" t="s">
        <v>25244</v>
      </c>
      <c r="D6219" t="s">
        <v>9473</v>
      </c>
      <c r="E6219" t="s">
        <v>9474</v>
      </c>
      <c r="J6219" t="s">
        <v>353</v>
      </c>
      <c r="K6219" t="s">
        <v>354</v>
      </c>
      <c r="L6219">
        <v>6</v>
      </c>
      <c r="M6219" t="s">
        <v>25245</v>
      </c>
      <c r="N6219" t="s">
        <v>685</v>
      </c>
      <c r="O6219" t="s">
        <v>9477</v>
      </c>
      <c r="P6219" t="s">
        <v>9477</v>
      </c>
      <c r="Y6219" t="s">
        <v>25246</v>
      </c>
    </row>
    <row r="6220" spans="1:25">
      <c r="A6220" t="s">
        <v>25247</v>
      </c>
      <c r="B6220" t="s">
        <v>25248</v>
      </c>
      <c r="D6220" t="s">
        <v>9473</v>
      </c>
      <c r="E6220" t="s">
        <v>9474</v>
      </c>
      <c r="H6220" t="s">
        <v>25249</v>
      </c>
      <c r="J6220" t="s">
        <v>90</v>
      </c>
      <c r="K6220" t="s">
        <v>91</v>
      </c>
      <c r="L6220">
        <v>6</v>
      </c>
      <c r="M6220" t="s">
        <v>25250</v>
      </c>
      <c r="N6220" t="s">
        <v>47</v>
      </c>
      <c r="O6220" t="s">
        <v>9477</v>
      </c>
      <c r="P6220" t="s">
        <v>9477</v>
      </c>
      <c r="Y6220" t="s">
        <v>25249</v>
      </c>
    </row>
    <row r="6221" spans="1:25">
      <c r="A6221" t="s">
        <v>25251</v>
      </c>
      <c r="B6221" t="s">
        <v>25252</v>
      </c>
      <c r="D6221" t="s">
        <v>9473</v>
      </c>
      <c r="E6221" t="s">
        <v>9474</v>
      </c>
      <c r="J6221" t="s">
        <v>90</v>
      </c>
      <c r="K6221" t="s">
        <v>91</v>
      </c>
      <c r="L6221">
        <v>6</v>
      </c>
      <c r="M6221" t="s">
        <v>25250</v>
      </c>
      <c r="N6221" t="s">
        <v>47</v>
      </c>
      <c r="O6221" t="s">
        <v>9477</v>
      </c>
      <c r="P6221" t="s">
        <v>9477</v>
      </c>
      <c r="Y6221" t="s">
        <v>25253</v>
      </c>
    </row>
    <row r="6222" spans="1:25">
      <c r="A6222" t="s">
        <v>25254</v>
      </c>
      <c r="B6222" t="s">
        <v>25255</v>
      </c>
      <c r="D6222" t="s">
        <v>9473</v>
      </c>
      <c r="E6222" t="s">
        <v>9474</v>
      </c>
      <c r="J6222" t="s">
        <v>90</v>
      </c>
      <c r="K6222" t="s">
        <v>91</v>
      </c>
      <c r="L6222">
        <v>6</v>
      </c>
      <c r="M6222" t="s">
        <v>25256</v>
      </c>
      <c r="N6222" t="s">
        <v>47</v>
      </c>
      <c r="O6222" t="s">
        <v>9477</v>
      </c>
      <c r="P6222" t="s">
        <v>9477</v>
      </c>
      <c r="Y6222" t="s">
        <v>25257</v>
      </c>
    </row>
    <row r="6223" spans="1:25">
      <c r="A6223" t="s">
        <v>25258</v>
      </c>
      <c r="B6223" t="s">
        <v>25259</v>
      </c>
      <c r="D6223" t="s">
        <v>9473</v>
      </c>
      <c r="E6223" t="s">
        <v>9474</v>
      </c>
      <c r="J6223" t="s">
        <v>44</v>
      </c>
      <c r="K6223" t="s">
        <v>45</v>
      </c>
      <c r="L6223">
        <v>6</v>
      </c>
      <c r="M6223" t="s">
        <v>25260</v>
      </c>
      <c r="N6223" t="s">
        <v>47</v>
      </c>
      <c r="O6223" t="s">
        <v>9477</v>
      </c>
      <c r="P6223" t="s">
        <v>9477</v>
      </c>
      <c r="Y6223" t="s">
        <v>25261</v>
      </c>
    </row>
    <row r="6224" spans="1:25">
      <c r="A6224" t="s">
        <v>25262</v>
      </c>
      <c r="B6224" t="s">
        <v>25263</v>
      </c>
      <c r="D6224" t="s">
        <v>9473</v>
      </c>
      <c r="E6224" t="s">
        <v>9474</v>
      </c>
      <c r="J6224" t="s">
        <v>54</v>
      </c>
      <c r="K6224" t="s">
        <v>55</v>
      </c>
      <c r="L6224">
        <v>6</v>
      </c>
      <c r="M6224" t="s">
        <v>25264</v>
      </c>
      <c r="N6224" t="s">
        <v>47</v>
      </c>
      <c r="O6224" t="s">
        <v>9477</v>
      </c>
      <c r="P6224" t="s">
        <v>9477</v>
      </c>
      <c r="Y6224" t="s">
        <v>25265</v>
      </c>
    </row>
    <row r="6225" spans="1:25">
      <c r="A6225" t="s">
        <v>25266</v>
      </c>
      <c r="B6225" t="s">
        <v>25267</v>
      </c>
      <c r="D6225" t="s">
        <v>9473</v>
      </c>
      <c r="E6225" t="s">
        <v>9474</v>
      </c>
      <c r="J6225" t="s">
        <v>44</v>
      </c>
      <c r="K6225" t="s">
        <v>45</v>
      </c>
      <c r="L6225">
        <v>6</v>
      </c>
      <c r="M6225" t="s">
        <v>25264</v>
      </c>
      <c r="N6225" t="s">
        <v>47</v>
      </c>
      <c r="O6225" t="s">
        <v>9477</v>
      </c>
      <c r="P6225" t="s">
        <v>9477</v>
      </c>
      <c r="Y6225" t="s">
        <v>25268</v>
      </c>
    </row>
    <row r="6226" spans="1:25">
      <c r="A6226" t="s">
        <v>25269</v>
      </c>
      <c r="B6226" t="s">
        <v>25270</v>
      </c>
      <c r="D6226" t="s">
        <v>9473</v>
      </c>
      <c r="E6226" t="s">
        <v>9474</v>
      </c>
      <c r="J6226" t="s">
        <v>78</v>
      </c>
      <c r="K6226" t="s">
        <v>79</v>
      </c>
      <c r="L6226">
        <v>6</v>
      </c>
      <c r="M6226" t="s">
        <v>25264</v>
      </c>
      <c r="N6226" t="s">
        <v>47</v>
      </c>
      <c r="O6226" t="s">
        <v>9477</v>
      </c>
      <c r="P6226" t="s">
        <v>9477</v>
      </c>
      <c r="Y6226" t="s">
        <v>25271</v>
      </c>
    </row>
    <row r="6227" spans="1:25">
      <c r="A6227" t="s">
        <v>25272</v>
      </c>
      <c r="B6227" t="s">
        <v>25273</v>
      </c>
      <c r="D6227" t="s">
        <v>9473</v>
      </c>
      <c r="E6227" t="s">
        <v>9474</v>
      </c>
      <c r="J6227" t="s">
        <v>54</v>
      </c>
      <c r="K6227" t="s">
        <v>55</v>
      </c>
      <c r="L6227">
        <v>6</v>
      </c>
      <c r="M6227" t="s">
        <v>25264</v>
      </c>
      <c r="N6227" t="s">
        <v>47</v>
      </c>
      <c r="O6227" t="s">
        <v>9477</v>
      </c>
      <c r="P6227" t="s">
        <v>9477</v>
      </c>
      <c r="Y6227" t="s">
        <v>25274</v>
      </c>
    </row>
    <row r="6228" spans="1:25">
      <c r="A6228" t="s">
        <v>25275</v>
      </c>
      <c r="B6228" t="s">
        <v>25276</v>
      </c>
      <c r="D6228" t="s">
        <v>9473</v>
      </c>
      <c r="E6228" t="s">
        <v>9474</v>
      </c>
      <c r="J6228" t="s">
        <v>133</v>
      </c>
      <c r="K6228" t="s">
        <v>134</v>
      </c>
      <c r="L6228">
        <v>6</v>
      </c>
      <c r="M6228" t="s">
        <v>25277</v>
      </c>
      <c r="N6228" t="s">
        <v>290</v>
      </c>
      <c r="O6228" t="s">
        <v>9477</v>
      </c>
      <c r="P6228" t="s">
        <v>9477</v>
      </c>
      <c r="Y6228" t="s">
        <v>25278</v>
      </c>
    </row>
    <row r="6229" spans="1:25">
      <c r="A6229" t="s">
        <v>25279</v>
      </c>
      <c r="B6229" t="s">
        <v>25280</v>
      </c>
      <c r="D6229" t="s">
        <v>9473</v>
      </c>
      <c r="E6229" t="s">
        <v>9474</v>
      </c>
      <c r="J6229" t="s">
        <v>133</v>
      </c>
      <c r="K6229" t="s">
        <v>134</v>
      </c>
      <c r="L6229">
        <v>6</v>
      </c>
      <c r="M6229" t="s">
        <v>25281</v>
      </c>
      <c r="N6229" t="s">
        <v>135</v>
      </c>
      <c r="O6229" t="s">
        <v>9477</v>
      </c>
      <c r="P6229" t="s">
        <v>9477</v>
      </c>
      <c r="Y6229" t="s">
        <v>25282</v>
      </c>
    </row>
    <row r="6230" spans="1:25">
      <c r="A6230" t="s">
        <v>25283</v>
      </c>
      <c r="B6230" t="s">
        <v>25284</v>
      </c>
      <c r="D6230" t="s">
        <v>9473</v>
      </c>
      <c r="E6230" t="s">
        <v>9474</v>
      </c>
      <c r="J6230" t="s">
        <v>44</v>
      </c>
      <c r="K6230" t="s">
        <v>45</v>
      </c>
      <c r="L6230">
        <v>6</v>
      </c>
      <c r="M6230" t="s">
        <v>25281</v>
      </c>
      <c r="N6230" t="s">
        <v>47</v>
      </c>
      <c r="O6230" t="s">
        <v>9477</v>
      </c>
      <c r="P6230" t="s">
        <v>9477</v>
      </c>
      <c r="Y6230" t="s">
        <v>25285</v>
      </c>
    </row>
    <row r="6231" spans="1:25">
      <c r="A6231" t="s">
        <v>25286</v>
      </c>
      <c r="B6231" t="s">
        <v>25287</v>
      </c>
      <c r="D6231" t="s">
        <v>9473</v>
      </c>
      <c r="E6231" t="s">
        <v>9474</v>
      </c>
      <c r="H6231" t="s">
        <v>25288</v>
      </c>
      <c r="J6231" t="s">
        <v>54</v>
      </c>
      <c r="K6231" t="s">
        <v>55</v>
      </c>
      <c r="L6231">
        <v>6</v>
      </c>
      <c r="M6231" t="s">
        <v>25289</v>
      </c>
      <c r="N6231" t="s">
        <v>47</v>
      </c>
      <c r="O6231" t="s">
        <v>9477</v>
      </c>
      <c r="P6231" t="s">
        <v>9477</v>
      </c>
      <c r="Y6231" t="s">
        <v>25288</v>
      </c>
    </row>
    <row r="6232" spans="1:25">
      <c r="A6232" t="s">
        <v>25290</v>
      </c>
      <c r="B6232" t="s">
        <v>25291</v>
      </c>
      <c r="D6232" t="s">
        <v>9473</v>
      </c>
      <c r="E6232" t="s">
        <v>9474</v>
      </c>
      <c r="J6232" t="s">
        <v>44</v>
      </c>
      <c r="K6232" t="s">
        <v>45</v>
      </c>
      <c r="L6232">
        <v>6</v>
      </c>
      <c r="M6232" t="s">
        <v>25289</v>
      </c>
      <c r="N6232" t="s">
        <v>47</v>
      </c>
      <c r="O6232" t="s">
        <v>9477</v>
      </c>
      <c r="P6232" t="s">
        <v>9477</v>
      </c>
      <c r="Y6232" t="s">
        <v>25292</v>
      </c>
    </row>
    <row r="6233" spans="1:25">
      <c r="A6233" t="s">
        <v>25293</v>
      </c>
      <c r="B6233" t="s">
        <v>25294</v>
      </c>
      <c r="D6233" t="s">
        <v>9473</v>
      </c>
      <c r="E6233" t="s">
        <v>9474</v>
      </c>
      <c r="J6233" t="s">
        <v>78</v>
      </c>
      <c r="K6233" t="s">
        <v>79</v>
      </c>
      <c r="L6233">
        <v>6</v>
      </c>
      <c r="M6233" t="s">
        <v>25289</v>
      </c>
      <c r="N6233" t="s">
        <v>47</v>
      </c>
      <c r="O6233" t="s">
        <v>9477</v>
      </c>
      <c r="P6233" t="s">
        <v>9477</v>
      </c>
      <c r="Y6233" t="s">
        <v>25295</v>
      </c>
    </row>
    <row r="6234" spans="1:25">
      <c r="A6234" t="s">
        <v>25296</v>
      </c>
      <c r="B6234" t="s">
        <v>25297</v>
      </c>
      <c r="D6234" t="s">
        <v>9473</v>
      </c>
      <c r="E6234" t="s">
        <v>9474</v>
      </c>
      <c r="J6234" t="s">
        <v>133</v>
      </c>
      <c r="K6234" t="s">
        <v>134</v>
      </c>
      <c r="L6234">
        <v>6</v>
      </c>
      <c r="M6234" t="s">
        <v>25298</v>
      </c>
      <c r="N6234" t="s">
        <v>290</v>
      </c>
      <c r="O6234" t="s">
        <v>9477</v>
      </c>
      <c r="P6234" t="s">
        <v>9477</v>
      </c>
      <c r="Y6234" t="s">
        <v>25299</v>
      </c>
    </row>
    <row r="6235" spans="1:25">
      <c r="A6235" t="s">
        <v>25300</v>
      </c>
      <c r="B6235" t="s">
        <v>25301</v>
      </c>
      <c r="D6235" t="s">
        <v>9473</v>
      </c>
      <c r="E6235" t="s">
        <v>9474</v>
      </c>
      <c r="J6235" t="s">
        <v>54</v>
      </c>
      <c r="K6235" t="s">
        <v>55</v>
      </c>
      <c r="L6235">
        <v>6</v>
      </c>
      <c r="M6235" t="s">
        <v>25302</v>
      </c>
      <c r="N6235" t="s">
        <v>47</v>
      </c>
      <c r="O6235" t="s">
        <v>9477</v>
      </c>
      <c r="P6235" t="s">
        <v>9477</v>
      </c>
      <c r="Y6235" t="s">
        <v>25303</v>
      </c>
    </row>
    <row r="6236" spans="1:25">
      <c r="A6236" t="s">
        <v>25304</v>
      </c>
      <c r="B6236" t="s">
        <v>25305</v>
      </c>
      <c r="D6236" t="s">
        <v>9473</v>
      </c>
      <c r="E6236" t="s">
        <v>9474</v>
      </c>
      <c r="H6236" t="s">
        <v>25306</v>
      </c>
      <c r="J6236" t="s">
        <v>90</v>
      </c>
      <c r="K6236" t="s">
        <v>91</v>
      </c>
      <c r="L6236">
        <v>6</v>
      </c>
      <c r="M6236" t="s">
        <v>25302</v>
      </c>
      <c r="N6236" t="s">
        <v>47</v>
      </c>
      <c r="O6236" t="s">
        <v>9477</v>
      </c>
      <c r="P6236" t="s">
        <v>9477</v>
      </c>
      <c r="Y6236" t="s">
        <v>25306</v>
      </c>
    </row>
    <row r="6237" spans="1:25">
      <c r="A6237" t="s">
        <v>25307</v>
      </c>
      <c r="B6237" t="s">
        <v>25308</v>
      </c>
      <c r="D6237" t="s">
        <v>9473</v>
      </c>
      <c r="E6237" t="s">
        <v>9474</v>
      </c>
      <c r="H6237" t="s">
        <v>25309</v>
      </c>
      <c r="J6237" t="s">
        <v>133</v>
      </c>
      <c r="K6237" t="s">
        <v>134</v>
      </c>
      <c r="L6237">
        <v>6</v>
      </c>
      <c r="M6237" t="s">
        <v>25302</v>
      </c>
      <c r="N6237" t="s">
        <v>135</v>
      </c>
      <c r="O6237" t="s">
        <v>9477</v>
      </c>
      <c r="P6237" t="s">
        <v>9477</v>
      </c>
      <c r="Y6237" t="s">
        <v>25309</v>
      </c>
    </row>
    <row r="6238" spans="1:25">
      <c r="A6238" t="s">
        <v>25310</v>
      </c>
      <c r="B6238" t="s">
        <v>25311</v>
      </c>
      <c r="D6238" t="s">
        <v>9473</v>
      </c>
      <c r="E6238" t="s">
        <v>9474</v>
      </c>
      <c r="H6238" t="s">
        <v>25312</v>
      </c>
      <c r="J6238" t="s">
        <v>90</v>
      </c>
      <c r="K6238" t="s">
        <v>91</v>
      </c>
      <c r="L6238">
        <v>6</v>
      </c>
      <c r="M6238" t="s">
        <v>25313</v>
      </c>
      <c r="N6238" t="s">
        <v>47</v>
      </c>
      <c r="O6238" t="s">
        <v>9477</v>
      </c>
      <c r="P6238" t="s">
        <v>9477</v>
      </c>
      <c r="Y6238" t="s">
        <v>25312</v>
      </c>
    </row>
    <row r="6239" spans="1:25">
      <c r="A6239" t="s">
        <v>25314</v>
      </c>
      <c r="B6239" t="s">
        <v>25315</v>
      </c>
      <c r="D6239" t="s">
        <v>9473</v>
      </c>
      <c r="E6239" t="s">
        <v>9474</v>
      </c>
      <c r="J6239" t="s">
        <v>44</v>
      </c>
      <c r="K6239" t="s">
        <v>45</v>
      </c>
      <c r="L6239">
        <v>6</v>
      </c>
      <c r="M6239" t="s">
        <v>25313</v>
      </c>
      <c r="N6239" t="s">
        <v>47</v>
      </c>
      <c r="O6239" t="s">
        <v>9477</v>
      </c>
      <c r="P6239" t="s">
        <v>9477</v>
      </c>
      <c r="Y6239" t="s">
        <v>25316</v>
      </c>
    </row>
    <row r="6240" spans="1:25">
      <c r="A6240" t="s">
        <v>25317</v>
      </c>
      <c r="B6240" t="s">
        <v>25318</v>
      </c>
      <c r="D6240" t="s">
        <v>9473</v>
      </c>
      <c r="E6240" t="s">
        <v>9474</v>
      </c>
      <c r="J6240" t="s">
        <v>90</v>
      </c>
      <c r="K6240" t="s">
        <v>91</v>
      </c>
      <c r="L6240">
        <v>6</v>
      </c>
      <c r="M6240" t="s">
        <v>25319</v>
      </c>
      <c r="N6240" t="s">
        <v>47</v>
      </c>
      <c r="O6240" t="s">
        <v>9477</v>
      </c>
      <c r="P6240" t="s">
        <v>9477</v>
      </c>
      <c r="Y6240" t="s">
        <v>25320</v>
      </c>
    </row>
    <row r="6241" spans="1:25">
      <c r="A6241" t="s">
        <v>25321</v>
      </c>
      <c r="B6241" t="s">
        <v>25322</v>
      </c>
      <c r="D6241" t="s">
        <v>9473</v>
      </c>
      <c r="E6241" t="s">
        <v>9474</v>
      </c>
      <c r="J6241" t="s">
        <v>44</v>
      </c>
      <c r="K6241" t="s">
        <v>45</v>
      </c>
      <c r="L6241">
        <v>6</v>
      </c>
      <c r="M6241" t="s">
        <v>25323</v>
      </c>
      <c r="N6241" t="s">
        <v>47</v>
      </c>
      <c r="O6241" t="s">
        <v>9477</v>
      </c>
      <c r="P6241" t="s">
        <v>9477</v>
      </c>
      <c r="Y6241" t="s">
        <v>25324</v>
      </c>
    </row>
    <row r="6242" spans="1:25">
      <c r="A6242" t="s">
        <v>25325</v>
      </c>
      <c r="B6242" t="s">
        <v>25326</v>
      </c>
      <c r="D6242" t="s">
        <v>9473</v>
      </c>
      <c r="E6242" t="s">
        <v>9474</v>
      </c>
      <c r="J6242" t="s">
        <v>54</v>
      </c>
      <c r="K6242" t="s">
        <v>55</v>
      </c>
      <c r="L6242">
        <v>6</v>
      </c>
      <c r="M6242" t="s">
        <v>25323</v>
      </c>
      <c r="N6242" t="s">
        <v>47</v>
      </c>
      <c r="O6242" t="s">
        <v>9477</v>
      </c>
      <c r="P6242" t="s">
        <v>9477</v>
      </c>
      <c r="Y6242" t="s">
        <v>25327</v>
      </c>
    </row>
    <row r="6243" spans="1:25">
      <c r="A6243" t="s">
        <v>25328</v>
      </c>
      <c r="B6243" t="s">
        <v>25329</v>
      </c>
      <c r="D6243" t="s">
        <v>9473</v>
      </c>
      <c r="E6243" t="s">
        <v>9474</v>
      </c>
      <c r="J6243" t="s">
        <v>133</v>
      </c>
      <c r="K6243" t="s">
        <v>134</v>
      </c>
      <c r="L6243">
        <v>6</v>
      </c>
      <c r="M6243" t="s">
        <v>25330</v>
      </c>
      <c r="N6243" t="s">
        <v>135</v>
      </c>
      <c r="O6243" t="s">
        <v>9477</v>
      </c>
      <c r="P6243" t="s">
        <v>9477</v>
      </c>
      <c r="Y6243" t="s">
        <v>25331</v>
      </c>
    </row>
    <row r="6244" spans="1:25">
      <c r="A6244" t="s">
        <v>25332</v>
      </c>
      <c r="B6244" t="s">
        <v>25333</v>
      </c>
      <c r="D6244" t="s">
        <v>9473</v>
      </c>
      <c r="E6244" t="s">
        <v>9474</v>
      </c>
      <c r="H6244" t="s">
        <v>25334</v>
      </c>
      <c r="J6244" t="s">
        <v>133</v>
      </c>
      <c r="K6244" t="s">
        <v>134</v>
      </c>
      <c r="L6244">
        <v>6</v>
      </c>
      <c r="M6244" t="s">
        <v>25330</v>
      </c>
      <c r="N6244" t="s">
        <v>685</v>
      </c>
      <c r="O6244" t="s">
        <v>9477</v>
      </c>
      <c r="P6244" t="s">
        <v>9477</v>
      </c>
      <c r="Y6244" t="s">
        <v>25334</v>
      </c>
    </row>
    <row r="6245" spans="1:25">
      <c r="A6245" t="s">
        <v>25335</v>
      </c>
      <c r="B6245" t="s">
        <v>25336</v>
      </c>
      <c r="D6245" t="s">
        <v>9473</v>
      </c>
      <c r="E6245" t="s">
        <v>9474</v>
      </c>
      <c r="J6245" t="s">
        <v>90</v>
      </c>
      <c r="K6245" t="s">
        <v>91</v>
      </c>
      <c r="L6245">
        <v>6</v>
      </c>
      <c r="M6245" t="s">
        <v>25330</v>
      </c>
      <c r="N6245" t="s">
        <v>47</v>
      </c>
      <c r="O6245" t="s">
        <v>9477</v>
      </c>
      <c r="P6245" t="s">
        <v>9477</v>
      </c>
      <c r="Y6245" t="s">
        <v>25337</v>
      </c>
    </row>
    <row r="6246" spans="1:25">
      <c r="A6246" t="s">
        <v>25338</v>
      </c>
      <c r="B6246" t="s">
        <v>25339</v>
      </c>
      <c r="D6246" t="s">
        <v>9473</v>
      </c>
      <c r="E6246" t="s">
        <v>9474</v>
      </c>
      <c r="H6246" t="s">
        <v>25340</v>
      </c>
      <c r="J6246" t="s">
        <v>90</v>
      </c>
      <c r="K6246" t="s">
        <v>91</v>
      </c>
      <c r="L6246">
        <v>6</v>
      </c>
      <c r="M6246" t="s">
        <v>25330</v>
      </c>
      <c r="N6246" t="s">
        <v>47</v>
      </c>
      <c r="O6246" t="s">
        <v>9477</v>
      </c>
      <c r="P6246" t="s">
        <v>9477</v>
      </c>
      <c r="Y6246" t="s">
        <v>25340</v>
      </c>
    </row>
    <row r="6247" spans="1:25">
      <c r="A6247" t="s">
        <v>25341</v>
      </c>
      <c r="B6247" t="s">
        <v>25342</v>
      </c>
      <c r="D6247" t="s">
        <v>9473</v>
      </c>
      <c r="E6247" t="s">
        <v>9474</v>
      </c>
      <c r="J6247" t="s">
        <v>90</v>
      </c>
      <c r="K6247" t="s">
        <v>91</v>
      </c>
      <c r="L6247">
        <v>6</v>
      </c>
      <c r="M6247" t="s">
        <v>25343</v>
      </c>
      <c r="N6247" t="s">
        <v>47</v>
      </c>
      <c r="O6247" t="s">
        <v>9477</v>
      </c>
      <c r="P6247" t="s">
        <v>9477</v>
      </c>
      <c r="Y6247" t="s">
        <v>25344</v>
      </c>
    </row>
    <row r="6248" spans="1:25">
      <c r="A6248" t="s">
        <v>25345</v>
      </c>
      <c r="B6248" t="s">
        <v>25346</v>
      </c>
      <c r="D6248" t="s">
        <v>9473</v>
      </c>
      <c r="E6248" t="s">
        <v>9474</v>
      </c>
      <c r="H6248" t="s">
        <v>25347</v>
      </c>
      <c r="J6248" t="s">
        <v>133</v>
      </c>
      <c r="K6248" t="s">
        <v>134</v>
      </c>
      <c r="L6248">
        <v>6</v>
      </c>
      <c r="M6248" t="s">
        <v>25348</v>
      </c>
      <c r="N6248" t="s">
        <v>135</v>
      </c>
      <c r="O6248" t="s">
        <v>9477</v>
      </c>
      <c r="P6248" t="s">
        <v>9477</v>
      </c>
      <c r="Y6248" t="s">
        <v>25347</v>
      </c>
    </row>
    <row r="6249" spans="1:25">
      <c r="A6249" t="s">
        <v>25349</v>
      </c>
      <c r="B6249" t="s">
        <v>25350</v>
      </c>
      <c r="D6249" t="s">
        <v>9473</v>
      </c>
      <c r="E6249" t="s">
        <v>9474</v>
      </c>
      <c r="J6249" t="s">
        <v>90</v>
      </c>
      <c r="K6249" t="s">
        <v>91</v>
      </c>
      <c r="L6249">
        <v>6</v>
      </c>
      <c r="M6249" t="s">
        <v>25351</v>
      </c>
      <c r="N6249" t="s">
        <v>47</v>
      </c>
      <c r="O6249" t="s">
        <v>9477</v>
      </c>
      <c r="P6249" t="s">
        <v>9477</v>
      </c>
      <c r="Y6249" t="s">
        <v>25352</v>
      </c>
    </row>
    <row r="6250" spans="1:25">
      <c r="A6250" t="s">
        <v>25353</v>
      </c>
      <c r="B6250" t="s">
        <v>25354</v>
      </c>
      <c r="D6250" t="s">
        <v>9473</v>
      </c>
      <c r="E6250" t="s">
        <v>9474</v>
      </c>
      <c r="J6250" t="s">
        <v>44</v>
      </c>
      <c r="K6250" t="s">
        <v>45</v>
      </c>
      <c r="L6250">
        <v>6</v>
      </c>
      <c r="M6250" t="s">
        <v>25355</v>
      </c>
      <c r="N6250" t="s">
        <v>47</v>
      </c>
      <c r="O6250" t="s">
        <v>9477</v>
      </c>
      <c r="P6250" t="s">
        <v>9477</v>
      </c>
      <c r="Y6250" t="s">
        <v>25356</v>
      </c>
    </row>
    <row r="6251" spans="1:25">
      <c r="A6251" t="s">
        <v>25357</v>
      </c>
      <c r="B6251" t="s">
        <v>25358</v>
      </c>
      <c r="D6251" t="s">
        <v>9473</v>
      </c>
      <c r="E6251" t="s">
        <v>9474</v>
      </c>
      <c r="J6251" t="s">
        <v>90</v>
      </c>
      <c r="K6251" t="s">
        <v>91</v>
      </c>
      <c r="L6251">
        <v>6</v>
      </c>
      <c r="M6251" t="s">
        <v>25355</v>
      </c>
      <c r="N6251" t="s">
        <v>47</v>
      </c>
      <c r="O6251" t="s">
        <v>9477</v>
      </c>
      <c r="P6251" t="s">
        <v>9477</v>
      </c>
      <c r="Y6251" t="s">
        <v>25359</v>
      </c>
    </row>
    <row r="6252" spans="1:25">
      <c r="A6252" t="s">
        <v>25360</v>
      </c>
      <c r="B6252" t="s">
        <v>25361</v>
      </c>
      <c r="D6252" t="s">
        <v>9473</v>
      </c>
      <c r="E6252" t="s">
        <v>9474</v>
      </c>
      <c r="J6252" t="s">
        <v>44</v>
      </c>
      <c r="K6252" t="s">
        <v>45</v>
      </c>
      <c r="L6252">
        <v>6</v>
      </c>
      <c r="M6252" t="s">
        <v>25362</v>
      </c>
      <c r="N6252" t="s">
        <v>47</v>
      </c>
      <c r="O6252" t="s">
        <v>9477</v>
      </c>
      <c r="P6252" t="s">
        <v>9477</v>
      </c>
      <c r="Y6252" t="s">
        <v>25363</v>
      </c>
    </row>
    <row r="6253" spans="1:25">
      <c r="A6253" t="s">
        <v>25364</v>
      </c>
      <c r="B6253" t="s">
        <v>25365</v>
      </c>
      <c r="D6253" t="s">
        <v>9473</v>
      </c>
      <c r="E6253" t="s">
        <v>9474</v>
      </c>
      <c r="H6253" t="s">
        <v>25366</v>
      </c>
      <c r="J6253" t="s">
        <v>234</v>
      </c>
      <c r="K6253" t="s">
        <v>235</v>
      </c>
      <c r="L6253">
        <v>6</v>
      </c>
      <c r="M6253" t="s">
        <v>25367</v>
      </c>
      <c r="N6253" t="s">
        <v>47</v>
      </c>
      <c r="O6253" t="s">
        <v>9477</v>
      </c>
      <c r="P6253" t="s">
        <v>9477</v>
      </c>
      <c r="Y6253" t="s">
        <v>25366</v>
      </c>
    </row>
    <row r="6254" spans="1:25">
      <c r="A6254" t="s">
        <v>25368</v>
      </c>
      <c r="B6254" t="s">
        <v>25369</v>
      </c>
      <c r="D6254" t="s">
        <v>9473</v>
      </c>
      <c r="E6254" t="s">
        <v>9474</v>
      </c>
      <c r="J6254" t="s">
        <v>54</v>
      </c>
      <c r="K6254" t="s">
        <v>55</v>
      </c>
      <c r="L6254">
        <v>6</v>
      </c>
      <c r="M6254" t="s">
        <v>25370</v>
      </c>
      <c r="N6254" t="s">
        <v>47</v>
      </c>
      <c r="O6254" t="s">
        <v>9477</v>
      </c>
      <c r="P6254" t="s">
        <v>9477</v>
      </c>
      <c r="Y6254" t="s">
        <v>25371</v>
      </c>
    </row>
    <row r="6255" spans="1:25">
      <c r="A6255" t="s">
        <v>25372</v>
      </c>
      <c r="B6255" t="s">
        <v>25373</v>
      </c>
      <c r="D6255" t="s">
        <v>9473</v>
      </c>
      <c r="E6255" t="s">
        <v>9474</v>
      </c>
      <c r="H6255" t="s">
        <v>25374</v>
      </c>
      <c r="J6255" t="s">
        <v>353</v>
      </c>
      <c r="K6255" t="s">
        <v>354</v>
      </c>
      <c r="L6255">
        <v>6</v>
      </c>
      <c r="M6255" t="s">
        <v>25375</v>
      </c>
      <c r="N6255" t="s">
        <v>135</v>
      </c>
      <c r="O6255" t="s">
        <v>9477</v>
      </c>
      <c r="P6255" t="s">
        <v>9477</v>
      </c>
      <c r="Y6255" t="s">
        <v>25374</v>
      </c>
    </row>
    <row r="6256" spans="1:25">
      <c r="A6256" t="s">
        <v>25376</v>
      </c>
      <c r="B6256" t="s">
        <v>25377</v>
      </c>
      <c r="D6256" t="s">
        <v>9473</v>
      </c>
      <c r="E6256" t="s">
        <v>9474</v>
      </c>
      <c r="H6256" t="s">
        <v>25378</v>
      </c>
      <c r="J6256" t="s">
        <v>44</v>
      </c>
      <c r="K6256" t="s">
        <v>45</v>
      </c>
      <c r="L6256">
        <v>6</v>
      </c>
      <c r="M6256" t="s">
        <v>25379</v>
      </c>
      <c r="N6256" t="s">
        <v>47</v>
      </c>
      <c r="O6256" t="s">
        <v>9477</v>
      </c>
      <c r="P6256" t="s">
        <v>9477</v>
      </c>
      <c r="Y6256" t="s">
        <v>25378</v>
      </c>
    </row>
    <row r="6257" spans="1:25">
      <c r="A6257" t="s">
        <v>25380</v>
      </c>
      <c r="B6257" t="s">
        <v>25381</v>
      </c>
      <c r="D6257" t="s">
        <v>9473</v>
      </c>
      <c r="E6257" t="s">
        <v>9474</v>
      </c>
      <c r="J6257" t="s">
        <v>90</v>
      </c>
      <c r="K6257" t="s">
        <v>91</v>
      </c>
      <c r="L6257">
        <v>6</v>
      </c>
      <c r="M6257" t="s">
        <v>25382</v>
      </c>
      <c r="N6257" t="s">
        <v>47</v>
      </c>
      <c r="O6257" t="s">
        <v>9477</v>
      </c>
      <c r="P6257" t="s">
        <v>9477</v>
      </c>
      <c r="Y6257" t="s">
        <v>25383</v>
      </c>
    </row>
    <row r="6258" spans="1:25">
      <c r="A6258" t="s">
        <v>25384</v>
      </c>
      <c r="B6258" t="s">
        <v>25385</v>
      </c>
      <c r="D6258" t="s">
        <v>9473</v>
      </c>
      <c r="E6258" t="s">
        <v>9474</v>
      </c>
      <c r="J6258" t="s">
        <v>90</v>
      </c>
      <c r="K6258" t="s">
        <v>91</v>
      </c>
      <c r="L6258">
        <v>6</v>
      </c>
      <c r="M6258" t="s">
        <v>25386</v>
      </c>
      <c r="N6258" t="s">
        <v>47</v>
      </c>
      <c r="O6258" t="s">
        <v>9477</v>
      </c>
      <c r="P6258" t="s">
        <v>9477</v>
      </c>
      <c r="Y6258" t="s">
        <v>25387</v>
      </c>
    </row>
    <row r="6259" spans="1:25">
      <c r="A6259" t="s">
        <v>25388</v>
      </c>
      <c r="B6259" t="s">
        <v>25389</v>
      </c>
      <c r="D6259" t="s">
        <v>9473</v>
      </c>
      <c r="E6259" t="s">
        <v>9474</v>
      </c>
      <c r="J6259" t="s">
        <v>133</v>
      </c>
      <c r="K6259" t="s">
        <v>134</v>
      </c>
      <c r="L6259">
        <v>6</v>
      </c>
      <c r="M6259" t="s">
        <v>25390</v>
      </c>
      <c r="N6259" t="s">
        <v>290</v>
      </c>
      <c r="O6259" t="s">
        <v>9477</v>
      </c>
      <c r="P6259" t="s">
        <v>9477</v>
      </c>
      <c r="Y6259" t="s">
        <v>25391</v>
      </c>
    </row>
    <row r="6260" spans="1:25">
      <c r="A6260" t="s">
        <v>25392</v>
      </c>
      <c r="B6260" t="s">
        <v>25393</v>
      </c>
      <c r="D6260" t="s">
        <v>9473</v>
      </c>
      <c r="E6260" t="s">
        <v>9474</v>
      </c>
      <c r="J6260" t="s">
        <v>90</v>
      </c>
      <c r="K6260" t="s">
        <v>91</v>
      </c>
      <c r="L6260">
        <v>6</v>
      </c>
      <c r="M6260" t="s">
        <v>25394</v>
      </c>
      <c r="N6260" t="s">
        <v>47</v>
      </c>
      <c r="O6260" t="s">
        <v>9477</v>
      </c>
      <c r="P6260" t="s">
        <v>9477</v>
      </c>
      <c r="Y6260" t="s">
        <v>25395</v>
      </c>
    </row>
    <row r="6261" spans="1:25">
      <c r="A6261" t="s">
        <v>25396</v>
      </c>
      <c r="B6261" t="s">
        <v>25397</v>
      </c>
      <c r="D6261" t="s">
        <v>9473</v>
      </c>
      <c r="E6261" t="s">
        <v>9474</v>
      </c>
      <c r="J6261" t="s">
        <v>1827</v>
      </c>
      <c r="K6261" t="s">
        <v>1828</v>
      </c>
      <c r="L6261">
        <v>6</v>
      </c>
      <c r="M6261" t="s">
        <v>25398</v>
      </c>
      <c r="N6261" t="s">
        <v>47</v>
      </c>
      <c r="O6261" t="s">
        <v>9477</v>
      </c>
      <c r="P6261" t="s">
        <v>9477</v>
      </c>
      <c r="Y6261" t="s">
        <v>25399</v>
      </c>
    </row>
    <row r="6262" spans="1:25">
      <c r="A6262" t="s">
        <v>25400</v>
      </c>
      <c r="B6262" t="s">
        <v>25401</v>
      </c>
      <c r="D6262" t="s">
        <v>9473</v>
      </c>
      <c r="E6262" t="s">
        <v>9474</v>
      </c>
      <c r="J6262" t="s">
        <v>90</v>
      </c>
      <c r="K6262" t="s">
        <v>91</v>
      </c>
      <c r="L6262">
        <v>6</v>
      </c>
      <c r="M6262" t="s">
        <v>25402</v>
      </c>
      <c r="N6262" t="s">
        <v>47</v>
      </c>
      <c r="O6262" t="s">
        <v>9477</v>
      </c>
      <c r="P6262" t="s">
        <v>9477</v>
      </c>
      <c r="Y6262" t="s">
        <v>25403</v>
      </c>
    </row>
    <row r="6263" spans="1:25">
      <c r="A6263" t="s">
        <v>25404</v>
      </c>
      <c r="B6263" t="s">
        <v>25405</v>
      </c>
      <c r="D6263" t="s">
        <v>9473</v>
      </c>
      <c r="E6263" t="s">
        <v>9474</v>
      </c>
      <c r="J6263" t="s">
        <v>44</v>
      </c>
      <c r="K6263" t="s">
        <v>45</v>
      </c>
      <c r="L6263">
        <v>6</v>
      </c>
      <c r="M6263" t="s">
        <v>25402</v>
      </c>
      <c r="N6263" t="s">
        <v>47</v>
      </c>
      <c r="O6263" t="s">
        <v>9477</v>
      </c>
      <c r="P6263" t="s">
        <v>9477</v>
      </c>
      <c r="Y6263" t="s">
        <v>25406</v>
      </c>
    </row>
    <row r="6264" spans="1:25">
      <c r="A6264" t="s">
        <v>25407</v>
      </c>
      <c r="B6264" t="s">
        <v>25408</v>
      </c>
      <c r="D6264" t="s">
        <v>9473</v>
      </c>
      <c r="E6264" t="s">
        <v>9474</v>
      </c>
      <c r="J6264" t="s">
        <v>90</v>
      </c>
      <c r="K6264" t="s">
        <v>91</v>
      </c>
      <c r="L6264">
        <v>6</v>
      </c>
      <c r="M6264" t="s">
        <v>25402</v>
      </c>
      <c r="N6264" t="s">
        <v>47</v>
      </c>
      <c r="O6264" t="s">
        <v>9477</v>
      </c>
      <c r="P6264" t="s">
        <v>9477</v>
      </c>
      <c r="Y6264" t="s">
        <v>25409</v>
      </c>
    </row>
    <row r="6265" spans="1:25">
      <c r="A6265" t="s">
        <v>25410</v>
      </c>
      <c r="B6265" t="s">
        <v>25411</v>
      </c>
      <c r="D6265" t="s">
        <v>9473</v>
      </c>
      <c r="E6265" t="s">
        <v>9474</v>
      </c>
      <c r="J6265" t="s">
        <v>54</v>
      </c>
      <c r="K6265" t="s">
        <v>55</v>
      </c>
      <c r="L6265">
        <v>6</v>
      </c>
      <c r="M6265" t="s">
        <v>25402</v>
      </c>
      <c r="N6265" t="s">
        <v>47</v>
      </c>
      <c r="O6265" t="s">
        <v>9477</v>
      </c>
      <c r="P6265" t="s">
        <v>9477</v>
      </c>
      <c r="Y6265" t="s">
        <v>25412</v>
      </c>
    </row>
    <row r="6266" spans="1:25">
      <c r="A6266" t="s">
        <v>25413</v>
      </c>
      <c r="B6266" t="s">
        <v>25414</v>
      </c>
      <c r="D6266" t="s">
        <v>9473</v>
      </c>
      <c r="E6266" t="s">
        <v>9474</v>
      </c>
      <c r="J6266" t="s">
        <v>44</v>
      </c>
      <c r="K6266" t="s">
        <v>45</v>
      </c>
      <c r="L6266">
        <v>6</v>
      </c>
      <c r="M6266" t="s">
        <v>25415</v>
      </c>
      <c r="N6266" t="s">
        <v>47</v>
      </c>
      <c r="O6266" t="s">
        <v>9477</v>
      </c>
      <c r="P6266" t="s">
        <v>9477</v>
      </c>
      <c r="Y6266" t="s">
        <v>25416</v>
      </c>
    </row>
    <row r="6267" spans="1:25">
      <c r="A6267" t="s">
        <v>25417</v>
      </c>
      <c r="B6267" t="s">
        <v>25418</v>
      </c>
      <c r="D6267" t="s">
        <v>9473</v>
      </c>
      <c r="E6267" t="s">
        <v>9474</v>
      </c>
      <c r="J6267" t="s">
        <v>44</v>
      </c>
      <c r="K6267" t="s">
        <v>45</v>
      </c>
      <c r="L6267">
        <v>6</v>
      </c>
      <c r="M6267" t="s">
        <v>25419</v>
      </c>
      <c r="N6267" t="s">
        <v>47</v>
      </c>
      <c r="O6267" t="s">
        <v>9477</v>
      </c>
      <c r="P6267" t="s">
        <v>9477</v>
      </c>
      <c r="Y6267" t="s">
        <v>25420</v>
      </c>
    </row>
    <row r="6268" spans="1:25">
      <c r="A6268" t="s">
        <v>25421</v>
      </c>
      <c r="B6268" t="s">
        <v>25422</v>
      </c>
      <c r="D6268" t="s">
        <v>9473</v>
      </c>
      <c r="E6268" t="s">
        <v>9474</v>
      </c>
      <c r="J6268" t="s">
        <v>44</v>
      </c>
      <c r="K6268" t="s">
        <v>45</v>
      </c>
      <c r="L6268">
        <v>6</v>
      </c>
      <c r="M6268" t="s">
        <v>25419</v>
      </c>
      <c r="N6268" t="s">
        <v>47</v>
      </c>
      <c r="O6268" t="s">
        <v>9477</v>
      </c>
      <c r="P6268" t="s">
        <v>9477</v>
      </c>
      <c r="Y6268" t="s">
        <v>25423</v>
      </c>
    </row>
    <row r="6269" spans="1:25">
      <c r="A6269" t="s">
        <v>25424</v>
      </c>
      <c r="B6269" t="s">
        <v>25425</v>
      </c>
      <c r="D6269" t="s">
        <v>9473</v>
      </c>
      <c r="E6269" t="s">
        <v>9474</v>
      </c>
      <c r="J6269" t="s">
        <v>90</v>
      </c>
      <c r="K6269" t="s">
        <v>91</v>
      </c>
      <c r="L6269">
        <v>6</v>
      </c>
      <c r="M6269" t="s">
        <v>25426</v>
      </c>
      <c r="N6269" t="s">
        <v>47</v>
      </c>
      <c r="O6269" t="s">
        <v>9477</v>
      </c>
      <c r="P6269" t="s">
        <v>9477</v>
      </c>
      <c r="Y6269" t="s">
        <v>25427</v>
      </c>
    </row>
    <row r="6270" spans="1:25">
      <c r="A6270" t="s">
        <v>25428</v>
      </c>
      <c r="B6270" t="s">
        <v>25429</v>
      </c>
      <c r="D6270" t="s">
        <v>9473</v>
      </c>
      <c r="E6270" t="s">
        <v>9474</v>
      </c>
      <c r="J6270" t="s">
        <v>497</v>
      </c>
      <c r="K6270" t="s">
        <v>498</v>
      </c>
      <c r="L6270">
        <v>6</v>
      </c>
      <c r="M6270" t="s">
        <v>25430</v>
      </c>
      <c r="N6270" t="s">
        <v>685</v>
      </c>
      <c r="O6270" t="s">
        <v>9477</v>
      </c>
      <c r="P6270" t="s">
        <v>9477</v>
      </c>
      <c r="Y6270" t="s">
        <v>25431</v>
      </c>
    </row>
    <row r="6271" spans="1:25">
      <c r="A6271" t="s">
        <v>25432</v>
      </c>
      <c r="B6271" t="s">
        <v>25433</v>
      </c>
      <c r="D6271" t="s">
        <v>9473</v>
      </c>
      <c r="E6271" t="s">
        <v>9474</v>
      </c>
      <c r="J6271" t="s">
        <v>44</v>
      </c>
      <c r="K6271" t="s">
        <v>45</v>
      </c>
      <c r="L6271">
        <v>6</v>
      </c>
      <c r="M6271" t="s">
        <v>25434</v>
      </c>
      <c r="N6271" t="s">
        <v>47</v>
      </c>
      <c r="O6271" t="s">
        <v>9477</v>
      </c>
      <c r="P6271" t="s">
        <v>9477</v>
      </c>
      <c r="Y6271" t="s">
        <v>25435</v>
      </c>
    </row>
    <row r="6272" spans="1:25">
      <c r="A6272" t="s">
        <v>25436</v>
      </c>
      <c r="B6272" t="s">
        <v>25437</v>
      </c>
      <c r="D6272" t="s">
        <v>9473</v>
      </c>
      <c r="E6272" t="s">
        <v>9474</v>
      </c>
      <c r="J6272" t="s">
        <v>90</v>
      </c>
      <c r="K6272" t="s">
        <v>91</v>
      </c>
      <c r="L6272">
        <v>6</v>
      </c>
      <c r="M6272" t="s">
        <v>25438</v>
      </c>
      <c r="N6272" t="s">
        <v>47</v>
      </c>
      <c r="O6272" t="s">
        <v>9477</v>
      </c>
      <c r="P6272" t="s">
        <v>9477</v>
      </c>
      <c r="Y6272" t="s">
        <v>25439</v>
      </c>
    </row>
    <row r="6273" spans="1:25">
      <c r="A6273" t="s">
        <v>25440</v>
      </c>
      <c r="B6273" t="s">
        <v>25441</v>
      </c>
      <c r="D6273" t="s">
        <v>9473</v>
      </c>
      <c r="E6273" t="s">
        <v>9474</v>
      </c>
      <c r="J6273" t="s">
        <v>497</v>
      </c>
      <c r="K6273" t="s">
        <v>498</v>
      </c>
      <c r="L6273">
        <v>7</v>
      </c>
      <c r="M6273" t="s">
        <v>25442</v>
      </c>
      <c r="N6273" t="s">
        <v>290</v>
      </c>
      <c r="O6273" t="s">
        <v>9477</v>
      </c>
      <c r="P6273" t="s">
        <v>9477</v>
      </c>
      <c r="Y6273" t="s">
        <v>25443</v>
      </c>
    </row>
    <row r="6274" spans="1:25">
      <c r="A6274" t="s">
        <v>25444</v>
      </c>
      <c r="B6274" t="s">
        <v>25445</v>
      </c>
      <c r="D6274" t="s">
        <v>9473</v>
      </c>
      <c r="E6274" t="s">
        <v>9474</v>
      </c>
      <c r="J6274" t="s">
        <v>133</v>
      </c>
      <c r="K6274" t="s">
        <v>134</v>
      </c>
      <c r="L6274">
        <v>6</v>
      </c>
      <c r="M6274" t="s">
        <v>25446</v>
      </c>
      <c r="N6274" t="s">
        <v>290</v>
      </c>
      <c r="O6274" t="s">
        <v>9477</v>
      </c>
      <c r="P6274" t="s">
        <v>9477</v>
      </c>
      <c r="Y6274" t="s">
        <v>25447</v>
      </c>
    </row>
    <row r="6275" spans="1:25">
      <c r="A6275" t="s">
        <v>25448</v>
      </c>
      <c r="B6275" t="s">
        <v>25449</v>
      </c>
      <c r="D6275" t="s">
        <v>9473</v>
      </c>
      <c r="E6275" t="s">
        <v>9474</v>
      </c>
      <c r="J6275" t="s">
        <v>10083</v>
      </c>
      <c r="K6275" t="s">
        <v>10084</v>
      </c>
      <c r="L6275">
        <v>6</v>
      </c>
      <c r="M6275" t="s">
        <v>25450</v>
      </c>
      <c r="N6275" t="s">
        <v>290</v>
      </c>
      <c r="O6275" t="s">
        <v>9477</v>
      </c>
      <c r="P6275" t="s">
        <v>9477</v>
      </c>
      <c r="Y6275" t="s">
        <v>25451</v>
      </c>
    </row>
    <row r="6276" spans="1:25">
      <c r="A6276" t="s">
        <v>25452</v>
      </c>
      <c r="B6276" t="s">
        <v>25453</v>
      </c>
      <c r="D6276" t="s">
        <v>9473</v>
      </c>
      <c r="E6276" t="s">
        <v>9474</v>
      </c>
      <c r="H6276" t="s">
        <v>25454</v>
      </c>
      <c r="J6276" t="s">
        <v>54</v>
      </c>
      <c r="K6276" t="s">
        <v>55</v>
      </c>
      <c r="L6276">
        <v>6</v>
      </c>
      <c r="M6276" t="s">
        <v>25455</v>
      </c>
      <c r="N6276" t="s">
        <v>47</v>
      </c>
      <c r="O6276" t="s">
        <v>9477</v>
      </c>
      <c r="P6276" t="s">
        <v>9477</v>
      </c>
      <c r="Y6276" t="s">
        <v>25454</v>
      </c>
    </row>
    <row r="6277" spans="1:25">
      <c r="A6277" t="s">
        <v>25456</v>
      </c>
      <c r="B6277" t="s">
        <v>25457</v>
      </c>
      <c r="D6277" t="s">
        <v>9473</v>
      </c>
      <c r="E6277" t="s">
        <v>9474</v>
      </c>
      <c r="J6277" t="s">
        <v>133</v>
      </c>
      <c r="K6277" t="s">
        <v>134</v>
      </c>
      <c r="L6277">
        <v>6</v>
      </c>
      <c r="M6277" t="s">
        <v>25458</v>
      </c>
      <c r="N6277" t="s">
        <v>290</v>
      </c>
      <c r="O6277" t="s">
        <v>9477</v>
      </c>
      <c r="P6277" t="s">
        <v>9477</v>
      </c>
      <c r="Y6277" t="s">
        <v>25459</v>
      </c>
    </row>
    <row r="6278" spans="1:25">
      <c r="A6278" t="s">
        <v>25460</v>
      </c>
      <c r="B6278" t="s">
        <v>25461</v>
      </c>
      <c r="D6278" t="s">
        <v>9473</v>
      </c>
      <c r="E6278" t="s">
        <v>9474</v>
      </c>
      <c r="J6278" t="s">
        <v>765</v>
      </c>
      <c r="K6278" t="s">
        <v>766</v>
      </c>
      <c r="L6278">
        <v>5</v>
      </c>
      <c r="M6278" t="s">
        <v>25458</v>
      </c>
      <c r="N6278" t="s">
        <v>685</v>
      </c>
      <c r="O6278" t="s">
        <v>9477</v>
      </c>
      <c r="P6278" t="s">
        <v>9477</v>
      </c>
      <c r="Y6278" t="s">
        <v>25462</v>
      </c>
    </row>
    <row r="6279" spans="1:25">
      <c r="A6279" t="s">
        <v>25463</v>
      </c>
      <c r="B6279" t="s">
        <v>25464</v>
      </c>
      <c r="D6279" t="s">
        <v>9473</v>
      </c>
      <c r="E6279" t="s">
        <v>9474</v>
      </c>
      <c r="H6279" t="s">
        <v>25465</v>
      </c>
      <c r="J6279" t="s">
        <v>6594</v>
      </c>
      <c r="K6279" t="s">
        <v>6595</v>
      </c>
      <c r="L6279">
        <v>8</v>
      </c>
      <c r="M6279" t="s">
        <v>25466</v>
      </c>
      <c r="N6279" t="s">
        <v>290</v>
      </c>
      <c r="O6279" t="s">
        <v>9477</v>
      </c>
      <c r="P6279" t="s">
        <v>9477</v>
      </c>
      <c r="Y6279" t="s">
        <v>25465</v>
      </c>
    </row>
    <row r="6280" spans="1:25">
      <c r="A6280" t="s">
        <v>25467</v>
      </c>
      <c r="B6280" t="s">
        <v>25468</v>
      </c>
      <c r="D6280" t="s">
        <v>9473</v>
      </c>
      <c r="E6280" t="s">
        <v>9474</v>
      </c>
      <c r="H6280" t="s">
        <v>25469</v>
      </c>
      <c r="J6280" t="s">
        <v>133</v>
      </c>
      <c r="K6280" t="s">
        <v>134</v>
      </c>
      <c r="L6280">
        <v>6</v>
      </c>
      <c r="M6280" t="s">
        <v>25470</v>
      </c>
      <c r="N6280" t="s">
        <v>290</v>
      </c>
      <c r="O6280" t="s">
        <v>9477</v>
      </c>
      <c r="P6280" t="s">
        <v>9477</v>
      </c>
      <c r="Y6280" t="s">
        <v>25469</v>
      </c>
    </row>
    <row r="6281" spans="1:25">
      <c r="A6281" t="s">
        <v>25471</v>
      </c>
      <c r="B6281" t="s">
        <v>25472</v>
      </c>
      <c r="D6281" t="s">
        <v>9473</v>
      </c>
      <c r="E6281" t="s">
        <v>9474</v>
      </c>
      <c r="H6281" t="s">
        <v>25473</v>
      </c>
      <c r="J6281" t="s">
        <v>353</v>
      </c>
      <c r="K6281" t="s">
        <v>354</v>
      </c>
      <c r="L6281">
        <v>6</v>
      </c>
      <c r="M6281" t="s">
        <v>25474</v>
      </c>
      <c r="N6281" t="s">
        <v>47</v>
      </c>
      <c r="O6281" t="s">
        <v>9477</v>
      </c>
      <c r="P6281" t="s">
        <v>9477</v>
      </c>
      <c r="Y6281" t="s">
        <v>25473</v>
      </c>
    </row>
    <row r="6282" spans="1:25">
      <c r="A6282" t="s">
        <v>25475</v>
      </c>
      <c r="B6282" t="s">
        <v>25476</v>
      </c>
      <c r="D6282" t="s">
        <v>9473</v>
      </c>
      <c r="E6282" t="s">
        <v>9474</v>
      </c>
      <c r="H6282" t="s">
        <v>25477</v>
      </c>
      <c r="J6282" t="s">
        <v>497</v>
      </c>
      <c r="K6282" t="s">
        <v>498</v>
      </c>
      <c r="L6282">
        <v>6</v>
      </c>
      <c r="M6282" t="s">
        <v>25478</v>
      </c>
      <c r="N6282" t="s">
        <v>685</v>
      </c>
      <c r="O6282" t="s">
        <v>9477</v>
      </c>
      <c r="P6282" t="s">
        <v>9477</v>
      </c>
      <c r="Y6282" t="s">
        <v>25477</v>
      </c>
    </row>
    <row r="6283" spans="1:25">
      <c r="A6283" t="s">
        <v>25479</v>
      </c>
      <c r="B6283" t="s">
        <v>25480</v>
      </c>
      <c r="D6283" t="s">
        <v>9473</v>
      </c>
      <c r="E6283" t="s">
        <v>9474</v>
      </c>
      <c r="J6283" t="s">
        <v>133</v>
      </c>
      <c r="K6283" t="s">
        <v>134</v>
      </c>
      <c r="L6283">
        <v>7</v>
      </c>
      <c r="M6283" t="s">
        <v>25481</v>
      </c>
      <c r="N6283" t="s">
        <v>685</v>
      </c>
      <c r="O6283" t="s">
        <v>9477</v>
      </c>
      <c r="P6283" t="s">
        <v>9477</v>
      </c>
      <c r="Y6283" t="s">
        <v>25482</v>
      </c>
    </row>
    <row r="6284" spans="1:25">
      <c r="A6284" t="s">
        <v>25483</v>
      </c>
      <c r="B6284" t="s">
        <v>25484</v>
      </c>
      <c r="D6284" t="s">
        <v>9473</v>
      </c>
      <c r="E6284" t="s">
        <v>9474</v>
      </c>
      <c r="H6284" t="s">
        <v>25485</v>
      </c>
      <c r="J6284" t="s">
        <v>6594</v>
      </c>
      <c r="K6284" t="s">
        <v>6595</v>
      </c>
      <c r="L6284">
        <v>6</v>
      </c>
      <c r="M6284" t="s">
        <v>25486</v>
      </c>
      <c r="N6284" t="s">
        <v>685</v>
      </c>
      <c r="O6284" t="s">
        <v>9477</v>
      </c>
      <c r="P6284" t="s">
        <v>9477</v>
      </c>
      <c r="Y6284" t="s">
        <v>25485</v>
      </c>
    </row>
    <row r="6285" spans="1:25">
      <c r="A6285" t="s">
        <v>25487</v>
      </c>
      <c r="B6285" t="s">
        <v>25488</v>
      </c>
      <c r="D6285" t="s">
        <v>9473</v>
      </c>
      <c r="E6285" t="s">
        <v>9474</v>
      </c>
      <c r="H6285" t="s">
        <v>25489</v>
      </c>
      <c r="J6285" t="s">
        <v>133</v>
      </c>
      <c r="K6285" t="s">
        <v>134</v>
      </c>
      <c r="L6285">
        <v>6</v>
      </c>
      <c r="M6285" t="s">
        <v>25490</v>
      </c>
      <c r="N6285" t="s">
        <v>290</v>
      </c>
      <c r="O6285" t="s">
        <v>9477</v>
      </c>
      <c r="P6285" t="s">
        <v>9477</v>
      </c>
      <c r="Y6285" t="s">
        <v>25489</v>
      </c>
    </row>
    <row r="6286" spans="1:25">
      <c r="A6286" t="s">
        <v>25491</v>
      </c>
      <c r="B6286" t="s">
        <v>25492</v>
      </c>
      <c r="D6286" t="s">
        <v>9473</v>
      </c>
      <c r="E6286" t="s">
        <v>9474</v>
      </c>
      <c r="H6286" t="s">
        <v>25493</v>
      </c>
      <c r="J6286" t="s">
        <v>6594</v>
      </c>
      <c r="K6286" t="s">
        <v>6595</v>
      </c>
      <c r="L6286">
        <v>7</v>
      </c>
      <c r="M6286" t="s">
        <v>25494</v>
      </c>
      <c r="N6286" t="s">
        <v>685</v>
      </c>
      <c r="O6286" t="s">
        <v>9477</v>
      </c>
      <c r="P6286" t="s">
        <v>9477</v>
      </c>
      <c r="Y6286" t="s">
        <v>25493</v>
      </c>
    </row>
    <row r="6287" spans="1:25">
      <c r="A6287" t="s">
        <v>25495</v>
      </c>
      <c r="B6287" t="s">
        <v>25496</v>
      </c>
      <c r="D6287" t="s">
        <v>9473</v>
      </c>
      <c r="E6287" t="s">
        <v>9474</v>
      </c>
      <c r="J6287" t="s">
        <v>133</v>
      </c>
      <c r="K6287" t="s">
        <v>134</v>
      </c>
      <c r="L6287">
        <v>6</v>
      </c>
      <c r="M6287" t="s">
        <v>25497</v>
      </c>
      <c r="N6287" t="s">
        <v>290</v>
      </c>
      <c r="O6287" t="s">
        <v>9477</v>
      </c>
      <c r="P6287" t="s">
        <v>9477</v>
      </c>
      <c r="Y6287" t="s">
        <v>25498</v>
      </c>
    </row>
    <row r="6288" spans="1:25">
      <c r="A6288" t="s">
        <v>25499</v>
      </c>
      <c r="B6288" t="s">
        <v>25500</v>
      </c>
      <c r="D6288" t="s">
        <v>9473</v>
      </c>
      <c r="E6288" t="s">
        <v>9474</v>
      </c>
      <c r="J6288" t="s">
        <v>133</v>
      </c>
      <c r="K6288" t="s">
        <v>134</v>
      </c>
      <c r="L6288">
        <v>10</v>
      </c>
      <c r="M6288" t="s">
        <v>25501</v>
      </c>
      <c r="N6288" t="s">
        <v>685</v>
      </c>
      <c r="O6288" t="s">
        <v>9477</v>
      </c>
      <c r="P6288" t="s">
        <v>9477</v>
      </c>
      <c r="Y6288" t="s">
        <v>25502</v>
      </c>
    </row>
    <row r="6289" spans="1:25">
      <c r="A6289" t="s">
        <v>25503</v>
      </c>
      <c r="B6289" t="s">
        <v>25504</v>
      </c>
      <c r="D6289" t="s">
        <v>9473</v>
      </c>
      <c r="E6289" t="s">
        <v>9474</v>
      </c>
      <c r="H6289" t="s">
        <v>25505</v>
      </c>
      <c r="J6289" t="s">
        <v>497</v>
      </c>
      <c r="K6289" t="s">
        <v>498</v>
      </c>
      <c r="L6289">
        <v>6</v>
      </c>
      <c r="M6289" t="s">
        <v>25506</v>
      </c>
      <c r="N6289" t="s">
        <v>290</v>
      </c>
      <c r="O6289" t="s">
        <v>9477</v>
      </c>
      <c r="P6289" t="s">
        <v>9477</v>
      </c>
      <c r="Y6289" t="s">
        <v>25505</v>
      </c>
    </row>
    <row r="6290" spans="1:25">
      <c r="A6290" t="s">
        <v>25507</v>
      </c>
      <c r="B6290" t="s">
        <v>25508</v>
      </c>
      <c r="D6290" t="s">
        <v>9473</v>
      </c>
      <c r="E6290" t="s">
        <v>9474</v>
      </c>
      <c r="J6290" t="s">
        <v>133</v>
      </c>
      <c r="K6290" t="s">
        <v>134</v>
      </c>
      <c r="L6290">
        <v>9</v>
      </c>
      <c r="M6290" t="s">
        <v>25509</v>
      </c>
      <c r="N6290" t="s">
        <v>290</v>
      </c>
      <c r="O6290" t="s">
        <v>9477</v>
      </c>
      <c r="P6290" t="s">
        <v>9477</v>
      </c>
      <c r="Y6290" t="s">
        <v>25510</v>
      </c>
    </row>
    <row r="6291" spans="1:25">
      <c r="A6291" t="s">
        <v>25511</v>
      </c>
      <c r="B6291" t="s">
        <v>25512</v>
      </c>
      <c r="D6291" t="s">
        <v>9473</v>
      </c>
      <c r="E6291" t="s">
        <v>9474</v>
      </c>
      <c r="J6291" t="s">
        <v>287</v>
      </c>
      <c r="K6291" t="s">
        <v>288</v>
      </c>
      <c r="L6291">
        <v>6</v>
      </c>
      <c r="M6291" t="s">
        <v>25513</v>
      </c>
      <c r="N6291" t="s">
        <v>685</v>
      </c>
      <c r="O6291" t="s">
        <v>9477</v>
      </c>
      <c r="P6291" t="s">
        <v>9477</v>
      </c>
      <c r="Y6291" t="s">
        <v>25514</v>
      </c>
    </row>
    <row r="6292" spans="1:25">
      <c r="A6292" t="s">
        <v>25515</v>
      </c>
      <c r="B6292" t="s">
        <v>25516</v>
      </c>
      <c r="D6292" t="s">
        <v>9473</v>
      </c>
      <c r="E6292" t="s">
        <v>9474</v>
      </c>
      <c r="H6292" t="s">
        <v>25517</v>
      </c>
      <c r="J6292" t="s">
        <v>497</v>
      </c>
      <c r="K6292" t="s">
        <v>498</v>
      </c>
      <c r="L6292">
        <v>6</v>
      </c>
      <c r="M6292" t="s">
        <v>25518</v>
      </c>
      <c r="N6292" t="s">
        <v>685</v>
      </c>
      <c r="O6292" t="s">
        <v>9477</v>
      </c>
      <c r="P6292" t="s">
        <v>9477</v>
      </c>
      <c r="Y6292" t="s">
        <v>25517</v>
      </c>
    </row>
    <row r="6293" spans="1:25">
      <c r="A6293" t="s">
        <v>25519</v>
      </c>
      <c r="B6293" t="s">
        <v>25520</v>
      </c>
      <c r="D6293" t="s">
        <v>9473</v>
      </c>
      <c r="E6293" t="s">
        <v>9474</v>
      </c>
      <c r="J6293" t="s">
        <v>497</v>
      </c>
      <c r="K6293" t="s">
        <v>498</v>
      </c>
      <c r="L6293">
        <v>7</v>
      </c>
      <c r="M6293" t="s">
        <v>25521</v>
      </c>
      <c r="N6293" t="s">
        <v>685</v>
      </c>
      <c r="O6293" t="s">
        <v>9477</v>
      </c>
      <c r="P6293" t="s">
        <v>9477</v>
      </c>
      <c r="Y6293" t="s">
        <v>25522</v>
      </c>
    </row>
    <row r="6294" spans="1:25">
      <c r="A6294" t="s">
        <v>25523</v>
      </c>
      <c r="B6294" t="s">
        <v>25524</v>
      </c>
      <c r="D6294" t="s">
        <v>9473</v>
      </c>
      <c r="E6294" t="s">
        <v>9474</v>
      </c>
      <c r="J6294" t="s">
        <v>497</v>
      </c>
      <c r="K6294" t="s">
        <v>498</v>
      </c>
      <c r="L6294">
        <v>6</v>
      </c>
      <c r="M6294" t="s">
        <v>25525</v>
      </c>
      <c r="N6294" t="s">
        <v>685</v>
      </c>
      <c r="O6294" t="s">
        <v>9477</v>
      </c>
      <c r="P6294" t="s">
        <v>9477</v>
      </c>
      <c r="Y6294" t="s">
        <v>25526</v>
      </c>
    </row>
    <row r="6295" spans="1:25">
      <c r="A6295" t="s">
        <v>25527</v>
      </c>
      <c r="B6295" t="s">
        <v>25528</v>
      </c>
      <c r="D6295" t="s">
        <v>9473</v>
      </c>
      <c r="E6295" t="s">
        <v>9474</v>
      </c>
      <c r="H6295" t="s">
        <v>25529</v>
      </c>
      <c r="J6295" t="s">
        <v>390</v>
      </c>
      <c r="K6295" t="s">
        <v>390</v>
      </c>
      <c r="L6295">
        <v>5</v>
      </c>
      <c r="M6295" t="s">
        <v>25530</v>
      </c>
      <c r="N6295" t="s">
        <v>685</v>
      </c>
      <c r="O6295" t="s">
        <v>9477</v>
      </c>
      <c r="P6295" t="s">
        <v>9477</v>
      </c>
      <c r="Y6295" t="s">
        <v>25529</v>
      </c>
    </row>
    <row r="6296" spans="1:25">
      <c r="A6296" t="s">
        <v>25531</v>
      </c>
      <c r="B6296" t="s">
        <v>25532</v>
      </c>
      <c r="D6296" t="s">
        <v>9473</v>
      </c>
      <c r="E6296" t="s">
        <v>9474</v>
      </c>
      <c r="H6296" t="s">
        <v>25533</v>
      </c>
      <c r="J6296" t="s">
        <v>353</v>
      </c>
      <c r="K6296" t="s">
        <v>354</v>
      </c>
      <c r="L6296">
        <v>6</v>
      </c>
      <c r="M6296" t="s">
        <v>25534</v>
      </c>
      <c r="N6296" t="s">
        <v>685</v>
      </c>
      <c r="O6296" t="s">
        <v>9477</v>
      </c>
      <c r="P6296" t="s">
        <v>9477</v>
      </c>
      <c r="Y6296" t="s">
        <v>25533</v>
      </c>
    </row>
    <row r="6297" spans="1:25">
      <c r="A6297" t="s">
        <v>25535</v>
      </c>
      <c r="B6297" t="s">
        <v>25536</v>
      </c>
      <c r="D6297" t="s">
        <v>9473</v>
      </c>
      <c r="E6297" t="s">
        <v>9474</v>
      </c>
      <c r="J6297" t="s">
        <v>927</v>
      </c>
      <c r="K6297" t="s">
        <v>928</v>
      </c>
      <c r="L6297">
        <v>5</v>
      </c>
      <c r="M6297" t="s">
        <v>25537</v>
      </c>
      <c r="N6297" t="s">
        <v>135</v>
      </c>
      <c r="O6297" t="s">
        <v>9477</v>
      </c>
      <c r="P6297" t="s">
        <v>9477</v>
      </c>
      <c r="Y6297" t="s">
        <v>25538</v>
      </c>
    </row>
    <row r="6298" spans="1:25">
      <c r="A6298" t="s">
        <v>25539</v>
      </c>
      <c r="B6298" t="s">
        <v>25540</v>
      </c>
      <c r="D6298" t="s">
        <v>9473</v>
      </c>
      <c r="E6298" t="s">
        <v>9474</v>
      </c>
      <c r="H6298" t="s">
        <v>25541</v>
      </c>
      <c r="J6298" t="s">
        <v>927</v>
      </c>
      <c r="K6298" t="s">
        <v>928</v>
      </c>
      <c r="L6298">
        <v>5</v>
      </c>
      <c r="M6298" t="s">
        <v>25542</v>
      </c>
      <c r="N6298" t="s">
        <v>135</v>
      </c>
      <c r="O6298" t="s">
        <v>9477</v>
      </c>
      <c r="P6298" t="s">
        <v>9477</v>
      </c>
      <c r="Y6298" t="s">
        <v>25541</v>
      </c>
    </row>
    <row r="6299" spans="1:25">
      <c r="A6299" t="s">
        <v>25543</v>
      </c>
      <c r="B6299" t="s">
        <v>25544</v>
      </c>
      <c r="D6299" t="s">
        <v>9473</v>
      </c>
      <c r="E6299" t="s">
        <v>9474</v>
      </c>
      <c r="H6299" t="s">
        <v>25545</v>
      </c>
      <c r="J6299" t="s">
        <v>497</v>
      </c>
      <c r="K6299" t="s">
        <v>498</v>
      </c>
      <c r="L6299">
        <v>5</v>
      </c>
      <c r="M6299" t="s">
        <v>25546</v>
      </c>
      <c r="N6299" t="s">
        <v>685</v>
      </c>
      <c r="O6299" t="s">
        <v>9477</v>
      </c>
      <c r="P6299" t="s">
        <v>9477</v>
      </c>
      <c r="Y6299" t="s">
        <v>25545</v>
      </c>
    </row>
    <row r="6300" spans="1:25">
      <c r="A6300" t="s">
        <v>25547</v>
      </c>
      <c r="B6300" t="s">
        <v>25548</v>
      </c>
      <c r="D6300" t="s">
        <v>9473</v>
      </c>
      <c r="E6300" t="s">
        <v>9474</v>
      </c>
      <c r="J6300" t="s">
        <v>10083</v>
      </c>
      <c r="K6300" t="s">
        <v>10084</v>
      </c>
      <c r="L6300">
        <v>5</v>
      </c>
      <c r="M6300" t="s">
        <v>25549</v>
      </c>
      <c r="N6300" t="s">
        <v>290</v>
      </c>
      <c r="O6300" t="s">
        <v>9477</v>
      </c>
      <c r="P6300" t="s">
        <v>9477</v>
      </c>
      <c r="Y6300" t="s">
        <v>25550</v>
      </c>
    </row>
    <row r="6301" spans="1:25">
      <c r="A6301" t="s">
        <v>25551</v>
      </c>
      <c r="B6301" t="s">
        <v>25552</v>
      </c>
      <c r="D6301" t="s">
        <v>9473</v>
      </c>
      <c r="E6301" t="s">
        <v>9474</v>
      </c>
      <c r="H6301" t="s">
        <v>25553</v>
      </c>
      <c r="J6301" t="s">
        <v>133</v>
      </c>
      <c r="K6301" t="s">
        <v>134</v>
      </c>
      <c r="L6301">
        <v>8</v>
      </c>
      <c r="M6301" t="s">
        <v>25554</v>
      </c>
      <c r="N6301" t="s">
        <v>290</v>
      </c>
      <c r="O6301" t="s">
        <v>9477</v>
      </c>
      <c r="P6301" t="s">
        <v>9477</v>
      </c>
      <c r="Y6301" t="s">
        <v>25553</v>
      </c>
    </row>
    <row r="6302" spans="1:25">
      <c r="A6302" t="s">
        <v>25555</v>
      </c>
      <c r="B6302" t="s">
        <v>25556</v>
      </c>
      <c r="D6302" t="s">
        <v>9473</v>
      </c>
      <c r="E6302" t="s">
        <v>9474</v>
      </c>
      <c r="J6302" t="s">
        <v>765</v>
      </c>
      <c r="K6302" t="s">
        <v>766</v>
      </c>
      <c r="L6302">
        <v>5</v>
      </c>
      <c r="M6302" t="s">
        <v>25557</v>
      </c>
      <c r="N6302" t="s">
        <v>685</v>
      </c>
      <c r="O6302" t="s">
        <v>9477</v>
      </c>
      <c r="P6302" t="s">
        <v>9477</v>
      </c>
      <c r="Y6302" t="s">
        <v>25558</v>
      </c>
    </row>
    <row r="6303" spans="1:25">
      <c r="A6303" t="s">
        <v>25559</v>
      </c>
      <c r="B6303" t="s">
        <v>25560</v>
      </c>
      <c r="D6303" t="s">
        <v>9473</v>
      </c>
      <c r="E6303" t="s">
        <v>9474</v>
      </c>
      <c r="J6303" t="s">
        <v>353</v>
      </c>
      <c r="K6303" t="s">
        <v>354</v>
      </c>
      <c r="L6303">
        <v>9</v>
      </c>
      <c r="M6303" t="s">
        <v>25561</v>
      </c>
      <c r="N6303" t="s">
        <v>685</v>
      </c>
      <c r="O6303" t="s">
        <v>9477</v>
      </c>
      <c r="P6303" t="s">
        <v>9477</v>
      </c>
      <c r="Y6303" t="s">
        <v>25562</v>
      </c>
    </row>
    <row r="6304" spans="1:25">
      <c r="A6304" t="s">
        <v>25563</v>
      </c>
      <c r="B6304" t="s">
        <v>25564</v>
      </c>
      <c r="D6304" t="s">
        <v>9473</v>
      </c>
      <c r="E6304" t="s">
        <v>9474</v>
      </c>
      <c r="H6304" t="s">
        <v>25565</v>
      </c>
      <c r="J6304" t="s">
        <v>90</v>
      </c>
      <c r="K6304" t="s">
        <v>91</v>
      </c>
      <c r="L6304">
        <v>5</v>
      </c>
      <c r="M6304" t="s">
        <v>25566</v>
      </c>
      <c r="N6304" t="s">
        <v>47</v>
      </c>
      <c r="O6304" t="s">
        <v>9477</v>
      </c>
      <c r="P6304" t="s">
        <v>9477</v>
      </c>
      <c r="Y6304" t="s">
        <v>25565</v>
      </c>
    </row>
    <row r="6305" spans="1:25">
      <c r="A6305" t="s">
        <v>25567</v>
      </c>
      <c r="B6305" t="s">
        <v>25568</v>
      </c>
      <c r="D6305" t="s">
        <v>9473</v>
      </c>
      <c r="E6305" t="s">
        <v>9474</v>
      </c>
      <c r="H6305" t="s">
        <v>25569</v>
      </c>
      <c r="J6305" t="s">
        <v>497</v>
      </c>
      <c r="K6305" t="s">
        <v>498</v>
      </c>
      <c r="L6305">
        <v>5</v>
      </c>
      <c r="M6305" t="s">
        <v>25570</v>
      </c>
      <c r="N6305" t="s">
        <v>135</v>
      </c>
      <c r="O6305" t="s">
        <v>9477</v>
      </c>
      <c r="P6305" t="s">
        <v>9477</v>
      </c>
      <c r="Y6305" t="s">
        <v>25569</v>
      </c>
    </row>
    <row r="6306" spans="1:25">
      <c r="A6306" t="s">
        <v>25571</v>
      </c>
      <c r="B6306" t="s">
        <v>25572</v>
      </c>
      <c r="D6306" t="s">
        <v>9473</v>
      </c>
      <c r="E6306" t="s">
        <v>9474</v>
      </c>
      <c r="J6306" t="s">
        <v>683</v>
      </c>
      <c r="K6306" t="s">
        <v>684</v>
      </c>
      <c r="L6306">
        <v>5</v>
      </c>
      <c r="M6306" t="s">
        <v>25573</v>
      </c>
      <c r="N6306" t="s">
        <v>685</v>
      </c>
      <c r="O6306" t="s">
        <v>9477</v>
      </c>
      <c r="P6306" t="s">
        <v>9477</v>
      </c>
      <c r="Y6306" t="s">
        <v>25574</v>
      </c>
    </row>
    <row r="6307" spans="1:25">
      <c r="A6307" t="s">
        <v>25575</v>
      </c>
      <c r="B6307" t="s">
        <v>25576</v>
      </c>
      <c r="D6307" t="s">
        <v>9473</v>
      </c>
      <c r="E6307" t="s">
        <v>9474</v>
      </c>
      <c r="J6307" t="s">
        <v>497</v>
      </c>
      <c r="K6307" t="s">
        <v>498</v>
      </c>
      <c r="L6307">
        <v>5</v>
      </c>
      <c r="M6307" t="s">
        <v>25577</v>
      </c>
      <c r="N6307" t="s">
        <v>685</v>
      </c>
      <c r="O6307" t="s">
        <v>9477</v>
      </c>
      <c r="P6307" t="s">
        <v>9477</v>
      </c>
      <c r="Y6307" t="s">
        <v>25578</v>
      </c>
    </row>
    <row r="6308" spans="1:25">
      <c r="A6308" t="s">
        <v>25579</v>
      </c>
      <c r="B6308" t="s">
        <v>25580</v>
      </c>
      <c r="D6308" t="s">
        <v>9473</v>
      </c>
      <c r="E6308" t="s">
        <v>9474</v>
      </c>
      <c r="J6308" t="s">
        <v>6594</v>
      </c>
      <c r="K6308" t="s">
        <v>6595</v>
      </c>
      <c r="L6308">
        <v>6</v>
      </c>
      <c r="M6308" t="s">
        <v>25581</v>
      </c>
      <c r="N6308" t="s">
        <v>685</v>
      </c>
      <c r="O6308" t="s">
        <v>9477</v>
      </c>
      <c r="P6308" t="s">
        <v>9477</v>
      </c>
      <c r="Y6308" t="s">
        <v>25582</v>
      </c>
    </row>
    <row r="6309" spans="1:25">
      <c r="A6309" t="s">
        <v>25583</v>
      </c>
      <c r="B6309" t="s">
        <v>25584</v>
      </c>
      <c r="D6309" t="s">
        <v>9473</v>
      </c>
      <c r="E6309" t="s">
        <v>9474</v>
      </c>
      <c r="J6309" t="s">
        <v>9759</v>
      </c>
      <c r="K6309" t="s">
        <v>9760</v>
      </c>
      <c r="L6309">
        <v>6</v>
      </c>
      <c r="M6309" t="s">
        <v>25585</v>
      </c>
      <c r="N6309" t="s">
        <v>47</v>
      </c>
      <c r="O6309" t="s">
        <v>9477</v>
      </c>
      <c r="P6309" t="s">
        <v>9477</v>
      </c>
      <c r="Y6309" t="s">
        <v>25586</v>
      </c>
    </row>
    <row r="6310" spans="1:25">
      <c r="A6310" t="s">
        <v>25587</v>
      </c>
      <c r="B6310" t="s">
        <v>25588</v>
      </c>
      <c r="D6310" t="s">
        <v>9473</v>
      </c>
      <c r="E6310" t="s">
        <v>9474</v>
      </c>
      <c r="J6310" t="s">
        <v>683</v>
      </c>
      <c r="K6310" t="s">
        <v>684</v>
      </c>
      <c r="L6310">
        <v>5</v>
      </c>
      <c r="M6310" t="s">
        <v>25589</v>
      </c>
      <c r="N6310" t="s">
        <v>685</v>
      </c>
      <c r="O6310" t="s">
        <v>9477</v>
      </c>
      <c r="P6310" t="s">
        <v>9477</v>
      </c>
      <c r="Y6310" t="s">
        <v>25590</v>
      </c>
    </row>
    <row r="6311" spans="1:25">
      <c r="A6311" t="s">
        <v>25591</v>
      </c>
      <c r="B6311" t="s">
        <v>25592</v>
      </c>
      <c r="D6311" t="s">
        <v>9473</v>
      </c>
      <c r="E6311" t="s">
        <v>9474</v>
      </c>
      <c r="J6311" t="s">
        <v>497</v>
      </c>
      <c r="K6311" t="s">
        <v>498</v>
      </c>
      <c r="L6311">
        <v>5</v>
      </c>
      <c r="M6311" t="s">
        <v>25593</v>
      </c>
      <c r="N6311" t="s">
        <v>685</v>
      </c>
      <c r="O6311" t="s">
        <v>9477</v>
      </c>
      <c r="P6311" t="s">
        <v>9477</v>
      </c>
      <c r="Y6311" t="s">
        <v>25594</v>
      </c>
    </row>
    <row r="6312" spans="1:25">
      <c r="A6312" t="s">
        <v>25595</v>
      </c>
      <c r="B6312" t="s">
        <v>25596</v>
      </c>
      <c r="D6312" t="s">
        <v>9473</v>
      </c>
      <c r="E6312" t="s">
        <v>9474</v>
      </c>
      <c r="J6312" t="s">
        <v>78</v>
      </c>
      <c r="K6312" t="s">
        <v>79</v>
      </c>
      <c r="L6312">
        <v>5</v>
      </c>
      <c r="M6312" t="s">
        <v>25597</v>
      </c>
      <c r="N6312" t="s">
        <v>47</v>
      </c>
      <c r="O6312" t="s">
        <v>9477</v>
      </c>
      <c r="P6312" t="s">
        <v>9477</v>
      </c>
      <c r="Y6312" t="s">
        <v>25598</v>
      </c>
    </row>
    <row r="6313" spans="1:25">
      <c r="A6313" t="s">
        <v>25599</v>
      </c>
      <c r="B6313" t="s">
        <v>25600</v>
      </c>
      <c r="D6313" t="s">
        <v>9473</v>
      </c>
      <c r="E6313" t="s">
        <v>9474</v>
      </c>
      <c r="J6313" t="s">
        <v>497</v>
      </c>
      <c r="K6313" t="s">
        <v>498</v>
      </c>
      <c r="L6313">
        <v>5</v>
      </c>
      <c r="M6313" t="s">
        <v>25601</v>
      </c>
      <c r="N6313" t="s">
        <v>290</v>
      </c>
      <c r="O6313" t="s">
        <v>9477</v>
      </c>
      <c r="P6313" t="s">
        <v>9477</v>
      </c>
      <c r="Y6313" t="s">
        <v>25602</v>
      </c>
    </row>
    <row r="6314" spans="1:25">
      <c r="A6314" t="s">
        <v>25603</v>
      </c>
      <c r="B6314" t="s">
        <v>25604</v>
      </c>
      <c r="D6314" t="s">
        <v>9473</v>
      </c>
      <c r="E6314" t="s">
        <v>9474</v>
      </c>
      <c r="H6314" t="s">
        <v>25605</v>
      </c>
      <c r="J6314" t="s">
        <v>497</v>
      </c>
      <c r="K6314" t="s">
        <v>498</v>
      </c>
      <c r="L6314">
        <v>5</v>
      </c>
      <c r="M6314" t="s">
        <v>25606</v>
      </c>
      <c r="N6314" t="s">
        <v>290</v>
      </c>
      <c r="O6314" t="s">
        <v>9477</v>
      </c>
      <c r="P6314" t="s">
        <v>9477</v>
      </c>
      <c r="Y6314" t="s">
        <v>25605</v>
      </c>
    </row>
    <row r="6315" spans="1:25">
      <c r="A6315" t="s">
        <v>25607</v>
      </c>
      <c r="B6315" t="s">
        <v>25608</v>
      </c>
      <c r="D6315" t="s">
        <v>9473</v>
      </c>
      <c r="E6315" t="s">
        <v>9474</v>
      </c>
      <c r="J6315" t="s">
        <v>497</v>
      </c>
      <c r="K6315" t="s">
        <v>498</v>
      </c>
      <c r="L6315">
        <v>5</v>
      </c>
      <c r="M6315" t="s">
        <v>25609</v>
      </c>
      <c r="N6315" t="s">
        <v>685</v>
      </c>
      <c r="O6315" t="s">
        <v>9477</v>
      </c>
      <c r="P6315" t="s">
        <v>9477</v>
      </c>
      <c r="Y6315" t="s">
        <v>25610</v>
      </c>
    </row>
    <row r="6316" spans="1:25">
      <c r="A6316" t="s">
        <v>25611</v>
      </c>
      <c r="B6316" t="s">
        <v>25612</v>
      </c>
      <c r="D6316" t="s">
        <v>9473</v>
      </c>
      <c r="E6316" t="s">
        <v>9474</v>
      </c>
      <c r="H6316" t="s">
        <v>25613</v>
      </c>
      <c r="J6316" t="s">
        <v>234</v>
      </c>
      <c r="K6316" t="s">
        <v>235</v>
      </c>
      <c r="L6316">
        <v>5</v>
      </c>
      <c r="M6316" t="s">
        <v>25614</v>
      </c>
      <c r="N6316" t="s">
        <v>47</v>
      </c>
      <c r="O6316" t="s">
        <v>9477</v>
      </c>
      <c r="P6316" t="s">
        <v>9477</v>
      </c>
      <c r="Y6316" t="s">
        <v>25613</v>
      </c>
    </row>
    <row r="6317" spans="1:25">
      <c r="A6317" t="s">
        <v>25615</v>
      </c>
      <c r="B6317" t="s">
        <v>25616</v>
      </c>
      <c r="D6317" t="s">
        <v>9473</v>
      </c>
      <c r="E6317" t="s">
        <v>9474</v>
      </c>
      <c r="H6317" t="s">
        <v>25617</v>
      </c>
      <c r="J6317" t="s">
        <v>133</v>
      </c>
      <c r="K6317" t="s">
        <v>134</v>
      </c>
      <c r="L6317">
        <v>6</v>
      </c>
      <c r="M6317" t="s">
        <v>25618</v>
      </c>
      <c r="N6317" t="s">
        <v>290</v>
      </c>
      <c r="O6317" t="s">
        <v>9477</v>
      </c>
      <c r="P6317" t="s">
        <v>9477</v>
      </c>
      <c r="Y6317" t="s">
        <v>25617</v>
      </c>
    </row>
    <row r="6318" spans="1:25">
      <c r="A6318" t="s">
        <v>25619</v>
      </c>
      <c r="B6318" t="s">
        <v>25620</v>
      </c>
      <c r="D6318" t="s">
        <v>9473</v>
      </c>
      <c r="E6318" t="s">
        <v>9474</v>
      </c>
      <c r="H6318" t="s">
        <v>25621</v>
      </c>
      <c r="J6318" t="s">
        <v>133</v>
      </c>
      <c r="K6318" t="s">
        <v>134</v>
      </c>
      <c r="L6318">
        <v>6</v>
      </c>
      <c r="M6318" t="s">
        <v>25622</v>
      </c>
      <c r="N6318" t="s">
        <v>685</v>
      </c>
      <c r="O6318" t="s">
        <v>9477</v>
      </c>
      <c r="P6318" t="s">
        <v>9477</v>
      </c>
      <c r="Y6318" t="s">
        <v>25621</v>
      </c>
    </row>
    <row r="6319" spans="1:25">
      <c r="A6319" t="s">
        <v>25623</v>
      </c>
      <c r="B6319" t="s">
        <v>25624</v>
      </c>
      <c r="D6319" t="s">
        <v>9473</v>
      </c>
      <c r="E6319" t="s">
        <v>9474</v>
      </c>
      <c r="H6319" t="s">
        <v>25625</v>
      </c>
      <c r="J6319" t="s">
        <v>765</v>
      </c>
      <c r="K6319" t="s">
        <v>766</v>
      </c>
      <c r="L6319">
        <v>5</v>
      </c>
      <c r="M6319" t="s">
        <v>25626</v>
      </c>
      <c r="N6319" t="s">
        <v>685</v>
      </c>
      <c r="O6319" t="s">
        <v>9477</v>
      </c>
      <c r="P6319" t="s">
        <v>9477</v>
      </c>
      <c r="Y6319" t="s">
        <v>25625</v>
      </c>
    </row>
    <row r="6320" spans="1:25">
      <c r="A6320" t="s">
        <v>25627</v>
      </c>
      <c r="B6320" t="s">
        <v>25628</v>
      </c>
      <c r="D6320" t="s">
        <v>9473</v>
      </c>
      <c r="E6320" t="s">
        <v>9474</v>
      </c>
      <c r="J6320" t="s">
        <v>765</v>
      </c>
      <c r="K6320" t="s">
        <v>766</v>
      </c>
      <c r="L6320">
        <v>5</v>
      </c>
      <c r="M6320" t="s">
        <v>25629</v>
      </c>
      <c r="N6320" t="s">
        <v>685</v>
      </c>
      <c r="O6320" t="s">
        <v>9477</v>
      </c>
      <c r="P6320" t="s">
        <v>9477</v>
      </c>
      <c r="Y6320" t="s">
        <v>25630</v>
      </c>
    </row>
    <row r="6321" spans="1:25">
      <c r="A6321" t="s">
        <v>25631</v>
      </c>
      <c r="B6321" t="s">
        <v>25632</v>
      </c>
      <c r="D6321" t="s">
        <v>9473</v>
      </c>
      <c r="E6321" t="s">
        <v>9474</v>
      </c>
      <c r="J6321" t="s">
        <v>497</v>
      </c>
      <c r="K6321" t="s">
        <v>498</v>
      </c>
      <c r="L6321">
        <v>5</v>
      </c>
      <c r="M6321" t="s">
        <v>25633</v>
      </c>
      <c r="N6321" t="s">
        <v>685</v>
      </c>
      <c r="O6321" t="s">
        <v>9477</v>
      </c>
      <c r="P6321" t="s">
        <v>9477</v>
      </c>
      <c r="Y6321" t="s">
        <v>25634</v>
      </c>
    </row>
    <row r="6322" spans="1:25">
      <c r="A6322" t="s">
        <v>25635</v>
      </c>
      <c r="B6322" t="s">
        <v>25636</v>
      </c>
      <c r="D6322" t="s">
        <v>9473</v>
      </c>
      <c r="E6322" t="s">
        <v>9474</v>
      </c>
      <c r="H6322" t="s">
        <v>25637</v>
      </c>
      <c r="J6322" t="s">
        <v>287</v>
      </c>
      <c r="K6322" t="s">
        <v>288</v>
      </c>
      <c r="L6322">
        <v>6</v>
      </c>
      <c r="M6322" t="s">
        <v>25638</v>
      </c>
      <c r="N6322" t="s">
        <v>685</v>
      </c>
      <c r="O6322" t="s">
        <v>9477</v>
      </c>
      <c r="P6322" t="s">
        <v>9477</v>
      </c>
      <c r="Y6322" t="s">
        <v>25637</v>
      </c>
    </row>
    <row r="6323" spans="1:25">
      <c r="A6323" t="s">
        <v>25639</v>
      </c>
      <c r="B6323" t="s">
        <v>25640</v>
      </c>
      <c r="D6323" t="s">
        <v>9473</v>
      </c>
      <c r="E6323" t="s">
        <v>9474</v>
      </c>
      <c r="H6323" t="s">
        <v>25641</v>
      </c>
      <c r="J6323" t="s">
        <v>133</v>
      </c>
      <c r="K6323" t="s">
        <v>134</v>
      </c>
      <c r="L6323">
        <v>7</v>
      </c>
      <c r="M6323" t="s">
        <v>25642</v>
      </c>
      <c r="N6323" t="s">
        <v>685</v>
      </c>
      <c r="O6323" t="s">
        <v>9477</v>
      </c>
      <c r="P6323" t="s">
        <v>9477</v>
      </c>
      <c r="Y6323" t="s">
        <v>25641</v>
      </c>
    </row>
    <row r="6324" spans="1:25">
      <c r="A6324" t="s">
        <v>25643</v>
      </c>
      <c r="B6324" t="s">
        <v>25644</v>
      </c>
      <c r="D6324" t="s">
        <v>9473</v>
      </c>
      <c r="E6324" t="s">
        <v>9474</v>
      </c>
      <c r="H6324" t="s">
        <v>25645</v>
      </c>
      <c r="J6324" t="s">
        <v>765</v>
      </c>
      <c r="K6324" t="s">
        <v>766</v>
      </c>
      <c r="L6324">
        <v>5</v>
      </c>
      <c r="M6324" t="s">
        <v>25646</v>
      </c>
      <c r="N6324" t="s">
        <v>685</v>
      </c>
      <c r="O6324" t="s">
        <v>9477</v>
      </c>
      <c r="P6324" t="s">
        <v>9477</v>
      </c>
      <c r="Y6324" t="s">
        <v>25645</v>
      </c>
    </row>
    <row r="6325" spans="1:25">
      <c r="A6325" t="s">
        <v>25647</v>
      </c>
      <c r="B6325" t="s">
        <v>25648</v>
      </c>
      <c r="D6325" t="s">
        <v>9473</v>
      </c>
      <c r="E6325" t="s">
        <v>9474</v>
      </c>
      <c r="J6325" t="s">
        <v>497</v>
      </c>
      <c r="K6325" t="s">
        <v>498</v>
      </c>
      <c r="L6325">
        <v>5</v>
      </c>
      <c r="M6325" t="s">
        <v>25649</v>
      </c>
      <c r="N6325" t="s">
        <v>685</v>
      </c>
      <c r="O6325" t="s">
        <v>9477</v>
      </c>
      <c r="P6325" t="s">
        <v>9477</v>
      </c>
      <c r="Y6325" t="s">
        <v>25650</v>
      </c>
    </row>
    <row r="6326" spans="1:25">
      <c r="A6326" t="s">
        <v>25651</v>
      </c>
      <c r="B6326" t="s">
        <v>25652</v>
      </c>
      <c r="D6326" t="s">
        <v>9473</v>
      </c>
      <c r="E6326" t="s">
        <v>9474</v>
      </c>
      <c r="H6326" t="s">
        <v>25653</v>
      </c>
      <c r="J6326" t="s">
        <v>353</v>
      </c>
      <c r="K6326" t="s">
        <v>354</v>
      </c>
      <c r="L6326">
        <v>6</v>
      </c>
      <c r="M6326" t="s">
        <v>25654</v>
      </c>
      <c r="N6326" t="s">
        <v>135</v>
      </c>
      <c r="O6326" t="s">
        <v>9477</v>
      </c>
      <c r="P6326" t="s">
        <v>9477</v>
      </c>
      <c r="Y6326" t="s">
        <v>25653</v>
      </c>
    </row>
    <row r="6327" spans="1:25">
      <c r="A6327" t="s">
        <v>25655</v>
      </c>
      <c r="B6327" t="s">
        <v>25656</v>
      </c>
      <c r="D6327" t="s">
        <v>9473</v>
      </c>
      <c r="E6327" t="s">
        <v>9474</v>
      </c>
      <c r="J6327" t="s">
        <v>765</v>
      </c>
      <c r="K6327" t="s">
        <v>766</v>
      </c>
      <c r="L6327">
        <v>5</v>
      </c>
      <c r="M6327" t="s">
        <v>25657</v>
      </c>
      <c r="N6327" t="s">
        <v>290</v>
      </c>
      <c r="O6327" t="s">
        <v>9477</v>
      </c>
      <c r="P6327" t="s">
        <v>9477</v>
      </c>
      <c r="Y6327" t="s">
        <v>25658</v>
      </c>
    </row>
    <row r="6328" spans="1:25">
      <c r="A6328" t="s">
        <v>25659</v>
      </c>
      <c r="B6328" t="s">
        <v>25660</v>
      </c>
      <c r="D6328" t="s">
        <v>9473</v>
      </c>
      <c r="E6328" t="s">
        <v>9474</v>
      </c>
      <c r="J6328" t="s">
        <v>9759</v>
      </c>
      <c r="K6328" t="s">
        <v>9760</v>
      </c>
      <c r="L6328">
        <v>6</v>
      </c>
      <c r="M6328" t="s">
        <v>25661</v>
      </c>
      <c r="N6328" t="s">
        <v>47</v>
      </c>
      <c r="O6328" t="s">
        <v>9477</v>
      </c>
      <c r="P6328" t="s">
        <v>9477</v>
      </c>
      <c r="Y6328" t="s">
        <v>25662</v>
      </c>
    </row>
    <row r="6329" spans="1:25">
      <c r="A6329" t="s">
        <v>25663</v>
      </c>
      <c r="B6329" t="s">
        <v>25664</v>
      </c>
      <c r="D6329" t="s">
        <v>9473</v>
      </c>
      <c r="E6329" t="s">
        <v>9474</v>
      </c>
      <c r="H6329" t="s">
        <v>25665</v>
      </c>
      <c r="J6329" t="s">
        <v>1571</v>
      </c>
      <c r="K6329" t="s">
        <v>1572</v>
      </c>
      <c r="L6329">
        <v>8</v>
      </c>
      <c r="M6329" t="s">
        <v>25666</v>
      </c>
      <c r="N6329" t="s">
        <v>685</v>
      </c>
      <c r="O6329" t="s">
        <v>9477</v>
      </c>
      <c r="P6329" t="s">
        <v>9477</v>
      </c>
      <c r="Y6329" t="s">
        <v>25665</v>
      </c>
    </row>
    <row r="6330" spans="1:25">
      <c r="A6330" t="s">
        <v>25667</v>
      </c>
      <c r="B6330" t="s">
        <v>25668</v>
      </c>
      <c r="D6330" t="s">
        <v>9473</v>
      </c>
      <c r="E6330" t="s">
        <v>9474</v>
      </c>
      <c r="J6330" t="s">
        <v>927</v>
      </c>
      <c r="K6330" t="s">
        <v>928</v>
      </c>
      <c r="L6330">
        <v>5</v>
      </c>
      <c r="M6330" t="s">
        <v>25669</v>
      </c>
      <c r="N6330" t="s">
        <v>135</v>
      </c>
      <c r="O6330" t="s">
        <v>9477</v>
      </c>
      <c r="P6330" t="s">
        <v>9477</v>
      </c>
      <c r="Y6330" t="s">
        <v>25670</v>
      </c>
    </row>
    <row r="6331" spans="1:25">
      <c r="A6331" t="s">
        <v>25671</v>
      </c>
      <c r="B6331" t="s">
        <v>25672</v>
      </c>
      <c r="D6331" t="s">
        <v>9473</v>
      </c>
      <c r="E6331" t="s">
        <v>9474</v>
      </c>
      <c r="J6331" t="s">
        <v>765</v>
      </c>
      <c r="K6331" t="s">
        <v>766</v>
      </c>
      <c r="L6331">
        <v>5</v>
      </c>
      <c r="M6331" t="s">
        <v>25673</v>
      </c>
      <c r="N6331" t="s">
        <v>685</v>
      </c>
      <c r="O6331" t="s">
        <v>9477</v>
      </c>
      <c r="P6331" t="s">
        <v>9477</v>
      </c>
      <c r="Y6331" t="s">
        <v>25674</v>
      </c>
    </row>
    <row r="6332" spans="1:25">
      <c r="A6332" t="s">
        <v>25675</v>
      </c>
      <c r="B6332" t="s">
        <v>25676</v>
      </c>
      <c r="D6332" t="s">
        <v>9473</v>
      </c>
      <c r="E6332" t="s">
        <v>9474</v>
      </c>
      <c r="H6332" t="s">
        <v>25677</v>
      </c>
      <c r="J6332" t="s">
        <v>497</v>
      </c>
      <c r="K6332" t="s">
        <v>498</v>
      </c>
      <c r="L6332">
        <v>5</v>
      </c>
      <c r="M6332" t="s">
        <v>25678</v>
      </c>
      <c r="N6332" t="s">
        <v>135</v>
      </c>
      <c r="O6332" t="s">
        <v>9477</v>
      </c>
      <c r="P6332" t="s">
        <v>9477</v>
      </c>
      <c r="Y6332" t="s">
        <v>25677</v>
      </c>
    </row>
    <row r="6333" spans="1:25">
      <c r="A6333" t="s">
        <v>25679</v>
      </c>
      <c r="B6333" t="s">
        <v>25680</v>
      </c>
      <c r="D6333" t="s">
        <v>9473</v>
      </c>
      <c r="E6333" t="s">
        <v>9474</v>
      </c>
      <c r="H6333" t="s">
        <v>25681</v>
      </c>
      <c r="J6333" t="s">
        <v>497</v>
      </c>
      <c r="K6333" t="s">
        <v>498</v>
      </c>
      <c r="L6333">
        <v>5</v>
      </c>
      <c r="M6333" t="s">
        <v>25682</v>
      </c>
      <c r="N6333" t="s">
        <v>685</v>
      </c>
      <c r="O6333" t="s">
        <v>9477</v>
      </c>
      <c r="P6333" t="s">
        <v>9477</v>
      </c>
      <c r="Y6333" t="s">
        <v>25681</v>
      </c>
    </row>
    <row r="6334" spans="1:25">
      <c r="A6334" t="s">
        <v>25683</v>
      </c>
      <c r="B6334" t="s">
        <v>25684</v>
      </c>
      <c r="D6334" t="s">
        <v>9473</v>
      </c>
      <c r="E6334" t="s">
        <v>9474</v>
      </c>
      <c r="J6334" t="s">
        <v>497</v>
      </c>
      <c r="K6334" t="s">
        <v>498</v>
      </c>
      <c r="L6334">
        <v>5</v>
      </c>
      <c r="M6334" t="s">
        <v>25685</v>
      </c>
      <c r="N6334" t="s">
        <v>685</v>
      </c>
      <c r="O6334" t="s">
        <v>9477</v>
      </c>
      <c r="P6334" t="s">
        <v>9477</v>
      </c>
      <c r="Y6334" t="s">
        <v>25686</v>
      </c>
    </row>
    <row r="6335" spans="1:25">
      <c r="A6335" t="s">
        <v>25687</v>
      </c>
      <c r="B6335" t="s">
        <v>25688</v>
      </c>
      <c r="D6335" t="s">
        <v>9473</v>
      </c>
      <c r="E6335" t="s">
        <v>9474</v>
      </c>
      <c r="J6335" t="s">
        <v>765</v>
      </c>
      <c r="K6335" t="s">
        <v>766</v>
      </c>
      <c r="L6335">
        <v>5</v>
      </c>
      <c r="M6335" t="s">
        <v>25689</v>
      </c>
      <c r="N6335" t="s">
        <v>685</v>
      </c>
      <c r="O6335" t="s">
        <v>9477</v>
      </c>
      <c r="P6335" t="s">
        <v>9477</v>
      </c>
      <c r="Y6335" t="s">
        <v>25690</v>
      </c>
    </row>
    <row r="6336" spans="1:25">
      <c r="A6336" t="s">
        <v>25691</v>
      </c>
      <c r="B6336" t="s">
        <v>25692</v>
      </c>
      <c r="D6336" t="s">
        <v>9473</v>
      </c>
      <c r="E6336" t="s">
        <v>9474</v>
      </c>
      <c r="J6336" t="s">
        <v>497</v>
      </c>
      <c r="K6336" t="s">
        <v>498</v>
      </c>
      <c r="L6336">
        <v>5</v>
      </c>
      <c r="M6336" t="s">
        <v>25693</v>
      </c>
      <c r="N6336" t="s">
        <v>685</v>
      </c>
      <c r="O6336" t="s">
        <v>9477</v>
      </c>
      <c r="P6336" t="s">
        <v>9477</v>
      </c>
      <c r="Y6336" t="s">
        <v>25694</v>
      </c>
    </row>
    <row r="6337" spans="1:25">
      <c r="A6337" t="s">
        <v>25695</v>
      </c>
      <c r="B6337" t="s">
        <v>25696</v>
      </c>
      <c r="D6337" t="s">
        <v>9473</v>
      </c>
      <c r="E6337" t="s">
        <v>9474</v>
      </c>
      <c r="J6337" t="s">
        <v>497</v>
      </c>
      <c r="K6337" t="s">
        <v>498</v>
      </c>
      <c r="L6337">
        <v>5</v>
      </c>
      <c r="M6337" t="s">
        <v>25697</v>
      </c>
      <c r="N6337" t="s">
        <v>135</v>
      </c>
      <c r="O6337" t="s">
        <v>9477</v>
      </c>
      <c r="P6337" t="s">
        <v>9477</v>
      </c>
      <c r="Y6337" t="s">
        <v>25698</v>
      </c>
    </row>
    <row r="6338" spans="1:25">
      <c r="A6338" t="s">
        <v>25699</v>
      </c>
      <c r="B6338" t="s">
        <v>25700</v>
      </c>
      <c r="D6338" t="s">
        <v>9473</v>
      </c>
      <c r="E6338" t="s">
        <v>9474</v>
      </c>
      <c r="J6338" t="s">
        <v>927</v>
      </c>
      <c r="K6338" t="s">
        <v>928</v>
      </c>
      <c r="L6338">
        <v>6</v>
      </c>
      <c r="M6338" t="s">
        <v>25701</v>
      </c>
      <c r="N6338" t="s">
        <v>685</v>
      </c>
      <c r="O6338" t="s">
        <v>9477</v>
      </c>
      <c r="P6338" t="s">
        <v>9477</v>
      </c>
      <c r="Y6338" t="s">
        <v>25702</v>
      </c>
    </row>
    <row r="6339" spans="1:25">
      <c r="A6339" t="s">
        <v>25703</v>
      </c>
      <c r="B6339" t="s">
        <v>25704</v>
      </c>
      <c r="D6339" t="s">
        <v>9473</v>
      </c>
      <c r="E6339" t="s">
        <v>9474</v>
      </c>
      <c r="J6339" t="s">
        <v>5964</v>
      </c>
      <c r="K6339" t="s">
        <v>5965</v>
      </c>
      <c r="L6339">
        <v>6</v>
      </c>
      <c r="M6339" t="s">
        <v>25705</v>
      </c>
      <c r="N6339" t="s">
        <v>685</v>
      </c>
      <c r="O6339" t="s">
        <v>9477</v>
      </c>
      <c r="P6339" t="s">
        <v>9477</v>
      </c>
      <c r="Y6339" t="s">
        <v>25706</v>
      </c>
    </row>
    <row r="6340" spans="1:25">
      <c r="A6340" t="s">
        <v>25707</v>
      </c>
      <c r="B6340" t="s">
        <v>25708</v>
      </c>
      <c r="D6340" t="s">
        <v>9473</v>
      </c>
      <c r="E6340" t="s">
        <v>9474</v>
      </c>
      <c r="J6340" t="s">
        <v>765</v>
      </c>
      <c r="K6340" t="s">
        <v>766</v>
      </c>
      <c r="L6340">
        <v>5</v>
      </c>
      <c r="M6340" t="s">
        <v>25709</v>
      </c>
      <c r="N6340" t="s">
        <v>685</v>
      </c>
      <c r="O6340" t="s">
        <v>9477</v>
      </c>
      <c r="P6340" t="s">
        <v>9477</v>
      </c>
      <c r="Y6340" t="s">
        <v>25710</v>
      </c>
    </row>
    <row r="6341" spans="1:25">
      <c r="A6341" t="s">
        <v>25711</v>
      </c>
      <c r="B6341" t="s">
        <v>25712</v>
      </c>
      <c r="D6341" t="s">
        <v>9473</v>
      </c>
      <c r="E6341" t="s">
        <v>9474</v>
      </c>
      <c r="H6341" t="s">
        <v>25713</v>
      </c>
      <c r="J6341" t="s">
        <v>9759</v>
      </c>
      <c r="K6341" t="s">
        <v>9760</v>
      </c>
      <c r="L6341">
        <v>6</v>
      </c>
      <c r="M6341" t="s">
        <v>25714</v>
      </c>
      <c r="N6341" t="s">
        <v>47</v>
      </c>
      <c r="O6341" t="s">
        <v>9477</v>
      </c>
      <c r="P6341" t="s">
        <v>9477</v>
      </c>
      <c r="Y6341" t="s">
        <v>25713</v>
      </c>
    </row>
    <row r="6342" spans="1:25">
      <c r="A6342" t="s">
        <v>25715</v>
      </c>
      <c r="B6342" t="s">
        <v>25716</v>
      </c>
      <c r="D6342" t="s">
        <v>9473</v>
      </c>
      <c r="E6342" t="s">
        <v>9474</v>
      </c>
      <c r="H6342" t="s">
        <v>25717</v>
      </c>
      <c r="J6342" t="s">
        <v>133</v>
      </c>
      <c r="K6342" t="s">
        <v>134</v>
      </c>
      <c r="L6342">
        <v>7</v>
      </c>
      <c r="M6342" t="s">
        <v>25718</v>
      </c>
      <c r="N6342" t="s">
        <v>135</v>
      </c>
      <c r="O6342" t="s">
        <v>9477</v>
      </c>
      <c r="P6342" t="s">
        <v>9477</v>
      </c>
      <c r="Y6342" t="s">
        <v>25717</v>
      </c>
    </row>
    <row r="6343" spans="1:25">
      <c r="A6343" t="s">
        <v>25719</v>
      </c>
      <c r="B6343" t="s">
        <v>25720</v>
      </c>
      <c r="D6343" t="s">
        <v>9473</v>
      </c>
      <c r="E6343" t="s">
        <v>9474</v>
      </c>
      <c r="J6343" t="s">
        <v>9759</v>
      </c>
      <c r="K6343" t="s">
        <v>9760</v>
      </c>
      <c r="L6343">
        <v>6</v>
      </c>
      <c r="M6343" t="s">
        <v>25721</v>
      </c>
      <c r="N6343" t="s">
        <v>47</v>
      </c>
      <c r="O6343" t="s">
        <v>9477</v>
      </c>
      <c r="P6343" t="s">
        <v>9477</v>
      </c>
      <c r="Y6343" t="s">
        <v>25722</v>
      </c>
    </row>
    <row r="6344" spans="1:25">
      <c r="A6344" t="s">
        <v>25723</v>
      </c>
      <c r="B6344" t="s">
        <v>25724</v>
      </c>
      <c r="D6344" t="s">
        <v>9473</v>
      </c>
      <c r="E6344" t="s">
        <v>9474</v>
      </c>
      <c r="J6344" t="s">
        <v>497</v>
      </c>
      <c r="K6344" t="s">
        <v>498</v>
      </c>
      <c r="L6344">
        <v>5</v>
      </c>
      <c r="M6344" t="s">
        <v>25725</v>
      </c>
      <c r="N6344" t="s">
        <v>685</v>
      </c>
      <c r="O6344" t="s">
        <v>9477</v>
      </c>
      <c r="P6344" t="s">
        <v>9477</v>
      </c>
      <c r="Y6344" t="s">
        <v>25726</v>
      </c>
    </row>
    <row r="6345" spans="1:25">
      <c r="A6345" t="s">
        <v>25727</v>
      </c>
      <c r="B6345" t="s">
        <v>25728</v>
      </c>
      <c r="D6345" t="s">
        <v>9473</v>
      </c>
      <c r="E6345" t="s">
        <v>9474</v>
      </c>
      <c r="J6345" t="s">
        <v>497</v>
      </c>
      <c r="K6345" t="s">
        <v>498</v>
      </c>
      <c r="L6345">
        <v>5</v>
      </c>
      <c r="M6345" t="s">
        <v>25729</v>
      </c>
      <c r="N6345" t="s">
        <v>135</v>
      </c>
      <c r="O6345" t="s">
        <v>9477</v>
      </c>
      <c r="P6345" t="s">
        <v>9477</v>
      </c>
      <c r="Y6345" t="s">
        <v>25730</v>
      </c>
    </row>
    <row r="6346" spans="1:25">
      <c r="A6346" t="s">
        <v>25731</v>
      </c>
      <c r="B6346" t="s">
        <v>25732</v>
      </c>
      <c r="D6346" t="s">
        <v>9473</v>
      </c>
      <c r="E6346" t="s">
        <v>9474</v>
      </c>
      <c r="H6346" t="s">
        <v>25733</v>
      </c>
      <c r="J6346" t="s">
        <v>497</v>
      </c>
      <c r="K6346" t="s">
        <v>498</v>
      </c>
      <c r="L6346">
        <v>5</v>
      </c>
      <c r="M6346" t="s">
        <v>25734</v>
      </c>
      <c r="N6346" t="s">
        <v>135</v>
      </c>
      <c r="O6346" t="s">
        <v>9477</v>
      </c>
      <c r="P6346" t="s">
        <v>9477</v>
      </c>
      <c r="Y6346" t="s">
        <v>25733</v>
      </c>
    </row>
    <row r="6347" spans="1:25">
      <c r="A6347" t="s">
        <v>25735</v>
      </c>
      <c r="B6347" t="s">
        <v>25736</v>
      </c>
      <c r="D6347" t="s">
        <v>9473</v>
      </c>
      <c r="E6347" t="s">
        <v>9474</v>
      </c>
      <c r="H6347" t="s">
        <v>25737</v>
      </c>
      <c r="J6347" t="s">
        <v>497</v>
      </c>
      <c r="K6347" t="s">
        <v>498</v>
      </c>
      <c r="L6347">
        <v>6</v>
      </c>
      <c r="M6347" t="s">
        <v>25738</v>
      </c>
      <c r="N6347" t="s">
        <v>685</v>
      </c>
      <c r="O6347" t="s">
        <v>9477</v>
      </c>
      <c r="P6347" t="s">
        <v>9477</v>
      </c>
      <c r="Y6347" t="s">
        <v>25737</v>
      </c>
    </row>
    <row r="6348" spans="1:25">
      <c r="A6348" t="s">
        <v>25739</v>
      </c>
      <c r="B6348" t="s">
        <v>25740</v>
      </c>
      <c r="D6348" t="s">
        <v>9473</v>
      </c>
      <c r="E6348" t="s">
        <v>9474</v>
      </c>
      <c r="H6348" t="s">
        <v>25741</v>
      </c>
      <c r="J6348" t="s">
        <v>353</v>
      </c>
      <c r="K6348" t="s">
        <v>354</v>
      </c>
      <c r="L6348">
        <v>6</v>
      </c>
      <c r="M6348" t="s">
        <v>25742</v>
      </c>
      <c r="N6348" t="s">
        <v>290</v>
      </c>
      <c r="O6348" t="s">
        <v>9477</v>
      </c>
      <c r="P6348" t="s">
        <v>9477</v>
      </c>
      <c r="Y6348" t="s">
        <v>25741</v>
      </c>
    </row>
    <row r="6349" spans="1:25">
      <c r="A6349" t="s">
        <v>25743</v>
      </c>
      <c r="B6349" t="s">
        <v>25744</v>
      </c>
      <c r="D6349" t="s">
        <v>9473</v>
      </c>
      <c r="E6349" t="s">
        <v>9474</v>
      </c>
      <c r="H6349" t="s">
        <v>25745</v>
      </c>
      <c r="J6349" t="s">
        <v>353</v>
      </c>
      <c r="K6349" t="s">
        <v>354</v>
      </c>
      <c r="L6349">
        <v>6</v>
      </c>
      <c r="M6349" t="s">
        <v>25746</v>
      </c>
      <c r="N6349" t="s">
        <v>685</v>
      </c>
      <c r="O6349" t="s">
        <v>9477</v>
      </c>
      <c r="P6349" t="s">
        <v>9477</v>
      </c>
      <c r="Y6349" t="s">
        <v>25745</v>
      </c>
    </row>
    <row r="6350" spans="1:25">
      <c r="A6350" t="s">
        <v>25747</v>
      </c>
      <c r="B6350" t="s">
        <v>25748</v>
      </c>
      <c r="D6350" t="s">
        <v>9473</v>
      </c>
      <c r="E6350" t="s">
        <v>9474</v>
      </c>
      <c r="J6350" t="s">
        <v>287</v>
      </c>
      <c r="K6350" t="s">
        <v>288</v>
      </c>
      <c r="L6350">
        <v>6</v>
      </c>
      <c r="M6350" t="s">
        <v>25749</v>
      </c>
      <c r="N6350" t="s">
        <v>685</v>
      </c>
      <c r="O6350" t="s">
        <v>9477</v>
      </c>
      <c r="P6350" t="s">
        <v>9477</v>
      </c>
      <c r="Y6350" t="s">
        <v>25750</v>
      </c>
    </row>
    <row r="6351" spans="1:25">
      <c r="A6351" t="s">
        <v>25751</v>
      </c>
      <c r="B6351" t="s">
        <v>25752</v>
      </c>
      <c r="D6351" t="s">
        <v>9473</v>
      </c>
      <c r="E6351" t="s">
        <v>9474</v>
      </c>
      <c r="J6351" t="s">
        <v>497</v>
      </c>
      <c r="K6351" t="s">
        <v>498</v>
      </c>
      <c r="L6351">
        <v>5</v>
      </c>
      <c r="M6351" t="s">
        <v>25753</v>
      </c>
      <c r="N6351" t="s">
        <v>685</v>
      </c>
      <c r="O6351" t="s">
        <v>9477</v>
      </c>
      <c r="P6351" t="s">
        <v>9477</v>
      </c>
      <c r="Y6351" t="s">
        <v>25754</v>
      </c>
    </row>
    <row r="6352" spans="1:25">
      <c r="A6352" t="s">
        <v>25755</v>
      </c>
      <c r="B6352" t="s">
        <v>25756</v>
      </c>
      <c r="D6352" t="s">
        <v>9473</v>
      </c>
      <c r="E6352" t="s">
        <v>9474</v>
      </c>
      <c r="H6352" t="s">
        <v>25757</v>
      </c>
      <c r="J6352" t="s">
        <v>9759</v>
      </c>
      <c r="K6352" t="s">
        <v>9760</v>
      </c>
      <c r="L6352">
        <v>6</v>
      </c>
      <c r="M6352" t="s">
        <v>25758</v>
      </c>
      <c r="N6352" t="s">
        <v>47</v>
      </c>
      <c r="O6352" t="s">
        <v>9477</v>
      </c>
      <c r="P6352" t="s">
        <v>9477</v>
      </c>
      <c r="Y6352" t="s">
        <v>25757</v>
      </c>
    </row>
    <row r="6353" spans="1:25">
      <c r="A6353" t="s">
        <v>25759</v>
      </c>
      <c r="B6353" t="s">
        <v>25760</v>
      </c>
      <c r="D6353" t="s">
        <v>9473</v>
      </c>
      <c r="E6353" t="s">
        <v>9474</v>
      </c>
      <c r="H6353" t="s">
        <v>25761</v>
      </c>
      <c r="J6353" t="s">
        <v>133</v>
      </c>
      <c r="K6353" t="s">
        <v>134</v>
      </c>
      <c r="L6353">
        <v>6</v>
      </c>
      <c r="M6353" t="s">
        <v>25762</v>
      </c>
      <c r="N6353" t="s">
        <v>135</v>
      </c>
      <c r="O6353" t="s">
        <v>9477</v>
      </c>
      <c r="P6353" t="s">
        <v>9477</v>
      </c>
      <c r="Y6353" t="s">
        <v>25761</v>
      </c>
    </row>
    <row r="6354" spans="1:25">
      <c r="A6354" t="s">
        <v>25763</v>
      </c>
      <c r="B6354" t="s">
        <v>25764</v>
      </c>
      <c r="D6354" t="s">
        <v>9473</v>
      </c>
      <c r="E6354" t="s">
        <v>9474</v>
      </c>
      <c r="J6354" t="s">
        <v>497</v>
      </c>
      <c r="K6354" t="s">
        <v>498</v>
      </c>
      <c r="L6354">
        <v>6</v>
      </c>
      <c r="M6354" t="s">
        <v>25765</v>
      </c>
      <c r="N6354" t="s">
        <v>685</v>
      </c>
      <c r="O6354" t="s">
        <v>9477</v>
      </c>
      <c r="P6354" t="s">
        <v>9477</v>
      </c>
      <c r="Y6354" t="s">
        <v>25766</v>
      </c>
    </row>
    <row r="6355" spans="1:25">
      <c r="A6355" t="s">
        <v>25767</v>
      </c>
      <c r="B6355" t="s">
        <v>25768</v>
      </c>
      <c r="D6355" t="s">
        <v>9473</v>
      </c>
      <c r="E6355" t="s">
        <v>9474</v>
      </c>
      <c r="H6355" t="s">
        <v>25769</v>
      </c>
      <c r="J6355" t="s">
        <v>133</v>
      </c>
      <c r="K6355" t="s">
        <v>134</v>
      </c>
      <c r="L6355">
        <v>6</v>
      </c>
      <c r="M6355" t="s">
        <v>25770</v>
      </c>
      <c r="N6355" t="s">
        <v>135</v>
      </c>
      <c r="O6355" t="s">
        <v>9477</v>
      </c>
      <c r="P6355" t="s">
        <v>9477</v>
      </c>
      <c r="Y6355" t="s">
        <v>25769</v>
      </c>
    </row>
    <row r="6356" spans="1:25">
      <c r="A6356" t="s">
        <v>25771</v>
      </c>
      <c r="B6356" t="s">
        <v>25772</v>
      </c>
      <c r="D6356" t="s">
        <v>9473</v>
      </c>
      <c r="E6356" t="s">
        <v>9474</v>
      </c>
      <c r="J6356" t="s">
        <v>497</v>
      </c>
      <c r="K6356" t="s">
        <v>498</v>
      </c>
      <c r="L6356">
        <v>5</v>
      </c>
      <c r="M6356" t="s">
        <v>25773</v>
      </c>
      <c r="N6356" t="s">
        <v>135</v>
      </c>
      <c r="O6356" t="s">
        <v>9477</v>
      </c>
      <c r="P6356" t="s">
        <v>9477</v>
      </c>
      <c r="Y6356" t="s">
        <v>25774</v>
      </c>
    </row>
    <row r="6357" spans="1:25">
      <c r="A6357" t="s">
        <v>25775</v>
      </c>
      <c r="B6357" t="s">
        <v>25776</v>
      </c>
      <c r="D6357" t="s">
        <v>9473</v>
      </c>
      <c r="E6357" t="s">
        <v>9474</v>
      </c>
      <c r="J6357" t="s">
        <v>765</v>
      </c>
      <c r="K6357" t="s">
        <v>766</v>
      </c>
      <c r="L6357">
        <v>5</v>
      </c>
      <c r="M6357" t="s">
        <v>25777</v>
      </c>
      <c r="N6357" t="s">
        <v>685</v>
      </c>
      <c r="O6357" t="s">
        <v>9477</v>
      </c>
      <c r="P6357" t="s">
        <v>9477</v>
      </c>
      <c r="Y6357" t="s">
        <v>25778</v>
      </c>
    </row>
    <row r="6358" spans="1:25">
      <c r="A6358" t="s">
        <v>25779</v>
      </c>
      <c r="B6358" t="s">
        <v>25780</v>
      </c>
      <c r="D6358" t="s">
        <v>9473</v>
      </c>
      <c r="E6358" t="s">
        <v>9474</v>
      </c>
      <c r="H6358" t="s">
        <v>25781</v>
      </c>
      <c r="J6358" t="s">
        <v>133</v>
      </c>
      <c r="K6358" t="s">
        <v>134</v>
      </c>
      <c r="L6358">
        <v>6</v>
      </c>
      <c r="M6358" t="s">
        <v>25782</v>
      </c>
      <c r="N6358" t="s">
        <v>135</v>
      </c>
      <c r="O6358" t="s">
        <v>9477</v>
      </c>
      <c r="P6358" t="s">
        <v>9477</v>
      </c>
      <c r="Y6358" t="s">
        <v>25781</v>
      </c>
    </row>
    <row r="6359" spans="1:25">
      <c r="A6359" t="s">
        <v>25783</v>
      </c>
      <c r="B6359" t="s">
        <v>25784</v>
      </c>
      <c r="D6359" t="s">
        <v>9473</v>
      </c>
      <c r="E6359" t="s">
        <v>9474</v>
      </c>
      <c r="H6359" t="s">
        <v>25785</v>
      </c>
      <c r="J6359" t="s">
        <v>133</v>
      </c>
      <c r="K6359" t="s">
        <v>134</v>
      </c>
      <c r="L6359">
        <v>7</v>
      </c>
      <c r="M6359" t="s">
        <v>25786</v>
      </c>
      <c r="N6359" t="s">
        <v>290</v>
      </c>
      <c r="O6359" t="s">
        <v>9477</v>
      </c>
      <c r="P6359" t="s">
        <v>9477</v>
      </c>
      <c r="Y6359" t="s">
        <v>25785</v>
      </c>
    </row>
    <row r="6360" spans="1:25">
      <c r="A6360" t="s">
        <v>25787</v>
      </c>
      <c r="B6360" t="s">
        <v>25788</v>
      </c>
      <c r="D6360" t="s">
        <v>9473</v>
      </c>
      <c r="E6360" t="s">
        <v>9474</v>
      </c>
      <c r="H6360" t="s">
        <v>25789</v>
      </c>
      <c r="J6360" t="s">
        <v>133</v>
      </c>
      <c r="K6360" t="s">
        <v>134</v>
      </c>
      <c r="L6360">
        <v>6</v>
      </c>
      <c r="M6360" t="s">
        <v>25790</v>
      </c>
      <c r="N6360" t="s">
        <v>290</v>
      </c>
      <c r="O6360" t="s">
        <v>9477</v>
      </c>
      <c r="P6360" t="s">
        <v>9477</v>
      </c>
      <c r="Y6360" t="s">
        <v>25789</v>
      </c>
    </row>
    <row r="6361" spans="1:25">
      <c r="A6361" t="s">
        <v>25791</v>
      </c>
      <c r="B6361" t="s">
        <v>25792</v>
      </c>
      <c r="D6361" t="s">
        <v>9473</v>
      </c>
      <c r="E6361" t="s">
        <v>9474</v>
      </c>
      <c r="J6361" t="s">
        <v>765</v>
      </c>
      <c r="K6361" t="s">
        <v>766</v>
      </c>
      <c r="L6361">
        <v>5</v>
      </c>
      <c r="M6361" t="s">
        <v>25793</v>
      </c>
      <c r="N6361" t="s">
        <v>685</v>
      </c>
      <c r="O6361" t="s">
        <v>9477</v>
      </c>
      <c r="P6361" t="s">
        <v>9477</v>
      </c>
      <c r="Y6361" t="s">
        <v>25794</v>
      </c>
    </row>
    <row r="6362" spans="1:25">
      <c r="A6362" t="s">
        <v>25795</v>
      </c>
      <c r="B6362" t="s">
        <v>25796</v>
      </c>
      <c r="D6362" t="s">
        <v>9473</v>
      </c>
      <c r="E6362" t="s">
        <v>9474</v>
      </c>
      <c r="J6362" t="s">
        <v>353</v>
      </c>
      <c r="K6362" t="s">
        <v>354</v>
      </c>
      <c r="L6362">
        <v>6</v>
      </c>
      <c r="M6362" t="s">
        <v>25797</v>
      </c>
      <c r="N6362" t="s">
        <v>685</v>
      </c>
      <c r="O6362" t="s">
        <v>9477</v>
      </c>
      <c r="P6362" t="s">
        <v>9477</v>
      </c>
      <c r="Y6362" t="s">
        <v>25798</v>
      </c>
    </row>
    <row r="6363" spans="1:25">
      <c r="A6363" t="s">
        <v>25799</v>
      </c>
      <c r="B6363" t="s">
        <v>25800</v>
      </c>
      <c r="D6363" t="s">
        <v>9473</v>
      </c>
      <c r="E6363" t="s">
        <v>9474</v>
      </c>
      <c r="J6363" t="s">
        <v>497</v>
      </c>
      <c r="K6363" t="s">
        <v>498</v>
      </c>
      <c r="L6363">
        <v>5</v>
      </c>
      <c r="M6363" t="s">
        <v>25801</v>
      </c>
      <c r="N6363" t="s">
        <v>290</v>
      </c>
      <c r="O6363" t="s">
        <v>9477</v>
      </c>
      <c r="P6363" t="s">
        <v>9477</v>
      </c>
      <c r="Y6363" t="s">
        <v>25802</v>
      </c>
    </row>
    <row r="6364" spans="1:25">
      <c r="A6364" t="s">
        <v>25803</v>
      </c>
      <c r="B6364" t="s">
        <v>25804</v>
      </c>
      <c r="D6364" t="s">
        <v>9473</v>
      </c>
      <c r="E6364" t="s">
        <v>9474</v>
      </c>
      <c r="H6364" t="s">
        <v>25805</v>
      </c>
      <c r="J6364" t="s">
        <v>133</v>
      </c>
      <c r="K6364" t="s">
        <v>134</v>
      </c>
      <c r="L6364">
        <v>6</v>
      </c>
      <c r="M6364" t="s">
        <v>25806</v>
      </c>
      <c r="N6364" t="s">
        <v>135</v>
      </c>
      <c r="O6364" t="s">
        <v>9477</v>
      </c>
      <c r="P6364" t="s">
        <v>9477</v>
      </c>
      <c r="Y6364" t="s">
        <v>25805</v>
      </c>
    </row>
    <row r="6365" spans="1:25">
      <c r="A6365" t="s">
        <v>25807</v>
      </c>
      <c r="B6365" t="s">
        <v>25808</v>
      </c>
      <c r="D6365" t="s">
        <v>9473</v>
      </c>
      <c r="E6365" t="s">
        <v>9474</v>
      </c>
      <c r="J6365" t="s">
        <v>497</v>
      </c>
      <c r="K6365" t="s">
        <v>498</v>
      </c>
      <c r="L6365">
        <v>5</v>
      </c>
      <c r="M6365" t="s">
        <v>25809</v>
      </c>
      <c r="N6365" t="s">
        <v>685</v>
      </c>
      <c r="O6365" t="s">
        <v>9477</v>
      </c>
      <c r="P6365" t="s">
        <v>9477</v>
      </c>
      <c r="Y6365" t="s">
        <v>25810</v>
      </c>
    </row>
    <row r="6366" spans="1:25">
      <c r="A6366" t="s">
        <v>25811</v>
      </c>
      <c r="B6366" t="s">
        <v>25812</v>
      </c>
      <c r="D6366" t="s">
        <v>9473</v>
      </c>
      <c r="E6366" t="s">
        <v>9474</v>
      </c>
      <c r="H6366" t="s">
        <v>25813</v>
      </c>
      <c r="J6366" t="s">
        <v>765</v>
      </c>
      <c r="K6366" t="s">
        <v>766</v>
      </c>
      <c r="L6366">
        <v>5</v>
      </c>
      <c r="M6366" t="s">
        <v>25814</v>
      </c>
      <c r="N6366" t="s">
        <v>685</v>
      </c>
      <c r="O6366" t="s">
        <v>9477</v>
      </c>
      <c r="P6366" t="s">
        <v>9477</v>
      </c>
      <c r="Y6366" t="s">
        <v>25813</v>
      </c>
    </row>
    <row r="6367" spans="1:25">
      <c r="A6367" t="s">
        <v>25815</v>
      </c>
      <c r="B6367" t="s">
        <v>25816</v>
      </c>
      <c r="D6367" t="s">
        <v>9473</v>
      </c>
      <c r="E6367" t="s">
        <v>9474</v>
      </c>
      <c r="H6367" t="s">
        <v>25817</v>
      </c>
      <c r="J6367" t="s">
        <v>497</v>
      </c>
      <c r="K6367" t="s">
        <v>498</v>
      </c>
      <c r="L6367">
        <v>6</v>
      </c>
      <c r="M6367" t="s">
        <v>25818</v>
      </c>
      <c r="N6367" t="s">
        <v>685</v>
      </c>
      <c r="O6367" t="s">
        <v>9477</v>
      </c>
      <c r="P6367" t="s">
        <v>9477</v>
      </c>
      <c r="Y6367" t="s">
        <v>25817</v>
      </c>
    </row>
    <row r="6368" spans="1:25">
      <c r="A6368" t="s">
        <v>25819</v>
      </c>
      <c r="B6368" t="s">
        <v>25820</v>
      </c>
      <c r="D6368" t="s">
        <v>9473</v>
      </c>
      <c r="E6368" t="s">
        <v>9474</v>
      </c>
      <c r="J6368" t="s">
        <v>287</v>
      </c>
      <c r="K6368" t="s">
        <v>288</v>
      </c>
      <c r="L6368">
        <v>6</v>
      </c>
      <c r="M6368" t="s">
        <v>25821</v>
      </c>
      <c r="N6368" t="s">
        <v>685</v>
      </c>
      <c r="O6368" t="s">
        <v>9477</v>
      </c>
      <c r="P6368" t="s">
        <v>9477</v>
      </c>
      <c r="Y6368" t="s">
        <v>25822</v>
      </c>
    </row>
    <row r="6369" spans="1:25">
      <c r="A6369" t="s">
        <v>25823</v>
      </c>
      <c r="B6369" t="s">
        <v>25824</v>
      </c>
      <c r="D6369" t="s">
        <v>9473</v>
      </c>
      <c r="E6369" t="s">
        <v>9474</v>
      </c>
      <c r="H6369" t="s">
        <v>25825</v>
      </c>
      <c r="J6369" t="s">
        <v>497</v>
      </c>
      <c r="K6369" t="s">
        <v>498</v>
      </c>
      <c r="L6369">
        <v>5</v>
      </c>
      <c r="M6369" t="s">
        <v>25826</v>
      </c>
      <c r="N6369" t="s">
        <v>685</v>
      </c>
      <c r="O6369" t="s">
        <v>9477</v>
      </c>
      <c r="P6369" t="s">
        <v>9477</v>
      </c>
      <c r="Y6369" t="s">
        <v>25825</v>
      </c>
    </row>
    <row r="6370" spans="1:25">
      <c r="A6370" t="s">
        <v>25827</v>
      </c>
      <c r="B6370" t="s">
        <v>25828</v>
      </c>
      <c r="D6370" t="s">
        <v>9473</v>
      </c>
      <c r="E6370" t="s">
        <v>9474</v>
      </c>
      <c r="H6370" t="s">
        <v>25829</v>
      </c>
      <c r="J6370" t="s">
        <v>497</v>
      </c>
      <c r="K6370" t="s">
        <v>498</v>
      </c>
      <c r="L6370">
        <v>5</v>
      </c>
      <c r="M6370" t="s">
        <v>25830</v>
      </c>
      <c r="N6370" t="s">
        <v>685</v>
      </c>
      <c r="O6370" t="s">
        <v>9477</v>
      </c>
      <c r="P6370" t="s">
        <v>9477</v>
      </c>
      <c r="Y6370" t="s">
        <v>25829</v>
      </c>
    </row>
    <row r="6371" spans="1:25">
      <c r="A6371" t="s">
        <v>25831</v>
      </c>
      <c r="B6371" t="s">
        <v>25832</v>
      </c>
      <c r="D6371" t="s">
        <v>9473</v>
      </c>
      <c r="E6371" t="s">
        <v>9474</v>
      </c>
      <c r="H6371" t="s">
        <v>25833</v>
      </c>
      <c r="J6371" t="s">
        <v>2328</v>
      </c>
      <c r="K6371" t="s">
        <v>2329</v>
      </c>
      <c r="L6371">
        <v>5</v>
      </c>
      <c r="M6371" t="s">
        <v>25834</v>
      </c>
      <c r="N6371" t="s">
        <v>685</v>
      </c>
      <c r="O6371" t="s">
        <v>9477</v>
      </c>
      <c r="P6371" t="s">
        <v>9477</v>
      </c>
      <c r="Y6371" t="s">
        <v>25833</v>
      </c>
    </row>
    <row r="6372" spans="1:25">
      <c r="A6372" t="s">
        <v>25835</v>
      </c>
      <c r="B6372" t="s">
        <v>25836</v>
      </c>
      <c r="D6372" t="s">
        <v>9473</v>
      </c>
      <c r="E6372" t="s">
        <v>9474</v>
      </c>
      <c r="H6372" t="s">
        <v>25837</v>
      </c>
      <c r="J6372" t="s">
        <v>7250</v>
      </c>
      <c r="K6372" t="s">
        <v>7251</v>
      </c>
      <c r="L6372">
        <v>6</v>
      </c>
      <c r="M6372" t="s">
        <v>25838</v>
      </c>
      <c r="N6372" t="s">
        <v>685</v>
      </c>
      <c r="O6372" t="s">
        <v>9477</v>
      </c>
      <c r="P6372" t="s">
        <v>9477</v>
      </c>
      <c r="Y6372" t="s">
        <v>25837</v>
      </c>
    </row>
    <row r="6373" spans="1:25">
      <c r="A6373" t="s">
        <v>25839</v>
      </c>
      <c r="B6373" t="s">
        <v>25840</v>
      </c>
      <c r="D6373" t="s">
        <v>9473</v>
      </c>
      <c r="E6373" t="s">
        <v>9474</v>
      </c>
      <c r="J6373" t="s">
        <v>287</v>
      </c>
      <c r="K6373" t="s">
        <v>288</v>
      </c>
      <c r="L6373">
        <v>6</v>
      </c>
      <c r="M6373" t="s">
        <v>25841</v>
      </c>
      <c r="N6373" t="s">
        <v>685</v>
      </c>
      <c r="O6373" t="s">
        <v>9477</v>
      </c>
      <c r="P6373" t="s">
        <v>9477</v>
      </c>
      <c r="Y6373" t="s">
        <v>25842</v>
      </c>
    </row>
    <row r="6374" spans="1:25">
      <c r="A6374" t="s">
        <v>25843</v>
      </c>
      <c r="B6374" t="s">
        <v>25844</v>
      </c>
      <c r="D6374" t="s">
        <v>9473</v>
      </c>
      <c r="E6374" t="s">
        <v>9474</v>
      </c>
      <c r="H6374" t="s">
        <v>25845</v>
      </c>
      <c r="J6374" t="s">
        <v>765</v>
      </c>
      <c r="K6374" t="s">
        <v>766</v>
      </c>
      <c r="L6374">
        <v>5</v>
      </c>
      <c r="M6374" t="s">
        <v>25846</v>
      </c>
      <c r="N6374" t="s">
        <v>685</v>
      </c>
      <c r="O6374" t="s">
        <v>9477</v>
      </c>
      <c r="P6374" t="s">
        <v>9477</v>
      </c>
      <c r="Y6374" t="s">
        <v>25845</v>
      </c>
    </row>
    <row r="6375" spans="1:25">
      <c r="A6375" t="s">
        <v>25847</v>
      </c>
      <c r="B6375" t="s">
        <v>25848</v>
      </c>
      <c r="D6375" t="s">
        <v>9473</v>
      </c>
      <c r="E6375" t="s">
        <v>9474</v>
      </c>
      <c r="J6375" t="s">
        <v>497</v>
      </c>
      <c r="K6375" t="s">
        <v>498</v>
      </c>
      <c r="L6375">
        <v>5</v>
      </c>
      <c r="M6375" t="s">
        <v>25849</v>
      </c>
      <c r="N6375" t="s">
        <v>135</v>
      </c>
      <c r="O6375" t="s">
        <v>9477</v>
      </c>
      <c r="P6375" t="s">
        <v>9477</v>
      </c>
      <c r="Y6375" t="s">
        <v>25850</v>
      </c>
    </row>
    <row r="6376" spans="1:25">
      <c r="A6376" t="s">
        <v>25851</v>
      </c>
      <c r="B6376" t="s">
        <v>25852</v>
      </c>
      <c r="D6376" t="s">
        <v>9473</v>
      </c>
      <c r="E6376" t="s">
        <v>9474</v>
      </c>
      <c r="H6376" t="s">
        <v>25853</v>
      </c>
      <c r="J6376" t="s">
        <v>353</v>
      </c>
      <c r="K6376" t="s">
        <v>354</v>
      </c>
      <c r="L6376">
        <v>6</v>
      </c>
      <c r="M6376" t="s">
        <v>25854</v>
      </c>
      <c r="N6376" t="s">
        <v>685</v>
      </c>
      <c r="O6376" t="s">
        <v>9477</v>
      </c>
      <c r="P6376" t="s">
        <v>9477</v>
      </c>
      <c r="Y6376" t="s">
        <v>25853</v>
      </c>
    </row>
    <row r="6377" spans="1:25">
      <c r="A6377" t="s">
        <v>25855</v>
      </c>
      <c r="B6377" t="s">
        <v>25856</v>
      </c>
      <c r="D6377" t="s">
        <v>9473</v>
      </c>
      <c r="E6377" t="s">
        <v>9474</v>
      </c>
      <c r="H6377" t="s">
        <v>25857</v>
      </c>
      <c r="J6377" t="s">
        <v>765</v>
      </c>
      <c r="K6377" t="s">
        <v>766</v>
      </c>
      <c r="L6377">
        <v>5</v>
      </c>
      <c r="M6377" t="s">
        <v>25858</v>
      </c>
      <c r="N6377" t="s">
        <v>685</v>
      </c>
      <c r="O6377" t="s">
        <v>9477</v>
      </c>
      <c r="P6377" t="s">
        <v>9477</v>
      </c>
      <c r="Y6377" t="s">
        <v>25857</v>
      </c>
    </row>
    <row r="6378" spans="1:25">
      <c r="A6378" t="s">
        <v>25859</v>
      </c>
      <c r="B6378" t="s">
        <v>25860</v>
      </c>
      <c r="D6378" t="s">
        <v>9473</v>
      </c>
      <c r="E6378" t="s">
        <v>9474</v>
      </c>
      <c r="H6378" t="s">
        <v>25861</v>
      </c>
      <c r="J6378" t="s">
        <v>497</v>
      </c>
      <c r="K6378" t="s">
        <v>498</v>
      </c>
      <c r="L6378">
        <v>5</v>
      </c>
      <c r="M6378" t="s">
        <v>25862</v>
      </c>
      <c r="N6378" t="s">
        <v>135</v>
      </c>
      <c r="O6378" t="s">
        <v>9477</v>
      </c>
      <c r="P6378" t="s">
        <v>9477</v>
      </c>
      <c r="Y6378" t="s">
        <v>25861</v>
      </c>
    </row>
    <row r="6379" spans="1:25">
      <c r="A6379" t="s">
        <v>25863</v>
      </c>
      <c r="B6379" t="s">
        <v>25864</v>
      </c>
      <c r="D6379" t="s">
        <v>9473</v>
      </c>
      <c r="E6379" t="s">
        <v>9474</v>
      </c>
      <c r="J6379" t="s">
        <v>6594</v>
      </c>
      <c r="K6379" t="s">
        <v>6595</v>
      </c>
      <c r="L6379">
        <v>9</v>
      </c>
      <c r="M6379" t="s">
        <v>25865</v>
      </c>
      <c r="N6379" t="s">
        <v>685</v>
      </c>
      <c r="O6379" t="s">
        <v>9477</v>
      </c>
      <c r="P6379" t="s">
        <v>9477</v>
      </c>
      <c r="Y6379" t="s">
        <v>25866</v>
      </c>
    </row>
    <row r="6380" spans="1:25">
      <c r="A6380" t="s">
        <v>25867</v>
      </c>
      <c r="B6380" t="s">
        <v>25868</v>
      </c>
      <c r="D6380" t="s">
        <v>9473</v>
      </c>
      <c r="E6380" t="s">
        <v>9474</v>
      </c>
      <c r="J6380" t="s">
        <v>765</v>
      </c>
      <c r="K6380" t="s">
        <v>766</v>
      </c>
      <c r="L6380">
        <v>5</v>
      </c>
      <c r="M6380" t="s">
        <v>25869</v>
      </c>
      <c r="N6380" t="s">
        <v>685</v>
      </c>
      <c r="O6380" t="s">
        <v>9477</v>
      </c>
      <c r="P6380" t="s">
        <v>9477</v>
      </c>
      <c r="Y6380" t="s">
        <v>25870</v>
      </c>
    </row>
    <row r="6381" spans="1:25">
      <c r="A6381" t="s">
        <v>25871</v>
      </c>
      <c r="B6381" t="s">
        <v>25872</v>
      </c>
      <c r="D6381" t="s">
        <v>9473</v>
      </c>
      <c r="E6381" t="s">
        <v>9474</v>
      </c>
      <c r="J6381" t="s">
        <v>765</v>
      </c>
      <c r="K6381" t="s">
        <v>766</v>
      </c>
      <c r="L6381">
        <v>5</v>
      </c>
      <c r="M6381" t="s">
        <v>25873</v>
      </c>
      <c r="N6381" t="s">
        <v>685</v>
      </c>
      <c r="O6381" t="s">
        <v>9477</v>
      </c>
      <c r="P6381" t="s">
        <v>9477</v>
      </c>
      <c r="Y6381" t="s">
        <v>25874</v>
      </c>
    </row>
    <row r="6382" spans="1:25">
      <c r="A6382" t="s">
        <v>25875</v>
      </c>
      <c r="B6382" t="s">
        <v>25876</v>
      </c>
      <c r="D6382" t="s">
        <v>9473</v>
      </c>
      <c r="E6382" t="s">
        <v>9474</v>
      </c>
      <c r="J6382" t="s">
        <v>765</v>
      </c>
      <c r="K6382" t="s">
        <v>766</v>
      </c>
      <c r="L6382">
        <v>5</v>
      </c>
      <c r="M6382" t="s">
        <v>25877</v>
      </c>
      <c r="N6382" t="s">
        <v>290</v>
      </c>
      <c r="O6382" t="s">
        <v>9477</v>
      </c>
      <c r="P6382" t="s">
        <v>9477</v>
      </c>
      <c r="Y6382" t="s">
        <v>25878</v>
      </c>
    </row>
    <row r="6383" spans="1:25">
      <c r="A6383" t="s">
        <v>25879</v>
      </c>
      <c r="B6383" t="s">
        <v>25880</v>
      </c>
      <c r="D6383" t="s">
        <v>9473</v>
      </c>
      <c r="E6383" t="s">
        <v>9474</v>
      </c>
      <c r="J6383" t="s">
        <v>287</v>
      </c>
      <c r="K6383" t="s">
        <v>288</v>
      </c>
      <c r="L6383">
        <v>7</v>
      </c>
      <c r="M6383" t="s">
        <v>25881</v>
      </c>
      <c r="N6383" t="s">
        <v>685</v>
      </c>
      <c r="O6383" t="s">
        <v>9477</v>
      </c>
      <c r="P6383" t="s">
        <v>9477</v>
      </c>
      <c r="Y6383" t="s">
        <v>25882</v>
      </c>
    </row>
    <row r="6384" spans="1:25">
      <c r="A6384" t="s">
        <v>25883</v>
      </c>
      <c r="B6384" t="s">
        <v>25884</v>
      </c>
      <c r="D6384" t="s">
        <v>9473</v>
      </c>
      <c r="E6384" t="s">
        <v>9474</v>
      </c>
      <c r="J6384" t="s">
        <v>9759</v>
      </c>
      <c r="K6384" t="s">
        <v>9760</v>
      </c>
      <c r="L6384">
        <v>6</v>
      </c>
      <c r="M6384" t="s">
        <v>25885</v>
      </c>
      <c r="N6384" t="s">
        <v>47</v>
      </c>
      <c r="O6384" t="s">
        <v>9477</v>
      </c>
      <c r="P6384" t="s">
        <v>9477</v>
      </c>
      <c r="Y6384" t="s">
        <v>25886</v>
      </c>
    </row>
    <row r="6385" spans="1:25">
      <c r="A6385" t="s">
        <v>25887</v>
      </c>
      <c r="B6385" t="s">
        <v>25888</v>
      </c>
      <c r="D6385" t="s">
        <v>9473</v>
      </c>
      <c r="E6385" t="s">
        <v>9474</v>
      </c>
      <c r="H6385" t="s">
        <v>25889</v>
      </c>
      <c r="J6385" t="s">
        <v>6594</v>
      </c>
      <c r="K6385" t="s">
        <v>6595</v>
      </c>
      <c r="L6385">
        <v>6</v>
      </c>
      <c r="M6385" t="s">
        <v>25890</v>
      </c>
      <c r="N6385" t="s">
        <v>685</v>
      </c>
      <c r="O6385" t="s">
        <v>9477</v>
      </c>
      <c r="P6385" t="s">
        <v>9477</v>
      </c>
      <c r="Y6385" t="s">
        <v>25889</v>
      </c>
    </row>
    <row r="6386" spans="1:25">
      <c r="A6386" t="s">
        <v>25891</v>
      </c>
      <c r="B6386" t="s">
        <v>25892</v>
      </c>
      <c r="D6386" t="s">
        <v>9473</v>
      </c>
      <c r="E6386" t="s">
        <v>9474</v>
      </c>
      <c r="J6386" t="s">
        <v>287</v>
      </c>
      <c r="K6386" t="s">
        <v>288</v>
      </c>
      <c r="L6386">
        <v>6</v>
      </c>
      <c r="M6386" t="s">
        <v>25893</v>
      </c>
      <c r="N6386" t="s">
        <v>685</v>
      </c>
      <c r="O6386" t="s">
        <v>9477</v>
      </c>
      <c r="P6386" t="s">
        <v>9477</v>
      </c>
      <c r="Y6386" t="s">
        <v>25894</v>
      </c>
    </row>
    <row r="6387" spans="1:25">
      <c r="A6387" t="s">
        <v>25895</v>
      </c>
      <c r="B6387" t="s">
        <v>25896</v>
      </c>
      <c r="D6387" t="s">
        <v>9473</v>
      </c>
      <c r="E6387" t="s">
        <v>9474</v>
      </c>
      <c r="H6387" t="s">
        <v>25897</v>
      </c>
      <c r="J6387" t="s">
        <v>353</v>
      </c>
      <c r="K6387" t="s">
        <v>354</v>
      </c>
      <c r="L6387">
        <v>6</v>
      </c>
      <c r="M6387" t="s">
        <v>25898</v>
      </c>
      <c r="N6387" t="s">
        <v>685</v>
      </c>
      <c r="O6387" t="s">
        <v>9477</v>
      </c>
      <c r="P6387" t="s">
        <v>9477</v>
      </c>
      <c r="Y6387" t="s">
        <v>25897</v>
      </c>
    </row>
    <row r="6388" spans="1:25">
      <c r="A6388" t="s">
        <v>25899</v>
      </c>
      <c r="B6388" t="s">
        <v>25900</v>
      </c>
      <c r="D6388" t="s">
        <v>9473</v>
      </c>
      <c r="E6388" t="s">
        <v>9474</v>
      </c>
      <c r="J6388" t="s">
        <v>9759</v>
      </c>
      <c r="K6388" t="s">
        <v>9760</v>
      </c>
      <c r="L6388">
        <v>6</v>
      </c>
      <c r="M6388" t="s">
        <v>25901</v>
      </c>
      <c r="N6388" t="s">
        <v>135</v>
      </c>
      <c r="O6388" t="s">
        <v>9477</v>
      </c>
      <c r="P6388" t="s">
        <v>9477</v>
      </c>
      <c r="Y6388" t="s">
        <v>25902</v>
      </c>
    </row>
    <row r="6389" spans="1:25">
      <c r="A6389" t="s">
        <v>25903</v>
      </c>
      <c r="B6389" t="s">
        <v>25904</v>
      </c>
      <c r="D6389" t="s">
        <v>9473</v>
      </c>
      <c r="E6389" t="s">
        <v>9474</v>
      </c>
      <c r="H6389" t="s">
        <v>25905</v>
      </c>
      <c r="J6389" t="s">
        <v>497</v>
      </c>
      <c r="K6389" t="s">
        <v>498</v>
      </c>
      <c r="L6389">
        <v>5</v>
      </c>
      <c r="M6389" t="s">
        <v>25906</v>
      </c>
      <c r="N6389" t="s">
        <v>685</v>
      </c>
      <c r="O6389" t="s">
        <v>9477</v>
      </c>
      <c r="P6389" t="s">
        <v>9477</v>
      </c>
      <c r="Y6389" t="s">
        <v>25905</v>
      </c>
    </row>
    <row r="6390" spans="1:25">
      <c r="A6390" t="s">
        <v>25907</v>
      </c>
      <c r="B6390" t="s">
        <v>25908</v>
      </c>
      <c r="D6390" t="s">
        <v>9473</v>
      </c>
      <c r="E6390" t="s">
        <v>9474</v>
      </c>
      <c r="J6390" t="s">
        <v>353</v>
      </c>
      <c r="K6390" t="s">
        <v>354</v>
      </c>
      <c r="L6390">
        <v>7</v>
      </c>
      <c r="M6390" t="s">
        <v>25909</v>
      </c>
      <c r="N6390" t="s">
        <v>685</v>
      </c>
      <c r="O6390" t="s">
        <v>9477</v>
      </c>
      <c r="P6390" t="s">
        <v>9477</v>
      </c>
      <c r="Y6390" t="s">
        <v>25910</v>
      </c>
    </row>
    <row r="6391" spans="1:25">
      <c r="A6391" t="s">
        <v>25911</v>
      </c>
      <c r="B6391" t="s">
        <v>25912</v>
      </c>
      <c r="D6391" t="s">
        <v>9473</v>
      </c>
      <c r="E6391" t="s">
        <v>9474</v>
      </c>
      <c r="J6391" t="s">
        <v>2948</v>
      </c>
      <c r="K6391" t="s">
        <v>2949</v>
      </c>
      <c r="L6391">
        <v>5</v>
      </c>
      <c r="M6391" t="s">
        <v>25913</v>
      </c>
      <c r="N6391" t="s">
        <v>685</v>
      </c>
      <c r="O6391" t="s">
        <v>9477</v>
      </c>
      <c r="P6391" t="s">
        <v>9477</v>
      </c>
      <c r="Y6391" t="s">
        <v>25914</v>
      </c>
    </row>
    <row r="6392" spans="1:25">
      <c r="A6392" t="s">
        <v>25915</v>
      </c>
      <c r="B6392" t="s">
        <v>25916</v>
      </c>
      <c r="D6392" t="s">
        <v>9473</v>
      </c>
      <c r="E6392" t="s">
        <v>9474</v>
      </c>
      <c r="H6392" t="s">
        <v>25917</v>
      </c>
      <c r="J6392" t="s">
        <v>497</v>
      </c>
      <c r="K6392" t="s">
        <v>498</v>
      </c>
      <c r="L6392">
        <v>5</v>
      </c>
      <c r="M6392" t="s">
        <v>25918</v>
      </c>
      <c r="N6392" t="s">
        <v>685</v>
      </c>
      <c r="O6392" t="s">
        <v>9477</v>
      </c>
      <c r="P6392" t="s">
        <v>9477</v>
      </c>
      <c r="Y6392" t="s">
        <v>25917</v>
      </c>
    </row>
    <row r="6393" spans="1:25">
      <c r="A6393" t="s">
        <v>25919</v>
      </c>
      <c r="B6393" t="s">
        <v>25920</v>
      </c>
      <c r="D6393" t="s">
        <v>9473</v>
      </c>
      <c r="E6393" t="s">
        <v>9474</v>
      </c>
      <c r="H6393" t="s">
        <v>25921</v>
      </c>
      <c r="J6393" t="s">
        <v>353</v>
      </c>
      <c r="K6393" t="s">
        <v>354</v>
      </c>
      <c r="L6393">
        <v>6</v>
      </c>
      <c r="M6393" t="s">
        <v>25922</v>
      </c>
      <c r="N6393" t="s">
        <v>685</v>
      </c>
      <c r="O6393" t="s">
        <v>9477</v>
      </c>
      <c r="P6393" t="s">
        <v>9477</v>
      </c>
      <c r="Y6393" t="s">
        <v>25921</v>
      </c>
    </row>
    <row r="6394" spans="1:25">
      <c r="A6394" t="s">
        <v>25923</v>
      </c>
      <c r="B6394" t="s">
        <v>25924</v>
      </c>
      <c r="D6394" t="s">
        <v>9473</v>
      </c>
      <c r="E6394" t="s">
        <v>9474</v>
      </c>
      <c r="J6394" t="s">
        <v>9719</v>
      </c>
      <c r="K6394" t="s">
        <v>9720</v>
      </c>
      <c r="L6394">
        <v>5</v>
      </c>
      <c r="M6394" t="s">
        <v>25925</v>
      </c>
      <c r="N6394" t="s">
        <v>135</v>
      </c>
      <c r="O6394" t="s">
        <v>9477</v>
      </c>
      <c r="P6394" t="s">
        <v>9477</v>
      </c>
      <c r="Y6394" t="s">
        <v>25926</v>
      </c>
    </row>
    <row r="6395" spans="1:25">
      <c r="A6395" t="s">
        <v>25927</v>
      </c>
      <c r="B6395" t="s">
        <v>25928</v>
      </c>
      <c r="D6395" t="s">
        <v>9473</v>
      </c>
      <c r="E6395" t="s">
        <v>9474</v>
      </c>
      <c r="J6395" t="s">
        <v>497</v>
      </c>
      <c r="K6395" t="s">
        <v>498</v>
      </c>
      <c r="L6395">
        <v>5</v>
      </c>
      <c r="M6395" t="s">
        <v>25929</v>
      </c>
      <c r="N6395" t="s">
        <v>685</v>
      </c>
      <c r="O6395" t="s">
        <v>9477</v>
      </c>
      <c r="P6395" t="s">
        <v>9477</v>
      </c>
      <c r="Y6395" t="s">
        <v>25930</v>
      </c>
    </row>
    <row r="6396" spans="1:25">
      <c r="A6396" t="s">
        <v>25931</v>
      </c>
      <c r="B6396" t="s">
        <v>25932</v>
      </c>
      <c r="D6396" t="s">
        <v>9473</v>
      </c>
      <c r="E6396" t="s">
        <v>9474</v>
      </c>
      <c r="H6396" t="s">
        <v>25933</v>
      </c>
      <c r="J6396" t="s">
        <v>234</v>
      </c>
      <c r="K6396" t="s">
        <v>235</v>
      </c>
      <c r="L6396">
        <v>6</v>
      </c>
      <c r="M6396" t="s">
        <v>25934</v>
      </c>
      <c r="N6396" t="s">
        <v>47</v>
      </c>
      <c r="O6396" t="s">
        <v>9477</v>
      </c>
      <c r="P6396" t="s">
        <v>9477</v>
      </c>
      <c r="Y6396" t="s">
        <v>25933</v>
      </c>
    </row>
    <row r="6397" spans="1:25">
      <c r="A6397" t="s">
        <v>25935</v>
      </c>
      <c r="B6397" t="s">
        <v>25936</v>
      </c>
      <c r="D6397" t="s">
        <v>9473</v>
      </c>
      <c r="E6397" t="s">
        <v>9474</v>
      </c>
      <c r="J6397" t="s">
        <v>497</v>
      </c>
      <c r="K6397" t="s">
        <v>498</v>
      </c>
      <c r="L6397">
        <v>5</v>
      </c>
      <c r="M6397" t="s">
        <v>25937</v>
      </c>
      <c r="N6397" t="s">
        <v>135</v>
      </c>
      <c r="O6397" t="s">
        <v>9477</v>
      </c>
      <c r="P6397" t="s">
        <v>9477</v>
      </c>
      <c r="Y6397" t="s">
        <v>25938</v>
      </c>
    </row>
    <row r="6398" spans="1:25">
      <c r="A6398" t="s">
        <v>25939</v>
      </c>
      <c r="B6398" t="s">
        <v>25940</v>
      </c>
      <c r="D6398" t="s">
        <v>9473</v>
      </c>
      <c r="E6398" t="s">
        <v>9474</v>
      </c>
      <c r="J6398" t="s">
        <v>497</v>
      </c>
      <c r="K6398" t="s">
        <v>498</v>
      </c>
      <c r="L6398">
        <v>5</v>
      </c>
      <c r="M6398" t="s">
        <v>25941</v>
      </c>
      <c r="N6398" t="s">
        <v>685</v>
      </c>
      <c r="O6398" t="s">
        <v>9477</v>
      </c>
      <c r="P6398" t="s">
        <v>9477</v>
      </c>
      <c r="Y6398" t="s">
        <v>25942</v>
      </c>
    </row>
    <row r="6399" spans="1:25">
      <c r="A6399" t="s">
        <v>25943</v>
      </c>
      <c r="B6399" t="s">
        <v>25944</v>
      </c>
      <c r="D6399" t="s">
        <v>9473</v>
      </c>
      <c r="E6399" t="s">
        <v>9474</v>
      </c>
      <c r="H6399" t="s">
        <v>25945</v>
      </c>
      <c r="J6399" t="s">
        <v>765</v>
      </c>
      <c r="K6399" t="s">
        <v>766</v>
      </c>
      <c r="L6399">
        <v>5</v>
      </c>
      <c r="M6399" t="s">
        <v>25946</v>
      </c>
      <c r="N6399" t="s">
        <v>290</v>
      </c>
      <c r="O6399" t="s">
        <v>9477</v>
      </c>
      <c r="P6399" t="s">
        <v>9477</v>
      </c>
      <c r="Y6399" t="s">
        <v>25945</v>
      </c>
    </row>
    <row r="6400" spans="1:25">
      <c r="A6400" t="s">
        <v>25947</v>
      </c>
      <c r="B6400" t="s">
        <v>25948</v>
      </c>
      <c r="D6400" t="s">
        <v>9473</v>
      </c>
      <c r="E6400" t="s">
        <v>9474</v>
      </c>
      <c r="J6400" t="s">
        <v>353</v>
      </c>
      <c r="K6400" t="s">
        <v>354</v>
      </c>
      <c r="L6400">
        <v>6</v>
      </c>
      <c r="M6400" t="s">
        <v>25949</v>
      </c>
      <c r="N6400" t="s">
        <v>685</v>
      </c>
      <c r="O6400" t="s">
        <v>9477</v>
      </c>
      <c r="P6400" t="s">
        <v>9477</v>
      </c>
      <c r="Y6400" t="s">
        <v>25950</v>
      </c>
    </row>
    <row r="6401" spans="1:25">
      <c r="A6401" t="s">
        <v>25951</v>
      </c>
      <c r="B6401" t="s">
        <v>25952</v>
      </c>
      <c r="D6401" t="s">
        <v>9473</v>
      </c>
      <c r="E6401" t="s">
        <v>9474</v>
      </c>
      <c r="J6401" t="s">
        <v>25953</v>
      </c>
      <c r="K6401" t="s">
        <v>25954</v>
      </c>
      <c r="L6401">
        <v>5</v>
      </c>
      <c r="M6401" t="s">
        <v>25955</v>
      </c>
      <c r="N6401" t="s">
        <v>135</v>
      </c>
      <c r="O6401" t="s">
        <v>9477</v>
      </c>
      <c r="P6401" t="s">
        <v>9477</v>
      </c>
      <c r="Y6401" t="s">
        <v>25956</v>
      </c>
    </row>
    <row r="6402" spans="1:25">
      <c r="A6402" t="s">
        <v>25957</v>
      </c>
      <c r="B6402" t="s">
        <v>25958</v>
      </c>
      <c r="D6402" t="s">
        <v>9473</v>
      </c>
      <c r="E6402" t="s">
        <v>9474</v>
      </c>
      <c r="J6402" t="s">
        <v>765</v>
      </c>
      <c r="K6402" t="s">
        <v>766</v>
      </c>
      <c r="L6402">
        <v>5</v>
      </c>
      <c r="M6402" t="s">
        <v>25959</v>
      </c>
      <c r="N6402" t="s">
        <v>685</v>
      </c>
      <c r="O6402" t="s">
        <v>9477</v>
      </c>
      <c r="P6402" t="s">
        <v>9477</v>
      </c>
      <c r="Y6402" t="s">
        <v>25960</v>
      </c>
    </row>
    <row r="6403" spans="1:25">
      <c r="A6403" t="s">
        <v>25961</v>
      </c>
      <c r="B6403" t="s">
        <v>25962</v>
      </c>
      <c r="D6403" t="s">
        <v>9473</v>
      </c>
      <c r="E6403" t="s">
        <v>9474</v>
      </c>
      <c r="J6403" t="s">
        <v>927</v>
      </c>
      <c r="K6403" t="s">
        <v>928</v>
      </c>
      <c r="L6403">
        <v>5</v>
      </c>
      <c r="M6403" t="s">
        <v>25963</v>
      </c>
      <c r="N6403" t="s">
        <v>135</v>
      </c>
      <c r="O6403" t="s">
        <v>9477</v>
      </c>
      <c r="P6403" t="s">
        <v>9477</v>
      </c>
      <c r="Y6403" t="s">
        <v>25964</v>
      </c>
    </row>
    <row r="6404" spans="1:25">
      <c r="A6404" t="s">
        <v>25965</v>
      </c>
      <c r="B6404" t="s">
        <v>25966</v>
      </c>
      <c r="D6404" t="s">
        <v>9473</v>
      </c>
      <c r="E6404" t="s">
        <v>9474</v>
      </c>
      <c r="H6404" t="s">
        <v>25967</v>
      </c>
      <c r="J6404" t="s">
        <v>497</v>
      </c>
      <c r="K6404" t="s">
        <v>498</v>
      </c>
      <c r="L6404">
        <v>5</v>
      </c>
      <c r="M6404" t="s">
        <v>25968</v>
      </c>
      <c r="N6404" t="s">
        <v>685</v>
      </c>
      <c r="O6404" t="s">
        <v>9477</v>
      </c>
      <c r="P6404" t="s">
        <v>9477</v>
      </c>
      <c r="Y6404" t="s">
        <v>25967</v>
      </c>
    </row>
    <row r="6405" spans="1:25">
      <c r="A6405" t="s">
        <v>25969</v>
      </c>
      <c r="B6405" t="s">
        <v>25970</v>
      </c>
      <c r="D6405" t="s">
        <v>9473</v>
      </c>
      <c r="E6405" t="s">
        <v>9474</v>
      </c>
      <c r="J6405" t="s">
        <v>287</v>
      </c>
      <c r="K6405" t="s">
        <v>288</v>
      </c>
      <c r="L6405">
        <v>6</v>
      </c>
      <c r="M6405" t="s">
        <v>25971</v>
      </c>
      <c r="N6405" t="s">
        <v>685</v>
      </c>
      <c r="O6405" t="s">
        <v>9477</v>
      </c>
      <c r="P6405" t="s">
        <v>9477</v>
      </c>
      <c r="Y6405" t="s">
        <v>25972</v>
      </c>
    </row>
    <row r="6406" spans="1:25">
      <c r="A6406" t="s">
        <v>25973</v>
      </c>
      <c r="B6406" t="s">
        <v>25974</v>
      </c>
      <c r="D6406" t="s">
        <v>9473</v>
      </c>
      <c r="E6406" t="s">
        <v>9474</v>
      </c>
      <c r="H6406" t="s">
        <v>25975</v>
      </c>
      <c r="J6406" t="s">
        <v>927</v>
      </c>
      <c r="K6406" t="s">
        <v>928</v>
      </c>
      <c r="L6406">
        <v>5</v>
      </c>
      <c r="M6406" t="s">
        <v>25976</v>
      </c>
      <c r="N6406" t="s">
        <v>135</v>
      </c>
      <c r="O6406" t="s">
        <v>9477</v>
      </c>
      <c r="P6406" t="s">
        <v>9477</v>
      </c>
      <c r="Y6406" t="s">
        <v>25975</v>
      </c>
    </row>
    <row r="6407" spans="1:25">
      <c r="A6407" t="s">
        <v>25977</v>
      </c>
      <c r="B6407" t="s">
        <v>25978</v>
      </c>
      <c r="D6407" t="s">
        <v>9473</v>
      </c>
      <c r="E6407" t="s">
        <v>9474</v>
      </c>
      <c r="H6407" t="s">
        <v>25979</v>
      </c>
      <c r="J6407" t="s">
        <v>497</v>
      </c>
      <c r="K6407" t="s">
        <v>498</v>
      </c>
      <c r="L6407">
        <v>5</v>
      </c>
      <c r="M6407" t="s">
        <v>25980</v>
      </c>
      <c r="N6407" t="s">
        <v>135</v>
      </c>
      <c r="O6407" t="s">
        <v>9477</v>
      </c>
      <c r="P6407" t="s">
        <v>9477</v>
      </c>
      <c r="Y6407" t="s">
        <v>25979</v>
      </c>
    </row>
    <row r="6408" spans="1:25">
      <c r="A6408" t="s">
        <v>25981</v>
      </c>
      <c r="B6408" t="s">
        <v>25982</v>
      </c>
      <c r="D6408" t="s">
        <v>9473</v>
      </c>
      <c r="E6408" t="s">
        <v>9474</v>
      </c>
      <c r="H6408" t="s">
        <v>25983</v>
      </c>
      <c r="J6408" t="s">
        <v>497</v>
      </c>
      <c r="K6408" t="s">
        <v>498</v>
      </c>
      <c r="L6408">
        <v>5</v>
      </c>
      <c r="M6408" t="s">
        <v>25984</v>
      </c>
      <c r="N6408" t="s">
        <v>685</v>
      </c>
      <c r="O6408" t="s">
        <v>9477</v>
      </c>
      <c r="P6408" t="s">
        <v>9477</v>
      </c>
      <c r="Y6408" t="s">
        <v>25983</v>
      </c>
    </row>
    <row r="6409" spans="1:25">
      <c r="A6409" t="s">
        <v>25985</v>
      </c>
      <c r="B6409" t="s">
        <v>25986</v>
      </c>
      <c r="D6409" t="s">
        <v>9473</v>
      </c>
      <c r="E6409" t="s">
        <v>9474</v>
      </c>
      <c r="J6409" t="s">
        <v>765</v>
      </c>
      <c r="K6409" t="s">
        <v>766</v>
      </c>
      <c r="L6409">
        <v>5</v>
      </c>
      <c r="M6409" t="s">
        <v>25987</v>
      </c>
      <c r="N6409" t="s">
        <v>685</v>
      </c>
      <c r="O6409" t="s">
        <v>9477</v>
      </c>
      <c r="P6409" t="s">
        <v>9477</v>
      </c>
      <c r="Y6409" t="s">
        <v>25988</v>
      </c>
    </row>
    <row r="6410" spans="1:25">
      <c r="A6410" t="s">
        <v>25989</v>
      </c>
      <c r="B6410" t="s">
        <v>25990</v>
      </c>
      <c r="D6410" t="s">
        <v>9473</v>
      </c>
      <c r="E6410" t="s">
        <v>9474</v>
      </c>
      <c r="H6410" t="s">
        <v>25991</v>
      </c>
      <c r="J6410" t="s">
        <v>2328</v>
      </c>
      <c r="K6410" t="s">
        <v>2329</v>
      </c>
      <c r="L6410">
        <v>5</v>
      </c>
      <c r="M6410" t="s">
        <v>25992</v>
      </c>
      <c r="N6410" t="s">
        <v>685</v>
      </c>
      <c r="O6410" t="s">
        <v>9477</v>
      </c>
      <c r="P6410" t="s">
        <v>9477</v>
      </c>
      <c r="Y6410" t="s">
        <v>25991</v>
      </c>
    </row>
    <row r="6411" spans="1:25">
      <c r="A6411" t="s">
        <v>25993</v>
      </c>
      <c r="B6411" t="s">
        <v>25994</v>
      </c>
      <c r="D6411" t="s">
        <v>9473</v>
      </c>
      <c r="E6411" t="s">
        <v>9474</v>
      </c>
      <c r="J6411" t="s">
        <v>927</v>
      </c>
      <c r="K6411" t="s">
        <v>928</v>
      </c>
      <c r="L6411">
        <v>5</v>
      </c>
      <c r="M6411" t="s">
        <v>25995</v>
      </c>
      <c r="N6411" t="s">
        <v>135</v>
      </c>
      <c r="O6411" t="s">
        <v>9477</v>
      </c>
      <c r="P6411" t="s">
        <v>9477</v>
      </c>
      <c r="Y6411" t="s">
        <v>25996</v>
      </c>
    </row>
    <row r="6412" spans="1:25">
      <c r="A6412" t="s">
        <v>25997</v>
      </c>
      <c r="B6412" t="s">
        <v>25998</v>
      </c>
      <c r="D6412" t="s">
        <v>9473</v>
      </c>
      <c r="E6412" t="s">
        <v>9474</v>
      </c>
      <c r="H6412" t="s">
        <v>25999</v>
      </c>
      <c r="J6412" t="s">
        <v>9759</v>
      </c>
      <c r="K6412" t="s">
        <v>9760</v>
      </c>
      <c r="L6412">
        <v>6</v>
      </c>
      <c r="M6412" t="s">
        <v>26000</v>
      </c>
      <c r="N6412" t="s">
        <v>47</v>
      </c>
      <c r="O6412" t="s">
        <v>9477</v>
      </c>
      <c r="P6412" t="s">
        <v>9477</v>
      </c>
      <c r="Y6412" t="s">
        <v>25999</v>
      </c>
    </row>
    <row r="6413" spans="1:25">
      <c r="A6413" t="s">
        <v>26001</v>
      </c>
      <c r="B6413" t="s">
        <v>26002</v>
      </c>
      <c r="D6413" t="s">
        <v>9473</v>
      </c>
      <c r="E6413" t="s">
        <v>9474</v>
      </c>
      <c r="J6413" t="s">
        <v>765</v>
      </c>
      <c r="K6413" t="s">
        <v>766</v>
      </c>
      <c r="L6413">
        <v>5</v>
      </c>
      <c r="M6413" t="s">
        <v>26003</v>
      </c>
      <c r="N6413" t="s">
        <v>685</v>
      </c>
      <c r="O6413" t="s">
        <v>9477</v>
      </c>
      <c r="P6413" t="s">
        <v>9477</v>
      </c>
      <c r="Y6413" t="s">
        <v>26004</v>
      </c>
    </row>
    <row r="6414" spans="1:25">
      <c r="A6414" t="s">
        <v>26005</v>
      </c>
      <c r="B6414" t="s">
        <v>26006</v>
      </c>
      <c r="D6414" t="s">
        <v>9473</v>
      </c>
      <c r="E6414" t="s">
        <v>9474</v>
      </c>
      <c r="J6414" t="s">
        <v>5964</v>
      </c>
      <c r="K6414" t="s">
        <v>5965</v>
      </c>
      <c r="L6414">
        <v>5</v>
      </c>
      <c r="M6414" t="s">
        <v>26007</v>
      </c>
      <c r="N6414" t="s">
        <v>135</v>
      </c>
      <c r="O6414" t="s">
        <v>9477</v>
      </c>
      <c r="P6414" t="s">
        <v>9477</v>
      </c>
      <c r="Y6414" t="s">
        <v>26008</v>
      </c>
    </row>
    <row r="6415" spans="1:25">
      <c r="A6415" t="s">
        <v>26009</v>
      </c>
      <c r="B6415" t="s">
        <v>26010</v>
      </c>
      <c r="D6415" t="s">
        <v>9473</v>
      </c>
      <c r="E6415" t="s">
        <v>9474</v>
      </c>
      <c r="J6415" t="s">
        <v>353</v>
      </c>
      <c r="K6415" t="s">
        <v>354</v>
      </c>
      <c r="L6415">
        <v>15</v>
      </c>
      <c r="M6415" t="s">
        <v>26011</v>
      </c>
      <c r="N6415" t="s">
        <v>685</v>
      </c>
      <c r="O6415" t="s">
        <v>9477</v>
      </c>
      <c r="P6415" t="s">
        <v>9477</v>
      </c>
      <c r="Y6415" t="s">
        <v>26012</v>
      </c>
    </row>
    <row r="6416" spans="1:25">
      <c r="A6416" t="s">
        <v>26013</v>
      </c>
      <c r="B6416" t="s">
        <v>26014</v>
      </c>
      <c r="D6416" t="s">
        <v>9473</v>
      </c>
      <c r="E6416" t="s">
        <v>9474</v>
      </c>
      <c r="J6416" t="s">
        <v>497</v>
      </c>
      <c r="K6416" t="s">
        <v>498</v>
      </c>
      <c r="L6416">
        <v>5</v>
      </c>
      <c r="M6416" t="s">
        <v>26015</v>
      </c>
      <c r="N6416" t="s">
        <v>290</v>
      </c>
      <c r="O6416" t="s">
        <v>9477</v>
      </c>
      <c r="P6416" t="s">
        <v>9477</v>
      </c>
      <c r="Y6416" t="s">
        <v>26016</v>
      </c>
    </row>
    <row r="6417" spans="1:25">
      <c r="A6417" t="s">
        <v>26017</v>
      </c>
      <c r="B6417" t="s">
        <v>26018</v>
      </c>
      <c r="D6417" t="s">
        <v>9473</v>
      </c>
      <c r="E6417" t="s">
        <v>9474</v>
      </c>
      <c r="J6417" t="s">
        <v>927</v>
      </c>
      <c r="K6417" t="s">
        <v>928</v>
      </c>
      <c r="L6417">
        <v>5</v>
      </c>
      <c r="M6417" t="s">
        <v>26019</v>
      </c>
      <c r="N6417" t="s">
        <v>290</v>
      </c>
      <c r="O6417" t="s">
        <v>9477</v>
      </c>
      <c r="P6417" t="s">
        <v>9477</v>
      </c>
      <c r="Y6417" t="s">
        <v>26020</v>
      </c>
    </row>
    <row r="6418" spans="1:25">
      <c r="A6418" t="s">
        <v>26021</v>
      </c>
      <c r="B6418" t="s">
        <v>26022</v>
      </c>
      <c r="D6418" t="s">
        <v>9473</v>
      </c>
      <c r="E6418" t="s">
        <v>9474</v>
      </c>
      <c r="J6418" t="s">
        <v>2328</v>
      </c>
      <c r="K6418" t="s">
        <v>2329</v>
      </c>
      <c r="L6418">
        <v>5</v>
      </c>
      <c r="M6418" t="s">
        <v>26023</v>
      </c>
      <c r="N6418" t="s">
        <v>685</v>
      </c>
      <c r="O6418" t="s">
        <v>9477</v>
      </c>
      <c r="P6418" t="s">
        <v>9477</v>
      </c>
      <c r="Y6418" t="s">
        <v>26024</v>
      </c>
    </row>
    <row r="6419" spans="1:25">
      <c r="A6419" t="s">
        <v>26025</v>
      </c>
      <c r="B6419" t="s">
        <v>26026</v>
      </c>
      <c r="D6419" t="s">
        <v>9473</v>
      </c>
      <c r="E6419" t="s">
        <v>9474</v>
      </c>
      <c r="J6419" t="s">
        <v>3829</v>
      </c>
      <c r="K6419" t="s">
        <v>3830</v>
      </c>
      <c r="L6419">
        <v>5</v>
      </c>
      <c r="M6419" t="s">
        <v>26027</v>
      </c>
      <c r="N6419" t="s">
        <v>685</v>
      </c>
      <c r="O6419" t="s">
        <v>9477</v>
      </c>
      <c r="P6419" t="s">
        <v>9477</v>
      </c>
      <c r="Y6419" t="s">
        <v>26028</v>
      </c>
    </row>
    <row r="6420" spans="1:25">
      <c r="A6420" t="s">
        <v>26029</v>
      </c>
      <c r="B6420" t="s">
        <v>26030</v>
      </c>
      <c r="D6420" t="s">
        <v>9473</v>
      </c>
      <c r="E6420" t="s">
        <v>9474</v>
      </c>
      <c r="H6420" t="s">
        <v>26031</v>
      </c>
      <c r="J6420" t="s">
        <v>133</v>
      </c>
      <c r="K6420" t="s">
        <v>134</v>
      </c>
      <c r="L6420">
        <v>6</v>
      </c>
      <c r="M6420" t="s">
        <v>26032</v>
      </c>
      <c r="N6420" t="s">
        <v>135</v>
      </c>
      <c r="O6420" t="s">
        <v>9477</v>
      </c>
      <c r="P6420" t="s">
        <v>9477</v>
      </c>
      <c r="Y6420" t="s">
        <v>26031</v>
      </c>
    </row>
    <row r="6421" spans="1:25">
      <c r="A6421" t="s">
        <v>26033</v>
      </c>
      <c r="B6421" t="s">
        <v>26034</v>
      </c>
      <c r="D6421" t="s">
        <v>9473</v>
      </c>
      <c r="E6421" t="s">
        <v>9474</v>
      </c>
      <c r="H6421" t="s">
        <v>26035</v>
      </c>
      <c r="J6421" t="s">
        <v>133</v>
      </c>
      <c r="K6421" t="s">
        <v>134</v>
      </c>
      <c r="L6421">
        <v>6</v>
      </c>
      <c r="M6421" t="s">
        <v>26036</v>
      </c>
      <c r="N6421" t="s">
        <v>135</v>
      </c>
      <c r="O6421" t="s">
        <v>9477</v>
      </c>
      <c r="P6421" t="s">
        <v>9477</v>
      </c>
      <c r="Y6421" t="s">
        <v>26035</v>
      </c>
    </row>
    <row r="6422" spans="1:25">
      <c r="A6422" t="s">
        <v>26037</v>
      </c>
      <c r="B6422" t="s">
        <v>26038</v>
      </c>
      <c r="D6422" t="s">
        <v>9473</v>
      </c>
      <c r="E6422" t="s">
        <v>9474</v>
      </c>
      <c r="J6422" t="s">
        <v>287</v>
      </c>
      <c r="K6422" t="s">
        <v>288</v>
      </c>
      <c r="L6422">
        <v>8</v>
      </c>
      <c r="M6422" t="s">
        <v>26039</v>
      </c>
      <c r="N6422" t="s">
        <v>135</v>
      </c>
      <c r="O6422" t="s">
        <v>9477</v>
      </c>
      <c r="P6422" t="s">
        <v>9477</v>
      </c>
      <c r="Y6422" t="s">
        <v>26040</v>
      </c>
    </row>
    <row r="6423" spans="1:25">
      <c r="A6423" t="s">
        <v>26041</v>
      </c>
      <c r="B6423" t="s">
        <v>26042</v>
      </c>
      <c r="D6423" t="s">
        <v>9473</v>
      </c>
      <c r="E6423" t="s">
        <v>9474</v>
      </c>
      <c r="H6423" t="s">
        <v>26043</v>
      </c>
      <c r="J6423" t="s">
        <v>2328</v>
      </c>
      <c r="K6423" t="s">
        <v>2329</v>
      </c>
      <c r="L6423">
        <v>5</v>
      </c>
      <c r="M6423" t="s">
        <v>26044</v>
      </c>
      <c r="N6423" t="s">
        <v>685</v>
      </c>
      <c r="O6423" t="s">
        <v>9477</v>
      </c>
      <c r="P6423" t="s">
        <v>9477</v>
      </c>
      <c r="Y6423" t="s">
        <v>26043</v>
      </c>
    </row>
    <row r="6424" spans="1:25">
      <c r="A6424" t="s">
        <v>26045</v>
      </c>
      <c r="B6424" t="s">
        <v>26046</v>
      </c>
      <c r="D6424" t="s">
        <v>9473</v>
      </c>
      <c r="E6424" t="s">
        <v>9474</v>
      </c>
      <c r="J6424" t="s">
        <v>927</v>
      </c>
      <c r="K6424" t="s">
        <v>928</v>
      </c>
      <c r="L6424">
        <v>5</v>
      </c>
      <c r="M6424" t="s">
        <v>26047</v>
      </c>
      <c r="N6424" t="s">
        <v>685</v>
      </c>
      <c r="O6424" t="s">
        <v>9477</v>
      </c>
      <c r="P6424" t="s">
        <v>9477</v>
      </c>
      <c r="Y6424" t="s">
        <v>26048</v>
      </c>
    </row>
    <row r="6425" spans="1:25">
      <c r="A6425" t="s">
        <v>26049</v>
      </c>
      <c r="B6425" t="s">
        <v>26050</v>
      </c>
      <c r="D6425" t="s">
        <v>9473</v>
      </c>
      <c r="E6425" t="s">
        <v>9474</v>
      </c>
      <c r="J6425" t="s">
        <v>9719</v>
      </c>
      <c r="K6425" t="s">
        <v>9720</v>
      </c>
      <c r="L6425">
        <v>5</v>
      </c>
      <c r="M6425" t="s">
        <v>26051</v>
      </c>
      <c r="N6425" t="s">
        <v>685</v>
      </c>
      <c r="O6425" t="s">
        <v>9477</v>
      </c>
      <c r="P6425" t="s">
        <v>9477</v>
      </c>
      <c r="Y6425" t="s">
        <v>26052</v>
      </c>
    </row>
    <row r="6426" spans="1:25">
      <c r="A6426" t="s">
        <v>26053</v>
      </c>
      <c r="B6426" t="s">
        <v>26054</v>
      </c>
      <c r="D6426" t="s">
        <v>9473</v>
      </c>
      <c r="E6426" t="s">
        <v>9474</v>
      </c>
      <c r="J6426" t="s">
        <v>765</v>
      </c>
      <c r="K6426" t="s">
        <v>766</v>
      </c>
      <c r="L6426">
        <v>5</v>
      </c>
      <c r="M6426" t="s">
        <v>26055</v>
      </c>
      <c r="N6426" t="s">
        <v>290</v>
      </c>
      <c r="O6426" t="s">
        <v>9477</v>
      </c>
      <c r="P6426" t="s">
        <v>9477</v>
      </c>
      <c r="Y6426" t="s">
        <v>26056</v>
      </c>
    </row>
    <row r="6427" spans="1:25">
      <c r="A6427" t="s">
        <v>26057</v>
      </c>
      <c r="B6427" t="s">
        <v>26058</v>
      </c>
      <c r="D6427" t="s">
        <v>9473</v>
      </c>
      <c r="E6427" t="s">
        <v>9474</v>
      </c>
      <c r="J6427" t="s">
        <v>765</v>
      </c>
      <c r="K6427" t="s">
        <v>766</v>
      </c>
      <c r="L6427">
        <v>5</v>
      </c>
      <c r="M6427" t="s">
        <v>26059</v>
      </c>
      <c r="N6427" t="s">
        <v>290</v>
      </c>
      <c r="O6427" t="s">
        <v>9477</v>
      </c>
      <c r="P6427" t="s">
        <v>9477</v>
      </c>
      <c r="Y6427" t="s">
        <v>26060</v>
      </c>
    </row>
    <row r="6428" spans="1:25">
      <c r="A6428" t="s">
        <v>26061</v>
      </c>
      <c r="B6428" t="s">
        <v>26062</v>
      </c>
      <c r="D6428" t="s">
        <v>9473</v>
      </c>
      <c r="E6428" t="s">
        <v>9474</v>
      </c>
      <c r="J6428" t="s">
        <v>765</v>
      </c>
      <c r="K6428" t="s">
        <v>766</v>
      </c>
      <c r="L6428">
        <v>5</v>
      </c>
      <c r="M6428" t="s">
        <v>26063</v>
      </c>
      <c r="N6428" t="s">
        <v>290</v>
      </c>
      <c r="O6428" t="s">
        <v>9477</v>
      </c>
      <c r="P6428" t="s">
        <v>9477</v>
      </c>
      <c r="Y6428" t="s">
        <v>26064</v>
      </c>
    </row>
    <row r="6429" spans="1:25">
      <c r="A6429" t="s">
        <v>26065</v>
      </c>
      <c r="B6429" t="s">
        <v>26066</v>
      </c>
      <c r="D6429" t="s">
        <v>9473</v>
      </c>
      <c r="E6429" t="s">
        <v>9474</v>
      </c>
      <c r="H6429" t="s">
        <v>26067</v>
      </c>
      <c r="J6429" t="s">
        <v>765</v>
      </c>
      <c r="K6429" t="s">
        <v>766</v>
      </c>
      <c r="L6429">
        <v>5</v>
      </c>
      <c r="M6429" t="s">
        <v>26068</v>
      </c>
      <c r="N6429" t="s">
        <v>290</v>
      </c>
      <c r="O6429" t="s">
        <v>9477</v>
      </c>
      <c r="P6429" t="s">
        <v>9477</v>
      </c>
      <c r="Y6429" t="s">
        <v>26067</v>
      </c>
    </row>
    <row r="6430" spans="1:25">
      <c r="A6430" t="s">
        <v>26069</v>
      </c>
      <c r="B6430" t="s">
        <v>26070</v>
      </c>
      <c r="D6430" t="s">
        <v>9473</v>
      </c>
      <c r="E6430" t="s">
        <v>9474</v>
      </c>
      <c r="H6430" t="s">
        <v>26071</v>
      </c>
      <c r="J6430" t="s">
        <v>10321</v>
      </c>
      <c r="K6430" t="s">
        <v>10322</v>
      </c>
      <c r="L6430">
        <v>6</v>
      </c>
      <c r="M6430" t="s">
        <v>26072</v>
      </c>
      <c r="N6430" t="s">
        <v>47</v>
      </c>
      <c r="O6430" t="s">
        <v>9477</v>
      </c>
      <c r="P6430" t="s">
        <v>9477</v>
      </c>
      <c r="Y6430" t="s">
        <v>26071</v>
      </c>
    </row>
    <row r="6431" spans="1:25">
      <c r="A6431" t="s">
        <v>26073</v>
      </c>
      <c r="B6431" t="s">
        <v>26074</v>
      </c>
      <c r="D6431" t="s">
        <v>9473</v>
      </c>
      <c r="E6431" t="s">
        <v>9474</v>
      </c>
      <c r="J6431" t="s">
        <v>9759</v>
      </c>
      <c r="K6431" t="s">
        <v>9760</v>
      </c>
      <c r="L6431">
        <v>6</v>
      </c>
      <c r="M6431" t="s">
        <v>26075</v>
      </c>
      <c r="N6431" t="s">
        <v>47</v>
      </c>
      <c r="O6431" t="s">
        <v>9477</v>
      </c>
      <c r="P6431" t="s">
        <v>9477</v>
      </c>
      <c r="Y6431" t="s">
        <v>26076</v>
      </c>
    </row>
    <row r="6432" spans="1:25">
      <c r="A6432" t="s">
        <v>26077</v>
      </c>
      <c r="B6432" t="s">
        <v>26078</v>
      </c>
      <c r="D6432" t="s">
        <v>9473</v>
      </c>
      <c r="E6432" t="s">
        <v>9474</v>
      </c>
      <c r="H6432" t="s">
        <v>26079</v>
      </c>
      <c r="J6432" t="s">
        <v>2605</v>
      </c>
      <c r="K6432" t="s">
        <v>2606</v>
      </c>
      <c r="L6432">
        <v>5</v>
      </c>
      <c r="M6432" t="s">
        <v>26080</v>
      </c>
      <c r="N6432" t="s">
        <v>685</v>
      </c>
      <c r="O6432" t="s">
        <v>9477</v>
      </c>
      <c r="P6432" t="s">
        <v>9477</v>
      </c>
      <c r="Y6432" t="s">
        <v>26079</v>
      </c>
    </row>
    <row r="6433" spans="1:25">
      <c r="A6433" t="s">
        <v>26081</v>
      </c>
      <c r="B6433" t="s">
        <v>26082</v>
      </c>
      <c r="D6433" t="s">
        <v>9473</v>
      </c>
      <c r="E6433" t="s">
        <v>9474</v>
      </c>
      <c r="H6433" t="s">
        <v>26083</v>
      </c>
      <c r="J6433" t="s">
        <v>497</v>
      </c>
      <c r="K6433" t="s">
        <v>498</v>
      </c>
      <c r="L6433">
        <v>5</v>
      </c>
      <c r="M6433" t="s">
        <v>26084</v>
      </c>
      <c r="N6433" t="s">
        <v>685</v>
      </c>
      <c r="O6433" t="s">
        <v>9477</v>
      </c>
      <c r="P6433" t="s">
        <v>9477</v>
      </c>
      <c r="Y6433" t="s">
        <v>26083</v>
      </c>
    </row>
    <row r="6434" spans="1:25">
      <c r="A6434" t="s">
        <v>26085</v>
      </c>
      <c r="B6434" t="s">
        <v>26086</v>
      </c>
      <c r="D6434" t="s">
        <v>9473</v>
      </c>
      <c r="E6434" t="s">
        <v>9474</v>
      </c>
      <c r="J6434" t="s">
        <v>497</v>
      </c>
      <c r="K6434" t="s">
        <v>498</v>
      </c>
      <c r="L6434">
        <v>5</v>
      </c>
      <c r="M6434" t="s">
        <v>26087</v>
      </c>
      <c r="N6434" t="s">
        <v>685</v>
      </c>
      <c r="O6434" t="s">
        <v>9477</v>
      </c>
      <c r="P6434" t="s">
        <v>9477</v>
      </c>
      <c r="Y6434" t="s">
        <v>26088</v>
      </c>
    </row>
    <row r="6435" spans="1:25">
      <c r="A6435" t="s">
        <v>26089</v>
      </c>
      <c r="B6435" t="s">
        <v>26090</v>
      </c>
      <c r="D6435" t="s">
        <v>9473</v>
      </c>
      <c r="E6435" t="s">
        <v>9474</v>
      </c>
      <c r="H6435" t="s">
        <v>26091</v>
      </c>
      <c r="J6435" t="s">
        <v>5844</v>
      </c>
      <c r="K6435" t="s">
        <v>5845</v>
      </c>
      <c r="L6435">
        <v>5</v>
      </c>
      <c r="M6435" t="s">
        <v>26092</v>
      </c>
      <c r="N6435" t="s">
        <v>685</v>
      </c>
      <c r="O6435" t="s">
        <v>9477</v>
      </c>
      <c r="P6435" t="s">
        <v>9477</v>
      </c>
      <c r="Y6435" t="s">
        <v>26091</v>
      </c>
    </row>
    <row r="6436" spans="1:25">
      <c r="A6436" t="s">
        <v>26093</v>
      </c>
      <c r="B6436" t="s">
        <v>26094</v>
      </c>
      <c r="D6436" t="s">
        <v>9473</v>
      </c>
      <c r="E6436" t="s">
        <v>9474</v>
      </c>
      <c r="J6436" t="s">
        <v>9719</v>
      </c>
      <c r="K6436" t="s">
        <v>9720</v>
      </c>
      <c r="L6436">
        <v>5</v>
      </c>
      <c r="M6436" t="s">
        <v>26095</v>
      </c>
      <c r="N6436" t="s">
        <v>685</v>
      </c>
      <c r="O6436" t="s">
        <v>9477</v>
      </c>
      <c r="P6436" t="s">
        <v>9477</v>
      </c>
      <c r="Y6436" t="s">
        <v>26096</v>
      </c>
    </row>
    <row r="6437" spans="1:25">
      <c r="A6437" t="s">
        <v>26097</v>
      </c>
      <c r="B6437" t="s">
        <v>26098</v>
      </c>
      <c r="D6437" t="s">
        <v>9473</v>
      </c>
      <c r="E6437" t="s">
        <v>9474</v>
      </c>
      <c r="H6437" t="s">
        <v>26099</v>
      </c>
      <c r="J6437" t="s">
        <v>2948</v>
      </c>
      <c r="K6437" t="s">
        <v>2949</v>
      </c>
      <c r="L6437">
        <v>5</v>
      </c>
      <c r="M6437" t="s">
        <v>26100</v>
      </c>
      <c r="N6437" t="s">
        <v>685</v>
      </c>
      <c r="O6437" t="s">
        <v>9477</v>
      </c>
      <c r="P6437" t="s">
        <v>9477</v>
      </c>
      <c r="Y6437" t="s">
        <v>26099</v>
      </c>
    </row>
    <row r="6438" spans="1:25">
      <c r="A6438" t="s">
        <v>26101</v>
      </c>
      <c r="B6438" t="s">
        <v>26102</v>
      </c>
      <c r="D6438" t="s">
        <v>9473</v>
      </c>
      <c r="E6438" t="s">
        <v>9474</v>
      </c>
      <c r="H6438" t="s">
        <v>26103</v>
      </c>
      <c r="J6438" t="s">
        <v>6594</v>
      </c>
      <c r="K6438" t="s">
        <v>6595</v>
      </c>
      <c r="L6438">
        <v>6</v>
      </c>
      <c r="M6438" t="s">
        <v>26104</v>
      </c>
      <c r="N6438" t="s">
        <v>685</v>
      </c>
      <c r="O6438" t="s">
        <v>9477</v>
      </c>
      <c r="P6438" t="s">
        <v>9477</v>
      </c>
      <c r="Y6438" t="s">
        <v>26103</v>
      </c>
    </row>
    <row r="6439" spans="1:25">
      <c r="A6439" t="s">
        <v>26105</v>
      </c>
      <c r="B6439" t="s">
        <v>26106</v>
      </c>
      <c r="D6439" t="s">
        <v>9473</v>
      </c>
      <c r="E6439" t="s">
        <v>9474</v>
      </c>
      <c r="H6439" t="s">
        <v>26107</v>
      </c>
      <c r="J6439" t="s">
        <v>497</v>
      </c>
      <c r="K6439" t="s">
        <v>498</v>
      </c>
      <c r="L6439">
        <v>5</v>
      </c>
      <c r="M6439" t="s">
        <v>26108</v>
      </c>
      <c r="N6439" t="s">
        <v>135</v>
      </c>
      <c r="O6439" t="s">
        <v>9477</v>
      </c>
      <c r="P6439" t="s">
        <v>9477</v>
      </c>
      <c r="Y6439" t="s">
        <v>26107</v>
      </c>
    </row>
    <row r="6440" spans="1:25">
      <c r="A6440" t="s">
        <v>26109</v>
      </c>
      <c r="B6440" t="s">
        <v>26110</v>
      </c>
      <c r="D6440" t="s">
        <v>9473</v>
      </c>
      <c r="E6440" t="s">
        <v>9474</v>
      </c>
      <c r="H6440" t="s">
        <v>26111</v>
      </c>
      <c r="J6440" t="s">
        <v>765</v>
      </c>
      <c r="K6440" t="s">
        <v>766</v>
      </c>
      <c r="L6440">
        <v>5</v>
      </c>
      <c r="M6440" t="s">
        <v>26112</v>
      </c>
      <c r="N6440" t="s">
        <v>290</v>
      </c>
      <c r="O6440" t="s">
        <v>9477</v>
      </c>
      <c r="P6440" t="s">
        <v>9477</v>
      </c>
      <c r="Y6440" t="s">
        <v>26111</v>
      </c>
    </row>
    <row r="6441" spans="1:25">
      <c r="A6441" t="s">
        <v>26113</v>
      </c>
      <c r="B6441" t="s">
        <v>26114</v>
      </c>
      <c r="D6441" t="s">
        <v>9473</v>
      </c>
      <c r="E6441" t="s">
        <v>9474</v>
      </c>
      <c r="J6441" t="s">
        <v>5844</v>
      </c>
      <c r="K6441" t="s">
        <v>5845</v>
      </c>
      <c r="L6441">
        <v>5</v>
      </c>
      <c r="M6441" t="s">
        <v>26115</v>
      </c>
      <c r="N6441" t="s">
        <v>290</v>
      </c>
      <c r="O6441" t="s">
        <v>9477</v>
      </c>
      <c r="P6441" t="s">
        <v>9477</v>
      </c>
      <c r="Y6441" t="s">
        <v>26116</v>
      </c>
    </row>
    <row r="6442" spans="1:25">
      <c r="A6442" t="s">
        <v>26117</v>
      </c>
      <c r="B6442" t="s">
        <v>26118</v>
      </c>
      <c r="D6442" t="s">
        <v>9473</v>
      </c>
      <c r="E6442" t="s">
        <v>9474</v>
      </c>
      <c r="J6442" t="s">
        <v>497</v>
      </c>
      <c r="K6442" t="s">
        <v>498</v>
      </c>
      <c r="L6442">
        <v>5</v>
      </c>
      <c r="M6442" t="s">
        <v>26119</v>
      </c>
      <c r="N6442" t="s">
        <v>685</v>
      </c>
      <c r="O6442" t="s">
        <v>9477</v>
      </c>
      <c r="P6442" t="s">
        <v>9477</v>
      </c>
      <c r="Y6442" t="s">
        <v>26120</v>
      </c>
    </row>
    <row r="6443" spans="1:25">
      <c r="A6443" t="s">
        <v>26121</v>
      </c>
      <c r="B6443" t="s">
        <v>26122</v>
      </c>
      <c r="D6443" t="s">
        <v>9473</v>
      </c>
      <c r="E6443" t="s">
        <v>9474</v>
      </c>
      <c r="J6443" t="s">
        <v>497</v>
      </c>
      <c r="K6443" t="s">
        <v>498</v>
      </c>
      <c r="L6443">
        <v>5</v>
      </c>
      <c r="M6443" t="s">
        <v>26123</v>
      </c>
      <c r="N6443" t="s">
        <v>685</v>
      </c>
      <c r="O6443" t="s">
        <v>9477</v>
      </c>
      <c r="P6443" t="s">
        <v>9477</v>
      </c>
      <c r="Y6443" t="s">
        <v>26124</v>
      </c>
    </row>
    <row r="6444" spans="1:25">
      <c r="A6444" t="s">
        <v>26125</v>
      </c>
      <c r="B6444" t="s">
        <v>26126</v>
      </c>
      <c r="D6444" t="s">
        <v>9473</v>
      </c>
      <c r="E6444" t="s">
        <v>9474</v>
      </c>
      <c r="H6444" t="s">
        <v>26127</v>
      </c>
      <c r="J6444" t="s">
        <v>927</v>
      </c>
      <c r="K6444" t="s">
        <v>928</v>
      </c>
      <c r="L6444">
        <v>5</v>
      </c>
      <c r="M6444" t="s">
        <v>26128</v>
      </c>
      <c r="N6444" t="s">
        <v>135</v>
      </c>
      <c r="O6444" t="s">
        <v>9477</v>
      </c>
      <c r="P6444" t="s">
        <v>9477</v>
      </c>
      <c r="Y6444" t="s">
        <v>26127</v>
      </c>
    </row>
    <row r="6445" spans="1:25">
      <c r="A6445" t="s">
        <v>26129</v>
      </c>
      <c r="B6445" t="s">
        <v>26130</v>
      </c>
      <c r="D6445" t="s">
        <v>9473</v>
      </c>
      <c r="E6445" t="s">
        <v>9474</v>
      </c>
      <c r="J6445" t="s">
        <v>765</v>
      </c>
      <c r="K6445" t="s">
        <v>766</v>
      </c>
      <c r="L6445">
        <v>5</v>
      </c>
      <c r="M6445" t="s">
        <v>26128</v>
      </c>
      <c r="N6445" t="s">
        <v>685</v>
      </c>
      <c r="O6445" t="s">
        <v>9477</v>
      </c>
      <c r="P6445" t="s">
        <v>9477</v>
      </c>
      <c r="Y6445" t="s">
        <v>26131</v>
      </c>
    </row>
    <row r="6446" spans="1:25">
      <c r="A6446" t="s">
        <v>26132</v>
      </c>
      <c r="B6446" t="s">
        <v>26133</v>
      </c>
      <c r="D6446" t="s">
        <v>9473</v>
      </c>
      <c r="E6446" t="s">
        <v>9474</v>
      </c>
      <c r="J6446" t="s">
        <v>353</v>
      </c>
      <c r="K6446" t="s">
        <v>354</v>
      </c>
      <c r="L6446">
        <v>6</v>
      </c>
      <c r="M6446" t="s">
        <v>26134</v>
      </c>
      <c r="N6446" t="s">
        <v>685</v>
      </c>
      <c r="O6446" t="s">
        <v>9477</v>
      </c>
      <c r="P6446" t="s">
        <v>9477</v>
      </c>
      <c r="Y6446" t="s">
        <v>26135</v>
      </c>
    </row>
    <row r="6447" spans="1:25">
      <c r="A6447" t="s">
        <v>26136</v>
      </c>
      <c r="B6447" t="s">
        <v>26137</v>
      </c>
      <c r="D6447" t="s">
        <v>9473</v>
      </c>
      <c r="E6447" t="s">
        <v>9474</v>
      </c>
      <c r="H6447" t="s">
        <v>26138</v>
      </c>
      <c r="J6447" t="s">
        <v>497</v>
      </c>
      <c r="K6447" t="s">
        <v>498</v>
      </c>
      <c r="L6447">
        <v>5</v>
      </c>
      <c r="M6447" t="s">
        <v>26139</v>
      </c>
      <c r="N6447" t="s">
        <v>685</v>
      </c>
      <c r="O6447" t="s">
        <v>9477</v>
      </c>
      <c r="P6447" t="s">
        <v>9477</v>
      </c>
      <c r="Y6447" t="s">
        <v>26138</v>
      </c>
    </row>
    <row r="6448" spans="1:25">
      <c r="A6448" t="s">
        <v>26140</v>
      </c>
      <c r="B6448" t="s">
        <v>26141</v>
      </c>
      <c r="D6448" t="s">
        <v>9473</v>
      </c>
      <c r="E6448" t="s">
        <v>9474</v>
      </c>
      <c r="J6448" t="s">
        <v>497</v>
      </c>
      <c r="K6448" t="s">
        <v>498</v>
      </c>
      <c r="L6448">
        <v>6</v>
      </c>
      <c r="M6448" t="s">
        <v>26142</v>
      </c>
      <c r="N6448" t="s">
        <v>685</v>
      </c>
      <c r="O6448" t="s">
        <v>9477</v>
      </c>
      <c r="P6448" t="s">
        <v>9477</v>
      </c>
      <c r="Y6448" t="s">
        <v>26143</v>
      </c>
    </row>
    <row r="6449" spans="1:25">
      <c r="A6449" t="s">
        <v>26144</v>
      </c>
      <c r="B6449" t="s">
        <v>26145</v>
      </c>
      <c r="D6449" t="s">
        <v>9473</v>
      </c>
      <c r="E6449" t="s">
        <v>9474</v>
      </c>
      <c r="J6449" t="s">
        <v>497</v>
      </c>
      <c r="K6449" t="s">
        <v>498</v>
      </c>
      <c r="L6449">
        <v>5</v>
      </c>
      <c r="M6449" t="s">
        <v>26146</v>
      </c>
      <c r="N6449" t="s">
        <v>685</v>
      </c>
      <c r="O6449" t="s">
        <v>9477</v>
      </c>
      <c r="P6449" t="s">
        <v>9477</v>
      </c>
      <c r="Y6449" t="s">
        <v>26147</v>
      </c>
    </row>
    <row r="6450" spans="1:25">
      <c r="A6450" t="s">
        <v>26148</v>
      </c>
      <c r="B6450" t="s">
        <v>26149</v>
      </c>
      <c r="D6450" t="s">
        <v>9473</v>
      </c>
      <c r="E6450" t="s">
        <v>9474</v>
      </c>
      <c r="H6450" t="s">
        <v>26150</v>
      </c>
      <c r="J6450" t="s">
        <v>133</v>
      </c>
      <c r="K6450" t="s">
        <v>134</v>
      </c>
      <c r="L6450">
        <v>6</v>
      </c>
      <c r="M6450" t="s">
        <v>26151</v>
      </c>
      <c r="N6450" t="s">
        <v>135</v>
      </c>
      <c r="O6450" t="s">
        <v>9477</v>
      </c>
      <c r="P6450" t="s">
        <v>9477</v>
      </c>
      <c r="Y6450" t="s">
        <v>26150</v>
      </c>
    </row>
    <row r="6451" spans="1:25">
      <c r="A6451" t="s">
        <v>26152</v>
      </c>
      <c r="B6451" t="s">
        <v>26153</v>
      </c>
      <c r="D6451" t="s">
        <v>9473</v>
      </c>
      <c r="E6451" t="s">
        <v>9474</v>
      </c>
      <c r="H6451" t="s">
        <v>26154</v>
      </c>
      <c r="J6451" t="s">
        <v>927</v>
      </c>
      <c r="K6451" t="s">
        <v>928</v>
      </c>
      <c r="L6451">
        <v>6</v>
      </c>
      <c r="M6451" t="s">
        <v>26155</v>
      </c>
      <c r="N6451" t="s">
        <v>685</v>
      </c>
      <c r="O6451" t="s">
        <v>9477</v>
      </c>
      <c r="P6451" t="s">
        <v>9477</v>
      </c>
      <c r="Y6451" t="s">
        <v>26154</v>
      </c>
    </row>
    <row r="6452" spans="1:25">
      <c r="A6452" t="s">
        <v>26156</v>
      </c>
      <c r="B6452" t="s">
        <v>26157</v>
      </c>
      <c r="D6452" t="s">
        <v>9473</v>
      </c>
      <c r="E6452" t="s">
        <v>9474</v>
      </c>
      <c r="J6452" t="s">
        <v>497</v>
      </c>
      <c r="K6452" t="s">
        <v>498</v>
      </c>
      <c r="L6452">
        <v>5</v>
      </c>
      <c r="M6452" t="s">
        <v>26158</v>
      </c>
      <c r="N6452" t="s">
        <v>135</v>
      </c>
      <c r="O6452" t="s">
        <v>9477</v>
      </c>
      <c r="P6452" t="s">
        <v>9477</v>
      </c>
      <c r="Y6452" t="s">
        <v>26159</v>
      </c>
    </row>
    <row r="6453" spans="1:25">
      <c r="A6453" t="s">
        <v>26160</v>
      </c>
      <c r="B6453" t="s">
        <v>26161</v>
      </c>
      <c r="D6453" t="s">
        <v>9473</v>
      </c>
      <c r="E6453" t="s">
        <v>9474</v>
      </c>
      <c r="J6453" t="s">
        <v>497</v>
      </c>
      <c r="K6453" t="s">
        <v>498</v>
      </c>
      <c r="L6453">
        <v>5</v>
      </c>
      <c r="M6453" t="s">
        <v>26162</v>
      </c>
      <c r="N6453" t="s">
        <v>685</v>
      </c>
      <c r="O6453" t="s">
        <v>9477</v>
      </c>
      <c r="P6453" t="s">
        <v>9477</v>
      </c>
      <c r="Y6453" t="s">
        <v>26163</v>
      </c>
    </row>
    <row r="6454" spans="1:25">
      <c r="A6454" t="s">
        <v>26164</v>
      </c>
      <c r="B6454" t="s">
        <v>26165</v>
      </c>
      <c r="D6454" t="s">
        <v>9473</v>
      </c>
      <c r="E6454" t="s">
        <v>9474</v>
      </c>
      <c r="J6454" t="s">
        <v>497</v>
      </c>
      <c r="K6454" t="s">
        <v>498</v>
      </c>
      <c r="L6454">
        <v>5</v>
      </c>
      <c r="M6454" t="s">
        <v>26166</v>
      </c>
      <c r="N6454" t="s">
        <v>685</v>
      </c>
      <c r="O6454" t="s">
        <v>9477</v>
      </c>
      <c r="P6454" t="s">
        <v>9477</v>
      </c>
      <c r="Y6454" t="s">
        <v>26167</v>
      </c>
    </row>
    <row r="6455" spans="1:25">
      <c r="A6455" t="s">
        <v>26168</v>
      </c>
      <c r="B6455" t="s">
        <v>26169</v>
      </c>
      <c r="D6455" t="s">
        <v>9473</v>
      </c>
      <c r="E6455" t="s">
        <v>9474</v>
      </c>
      <c r="H6455" t="s">
        <v>26170</v>
      </c>
      <c r="J6455" t="s">
        <v>353</v>
      </c>
      <c r="K6455" t="s">
        <v>354</v>
      </c>
      <c r="L6455">
        <v>6</v>
      </c>
      <c r="M6455" t="s">
        <v>26171</v>
      </c>
      <c r="N6455" t="s">
        <v>685</v>
      </c>
      <c r="O6455" t="s">
        <v>9477</v>
      </c>
      <c r="P6455" t="s">
        <v>9477</v>
      </c>
      <c r="Y6455" t="s">
        <v>26170</v>
      </c>
    </row>
    <row r="6456" spans="1:25">
      <c r="A6456" t="s">
        <v>26172</v>
      </c>
      <c r="B6456" t="s">
        <v>26173</v>
      </c>
      <c r="D6456" t="s">
        <v>9473</v>
      </c>
      <c r="E6456" t="s">
        <v>9474</v>
      </c>
      <c r="H6456" t="s">
        <v>26174</v>
      </c>
      <c r="J6456" t="s">
        <v>287</v>
      </c>
      <c r="K6456" t="s">
        <v>288</v>
      </c>
      <c r="L6456">
        <v>6</v>
      </c>
      <c r="M6456" t="s">
        <v>26175</v>
      </c>
      <c r="N6456" t="s">
        <v>685</v>
      </c>
      <c r="O6456" t="s">
        <v>9477</v>
      </c>
      <c r="P6456" t="s">
        <v>9477</v>
      </c>
      <c r="Y6456" t="s">
        <v>26174</v>
      </c>
    </row>
    <row r="6457" spans="1:25">
      <c r="A6457" t="s">
        <v>26176</v>
      </c>
      <c r="B6457" t="s">
        <v>26177</v>
      </c>
      <c r="D6457" t="s">
        <v>9473</v>
      </c>
      <c r="E6457" t="s">
        <v>9474</v>
      </c>
      <c r="J6457" t="s">
        <v>765</v>
      </c>
      <c r="K6457" t="s">
        <v>766</v>
      </c>
      <c r="L6457">
        <v>5</v>
      </c>
      <c r="M6457" t="s">
        <v>26178</v>
      </c>
      <c r="N6457" t="s">
        <v>685</v>
      </c>
      <c r="O6457" t="s">
        <v>9477</v>
      </c>
      <c r="P6457" t="s">
        <v>9477</v>
      </c>
      <c r="Y6457" t="s">
        <v>26179</v>
      </c>
    </row>
    <row r="6458" spans="1:25">
      <c r="A6458" t="s">
        <v>26180</v>
      </c>
      <c r="B6458" t="s">
        <v>26181</v>
      </c>
      <c r="D6458" t="s">
        <v>9473</v>
      </c>
      <c r="E6458" t="s">
        <v>9474</v>
      </c>
      <c r="J6458" t="s">
        <v>9759</v>
      </c>
      <c r="K6458" t="s">
        <v>9760</v>
      </c>
      <c r="L6458">
        <v>6</v>
      </c>
      <c r="M6458" t="s">
        <v>26182</v>
      </c>
      <c r="N6458" t="s">
        <v>47</v>
      </c>
      <c r="O6458" t="s">
        <v>9477</v>
      </c>
      <c r="P6458" t="s">
        <v>9477</v>
      </c>
      <c r="Y6458" t="s">
        <v>26183</v>
      </c>
    </row>
    <row r="6459" spans="1:25">
      <c r="A6459" t="s">
        <v>26184</v>
      </c>
      <c r="B6459" t="s">
        <v>26185</v>
      </c>
      <c r="D6459" t="s">
        <v>9473</v>
      </c>
      <c r="E6459" t="s">
        <v>9474</v>
      </c>
      <c r="J6459" t="s">
        <v>287</v>
      </c>
      <c r="K6459" t="s">
        <v>288</v>
      </c>
      <c r="L6459">
        <v>6</v>
      </c>
      <c r="M6459" t="s">
        <v>26186</v>
      </c>
      <c r="N6459" t="s">
        <v>685</v>
      </c>
      <c r="O6459" t="s">
        <v>9477</v>
      </c>
      <c r="P6459" t="s">
        <v>9477</v>
      </c>
      <c r="Y6459" t="s">
        <v>26187</v>
      </c>
    </row>
    <row r="6460" spans="1:25">
      <c r="A6460" t="s">
        <v>26188</v>
      </c>
      <c r="B6460" t="s">
        <v>26189</v>
      </c>
      <c r="D6460" t="s">
        <v>9473</v>
      </c>
      <c r="E6460" t="s">
        <v>9474</v>
      </c>
      <c r="J6460" t="s">
        <v>9719</v>
      </c>
      <c r="K6460" t="s">
        <v>9720</v>
      </c>
      <c r="L6460">
        <v>5</v>
      </c>
      <c r="M6460" t="s">
        <v>26190</v>
      </c>
      <c r="N6460" t="s">
        <v>685</v>
      </c>
      <c r="O6460" t="s">
        <v>9477</v>
      </c>
      <c r="P6460" t="s">
        <v>9477</v>
      </c>
      <c r="Y6460" t="s">
        <v>26191</v>
      </c>
    </row>
    <row r="6461" spans="1:25">
      <c r="A6461" t="s">
        <v>26192</v>
      </c>
      <c r="B6461" t="s">
        <v>26193</v>
      </c>
      <c r="D6461" t="s">
        <v>9473</v>
      </c>
      <c r="E6461" t="s">
        <v>9474</v>
      </c>
      <c r="H6461" t="s">
        <v>26194</v>
      </c>
      <c r="J6461" t="s">
        <v>234</v>
      </c>
      <c r="K6461" t="s">
        <v>235</v>
      </c>
      <c r="L6461">
        <v>6</v>
      </c>
      <c r="M6461" t="s">
        <v>26195</v>
      </c>
      <c r="N6461" t="s">
        <v>47</v>
      </c>
      <c r="O6461" t="s">
        <v>9477</v>
      </c>
      <c r="P6461" t="s">
        <v>9477</v>
      </c>
      <c r="Y6461" t="s">
        <v>26194</v>
      </c>
    </row>
    <row r="6462" spans="1:25">
      <c r="A6462" t="s">
        <v>26196</v>
      </c>
      <c r="B6462" t="s">
        <v>26197</v>
      </c>
      <c r="D6462" t="s">
        <v>9473</v>
      </c>
      <c r="E6462" t="s">
        <v>9474</v>
      </c>
      <c r="H6462" t="s">
        <v>26198</v>
      </c>
      <c r="J6462" t="s">
        <v>9759</v>
      </c>
      <c r="K6462" t="s">
        <v>9760</v>
      </c>
      <c r="L6462">
        <v>6</v>
      </c>
      <c r="M6462" t="s">
        <v>26199</v>
      </c>
      <c r="N6462" t="s">
        <v>47</v>
      </c>
      <c r="O6462" t="s">
        <v>9477</v>
      </c>
      <c r="P6462" t="s">
        <v>9477</v>
      </c>
      <c r="Y6462" t="s">
        <v>26198</v>
      </c>
    </row>
    <row r="6463" spans="1:25">
      <c r="A6463" t="s">
        <v>26200</v>
      </c>
      <c r="B6463" t="s">
        <v>26201</v>
      </c>
      <c r="D6463" t="s">
        <v>9473</v>
      </c>
      <c r="E6463" t="s">
        <v>9474</v>
      </c>
      <c r="J6463" t="s">
        <v>765</v>
      </c>
      <c r="K6463" t="s">
        <v>766</v>
      </c>
      <c r="L6463">
        <v>5</v>
      </c>
      <c r="M6463" t="s">
        <v>26202</v>
      </c>
      <c r="N6463" t="s">
        <v>685</v>
      </c>
      <c r="O6463" t="s">
        <v>9477</v>
      </c>
      <c r="P6463" t="s">
        <v>9477</v>
      </c>
      <c r="Y6463" t="s">
        <v>26203</v>
      </c>
    </row>
    <row r="6464" spans="1:25">
      <c r="A6464" t="s">
        <v>26204</v>
      </c>
      <c r="B6464" t="s">
        <v>26205</v>
      </c>
      <c r="D6464" t="s">
        <v>9473</v>
      </c>
      <c r="E6464" t="s">
        <v>9474</v>
      </c>
      <c r="J6464" t="s">
        <v>497</v>
      </c>
      <c r="K6464" t="s">
        <v>498</v>
      </c>
      <c r="L6464">
        <v>5</v>
      </c>
      <c r="M6464" t="s">
        <v>26206</v>
      </c>
      <c r="N6464" t="s">
        <v>685</v>
      </c>
      <c r="O6464" t="s">
        <v>9477</v>
      </c>
      <c r="P6464" t="s">
        <v>9477</v>
      </c>
      <c r="Y6464" t="s">
        <v>26207</v>
      </c>
    </row>
    <row r="6465" spans="1:25">
      <c r="A6465" t="s">
        <v>26208</v>
      </c>
      <c r="B6465" t="s">
        <v>26209</v>
      </c>
      <c r="D6465" t="s">
        <v>9473</v>
      </c>
      <c r="E6465" t="s">
        <v>9474</v>
      </c>
      <c r="J6465" t="s">
        <v>2948</v>
      </c>
      <c r="K6465" t="s">
        <v>2949</v>
      </c>
      <c r="L6465">
        <v>5</v>
      </c>
      <c r="M6465" t="s">
        <v>26210</v>
      </c>
      <c r="N6465" t="s">
        <v>685</v>
      </c>
      <c r="O6465" t="s">
        <v>9477</v>
      </c>
      <c r="P6465" t="s">
        <v>9477</v>
      </c>
      <c r="Y6465" t="s">
        <v>26211</v>
      </c>
    </row>
    <row r="6466" spans="1:25">
      <c r="A6466" t="s">
        <v>26212</v>
      </c>
      <c r="B6466" t="s">
        <v>26213</v>
      </c>
      <c r="D6466" t="s">
        <v>9473</v>
      </c>
      <c r="E6466" t="s">
        <v>9474</v>
      </c>
      <c r="H6466" t="s">
        <v>26214</v>
      </c>
      <c r="J6466" t="s">
        <v>765</v>
      </c>
      <c r="K6466" t="s">
        <v>766</v>
      </c>
      <c r="L6466">
        <v>5</v>
      </c>
      <c r="M6466" t="s">
        <v>26215</v>
      </c>
      <c r="N6466" t="s">
        <v>685</v>
      </c>
      <c r="O6466" t="s">
        <v>9477</v>
      </c>
      <c r="P6466" t="s">
        <v>9477</v>
      </c>
      <c r="Y6466" t="s">
        <v>26214</v>
      </c>
    </row>
    <row r="6467" spans="1:25">
      <c r="A6467" t="s">
        <v>26216</v>
      </c>
      <c r="B6467" t="s">
        <v>26217</v>
      </c>
      <c r="D6467" t="s">
        <v>9473</v>
      </c>
      <c r="E6467" t="s">
        <v>9474</v>
      </c>
      <c r="H6467" t="s">
        <v>26218</v>
      </c>
      <c r="J6467" t="s">
        <v>133</v>
      </c>
      <c r="K6467" t="s">
        <v>134</v>
      </c>
      <c r="L6467">
        <v>6</v>
      </c>
      <c r="M6467" t="s">
        <v>26219</v>
      </c>
      <c r="N6467" t="s">
        <v>135</v>
      </c>
      <c r="O6467" t="s">
        <v>9477</v>
      </c>
      <c r="P6467" t="s">
        <v>9477</v>
      </c>
      <c r="Y6467" t="s">
        <v>26218</v>
      </c>
    </row>
    <row r="6468" spans="1:25">
      <c r="A6468" t="s">
        <v>26220</v>
      </c>
      <c r="B6468" t="s">
        <v>26221</v>
      </c>
      <c r="D6468" t="s">
        <v>9473</v>
      </c>
      <c r="E6468" t="s">
        <v>9474</v>
      </c>
      <c r="H6468" t="s">
        <v>26222</v>
      </c>
      <c r="J6468" t="s">
        <v>497</v>
      </c>
      <c r="K6468" t="s">
        <v>498</v>
      </c>
      <c r="L6468">
        <v>5</v>
      </c>
      <c r="M6468" t="s">
        <v>26223</v>
      </c>
      <c r="N6468" t="s">
        <v>685</v>
      </c>
      <c r="O6468" t="s">
        <v>9477</v>
      </c>
      <c r="P6468" t="s">
        <v>9477</v>
      </c>
      <c r="Y6468" t="s">
        <v>26222</v>
      </c>
    </row>
    <row r="6469" spans="1:25">
      <c r="A6469" t="s">
        <v>26224</v>
      </c>
      <c r="B6469" t="s">
        <v>26225</v>
      </c>
      <c r="D6469" t="s">
        <v>9473</v>
      </c>
      <c r="E6469" t="s">
        <v>9474</v>
      </c>
      <c r="J6469" t="s">
        <v>9759</v>
      </c>
      <c r="K6469" t="s">
        <v>9760</v>
      </c>
      <c r="L6469">
        <v>6</v>
      </c>
      <c r="M6469" t="s">
        <v>26226</v>
      </c>
      <c r="N6469" t="s">
        <v>47</v>
      </c>
      <c r="O6469" t="s">
        <v>9477</v>
      </c>
      <c r="P6469" t="s">
        <v>9477</v>
      </c>
      <c r="Y6469" t="s">
        <v>26227</v>
      </c>
    </row>
    <row r="6470" spans="1:25">
      <c r="A6470" t="s">
        <v>26228</v>
      </c>
      <c r="B6470" t="s">
        <v>26229</v>
      </c>
      <c r="D6470" t="s">
        <v>9473</v>
      </c>
      <c r="E6470" t="s">
        <v>9474</v>
      </c>
      <c r="J6470" t="s">
        <v>497</v>
      </c>
      <c r="K6470" t="s">
        <v>498</v>
      </c>
      <c r="L6470">
        <v>5</v>
      </c>
      <c r="M6470" t="s">
        <v>26230</v>
      </c>
      <c r="N6470" t="s">
        <v>685</v>
      </c>
      <c r="O6470" t="s">
        <v>9477</v>
      </c>
      <c r="P6470" t="s">
        <v>9477</v>
      </c>
      <c r="Y6470" t="s">
        <v>26231</v>
      </c>
    </row>
    <row r="6471" spans="1:25">
      <c r="A6471" t="s">
        <v>26232</v>
      </c>
      <c r="B6471" t="s">
        <v>26233</v>
      </c>
      <c r="D6471" t="s">
        <v>9473</v>
      </c>
      <c r="E6471" t="s">
        <v>9474</v>
      </c>
      <c r="J6471" t="s">
        <v>497</v>
      </c>
      <c r="K6471" t="s">
        <v>498</v>
      </c>
      <c r="L6471">
        <v>5</v>
      </c>
      <c r="M6471" t="s">
        <v>26234</v>
      </c>
      <c r="N6471" t="s">
        <v>685</v>
      </c>
      <c r="O6471" t="s">
        <v>9477</v>
      </c>
      <c r="P6471" t="s">
        <v>9477</v>
      </c>
      <c r="Y6471" t="s">
        <v>26235</v>
      </c>
    </row>
    <row r="6472" spans="1:25">
      <c r="A6472" t="s">
        <v>26236</v>
      </c>
      <c r="B6472" t="s">
        <v>26237</v>
      </c>
      <c r="D6472" t="s">
        <v>9473</v>
      </c>
      <c r="E6472" t="s">
        <v>9474</v>
      </c>
      <c r="J6472" t="s">
        <v>497</v>
      </c>
      <c r="K6472" t="s">
        <v>498</v>
      </c>
      <c r="L6472">
        <v>6</v>
      </c>
      <c r="M6472" t="s">
        <v>26238</v>
      </c>
      <c r="N6472" t="s">
        <v>685</v>
      </c>
      <c r="O6472" t="s">
        <v>9477</v>
      </c>
      <c r="P6472" t="s">
        <v>9477</v>
      </c>
      <c r="Y6472" t="s">
        <v>26239</v>
      </c>
    </row>
    <row r="6473" spans="1:25">
      <c r="A6473" t="s">
        <v>26240</v>
      </c>
      <c r="B6473" t="s">
        <v>26241</v>
      </c>
      <c r="D6473" t="s">
        <v>9473</v>
      </c>
      <c r="E6473" t="s">
        <v>9474</v>
      </c>
      <c r="J6473" t="s">
        <v>287</v>
      </c>
      <c r="K6473" t="s">
        <v>288</v>
      </c>
      <c r="L6473">
        <v>6</v>
      </c>
      <c r="M6473" t="s">
        <v>26242</v>
      </c>
      <c r="N6473" t="s">
        <v>685</v>
      </c>
      <c r="O6473" t="s">
        <v>9477</v>
      </c>
      <c r="P6473" t="s">
        <v>9477</v>
      </c>
      <c r="Y6473" t="s">
        <v>26243</v>
      </c>
    </row>
    <row r="6474" spans="1:25">
      <c r="A6474" t="s">
        <v>26244</v>
      </c>
      <c r="B6474" t="s">
        <v>26245</v>
      </c>
      <c r="D6474" t="s">
        <v>9473</v>
      </c>
      <c r="E6474" t="s">
        <v>9474</v>
      </c>
      <c r="J6474" t="s">
        <v>497</v>
      </c>
      <c r="K6474" t="s">
        <v>498</v>
      </c>
      <c r="L6474">
        <v>5</v>
      </c>
      <c r="M6474" t="s">
        <v>26246</v>
      </c>
      <c r="N6474" t="s">
        <v>685</v>
      </c>
      <c r="O6474" t="s">
        <v>9477</v>
      </c>
      <c r="P6474" t="s">
        <v>9477</v>
      </c>
      <c r="Y6474" t="s">
        <v>26247</v>
      </c>
    </row>
    <row r="6475" spans="1:25">
      <c r="A6475" t="s">
        <v>26248</v>
      </c>
      <c r="B6475" t="s">
        <v>26249</v>
      </c>
      <c r="D6475" t="s">
        <v>9473</v>
      </c>
      <c r="E6475" t="s">
        <v>9474</v>
      </c>
      <c r="J6475" t="s">
        <v>2948</v>
      </c>
      <c r="K6475" t="s">
        <v>2949</v>
      </c>
      <c r="L6475">
        <v>5</v>
      </c>
      <c r="M6475" t="s">
        <v>26250</v>
      </c>
      <c r="N6475" t="s">
        <v>685</v>
      </c>
      <c r="O6475" t="s">
        <v>9477</v>
      </c>
      <c r="P6475" t="s">
        <v>9477</v>
      </c>
      <c r="Y6475" t="s">
        <v>26251</v>
      </c>
    </row>
    <row r="6476" spans="1:25">
      <c r="A6476" t="s">
        <v>26252</v>
      </c>
      <c r="B6476" t="s">
        <v>26253</v>
      </c>
      <c r="D6476" t="s">
        <v>9473</v>
      </c>
      <c r="E6476" t="s">
        <v>9474</v>
      </c>
      <c r="H6476" t="s">
        <v>26254</v>
      </c>
      <c r="J6476" t="s">
        <v>133</v>
      </c>
      <c r="K6476" t="s">
        <v>134</v>
      </c>
      <c r="L6476">
        <v>6</v>
      </c>
      <c r="M6476" t="s">
        <v>26255</v>
      </c>
      <c r="N6476" t="s">
        <v>135</v>
      </c>
      <c r="O6476" t="s">
        <v>9477</v>
      </c>
      <c r="P6476" t="s">
        <v>9477</v>
      </c>
      <c r="Y6476" t="s">
        <v>26254</v>
      </c>
    </row>
    <row r="6477" spans="1:25">
      <c r="A6477" t="s">
        <v>26256</v>
      </c>
      <c r="B6477" t="s">
        <v>26257</v>
      </c>
      <c r="D6477" t="s">
        <v>9473</v>
      </c>
      <c r="E6477" t="s">
        <v>9474</v>
      </c>
      <c r="J6477" t="s">
        <v>2948</v>
      </c>
      <c r="K6477" t="s">
        <v>2949</v>
      </c>
      <c r="L6477">
        <v>5</v>
      </c>
      <c r="M6477" t="s">
        <v>26258</v>
      </c>
      <c r="N6477" t="s">
        <v>685</v>
      </c>
      <c r="O6477" t="s">
        <v>9477</v>
      </c>
      <c r="P6477" t="s">
        <v>9477</v>
      </c>
      <c r="Y6477" t="s">
        <v>26259</v>
      </c>
    </row>
    <row r="6478" spans="1:25">
      <c r="A6478" t="s">
        <v>26260</v>
      </c>
      <c r="B6478" t="s">
        <v>26261</v>
      </c>
      <c r="D6478" t="s">
        <v>9473</v>
      </c>
      <c r="E6478" t="s">
        <v>9474</v>
      </c>
      <c r="H6478" t="s">
        <v>26262</v>
      </c>
      <c r="J6478" t="s">
        <v>133</v>
      </c>
      <c r="K6478" t="s">
        <v>134</v>
      </c>
      <c r="L6478">
        <v>6</v>
      </c>
      <c r="M6478" t="s">
        <v>26263</v>
      </c>
      <c r="N6478" t="s">
        <v>135</v>
      </c>
      <c r="O6478" t="s">
        <v>9477</v>
      </c>
      <c r="P6478" t="s">
        <v>9477</v>
      </c>
      <c r="Y6478" t="s">
        <v>26262</v>
      </c>
    </row>
    <row r="6479" spans="1:25">
      <c r="A6479" t="s">
        <v>26264</v>
      </c>
      <c r="B6479" t="s">
        <v>26265</v>
      </c>
      <c r="D6479" t="s">
        <v>9473</v>
      </c>
      <c r="E6479" t="s">
        <v>9474</v>
      </c>
      <c r="H6479" t="s">
        <v>26266</v>
      </c>
      <c r="J6479" t="s">
        <v>9719</v>
      </c>
      <c r="K6479" t="s">
        <v>9720</v>
      </c>
      <c r="L6479">
        <v>5</v>
      </c>
      <c r="M6479" t="s">
        <v>26267</v>
      </c>
      <c r="N6479" t="s">
        <v>685</v>
      </c>
      <c r="O6479" t="s">
        <v>9477</v>
      </c>
      <c r="P6479" t="s">
        <v>9477</v>
      </c>
      <c r="Y6479" t="s">
        <v>26266</v>
      </c>
    </row>
    <row r="6480" spans="1:25">
      <c r="A6480" t="s">
        <v>26268</v>
      </c>
      <c r="B6480" t="s">
        <v>26269</v>
      </c>
      <c r="D6480" t="s">
        <v>9473</v>
      </c>
      <c r="E6480" t="s">
        <v>9474</v>
      </c>
      <c r="H6480" t="s">
        <v>26270</v>
      </c>
      <c r="J6480" t="s">
        <v>497</v>
      </c>
      <c r="K6480" t="s">
        <v>498</v>
      </c>
      <c r="L6480">
        <v>5</v>
      </c>
      <c r="M6480" t="s">
        <v>26271</v>
      </c>
      <c r="N6480" t="s">
        <v>685</v>
      </c>
      <c r="O6480" t="s">
        <v>9477</v>
      </c>
      <c r="P6480" t="s">
        <v>9477</v>
      </c>
      <c r="Y6480" t="s">
        <v>26270</v>
      </c>
    </row>
    <row r="6481" spans="1:25">
      <c r="A6481" t="s">
        <v>26272</v>
      </c>
      <c r="B6481" t="s">
        <v>26273</v>
      </c>
      <c r="D6481" t="s">
        <v>9473</v>
      </c>
      <c r="E6481" t="s">
        <v>9474</v>
      </c>
      <c r="J6481" t="s">
        <v>497</v>
      </c>
      <c r="K6481" t="s">
        <v>498</v>
      </c>
      <c r="L6481">
        <v>5</v>
      </c>
      <c r="M6481" t="s">
        <v>26274</v>
      </c>
      <c r="N6481" t="s">
        <v>685</v>
      </c>
      <c r="O6481" t="s">
        <v>9477</v>
      </c>
      <c r="P6481" t="s">
        <v>9477</v>
      </c>
      <c r="Y6481" t="s">
        <v>26275</v>
      </c>
    </row>
    <row r="6482" spans="1:25">
      <c r="A6482" t="s">
        <v>26276</v>
      </c>
      <c r="B6482" t="s">
        <v>26277</v>
      </c>
      <c r="D6482" t="s">
        <v>9473</v>
      </c>
      <c r="E6482" t="s">
        <v>9474</v>
      </c>
      <c r="H6482" t="s">
        <v>26278</v>
      </c>
      <c r="J6482" t="s">
        <v>927</v>
      </c>
      <c r="K6482" t="s">
        <v>928</v>
      </c>
      <c r="L6482">
        <v>5</v>
      </c>
      <c r="M6482" t="s">
        <v>26279</v>
      </c>
      <c r="N6482" t="s">
        <v>685</v>
      </c>
      <c r="O6482" t="s">
        <v>9477</v>
      </c>
      <c r="P6482" t="s">
        <v>9477</v>
      </c>
      <c r="Y6482" t="s">
        <v>26278</v>
      </c>
    </row>
    <row r="6483" spans="1:25">
      <c r="A6483" t="s">
        <v>26280</v>
      </c>
      <c r="B6483" t="s">
        <v>26281</v>
      </c>
      <c r="D6483" t="s">
        <v>9473</v>
      </c>
      <c r="E6483" t="s">
        <v>9474</v>
      </c>
      <c r="H6483" t="s">
        <v>26282</v>
      </c>
      <c r="J6483" t="s">
        <v>497</v>
      </c>
      <c r="K6483" t="s">
        <v>498</v>
      </c>
      <c r="L6483">
        <v>5</v>
      </c>
      <c r="M6483" t="s">
        <v>26283</v>
      </c>
      <c r="N6483" t="s">
        <v>685</v>
      </c>
      <c r="O6483" t="s">
        <v>9477</v>
      </c>
      <c r="P6483" t="s">
        <v>9477</v>
      </c>
      <c r="Y6483" t="s">
        <v>26282</v>
      </c>
    </row>
    <row r="6484" spans="1:25">
      <c r="A6484" t="s">
        <v>26284</v>
      </c>
      <c r="B6484" t="s">
        <v>26285</v>
      </c>
      <c r="D6484" t="s">
        <v>9473</v>
      </c>
      <c r="E6484" t="s">
        <v>9474</v>
      </c>
      <c r="J6484" t="s">
        <v>78</v>
      </c>
      <c r="K6484" t="s">
        <v>79</v>
      </c>
      <c r="L6484">
        <v>5</v>
      </c>
      <c r="M6484" t="s">
        <v>26286</v>
      </c>
      <c r="N6484" t="s">
        <v>47</v>
      </c>
      <c r="O6484" t="s">
        <v>9477</v>
      </c>
      <c r="P6484" t="s">
        <v>9477</v>
      </c>
      <c r="Y6484" t="s">
        <v>26287</v>
      </c>
    </row>
    <row r="6485" spans="1:25">
      <c r="A6485" t="s">
        <v>26288</v>
      </c>
      <c r="B6485" t="s">
        <v>26289</v>
      </c>
      <c r="D6485" t="s">
        <v>9473</v>
      </c>
      <c r="E6485" t="s">
        <v>9474</v>
      </c>
      <c r="J6485" t="s">
        <v>497</v>
      </c>
      <c r="K6485" t="s">
        <v>498</v>
      </c>
      <c r="L6485">
        <v>5</v>
      </c>
      <c r="M6485" t="s">
        <v>26290</v>
      </c>
      <c r="N6485" t="s">
        <v>685</v>
      </c>
      <c r="O6485" t="s">
        <v>9477</v>
      </c>
      <c r="P6485" t="s">
        <v>9477</v>
      </c>
      <c r="Y6485" t="s">
        <v>26291</v>
      </c>
    </row>
    <row r="6486" spans="1:25">
      <c r="A6486" t="s">
        <v>26292</v>
      </c>
      <c r="B6486" t="s">
        <v>26293</v>
      </c>
      <c r="D6486" t="s">
        <v>9473</v>
      </c>
      <c r="E6486" t="s">
        <v>9474</v>
      </c>
      <c r="J6486" t="s">
        <v>2948</v>
      </c>
      <c r="K6486" t="s">
        <v>2949</v>
      </c>
      <c r="L6486">
        <v>5</v>
      </c>
      <c r="M6486" t="s">
        <v>26294</v>
      </c>
      <c r="N6486" t="s">
        <v>685</v>
      </c>
      <c r="O6486" t="s">
        <v>9477</v>
      </c>
      <c r="P6486" t="s">
        <v>9477</v>
      </c>
      <c r="Y6486" t="s">
        <v>26295</v>
      </c>
    </row>
    <row r="6487" spans="1:25">
      <c r="A6487" t="s">
        <v>26296</v>
      </c>
      <c r="B6487" t="s">
        <v>26297</v>
      </c>
      <c r="D6487" t="s">
        <v>9473</v>
      </c>
      <c r="E6487" t="s">
        <v>9474</v>
      </c>
      <c r="J6487" t="s">
        <v>497</v>
      </c>
      <c r="K6487" t="s">
        <v>498</v>
      </c>
      <c r="L6487">
        <v>5</v>
      </c>
      <c r="M6487" t="s">
        <v>26298</v>
      </c>
      <c r="N6487" t="s">
        <v>685</v>
      </c>
      <c r="O6487" t="s">
        <v>9477</v>
      </c>
      <c r="P6487" t="s">
        <v>9477</v>
      </c>
      <c r="Y6487" t="s">
        <v>26299</v>
      </c>
    </row>
    <row r="6488" spans="1:25">
      <c r="A6488" t="s">
        <v>26300</v>
      </c>
      <c r="B6488" t="s">
        <v>26301</v>
      </c>
      <c r="D6488" t="s">
        <v>9473</v>
      </c>
      <c r="E6488" t="s">
        <v>9474</v>
      </c>
      <c r="H6488" t="s">
        <v>26302</v>
      </c>
      <c r="J6488" t="s">
        <v>497</v>
      </c>
      <c r="K6488" t="s">
        <v>498</v>
      </c>
      <c r="L6488">
        <v>5</v>
      </c>
      <c r="M6488" t="s">
        <v>26303</v>
      </c>
      <c r="N6488" t="s">
        <v>685</v>
      </c>
      <c r="O6488" t="s">
        <v>9477</v>
      </c>
      <c r="P6488" t="s">
        <v>9477</v>
      </c>
      <c r="Y6488" t="s">
        <v>26302</v>
      </c>
    </row>
    <row r="6489" spans="1:25">
      <c r="A6489" t="s">
        <v>26304</v>
      </c>
      <c r="B6489" t="s">
        <v>26305</v>
      </c>
      <c r="D6489" t="s">
        <v>9473</v>
      </c>
      <c r="E6489" t="s">
        <v>9474</v>
      </c>
      <c r="J6489" t="s">
        <v>1571</v>
      </c>
      <c r="K6489" t="s">
        <v>1572</v>
      </c>
      <c r="L6489">
        <v>5</v>
      </c>
      <c r="M6489" t="s">
        <v>26306</v>
      </c>
      <c r="N6489" t="s">
        <v>290</v>
      </c>
      <c r="O6489" t="s">
        <v>9477</v>
      </c>
      <c r="P6489" t="s">
        <v>9477</v>
      </c>
      <c r="Y6489" t="s">
        <v>26307</v>
      </c>
    </row>
    <row r="6490" spans="1:25">
      <c r="A6490" t="s">
        <v>26308</v>
      </c>
      <c r="B6490" t="s">
        <v>26309</v>
      </c>
      <c r="D6490" t="s">
        <v>9473</v>
      </c>
      <c r="E6490" t="s">
        <v>9474</v>
      </c>
      <c r="J6490" t="s">
        <v>497</v>
      </c>
      <c r="K6490" t="s">
        <v>498</v>
      </c>
      <c r="L6490">
        <v>5</v>
      </c>
      <c r="M6490" t="s">
        <v>26310</v>
      </c>
      <c r="N6490" t="s">
        <v>685</v>
      </c>
      <c r="O6490" t="s">
        <v>9477</v>
      </c>
      <c r="P6490" t="s">
        <v>9477</v>
      </c>
      <c r="Y6490" t="s">
        <v>26311</v>
      </c>
    </row>
    <row r="6491" spans="1:25">
      <c r="A6491" t="s">
        <v>26312</v>
      </c>
      <c r="B6491" t="s">
        <v>26313</v>
      </c>
      <c r="D6491" t="s">
        <v>9473</v>
      </c>
      <c r="E6491" t="s">
        <v>9474</v>
      </c>
      <c r="J6491" t="s">
        <v>90</v>
      </c>
      <c r="K6491" t="s">
        <v>91</v>
      </c>
      <c r="L6491">
        <v>5</v>
      </c>
      <c r="M6491" t="s">
        <v>26314</v>
      </c>
      <c r="N6491" t="s">
        <v>47</v>
      </c>
      <c r="O6491" t="s">
        <v>9477</v>
      </c>
      <c r="P6491" t="s">
        <v>9477</v>
      </c>
      <c r="Y6491" t="s">
        <v>26315</v>
      </c>
    </row>
    <row r="6492" spans="1:25">
      <c r="A6492" t="s">
        <v>26316</v>
      </c>
      <c r="B6492" t="s">
        <v>26317</v>
      </c>
      <c r="D6492" t="s">
        <v>9473</v>
      </c>
      <c r="E6492" t="s">
        <v>9474</v>
      </c>
      <c r="J6492" t="s">
        <v>133</v>
      </c>
      <c r="K6492" t="s">
        <v>134</v>
      </c>
      <c r="L6492">
        <v>5</v>
      </c>
      <c r="M6492" t="s">
        <v>26318</v>
      </c>
      <c r="N6492" t="s">
        <v>290</v>
      </c>
      <c r="O6492" t="s">
        <v>9477</v>
      </c>
      <c r="P6492" t="s">
        <v>9477</v>
      </c>
      <c r="Y6492" t="s">
        <v>26319</v>
      </c>
    </row>
    <row r="6493" spans="1:25">
      <c r="A6493" t="s">
        <v>26320</v>
      </c>
      <c r="B6493" t="s">
        <v>26321</v>
      </c>
      <c r="D6493" t="s">
        <v>9473</v>
      </c>
      <c r="E6493" t="s">
        <v>9474</v>
      </c>
      <c r="J6493" t="s">
        <v>497</v>
      </c>
      <c r="K6493" t="s">
        <v>498</v>
      </c>
      <c r="L6493">
        <v>5</v>
      </c>
      <c r="M6493" t="s">
        <v>26322</v>
      </c>
      <c r="N6493" t="s">
        <v>685</v>
      </c>
      <c r="O6493" t="s">
        <v>9477</v>
      </c>
      <c r="P6493" t="s">
        <v>9477</v>
      </c>
      <c r="Y6493" t="s">
        <v>26323</v>
      </c>
    </row>
    <row r="6494" spans="1:25">
      <c r="A6494" t="s">
        <v>26324</v>
      </c>
      <c r="B6494" t="s">
        <v>26325</v>
      </c>
      <c r="D6494" t="s">
        <v>9473</v>
      </c>
      <c r="E6494" t="s">
        <v>9474</v>
      </c>
      <c r="J6494" t="s">
        <v>78</v>
      </c>
      <c r="K6494" t="s">
        <v>79</v>
      </c>
      <c r="L6494">
        <v>5</v>
      </c>
      <c r="M6494" t="s">
        <v>26326</v>
      </c>
      <c r="N6494" t="s">
        <v>47</v>
      </c>
      <c r="O6494" t="s">
        <v>9477</v>
      </c>
      <c r="P6494" t="s">
        <v>9477</v>
      </c>
      <c r="Y6494" t="s">
        <v>26327</v>
      </c>
    </row>
    <row r="6495" spans="1:25">
      <c r="A6495" t="s">
        <v>26328</v>
      </c>
      <c r="B6495" t="s">
        <v>26329</v>
      </c>
      <c r="D6495" t="s">
        <v>9473</v>
      </c>
      <c r="E6495" t="s">
        <v>9474</v>
      </c>
      <c r="J6495" t="s">
        <v>133</v>
      </c>
      <c r="K6495" t="s">
        <v>134</v>
      </c>
      <c r="L6495">
        <v>5</v>
      </c>
      <c r="M6495" t="s">
        <v>26330</v>
      </c>
      <c r="N6495" t="s">
        <v>135</v>
      </c>
      <c r="O6495" t="s">
        <v>9477</v>
      </c>
      <c r="P6495" t="s">
        <v>9477</v>
      </c>
      <c r="Y6495" t="s">
        <v>26331</v>
      </c>
    </row>
    <row r="6496" spans="1:25">
      <c r="A6496" t="s">
        <v>26332</v>
      </c>
      <c r="B6496" t="s">
        <v>26333</v>
      </c>
      <c r="D6496" t="s">
        <v>9473</v>
      </c>
      <c r="E6496" t="s">
        <v>9474</v>
      </c>
      <c r="H6496" t="s">
        <v>26334</v>
      </c>
      <c r="J6496" t="s">
        <v>133</v>
      </c>
      <c r="K6496" t="s">
        <v>134</v>
      </c>
      <c r="L6496">
        <v>6</v>
      </c>
      <c r="M6496" t="s">
        <v>26335</v>
      </c>
      <c r="N6496" t="s">
        <v>135</v>
      </c>
      <c r="O6496" t="s">
        <v>9477</v>
      </c>
      <c r="P6496" t="s">
        <v>9477</v>
      </c>
      <c r="Y6496" t="s">
        <v>26334</v>
      </c>
    </row>
    <row r="6497" spans="1:25">
      <c r="A6497" t="s">
        <v>26336</v>
      </c>
      <c r="B6497" t="s">
        <v>26337</v>
      </c>
      <c r="D6497" t="s">
        <v>9473</v>
      </c>
      <c r="E6497" t="s">
        <v>9474</v>
      </c>
      <c r="J6497" t="s">
        <v>1571</v>
      </c>
      <c r="K6497" t="s">
        <v>1572</v>
      </c>
      <c r="L6497">
        <v>12</v>
      </c>
      <c r="M6497" t="s">
        <v>26338</v>
      </c>
      <c r="N6497" t="s">
        <v>685</v>
      </c>
      <c r="O6497" t="s">
        <v>9477</v>
      </c>
      <c r="P6497" t="s">
        <v>9477</v>
      </c>
      <c r="Y6497" t="s">
        <v>26339</v>
      </c>
    </row>
    <row r="6498" spans="1:25">
      <c r="A6498" t="s">
        <v>26340</v>
      </c>
      <c r="B6498" t="s">
        <v>26341</v>
      </c>
      <c r="D6498" t="s">
        <v>9473</v>
      </c>
      <c r="E6498" t="s">
        <v>9474</v>
      </c>
      <c r="H6498" t="s">
        <v>26342</v>
      </c>
      <c r="J6498" t="s">
        <v>353</v>
      </c>
      <c r="K6498" t="s">
        <v>354</v>
      </c>
      <c r="L6498">
        <v>6</v>
      </c>
      <c r="M6498" t="s">
        <v>26343</v>
      </c>
      <c r="N6498" t="s">
        <v>290</v>
      </c>
      <c r="O6498" t="s">
        <v>9477</v>
      </c>
      <c r="P6498" t="s">
        <v>9477</v>
      </c>
      <c r="Y6498" t="s">
        <v>26342</v>
      </c>
    </row>
    <row r="6499" spans="1:25">
      <c r="A6499" t="s">
        <v>26344</v>
      </c>
      <c r="B6499" t="s">
        <v>26345</v>
      </c>
      <c r="D6499" t="s">
        <v>9473</v>
      </c>
      <c r="E6499" t="s">
        <v>9474</v>
      </c>
      <c r="H6499" t="s">
        <v>26346</v>
      </c>
      <c r="J6499" t="s">
        <v>353</v>
      </c>
      <c r="K6499" t="s">
        <v>354</v>
      </c>
      <c r="L6499">
        <v>6</v>
      </c>
      <c r="M6499" t="s">
        <v>26347</v>
      </c>
      <c r="N6499" t="s">
        <v>290</v>
      </c>
      <c r="O6499" t="s">
        <v>9477</v>
      </c>
      <c r="P6499" t="s">
        <v>9477</v>
      </c>
      <c r="Y6499" t="s">
        <v>26346</v>
      </c>
    </row>
    <row r="6500" spans="1:25">
      <c r="A6500" t="s">
        <v>26348</v>
      </c>
      <c r="B6500" t="s">
        <v>26349</v>
      </c>
      <c r="D6500" t="s">
        <v>9473</v>
      </c>
      <c r="E6500" t="s">
        <v>9474</v>
      </c>
      <c r="J6500" t="s">
        <v>765</v>
      </c>
      <c r="K6500" t="s">
        <v>766</v>
      </c>
      <c r="L6500">
        <v>4</v>
      </c>
      <c r="M6500" t="s">
        <v>26350</v>
      </c>
      <c r="N6500" t="s">
        <v>290</v>
      </c>
      <c r="O6500" t="s">
        <v>9477</v>
      </c>
      <c r="P6500" t="s">
        <v>9477</v>
      </c>
      <c r="Y6500" t="s">
        <v>26351</v>
      </c>
    </row>
    <row r="6501" spans="1:25">
      <c r="A6501" t="s">
        <v>26352</v>
      </c>
      <c r="B6501" t="s">
        <v>26353</v>
      </c>
      <c r="D6501" t="s">
        <v>9473</v>
      </c>
      <c r="E6501" t="s">
        <v>9474</v>
      </c>
      <c r="H6501" t="s">
        <v>26354</v>
      </c>
      <c r="J6501" t="s">
        <v>6594</v>
      </c>
      <c r="K6501" t="s">
        <v>6595</v>
      </c>
      <c r="L6501">
        <v>7</v>
      </c>
      <c r="M6501" t="s">
        <v>26355</v>
      </c>
      <c r="N6501" t="s">
        <v>290</v>
      </c>
      <c r="O6501" t="s">
        <v>9477</v>
      </c>
      <c r="P6501" t="s">
        <v>9477</v>
      </c>
      <c r="Y6501" t="s">
        <v>26354</v>
      </c>
    </row>
    <row r="6502" spans="1:25">
      <c r="A6502" t="s">
        <v>26356</v>
      </c>
      <c r="B6502" t="s">
        <v>26357</v>
      </c>
      <c r="D6502" t="s">
        <v>9473</v>
      </c>
      <c r="E6502" t="s">
        <v>9474</v>
      </c>
      <c r="J6502" t="s">
        <v>541</v>
      </c>
      <c r="K6502" t="s">
        <v>542</v>
      </c>
      <c r="L6502">
        <v>22</v>
      </c>
      <c r="M6502" t="s">
        <v>26358</v>
      </c>
      <c r="N6502" t="s">
        <v>685</v>
      </c>
      <c r="O6502" t="s">
        <v>9477</v>
      </c>
      <c r="P6502" t="s">
        <v>9477</v>
      </c>
      <c r="Y6502" t="s">
        <v>26359</v>
      </c>
    </row>
    <row r="6503" spans="1:25">
      <c r="A6503" t="s">
        <v>26360</v>
      </c>
      <c r="B6503" t="s">
        <v>26361</v>
      </c>
      <c r="D6503" t="s">
        <v>9473</v>
      </c>
      <c r="E6503" t="s">
        <v>9474</v>
      </c>
      <c r="J6503" t="s">
        <v>6594</v>
      </c>
      <c r="K6503" t="s">
        <v>6595</v>
      </c>
      <c r="L6503">
        <v>6</v>
      </c>
      <c r="M6503" t="s">
        <v>26362</v>
      </c>
      <c r="N6503" t="s">
        <v>685</v>
      </c>
      <c r="O6503" t="s">
        <v>9477</v>
      </c>
      <c r="P6503" t="s">
        <v>9477</v>
      </c>
      <c r="Y6503" t="s">
        <v>26363</v>
      </c>
    </row>
    <row r="6504" spans="1:25">
      <c r="A6504" t="s">
        <v>26364</v>
      </c>
      <c r="B6504" t="s">
        <v>26365</v>
      </c>
      <c r="D6504" t="s">
        <v>9473</v>
      </c>
      <c r="E6504" t="s">
        <v>9474</v>
      </c>
      <c r="J6504" t="s">
        <v>287</v>
      </c>
      <c r="K6504" t="s">
        <v>288</v>
      </c>
      <c r="L6504">
        <v>7</v>
      </c>
      <c r="M6504" t="s">
        <v>26366</v>
      </c>
      <c r="N6504" t="s">
        <v>685</v>
      </c>
      <c r="O6504" t="s">
        <v>9477</v>
      </c>
      <c r="P6504" t="s">
        <v>9477</v>
      </c>
      <c r="Y6504" t="s">
        <v>26367</v>
      </c>
    </row>
    <row r="6505" spans="1:25">
      <c r="A6505" t="s">
        <v>26368</v>
      </c>
      <c r="B6505" t="s">
        <v>26369</v>
      </c>
      <c r="D6505" t="s">
        <v>9473</v>
      </c>
      <c r="E6505" t="s">
        <v>9474</v>
      </c>
      <c r="H6505" t="s">
        <v>26370</v>
      </c>
      <c r="J6505" t="s">
        <v>6594</v>
      </c>
      <c r="K6505" t="s">
        <v>6595</v>
      </c>
      <c r="L6505">
        <v>7</v>
      </c>
      <c r="M6505" t="s">
        <v>26371</v>
      </c>
      <c r="N6505" t="s">
        <v>290</v>
      </c>
      <c r="O6505" t="s">
        <v>9477</v>
      </c>
      <c r="P6505" t="s">
        <v>9477</v>
      </c>
      <c r="Y6505" t="s">
        <v>26370</v>
      </c>
    </row>
    <row r="6506" spans="1:25">
      <c r="A6506" t="s">
        <v>26372</v>
      </c>
      <c r="B6506" t="s">
        <v>26373</v>
      </c>
      <c r="D6506" t="s">
        <v>9473</v>
      </c>
      <c r="E6506" t="s">
        <v>9474</v>
      </c>
      <c r="H6506" t="s">
        <v>26374</v>
      </c>
      <c r="J6506" t="s">
        <v>927</v>
      </c>
      <c r="K6506" t="s">
        <v>928</v>
      </c>
      <c r="L6506">
        <v>4</v>
      </c>
      <c r="M6506" t="s">
        <v>26375</v>
      </c>
      <c r="N6506" t="s">
        <v>290</v>
      </c>
      <c r="O6506" t="s">
        <v>9477</v>
      </c>
      <c r="P6506" t="s">
        <v>9477</v>
      </c>
      <c r="Y6506" t="s">
        <v>26374</v>
      </c>
    </row>
    <row r="6507" spans="1:25">
      <c r="A6507" t="s">
        <v>26376</v>
      </c>
      <c r="B6507" t="s">
        <v>26377</v>
      </c>
      <c r="D6507" t="s">
        <v>9473</v>
      </c>
      <c r="E6507" t="s">
        <v>9474</v>
      </c>
      <c r="J6507" t="s">
        <v>765</v>
      </c>
      <c r="K6507" t="s">
        <v>766</v>
      </c>
      <c r="L6507">
        <v>4</v>
      </c>
      <c r="M6507" t="s">
        <v>26378</v>
      </c>
      <c r="N6507" t="s">
        <v>290</v>
      </c>
      <c r="O6507" t="s">
        <v>9477</v>
      </c>
      <c r="P6507" t="s">
        <v>9477</v>
      </c>
      <c r="Y6507" t="s">
        <v>26379</v>
      </c>
    </row>
    <row r="6508" spans="1:25">
      <c r="A6508" t="s">
        <v>26380</v>
      </c>
      <c r="B6508" t="s">
        <v>26381</v>
      </c>
      <c r="D6508" t="s">
        <v>9473</v>
      </c>
      <c r="E6508" t="s">
        <v>9474</v>
      </c>
      <c r="H6508" t="s">
        <v>26382</v>
      </c>
      <c r="J6508" t="s">
        <v>927</v>
      </c>
      <c r="K6508" t="s">
        <v>928</v>
      </c>
      <c r="L6508">
        <v>4</v>
      </c>
      <c r="M6508" t="s">
        <v>26383</v>
      </c>
      <c r="N6508" t="s">
        <v>135</v>
      </c>
      <c r="O6508" t="s">
        <v>9477</v>
      </c>
      <c r="P6508" t="s">
        <v>9477</v>
      </c>
      <c r="Y6508" t="s">
        <v>26382</v>
      </c>
    </row>
    <row r="6509" spans="1:25">
      <c r="A6509" t="s">
        <v>26384</v>
      </c>
      <c r="B6509" t="s">
        <v>26385</v>
      </c>
      <c r="D6509" t="s">
        <v>9473</v>
      </c>
      <c r="E6509" t="s">
        <v>9474</v>
      </c>
      <c r="J6509" t="s">
        <v>765</v>
      </c>
      <c r="K6509" t="s">
        <v>766</v>
      </c>
      <c r="L6509">
        <v>4</v>
      </c>
      <c r="M6509" t="s">
        <v>26386</v>
      </c>
      <c r="N6509" t="s">
        <v>290</v>
      </c>
      <c r="O6509" t="s">
        <v>9477</v>
      </c>
      <c r="P6509" t="s">
        <v>9477</v>
      </c>
      <c r="Y6509" t="s">
        <v>26387</v>
      </c>
    </row>
    <row r="6510" spans="1:25">
      <c r="A6510" t="s">
        <v>26388</v>
      </c>
      <c r="B6510" t="s">
        <v>26389</v>
      </c>
      <c r="D6510" t="s">
        <v>9473</v>
      </c>
      <c r="E6510" t="s">
        <v>9474</v>
      </c>
      <c r="J6510" t="s">
        <v>2328</v>
      </c>
      <c r="K6510" t="s">
        <v>2329</v>
      </c>
      <c r="L6510">
        <v>4</v>
      </c>
      <c r="M6510" t="s">
        <v>26390</v>
      </c>
      <c r="N6510" t="s">
        <v>685</v>
      </c>
      <c r="O6510" t="s">
        <v>9477</v>
      </c>
      <c r="P6510" t="s">
        <v>9477</v>
      </c>
      <c r="Y6510" t="s">
        <v>26391</v>
      </c>
    </row>
    <row r="6511" spans="1:25">
      <c r="A6511" t="s">
        <v>26392</v>
      </c>
      <c r="B6511" t="s">
        <v>26393</v>
      </c>
      <c r="D6511" t="s">
        <v>9473</v>
      </c>
      <c r="E6511" t="s">
        <v>9474</v>
      </c>
      <c r="H6511" t="s">
        <v>26394</v>
      </c>
      <c r="J6511" t="s">
        <v>133</v>
      </c>
      <c r="K6511" t="s">
        <v>134</v>
      </c>
      <c r="L6511">
        <v>6</v>
      </c>
      <c r="M6511" t="s">
        <v>26395</v>
      </c>
      <c r="N6511" t="s">
        <v>135</v>
      </c>
      <c r="O6511" t="s">
        <v>9477</v>
      </c>
      <c r="P6511" t="s">
        <v>9477</v>
      </c>
      <c r="Y6511" t="s">
        <v>26394</v>
      </c>
    </row>
    <row r="6512" spans="1:25">
      <c r="A6512" t="s">
        <v>26396</v>
      </c>
      <c r="B6512" t="s">
        <v>26397</v>
      </c>
      <c r="D6512" t="s">
        <v>9473</v>
      </c>
      <c r="E6512" t="s">
        <v>9474</v>
      </c>
      <c r="H6512" t="s">
        <v>26398</v>
      </c>
      <c r="J6512" t="s">
        <v>1571</v>
      </c>
      <c r="K6512" t="s">
        <v>1572</v>
      </c>
      <c r="L6512">
        <v>7</v>
      </c>
      <c r="M6512" t="s">
        <v>26399</v>
      </c>
      <c r="N6512" t="s">
        <v>685</v>
      </c>
      <c r="O6512" t="s">
        <v>9477</v>
      </c>
      <c r="P6512" t="s">
        <v>9477</v>
      </c>
      <c r="Y6512" t="s">
        <v>26398</v>
      </c>
    </row>
    <row r="6513" spans="1:25">
      <c r="A6513" t="s">
        <v>26400</v>
      </c>
      <c r="B6513" t="s">
        <v>26401</v>
      </c>
      <c r="D6513" t="s">
        <v>9473</v>
      </c>
      <c r="E6513" t="s">
        <v>9474</v>
      </c>
      <c r="J6513" t="s">
        <v>497</v>
      </c>
      <c r="K6513" t="s">
        <v>498</v>
      </c>
      <c r="L6513">
        <v>4</v>
      </c>
      <c r="M6513" t="s">
        <v>26402</v>
      </c>
      <c r="N6513" t="s">
        <v>135</v>
      </c>
      <c r="O6513" t="s">
        <v>9477</v>
      </c>
      <c r="P6513" t="s">
        <v>9477</v>
      </c>
      <c r="Y6513" t="s">
        <v>26403</v>
      </c>
    </row>
    <row r="6514" spans="1:25">
      <c r="A6514" t="s">
        <v>26404</v>
      </c>
      <c r="B6514" t="s">
        <v>26405</v>
      </c>
      <c r="D6514" t="s">
        <v>9473</v>
      </c>
      <c r="E6514" t="s">
        <v>9474</v>
      </c>
      <c r="J6514" t="s">
        <v>927</v>
      </c>
      <c r="K6514" t="s">
        <v>928</v>
      </c>
      <c r="L6514">
        <v>4</v>
      </c>
      <c r="M6514" t="s">
        <v>26406</v>
      </c>
      <c r="N6514" t="s">
        <v>135</v>
      </c>
      <c r="O6514" t="s">
        <v>9477</v>
      </c>
      <c r="P6514" t="s">
        <v>9477</v>
      </c>
      <c r="Y6514" t="s">
        <v>26407</v>
      </c>
    </row>
    <row r="6515" spans="1:25">
      <c r="A6515" t="s">
        <v>26408</v>
      </c>
      <c r="B6515" t="s">
        <v>26409</v>
      </c>
      <c r="D6515" t="s">
        <v>9473</v>
      </c>
      <c r="E6515" t="s">
        <v>9474</v>
      </c>
      <c r="J6515" t="s">
        <v>5964</v>
      </c>
      <c r="K6515" t="s">
        <v>5965</v>
      </c>
      <c r="L6515">
        <v>4</v>
      </c>
      <c r="M6515" t="s">
        <v>26410</v>
      </c>
      <c r="N6515" t="s">
        <v>135</v>
      </c>
      <c r="O6515" t="s">
        <v>9477</v>
      </c>
      <c r="P6515" t="s">
        <v>9477</v>
      </c>
      <c r="Y6515" t="s">
        <v>26411</v>
      </c>
    </row>
    <row r="6516" spans="1:25">
      <c r="A6516" t="s">
        <v>26412</v>
      </c>
      <c r="B6516" t="s">
        <v>26413</v>
      </c>
      <c r="D6516" t="s">
        <v>9473</v>
      </c>
      <c r="E6516" t="s">
        <v>9474</v>
      </c>
      <c r="J6516" t="s">
        <v>9759</v>
      </c>
      <c r="K6516" t="s">
        <v>9760</v>
      </c>
      <c r="L6516">
        <v>5</v>
      </c>
      <c r="M6516" t="s">
        <v>26414</v>
      </c>
      <c r="N6516" t="s">
        <v>47</v>
      </c>
      <c r="O6516" t="s">
        <v>9477</v>
      </c>
      <c r="P6516" t="s">
        <v>9477</v>
      </c>
      <c r="Y6516" t="s">
        <v>26415</v>
      </c>
    </row>
    <row r="6517" spans="1:25">
      <c r="A6517" t="s">
        <v>26416</v>
      </c>
      <c r="B6517" t="s">
        <v>26417</v>
      </c>
      <c r="D6517" t="s">
        <v>9473</v>
      </c>
      <c r="E6517" t="s">
        <v>9474</v>
      </c>
      <c r="H6517" t="s">
        <v>26418</v>
      </c>
      <c r="J6517" t="s">
        <v>287</v>
      </c>
      <c r="K6517" t="s">
        <v>288</v>
      </c>
      <c r="L6517">
        <v>6</v>
      </c>
      <c r="M6517" t="s">
        <v>26419</v>
      </c>
      <c r="N6517" t="s">
        <v>135</v>
      </c>
      <c r="O6517" t="s">
        <v>9477</v>
      </c>
      <c r="P6517" t="s">
        <v>9477</v>
      </c>
      <c r="Y6517" t="s">
        <v>26418</v>
      </c>
    </row>
    <row r="6518" spans="1:25">
      <c r="A6518" t="s">
        <v>26420</v>
      </c>
      <c r="B6518" t="s">
        <v>26421</v>
      </c>
      <c r="D6518" t="s">
        <v>9473</v>
      </c>
      <c r="E6518" t="s">
        <v>9474</v>
      </c>
      <c r="J6518" t="s">
        <v>390</v>
      </c>
      <c r="K6518" t="s">
        <v>390</v>
      </c>
      <c r="L6518">
        <v>4</v>
      </c>
      <c r="M6518" t="s">
        <v>26422</v>
      </c>
      <c r="N6518" t="s">
        <v>685</v>
      </c>
      <c r="O6518" t="s">
        <v>9477</v>
      </c>
      <c r="P6518" t="s">
        <v>9477</v>
      </c>
      <c r="Y6518" t="s">
        <v>26423</v>
      </c>
    </row>
    <row r="6519" spans="1:25">
      <c r="A6519" t="s">
        <v>26424</v>
      </c>
      <c r="B6519" t="s">
        <v>26425</v>
      </c>
      <c r="D6519" t="s">
        <v>9473</v>
      </c>
      <c r="E6519" t="s">
        <v>9474</v>
      </c>
      <c r="J6519" t="s">
        <v>497</v>
      </c>
      <c r="K6519" t="s">
        <v>498</v>
      </c>
      <c r="L6519">
        <v>4</v>
      </c>
      <c r="M6519" t="s">
        <v>26426</v>
      </c>
      <c r="N6519" t="s">
        <v>290</v>
      </c>
      <c r="O6519" t="s">
        <v>9477</v>
      </c>
      <c r="P6519" t="s">
        <v>9477</v>
      </c>
      <c r="Y6519" t="s">
        <v>26427</v>
      </c>
    </row>
    <row r="6520" spans="1:25">
      <c r="A6520" t="s">
        <v>26428</v>
      </c>
      <c r="B6520" t="s">
        <v>26429</v>
      </c>
      <c r="D6520" t="s">
        <v>9473</v>
      </c>
      <c r="E6520" t="s">
        <v>9474</v>
      </c>
      <c r="H6520" t="s">
        <v>26430</v>
      </c>
      <c r="J6520" t="s">
        <v>497</v>
      </c>
      <c r="K6520" t="s">
        <v>498</v>
      </c>
      <c r="L6520">
        <v>4</v>
      </c>
      <c r="M6520" t="s">
        <v>26431</v>
      </c>
      <c r="N6520" t="s">
        <v>685</v>
      </c>
      <c r="O6520" t="s">
        <v>9477</v>
      </c>
      <c r="P6520" t="s">
        <v>9477</v>
      </c>
      <c r="Y6520" t="s">
        <v>26430</v>
      </c>
    </row>
    <row r="6521" spans="1:25">
      <c r="A6521" t="s">
        <v>26432</v>
      </c>
      <c r="B6521" t="s">
        <v>26433</v>
      </c>
      <c r="D6521" t="s">
        <v>9473</v>
      </c>
      <c r="E6521" t="s">
        <v>9474</v>
      </c>
      <c r="H6521" t="s">
        <v>26434</v>
      </c>
      <c r="J6521" t="s">
        <v>3829</v>
      </c>
      <c r="K6521" t="s">
        <v>3830</v>
      </c>
      <c r="L6521">
        <v>4</v>
      </c>
      <c r="M6521" t="s">
        <v>26435</v>
      </c>
      <c r="N6521" t="s">
        <v>290</v>
      </c>
      <c r="O6521" t="s">
        <v>9477</v>
      </c>
      <c r="P6521" t="s">
        <v>9477</v>
      </c>
      <c r="Y6521" t="s">
        <v>26434</v>
      </c>
    </row>
    <row r="6522" spans="1:25">
      <c r="A6522" t="s">
        <v>26436</v>
      </c>
      <c r="B6522" t="s">
        <v>26437</v>
      </c>
      <c r="D6522" t="s">
        <v>9473</v>
      </c>
      <c r="E6522" t="s">
        <v>9474</v>
      </c>
      <c r="J6522" t="s">
        <v>927</v>
      </c>
      <c r="K6522" t="s">
        <v>928</v>
      </c>
      <c r="L6522">
        <v>4</v>
      </c>
      <c r="M6522" t="s">
        <v>26438</v>
      </c>
      <c r="N6522" t="s">
        <v>135</v>
      </c>
      <c r="O6522" t="s">
        <v>9477</v>
      </c>
      <c r="P6522" t="s">
        <v>9477</v>
      </c>
      <c r="Y6522" t="s">
        <v>26439</v>
      </c>
    </row>
    <row r="6523" spans="1:25">
      <c r="A6523" t="s">
        <v>26440</v>
      </c>
      <c r="B6523" t="s">
        <v>26441</v>
      </c>
      <c r="D6523" t="s">
        <v>9473</v>
      </c>
      <c r="E6523" t="s">
        <v>9474</v>
      </c>
      <c r="H6523" t="s">
        <v>26442</v>
      </c>
      <c r="J6523" t="s">
        <v>927</v>
      </c>
      <c r="K6523" t="s">
        <v>928</v>
      </c>
      <c r="L6523">
        <v>4</v>
      </c>
      <c r="M6523" t="s">
        <v>26443</v>
      </c>
      <c r="N6523" t="s">
        <v>135</v>
      </c>
      <c r="O6523" t="s">
        <v>9477</v>
      </c>
      <c r="P6523" t="s">
        <v>9477</v>
      </c>
      <c r="Y6523" t="s">
        <v>26442</v>
      </c>
    </row>
    <row r="6524" spans="1:25">
      <c r="A6524" t="s">
        <v>26444</v>
      </c>
      <c r="B6524" t="s">
        <v>26445</v>
      </c>
      <c r="D6524" t="s">
        <v>9473</v>
      </c>
      <c r="E6524" t="s">
        <v>9474</v>
      </c>
      <c r="J6524" t="s">
        <v>927</v>
      </c>
      <c r="K6524" t="s">
        <v>928</v>
      </c>
      <c r="L6524">
        <v>4</v>
      </c>
      <c r="M6524" t="s">
        <v>26446</v>
      </c>
      <c r="N6524" t="s">
        <v>135</v>
      </c>
      <c r="O6524" t="s">
        <v>9477</v>
      </c>
      <c r="P6524" t="s">
        <v>9477</v>
      </c>
      <c r="Y6524" t="s">
        <v>26447</v>
      </c>
    </row>
    <row r="6525" spans="1:25">
      <c r="A6525" t="s">
        <v>26448</v>
      </c>
      <c r="B6525" t="s">
        <v>26449</v>
      </c>
      <c r="D6525" t="s">
        <v>9473</v>
      </c>
      <c r="E6525" t="s">
        <v>9474</v>
      </c>
      <c r="J6525" t="s">
        <v>2948</v>
      </c>
      <c r="K6525" t="s">
        <v>2949</v>
      </c>
      <c r="L6525">
        <v>4</v>
      </c>
      <c r="M6525" t="s">
        <v>26450</v>
      </c>
      <c r="N6525" t="s">
        <v>290</v>
      </c>
      <c r="O6525" t="s">
        <v>9477</v>
      </c>
      <c r="P6525" t="s">
        <v>9477</v>
      </c>
      <c r="Y6525" t="s">
        <v>26451</v>
      </c>
    </row>
    <row r="6526" spans="1:25">
      <c r="A6526" t="s">
        <v>26452</v>
      </c>
      <c r="B6526" t="s">
        <v>26453</v>
      </c>
      <c r="D6526" t="s">
        <v>9473</v>
      </c>
      <c r="E6526" t="s">
        <v>9474</v>
      </c>
      <c r="J6526" t="s">
        <v>9759</v>
      </c>
      <c r="K6526" t="s">
        <v>9760</v>
      </c>
      <c r="L6526">
        <v>5</v>
      </c>
      <c r="M6526" t="s">
        <v>26454</v>
      </c>
      <c r="N6526" t="s">
        <v>47</v>
      </c>
      <c r="O6526" t="s">
        <v>9477</v>
      </c>
      <c r="P6526" t="s">
        <v>9477</v>
      </c>
      <c r="Y6526" t="s">
        <v>26455</v>
      </c>
    </row>
    <row r="6527" spans="1:25">
      <c r="A6527" t="s">
        <v>26456</v>
      </c>
      <c r="B6527" t="s">
        <v>26457</v>
      </c>
      <c r="D6527" t="s">
        <v>9473</v>
      </c>
      <c r="E6527" t="s">
        <v>9474</v>
      </c>
      <c r="J6527" t="s">
        <v>1571</v>
      </c>
      <c r="K6527" t="s">
        <v>1572</v>
      </c>
      <c r="L6527">
        <v>4</v>
      </c>
      <c r="M6527" t="s">
        <v>26458</v>
      </c>
      <c r="N6527" t="s">
        <v>685</v>
      </c>
      <c r="O6527" t="s">
        <v>9477</v>
      </c>
      <c r="P6527" t="s">
        <v>9477</v>
      </c>
      <c r="Y6527" t="s">
        <v>26459</v>
      </c>
    </row>
    <row r="6528" spans="1:25">
      <c r="A6528" t="s">
        <v>26460</v>
      </c>
      <c r="B6528" t="s">
        <v>26461</v>
      </c>
      <c r="D6528" t="s">
        <v>9473</v>
      </c>
      <c r="E6528" t="s">
        <v>9474</v>
      </c>
      <c r="J6528" t="s">
        <v>353</v>
      </c>
      <c r="K6528" t="s">
        <v>354</v>
      </c>
      <c r="L6528">
        <v>6</v>
      </c>
      <c r="M6528" t="s">
        <v>26462</v>
      </c>
      <c r="N6528" t="s">
        <v>290</v>
      </c>
      <c r="O6528" t="s">
        <v>9477</v>
      </c>
      <c r="P6528" t="s">
        <v>9477</v>
      </c>
      <c r="Y6528" t="s">
        <v>26463</v>
      </c>
    </row>
    <row r="6529" spans="1:25">
      <c r="A6529" t="s">
        <v>26464</v>
      </c>
      <c r="B6529" t="s">
        <v>26465</v>
      </c>
      <c r="D6529" t="s">
        <v>9473</v>
      </c>
      <c r="E6529" t="s">
        <v>9474</v>
      </c>
      <c r="J6529" t="s">
        <v>765</v>
      </c>
      <c r="K6529" t="s">
        <v>766</v>
      </c>
      <c r="L6529">
        <v>5</v>
      </c>
      <c r="M6529" t="s">
        <v>26466</v>
      </c>
      <c r="N6529" t="s">
        <v>685</v>
      </c>
      <c r="O6529" t="s">
        <v>9477</v>
      </c>
      <c r="P6529" t="s">
        <v>9477</v>
      </c>
      <c r="Y6529" t="s">
        <v>26467</v>
      </c>
    </row>
    <row r="6530" spans="1:25">
      <c r="A6530" t="s">
        <v>26468</v>
      </c>
      <c r="B6530" t="s">
        <v>26469</v>
      </c>
      <c r="D6530" t="s">
        <v>9473</v>
      </c>
      <c r="E6530" t="s">
        <v>9474</v>
      </c>
      <c r="J6530" t="s">
        <v>9719</v>
      </c>
      <c r="K6530" t="s">
        <v>9720</v>
      </c>
      <c r="L6530">
        <v>4</v>
      </c>
      <c r="M6530" t="s">
        <v>26470</v>
      </c>
      <c r="N6530" t="s">
        <v>290</v>
      </c>
      <c r="O6530" t="s">
        <v>9477</v>
      </c>
      <c r="P6530" t="s">
        <v>9477</v>
      </c>
      <c r="Y6530" t="s">
        <v>26471</v>
      </c>
    </row>
    <row r="6531" spans="1:25">
      <c r="A6531" t="s">
        <v>26472</v>
      </c>
      <c r="B6531" t="s">
        <v>26473</v>
      </c>
      <c r="D6531" t="s">
        <v>9473</v>
      </c>
      <c r="E6531" t="s">
        <v>9474</v>
      </c>
      <c r="J6531" t="s">
        <v>353</v>
      </c>
      <c r="K6531" t="s">
        <v>354</v>
      </c>
      <c r="L6531">
        <v>6</v>
      </c>
      <c r="M6531" t="s">
        <v>26474</v>
      </c>
      <c r="N6531" t="s">
        <v>685</v>
      </c>
      <c r="O6531" t="s">
        <v>9477</v>
      </c>
      <c r="P6531" t="s">
        <v>9477</v>
      </c>
      <c r="Y6531" t="s">
        <v>26475</v>
      </c>
    </row>
    <row r="6532" spans="1:25">
      <c r="A6532" t="s">
        <v>26476</v>
      </c>
      <c r="B6532" t="s">
        <v>26477</v>
      </c>
      <c r="D6532" t="s">
        <v>9473</v>
      </c>
      <c r="E6532" t="s">
        <v>9474</v>
      </c>
      <c r="H6532" t="s">
        <v>26478</v>
      </c>
      <c r="J6532" t="s">
        <v>497</v>
      </c>
      <c r="K6532" t="s">
        <v>498</v>
      </c>
      <c r="L6532">
        <v>4</v>
      </c>
      <c r="M6532" t="s">
        <v>26479</v>
      </c>
      <c r="N6532" t="s">
        <v>685</v>
      </c>
      <c r="O6532" t="s">
        <v>9477</v>
      </c>
      <c r="P6532" t="s">
        <v>9477</v>
      </c>
      <c r="Y6532" t="s">
        <v>26478</v>
      </c>
    </row>
    <row r="6533" spans="1:25">
      <c r="A6533" t="s">
        <v>26480</v>
      </c>
      <c r="B6533" t="s">
        <v>26481</v>
      </c>
      <c r="D6533" t="s">
        <v>9473</v>
      </c>
      <c r="E6533" t="s">
        <v>9474</v>
      </c>
      <c r="H6533" t="s">
        <v>26482</v>
      </c>
      <c r="J6533" t="s">
        <v>497</v>
      </c>
      <c r="K6533" t="s">
        <v>498</v>
      </c>
      <c r="L6533">
        <v>4</v>
      </c>
      <c r="M6533" t="s">
        <v>26483</v>
      </c>
      <c r="N6533" t="s">
        <v>685</v>
      </c>
      <c r="O6533" t="s">
        <v>9477</v>
      </c>
      <c r="P6533" t="s">
        <v>9477</v>
      </c>
      <c r="Y6533" t="s">
        <v>26482</v>
      </c>
    </row>
    <row r="6534" spans="1:25">
      <c r="A6534" t="s">
        <v>26484</v>
      </c>
      <c r="B6534" t="s">
        <v>26485</v>
      </c>
      <c r="D6534" t="s">
        <v>9473</v>
      </c>
      <c r="E6534" t="s">
        <v>9474</v>
      </c>
      <c r="H6534" t="s">
        <v>26486</v>
      </c>
      <c r="J6534" t="s">
        <v>5964</v>
      </c>
      <c r="K6534" t="s">
        <v>5965</v>
      </c>
      <c r="L6534">
        <v>4</v>
      </c>
      <c r="M6534" t="s">
        <v>26487</v>
      </c>
      <c r="N6534" t="s">
        <v>685</v>
      </c>
      <c r="O6534" t="s">
        <v>9477</v>
      </c>
      <c r="P6534" t="s">
        <v>9477</v>
      </c>
      <c r="Y6534" t="s">
        <v>26486</v>
      </c>
    </row>
    <row r="6535" spans="1:25">
      <c r="A6535" t="s">
        <v>26488</v>
      </c>
      <c r="B6535" t="s">
        <v>26489</v>
      </c>
      <c r="D6535" t="s">
        <v>9473</v>
      </c>
      <c r="E6535" t="s">
        <v>9474</v>
      </c>
      <c r="H6535" t="s">
        <v>26490</v>
      </c>
      <c r="J6535" t="s">
        <v>683</v>
      </c>
      <c r="K6535" t="s">
        <v>684</v>
      </c>
      <c r="L6535">
        <v>4</v>
      </c>
      <c r="M6535" t="s">
        <v>26491</v>
      </c>
      <c r="N6535" t="s">
        <v>685</v>
      </c>
      <c r="O6535" t="s">
        <v>9477</v>
      </c>
      <c r="P6535" t="s">
        <v>9477</v>
      </c>
      <c r="Y6535" t="s">
        <v>26490</v>
      </c>
    </row>
    <row r="6536" spans="1:25">
      <c r="A6536" t="s">
        <v>26492</v>
      </c>
      <c r="B6536" t="s">
        <v>26493</v>
      </c>
      <c r="D6536" t="s">
        <v>9473</v>
      </c>
      <c r="E6536" t="s">
        <v>9474</v>
      </c>
      <c r="H6536" t="s">
        <v>26494</v>
      </c>
      <c r="J6536" t="s">
        <v>497</v>
      </c>
      <c r="K6536" t="s">
        <v>498</v>
      </c>
      <c r="L6536">
        <v>4</v>
      </c>
      <c r="M6536" t="s">
        <v>26495</v>
      </c>
      <c r="N6536" t="s">
        <v>685</v>
      </c>
      <c r="O6536" t="s">
        <v>9477</v>
      </c>
      <c r="P6536" t="s">
        <v>9477</v>
      </c>
      <c r="Y6536" t="s">
        <v>26494</v>
      </c>
    </row>
    <row r="6537" spans="1:25">
      <c r="A6537" t="s">
        <v>26496</v>
      </c>
      <c r="B6537" t="s">
        <v>26497</v>
      </c>
      <c r="D6537" t="s">
        <v>9473</v>
      </c>
      <c r="E6537" t="s">
        <v>9474</v>
      </c>
      <c r="J6537" t="s">
        <v>287</v>
      </c>
      <c r="K6537" t="s">
        <v>288</v>
      </c>
      <c r="L6537">
        <v>8</v>
      </c>
      <c r="M6537" t="s">
        <v>26498</v>
      </c>
      <c r="N6537" t="s">
        <v>685</v>
      </c>
      <c r="O6537" t="s">
        <v>9477</v>
      </c>
      <c r="P6537" t="s">
        <v>9477</v>
      </c>
      <c r="Y6537" t="s">
        <v>26499</v>
      </c>
    </row>
    <row r="6538" spans="1:25">
      <c r="A6538" t="s">
        <v>26500</v>
      </c>
      <c r="B6538" t="s">
        <v>26501</v>
      </c>
      <c r="D6538" t="s">
        <v>9473</v>
      </c>
      <c r="E6538" t="s">
        <v>9474</v>
      </c>
      <c r="J6538" t="s">
        <v>497</v>
      </c>
      <c r="K6538" t="s">
        <v>498</v>
      </c>
      <c r="L6538">
        <v>4</v>
      </c>
      <c r="M6538" t="s">
        <v>26502</v>
      </c>
      <c r="N6538" t="s">
        <v>685</v>
      </c>
      <c r="O6538" t="s">
        <v>9477</v>
      </c>
      <c r="P6538" t="s">
        <v>9477</v>
      </c>
      <c r="Y6538" t="s">
        <v>26503</v>
      </c>
    </row>
    <row r="6539" spans="1:25">
      <c r="A6539" t="s">
        <v>26504</v>
      </c>
      <c r="B6539" t="s">
        <v>26505</v>
      </c>
      <c r="D6539" t="s">
        <v>9473</v>
      </c>
      <c r="E6539" t="s">
        <v>9474</v>
      </c>
      <c r="H6539" t="s">
        <v>26506</v>
      </c>
      <c r="J6539" t="s">
        <v>9759</v>
      </c>
      <c r="K6539" t="s">
        <v>9760</v>
      </c>
      <c r="L6539">
        <v>5</v>
      </c>
      <c r="M6539" t="s">
        <v>26507</v>
      </c>
      <c r="N6539" t="s">
        <v>47</v>
      </c>
      <c r="O6539" t="s">
        <v>9477</v>
      </c>
      <c r="P6539" t="s">
        <v>9477</v>
      </c>
      <c r="Y6539" t="s">
        <v>26506</v>
      </c>
    </row>
    <row r="6540" spans="1:25">
      <c r="A6540" t="s">
        <v>26508</v>
      </c>
      <c r="B6540" t="s">
        <v>26509</v>
      </c>
      <c r="D6540" t="s">
        <v>9473</v>
      </c>
      <c r="E6540" t="s">
        <v>9474</v>
      </c>
      <c r="J6540" t="s">
        <v>497</v>
      </c>
      <c r="K6540" t="s">
        <v>498</v>
      </c>
      <c r="L6540">
        <v>4</v>
      </c>
      <c r="M6540" t="s">
        <v>26510</v>
      </c>
      <c r="N6540" t="s">
        <v>685</v>
      </c>
      <c r="O6540" t="s">
        <v>9477</v>
      </c>
      <c r="P6540" t="s">
        <v>9477</v>
      </c>
      <c r="Y6540" t="s">
        <v>26511</v>
      </c>
    </row>
    <row r="6541" spans="1:25">
      <c r="A6541" t="s">
        <v>26512</v>
      </c>
      <c r="B6541" t="s">
        <v>26513</v>
      </c>
      <c r="D6541" t="s">
        <v>9473</v>
      </c>
      <c r="E6541" t="s">
        <v>9474</v>
      </c>
      <c r="J6541" t="s">
        <v>497</v>
      </c>
      <c r="K6541" t="s">
        <v>498</v>
      </c>
      <c r="L6541">
        <v>4</v>
      </c>
      <c r="M6541" t="s">
        <v>26514</v>
      </c>
      <c r="N6541" t="s">
        <v>685</v>
      </c>
      <c r="O6541" t="s">
        <v>9477</v>
      </c>
      <c r="P6541" t="s">
        <v>9477</v>
      </c>
      <c r="Y6541" t="s">
        <v>26515</v>
      </c>
    </row>
    <row r="6542" spans="1:25">
      <c r="A6542" t="s">
        <v>26516</v>
      </c>
      <c r="B6542" t="s">
        <v>26517</v>
      </c>
      <c r="D6542" t="s">
        <v>9473</v>
      </c>
      <c r="E6542" t="s">
        <v>9474</v>
      </c>
      <c r="J6542" t="s">
        <v>1571</v>
      </c>
      <c r="K6542" t="s">
        <v>1572</v>
      </c>
      <c r="L6542">
        <v>4</v>
      </c>
      <c r="M6542" t="s">
        <v>26518</v>
      </c>
      <c r="N6542" t="s">
        <v>290</v>
      </c>
      <c r="O6542" t="s">
        <v>9477</v>
      </c>
      <c r="P6542" t="s">
        <v>9477</v>
      </c>
      <c r="Y6542" t="s">
        <v>26519</v>
      </c>
    </row>
    <row r="6543" spans="1:25">
      <c r="A6543" t="s">
        <v>26520</v>
      </c>
      <c r="B6543" t="s">
        <v>26521</v>
      </c>
      <c r="D6543" t="s">
        <v>9473</v>
      </c>
      <c r="E6543" t="s">
        <v>9474</v>
      </c>
      <c r="H6543" t="s">
        <v>26522</v>
      </c>
      <c r="J6543" t="s">
        <v>5964</v>
      </c>
      <c r="K6543" t="s">
        <v>5965</v>
      </c>
      <c r="L6543">
        <v>4</v>
      </c>
      <c r="M6543" t="s">
        <v>26523</v>
      </c>
      <c r="N6543" t="s">
        <v>685</v>
      </c>
      <c r="O6543" t="s">
        <v>9477</v>
      </c>
      <c r="P6543" t="s">
        <v>9477</v>
      </c>
      <c r="Y6543" t="s">
        <v>26522</v>
      </c>
    </row>
    <row r="6544" spans="1:25">
      <c r="A6544" t="s">
        <v>26524</v>
      </c>
      <c r="B6544" t="s">
        <v>26525</v>
      </c>
      <c r="D6544" t="s">
        <v>9473</v>
      </c>
      <c r="E6544" t="s">
        <v>9474</v>
      </c>
      <c r="J6544" t="s">
        <v>927</v>
      </c>
      <c r="K6544" t="s">
        <v>928</v>
      </c>
      <c r="L6544">
        <v>9</v>
      </c>
      <c r="M6544" t="s">
        <v>26526</v>
      </c>
      <c r="N6544" t="s">
        <v>685</v>
      </c>
      <c r="O6544" t="s">
        <v>9477</v>
      </c>
      <c r="P6544" t="s">
        <v>9477</v>
      </c>
      <c r="Y6544" t="s">
        <v>26527</v>
      </c>
    </row>
    <row r="6545" spans="1:25">
      <c r="A6545" t="s">
        <v>26528</v>
      </c>
      <c r="B6545" t="s">
        <v>26529</v>
      </c>
      <c r="D6545" t="s">
        <v>9473</v>
      </c>
      <c r="E6545" t="s">
        <v>9474</v>
      </c>
      <c r="J6545" t="s">
        <v>2948</v>
      </c>
      <c r="K6545" t="s">
        <v>2949</v>
      </c>
      <c r="L6545">
        <v>4</v>
      </c>
      <c r="M6545" t="s">
        <v>26530</v>
      </c>
      <c r="N6545" t="s">
        <v>290</v>
      </c>
      <c r="O6545" t="s">
        <v>9477</v>
      </c>
      <c r="P6545" t="s">
        <v>9477</v>
      </c>
      <c r="Y6545" t="s">
        <v>26531</v>
      </c>
    </row>
    <row r="6546" spans="1:25">
      <c r="A6546" t="s">
        <v>26532</v>
      </c>
      <c r="B6546" t="s">
        <v>26533</v>
      </c>
      <c r="D6546" t="s">
        <v>9473</v>
      </c>
      <c r="E6546" t="s">
        <v>9474</v>
      </c>
      <c r="H6546" t="s">
        <v>26534</v>
      </c>
      <c r="J6546" t="s">
        <v>765</v>
      </c>
      <c r="K6546" t="s">
        <v>766</v>
      </c>
      <c r="L6546">
        <v>4</v>
      </c>
      <c r="M6546" t="s">
        <v>26535</v>
      </c>
      <c r="N6546" t="s">
        <v>290</v>
      </c>
      <c r="O6546" t="s">
        <v>9477</v>
      </c>
      <c r="P6546" t="s">
        <v>9477</v>
      </c>
      <c r="Y6546" t="s">
        <v>26534</v>
      </c>
    </row>
    <row r="6547" spans="1:25">
      <c r="A6547" t="s">
        <v>26536</v>
      </c>
      <c r="B6547" t="s">
        <v>26537</v>
      </c>
      <c r="D6547" t="s">
        <v>9473</v>
      </c>
      <c r="E6547" t="s">
        <v>9474</v>
      </c>
      <c r="H6547" t="s">
        <v>26538</v>
      </c>
      <c r="J6547" t="s">
        <v>927</v>
      </c>
      <c r="K6547" t="s">
        <v>928</v>
      </c>
      <c r="L6547">
        <v>4</v>
      </c>
      <c r="M6547" t="s">
        <v>26539</v>
      </c>
      <c r="N6547" t="s">
        <v>290</v>
      </c>
      <c r="O6547" t="s">
        <v>9477</v>
      </c>
      <c r="P6547" t="s">
        <v>9477</v>
      </c>
      <c r="Y6547" t="s">
        <v>26538</v>
      </c>
    </row>
    <row r="6548" spans="1:25">
      <c r="A6548" t="s">
        <v>26540</v>
      </c>
      <c r="B6548" t="s">
        <v>26541</v>
      </c>
      <c r="D6548" t="s">
        <v>9473</v>
      </c>
      <c r="E6548" t="s">
        <v>9474</v>
      </c>
      <c r="H6548" t="s">
        <v>26542</v>
      </c>
      <c r="J6548" t="s">
        <v>927</v>
      </c>
      <c r="K6548" t="s">
        <v>928</v>
      </c>
      <c r="L6548">
        <v>4</v>
      </c>
      <c r="M6548" t="s">
        <v>26543</v>
      </c>
      <c r="N6548" t="s">
        <v>135</v>
      </c>
      <c r="O6548" t="s">
        <v>9477</v>
      </c>
      <c r="P6548" t="s">
        <v>9477</v>
      </c>
      <c r="Y6548" t="s">
        <v>26542</v>
      </c>
    </row>
    <row r="6549" spans="1:25">
      <c r="A6549" t="s">
        <v>26544</v>
      </c>
      <c r="B6549" t="s">
        <v>26545</v>
      </c>
      <c r="D6549" t="s">
        <v>9473</v>
      </c>
      <c r="E6549" t="s">
        <v>9474</v>
      </c>
      <c r="J6549" t="s">
        <v>3829</v>
      </c>
      <c r="K6549" t="s">
        <v>3830</v>
      </c>
      <c r="L6549">
        <v>4</v>
      </c>
      <c r="M6549" t="s">
        <v>26546</v>
      </c>
      <c r="N6549" t="s">
        <v>685</v>
      </c>
      <c r="O6549" t="s">
        <v>9477</v>
      </c>
      <c r="P6549" t="s">
        <v>9477</v>
      </c>
      <c r="Y6549" t="s">
        <v>26547</v>
      </c>
    </row>
    <row r="6550" spans="1:25">
      <c r="A6550" t="s">
        <v>26548</v>
      </c>
      <c r="B6550" t="s">
        <v>26549</v>
      </c>
      <c r="D6550" t="s">
        <v>9473</v>
      </c>
      <c r="E6550" t="s">
        <v>9474</v>
      </c>
      <c r="H6550" t="s">
        <v>26550</v>
      </c>
      <c r="J6550" t="s">
        <v>497</v>
      </c>
      <c r="K6550" t="s">
        <v>498</v>
      </c>
      <c r="L6550">
        <v>4</v>
      </c>
      <c r="M6550" t="s">
        <v>26551</v>
      </c>
      <c r="N6550" t="s">
        <v>685</v>
      </c>
      <c r="O6550" t="s">
        <v>9477</v>
      </c>
      <c r="P6550" t="s">
        <v>9477</v>
      </c>
      <c r="Y6550" t="s">
        <v>26550</v>
      </c>
    </row>
    <row r="6551" spans="1:25">
      <c r="A6551" t="s">
        <v>26552</v>
      </c>
      <c r="B6551" t="s">
        <v>26553</v>
      </c>
      <c r="D6551" t="s">
        <v>9473</v>
      </c>
      <c r="E6551" t="s">
        <v>9474</v>
      </c>
      <c r="J6551" t="s">
        <v>497</v>
      </c>
      <c r="K6551" t="s">
        <v>498</v>
      </c>
      <c r="L6551">
        <v>4</v>
      </c>
      <c r="M6551" t="s">
        <v>26554</v>
      </c>
      <c r="N6551" t="s">
        <v>685</v>
      </c>
      <c r="O6551" t="s">
        <v>9477</v>
      </c>
      <c r="P6551" t="s">
        <v>9477</v>
      </c>
      <c r="Y6551" t="s">
        <v>26555</v>
      </c>
    </row>
    <row r="6552" spans="1:25">
      <c r="A6552" t="s">
        <v>26556</v>
      </c>
      <c r="B6552" t="s">
        <v>26557</v>
      </c>
      <c r="D6552" t="s">
        <v>9473</v>
      </c>
      <c r="E6552" t="s">
        <v>9474</v>
      </c>
      <c r="J6552" t="s">
        <v>497</v>
      </c>
      <c r="K6552" t="s">
        <v>498</v>
      </c>
      <c r="L6552">
        <v>5</v>
      </c>
      <c r="M6552" t="s">
        <v>26558</v>
      </c>
      <c r="N6552" t="s">
        <v>685</v>
      </c>
      <c r="O6552" t="s">
        <v>9477</v>
      </c>
      <c r="P6552" t="s">
        <v>9477</v>
      </c>
      <c r="Y6552" t="s">
        <v>26559</v>
      </c>
    </row>
    <row r="6553" spans="1:25">
      <c r="A6553" t="s">
        <v>26560</v>
      </c>
      <c r="B6553" t="s">
        <v>26561</v>
      </c>
      <c r="D6553" t="s">
        <v>9473</v>
      </c>
      <c r="E6553" t="s">
        <v>9474</v>
      </c>
      <c r="J6553" t="s">
        <v>927</v>
      </c>
      <c r="K6553" t="s">
        <v>928</v>
      </c>
      <c r="L6553">
        <v>4</v>
      </c>
      <c r="M6553" t="s">
        <v>26562</v>
      </c>
      <c r="N6553" t="s">
        <v>135</v>
      </c>
      <c r="O6553" t="s">
        <v>9477</v>
      </c>
      <c r="P6553" t="s">
        <v>9477</v>
      </c>
      <c r="Y6553" t="s">
        <v>26563</v>
      </c>
    </row>
    <row r="6554" spans="1:25">
      <c r="A6554" t="s">
        <v>26564</v>
      </c>
      <c r="B6554" t="s">
        <v>26565</v>
      </c>
      <c r="D6554" t="s">
        <v>9473</v>
      </c>
      <c r="E6554" t="s">
        <v>9474</v>
      </c>
      <c r="H6554" t="s">
        <v>26566</v>
      </c>
      <c r="J6554" t="s">
        <v>497</v>
      </c>
      <c r="K6554" t="s">
        <v>498</v>
      </c>
      <c r="L6554">
        <v>4</v>
      </c>
      <c r="M6554" t="s">
        <v>26567</v>
      </c>
      <c r="N6554" t="s">
        <v>685</v>
      </c>
      <c r="O6554" t="s">
        <v>9477</v>
      </c>
      <c r="P6554" t="s">
        <v>9477</v>
      </c>
      <c r="Y6554" t="s">
        <v>26566</v>
      </c>
    </row>
    <row r="6555" spans="1:25">
      <c r="A6555" t="s">
        <v>26568</v>
      </c>
      <c r="B6555" t="s">
        <v>26569</v>
      </c>
      <c r="D6555" t="s">
        <v>9473</v>
      </c>
      <c r="E6555" t="s">
        <v>9474</v>
      </c>
      <c r="J6555" t="s">
        <v>683</v>
      </c>
      <c r="K6555" t="s">
        <v>684</v>
      </c>
      <c r="L6555">
        <v>4</v>
      </c>
      <c r="M6555" t="s">
        <v>26570</v>
      </c>
      <c r="N6555" t="s">
        <v>685</v>
      </c>
      <c r="O6555" t="s">
        <v>9477</v>
      </c>
      <c r="P6555" t="s">
        <v>9477</v>
      </c>
      <c r="Y6555" t="s">
        <v>26571</v>
      </c>
    </row>
    <row r="6556" spans="1:25">
      <c r="A6556" t="s">
        <v>26572</v>
      </c>
      <c r="B6556" t="s">
        <v>26573</v>
      </c>
      <c r="D6556" t="s">
        <v>9473</v>
      </c>
      <c r="E6556" t="s">
        <v>9474</v>
      </c>
      <c r="J6556" t="s">
        <v>497</v>
      </c>
      <c r="K6556" t="s">
        <v>498</v>
      </c>
      <c r="L6556">
        <v>4</v>
      </c>
      <c r="M6556" t="s">
        <v>26574</v>
      </c>
      <c r="N6556" t="s">
        <v>685</v>
      </c>
      <c r="O6556" t="s">
        <v>9477</v>
      </c>
      <c r="P6556" t="s">
        <v>9477</v>
      </c>
      <c r="Y6556" t="s">
        <v>26575</v>
      </c>
    </row>
    <row r="6557" spans="1:25">
      <c r="A6557" t="s">
        <v>26576</v>
      </c>
      <c r="B6557" t="s">
        <v>26577</v>
      </c>
      <c r="D6557" t="s">
        <v>9473</v>
      </c>
      <c r="E6557" t="s">
        <v>9474</v>
      </c>
      <c r="H6557" t="s">
        <v>26578</v>
      </c>
      <c r="J6557" t="s">
        <v>9759</v>
      </c>
      <c r="K6557" t="s">
        <v>9760</v>
      </c>
      <c r="L6557">
        <v>5</v>
      </c>
      <c r="M6557" t="s">
        <v>26579</v>
      </c>
      <c r="N6557" t="s">
        <v>47</v>
      </c>
      <c r="O6557" t="s">
        <v>9477</v>
      </c>
      <c r="P6557" t="s">
        <v>9477</v>
      </c>
      <c r="Y6557" t="s">
        <v>26578</v>
      </c>
    </row>
    <row r="6558" spans="1:25">
      <c r="A6558" t="s">
        <v>26580</v>
      </c>
      <c r="B6558" t="s">
        <v>26581</v>
      </c>
      <c r="D6558" t="s">
        <v>9473</v>
      </c>
      <c r="E6558" t="s">
        <v>9474</v>
      </c>
      <c r="H6558" t="s">
        <v>26582</v>
      </c>
      <c r="J6558" t="s">
        <v>497</v>
      </c>
      <c r="K6558" t="s">
        <v>498</v>
      </c>
      <c r="L6558">
        <v>4</v>
      </c>
      <c r="M6558" t="s">
        <v>26583</v>
      </c>
      <c r="N6558" t="s">
        <v>685</v>
      </c>
      <c r="O6558" t="s">
        <v>9477</v>
      </c>
      <c r="P6558" t="s">
        <v>9477</v>
      </c>
      <c r="Y6558" t="s">
        <v>26582</v>
      </c>
    </row>
    <row r="6559" spans="1:25">
      <c r="A6559" t="s">
        <v>26584</v>
      </c>
      <c r="B6559" t="s">
        <v>26585</v>
      </c>
      <c r="D6559" t="s">
        <v>9473</v>
      </c>
      <c r="E6559" t="s">
        <v>9474</v>
      </c>
      <c r="H6559" t="s">
        <v>26586</v>
      </c>
      <c r="J6559" t="s">
        <v>497</v>
      </c>
      <c r="K6559" t="s">
        <v>498</v>
      </c>
      <c r="L6559">
        <v>4</v>
      </c>
      <c r="M6559" t="s">
        <v>26587</v>
      </c>
      <c r="N6559" t="s">
        <v>685</v>
      </c>
      <c r="O6559" t="s">
        <v>9477</v>
      </c>
      <c r="P6559" t="s">
        <v>9477</v>
      </c>
      <c r="Y6559" t="s">
        <v>26586</v>
      </c>
    </row>
    <row r="6560" spans="1:25">
      <c r="A6560" t="s">
        <v>26588</v>
      </c>
      <c r="B6560" t="s">
        <v>26589</v>
      </c>
      <c r="D6560" t="s">
        <v>9473</v>
      </c>
      <c r="E6560" t="s">
        <v>9474</v>
      </c>
      <c r="J6560" t="s">
        <v>765</v>
      </c>
      <c r="K6560" t="s">
        <v>766</v>
      </c>
      <c r="L6560">
        <v>4</v>
      </c>
      <c r="M6560" t="s">
        <v>26590</v>
      </c>
      <c r="N6560" t="s">
        <v>685</v>
      </c>
      <c r="O6560" t="s">
        <v>9477</v>
      </c>
      <c r="P6560" t="s">
        <v>9477</v>
      </c>
      <c r="Y6560" t="s">
        <v>26591</v>
      </c>
    </row>
    <row r="6561" spans="1:25">
      <c r="A6561" t="s">
        <v>26592</v>
      </c>
      <c r="B6561" t="s">
        <v>26593</v>
      </c>
      <c r="D6561" t="s">
        <v>9473</v>
      </c>
      <c r="E6561" t="s">
        <v>9474</v>
      </c>
      <c r="J6561" t="s">
        <v>497</v>
      </c>
      <c r="K6561" t="s">
        <v>498</v>
      </c>
      <c r="L6561">
        <v>4</v>
      </c>
      <c r="M6561" t="s">
        <v>26594</v>
      </c>
      <c r="N6561" t="s">
        <v>685</v>
      </c>
      <c r="O6561" t="s">
        <v>9477</v>
      </c>
      <c r="P6561" t="s">
        <v>9477</v>
      </c>
      <c r="Y6561" t="s">
        <v>26595</v>
      </c>
    </row>
    <row r="6562" spans="1:25">
      <c r="A6562" t="s">
        <v>26596</v>
      </c>
      <c r="B6562" t="s">
        <v>26597</v>
      </c>
      <c r="D6562" t="s">
        <v>9473</v>
      </c>
      <c r="E6562" t="s">
        <v>9474</v>
      </c>
      <c r="J6562" t="s">
        <v>5844</v>
      </c>
      <c r="K6562" t="s">
        <v>5845</v>
      </c>
      <c r="L6562">
        <v>4</v>
      </c>
      <c r="M6562" t="s">
        <v>26598</v>
      </c>
      <c r="N6562" t="s">
        <v>685</v>
      </c>
      <c r="O6562" t="s">
        <v>9477</v>
      </c>
      <c r="P6562" t="s">
        <v>9477</v>
      </c>
      <c r="Y6562" t="s">
        <v>26599</v>
      </c>
    </row>
    <row r="6563" spans="1:25">
      <c r="A6563" t="s">
        <v>26600</v>
      </c>
      <c r="B6563" t="s">
        <v>26601</v>
      </c>
      <c r="D6563" t="s">
        <v>9473</v>
      </c>
      <c r="E6563" t="s">
        <v>9474</v>
      </c>
      <c r="J6563" t="s">
        <v>497</v>
      </c>
      <c r="K6563" t="s">
        <v>498</v>
      </c>
      <c r="L6563">
        <v>4</v>
      </c>
      <c r="M6563" t="s">
        <v>26602</v>
      </c>
      <c r="N6563" t="s">
        <v>685</v>
      </c>
      <c r="O6563" t="s">
        <v>9477</v>
      </c>
      <c r="P6563" t="s">
        <v>9477</v>
      </c>
      <c r="Y6563" t="s">
        <v>26603</v>
      </c>
    </row>
    <row r="6564" spans="1:25">
      <c r="A6564" t="s">
        <v>26604</v>
      </c>
      <c r="B6564" t="s">
        <v>26605</v>
      </c>
      <c r="D6564" t="s">
        <v>9473</v>
      </c>
      <c r="E6564" t="s">
        <v>9474</v>
      </c>
      <c r="H6564" t="s">
        <v>26606</v>
      </c>
      <c r="J6564" t="s">
        <v>497</v>
      </c>
      <c r="K6564" t="s">
        <v>498</v>
      </c>
      <c r="L6564">
        <v>4</v>
      </c>
      <c r="M6564" t="s">
        <v>26607</v>
      </c>
      <c r="N6564" t="s">
        <v>685</v>
      </c>
      <c r="O6564" t="s">
        <v>9477</v>
      </c>
      <c r="P6564" t="s">
        <v>9477</v>
      </c>
      <c r="Y6564" t="s">
        <v>26606</v>
      </c>
    </row>
    <row r="6565" spans="1:25">
      <c r="A6565" t="s">
        <v>26608</v>
      </c>
      <c r="B6565" t="s">
        <v>26609</v>
      </c>
      <c r="D6565" t="s">
        <v>9473</v>
      </c>
      <c r="E6565" t="s">
        <v>9474</v>
      </c>
      <c r="J6565" t="s">
        <v>765</v>
      </c>
      <c r="K6565" t="s">
        <v>766</v>
      </c>
      <c r="L6565">
        <v>4</v>
      </c>
      <c r="M6565" t="s">
        <v>26610</v>
      </c>
      <c r="N6565" t="s">
        <v>290</v>
      </c>
      <c r="O6565" t="s">
        <v>9477</v>
      </c>
      <c r="P6565" t="s">
        <v>9477</v>
      </c>
      <c r="Y6565" t="s">
        <v>26611</v>
      </c>
    </row>
    <row r="6566" spans="1:25">
      <c r="A6566" t="s">
        <v>26612</v>
      </c>
      <c r="B6566" t="s">
        <v>26613</v>
      </c>
      <c r="D6566" t="s">
        <v>9473</v>
      </c>
      <c r="E6566" t="s">
        <v>9474</v>
      </c>
      <c r="J6566" t="s">
        <v>2948</v>
      </c>
      <c r="K6566" t="s">
        <v>2949</v>
      </c>
      <c r="L6566">
        <v>4</v>
      </c>
      <c r="M6566" t="s">
        <v>26614</v>
      </c>
      <c r="N6566" t="s">
        <v>685</v>
      </c>
      <c r="O6566" t="s">
        <v>9477</v>
      </c>
      <c r="P6566" t="s">
        <v>9477</v>
      </c>
      <c r="Y6566" t="s">
        <v>26615</v>
      </c>
    </row>
    <row r="6567" spans="1:25">
      <c r="A6567" t="s">
        <v>26616</v>
      </c>
      <c r="B6567" t="s">
        <v>26617</v>
      </c>
      <c r="D6567" t="s">
        <v>9473</v>
      </c>
      <c r="E6567" t="s">
        <v>9474</v>
      </c>
      <c r="J6567" t="s">
        <v>2948</v>
      </c>
      <c r="K6567" t="s">
        <v>2949</v>
      </c>
      <c r="L6567">
        <v>4</v>
      </c>
      <c r="M6567" t="s">
        <v>26618</v>
      </c>
      <c r="N6567" t="s">
        <v>290</v>
      </c>
      <c r="O6567" t="s">
        <v>9477</v>
      </c>
      <c r="P6567" t="s">
        <v>9477</v>
      </c>
      <c r="Y6567" t="s">
        <v>26619</v>
      </c>
    </row>
    <row r="6568" spans="1:25">
      <c r="A6568" t="s">
        <v>26620</v>
      </c>
      <c r="B6568" t="s">
        <v>26621</v>
      </c>
      <c r="D6568" t="s">
        <v>9473</v>
      </c>
      <c r="E6568" t="s">
        <v>9474</v>
      </c>
      <c r="J6568" t="s">
        <v>765</v>
      </c>
      <c r="K6568" t="s">
        <v>766</v>
      </c>
      <c r="L6568">
        <v>4</v>
      </c>
      <c r="M6568" t="s">
        <v>26622</v>
      </c>
      <c r="N6568" t="s">
        <v>290</v>
      </c>
      <c r="O6568" t="s">
        <v>9477</v>
      </c>
      <c r="P6568" t="s">
        <v>9477</v>
      </c>
      <c r="Y6568" t="s">
        <v>26623</v>
      </c>
    </row>
    <row r="6569" spans="1:25">
      <c r="A6569" t="s">
        <v>26624</v>
      </c>
      <c r="B6569" t="s">
        <v>26625</v>
      </c>
      <c r="D6569" t="s">
        <v>9473</v>
      </c>
      <c r="E6569" t="s">
        <v>9474</v>
      </c>
      <c r="J6569" t="s">
        <v>497</v>
      </c>
      <c r="K6569" t="s">
        <v>498</v>
      </c>
      <c r="L6569">
        <v>4</v>
      </c>
      <c r="M6569" t="s">
        <v>26626</v>
      </c>
      <c r="N6569" t="s">
        <v>135</v>
      </c>
      <c r="O6569" t="s">
        <v>9477</v>
      </c>
      <c r="P6569" t="s">
        <v>9477</v>
      </c>
      <c r="Y6569" t="s">
        <v>26627</v>
      </c>
    </row>
    <row r="6570" spans="1:25">
      <c r="A6570" t="s">
        <v>26628</v>
      </c>
      <c r="B6570" t="s">
        <v>26629</v>
      </c>
      <c r="D6570" t="s">
        <v>9473</v>
      </c>
      <c r="E6570" t="s">
        <v>9474</v>
      </c>
      <c r="H6570" t="s">
        <v>26630</v>
      </c>
      <c r="J6570" t="s">
        <v>497</v>
      </c>
      <c r="K6570" t="s">
        <v>498</v>
      </c>
      <c r="L6570">
        <v>4</v>
      </c>
      <c r="M6570" t="s">
        <v>26631</v>
      </c>
      <c r="N6570" t="s">
        <v>135</v>
      </c>
      <c r="O6570" t="s">
        <v>9477</v>
      </c>
      <c r="P6570" t="s">
        <v>9477</v>
      </c>
      <c r="Y6570" t="s">
        <v>26630</v>
      </c>
    </row>
    <row r="6571" spans="1:25">
      <c r="A6571" t="s">
        <v>26632</v>
      </c>
      <c r="B6571" t="s">
        <v>26633</v>
      </c>
      <c r="D6571" t="s">
        <v>9473</v>
      </c>
      <c r="E6571" t="s">
        <v>9474</v>
      </c>
      <c r="J6571" t="s">
        <v>1571</v>
      </c>
      <c r="K6571" t="s">
        <v>1572</v>
      </c>
      <c r="L6571">
        <v>5</v>
      </c>
      <c r="M6571" t="s">
        <v>26634</v>
      </c>
      <c r="N6571" t="s">
        <v>685</v>
      </c>
      <c r="O6571" t="s">
        <v>9477</v>
      </c>
      <c r="P6571" t="s">
        <v>9477</v>
      </c>
      <c r="Y6571" t="s">
        <v>26635</v>
      </c>
    </row>
    <row r="6572" spans="1:25">
      <c r="A6572" t="s">
        <v>26636</v>
      </c>
      <c r="B6572" t="s">
        <v>26637</v>
      </c>
      <c r="D6572" t="s">
        <v>9473</v>
      </c>
      <c r="E6572" t="s">
        <v>9474</v>
      </c>
      <c r="J6572" t="s">
        <v>497</v>
      </c>
      <c r="K6572" t="s">
        <v>498</v>
      </c>
      <c r="L6572">
        <v>4</v>
      </c>
      <c r="M6572" t="s">
        <v>26638</v>
      </c>
      <c r="N6572" t="s">
        <v>685</v>
      </c>
      <c r="O6572" t="s">
        <v>9477</v>
      </c>
      <c r="P6572" t="s">
        <v>9477</v>
      </c>
      <c r="Y6572" t="s">
        <v>26639</v>
      </c>
    </row>
    <row r="6573" spans="1:25">
      <c r="A6573" t="s">
        <v>26640</v>
      </c>
      <c r="B6573" t="s">
        <v>26641</v>
      </c>
      <c r="D6573" t="s">
        <v>9473</v>
      </c>
      <c r="E6573" t="s">
        <v>9474</v>
      </c>
      <c r="H6573" t="s">
        <v>26642</v>
      </c>
      <c r="J6573" t="s">
        <v>765</v>
      </c>
      <c r="K6573" t="s">
        <v>766</v>
      </c>
      <c r="L6573">
        <v>4</v>
      </c>
      <c r="M6573" t="s">
        <v>26643</v>
      </c>
      <c r="N6573" t="s">
        <v>290</v>
      </c>
      <c r="O6573" t="s">
        <v>9477</v>
      </c>
      <c r="P6573" t="s">
        <v>9477</v>
      </c>
      <c r="Y6573" t="s">
        <v>26642</v>
      </c>
    </row>
    <row r="6574" spans="1:25">
      <c r="A6574" t="s">
        <v>26644</v>
      </c>
      <c r="B6574" t="s">
        <v>26645</v>
      </c>
      <c r="D6574" t="s">
        <v>9473</v>
      </c>
      <c r="E6574" t="s">
        <v>9474</v>
      </c>
      <c r="J6574" t="s">
        <v>683</v>
      </c>
      <c r="K6574" t="s">
        <v>684</v>
      </c>
      <c r="L6574">
        <v>4</v>
      </c>
      <c r="M6574" t="s">
        <v>26646</v>
      </c>
      <c r="N6574" t="s">
        <v>290</v>
      </c>
      <c r="O6574" t="s">
        <v>9477</v>
      </c>
      <c r="P6574" t="s">
        <v>9477</v>
      </c>
      <c r="Y6574" t="s">
        <v>26647</v>
      </c>
    </row>
    <row r="6575" spans="1:25">
      <c r="A6575" t="s">
        <v>26648</v>
      </c>
      <c r="B6575" t="s">
        <v>26649</v>
      </c>
      <c r="D6575" t="s">
        <v>9473</v>
      </c>
      <c r="E6575" t="s">
        <v>9474</v>
      </c>
      <c r="J6575" t="s">
        <v>765</v>
      </c>
      <c r="K6575" t="s">
        <v>766</v>
      </c>
      <c r="L6575">
        <v>4</v>
      </c>
      <c r="M6575" t="s">
        <v>26650</v>
      </c>
      <c r="N6575" t="s">
        <v>685</v>
      </c>
      <c r="O6575" t="s">
        <v>9477</v>
      </c>
      <c r="P6575" t="s">
        <v>9477</v>
      </c>
      <c r="Y6575" t="s">
        <v>26651</v>
      </c>
    </row>
    <row r="6576" spans="1:25">
      <c r="A6576" t="s">
        <v>26652</v>
      </c>
      <c r="B6576" t="s">
        <v>26653</v>
      </c>
      <c r="D6576" t="s">
        <v>9473</v>
      </c>
      <c r="E6576" t="s">
        <v>9474</v>
      </c>
      <c r="H6576" t="s">
        <v>26654</v>
      </c>
      <c r="J6576" t="s">
        <v>133</v>
      </c>
      <c r="K6576" t="s">
        <v>134</v>
      </c>
      <c r="L6576">
        <v>9</v>
      </c>
      <c r="M6576" t="s">
        <v>26655</v>
      </c>
      <c r="N6576" t="s">
        <v>685</v>
      </c>
      <c r="O6576" t="s">
        <v>9477</v>
      </c>
      <c r="P6576" t="s">
        <v>9477</v>
      </c>
      <c r="Y6576" t="s">
        <v>26654</v>
      </c>
    </row>
    <row r="6577" spans="1:25">
      <c r="A6577" t="s">
        <v>26656</v>
      </c>
      <c r="B6577" t="s">
        <v>26657</v>
      </c>
      <c r="D6577" t="s">
        <v>9473</v>
      </c>
      <c r="E6577" t="s">
        <v>9474</v>
      </c>
      <c r="J6577" t="s">
        <v>497</v>
      </c>
      <c r="K6577" t="s">
        <v>498</v>
      </c>
      <c r="L6577">
        <v>4</v>
      </c>
      <c r="M6577" t="s">
        <v>26658</v>
      </c>
      <c r="N6577" t="s">
        <v>685</v>
      </c>
      <c r="O6577" t="s">
        <v>9477</v>
      </c>
      <c r="P6577" t="s">
        <v>9477</v>
      </c>
      <c r="Y6577" t="s">
        <v>26659</v>
      </c>
    </row>
    <row r="6578" spans="1:25">
      <c r="A6578" t="s">
        <v>26660</v>
      </c>
      <c r="B6578" t="s">
        <v>26661</v>
      </c>
      <c r="D6578" t="s">
        <v>9473</v>
      </c>
      <c r="E6578" t="s">
        <v>9474</v>
      </c>
      <c r="H6578" t="s">
        <v>26662</v>
      </c>
      <c r="J6578" t="s">
        <v>497</v>
      </c>
      <c r="K6578" t="s">
        <v>498</v>
      </c>
      <c r="L6578">
        <v>4</v>
      </c>
      <c r="M6578" t="s">
        <v>26663</v>
      </c>
      <c r="N6578" t="s">
        <v>685</v>
      </c>
      <c r="O6578" t="s">
        <v>9477</v>
      </c>
      <c r="P6578" t="s">
        <v>9477</v>
      </c>
      <c r="Y6578" t="s">
        <v>26662</v>
      </c>
    </row>
    <row r="6579" spans="1:25">
      <c r="A6579" t="s">
        <v>26664</v>
      </c>
      <c r="B6579" t="s">
        <v>26665</v>
      </c>
      <c r="D6579" t="s">
        <v>9473</v>
      </c>
      <c r="E6579" t="s">
        <v>9474</v>
      </c>
      <c r="J6579" t="s">
        <v>497</v>
      </c>
      <c r="K6579" t="s">
        <v>498</v>
      </c>
      <c r="L6579">
        <v>4</v>
      </c>
      <c r="M6579" t="s">
        <v>26666</v>
      </c>
      <c r="N6579" t="s">
        <v>685</v>
      </c>
      <c r="O6579" t="s">
        <v>9477</v>
      </c>
      <c r="P6579" t="s">
        <v>9477</v>
      </c>
      <c r="Y6579" t="s">
        <v>26667</v>
      </c>
    </row>
    <row r="6580" spans="1:25">
      <c r="A6580" t="s">
        <v>26668</v>
      </c>
      <c r="B6580" t="s">
        <v>26669</v>
      </c>
      <c r="D6580" t="s">
        <v>9473</v>
      </c>
      <c r="E6580" t="s">
        <v>9474</v>
      </c>
      <c r="J6580" t="s">
        <v>390</v>
      </c>
      <c r="K6580" t="s">
        <v>390</v>
      </c>
      <c r="L6580">
        <v>4</v>
      </c>
      <c r="M6580" t="s">
        <v>26670</v>
      </c>
      <c r="N6580" t="s">
        <v>685</v>
      </c>
      <c r="O6580" t="s">
        <v>9477</v>
      </c>
      <c r="P6580" t="s">
        <v>9477</v>
      </c>
      <c r="Y6580" t="s">
        <v>26671</v>
      </c>
    </row>
    <row r="6581" spans="1:25">
      <c r="A6581" t="s">
        <v>26672</v>
      </c>
      <c r="B6581" t="s">
        <v>26673</v>
      </c>
      <c r="D6581" t="s">
        <v>9473</v>
      </c>
      <c r="E6581" t="s">
        <v>9474</v>
      </c>
      <c r="J6581" t="s">
        <v>497</v>
      </c>
      <c r="K6581" t="s">
        <v>498</v>
      </c>
      <c r="L6581">
        <v>4</v>
      </c>
      <c r="M6581" t="s">
        <v>26674</v>
      </c>
      <c r="N6581" t="s">
        <v>685</v>
      </c>
      <c r="O6581" t="s">
        <v>9477</v>
      </c>
      <c r="P6581" t="s">
        <v>9477</v>
      </c>
      <c r="Y6581" t="s">
        <v>26675</v>
      </c>
    </row>
    <row r="6582" spans="1:25">
      <c r="A6582" t="s">
        <v>26676</v>
      </c>
      <c r="B6582" t="s">
        <v>26677</v>
      </c>
      <c r="D6582" t="s">
        <v>9473</v>
      </c>
      <c r="E6582" t="s">
        <v>9474</v>
      </c>
      <c r="J6582" t="s">
        <v>927</v>
      </c>
      <c r="K6582" t="s">
        <v>928</v>
      </c>
      <c r="L6582">
        <v>4</v>
      </c>
      <c r="M6582" t="s">
        <v>26678</v>
      </c>
      <c r="N6582" t="s">
        <v>135</v>
      </c>
      <c r="O6582" t="s">
        <v>9477</v>
      </c>
      <c r="P6582" t="s">
        <v>9477</v>
      </c>
      <c r="Y6582" t="s">
        <v>26679</v>
      </c>
    </row>
    <row r="6583" spans="1:25">
      <c r="A6583" t="s">
        <v>26680</v>
      </c>
      <c r="B6583" t="s">
        <v>26681</v>
      </c>
      <c r="D6583" t="s">
        <v>9473</v>
      </c>
      <c r="E6583" t="s">
        <v>9474</v>
      </c>
      <c r="J6583" t="s">
        <v>497</v>
      </c>
      <c r="K6583" t="s">
        <v>498</v>
      </c>
      <c r="L6583">
        <v>4</v>
      </c>
      <c r="M6583" t="s">
        <v>26682</v>
      </c>
      <c r="N6583" t="s">
        <v>135</v>
      </c>
      <c r="O6583" t="s">
        <v>9477</v>
      </c>
      <c r="P6583" t="s">
        <v>9477</v>
      </c>
      <c r="Y6583" t="s">
        <v>26683</v>
      </c>
    </row>
    <row r="6584" spans="1:25">
      <c r="A6584" t="s">
        <v>26684</v>
      </c>
      <c r="B6584" t="s">
        <v>26685</v>
      </c>
      <c r="D6584" t="s">
        <v>9473</v>
      </c>
      <c r="E6584" t="s">
        <v>9474</v>
      </c>
      <c r="H6584" t="s">
        <v>26686</v>
      </c>
      <c r="J6584" t="s">
        <v>927</v>
      </c>
      <c r="K6584" t="s">
        <v>928</v>
      </c>
      <c r="L6584">
        <v>4</v>
      </c>
      <c r="M6584" t="s">
        <v>26687</v>
      </c>
      <c r="N6584" t="s">
        <v>135</v>
      </c>
      <c r="O6584" t="s">
        <v>9477</v>
      </c>
      <c r="P6584" t="s">
        <v>9477</v>
      </c>
      <c r="Y6584" t="s">
        <v>26686</v>
      </c>
    </row>
    <row r="6585" spans="1:25">
      <c r="A6585" t="s">
        <v>26688</v>
      </c>
      <c r="B6585" t="s">
        <v>26689</v>
      </c>
      <c r="D6585" t="s">
        <v>9473</v>
      </c>
      <c r="E6585" t="s">
        <v>9474</v>
      </c>
      <c r="J6585" t="s">
        <v>927</v>
      </c>
      <c r="K6585" t="s">
        <v>928</v>
      </c>
      <c r="L6585">
        <v>4</v>
      </c>
      <c r="M6585" t="s">
        <v>26687</v>
      </c>
      <c r="N6585" t="s">
        <v>685</v>
      </c>
      <c r="O6585" t="s">
        <v>9477</v>
      </c>
      <c r="P6585" t="s">
        <v>9477</v>
      </c>
      <c r="Y6585" t="s">
        <v>26690</v>
      </c>
    </row>
    <row r="6586" spans="1:25">
      <c r="A6586" t="s">
        <v>26691</v>
      </c>
      <c r="B6586" t="s">
        <v>26692</v>
      </c>
      <c r="D6586" t="s">
        <v>9473</v>
      </c>
      <c r="E6586" t="s">
        <v>9474</v>
      </c>
      <c r="H6586" t="s">
        <v>26693</v>
      </c>
      <c r="J6586" t="s">
        <v>927</v>
      </c>
      <c r="K6586" t="s">
        <v>928</v>
      </c>
      <c r="L6586">
        <v>5</v>
      </c>
      <c r="M6586" t="s">
        <v>26694</v>
      </c>
      <c r="N6586" t="s">
        <v>685</v>
      </c>
      <c r="O6586" t="s">
        <v>9477</v>
      </c>
      <c r="P6586" t="s">
        <v>9477</v>
      </c>
      <c r="Y6586" t="s">
        <v>26693</v>
      </c>
    </row>
    <row r="6587" spans="1:25">
      <c r="A6587" t="s">
        <v>26695</v>
      </c>
      <c r="B6587" t="s">
        <v>26696</v>
      </c>
      <c r="D6587" t="s">
        <v>9473</v>
      </c>
      <c r="E6587" t="s">
        <v>9474</v>
      </c>
      <c r="H6587" t="s">
        <v>26697</v>
      </c>
      <c r="J6587" t="s">
        <v>927</v>
      </c>
      <c r="K6587" t="s">
        <v>928</v>
      </c>
      <c r="L6587">
        <v>4</v>
      </c>
      <c r="M6587" t="s">
        <v>26698</v>
      </c>
      <c r="N6587" t="s">
        <v>685</v>
      </c>
      <c r="O6587" t="s">
        <v>9477</v>
      </c>
      <c r="P6587" t="s">
        <v>9477</v>
      </c>
      <c r="Y6587" t="s">
        <v>26697</v>
      </c>
    </row>
    <row r="6588" spans="1:25">
      <c r="A6588" t="s">
        <v>26699</v>
      </c>
      <c r="B6588" t="s">
        <v>26700</v>
      </c>
      <c r="D6588" t="s">
        <v>9473</v>
      </c>
      <c r="E6588" t="s">
        <v>9474</v>
      </c>
      <c r="J6588" t="s">
        <v>497</v>
      </c>
      <c r="K6588" t="s">
        <v>498</v>
      </c>
      <c r="L6588">
        <v>5</v>
      </c>
      <c r="M6588" t="s">
        <v>26701</v>
      </c>
      <c r="N6588" t="s">
        <v>685</v>
      </c>
      <c r="O6588" t="s">
        <v>9477</v>
      </c>
      <c r="P6588" t="s">
        <v>9477</v>
      </c>
      <c r="Y6588" t="s">
        <v>26702</v>
      </c>
    </row>
    <row r="6589" spans="1:25">
      <c r="A6589" t="s">
        <v>26703</v>
      </c>
      <c r="B6589" t="s">
        <v>26704</v>
      </c>
      <c r="D6589" t="s">
        <v>9473</v>
      </c>
      <c r="E6589" t="s">
        <v>9474</v>
      </c>
      <c r="H6589" t="s">
        <v>26705</v>
      </c>
      <c r="J6589" t="s">
        <v>927</v>
      </c>
      <c r="K6589" t="s">
        <v>928</v>
      </c>
      <c r="L6589">
        <v>4</v>
      </c>
      <c r="M6589" t="s">
        <v>26706</v>
      </c>
      <c r="N6589" t="s">
        <v>135</v>
      </c>
      <c r="O6589" t="s">
        <v>9477</v>
      </c>
      <c r="P6589" t="s">
        <v>9477</v>
      </c>
      <c r="Y6589" t="s">
        <v>26705</v>
      </c>
    </row>
    <row r="6590" spans="1:25">
      <c r="A6590" t="s">
        <v>26707</v>
      </c>
      <c r="B6590" t="s">
        <v>26708</v>
      </c>
      <c r="D6590" t="s">
        <v>9473</v>
      </c>
      <c r="E6590" t="s">
        <v>9474</v>
      </c>
      <c r="J6590" t="s">
        <v>497</v>
      </c>
      <c r="K6590" t="s">
        <v>498</v>
      </c>
      <c r="L6590">
        <v>4</v>
      </c>
      <c r="M6590" t="s">
        <v>26709</v>
      </c>
      <c r="N6590" t="s">
        <v>135</v>
      </c>
      <c r="O6590" t="s">
        <v>9477</v>
      </c>
      <c r="P6590" t="s">
        <v>9477</v>
      </c>
      <c r="Y6590" t="s">
        <v>26710</v>
      </c>
    </row>
    <row r="6591" spans="1:25">
      <c r="A6591" t="s">
        <v>26711</v>
      </c>
      <c r="B6591" t="s">
        <v>26712</v>
      </c>
      <c r="D6591" t="s">
        <v>9473</v>
      </c>
      <c r="E6591" t="s">
        <v>9474</v>
      </c>
      <c r="J6591" t="s">
        <v>497</v>
      </c>
      <c r="K6591" t="s">
        <v>498</v>
      </c>
      <c r="L6591">
        <v>4</v>
      </c>
      <c r="M6591" t="s">
        <v>26713</v>
      </c>
      <c r="N6591" t="s">
        <v>685</v>
      </c>
      <c r="O6591" t="s">
        <v>9477</v>
      </c>
      <c r="P6591" t="s">
        <v>9477</v>
      </c>
      <c r="Y6591" t="s">
        <v>26714</v>
      </c>
    </row>
    <row r="6592" spans="1:25">
      <c r="A6592" t="s">
        <v>26715</v>
      </c>
      <c r="B6592" t="s">
        <v>26716</v>
      </c>
      <c r="D6592" t="s">
        <v>9473</v>
      </c>
      <c r="E6592" t="s">
        <v>9474</v>
      </c>
      <c r="H6592" t="s">
        <v>26717</v>
      </c>
      <c r="J6592" t="s">
        <v>9759</v>
      </c>
      <c r="K6592" t="s">
        <v>9760</v>
      </c>
      <c r="L6592">
        <v>5</v>
      </c>
      <c r="M6592" t="s">
        <v>26718</v>
      </c>
      <c r="N6592" t="s">
        <v>47</v>
      </c>
      <c r="O6592" t="s">
        <v>9477</v>
      </c>
      <c r="P6592" t="s">
        <v>9477</v>
      </c>
      <c r="Y6592" t="s">
        <v>26717</v>
      </c>
    </row>
    <row r="6593" spans="1:25">
      <c r="A6593" t="s">
        <v>26719</v>
      </c>
      <c r="B6593" t="s">
        <v>26720</v>
      </c>
      <c r="D6593" t="s">
        <v>9473</v>
      </c>
      <c r="E6593" t="s">
        <v>9474</v>
      </c>
      <c r="J6593" t="s">
        <v>9759</v>
      </c>
      <c r="K6593" t="s">
        <v>9760</v>
      </c>
      <c r="L6593">
        <v>5</v>
      </c>
      <c r="M6593" t="s">
        <v>26721</v>
      </c>
      <c r="N6593" t="s">
        <v>47</v>
      </c>
      <c r="O6593" t="s">
        <v>9477</v>
      </c>
      <c r="P6593" t="s">
        <v>9477</v>
      </c>
      <c r="Y6593" t="s">
        <v>26722</v>
      </c>
    </row>
    <row r="6594" spans="1:25">
      <c r="A6594" t="s">
        <v>26723</v>
      </c>
      <c r="B6594" t="s">
        <v>26724</v>
      </c>
      <c r="D6594" t="s">
        <v>9473</v>
      </c>
      <c r="E6594" t="s">
        <v>9474</v>
      </c>
      <c r="J6594" t="s">
        <v>497</v>
      </c>
      <c r="K6594" t="s">
        <v>498</v>
      </c>
      <c r="L6594">
        <v>4</v>
      </c>
      <c r="M6594" t="s">
        <v>26725</v>
      </c>
      <c r="N6594" t="s">
        <v>685</v>
      </c>
      <c r="O6594" t="s">
        <v>9477</v>
      </c>
      <c r="P6594" t="s">
        <v>9477</v>
      </c>
      <c r="Y6594" t="s">
        <v>26726</v>
      </c>
    </row>
    <row r="6595" spans="1:25">
      <c r="A6595" t="s">
        <v>26727</v>
      </c>
      <c r="B6595" t="s">
        <v>26728</v>
      </c>
      <c r="D6595" t="s">
        <v>9473</v>
      </c>
      <c r="E6595" t="s">
        <v>9474</v>
      </c>
      <c r="J6595" t="s">
        <v>5844</v>
      </c>
      <c r="K6595" t="s">
        <v>5845</v>
      </c>
      <c r="L6595">
        <v>4</v>
      </c>
      <c r="M6595" t="s">
        <v>26729</v>
      </c>
      <c r="N6595" t="s">
        <v>135</v>
      </c>
      <c r="O6595" t="s">
        <v>9477</v>
      </c>
      <c r="P6595" t="s">
        <v>9477</v>
      </c>
      <c r="Y6595" t="s">
        <v>26730</v>
      </c>
    </row>
    <row r="6596" spans="1:25">
      <c r="A6596" t="s">
        <v>26731</v>
      </c>
      <c r="B6596" t="s">
        <v>26732</v>
      </c>
      <c r="D6596" t="s">
        <v>9473</v>
      </c>
      <c r="E6596" t="s">
        <v>9474</v>
      </c>
      <c r="H6596" t="s">
        <v>26733</v>
      </c>
      <c r="J6596" t="s">
        <v>5844</v>
      </c>
      <c r="K6596" t="s">
        <v>5845</v>
      </c>
      <c r="L6596">
        <v>5</v>
      </c>
      <c r="M6596" t="s">
        <v>26734</v>
      </c>
      <c r="N6596" t="s">
        <v>135</v>
      </c>
      <c r="O6596" t="s">
        <v>9477</v>
      </c>
      <c r="P6596" t="s">
        <v>9477</v>
      </c>
      <c r="Y6596" t="s">
        <v>26733</v>
      </c>
    </row>
    <row r="6597" spans="1:25">
      <c r="A6597" t="s">
        <v>26735</v>
      </c>
      <c r="B6597" t="s">
        <v>26736</v>
      </c>
      <c r="D6597" t="s">
        <v>9473</v>
      </c>
      <c r="E6597" t="s">
        <v>9474</v>
      </c>
      <c r="J6597" t="s">
        <v>9759</v>
      </c>
      <c r="K6597" t="s">
        <v>9760</v>
      </c>
      <c r="L6597">
        <v>5</v>
      </c>
      <c r="M6597" t="s">
        <v>26737</v>
      </c>
      <c r="N6597" t="s">
        <v>47</v>
      </c>
      <c r="O6597" t="s">
        <v>9477</v>
      </c>
      <c r="P6597" t="s">
        <v>9477</v>
      </c>
      <c r="Y6597" t="s">
        <v>26738</v>
      </c>
    </row>
    <row r="6598" spans="1:25">
      <c r="A6598" t="s">
        <v>26739</v>
      </c>
      <c r="B6598" t="s">
        <v>26740</v>
      </c>
      <c r="D6598" t="s">
        <v>9473</v>
      </c>
      <c r="E6598" t="s">
        <v>9474</v>
      </c>
      <c r="H6598" t="s">
        <v>26741</v>
      </c>
      <c r="J6598" t="s">
        <v>353</v>
      </c>
      <c r="K6598" t="s">
        <v>354</v>
      </c>
      <c r="L6598">
        <v>6</v>
      </c>
      <c r="M6598" t="s">
        <v>26742</v>
      </c>
      <c r="N6598" t="s">
        <v>135</v>
      </c>
      <c r="O6598" t="s">
        <v>9477</v>
      </c>
      <c r="P6598" t="s">
        <v>9477</v>
      </c>
      <c r="Y6598" t="s">
        <v>26741</v>
      </c>
    </row>
    <row r="6599" spans="1:25">
      <c r="A6599" t="s">
        <v>26743</v>
      </c>
      <c r="B6599" t="s">
        <v>26744</v>
      </c>
      <c r="D6599" t="s">
        <v>9473</v>
      </c>
      <c r="E6599" t="s">
        <v>9474</v>
      </c>
      <c r="J6599" t="s">
        <v>765</v>
      </c>
      <c r="K6599" t="s">
        <v>766</v>
      </c>
      <c r="L6599">
        <v>4</v>
      </c>
      <c r="M6599" t="s">
        <v>26745</v>
      </c>
      <c r="N6599" t="s">
        <v>685</v>
      </c>
      <c r="O6599" t="s">
        <v>9477</v>
      </c>
      <c r="P6599" t="s">
        <v>9477</v>
      </c>
      <c r="Y6599" t="s">
        <v>26746</v>
      </c>
    </row>
    <row r="6600" spans="1:25">
      <c r="A6600" t="s">
        <v>26747</v>
      </c>
      <c r="B6600" t="s">
        <v>26748</v>
      </c>
      <c r="D6600" t="s">
        <v>9473</v>
      </c>
      <c r="E6600" t="s">
        <v>9474</v>
      </c>
      <c r="H6600" t="s">
        <v>26749</v>
      </c>
      <c r="J6600" t="s">
        <v>765</v>
      </c>
      <c r="K6600" t="s">
        <v>766</v>
      </c>
      <c r="L6600">
        <v>4</v>
      </c>
      <c r="M6600" t="s">
        <v>26750</v>
      </c>
      <c r="N6600" t="s">
        <v>685</v>
      </c>
      <c r="O6600" t="s">
        <v>9477</v>
      </c>
      <c r="P6600" t="s">
        <v>9477</v>
      </c>
      <c r="Y6600" t="s">
        <v>26749</v>
      </c>
    </row>
    <row r="6601" spans="1:25">
      <c r="A6601" t="s">
        <v>26751</v>
      </c>
      <c r="B6601" t="s">
        <v>26752</v>
      </c>
      <c r="D6601" t="s">
        <v>9473</v>
      </c>
      <c r="E6601" t="s">
        <v>9474</v>
      </c>
      <c r="J6601" t="s">
        <v>497</v>
      </c>
      <c r="K6601" t="s">
        <v>498</v>
      </c>
      <c r="L6601">
        <v>4</v>
      </c>
      <c r="M6601" t="s">
        <v>26753</v>
      </c>
      <c r="N6601" t="s">
        <v>685</v>
      </c>
      <c r="O6601" t="s">
        <v>9477</v>
      </c>
      <c r="P6601" t="s">
        <v>9477</v>
      </c>
      <c r="Y6601" t="s">
        <v>26754</v>
      </c>
    </row>
    <row r="6602" spans="1:25">
      <c r="A6602" t="s">
        <v>26755</v>
      </c>
      <c r="B6602" t="s">
        <v>26756</v>
      </c>
      <c r="D6602" t="s">
        <v>9473</v>
      </c>
      <c r="E6602" t="s">
        <v>9474</v>
      </c>
      <c r="J6602" t="s">
        <v>9759</v>
      </c>
      <c r="K6602" t="s">
        <v>9760</v>
      </c>
      <c r="L6602">
        <v>5</v>
      </c>
      <c r="M6602" t="s">
        <v>26757</v>
      </c>
      <c r="N6602" t="s">
        <v>47</v>
      </c>
      <c r="O6602" t="s">
        <v>9477</v>
      </c>
      <c r="P6602" t="s">
        <v>9477</v>
      </c>
      <c r="Y6602" t="s">
        <v>26758</v>
      </c>
    </row>
    <row r="6603" spans="1:25">
      <c r="A6603" t="s">
        <v>26759</v>
      </c>
      <c r="B6603" t="s">
        <v>26760</v>
      </c>
      <c r="D6603" t="s">
        <v>9473</v>
      </c>
      <c r="E6603" t="s">
        <v>9474</v>
      </c>
      <c r="J6603" t="s">
        <v>9759</v>
      </c>
      <c r="K6603" t="s">
        <v>9760</v>
      </c>
      <c r="L6603">
        <v>5</v>
      </c>
      <c r="M6603" t="s">
        <v>26761</v>
      </c>
      <c r="N6603" t="s">
        <v>685</v>
      </c>
      <c r="O6603" t="s">
        <v>9477</v>
      </c>
      <c r="P6603" t="s">
        <v>9477</v>
      </c>
      <c r="Y6603" t="s">
        <v>26762</v>
      </c>
    </row>
    <row r="6604" spans="1:25">
      <c r="A6604" t="s">
        <v>26763</v>
      </c>
      <c r="B6604" t="s">
        <v>26764</v>
      </c>
      <c r="D6604" t="s">
        <v>9473</v>
      </c>
      <c r="E6604" t="s">
        <v>9474</v>
      </c>
      <c r="J6604" t="s">
        <v>497</v>
      </c>
      <c r="K6604" t="s">
        <v>498</v>
      </c>
      <c r="L6604">
        <v>4</v>
      </c>
      <c r="M6604" t="s">
        <v>26765</v>
      </c>
      <c r="N6604" t="s">
        <v>685</v>
      </c>
      <c r="O6604" t="s">
        <v>9477</v>
      </c>
      <c r="P6604" t="s">
        <v>9477</v>
      </c>
      <c r="Y6604" t="s">
        <v>26766</v>
      </c>
    </row>
    <row r="6605" spans="1:25">
      <c r="A6605" t="s">
        <v>26767</v>
      </c>
      <c r="B6605" t="s">
        <v>26768</v>
      </c>
      <c r="D6605" t="s">
        <v>9473</v>
      </c>
      <c r="E6605" t="s">
        <v>9474</v>
      </c>
      <c r="J6605" t="s">
        <v>497</v>
      </c>
      <c r="K6605" t="s">
        <v>498</v>
      </c>
      <c r="L6605">
        <v>4</v>
      </c>
      <c r="M6605" t="s">
        <v>26769</v>
      </c>
      <c r="N6605" t="s">
        <v>685</v>
      </c>
      <c r="O6605" t="s">
        <v>9477</v>
      </c>
      <c r="P6605" t="s">
        <v>9477</v>
      </c>
      <c r="Y6605" t="s">
        <v>26770</v>
      </c>
    </row>
    <row r="6606" spans="1:25">
      <c r="A6606" t="s">
        <v>26771</v>
      </c>
      <c r="B6606" t="s">
        <v>26772</v>
      </c>
      <c r="D6606" t="s">
        <v>9473</v>
      </c>
      <c r="E6606" t="s">
        <v>9474</v>
      </c>
      <c r="J6606" t="s">
        <v>5844</v>
      </c>
      <c r="K6606" t="s">
        <v>5845</v>
      </c>
      <c r="L6606">
        <v>4</v>
      </c>
      <c r="M6606" t="s">
        <v>26773</v>
      </c>
      <c r="N6606" t="s">
        <v>135</v>
      </c>
      <c r="O6606" t="s">
        <v>9477</v>
      </c>
      <c r="P6606" t="s">
        <v>9477</v>
      </c>
      <c r="Y6606" t="s">
        <v>26774</v>
      </c>
    </row>
    <row r="6607" spans="1:25">
      <c r="A6607" t="s">
        <v>26775</v>
      </c>
      <c r="B6607" t="s">
        <v>26776</v>
      </c>
      <c r="D6607" t="s">
        <v>9473</v>
      </c>
      <c r="E6607" t="s">
        <v>9474</v>
      </c>
      <c r="H6607" t="s">
        <v>26777</v>
      </c>
      <c r="J6607" t="s">
        <v>497</v>
      </c>
      <c r="K6607" t="s">
        <v>498</v>
      </c>
      <c r="L6607">
        <v>5</v>
      </c>
      <c r="M6607" t="s">
        <v>26778</v>
      </c>
      <c r="N6607" t="s">
        <v>135</v>
      </c>
      <c r="O6607" t="s">
        <v>9477</v>
      </c>
      <c r="P6607" t="s">
        <v>9477</v>
      </c>
      <c r="Y6607" t="s">
        <v>26777</v>
      </c>
    </row>
    <row r="6608" spans="1:25">
      <c r="A6608" t="s">
        <v>26779</v>
      </c>
      <c r="B6608" t="s">
        <v>26780</v>
      </c>
      <c r="D6608" t="s">
        <v>9473</v>
      </c>
      <c r="E6608" t="s">
        <v>9474</v>
      </c>
      <c r="J6608" t="s">
        <v>765</v>
      </c>
      <c r="K6608" t="s">
        <v>766</v>
      </c>
      <c r="L6608">
        <v>4</v>
      </c>
      <c r="M6608" t="s">
        <v>26781</v>
      </c>
      <c r="N6608" t="s">
        <v>685</v>
      </c>
      <c r="O6608" t="s">
        <v>9477</v>
      </c>
      <c r="P6608" t="s">
        <v>9477</v>
      </c>
      <c r="Y6608" t="s">
        <v>26782</v>
      </c>
    </row>
    <row r="6609" spans="1:25">
      <c r="A6609" t="s">
        <v>26783</v>
      </c>
      <c r="B6609" t="s">
        <v>26784</v>
      </c>
      <c r="D6609" t="s">
        <v>9473</v>
      </c>
      <c r="E6609" t="s">
        <v>9474</v>
      </c>
      <c r="J6609" t="s">
        <v>9759</v>
      </c>
      <c r="K6609" t="s">
        <v>9760</v>
      </c>
      <c r="L6609">
        <v>5</v>
      </c>
      <c r="M6609" t="s">
        <v>26785</v>
      </c>
      <c r="N6609" t="s">
        <v>47</v>
      </c>
      <c r="O6609" t="s">
        <v>9477</v>
      </c>
      <c r="P6609" t="s">
        <v>9477</v>
      </c>
      <c r="Y6609" t="s">
        <v>26786</v>
      </c>
    </row>
    <row r="6610" spans="1:25">
      <c r="A6610" t="s">
        <v>26787</v>
      </c>
      <c r="B6610" t="s">
        <v>26788</v>
      </c>
      <c r="D6610" t="s">
        <v>9473</v>
      </c>
      <c r="E6610" t="s">
        <v>9474</v>
      </c>
      <c r="H6610" t="s">
        <v>26789</v>
      </c>
      <c r="J6610" t="s">
        <v>497</v>
      </c>
      <c r="K6610" t="s">
        <v>498</v>
      </c>
      <c r="L6610">
        <v>3</v>
      </c>
      <c r="M6610" t="s">
        <v>26790</v>
      </c>
      <c r="N6610" t="s">
        <v>685</v>
      </c>
      <c r="O6610" t="s">
        <v>9477</v>
      </c>
      <c r="P6610" t="s">
        <v>9477</v>
      </c>
      <c r="Y6610" t="s">
        <v>26789</v>
      </c>
    </row>
    <row r="6611" spans="1:25">
      <c r="A6611" t="s">
        <v>26791</v>
      </c>
      <c r="B6611" t="s">
        <v>26792</v>
      </c>
      <c r="D6611" t="s">
        <v>9473</v>
      </c>
      <c r="E6611" t="s">
        <v>9474</v>
      </c>
      <c r="J6611" t="s">
        <v>9759</v>
      </c>
      <c r="K6611" t="s">
        <v>9760</v>
      </c>
      <c r="L6611">
        <v>5</v>
      </c>
      <c r="M6611" t="s">
        <v>26793</v>
      </c>
      <c r="N6611" t="s">
        <v>47</v>
      </c>
      <c r="O6611" t="s">
        <v>9477</v>
      </c>
      <c r="P6611" t="s">
        <v>9477</v>
      </c>
      <c r="Y6611" t="s">
        <v>26794</v>
      </c>
    </row>
    <row r="6612" spans="1:25">
      <c r="A6612" t="s">
        <v>26795</v>
      </c>
      <c r="B6612" t="s">
        <v>26796</v>
      </c>
      <c r="D6612" t="s">
        <v>9473</v>
      </c>
      <c r="E6612" t="s">
        <v>9474</v>
      </c>
      <c r="H6612" t="s">
        <v>26797</v>
      </c>
      <c r="J6612" t="s">
        <v>10083</v>
      </c>
      <c r="K6612" t="s">
        <v>10084</v>
      </c>
      <c r="L6612">
        <v>4</v>
      </c>
      <c r="M6612" t="s">
        <v>26798</v>
      </c>
      <c r="N6612" t="s">
        <v>685</v>
      </c>
      <c r="O6612" t="s">
        <v>9477</v>
      </c>
      <c r="P6612" t="s">
        <v>9477</v>
      </c>
      <c r="Y6612" t="s">
        <v>26797</v>
      </c>
    </row>
    <row r="6613" spans="1:25">
      <c r="A6613" t="s">
        <v>26799</v>
      </c>
      <c r="B6613" t="s">
        <v>26800</v>
      </c>
      <c r="D6613" t="s">
        <v>9473</v>
      </c>
      <c r="E6613" t="s">
        <v>9474</v>
      </c>
      <c r="H6613" t="s">
        <v>26801</v>
      </c>
      <c r="J6613" t="s">
        <v>2328</v>
      </c>
      <c r="K6613" t="s">
        <v>2329</v>
      </c>
      <c r="L6613">
        <v>4</v>
      </c>
      <c r="M6613" t="s">
        <v>26802</v>
      </c>
      <c r="N6613" t="s">
        <v>685</v>
      </c>
      <c r="O6613" t="s">
        <v>9477</v>
      </c>
      <c r="P6613" t="s">
        <v>9477</v>
      </c>
      <c r="Y6613" t="s">
        <v>26801</v>
      </c>
    </row>
    <row r="6614" spans="1:25">
      <c r="A6614" t="s">
        <v>26803</v>
      </c>
      <c r="B6614" t="s">
        <v>26804</v>
      </c>
      <c r="D6614" t="s">
        <v>9473</v>
      </c>
      <c r="E6614" t="s">
        <v>9474</v>
      </c>
      <c r="J6614" t="s">
        <v>3829</v>
      </c>
      <c r="K6614" t="s">
        <v>3830</v>
      </c>
      <c r="L6614">
        <v>5</v>
      </c>
      <c r="M6614" t="s">
        <v>26805</v>
      </c>
      <c r="N6614" t="s">
        <v>685</v>
      </c>
      <c r="O6614" t="s">
        <v>9477</v>
      </c>
      <c r="P6614" t="s">
        <v>9477</v>
      </c>
      <c r="Y6614" t="s">
        <v>26806</v>
      </c>
    </row>
    <row r="6615" spans="1:25">
      <c r="A6615" t="s">
        <v>26807</v>
      </c>
      <c r="B6615" t="s">
        <v>26808</v>
      </c>
      <c r="D6615" t="s">
        <v>9473</v>
      </c>
      <c r="E6615" t="s">
        <v>9474</v>
      </c>
      <c r="J6615" t="s">
        <v>9759</v>
      </c>
      <c r="K6615" t="s">
        <v>9760</v>
      </c>
      <c r="L6615">
        <v>5</v>
      </c>
      <c r="M6615" t="s">
        <v>26809</v>
      </c>
      <c r="N6615" t="s">
        <v>47</v>
      </c>
      <c r="O6615" t="s">
        <v>9477</v>
      </c>
      <c r="P6615" t="s">
        <v>9477</v>
      </c>
      <c r="Y6615" t="s">
        <v>26810</v>
      </c>
    </row>
    <row r="6616" spans="1:25">
      <c r="A6616" t="s">
        <v>26811</v>
      </c>
      <c r="B6616" t="s">
        <v>26812</v>
      </c>
      <c r="D6616" t="s">
        <v>9473</v>
      </c>
      <c r="E6616" t="s">
        <v>9474</v>
      </c>
      <c r="J6616" t="s">
        <v>9719</v>
      </c>
      <c r="K6616" t="s">
        <v>9720</v>
      </c>
      <c r="L6616">
        <v>4</v>
      </c>
      <c r="M6616" t="s">
        <v>26813</v>
      </c>
      <c r="N6616" t="s">
        <v>685</v>
      </c>
      <c r="O6616" t="s">
        <v>9477</v>
      </c>
      <c r="P6616" t="s">
        <v>9477</v>
      </c>
      <c r="Y6616" t="s">
        <v>26814</v>
      </c>
    </row>
    <row r="6617" spans="1:25">
      <c r="A6617" t="s">
        <v>26815</v>
      </c>
      <c r="B6617" t="s">
        <v>26816</v>
      </c>
      <c r="D6617" t="s">
        <v>9473</v>
      </c>
      <c r="E6617" t="s">
        <v>9474</v>
      </c>
      <c r="J6617" t="s">
        <v>497</v>
      </c>
      <c r="K6617" t="s">
        <v>498</v>
      </c>
      <c r="L6617">
        <v>4</v>
      </c>
      <c r="M6617" t="s">
        <v>26817</v>
      </c>
      <c r="N6617" t="s">
        <v>685</v>
      </c>
      <c r="O6617" t="s">
        <v>9477</v>
      </c>
      <c r="P6617" t="s">
        <v>9477</v>
      </c>
      <c r="Y6617" t="s">
        <v>26818</v>
      </c>
    </row>
    <row r="6618" spans="1:25">
      <c r="A6618" t="s">
        <v>26819</v>
      </c>
      <c r="B6618" t="s">
        <v>26820</v>
      </c>
      <c r="D6618" t="s">
        <v>9473</v>
      </c>
      <c r="E6618" t="s">
        <v>9474</v>
      </c>
      <c r="H6618" t="s">
        <v>26821</v>
      </c>
      <c r="J6618" t="s">
        <v>353</v>
      </c>
      <c r="K6618" t="s">
        <v>354</v>
      </c>
      <c r="L6618">
        <v>7</v>
      </c>
      <c r="M6618" t="s">
        <v>26822</v>
      </c>
      <c r="N6618" t="s">
        <v>685</v>
      </c>
      <c r="O6618" t="s">
        <v>9477</v>
      </c>
      <c r="P6618" t="s">
        <v>9477</v>
      </c>
      <c r="Y6618" t="s">
        <v>26821</v>
      </c>
    </row>
    <row r="6619" spans="1:25">
      <c r="A6619" t="s">
        <v>26823</v>
      </c>
      <c r="B6619" t="s">
        <v>26824</v>
      </c>
      <c r="D6619" t="s">
        <v>9473</v>
      </c>
      <c r="E6619" t="s">
        <v>9474</v>
      </c>
      <c r="J6619" t="s">
        <v>765</v>
      </c>
      <c r="K6619" t="s">
        <v>766</v>
      </c>
      <c r="L6619">
        <v>4</v>
      </c>
      <c r="M6619" t="s">
        <v>26825</v>
      </c>
      <c r="N6619" t="s">
        <v>685</v>
      </c>
      <c r="O6619" t="s">
        <v>9477</v>
      </c>
      <c r="P6619" t="s">
        <v>9477</v>
      </c>
      <c r="Y6619" t="s">
        <v>26826</v>
      </c>
    </row>
    <row r="6620" spans="1:25">
      <c r="A6620" t="s">
        <v>26827</v>
      </c>
      <c r="B6620" t="s">
        <v>26828</v>
      </c>
      <c r="D6620" t="s">
        <v>9473</v>
      </c>
      <c r="E6620" t="s">
        <v>9474</v>
      </c>
      <c r="J6620" t="s">
        <v>765</v>
      </c>
      <c r="K6620" t="s">
        <v>766</v>
      </c>
      <c r="L6620">
        <v>4</v>
      </c>
      <c r="M6620" t="s">
        <v>26829</v>
      </c>
      <c r="N6620" t="s">
        <v>685</v>
      </c>
      <c r="O6620" t="s">
        <v>9477</v>
      </c>
      <c r="P6620" t="s">
        <v>9477</v>
      </c>
      <c r="Y6620" t="s">
        <v>26830</v>
      </c>
    </row>
    <row r="6621" spans="1:25">
      <c r="A6621" t="s">
        <v>26831</v>
      </c>
      <c r="B6621" t="s">
        <v>26832</v>
      </c>
      <c r="D6621" t="s">
        <v>9473</v>
      </c>
      <c r="E6621" t="s">
        <v>9474</v>
      </c>
      <c r="H6621" t="s">
        <v>26833</v>
      </c>
      <c r="J6621" t="s">
        <v>9719</v>
      </c>
      <c r="K6621" t="s">
        <v>9720</v>
      </c>
      <c r="L6621">
        <v>4</v>
      </c>
      <c r="M6621" t="s">
        <v>26834</v>
      </c>
      <c r="N6621" t="s">
        <v>685</v>
      </c>
      <c r="O6621" t="s">
        <v>9477</v>
      </c>
      <c r="P6621" t="s">
        <v>9477</v>
      </c>
      <c r="Y6621" t="s">
        <v>26833</v>
      </c>
    </row>
    <row r="6622" spans="1:25">
      <c r="A6622" t="s">
        <v>26835</v>
      </c>
      <c r="B6622" t="s">
        <v>26836</v>
      </c>
      <c r="D6622" t="s">
        <v>9473</v>
      </c>
      <c r="E6622" t="s">
        <v>9474</v>
      </c>
      <c r="J6622" t="s">
        <v>133</v>
      </c>
      <c r="K6622" t="s">
        <v>134</v>
      </c>
      <c r="L6622">
        <v>6</v>
      </c>
      <c r="M6622" t="s">
        <v>26837</v>
      </c>
      <c r="N6622" t="s">
        <v>685</v>
      </c>
      <c r="O6622" t="s">
        <v>9477</v>
      </c>
      <c r="P6622" t="s">
        <v>9477</v>
      </c>
      <c r="Y6622" t="s">
        <v>26838</v>
      </c>
    </row>
    <row r="6623" spans="1:25">
      <c r="A6623" t="s">
        <v>26839</v>
      </c>
      <c r="B6623" t="s">
        <v>26840</v>
      </c>
      <c r="D6623" t="s">
        <v>9473</v>
      </c>
      <c r="E6623" t="s">
        <v>9474</v>
      </c>
      <c r="H6623" t="s">
        <v>26841</v>
      </c>
      <c r="J6623" t="s">
        <v>497</v>
      </c>
      <c r="K6623" t="s">
        <v>498</v>
      </c>
      <c r="L6623">
        <v>4</v>
      </c>
      <c r="M6623" t="s">
        <v>26842</v>
      </c>
      <c r="N6623" t="s">
        <v>685</v>
      </c>
      <c r="O6623" t="s">
        <v>9477</v>
      </c>
      <c r="P6623" t="s">
        <v>9477</v>
      </c>
      <c r="Y6623" t="s">
        <v>26841</v>
      </c>
    </row>
    <row r="6624" spans="1:25">
      <c r="A6624" t="s">
        <v>26843</v>
      </c>
      <c r="B6624" t="s">
        <v>26844</v>
      </c>
      <c r="D6624" t="s">
        <v>9473</v>
      </c>
      <c r="E6624" t="s">
        <v>9474</v>
      </c>
      <c r="J6624" t="s">
        <v>497</v>
      </c>
      <c r="K6624" t="s">
        <v>498</v>
      </c>
      <c r="L6624">
        <v>4</v>
      </c>
      <c r="M6624" t="s">
        <v>26845</v>
      </c>
      <c r="N6624" t="s">
        <v>135</v>
      </c>
      <c r="O6624" t="s">
        <v>9477</v>
      </c>
      <c r="P6624" t="s">
        <v>9477</v>
      </c>
      <c r="Y6624" t="s">
        <v>26846</v>
      </c>
    </row>
    <row r="6625" spans="1:25">
      <c r="A6625" t="s">
        <v>26847</v>
      </c>
      <c r="B6625" t="s">
        <v>26848</v>
      </c>
      <c r="D6625" t="s">
        <v>9473</v>
      </c>
      <c r="E6625" t="s">
        <v>9474</v>
      </c>
      <c r="H6625" t="s">
        <v>26849</v>
      </c>
      <c r="J6625" t="s">
        <v>390</v>
      </c>
      <c r="K6625" t="s">
        <v>390</v>
      </c>
      <c r="L6625">
        <v>5</v>
      </c>
      <c r="M6625" t="s">
        <v>26850</v>
      </c>
      <c r="N6625" t="s">
        <v>135</v>
      </c>
      <c r="O6625" t="s">
        <v>9477</v>
      </c>
      <c r="P6625" t="s">
        <v>9477</v>
      </c>
      <c r="Y6625" t="s">
        <v>26849</v>
      </c>
    </row>
    <row r="6626" spans="1:25">
      <c r="A6626" t="s">
        <v>26851</v>
      </c>
      <c r="B6626" t="s">
        <v>26852</v>
      </c>
      <c r="D6626" t="s">
        <v>9473</v>
      </c>
      <c r="E6626" t="s">
        <v>9474</v>
      </c>
      <c r="J6626" t="s">
        <v>353</v>
      </c>
      <c r="K6626" t="s">
        <v>354</v>
      </c>
      <c r="L6626">
        <v>7</v>
      </c>
      <c r="M6626" t="s">
        <v>26853</v>
      </c>
      <c r="N6626" t="s">
        <v>135</v>
      </c>
      <c r="O6626" t="s">
        <v>9477</v>
      </c>
      <c r="P6626" t="s">
        <v>9477</v>
      </c>
      <c r="Y6626" t="s">
        <v>26854</v>
      </c>
    </row>
    <row r="6627" spans="1:25">
      <c r="A6627" t="s">
        <v>26855</v>
      </c>
      <c r="B6627" t="s">
        <v>26856</v>
      </c>
      <c r="D6627" t="s">
        <v>9473</v>
      </c>
      <c r="E6627" t="s">
        <v>9474</v>
      </c>
      <c r="J6627" t="s">
        <v>765</v>
      </c>
      <c r="K6627" t="s">
        <v>766</v>
      </c>
      <c r="L6627">
        <v>4</v>
      </c>
      <c r="M6627" t="s">
        <v>26857</v>
      </c>
      <c r="N6627" t="s">
        <v>685</v>
      </c>
      <c r="O6627" t="s">
        <v>9477</v>
      </c>
      <c r="P6627" t="s">
        <v>9477</v>
      </c>
      <c r="Y6627" t="s">
        <v>26858</v>
      </c>
    </row>
    <row r="6628" spans="1:25">
      <c r="A6628" t="s">
        <v>26859</v>
      </c>
      <c r="B6628" t="s">
        <v>26860</v>
      </c>
      <c r="D6628" t="s">
        <v>9473</v>
      </c>
      <c r="E6628" t="s">
        <v>9474</v>
      </c>
      <c r="J6628" t="s">
        <v>497</v>
      </c>
      <c r="K6628" t="s">
        <v>498</v>
      </c>
      <c r="L6628">
        <v>4</v>
      </c>
      <c r="M6628" t="s">
        <v>26861</v>
      </c>
      <c r="N6628" t="s">
        <v>685</v>
      </c>
      <c r="O6628" t="s">
        <v>9477</v>
      </c>
      <c r="P6628" t="s">
        <v>9477</v>
      </c>
      <c r="Y6628" t="s">
        <v>26862</v>
      </c>
    </row>
    <row r="6629" spans="1:25">
      <c r="A6629" t="s">
        <v>26863</v>
      </c>
      <c r="B6629" t="s">
        <v>26864</v>
      </c>
      <c r="D6629" t="s">
        <v>9473</v>
      </c>
      <c r="E6629" t="s">
        <v>9474</v>
      </c>
      <c r="H6629" t="s">
        <v>26865</v>
      </c>
      <c r="J6629" t="s">
        <v>497</v>
      </c>
      <c r="K6629" t="s">
        <v>498</v>
      </c>
      <c r="L6629">
        <v>4</v>
      </c>
      <c r="M6629" t="s">
        <v>26866</v>
      </c>
      <c r="N6629" t="s">
        <v>685</v>
      </c>
      <c r="O6629" t="s">
        <v>9477</v>
      </c>
      <c r="P6629" t="s">
        <v>9477</v>
      </c>
      <c r="Y6629" t="s">
        <v>26865</v>
      </c>
    </row>
    <row r="6630" spans="1:25">
      <c r="A6630" t="s">
        <v>26867</v>
      </c>
      <c r="B6630" t="s">
        <v>26868</v>
      </c>
      <c r="D6630" t="s">
        <v>9473</v>
      </c>
      <c r="E6630" t="s">
        <v>9474</v>
      </c>
      <c r="J6630" t="s">
        <v>287</v>
      </c>
      <c r="K6630" t="s">
        <v>288</v>
      </c>
      <c r="L6630">
        <v>7</v>
      </c>
      <c r="M6630" t="s">
        <v>26869</v>
      </c>
      <c r="N6630" t="s">
        <v>135</v>
      </c>
      <c r="O6630" t="s">
        <v>9477</v>
      </c>
      <c r="P6630" t="s">
        <v>9477</v>
      </c>
      <c r="Y6630" t="s">
        <v>26870</v>
      </c>
    </row>
    <row r="6631" spans="1:25">
      <c r="A6631" t="s">
        <v>26871</v>
      </c>
      <c r="B6631" t="s">
        <v>26872</v>
      </c>
      <c r="D6631" t="s">
        <v>9473</v>
      </c>
      <c r="E6631" t="s">
        <v>9474</v>
      </c>
      <c r="H6631" t="s">
        <v>26873</v>
      </c>
      <c r="J6631" t="s">
        <v>497</v>
      </c>
      <c r="K6631" t="s">
        <v>498</v>
      </c>
      <c r="L6631">
        <v>4</v>
      </c>
      <c r="M6631" t="s">
        <v>26874</v>
      </c>
      <c r="N6631" t="s">
        <v>685</v>
      </c>
      <c r="O6631" t="s">
        <v>9477</v>
      </c>
      <c r="P6631" t="s">
        <v>9477</v>
      </c>
      <c r="Y6631" t="s">
        <v>26873</v>
      </c>
    </row>
    <row r="6632" spans="1:25">
      <c r="A6632" t="s">
        <v>26875</v>
      </c>
      <c r="B6632" t="s">
        <v>26876</v>
      </c>
      <c r="D6632" t="s">
        <v>9473</v>
      </c>
      <c r="E6632" t="s">
        <v>9474</v>
      </c>
      <c r="H6632" t="s">
        <v>26877</v>
      </c>
      <c r="J6632" t="s">
        <v>9719</v>
      </c>
      <c r="K6632" t="s">
        <v>9720</v>
      </c>
      <c r="L6632">
        <v>4</v>
      </c>
      <c r="M6632" t="s">
        <v>26878</v>
      </c>
      <c r="N6632" t="s">
        <v>685</v>
      </c>
      <c r="O6632" t="s">
        <v>9477</v>
      </c>
      <c r="P6632" t="s">
        <v>9477</v>
      </c>
      <c r="Y6632" t="s">
        <v>26877</v>
      </c>
    </row>
    <row r="6633" spans="1:25">
      <c r="A6633" t="s">
        <v>26879</v>
      </c>
      <c r="B6633" t="s">
        <v>26880</v>
      </c>
      <c r="D6633" t="s">
        <v>9473</v>
      </c>
      <c r="E6633" t="s">
        <v>9474</v>
      </c>
      <c r="H6633" t="s">
        <v>26881</v>
      </c>
      <c r="J6633" t="s">
        <v>133</v>
      </c>
      <c r="K6633" t="s">
        <v>134</v>
      </c>
      <c r="L6633">
        <v>8</v>
      </c>
      <c r="M6633" t="s">
        <v>26882</v>
      </c>
      <c r="N6633" t="s">
        <v>685</v>
      </c>
      <c r="O6633" t="s">
        <v>9477</v>
      </c>
      <c r="P6633" t="s">
        <v>9477</v>
      </c>
      <c r="Y6633" t="s">
        <v>26881</v>
      </c>
    </row>
    <row r="6634" spans="1:25">
      <c r="A6634" t="s">
        <v>26883</v>
      </c>
      <c r="B6634" t="s">
        <v>26884</v>
      </c>
      <c r="D6634" t="s">
        <v>9473</v>
      </c>
      <c r="E6634" t="s">
        <v>9474</v>
      </c>
      <c r="H6634" t="s">
        <v>26885</v>
      </c>
      <c r="J6634" t="s">
        <v>927</v>
      </c>
      <c r="K6634" t="s">
        <v>928</v>
      </c>
      <c r="L6634">
        <v>4</v>
      </c>
      <c r="M6634" t="s">
        <v>26886</v>
      </c>
      <c r="N6634" t="s">
        <v>135</v>
      </c>
      <c r="O6634" t="s">
        <v>9477</v>
      </c>
      <c r="P6634" t="s">
        <v>9477</v>
      </c>
      <c r="Y6634" t="s">
        <v>26885</v>
      </c>
    </row>
    <row r="6635" spans="1:25">
      <c r="A6635" t="s">
        <v>26887</v>
      </c>
      <c r="B6635" t="s">
        <v>26888</v>
      </c>
      <c r="D6635" t="s">
        <v>9473</v>
      </c>
      <c r="E6635" t="s">
        <v>9474</v>
      </c>
      <c r="H6635" t="s">
        <v>26889</v>
      </c>
      <c r="J6635" t="s">
        <v>683</v>
      </c>
      <c r="K6635" t="s">
        <v>684</v>
      </c>
      <c r="L6635">
        <v>4</v>
      </c>
      <c r="M6635" t="s">
        <v>26890</v>
      </c>
      <c r="N6635" t="s">
        <v>685</v>
      </c>
      <c r="O6635" t="s">
        <v>9477</v>
      </c>
      <c r="P6635" t="s">
        <v>9477</v>
      </c>
      <c r="Y6635" t="s">
        <v>26889</v>
      </c>
    </row>
    <row r="6636" spans="1:25">
      <c r="A6636" t="s">
        <v>26891</v>
      </c>
      <c r="B6636" t="s">
        <v>26892</v>
      </c>
      <c r="D6636" t="s">
        <v>9473</v>
      </c>
      <c r="E6636" t="s">
        <v>9474</v>
      </c>
      <c r="J6636" t="s">
        <v>9759</v>
      </c>
      <c r="K6636" t="s">
        <v>9760</v>
      </c>
      <c r="L6636">
        <v>5</v>
      </c>
      <c r="M6636" t="s">
        <v>26893</v>
      </c>
      <c r="N6636" t="s">
        <v>47</v>
      </c>
      <c r="O6636" t="s">
        <v>9477</v>
      </c>
      <c r="P6636" t="s">
        <v>9477</v>
      </c>
      <c r="Y6636" t="s">
        <v>26894</v>
      </c>
    </row>
    <row r="6637" spans="1:25">
      <c r="A6637" t="s">
        <v>26895</v>
      </c>
      <c r="B6637" t="s">
        <v>26896</v>
      </c>
      <c r="D6637" t="s">
        <v>9473</v>
      </c>
      <c r="E6637" t="s">
        <v>9474</v>
      </c>
      <c r="H6637" t="s">
        <v>26897</v>
      </c>
      <c r="J6637" t="s">
        <v>497</v>
      </c>
      <c r="K6637" t="s">
        <v>498</v>
      </c>
      <c r="L6637">
        <v>4</v>
      </c>
      <c r="M6637" t="s">
        <v>26898</v>
      </c>
      <c r="N6637" t="s">
        <v>135</v>
      </c>
      <c r="O6637" t="s">
        <v>9477</v>
      </c>
      <c r="P6637" t="s">
        <v>9477</v>
      </c>
      <c r="Y6637" t="s">
        <v>26897</v>
      </c>
    </row>
    <row r="6638" spans="1:25">
      <c r="A6638" t="s">
        <v>26899</v>
      </c>
      <c r="B6638" t="s">
        <v>26900</v>
      </c>
      <c r="D6638" t="s">
        <v>9473</v>
      </c>
      <c r="E6638" t="s">
        <v>9474</v>
      </c>
      <c r="H6638" t="s">
        <v>26901</v>
      </c>
      <c r="J6638" t="s">
        <v>927</v>
      </c>
      <c r="K6638" t="s">
        <v>928</v>
      </c>
      <c r="L6638">
        <v>4</v>
      </c>
      <c r="M6638" t="s">
        <v>26902</v>
      </c>
      <c r="N6638" t="s">
        <v>135</v>
      </c>
      <c r="O6638" t="s">
        <v>9477</v>
      </c>
      <c r="P6638" t="s">
        <v>9477</v>
      </c>
      <c r="Y6638" t="s">
        <v>26901</v>
      </c>
    </row>
    <row r="6639" spans="1:25">
      <c r="A6639" t="s">
        <v>26903</v>
      </c>
      <c r="B6639" t="s">
        <v>26904</v>
      </c>
      <c r="D6639" t="s">
        <v>9473</v>
      </c>
      <c r="E6639" t="s">
        <v>9474</v>
      </c>
      <c r="J6639" t="s">
        <v>9759</v>
      </c>
      <c r="K6639" t="s">
        <v>9760</v>
      </c>
      <c r="L6639">
        <v>5</v>
      </c>
      <c r="M6639" t="s">
        <v>26905</v>
      </c>
      <c r="N6639" t="s">
        <v>47</v>
      </c>
      <c r="O6639" t="s">
        <v>9477</v>
      </c>
      <c r="P6639" t="s">
        <v>9477</v>
      </c>
      <c r="Y6639" t="s">
        <v>26906</v>
      </c>
    </row>
    <row r="6640" spans="1:25">
      <c r="A6640" t="s">
        <v>26907</v>
      </c>
      <c r="B6640" t="s">
        <v>26908</v>
      </c>
      <c r="D6640" t="s">
        <v>9473</v>
      </c>
      <c r="E6640" t="s">
        <v>9474</v>
      </c>
      <c r="J6640" t="s">
        <v>497</v>
      </c>
      <c r="K6640" t="s">
        <v>498</v>
      </c>
      <c r="L6640">
        <v>4</v>
      </c>
      <c r="M6640" t="s">
        <v>26909</v>
      </c>
      <c r="N6640" t="s">
        <v>685</v>
      </c>
      <c r="O6640" t="s">
        <v>9477</v>
      </c>
      <c r="P6640" t="s">
        <v>9477</v>
      </c>
      <c r="Y6640" t="s">
        <v>26910</v>
      </c>
    </row>
    <row r="6641" spans="1:25">
      <c r="A6641" t="s">
        <v>26911</v>
      </c>
      <c r="B6641" t="s">
        <v>26912</v>
      </c>
      <c r="D6641" t="s">
        <v>9473</v>
      </c>
      <c r="E6641" t="s">
        <v>9474</v>
      </c>
      <c r="J6641" t="s">
        <v>2328</v>
      </c>
      <c r="K6641" t="s">
        <v>2329</v>
      </c>
      <c r="L6641">
        <v>4</v>
      </c>
      <c r="M6641" t="s">
        <v>26913</v>
      </c>
      <c r="N6641" t="s">
        <v>685</v>
      </c>
      <c r="O6641" t="s">
        <v>9477</v>
      </c>
      <c r="P6641" t="s">
        <v>9477</v>
      </c>
      <c r="Y6641" t="s">
        <v>26914</v>
      </c>
    </row>
    <row r="6642" spans="1:25">
      <c r="A6642" t="s">
        <v>26915</v>
      </c>
      <c r="B6642" t="s">
        <v>26916</v>
      </c>
      <c r="D6642" t="s">
        <v>9473</v>
      </c>
      <c r="E6642" t="s">
        <v>9474</v>
      </c>
      <c r="H6642" t="s">
        <v>26917</v>
      </c>
      <c r="J6642" t="s">
        <v>2328</v>
      </c>
      <c r="K6642" t="s">
        <v>2329</v>
      </c>
      <c r="L6642">
        <v>4</v>
      </c>
      <c r="M6642" t="s">
        <v>26918</v>
      </c>
      <c r="N6642" t="s">
        <v>685</v>
      </c>
      <c r="O6642" t="s">
        <v>9477</v>
      </c>
      <c r="P6642" t="s">
        <v>9477</v>
      </c>
      <c r="Y6642" t="s">
        <v>26917</v>
      </c>
    </row>
    <row r="6643" spans="1:25">
      <c r="A6643" t="s">
        <v>26919</v>
      </c>
      <c r="B6643" t="s">
        <v>26920</v>
      </c>
      <c r="D6643" t="s">
        <v>9473</v>
      </c>
      <c r="E6643" t="s">
        <v>9474</v>
      </c>
      <c r="H6643" t="s">
        <v>26921</v>
      </c>
      <c r="J6643" t="s">
        <v>497</v>
      </c>
      <c r="K6643" t="s">
        <v>498</v>
      </c>
      <c r="L6643">
        <v>4</v>
      </c>
      <c r="M6643" t="s">
        <v>26922</v>
      </c>
      <c r="N6643" t="s">
        <v>135</v>
      </c>
      <c r="O6643" t="s">
        <v>9477</v>
      </c>
      <c r="P6643" t="s">
        <v>9477</v>
      </c>
      <c r="Y6643" t="s">
        <v>26921</v>
      </c>
    </row>
    <row r="6644" spans="1:25">
      <c r="A6644" t="s">
        <v>26923</v>
      </c>
      <c r="B6644" t="s">
        <v>26924</v>
      </c>
      <c r="D6644" t="s">
        <v>9473</v>
      </c>
      <c r="E6644" t="s">
        <v>9474</v>
      </c>
      <c r="J6644" t="s">
        <v>765</v>
      </c>
      <c r="K6644" t="s">
        <v>766</v>
      </c>
      <c r="L6644">
        <v>4</v>
      </c>
      <c r="M6644" t="s">
        <v>26925</v>
      </c>
      <c r="N6644" t="s">
        <v>685</v>
      </c>
      <c r="O6644" t="s">
        <v>9477</v>
      </c>
      <c r="P6644" t="s">
        <v>9477</v>
      </c>
      <c r="Y6644" t="s">
        <v>26926</v>
      </c>
    </row>
    <row r="6645" spans="1:25">
      <c r="A6645" t="s">
        <v>26927</v>
      </c>
      <c r="B6645" t="s">
        <v>26928</v>
      </c>
      <c r="D6645" t="s">
        <v>9473</v>
      </c>
      <c r="E6645" t="s">
        <v>9474</v>
      </c>
      <c r="J6645" t="s">
        <v>497</v>
      </c>
      <c r="K6645" t="s">
        <v>498</v>
      </c>
      <c r="L6645">
        <v>4</v>
      </c>
      <c r="M6645" t="s">
        <v>26929</v>
      </c>
      <c r="N6645" t="s">
        <v>685</v>
      </c>
      <c r="O6645" t="s">
        <v>9477</v>
      </c>
      <c r="P6645" t="s">
        <v>9477</v>
      </c>
      <c r="Y6645" t="s">
        <v>26930</v>
      </c>
    </row>
    <row r="6646" spans="1:25">
      <c r="A6646" t="s">
        <v>26931</v>
      </c>
      <c r="B6646" t="s">
        <v>26932</v>
      </c>
      <c r="D6646" t="s">
        <v>9473</v>
      </c>
      <c r="E6646" t="s">
        <v>9474</v>
      </c>
      <c r="J6646" t="s">
        <v>497</v>
      </c>
      <c r="K6646" t="s">
        <v>498</v>
      </c>
      <c r="L6646">
        <v>4</v>
      </c>
      <c r="M6646" t="s">
        <v>26933</v>
      </c>
      <c r="N6646" t="s">
        <v>685</v>
      </c>
      <c r="O6646" t="s">
        <v>9477</v>
      </c>
      <c r="P6646" t="s">
        <v>9477</v>
      </c>
      <c r="Y6646" t="s">
        <v>26934</v>
      </c>
    </row>
    <row r="6647" spans="1:25">
      <c r="A6647" t="s">
        <v>26935</v>
      </c>
      <c r="B6647" t="s">
        <v>26936</v>
      </c>
      <c r="D6647" t="s">
        <v>9473</v>
      </c>
      <c r="E6647" t="s">
        <v>9474</v>
      </c>
      <c r="H6647" t="s">
        <v>26937</v>
      </c>
      <c r="J6647" t="s">
        <v>353</v>
      </c>
      <c r="K6647" t="s">
        <v>354</v>
      </c>
      <c r="L6647">
        <v>6</v>
      </c>
      <c r="M6647" t="s">
        <v>26938</v>
      </c>
      <c r="N6647" t="s">
        <v>685</v>
      </c>
      <c r="O6647" t="s">
        <v>9477</v>
      </c>
      <c r="P6647" t="s">
        <v>9477</v>
      </c>
      <c r="Y6647" t="s">
        <v>26937</v>
      </c>
    </row>
    <row r="6648" spans="1:25">
      <c r="A6648" t="s">
        <v>26939</v>
      </c>
      <c r="B6648" t="s">
        <v>26940</v>
      </c>
      <c r="D6648" t="s">
        <v>9473</v>
      </c>
      <c r="E6648" t="s">
        <v>9474</v>
      </c>
      <c r="J6648" t="s">
        <v>765</v>
      </c>
      <c r="K6648" t="s">
        <v>766</v>
      </c>
      <c r="L6648">
        <v>4</v>
      </c>
      <c r="M6648" t="s">
        <v>26941</v>
      </c>
      <c r="N6648" t="s">
        <v>685</v>
      </c>
      <c r="O6648" t="s">
        <v>9477</v>
      </c>
      <c r="P6648" t="s">
        <v>9477</v>
      </c>
      <c r="Y6648" t="s">
        <v>26942</v>
      </c>
    </row>
    <row r="6649" spans="1:25">
      <c r="A6649" t="s">
        <v>26943</v>
      </c>
      <c r="B6649" t="s">
        <v>26944</v>
      </c>
      <c r="D6649" t="s">
        <v>9473</v>
      </c>
      <c r="E6649" t="s">
        <v>9474</v>
      </c>
      <c r="H6649" t="s">
        <v>26945</v>
      </c>
      <c r="J6649" t="s">
        <v>765</v>
      </c>
      <c r="K6649" t="s">
        <v>766</v>
      </c>
      <c r="L6649">
        <v>2</v>
      </c>
      <c r="M6649" t="s">
        <v>26946</v>
      </c>
      <c r="N6649" t="s">
        <v>685</v>
      </c>
      <c r="O6649" t="s">
        <v>9477</v>
      </c>
      <c r="P6649" t="s">
        <v>9477</v>
      </c>
      <c r="Y6649" t="s">
        <v>26945</v>
      </c>
    </row>
    <row r="6650" spans="1:25">
      <c r="A6650" t="s">
        <v>26947</v>
      </c>
      <c r="B6650" t="s">
        <v>26948</v>
      </c>
      <c r="D6650" t="s">
        <v>9473</v>
      </c>
      <c r="E6650" t="s">
        <v>9474</v>
      </c>
      <c r="H6650" t="s">
        <v>26949</v>
      </c>
      <c r="J6650" t="s">
        <v>9759</v>
      </c>
      <c r="K6650" t="s">
        <v>9760</v>
      </c>
      <c r="L6650">
        <v>5</v>
      </c>
      <c r="M6650" t="s">
        <v>26950</v>
      </c>
      <c r="N6650" t="s">
        <v>47</v>
      </c>
      <c r="O6650" t="s">
        <v>9477</v>
      </c>
      <c r="P6650" t="s">
        <v>9477</v>
      </c>
      <c r="Y6650" t="s">
        <v>26949</v>
      </c>
    </row>
    <row r="6651" spans="1:25">
      <c r="A6651" t="s">
        <v>26951</v>
      </c>
      <c r="B6651" t="s">
        <v>26952</v>
      </c>
      <c r="D6651" t="s">
        <v>9473</v>
      </c>
      <c r="E6651" t="s">
        <v>9474</v>
      </c>
      <c r="J6651" t="s">
        <v>497</v>
      </c>
      <c r="K6651" t="s">
        <v>498</v>
      </c>
      <c r="L6651">
        <v>4</v>
      </c>
      <c r="M6651" t="s">
        <v>26953</v>
      </c>
      <c r="N6651" t="s">
        <v>685</v>
      </c>
      <c r="O6651" t="s">
        <v>9477</v>
      </c>
      <c r="P6651" t="s">
        <v>9477</v>
      </c>
      <c r="Y6651" t="s">
        <v>26954</v>
      </c>
    </row>
    <row r="6652" spans="1:25">
      <c r="A6652" t="s">
        <v>26955</v>
      </c>
      <c r="B6652" t="s">
        <v>26956</v>
      </c>
      <c r="D6652" t="s">
        <v>9473</v>
      </c>
      <c r="E6652" t="s">
        <v>9474</v>
      </c>
      <c r="H6652" t="s">
        <v>26957</v>
      </c>
      <c r="J6652" t="s">
        <v>9719</v>
      </c>
      <c r="K6652" t="s">
        <v>9720</v>
      </c>
      <c r="L6652">
        <v>4</v>
      </c>
      <c r="M6652" t="s">
        <v>26958</v>
      </c>
      <c r="N6652" t="s">
        <v>685</v>
      </c>
      <c r="O6652" t="s">
        <v>9477</v>
      </c>
      <c r="P6652" t="s">
        <v>9477</v>
      </c>
      <c r="Y6652" t="s">
        <v>26957</v>
      </c>
    </row>
    <row r="6653" spans="1:25">
      <c r="A6653" t="s">
        <v>26959</v>
      </c>
      <c r="B6653" t="s">
        <v>26960</v>
      </c>
      <c r="D6653" t="s">
        <v>9473</v>
      </c>
      <c r="E6653" t="s">
        <v>9474</v>
      </c>
      <c r="J6653" t="s">
        <v>765</v>
      </c>
      <c r="K6653" t="s">
        <v>766</v>
      </c>
      <c r="L6653">
        <v>4</v>
      </c>
      <c r="M6653" t="s">
        <v>26961</v>
      </c>
      <c r="N6653" t="s">
        <v>685</v>
      </c>
      <c r="O6653" t="s">
        <v>9477</v>
      </c>
      <c r="P6653" t="s">
        <v>9477</v>
      </c>
      <c r="Y6653" t="s">
        <v>26962</v>
      </c>
    </row>
    <row r="6654" spans="1:25">
      <c r="A6654" t="s">
        <v>26963</v>
      </c>
      <c r="B6654" t="s">
        <v>26964</v>
      </c>
      <c r="D6654" t="s">
        <v>9473</v>
      </c>
      <c r="E6654" t="s">
        <v>9474</v>
      </c>
      <c r="J6654" t="s">
        <v>765</v>
      </c>
      <c r="K6654" t="s">
        <v>766</v>
      </c>
      <c r="L6654">
        <v>4</v>
      </c>
      <c r="M6654" t="s">
        <v>26965</v>
      </c>
      <c r="N6654" t="s">
        <v>685</v>
      </c>
      <c r="O6654" t="s">
        <v>9477</v>
      </c>
      <c r="P6654" t="s">
        <v>9477</v>
      </c>
      <c r="Y6654" t="s">
        <v>26966</v>
      </c>
    </row>
    <row r="6655" spans="1:25">
      <c r="A6655" t="s">
        <v>26967</v>
      </c>
      <c r="B6655" t="s">
        <v>26968</v>
      </c>
      <c r="D6655" t="s">
        <v>9473</v>
      </c>
      <c r="E6655" t="s">
        <v>9474</v>
      </c>
      <c r="J6655" t="s">
        <v>765</v>
      </c>
      <c r="K6655" t="s">
        <v>766</v>
      </c>
      <c r="L6655">
        <v>4</v>
      </c>
      <c r="M6655" t="s">
        <v>26969</v>
      </c>
      <c r="N6655" t="s">
        <v>685</v>
      </c>
      <c r="O6655" t="s">
        <v>9477</v>
      </c>
      <c r="P6655" t="s">
        <v>9477</v>
      </c>
      <c r="Y6655" t="s">
        <v>26970</v>
      </c>
    </row>
    <row r="6656" spans="1:25">
      <c r="A6656" t="s">
        <v>26971</v>
      </c>
      <c r="B6656" t="s">
        <v>26972</v>
      </c>
      <c r="D6656" t="s">
        <v>9473</v>
      </c>
      <c r="E6656" t="s">
        <v>9474</v>
      </c>
      <c r="J6656" t="s">
        <v>927</v>
      </c>
      <c r="K6656" t="s">
        <v>928</v>
      </c>
      <c r="L6656">
        <v>4</v>
      </c>
      <c r="M6656" t="s">
        <v>26973</v>
      </c>
      <c r="N6656" t="s">
        <v>135</v>
      </c>
      <c r="O6656" t="s">
        <v>9477</v>
      </c>
      <c r="P6656" t="s">
        <v>9477</v>
      </c>
      <c r="Y6656" t="s">
        <v>26974</v>
      </c>
    </row>
    <row r="6657" spans="1:25">
      <c r="A6657" t="s">
        <v>26975</v>
      </c>
      <c r="B6657" t="s">
        <v>26976</v>
      </c>
      <c r="D6657" t="s">
        <v>9473</v>
      </c>
      <c r="E6657" t="s">
        <v>9474</v>
      </c>
      <c r="J6657" t="s">
        <v>9759</v>
      </c>
      <c r="K6657" t="s">
        <v>9760</v>
      </c>
      <c r="L6657">
        <v>5</v>
      </c>
      <c r="M6657" t="s">
        <v>26977</v>
      </c>
      <c r="N6657" t="s">
        <v>47</v>
      </c>
      <c r="O6657" t="s">
        <v>9477</v>
      </c>
      <c r="P6657" t="s">
        <v>9477</v>
      </c>
      <c r="Y6657" t="s">
        <v>26978</v>
      </c>
    </row>
    <row r="6658" spans="1:25">
      <c r="A6658" t="s">
        <v>26979</v>
      </c>
      <c r="B6658" t="s">
        <v>26980</v>
      </c>
      <c r="D6658" t="s">
        <v>9473</v>
      </c>
      <c r="E6658" t="s">
        <v>9474</v>
      </c>
      <c r="H6658" t="s">
        <v>26981</v>
      </c>
      <c r="J6658" t="s">
        <v>765</v>
      </c>
      <c r="K6658" t="s">
        <v>766</v>
      </c>
      <c r="L6658">
        <v>4</v>
      </c>
      <c r="M6658" t="s">
        <v>26982</v>
      </c>
      <c r="N6658" t="s">
        <v>685</v>
      </c>
      <c r="O6658" t="s">
        <v>9477</v>
      </c>
      <c r="P6658" t="s">
        <v>9477</v>
      </c>
      <c r="Y6658" t="s">
        <v>26981</v>
      </c>
    </row>
    <row r="6659" spans="1:25">
      <c r="A6659" t="s">
        <v>26983</v>
      </c>
      <c r="B6659" t="s">
        <v>26984</v>
      </c>
      <c r="D6659" t="s">
        <v>9473</v>
      </c>
      <c r="E6659" t="s">
        <v>9474</v>
      </c>
      <c r="J6659" t="s">
        <v>497</v>
      </c>
      <c r="K6659" t="s">
        <v>498</v>
      </c>
      <c r="L6659">
        <v>4</v>
      </c>
      <c r="M6659" t="s">
        <v>26985</v>
      </c>
      <c r="N6659" t="s">
        <v>685</v>
      </c>
      <c r="O6659" t="s">
        <v>9477</v>
      </c>
      <c r="P6659" t="s">
        <v>9477</v>
      </c>
      <c r="Y6659" t="s">
        <v>26986</v>
      </c>
    </row>
    <row r="6660" spans="1:25">
      <c r="A6660" t="s">
        <v>26987</v>
      </c>
      <c r="B6660" t="s">
        <v>26988</v>
      </c>
      <c r="D6660" t="s">
        <v>9473</v>
      </c>
      <c r="E6660" t="s">
        <v>9474</v>
      </c>
      <c r="J6660" t="s">
        <v>497</v>
      </c>
      <c r="K6660" t="s">
        <v>498</v>
      </c>
      <c r="L6660">
        <v>4</v>
      </c>
      <c r="M6660" t="s">
        <v>26989</v>
      </c>
      <c r="N6660" t="s">
        <v>685</v>
      </c>
      <c r="O6660" t="s">
        <v>9477</v>
      </c>
      <c r="P6660" t="s">
        <v>9477</v>
      </c>
      <c r="Y6660" t="s">
        <v>26990</v>
      </c>
    </row>
    <row r="6661" spans="1:25">
      <c r="A6661" t="s">
        <v>26991</v>
      </c>
      <c r="B6661" t="s">
        <v>26992</v>
      </c>
      <c r="D6661" t="s">
        <v>9473</v>
      </c>
      <c r="E6661" t="s">
        <v>9474</v>
      </c>
      <c r="J6661" t="s">
        <v>497</v>
      </c>
      <c r="K6661" t="s">
        <v>498</v>
      </c>
      <c r="L6661">
        <v>4</v>
      </c>
      <c r="M6661" t="s">
        <v>26993</v>
      </c>
      <c r="N6661" t="s">
        <v>685</v>
      </c>
      <c r="O6661" t="s">
        <v>9477</v>
      </c>
      <c r="P6661" t="s">
        <v>9477</v>
      </c>
      <c r="Y6661" t="s">
        <v>26994</v>
      </c>
    </row>
    <row r="6662" spans="1:25">
      <c r="A6662" t="s">
        <v>26995</v>
      </c>
      <c r="B6662" t="s">
        <v>26996</v>
      </c>
      <c r="D6662" t="s">
        <v>9473</v>
      </c>
      <c r="E6662" t="s">
        <v>9474</v>
      </c>
      <c r="J6662" t="s">
        <v>497</v>
      </c>
      <c r="K6662" t="s">
        <v>498</v>
      </c>
      <c r="L6662">
        <v>4</v>
      </c>
      <c r="M6662" t="s">
        <v>26997</v>
      </c>
      <c r="N6662" t="s">
        <v>685</v>
      </c>
      <c r="O6662" t="s">
        <v>9477</v>
      </c>
      <c r="P6662" t="s">
        <v>9477</v>
      </c>
      <c r="Y6662" t="s">
        <v>26998</v>
      </c>
    </row>
    <row r="6663" spans="1:25">
      <c r="A6663" t="s">
        <v>26999</v>
      </c>
      <c r="B6663" t="s">
        <v>27000</v>
      </c>
      <c r="D6663" t="s">
        <v>9473</v>
      </c>
      <c r="E6663" t="s">
        <v>9474</v>
      </c>
      <c r="J6663" t="s">
        <v>497</v>
      </c>
      <c r="K6663" t="s">
        <v>498</v>
      </c>
      <c r="L6663">
        <v>4</v>
      </c>
      <c r="M6663" t="s">
        <v>27001</v>
      </c>
      <c r="N6663" t="s">
        <v>685</v>
      </c>
      <c r="O6663" t="s">
        <v>9477</v>
      </c>
      <c r="P6663" t="s">
        <v>9477</v>
      </c>
      <c r="Y6663" t="s">
        <v>27002</v>
      </c>
    </row>
    <row r="6664" spans="1:25">
      <c r="A6664" t="s">
        <v>27003</v>
      </c>
      <c r="B6664" t="s">
        <v>27004</v>
      </c>
      <c r="D6664" t="s">
        <v>9473</v>
      </c>
      <c r="E6664" t="s">
        <v>9474</v>
      </c>
      <c r="H6664" t="s">
        <v>27005</v>
      </c>
      <c r="J6664" t="s">
        <v>497</v>
      </c>
      <c r="K6664" t="s">
        <v>498</v>
      </c>
      <c r="L6664">
        <v>4</v>
      </c>
      <c r="M6664" t="s">
        <v>27006</v>
      </c>
      <c r="N6664" t="s">
        <v>685</v>
      </c>
      <c r="O6664" t="s">
        <v>9477</v>
      </c>
      <c r="P6664" t="s">
        <v>9477</v>
      </c>
      <c r="Y6664" t="s">
        <v>27005</v>
      </c>
    </row>
    <row r="6665" spans="1:25">
      <c r="A6665" t="s">
        <v>27007</v>
      </c>
      <c r="B6665" t="s">
        <v>27008</v>
      </c>
      <c r="D6665" t="s">
        <v>9473</v>
      </c>
      <c r="E6665" t="s">
        <v>9474</v>
      </c>
      <c r="J6665" t="s">
        <v>497</v>
      </c>
      <c r="K6665" t="s">
        <v>498</v>
      </c>
      <c r="L6665">
        <v>4</v>
      </c>
      <c r="M6665" t="s">
        <v>27009</v>
      </c>
      <c r="N6665" t="s">
        <v>685</v>
      </c>
      <c r="O6665" t="s">
        <v>9477</v>
      </c>
      <c r="P6665" t="s">
        <v>9477</v>
      </c>
      <c r="Y6665" t="s">
        <v>27010</v>
      </c>
    </row>
    <row r="6666" spans="1:25">
      <c r="A6666" t="s">
        <v>27011</v>
      </c>
      <c r="B6666" t="s">
        <v>27012</v>
      </c>
      <c r="D6666" t="s">
        <v>9473</v>
      </c>
      <c r="E6666" t="s">
        <v>9474</v>
      </c>
      <c r="J6666" t="s">
        <v>497</v>
      </c>
      <c r="K6666" t="s">
        <v>498</v>
      </c>
      <c r="L6666">
        <v>3</v>
      </c>
      <c r="M6666" t="s">
        <v>27013</v>
      </c>
      <c r="N6666" t="s">
        <v>685</v>
      </c>
      <c r="O6666" t="s">
        <v>9477</v>
      </c>
      <c r="P6666" t="s">
        <v>9477</v>
      </c>
      <c r="Y6666" t="s">
        <v>27014</v>
      </c>
    </row>
    <row r="6667" spans="1:25">
      <c r="A6667" t="s">
        <v>27015</v>
      </c>
      <c r="B6667" t="s">
        <v>27016</v>
      </c>
      <c r="D6667" t="s">
        <v>9473</v>
      </c>
      <c r="E6667" t="s">
        <v>9474</v>
      </c>
      <c r="J6667" t="s">
        <v>927</v>
      </c>
      <c r="K6667" t="s">
        <v>928</v>
      </c>
      <c r="L6667">
        <v>3</v>
      </c>
      <c r="M6667" t="s">
        <v>27017</v>
      </c>
      <c r="N6667" t="s">
        <v>135</v>
      </c>
      <c r="O6667" t="s">
        <v>9477</v>
      </c>
      <c r="P6667" t="s">
        <v>9477</v>
      </c>
      <c r="Y6667" t="s">
        <v>27018</v>
      </c>
    </row>
    <row r="6668" spans="1:25">
      <c r="A6668" t="s">
        <v>27019</v>
      </c>
      <c r="B6668" t="s">
        <v>27020</v>
      </c>
      <c r="D6668" t="s">
        <v>9473</v>
      </c>
      <c r="E6668" t="s">
        <v>9474</v>
      </c>
      <c r="J6668" t="s">
        <v>497</v>
      </c>
      <c r="K6668" t="s">
        <v>498</v>
      </c>
      <c r="L6668">
        <v>3</v>
      </c>
      <c r="M6668" t="s">
        <v>27021</v>
      </c>
      <c r="N6668" t="s">
        <v>685</v>
      </c>
      <c r="O6668" t="s">
        <v>9477</v>
      </c>
      <c r="P6668" t="s">
        <v>9477</v>
      </c>
      <c r="Y6668" t="s">
        <v>27022</v>
      </c>
    </row>
    <row r="6669" spans="1:25">
      <c r="A6669" t="s">
        <v>27023</v>
      </c>
      <c r="B6669" t="s">
        <v>27024</v>
      </c>
      <c r="D6669" t="s">
        <v>9473</v>
      </c>
      <c r="E6669" t="s">
        <v>9474</v>
      </c>
      <c r="H6669" t="s">
        <v>27025</v>
      </c>
      <c r="J6669" t="s">
        <v>497</v>
      </c>
      <c r="K6669" t="s">
        <v>498</v>
      </c>
      <c r="L6669">
        <v>3</v>
      </c>
      <c r="M6669" t="s">
        <v>27026</v>
      </c>
      <c r="N6669" t="s">
        <v>685</v>
      </c>
      <c r="O6669" t="s">
        <v>9477</v>
      </c>
      <c r="P6669" t="s">
        <v>9477</v>
      </c>
      <c r="Y6669" t="s">
        <v>27025</v>
      </c>
    </row>
    <row r="6670" spans="1:25">
      <c r="A6670" t="s">
        <v>27027</v>
      </c>
      <c r="B6670" t="s">
        <v>27028</v>
      </c>
      <c r="D6670" t="s">
        <v>9473</v>
      </c>
      <c r="E6670" t="s">
        <v>9474</v>
      </c>
      <c r="J6670" t="s">
        <v>497</v>
      </c>
      <c r="K6670" t="s">
        <v>498</v>
      </c>
      <c r="L6670">
        <v>3</v>
      </c>
      <c r="M6670" t="s">
        <v>27029</v>
      </c>
      <c r="N6670" t="s">
        <v>685</v>
      </c>
      <c r="O6670" t="s">
        <v>9477</v>
      </c>
      <c r="P6670" t="s">
        <v>9477</v>
      </c>
      <c r="Y6670" t="s">
        <v>27030</v>
      </c>
    </row>
    <row r="6671" spans="1:25">
      <c r="A6671" t="s">
        <v>27031</v>
      </c>
      <c r="B6671" t="s">
        <v>27032</v>
      </c>
      <c r="D6671" t="s">
        <v>9473</v>
      </c>
      <c r="E6671" t="s">
        <v>9474</v>
      </c>
      <c r="J6671" t="s">
        <v>497</v>
      </c>
      <c r="K6671" t="s">
        <v>498</v>
      </c>
      <c r="L6671">
        <v>3</v>
      </c>
      <c r="M6671" t="s">
        <v>27033</v>
      </c>
      <c r="N6671" t="s">
        <v>685</v>
      </c>
      <c r="O6671" t="s">
        <v>9477</v>
      </c>
      <c r="P6671" t="s">
        <v>9477</v>
      </c>
      <c r="Y6671" t="s">
        <v>27034</v>
      </c>
    </row>
    <row r="6672" spans="1:25">
      <c r="A6672" t="s">
        <v>27035</v>
      </c>
      <c r="B6672" t="s">
        <v>27036</v>
      </c>
      <c r="D6672" t="s">
        <v>9473</v>
      </c>
      <c r="E6672" t="s">
        <v>9474</v>
      </c>
      <c r="H6672" t="s">
        <v>27037</v>
      </c>
      <c r="J6672" t="s">
        <v>927</v>
      </c>
      <c r="K6672" t="s">
        <v>928</v>
      </c>
      <c r="L6672">
        <v>3</v>
      </c>
      <c r="M6672" t="s">
        <v>27038</v>
      </c>
      <c r="N6672" t="s">
        <v>135</v>
      </c>
      <c r="O6672" t="s">
        <v>9477</v>
      </c>
      <c r="P6672" t="s">
        <v>9477</v>
      </c>
      <c r="Y6672" t="s">
        <v>27037</v>
      </c>
    </row>
    <row r="6673" spans="1:25">
      <c r="A6673" t="s">
        <v>27039</v>
      </c>
      <c r="B6673" t="s">
        <v>27040</v>
      </c>
      <c r="D6673" t="s">
        <v>9473</v>
      </c>
      <c r="E6673" t="s">
        <v>9474</v>
      </c>
      <c r="J6673" t="s">
        <v>497</v>
      </c>
      <c r="K6673" t="s">
        <v>498</v>
      </c>
      <c r="L6673">
        <v>3</v>
      </c>
      <c r="M6673" t="s">
        <v>27041</v>
      </c>
      <c r="N6673" t="s">
        <v>135</v>
      </c>
      <c r="O6673" t="s">
        <v>9477</v>
      </c>
      <c r="P6673" t="s">
        <v>9477</v>
      </c>
      <c r="Y6673" t="s">
        <v>27042</v>
      </c>
    </row>
    <row r="6674" spans="1:25">
      <c r="A6674" t="s">
        <v>27043</v>
      </c>
      <c r="B6674" t="s">
        <v>27044</v>
      </c>
      <c r="D6674" t="s">
        <v>9473</v>
      </c>
      <c r="E6674" t="s">
        <v>9474</v>
      </c>
      <c r="H6674" t="s">
        <v>27045</v>
      </c>
      <c r="J6674" t="s">
        <v>2948</v>
      </c>
      <c r="K6674" t="s">
        <v>2949</v>
      </c>
      <c r="L6674">
        <v>3</v>
      </c>
      <c r="M6674" t="s">
        <v>27046</v>
      </c>
      <c r="N6674" t="s">
        <v>685</v>
      </c>
      <c r="O6674" t="s">
        <v>9477</v>
      </c>
      <c r="P6674" t="s">
        <v>9477</v>
      </c>
      <c r="Y6674" t="s">
        <v>27045</v>
      </c>
    </row>
    <row r="6675" spans="1:25">
      <c r="A6675" t="s">
        <v>27047</v>
      </c>
      <c r="B6675" t="s">
        <v>27048</v>
      </c>
      <c r="D6675" t="s">
        <v>9473</v>
      </c>
      <c r="E6675" t="s">
        <v>9474</v>
      </c>
      <c r="J6675" t="s">
        <v>497</v>
      </c>
      <c r="K6675" t="s">
        <v>498</v>
      </c>
      <c r="L6675">
        <v>3</v>
      </c>
      <c r="M6675" t="s">
        <v>27049</v>
      </c>
      <c r="N6675" t="s">
        <v>135</v>
      </c>
      <c r="O6675" t="s">
        <v>9477</v>
      </c>
      <c r="P6675" t="s">
        <v>9477</v>
      </c>
      <c r="Y6675" t="s">
        <v>27050</v>
      </c>
    </row>
    <row r="6676" spans="1:25">
      <c r="A6676" t="s">
        <v>27051</v>
      </c>
      <c r="B6676" t="s">
        <v>27052</v>
      </c>
      <c r="D6676" t="s">
        <v>9473</v>
      </c>
      <c r="E6676" t="s">
        <v>9474</v>
      </c>
      <c r="H6676" t="s">
        <v>27053</v>
      </c>
      <c r="J6676" t="s">
        <v>497</v>
      </c>
      <c r="K6676" t="s">
        <v>498</v>
      </c>
      <c r="L6676">
        <v>3</v>
      </c>
      <c r="M6676" t="s">
        <v>27054</v>
      </c>
      <c r="N6676" t="s">
        <v>685</v>
      </c>
      <c r="O6676" t="s">
        <v>9477</v>
      </c>
      <c r="P6676" t="s">
        <v>9477</v>
      </c>
      <c r="Y6676" t="s">
        <v>27053</v>
      </c>
    </row>
    <row r="6677" spans="1:25">
      <c r="A6677" t="s">
        <v>27055</v>
      </c>
      <c r="B6677" t="s">
        <v>27056</v>
      </c>
      <c r="D6677" t="s">
        <v>9473</v>
      </c>
      <c r="E6677" t="s">
        <v>9474</v>
      </c>
      <c r="J6677" t="s">
        <v>497</v>
      </c>
      <c r="K6677" t="s">
        <v>498</v>
      </c>
      <c r="L6677">
        <v>3</v>
      </c>
      <c r="M6677" t="s">
        <v>27057</v>
      </c>
      <c r="N6677" t="s">
        <v>685</v>
      </c>
      <c r="O6677" t="s">
        <v>9477</v>
      </c>
      <c r="P6677" t="s">
        <v>9477</v>
      </c>
      <c r="Y6677" t="s">
        <v>27058</v>
      </c>
    </row>
    <row r="6678" spans="1:25">
      <c r="A6678" t="s">
        <v>27059</v>
      </c>
      <c r="B6678" t="s">
        <v>27060</v>
      </c>
      <c r="D6678" t="s">
        <v>9473</v>
      </c>
      <c r="E6678" t="s">
        <v>9474</v>
      </c>
      <c r="J6678" t="s">
        <v>9759</v>
      </c>
      <c r="K6678" t="s">
        <v>9760</v>
      </c>
      <c r="L6678">
        <v>4</v>
      </c>
      <c r="M6678" t="s">
        <v>27061</v>
      </c>
      <c r="N6678" t="s">
        <v>47</v>
      </c>
      <c r="O6678" t="s">
        <v>9477</v>
      </c>
      <c r="P6678" t="s">
        <v>9477</v>
      </c>
      <c r="Y6678" t="s">
        <v>27062</v>
      </c>
    </row>
    <row r="6679" spans="1:25">
      <c r="A6679" t="s">
        <v>27063</v>
      </c>
      <c r="B6679" t="s">
        <v>27064</v>
      </c>
      <c r="D6679" t="s">
        <v>9473</v>
      </c>
      <c r="E6679" t="s">
        <v>9474</v>
      </c>
      <c r="J6679" t="s">
        <v>497</v>
      </c>
      <c r="K6679" t="s">
        <v>498</v>
      </c>
      <c r="L6679">
        <v>3</v>
      </c>
      <c r="M6679" t="s">
        <v>27065</v>
      </c>
      <c r="N6679" t="s">
        <v>685</v>
      </c>
      <c r="O6679" t="s">
        <v>9477</v>
      </c>
      <c r="P6679" t="s">
        <v>9477</v>
      </c>
      <c r="Y6679" t="s">
        <v>27066</v>
      </c>
    </row>
    <row r="6680" spans="1:25">
      <c r="A6680" t="s">
        <v>27067</v>
      </c>
      <c r="B6680" t="s">
        <v>27068</v>
      </c>
      <c r="D6680" t="s">
        <v>9473</v>
      </c>
      <c r="E6680" t="s">
        <v>9474</v>
      </c>
      <c r="H6680" t="s">
        <v>27069</v>
      </c>
      <c r="J6680" t="s">
        <v>765</v>
      </c>
      <c r="K6680" t="s">
        <v>766</v>
      </c>
      <c r="L6680">
        <v>3</v>
      </c>
      <c r="M6680" t="s">
        <v>27070</v>
      </c>
      <c r="N6680" t="s">
        <v>685</v>
      </c>
      <c r="O6680" t="s">
        <v>9477</v>
      </c>
      <c r="P6680" t="s">
        <v>9477</v>
      </c>
      <c r="Y6680" t="s">
        <v>27069</v>
      </c>
    </row>
    <row r="6681" spans="1:25">
      <c r="A6681" t="s">
        <v>27071</v>
      </c>
      <c r="B6681" t="s">
        <v>27072</v>
      </c>
      <c r="D6681" t="s">
        <v>9473</v>
      </c>
      <c r="E6681" t="s">
        <v>9474</v>
      </c>
      <c r="J6681" t="s">
        <v>2948</v>
      </c>
      <c r="K6681" t="s">
        <v>2949</v>
      </c>
      <c r="L6681">
        <v>3</v>
      </c>
      <c r="M6681" t="s">
        <v>27073</v>
      </c>
      <c r="N6681" t="s">
        <v>27074</v>
      </c>
      <c r="O6681" t="s">
        <v>9477</v>
      </c>
      <c r="P6681" t="s">
        <v>9477</v>
      </c>
      <c r="Y6681" t="s">
        <v>27075</v>
      </c>
    </row>
    <row r="6682" spans="1:25">
      <c r="A6682" t="s">
        <v>27076</v>
      </c>
      <c r="B6682" t="s">
        <v>27077</v>
      </c>
      <c r="D6682" t="s">
        <v>9473</v>
      </c>
      <c r="E6682" t="s">
        <v>9474</v>
      </c>
      <c r="H6682" t="s">
        <v>27078</v>
      </c>
      <c r="J6682" t="s">
        <v>9719</v>
      </c>
      <c r="K6682" t="s">
        <v>9720</v>
      </c>
      <c r="L6682">
        <v>3</v>
      </c>
      <c r="M6682" t="s">
        <v>27079</v>
      </c>
      <c r="N6682" t="s">
        <v>135</v>
      </c>
      <c r="O6682" t="s">
        <v>9477</v>
      </c>
      <c r="P6682" t="s">
        <v>9477</v>
      </c>
      <c r="Y6682" t="s">
        <v>27078</v>
      </c>
    </row>
    <row r="6683" spans="1:25">
      <c r="A6683" t="s">
        <v>27080</v>
      </c>
      <c r="B6683" t="s">
        <v>27081</v>
      </c>
      <c r="D6683" t="s">
        <v>9473</v>
      </c>
      <c r="E6683" t="s">
        <v>9474</v>
      </c>
      <c r="H6683" t="s">
        <v>27082</v>
      </c>
      <c r="J6683" t="s">
        <v>765</v>
      </c>
      <c r="K6683" t="s">
        <v>766</v>
      </c>
      <c r="L6683">
        <v>3</v>
      </c>
      <c r="M6683" t="s">
        <v>27083</v>
      </c>
      <c r="N6683" t="s">
        <v>685</v>
      </c>
      <c r="O6683" t="s">
        <v>9477</v>
      </c>
      <c r="P6683" t="s">
        <v>9477</v>
      </c>
      <c r="Y6683" t="s">
        <v>27082</v>
      </c>
    </row>
    <row r="6684" spans="1:25">
      <c r="A6684" t="s">
        <v>27084</v>
      </c>
      <c r="B6684" t="s">
        <v>27085</v>
      </c>
      <c r="D6684" t="s">
        <v>9473</v>
      </c>
      <c r="E6684" t="s">
        <v>9474</v>
      </c>
      <c r="J6684" t="s">
        <v>497</v>
      </c>
      <c r="K6684" t="s">
        <v>498</v>
      </c>
      <c r="L6684">
        <v>3</v>
      </c>
      <c r="M6684" t="s">
        <v>27086</v>
      </c>
      <c r="N6684" t="s">
        <v>135</v>
      </c>
      <c r="O6684" t="s">
        <v>9477</v>
      </c>
      <c r="P6684" t="s">
        <v>9477</v>
      </c>
      <c r="Y6684" t="s">
        <v>27087</v>
      </c>
    </row>
    <row r="6685" spans="1:25">
      <c r="A6685" t="s">
        <v>27088</v>
      </c>
      <c r="B6685" t="s">
        <v>27089</v>
      </c>
      <c r="D6685" t="s">
        <v>9473</v>
      </c>
      <c r="E6685" t="s">
        <v>9474</v>
      </c>
      <c r="H6685" t="s">
        <v>27090</v>
      </c>
      <c r="J6685" t="s">
        <v>27091</v>
      </c>
      <c r="K6685" t="s">
        <v>27092</v>
      </c>
      <c r="L6685">
        <v>3</v>
      </c>
      <c r="M6685" t="s">
        <v>27093</v>
      </c>
      <c r="N6685" t="s">
        <v>27094</v>
      </c>
      <c r="O6685" t="s">
        <v>9477</v>
      </c>
      <c r="P6685" t="s">
        <v>9477</v>
      </c>
      <c r="Y6685" t="s">
        <v>27090</v>
      </c>
    </row>
    <row r="6686" spans="1:25">
      <c r="A6686" t="s">
        <v>27095</v>
      </c>
      <c r="B6686" t="s">
        <v>27096</v>
      </c>
      <c r="D6686" t="s">
        <v>9473</v>
      </c>
      <c r="E6686" t="s">
        <v>9474</v>
      </c>
      <c r="J6686" t="s">
        <v>927</v>
      </c>
      <c r="K6686" t="s">
        <v>928</v>
      </c>
      <c r="L6686">
        <v>3</v>
      </c>
      <c r="M6686" t="s">
        <v>27097</v>
      </c>
      <c r="N6686" t="s">
        <v>27098</v>
      </c>
      <c r="O6686" t="s">
        <v>9477</v>
      </c>
      <c r="P6686" t="s">
        <v>9477</v>
      </c>
      <c r="Y6686" t="s">
        <v>27099</v>
      </c>
    </row>
    <row r="6687" spans="1:25">
      <c r="A6687" t="s">
        <v>27100</v>
      </c>
      <c r="B6687" t="s">
        <v>27101</v>
      </c>
      <c r="D6687" t="s">
        <v>9473</v>
      </c>
      <c r="E6687" t="s">
        <v>9474</v>
      </c>
      <c r="J6687" t="s">
        <v>2948</v>
      </c>
      <c r="K6687" t="s">
        <v>2949</v>
      </c>
      <c r="L6687">
        <v>3</v>
      </c>
      <c r="M6687" t="s">
        <v>27102</v>
      </c>
      <c r="N6687" t="s">
        <v>27094</v>
      </c>
      <c r="O6687" t="s">
        <v>9477</v>
      </c>
      <c r="P6687" t="s">
        <v>9477</v>
      </c>
      <c r="Y6687" t="s">
        <v>27103</v>
      </c>
    </row>
    <row r="6688" spans="1:25">
      <c r="A6688" t="s">
        <v>27104</v>
      </c>
      <c r="B6688" t="s">
        <v>27105</v>
      </c>
      <c r="D6688" t="s">
        <v>9473</v>
      </c>
      <c r="E6688" t="s">
        <v>9474</v>
      </c>
      <c r="H6688" t="s">
        <v>27106</v>
      </c>
      <c r="J6688" t="s">
        <v>2948</v>
      </c>
      <c r="K6688" t="s">
        <v>2949</v>
      </c>
      <c r="L6688">
        <v>3</v>
      </c>
      <c r="M6688" t="s">
        <v>27107</v>
      </c>
      <c r="N6688" t="s">
        <v>27074</v>
      </c>
      <c r="O6688" t="s">
        <v>9477</v>
      </c>
      <c r="P6688" t="s">
        <v>9477</v>
      </c>
      <c r="Y6688" t="s">
        <v>27106</v>
      </c>
    </row>
    <row r="6689" spans="1:25">
      <c r="A6689" t="s">
        <v>27108</v>
      </c>
      <c r="B6689" t="s">
        <v>27109</v>
      </c>
      <c r="D6689" t="s">
        <v>9473</v>
      </c>
      <c r="E6689" t="s">
        <v>9474</v>
      </c>
      <c r="J6689" t="s">
        <v>5844</v>
      </c>
      <c r="K6689" t="s">
        <v>5845</v>
      </c>
      <c r="L6689">
        <v>3</v>
      </c>
      <c r="M6689" t="s">
        <v>27110</v>
      </c>
      <c r="N6689" t="s">
        <v>27094</v>
      </c>
      <c r="O6689" t="s">
        <v>9477</v>
      </c>
      <c r="P6689" t="s">
        <v>9477</v>
      </c>
      <c r="Y6689" t="s">
        <v>27111</v>
      </c>
    </row>
    <row r="6690" spans="1:25">
      <c r="A6690" t="s">
        <v>27112</v>
      </c>
      <c r="B6690" t="s">
        <v>27113</v>
      </c>
      <c r="D6690" t="s">
        <v>9473</v>
      </c>
      <c r="E6690" t="s">
        <v>9474</v>
      </c>
      <c r="J6690" t="s">
        <v>497</v>
      </c>
      <c r="K6690" t="s">
        <v>498</v>
      </c>
      <c r="L6690">
        <v>3</v>
      </c>
      <c r="M6690" t="s">
        <v>27114</v>
      </c>
      <c r="N6690" t="s">
        <v>27115</v>
      </c>
      <c r="O6690" t="s">
        <v>9477</v>
      </c>
      <c r="P6690" t="s">
        <v>9477</v>
      </c>
      <c r="Y6690" t="s">
        <v>27116</v>
      </c>
    </row>
    <row r="6691" spans="1:25">
      <c r="A6691" t="s">
        <v>27117</v>
      </c>
      <c r="B6691" t="s">
        <v>27118</v>
      </c>
      <c r="D6691" t="s">
        <v>9473</v>
      </c>
      <c r="E6691" t="s">
        <v>9474</v>
      </c>
      <c r="H6691" t="s">
        <v>27119</v>
      </c>
      <c r="J6691" t="s">
        <v>5844</v>
      </c>
      <c r="K6691" t="s">
        <v>5845</v>
      </c>
      <c r="L6691">
        <v>4</v>
      </c>
      <c r="M6691" t="s">
        <v>27120</v>
      </c>
      <c r="N6691" t="s">
        <v>27074</v>
      </c>
      <c r="O6691" t="s">
        <v>9477</v>
      </c>
      <c r="P6691" t="s">
        <v>9477</v>
      </c>
      <c r="Y6691" t="s">
        <v>27119</v>
      </c>
    </row>
    <row r="6692" spans="1:25">
      <c r="A6692" t="s">
        <v>27121</v>
      </c>
      <c r="B6692" t="s">
        <v>27122</v>
      </c>
      <c r="D6692" t="s">
        <v>9473</v>
      </c>
      <c r="E6692" t="s">
        <v>9474</v>
      </c>
      <c r="J6692" t="s">
        <v>287</v>
      </c>
      <c r="K6692" t="s">
        <v>288</v>
      </c>
      <c r="L6692">
        <v>6</v>
      </c>
      <c r="M6692" t="s">
        <v>27123</v>
      </c>
      <c r="N6692" t="s">
        <v>27115</v>
      </c>
      <c r="O6692" t="s">
        <v>9477</v>
      </c>
      <c r="P6692" t="s">
        <v>9477</v>
      </c>
      <c r="Y6692" t="s">
        <v>27124</v>
      </c>
    </row>
    <row r="6693" spans="1:25">
      <c r="A6693" t="s">
        <v>27125</v>
      </c>
      <c r="B6693" t="s">
        <v>27126</v>
      </c>
      <c r="D6693" t="s">
        <v>9473</v>
      </c>
      <c r="E6693" t="s">
        <v>9474</v>
      </c>
      <c r="J6693" t="s">
        <v>765</v>
      </c>
      <c r="K6693" t="s">
        <v>766</v>
      </c>
      <c r="L6693">
        <v>3</v>
      </c>
      <c r="M6693" t="s">
        <v>27127</v>
      </c>
      <c r="N6693" t="s">
        <v>27094</v>
      </c>
      <c r="O6693" t="s">
        <v>9477</v>
      </c>
      <c r="P6693" t="s">
        <v>9477</v>
      </c>
      <c r="Y6693" t="s">
        <v>27128</v>
      </c>
    </row>
    <row r="6694" spans="1:25">
      <c r="A6694" t="s">
        <v>27129</v>
      </c>
      <c r="B6694" t="s">
        <v>27130</v>
      </c>
      <c r="D6694" t="s">
        <v>9473</v>
      </c>
      <c r="E6694" t="s">
        <v>9474</v>
      </c>
      <c r="J6694" t="s">
        <v>2328</v>
      </c>
      <c r="K6694" t="s">
        <v>2329</v>
      </c>
      <c r="L6694">
        <v>3</v>
      </c>
      <c r="M6694" t="s">
        <v>27131</v>
      </c>
      <c r="N6694" t="s">
        <v>27074</v>
      </c>
      <c r="O6694" t="s">
        <v>9477</v>
      </c>
      <c r="P6694" t="s">
        <v>9477</v>
      </c>
      <c r="Y6694" t="s">
        <v>27132</v>
      </c>
    </row>
    <row r="6695" spans="1:25">
      <c r="A6695" t="s">
        <v>27133</v>
      </c>
      <c r="B6695" t="s">
        <v>27134</v>
      </c>
      <c r="D6695" t="s">
        <v>9473</v>
      </c>
      <c r="E6695" t="s">
        <v>9474</v>
      </c>
      <c r="H6695" t="s">
        <v>27135</v>
      </c>
      <c r="J6695" t="s">
        <v>497</v>
      </c>
      <c r="K6695" t="s">
        <v>498</v>
      </c>
      <c r="L6695">
        <v>3</v>
      </c>
      <c r="M6695" t="s">
        <v>27136</v>
      </c>
      <c r="N6695" t="s">
        <v>27098</v>
      </c>
      <c r="O6695" t="s">
        <v>9477</v>
      </c>
      <c r="P6695" t="s">
        <v>9477</v>
      </c>
      <c r="Y6695" t="s">
        <v>27135</v>
      </c>
    </row>
    <row r="6696" spans="1:25">
      <c r="A6696" t="s">
        <v>27137</v>
      </c>
      <c r="B6696" t="s">
        <v>27138</v>
      </c>
      <c r="D6696" t="s">
        <v>9473</v>
      </c>
      <c r="E6696" t="s">
        <v>9474</v>
      </c>
      <c r="J6696" t="s">
        <v>133</v>
      </c>
      <c r="K6696" t="s">
        <v>134</v>
      </c>
      <c r="L6696">
        <v>6</v>
      </c>
      <c r="M6696" t="s">
        <v>27139</v>
      </c>
      <c r="N6696" t="s">
        <v>27098</v>
      </c>
      <c r="O6696" t="s">
        <v>9477</v>
      </c>
      <c r="P6696" t="s">
        <v>9477</v>
      </c>
      <c r="Y6696" t="s">
        <v>27140</v>
      </c>
    </row>
    <row r="6697" spans="1:25">
      <c r="A6697" t="s">
        <v>27141</v>
      </c>
      <c r="B6697" t="s">
        <v>27142</v>
      </c>
      <c r="D6697" t="s">
        <v>9473</v>
      </c>
      <c r="E6697" t="s">
        <v>9474</v>
      </c>
      <c r="H6697" t="s">
        <v>27143</v>
      </c>
      <c r="J6697" t="s">
        <v>390</v>
      </c>
      <c r="K6697" t="s">
        <v>390</v>
      </c>
      <c r="L6697">
        <v>4</v>
      </c>
      <c r="M6697" t="s">
        <v>27144</v>
      </c>
      <c r="N6697" t="s">
        <v>27094</v>
      </c>
      <c r="O6697" t="s">
        <v>9477</v>
      </c>
      <c r="P6697" t="s">
        <v>9477</v>
      </c>
      <c r="Y6697" t="s">
        <v>27143</v>
      </c>
    </row>
    <row r="6698" spans="1:25">
      <c r="A6698" t="s">
        <v>27145</v>
      </c>
      <c r="B6698" t="s">
        <v>27146</v>
      </c>
      <c r="D6698" t="s">
        <v>9473</v>
      </c>
      <c r="E6698" t="s">
        <v>9474</v>
      </c>
      <c r="J6698" t="s">
        <v>497</v>
      </c>
      <c r="K6698" t="s">
        <v>498</v>
      </c>
      <c r="L6698">
        <v>3</v>
      </c>
      <c r="M6698" t="s">
        <v>27147</v>
      </c>
      <c r="N6698" t="s">
        <v>135</v>
      </c>
      <c r="O6698" t="s">
        <v>9477</v>
      </c>
      <c r="P6698" t="s">
        <v>9477</v>
      </c>
      <c r="Y6698" t="s">
        <v>27148</v>
      </c>
    </row>
    <row r="6699" spans="1:25">
      <c r="A6699" t="s">
        <v>27149</v>
      </c>
      <c r="B6699" t="s">
        <v>27150</v>
      </c>
      <c r="D6699" t="s">
        <v>9473</v>
      </c>
      <c r="E6699" t="s">
        <v>9474</v>
      </c>
      <c r="J6699" t="s">
        <v>497</v>
      </c>
      <c r="K6699" t="s">
        <v>498</v>
      </c>
      <c r="L6699">
        <v>3</v>
      </c>
      <c r="M6699" t="s">
        <v>27151</v>
      </c>
      <c r="N6699" t="s">
        <v>27152</v>
      </c>
      <c r="O6699" t="s">
        <v>9477</v>
      </c>
      <c r="P6699" t="s">
        <v>9477</v>
      </c>
      <c r="Y6699" t="s">
        <v>27153</v>
      </c>
    </row>
    <row r="6700" spans="1:25">
      <c r="A6700" t="s">
        <v>27154</v>
      </c>
      <c r="B6700" t="s">
        <v>27155</v>
      </c>
      <c r="D6700" t="s">
        <v>9473</v>
      </c>
      <c r="E6700" t="s">
        <v>9474</v>
      </c>
      <c r="J6700" t="s">
        <v>765</v>
      </c>
      <c r="K6700" t="s">
        <v>766</v>
      </c>
      <c r="L6700">
        <v>3</v>
      </c>
      <c r="M6700" t="s">
        <v>27156</v>
      </c>
      <c r="N6700" t="s">
        <v>27098</v>
      </c>
      <c r="O6700" t="s">
        <v>9477</v>
      </c>
      <c r="P6700" t="s">
        <v>9477</v>
      </c>
      <c r="Y6700" t="s">
        <v>27157</v>
      </c>
    </row>
    <row r="6701" spans="1:25">
      <c r="A6701" t="s">
        <v>27158</v>
      </c>
      <c r="B6701" t="s">
        <v>27159</v>
      </c>
      <c r="D6701" t="s">
        <v>9473</v>
      </c>
      <c r="E6701" t="s">
        <v>9474</v>
      </c>
      <c r="J6701" t="s">
        <v>497</v>
      </c>
      <c r="K6701" t="s">
        <v>498</v>
      </c>
      <c r="L6701">
        <v>3</v>
      </c>
      <c r="M6701" t="s">
        <v>27156</v>
      </c>
      <c r="N6701" t="s">
        <v>135</v>
      </c>
      <c r="O6701" t="s">
        <v>9477</v>
      </c>
      <c r="P6701" t="s">
        <v>9477</v>
      </c>
      <c r="Y6701" t="s">
        <v>27160</v>
      </c>
    </row>
    <row r="6702" spans="1:25">
      <c r="A6702" t="s">
        <v>27161</v>
      </c>
      <c r="B6702" t="s">
        <v>27162</v>
      </c>
      <c r="D6702" t="s">
        <v>9473</v>
      </c>
      <c r="E6702" t="s">
        <v>9474</v>
      </c>
      <c r="H6702" t="s">
        <v>27163</v>
      </c>
      <c r="J6702" t="s">
        <v>765</v>
      </c>
      <c r="K6702" t="s">
        <v>766</v>
      </c>
      <c r="L6702">
        <v>3</v>
      </c>
      <c r="M6702" t="s">
        <v>27164</v>
      </c>
      <c r="N6702" t="s">
        <v>27098</v>
      </c>
      <c r="O6702" t="s">
        <v>9477</v>
      </c>
      <c r="P6702" t="s">
        <v>9477</v>
      </c>
      <c r="Y6702" t="s">
        <v>27163</v>
      </c>
    </row>
    <row r="6703" spans="1:25">
      <c r="A6703" t="s">
        <v>27165</v>
      </c>
      <c r="B6703" t="s">
        <v>27166</v>
      </c>
      <c r="D6703" t="s">
        <v>9473</v>
      </c>
      <c r="E6703" t="s">
        <v>9474</v>
      </c>
      <c r="H6703" t="s">
        <v>27167</v>
      </c>
      <c r="J6703" t="s">
        <v>497</v>
      </c>
      <c r="K6703" t="s">
        <v>498</v>
      </c>
      <c r="L6703">
        <v>3</v>
      </c>
      <c r="M6703" t="s">
        <v>27168</v>
      </c>
      <c r="N6703" t="s">
        <v>27152</v>
      </c>
      <c r="O6703" t="s">
        <v>9477</v>
      </c>
      <c r="P6703" t="s">
        <v>9477</v>
      </c>
      <c r="Y6703" t="s">
        <v>27167</v>
      </c>
    </row>
    <row r="6704" spans="1:25">
      <c r="A6704" t="s">
        <v>27169</v>
      </c>
      <c r="B6704" t="s">
        <v>27170</v>
      </c>
      <c r="D6704" t="s">
        <v>9473</v>
      </c>
      <c r="E6704" t="s">
        <v>9474</v>
      </c>
      <c r="J6704" t="s">
        <v>1571</v>
      </c>
      <c r="K6704" t="s">
        <v>1572</v>
      </c>
      <c r="L6704">
        <v>3</v>
      </c>
      <c r="M6704" t="s">
        <v>27171</v>
      </c>
      <c r="N6704" t="s">
        <v>685</v>
      </c>
      <c r="O6704" t="s">
        <v>9477</v>
      </c>
      <c r="P6704" t="s">
        <v>9477</v>
      </c>
      <c r="Y6704" t="s">
        <v>27172</v>
      </c>
    </row>
    <row r="6705" spans="1:25">
      <c r="A6705" t="s">
        <v>27173</v>
      </c>
      <c r="B6705" t="s">
        <v>27174</v>
      </c>
      <c r="D6705" t="s">
        <v>9473</v>
      </c>
      <c r="E6705" t="s">
        <v>9474</v>
      </c>
      <c r="J6705" t="s">
        <v>390</v>
      </c>
      <c r="K6705" t="s">
        <v>390</v>
      </c>
      <c r="L6705">
        <v>3</v>
      </c>
      <c r="M6705" t="s">
        <v>27175</v>
      </c>
      <c r="N6705" t="s">
        <v>27094</v>
      </c>
      <c r="O6705" t="s">
        <v>9477</v>
      </c>
      <c r="P6705" t="s">
        <v>9477</v>
      </c>
      <c r="Y6705" t="s">
        <v>27176</v>
      </c>
    </row>
    <row r="6706" spans="1:25">
      <c r="A6706" t="s">
        <v>27177</v>
      </c>
      <c r="B6706" t="s">
        <v>27178</v>
      </c>
      <c r="D6706" t="s">
        <v>9473</v>
      </c>
      <c r="E6706" t="s">
        <v>9474</v>
      </c>
      <c r="J6706" t="s">
        <v>927</v>
      </c>
      <c r="K6706" t="s">
        <v>928</v>
      </c>
      <c r="L6706">
        <v>3</v>
      </c>
      <c r="M6706" t="s">
        <v>27179</v>
      </c>
      <c r="N6706" t="s">
        <v>27152</v>
      </c>
      <c r="O6706" t="s">
        <v>9477</v>
      </c>
      <c r="P6706" t="s">
        <v>9477</v>
      </c>
      <c r="Y6706" t="s">
        <v>27180</v>
      </c>
    </row>
    <row r="6707" spans="1:25">
      <c r="A6707" t="s">
        <v>27181</v>
      </c>
      <c r="B6707" t="s">
        <v>27182</v>
      </c>
      <c r="D6707" t="s">
        <v>9473</v>
      </c>
      <c r="E6707" t="s">
        <v>9474</v>
      </c>
      <c r="H6707" t="s">
        <v>27183</v>
      </c>
      <c r="J6707" t="s">
        <v>497</v>
      </c>
      <c r="K6707" t="s">
        <v>498</v>
      </c>
      <c r="L6707">
        <v>5</v>
      </c>
      <c r="M6707" t="s">
        <v>27184</v>
      </c>
      <c r="N6707" t="s">
        <v>685</v>
      </c>
      <c r="O6707" t="s">
        <v>9477</v>
      </c>
      <c r="P6707" t="s">
        <v>9477</v>
      </c>
      <c r="Y6707" t="s">
        <v>27183</v>
      </c>
    </row>
    <row r="6708" spans="1:25">
      <c r="A6708" t="s">
        <v>27185</v>
      </c>
      <c r="B6708" t="s">
        <v>27186</v>
      </c>
      <c r="D6708" t="s">
        <v>9473</v>
      </c>
      <c r="E6708" t="s">
        <v>9474</v>
      </c>
      <c r="J6708" t="s">
        <v>497</v>
      </c>
      <c r="K6708" t="s">
        <v>498</v>
      </c>
      <c r="L6708">
        <v>3</v>
      </c>
      <c r="M6708" t="s">
        <v>27187</v>
      </c>
      <c r="N6708" t="s">
        <v>27098</v>
      </c>
      <c r="O6708" t="s">
        <v>9477</v>
      </c>
      <c r="P6708" t="s">
        <v>9477</v>
      </c>
      <c r="Y6708" t="s">
        <v>27188</v>
      </c>
    </row>
    <row r="6709" spans="1:25">
      <c r="A6709" t="s">
        <v>27189</v>
      </c>
      <c r="B6709" t="s">
        <v>27190</v>
      </c>
      <c r="D6709" t="s">
        <v>9473</v>
      </c>
      <c r="E6709" t="s">
        <v>9474</v>
      </c>
      <c r="J6709" t="s">
        <v>1571</v>
      </c>
      <c r="K6709" t="s">
        <v>1572</v>
      </c>
      <c r="L6709">
        <v>5</v>
      </c>
      <c r="M6709" t="s">
        <v>27191</v>
      </c>
      <c r="N6709" t="s">
        <v>27115</v>
      </c>
      <c r="O6709" t="s">
        <v>9477</v>
      </c>
      <c r="P6709" t="s">
        <v>9477</v>
      </c>
      <c r="Y6709" t="s">
        <v>27192</v>
      </c>
    </row>
    <row r="6710" spans="1:25">
      <c r="A6710" t="s">
        <v>27193</v>
      </c>
      <c r="B6710" t="s">
        <v>27194</v>
      </c>
      <c r="D6710" t="s">
        <v>9473</v>
      </c>
      <c r="E6710" t="s">
        <v>9474</v>
      </c>
      <c r="J6710" t="s">
        <v>497</v>
      </c>
      <c r="K6710" t="s">
        <v>498</v>
      </c>
      <c r="L6710">
        <v>3</v>
      </c>
      <c r="M6710" t="s">
        <v>27195</v>
      </c>
      <c r="N6710" t="s">
        <v>135</v>
      </c>
      <c r="O6710" t="s">
        <v>9477</v>
      </c>
      <c r="P6710" t="s">
        <v>9477</v>
      </c>
      <c r="Y6710" t="s">
        <v>27196</v>
      </c>
    </row>
    <row r="6711" spans="1:25">
      <c r="A6711" t="s">
        <v>27197</v>
      </c>
      <c r="B6711" t="s">
        <v>27198</v>
      </c>
      <c r="D6711" t="s">
        <v>9473</v>
      </c>
      <c r="E6711" t="s">
        <v>9474</v>
      </c>
      <c r="J6711" t="s">
        <v>497</v>
      </c>
      <c r="K6711" t="s">
        <v>498</v>
      </c>
      <c r="L6711">
        <v>3</v>
      </c>
      <c r="M6711" t="s">
        <v>27199</v>
      </c>
      <c r="N6711" t="s">
        <v>27094</v>
      </c>
      <c r="O6711" t="s">
        <v>9477</v>
      </c>
      <c r="P6711" t="s">
        <v>9477</v>
      </c>
      <c r="Y6711" t="s">
        <v>27200</v>
      </c>
    </row>
    <row r="6712" spans="1:25">
      <c r="A6712" t="s">
        <v>27201</v>
      </c>
      <c r="B6712" t="s">
        <v>27202</v>
      </c>
      <c r="D6712" t="s">
        <v>9473</v>
      </c>
      <c r="E6712" t="s">
        <v>9474</v>
      </c>
      <c r="J6712" t="s">
        <v>2328</v>
      </c>
      <c r="K6712" t="s">
        <v>2329</v>
      </c>
      <c r="L6712">
        <v>3</v>
      </c>
      <c r="M6712" t="s">
        <v>27203</v>
      </c>
      <c r="N6712" t="s">
        <v>27074</v>
      </c>
      <c r="O6712" t="s">
        <v>9477</v>
      </c>
      <c r="P6712" t="s">
        <v>9477</v>
      </c>
      <c r="Y6712" t="s">
        <v>27204</v>
      </c>
    </row>
    <row r="6713" spans="1:25">
      <c r="A6713" t="s">
        <v>27205</v>
      </c>
      <c r="B6713" t="s">
        <v>27206</v>
      </c>
      <c r="D6713" t="s">
        <v>9473</v>
      </c>
      <c r="E6713" t="s">
        <v>9474</v>
      </c>
      <c r="H6713" t="s">
        <v>27207</v>
      </c>
      <c r="J6713" t="s">
        <v>2328</v>
      </c>
      <c r="K6713" t="s">
        <v>2329</v>
      </c>
      <c r="L6713">
        <v>6</v>
      </c>
      <c r="M6713" t="s">
        <v>27208</v>
      </c>
      <c r="N6713" t="s">
        <v>27152</v>
      </c>
      <c r="O6713" t="s">
        <v>9477</v>
      </c>
      <c r="P6713" t="s">
        <v>9477</v>
      </c>
      <c r="Y6713" t="s">
        <v>27207</v>
      </c>
    </row>
    <row r="6714" spans="1:25">
      <c r="A6714" t="s">
        <v>27209</v>
      </c>
      <c r="B6714" t="s">
        <v>27210</v>
      </c>
      <c r="D6714" t="s">
        <v>9473</v>
      </c>
      <c r="E6714" t="s">
        <v>9474</v>
      </c>
      <c r="H6714" t="s">
        <v>27211</v>
      </c>
      <c r="J6714" t="s">
        <v>765</v>
      </c>
      <c r="K6714" t="s">
        <v>766</v>
      </c>
      <c r="L6714">
        <v>3</v>
      </c>
      <c r="M6714" t="s">
        <v>27212</v>
      </c>
      <c r="N6714" t="s">
        <v>27094</v>
      </c>
      <c r="O6714" t="s">
        <v>9477</v>
      </c>
      <c r="P6714" t="s">
        <v>9477</v>
      </c>
      <c r="Y6714" t="s">
        <v>27211</v>
      </c>
    </row>
    <row r="6715" spans="1:25">
      <c r="A6715" t="s">
        <v>27213</v>
      </c>
      <c r="B6715" t="s">
        <v>27214</v>
      </c>
      <c r="D6715" t="s">
        <v>9473</v>
      </c>
      <c r="E6715" t="s">
        <v>9474</v>
      </c>
      <c r="H6715" t="s">
        <v>27215</v>
      </c>
      <c r="J6715" t="s">
        <v>765</v>
      </c>
      <c r="K6715" t="s">
        <v>766</v>
      </c>
      <c r="L6715">
        <v>3</v>
      </c>
      <c r="M6715" t="s">
        <v>27216</v>
      </c>
      <c r="N6715" t="s">
        <v>27098</v>
      </c>
      <c r="O6715" t="s">
        <v>9477</v>
      </c>
      <c r="P6715" t="s">
        <v>9477</v>
      </c>
      <c r="Y6715" t="s">
        <v>27215</v>
      </c>
    </row>
    <row r="6716" spans="1:25">
      <c r="A6716" t="s">
        <v>27217</v>
      </c>
      <c r="B6716" t="s">
        <v>27218</v>
      </c>
      <c r="D6716" t="s">
        <v>9473</v>
      </c>
      <c r="E6716" t="s">
        <v>9474</v>
      </c>
      <c r="J6716" t="s">
        <v>765</v>
      </c>
      <c r="K6716" t="s">
        <v>766</v>
      </c>
      <c r="L6716">
        <v>3</v>
      </c>
      <c r="M6716" t="s">
        <v>27219</v>
      </c>
      <c r="N6716" t="s">
        <v>290</v>
      </c>
      <c r="O6716" t="s">
        <v>9477</v>
      </c>
      <c r="P6716" t="s">
        <v>9477</v>
      </c>
      <c r="Y6716" t="s">
        <v>27220</v>
      </c>
    </row>
    <row r="6717" spans="1:25">
      <c r="A6717" t="s">
        <v>27221</v>
      </c>
      <c r="B6717" t="s">
        <v>27222</v>
      </c>
      <c r="D6717" t="s">
        <v>9473</v>
      </c>
      <c r="E6717" t="s">
        <v>9474</v>
      </c>
      <c r="J6717" t="s">
        <v>765</v>
      </c>
      <c r="K6717" t="s">
        <v>766</v>
      </c>
      <c r="L6717">
        <v>3</v>
      </c>
      <c r="M6717" t="s">
        <v>27223</v>
      </c>
      <c r="N6717" t="s">
        <v>27098</v>
      </c>
      <c r="O6717" t="s">
        <v>9477</v>
      </c>
      <c r="P6717" t="s">
        <v>9477</v>
      </c>
      <c r="Y6717" t="s">
        <v>27224</v>
      </c>
    </row>
    <row r="6718" spans="1:25">
      <c r="A6718" t="s">
        <v>27225</v>
      </c>
      <c r="B6718" t="s">
        <v>27226</v>
      </c>
      <c r="D6718" t="s">
        <v>9473</v>
      </c>
      <c r="E6718" t="s">
        <v>9474</v>
      </c>
      <c r="H6718" t="s">
        <v>27227</v>
      </c>
      <c r="J6718" t="s">
        <v>497</v>
      </c>
      <c r="K6718" t="s">
        <v>498</v>
      </c>
      <c r="L6718">
        <v>3</v>
      </c>
      <c r="M6718" t="s">
        <v>27228</v>
      </c>
      <c r="N6718" t="s">
        <v>27094</v>
      </c>
      <c r="O6718" t="s">
        <v>9477</v>
      </c>
      <c r="P6718" t="s">
        <v>9477</v>
      </c>
      <c r="Y6718" t="s">
        <v>27227</v>
      </c>
    </row>
    <row r="6719" spans="1:25">
      <c r="A6719" t="s">
        <v>27229</v>
      </c>
      <c r="B6719" t="s">
        <v>27230</v>
      </c>
      <c r="D6719" t="s">
        <v>9473</v>
      </c>
      <c r="E6719" t="s">
        <v>9474</v>
      </c>
      <c r="G6719" t="s">
        <v>27231</v>
      </c>
      <c r="H6719" t="s">
        <v>27232</v>
      </c>
      <c r="J6719" t="s">
        <v>287</v>
      </c>
      <c r="K6719" t="s">
        <v>288</v>
      </c>
      <c r="L6719">
        <v>8</v>
      </c>
      <c r="M6719" t="s">
        <v>27233</v>
      </c>
      <c r="N6719" t="s">
        <v>27094</v>
      </c>
      <c r="O6719" t="s">
        <v>9477</v>
      </c>
      <c r="P6719" t="s">
        <v>27234</v>
      </c>
      <c r="Y6719" t="s">
        <v>27235</v>
      </c>
    </row>
    <row r="6720" spans="1:25">
      <c r="A6720" t="s">
        <v>27236</v>
      </c>
      <c r="B6720" t="s">
        <v>27237</v>
      </c>
      <c r="D6720" t="s">
        <v>9473</v>
      </c>
      <c r="E6720" t="s">
        <v>9474</v>
      </c>
      <c r="H6720" t="s">
        <v>27238</v>
      </c>
      <c r="J6720" t="s">
        <v>390</v>
      </c>
      <c r="K6720" t="s">
        <v>390</v>
      </c>
      <c r="L6720">
        <v>3</v>
      </c>
      <c r="M6720" t="s">
        <v>27239</v>
      </c>
      <c r="N6720" t="s">
        <v>27074</v>
      </c>
      <c r="O6720" t="s">
        <v>9477</v>
      </c>
      <c r="P6720" t="s">
        <v>9477</v>
      </c>
      <c r="Y6720" t="s">
        <v>27238</v>
      </c>
    </row>
    <row r="6721" spans="1:25">
      <c r="A6721" t="s">
        <v>27240</v>
      </c>
      <c r="B6721" t="s">
        <v>27241</v>
      </c>
      <c r="D6721" t="s">
        <v>9473</v>
      </c>
      <c r="E6721" t="s">
        <v>9474</v>
      </c>
      <c r="J6721" t="s">
        <v>9719</v>
      </c>
      <c r="K6721" t="s">
        <v>9720</v>
      </c>
      <c r="L6721">
        <v>3</v>
      </c>
      <c r="M6721" t="s">
        <v>27242</v>
      </c>
      <c r="N6721" t="s">
        <v>27094</v>
      </c>
      <c r="O6721" t="s">
        <v>9477</v>
      </c>
      <c r="P6721" t="s">
        <v>9477</v>
      </c>
      <c r="Y6721" t="s">
        <v>27243</v>
      </c>
    </row>
    <row r="6722" spans="1:25">
      <c r="A6722" t="s">
        <v>27244</v>
      </c>
      <c r="B6722" t="s">
        <v>27245</v>
      </c>
      <c r="D6722" t="s">
        <v>9473</v>
      </c>
      <c r="E6722" t="s">
        <v>9474</v>
      </c>
      <c r="J6722" t="s">
        <v>1571</v>
      </c>
      <c r="K6722" t="s">
        <v>1572</v>
      </c>
      <c r="L6722">
        <v>11</v>
      </c>
      <c r="M6722" t="s">
        <v>27246</v>
      </c>
      <c r="N6722" t="s">
        <v>27115</v>
      </c>
      <c r="O6722" t="s">
        <v>9477</v>
      </c>
      <c r="P6722" t="s">
        <v>9477</v>
      </c>
      <c r="Y6722" t="s">
        <v>27247</v>
      </c>
    </row>
    <row r="6723" spans="1:25">
      <c r="A6723" t="s">
        <v>27248</v>
      </c>
      <c r="B6723" t="s">
        <v>27249</v>
      </c>
      <c r="D6723" t="s">
        <v>9473</v>
      </c>
      <c r="E6723" t="s">
        <v>9474</v>
      </c>
      <c r="J6723" t="s">
        <v>5964</v>
      </c>
      <c r="K6723" t="s">
        <v>5965</v>
      </c>
      <c r="L6723">
        <v>3</v>
      </c>
      <c r="M6723" t="s">
        <v>27250</v>
      </c>
      <c r="N6723" t="s">
        <v>290</v>
      </c>
      <c r="O6723" t="s">
        <v>9477</v>
      </c>
      <c r="P6723" t="s">
        <v>9477</v>
      </c>
      <c r="Y6723" t="s">
        <v>27251</v>
      </c>
    </row>
    <row r="6724" spans="1:25">
      <c r="A6724" t="s">
        <v>27252</v>
      </c>
      <c r="B6724" t="s">
        <v>27253</v>
      </c>
      <c r="D6724" t="s">
        <v>9473</v>
      </c>
      <c r="E6724" t="s">
        <v>9474</v>
      </c>
      <c r="J6724" t="s">
        <v>765</v>
      </c>
      <c r="K6724" t="s">
        <v>766</v>
      </c>
      <c r="L6724">
        <v>4</v>
      </c>
      <c r="M6724" t="s">
        <v>27254</v>
      </c>
      <c r="N6724" t="s">
        <v>27098</v>
      </c>
      <c r="O6724" t="s">
        <v>9477</v>
      </c>
      <c r="P6724" t="s">
        <v>9477</v>
      </c>
      <c r="Y6724" t="s">
        <v>27255</v>
      </c>
    </row>
    <row r="6725" spans="1:25">
      <c r="A6725" t="s">
        <v>27256</v>
      </c>
      <c r="B6725" t="s">
        <v>27257</v>
      </c>
      <c r="D6725" t="s">
        <v>9473</v>
      </c>
      <c r="E6725" t="s">
        <v>9474</v>
      </c>
      <c r="J6725" t="s">
        <v>765</v>
      </c>
      <c r="K6725" t="s">
        <v>766</v>
      </c>
      <c r="L6725">
        <v>3</v>
      </c>
      <c r="M6725" t="s">
        <v>27258</v>
      </c>
      <c r="N6725" t="s">
        <v>290</v>
      </c>
      <c r="O6725" t="s">
        <v>9477</v>
      </c>
      <c r="P6725" t="s">
        <v>9477</v>
      </c>
      <c r="Y6725" t="s">
        <v>27259</v>
      </c>
    </row>
    <row r="6726" spans="1:25">
      <c r="A6726" t="s">
        <v>27260</v>
      </c>
      <c r="B6726" t="s">
        <v>27261</v>
      </c>
      <c r="D6726" t="s">
        <v>9473</v>
      </c>
      <c r="E6726" t="s">
        <v>9474</v>
      </c>
      <c r="H6726" t="s">
        <v>27262</v>
      </c>
      <c r="J6726" t="s">
        <v>6594</v>
      </c>
      <c r="K6726" t="s">
        <v>6595</v>
      </c>
      <c r="L6726">
        <v>10</v>
      </c>
      <c r="M6726" t="s">
        <v>27263</v>
      </c>
      <c r="N6726" t="s">
        <v>27152</v>
      </c>
      <c r="O6726" t="s">
        <v>9477</v>
      </c>
      <c r="P6726" t="s">
        <v>9477</v>
      </c>
      <c r="Y6726" t="s">
        <v>27262</v>
      </c>
    </row>
    <row r="6727" spans="1:25">
      <c r="A6727" t="s">
        <v>27264</v>
      </c>
      <c r="B6727" t="s">
        <v>27265</v>
      </c>
      <c r="D6727" t="s">
        <v>9473</v>
      </c>
      <c r="E6727" t="s">
        <v>9474</v>
      </c>
      <c r="J6727" t="s">
        <v>9719</v>
      </c>
      <c r="K6727" t="s">
        <v>9720</v>
      </c>
      <c r="L6727">
        <v>3</v>
      </c>
      <c r="M6727" t="s">
        <v>27266</v>
      </c>
      <c r="N6727" t="s">
        <v>27098</v>
      </c>
      <c r="O6727" t="s">
        <v>9477</v>
      </c>
      <c r="P6727" t="s">
        <v>9477</v>
      </c>
      <c r="Y6727" t="s">
        <v>27267</v>
      </c>
    </row>
    <row r="6728" spans="1:25">
      <c r="A6728" t="s">
        <v>27268</v>
      </c>
      <c r="B6728" t="s">
        <v>27269</v>
      </c>
      <c r="D6728" t="s">
        <v>9473</v>
      </c>
      <c r="E6728" t="s">
        <v>9474</v>
      </c>
      <c r="J6728" t="s">
        <v>10222</v>
      </c>
      <c r="K6728" t="s">
        <v>10223</v>
      </c>
      <c r="L6728">
        <v>3</v>
      </c>
      <c r="M6728" t="s">
        <v>27270</v>
      </c>
      <c r="N6728" t="s">
        <v>27094</v>
      </c>
      <c r="O6728" t="s">
        <v>9477</v>
      </c>
      <c r="P6728" t="s">
        <v>9477</v>
      </c>
      <c r="Y6728" t="s">
        <v>27271</v>
      </c>
    </row>
    <row r="6729" spans="1:25">
      <c r="A6729" t="s">
        <v>27272</v>
      </c>
      <c r="B6729" t="s">
        <v>27273</v>
      </c>
      <c r="D6729" t="s">
        <v>9473</v>
      </c>
      <c r="E6729" t="s">
        <v>9474</v>
      </c>
      <c r="H6729" t="s">
        <v>27274</v>
      </c>
      <c r="J6729" t="s">
        <v>765</v>
      </c>
      <c r="K6729" t="s">
        <v>766</v>
      </c>
      <c r="L6729">
        <v>3</v>
      </c>
      <c r="M6729" t="s">
        <v>27275</v>
      </c>
      <c r="N6729" t="s">
        <v>27098</v>
      </c>
      <c r="O6729" t="s">
        <v>9477</v>
      </c>
      <c r="P6729" t="s">
        <v>9477</v>
      </c>
      <c r="Y6729" t="s">
        <v>27274</v>
      </c>
    </row>
    <row r="6730" spans="1:25">
      <c r="A6730" t="s">
        <v>27276</v>
      </c>
      <c r="B6730" t="s">
        <v>27277</v>
      </c>
      <c r="D6730" t="s">
        <v>9473</v>
      </c>
      <c r="E6730" t="s">
        <v>9474</v>
      </c>
      <c r="J6730" t="s">
        <v>5844</v>
      </c>
      <c r="K6730" t="s">
        <v>5845</v>
      </c>
      <c r="L6730">
        <v>3</v>
      </c>
      <c r="M6730" t="s">
        <v>27278</v>
      </c>
      <c r="N6730" t="s">
        <v>27094</v>
      </c>
      <c r="O6730" t="s">
        <v>9477</v>
      </c>
      <c r="P6730" t="s">
        <v>9477</v>
      </c>
      <c r="Y6730" t="s">
        <v>27279</v>
      </c>
    </row>
    <row r="6731" spans="1:25">
      <c r="A6731" t="s">
        <v>27280</v>
      </c>
      <c r="B6731" t="s">
        <v>27281</v>
      </c>
      <c r="D6731" t="s">
        <v>9473</v>
      </c>
      <c r="E6731" t="s">
        <v>9474</v>
      </c>
      <c r="J6731" t="s">
        <v>9759</v>
      </c>
      <c r="K6731" t="s">
        <v>9760</v>
      </c>
      <c r="L6731">
        <v>4</v>
      </c>
      <c r="M6731" t="s">
        <v>27282</v>
      </c>
      <c r="N6731" t="s">
        <v>290</v>
      </c>
      <c r="O6731" t="s">
        <v>9477</v>
      </c>
      <c r="P6731" t="s">
        <v>9477</v>
      </c>
      <c r="Y6731" t="s">
        <v>27283</v>
      </c>
    </row>
    <row r="6732" spans="1:25">
      <c r="A6732" t="s">
        <v>27284</v>
      </c>
      <c r="B6732" t="s">
        <v>27285</v>
      </c>
      <c r="D6732" t="s">
        <v>9473</v>
      </c>
      <c r="E6732" t="s">
        <v>9474</v>
      </c>
      <c r="H6732" t="s">
        <v>27286</v>
      </c>
      <c r="J6732" t="s">
        <v>133</v>
      </c>
      <c r="K6732" t="s">
        <v>134</v>
      </c>
      <c r="L6732">
        <v>13</v>
      </c>
      <c r="M6732" t="s">
        <v>27287</v>
      </c>
      <c r="N6732" t="s">
        <v>135</v>
      </c>
      <c r="O6732" t="s">
        <v>9477</v>
      </c>
      <c r="P6732" t="s">
        <v>9477</v>
      </c>
      <c r="Y6732" t="s">
        <v>27286</v>
      </c>
    </row>
    <row r="6733" spans="1:25">
      <c r="A6733" t="s">
        <v>27288</v>
      </c>
      <c r="B6733" t="s">
        <v>27289</v>
      </c>
      <c r="D6733" t="s">
        <v>9473</v>
      </c>
      <c r="E6733" t="s">
        <v>9474</v>
      </c>
      <c r="H6733" t="s">
        <v>27290</v>
      </c>
      <c r="J6733" t="s">
        <v>5964</v>
      </c>
      <c r="K6733" t="s">
        <v>5965</v>
      </c>
      <c r="L6733">
        <v>4</v>
      </c>
      <c r="M6733" t="s">
        <v>27291</v>
      </c>
      <c r="N6733" t="s">
        <v>27098</v>
      </c>
      <c r="O6733" t="s">
        <v>9477</v>
      </c>
      <c r="P6733" t="s">
        <v>9477</v>
      </c>
      <c r="Y6733" t="s">
        <v>27290</v>
      </c>
    </row>
    <row r="6734" spans="1:25">
      <c r="A6734" t="s">
        <v>27292</v>
      </c>
      <c r="B6734" t="s">
        <v>27293</v>
      </c>
      <c r="D6734" t="s">
        <v>9473</v>
      </c>
      <c r="E6734" t="s">
        <v>9474</v>
      </c>
      <c r="J6734" t="s">
        <v>2328</v>
      </c>
      <c r="K6734" t="s">
        <v>2329</v>
      </c>
      <c r="L6734">
        <v>3</v>
      </c>
      <c r="M6734" t="s">
        <v>27294</v>
      </c>
      <c r="N6734" t="s">
        <v>27152</v>
      </c>
      <c r="O6734" t="s">
        <v>9477</v>
      </c>
      <c r="P6734" t="s">
        <v>9477</v>
      </c>
      <c r="Y6734" t="s">
        <v>27295</v>
      </c>
    </row>
    <row r="6735" spans="1:25">
      <c r="A6735" t="s">
        <v>27296</v>
      </c>
      <c r="B6735" t="s">
        <v>27297</v>
      </c>
      <c r="D6735" t="s">
        <v>9473</v>
      </c>
      <c r="E6735" t="s">
        <v>9474</v>
      </c>
      <c r="H6735" t="s">
        <v>27298</v>
      </c>
      <c r="J6735" t="s">
        <v>390</v>
      </c>
      <c r="K6735" t="s">
        <v>390</v>
      </c>
      <c r="L6735">
        <v>4</v>
      </c>
      <c r="M6735" t="s">
        <v>27299</v>
      </c>
      <c r="N6735" t="s">
        <v>685</v>
      </c>
      <c r="O6735" t="s">
        <v>9477</v>
      </c>
      <c r="P6735" t="s">
        <v>9477</v>
      </c>
      <c r="Y6735" t="s">
        <v>27298</v>
      </c>
    </row>
    <row r="6736" spans="1:25">
      <c r="A6736" t="s">
        <v>27300</v>
      </c>
      <c r="B6736" t="s">
        <v>27301</v>
      </c>
      <c r="D6736" t="s">
        <v>9473</v>
      </c>
      <c r="E6736" t="s">
        <v>9474</v>
      </c>
      <c r="H6736" t="s">
        <v>27302</v>
      </c>
      <c r="J6736" t="s">
        <v>765</v>
      </c>
      <c r="K6736" t="s">
        <v>766</v>
      </c>
      <c r="L6736">
        <v>3</v>
      </c>
      <c r="M6736" t="s">
        <v>27303</v>
      </c>
      <c r="N6736" t="s">
        <v>290</v>
      </c>
      <c r="O6736" t="s">
        <v>9477</v>
      </c>
      <c r="P6736" t="s">
        <v>9477</v>
      </c>
      <c r="Y6736" t="s">
        <v>27302</v>
      </c>
    </row>
    <row r="6737" spans="1:25">
      <c r="A6737" t="s">
        <v>27304</v>
      </c>
      <c r="B6737" t="s">
        <v>27305</v>
      </c>
      <c r="D6737" t="s">
        <v>9473</v>
      </c>
      <c r="E6737" t="s">
        <v>9474</v>
      </c>
      <c r="J6737" t="s">
        <v>27306</v>
      </c>
      <c r="K6737" t="s">
        <v>27307</v>
      </c>
      <c r="L6737">
        <v>3</v>
      </c>
      <c r="M6737" t="s">
        <v>27308</v>
      </c>
      <c r="N6737" t="s">
        <v>27152</v>
      </c>
      <c r="O6737" t="s">
        <v>9477</v>
      </c>
      <c r="P6737" t="s">
        <v>9477</v>
      </c>
      <c r="Y6737" t="s">
        <v>27309</v>
      </c>
    </row>
    <row r="6738" spans="1:25">
      <c r="A6738" t="s">
        <v>27310</v>
      </c>
      <c r="B6738" t="s">
        <v>27311</v>
      </c>
      <c r="D6738" t="s">
        <v>9473</v>
      </c>
      <c r="E6738" t="s">
        <v>9474</v>
      </c>
      <c r="J6738" t="s">
        <v>765</v>
      </c>
      <c r="K6738" t="s">
        <v>766</v>
      </c>
      <c r="L6738">
        <v>3</v>
      </c>
      <c r="M6738" t="s">
        <v>27312</v>
      </c>
      <c r="N6738" t="s">
        <v>27094</v>
      </c>
      <c r="O6738" t="s">
        <v>9477</v>
      </c>
      <c r="P6738" t="s">
        <v>9477</v>
      </c>
      <c r="Y6738" t="s">
        <v>27313</v>
      </c>
    </row>
    <row r="6739" spans="1:25">
      <c r="A6739" t="s">
        <v>27314</v>
      </c>
      <c r="B6739" t="s">
        <v>27315</v>
      </c>
      <c r="D6739" t="s">
        <v>9473</v>
      </c>
      <c r="E6739" t="s">
        <v>9474</v>
      </c>
      <c r="J6739" t="s">
        <v>2328</v>
      </c>
      <c r="K6739" t="s">
        <v>2329</v>
      </c>
      <c r="L6739">
        <v>3</v>
      </c>
      <c r="M6739" t="s">
        <v>27312</v>
      </c>
      <c r="N6739" t="s">
        <v>27152</v>
      </c>
      <c r="O6739" t="s">
        <v>9477</v>
      </c>
      <c r="P6739" t="s">
        <v>9477</v>
      </c>
      <c r="Y6739" t="s">
        <v>27316</v>
      </c>
    </row>
    <row r="6740" spans="1:25">
      <c r="A6740" t="s">
        <v>27317</v>
      </c>
      <c r="B6740" t="s">
        <v>27318</v>
      </c>
      <c r="D6740" t="s">
        <v>9473</v>
      </c>
      <c r="E6740" t="s">
        <v>9474</v>
      </c>
      <c r="J6740" t="s">
        <v>497</v>
      </c>
      <c r="K6740" t="s">
        <v>498</v>
      </c>
      <c r="L6740">
        <v>3</v>
      </c>
      <c r="M6740" t="s">
        <v>27319</v>
      </c>
      <c r="N6740" t="s">
        <v>27098</v>
      </c>
      <c r="O6740" t="s">
        <v>9477</v>
      </c>
      <c r="P6740" t="s">
        <v>9477</v>
      </c>
      <c r="Y6740" t="s">
        <v>27320</v>
      </c>
    </row>
    <row r="6741" spans="1:25">
      <c r="A6741" t="s">
        <v>27321</v>
      </c>
      <c r="B6741" t="s">
        <v>27322</v>
      </c>
      <c r="D6741" t="s">
        <v>9473</v>
      </c>
      <c r="E6741" t="s">
        <v>9474</v>
      </c>
      <c r="J6741" t="s">
        <v>2328</v>
      </c>
      <c r="K6741" t="s">
        <v>2329</v>
      </c>
      <c r="L6741">
        <v>3</v>
      </c>
      <c r="M6741" t="s">
        <v>27323</v>
      </c>
      <c r="N6741" t="s">
        <v>27152</v>
      </c>
      <c r="O6741" t="s">
        <v>9477</v>
      </c>
      <c r="P6741" t="s">
        <v>9477</v>
      </c>
      <c r="Y6741" t="s">
        <v>27324</v>
      </c>
    </row>
    <row r="6742" spans="1:25">
      <c r="A6742" t="s">
        <v>27325</v>
      </c>
      <c r="B6742" t="s">
        <v>27326</v>
      </c>
      <c r="D6742" t="s">
        <v>9473</v>
      </c>
      <c r="E6742" t="s">
        <v>9474</v>
      </c>
      <c r="J6742" t="s">
        <v>2328</v>
      </c>
      <c r="K6742" t="s">
        <v>2329</v>
      </c>
      <c r="L6742">
        <v>3</v>
      </c>
      <c r="M6742" t="s">
        <v>27327</v>
      </c>
      <c r="N6742" t="s">
        <v>27152</v>
      </c>
      <c r="O6742" t="s">
        <v>9477</v>
      </c>
      <c r="P6742" t="s">
        <v>9477</v>
      </c>
      <c r="Y6742" t="s">
        <v>27328</v>
      </c>
    </row>
    <row r="6743" spans="1:25">
      <c r="A6743" t="s">
        <v>27329</v>
      </c>
      <c r="B6743" t="s">
        <v>27330</v>
      </c>
      <c r="D6743" t="s">
        <v>9473</v>
      </c>
      <c r="E6743" t="s">
        <v>9474</v>
      </c>
      <c r="J6743" t="s">
        <v>683</v>
      </c>
      <c r="K6743" t="s">
        <v>684</v>
      </c>
      <c r="L6743">
        <v>3</v>
      </c>
      <c r="M6743" t="s">
        <v>27331</v>
      </c>
      <c r="N6743" t="s">
        <v>27074</v>
      </c>
      <c r="O6743" t="s">
        <v>9477</v>
      </c>
      <c r="P6743" t="s">
        <v>9477</v>
      </c>
      <c r="Y6743" t="s">
        <v>27332</v>
      </c>
    </row>
    <row r="6744" spans="1:25">
      <c r="A6744" t="s">
        <v>27333</v>
      </c>
      <c r="B6744" t="s">
        <v>27334</v>
      </c>
      <c r="D6744" t="s">
        <v>9473</v>
      </c>
      <c r="E6744" t="s">
        <v>9474</v>
      </c>
      <c r="J6744" t="s">
        <v>497</v>
      </c>
      <c r="K6744" t="s">
        <v>498</v>
      </c>
      <c r="L6744">
        <v>5</v>
      </c>
      <c r="M6744" t="s">
        <v>27335</v>
      </c>
      <c r="N6744" t="s">
        <v>27074</v>
      </c>
      <c r="O6744" t="s">
        <v>9477</v>
      </c>
      <c r="P6744" t="s">
        <v>9477</v>
      </c>
      <c r="Y6744" t="s">
        <v>27336</v>
      </c>
    </row>
    <row r="6745" spans="1:25">
      <c r="A6745" t="s">
        <v>27337</v>
      </c>
      <c r="B6745" t="s">
        <v>27338</v>
      </c>
      <c r="D6745" t="s">
        <v>9473</v>
      </c>
      <c r="E6745" t="s">
        <v>9474</v>
      </c>
      <c r="J6745" t="s">
        <v>765</v>
      </c>
      <c r="K6745" t="s">
        <v>766</v>
      </c>
      <c r="L6745">
        <v>3</v>
      </c>
      <c r="M6745" t="s">
        <v>27339</v>
      </c>
      <c r="N6745" t="s">
        <v>27094</v>
      </c>
      <c r="O6745" t="s">
        <v>9477</v>
      </c>
      <c r="P6745" t="s">
        <v>9477</v>
      </c>
      <c r="Y6745" t="s">
        <v>27340</v>
      </c>
    </row>
    <row r="6746" spans="1:25">
      <c r="A6746" t="s">
        <v>27341</v>
      </c>
      <c r="B6746" t="s">
        <v>27342</v>
      </c>
      <c r="D6746" t="s">
        <v>9473</v>
      </c>
      <c r="E6746" t="s">
        <v>9474</v>
      </c>
      <c r="J6746" t="s">
        <v>9719</v>
      </c>
      <c r="K6746" t="s">
        <v>9720</v>
      </c>
      <c r="L6746">
        <v>3</v>
      </c>
      <c r="M6746" t="s">
        <v>27343</v>
      </c>
      <c r="N6746" t="s">
        <v>27074</v>
      </c>
      <c r="O6746" t="s">
        <v>9477</v>
      </c>
      <c r="P6746" t="s">
        <v>9477</v>
      </c>
      <c r="Y6746" t="s">
        <v>27344</v>
      </c>
    </row>
    <row r="6747" spans="1:25">
      <c r="A6747" t="s">
        <v>27345</v>
      </c>
      <c r="B6747" t="s">
        <v>27346</v>
      </c>
      <c r="D6747" t="s">
        <v>9473</v>
      </c>
      <c r="E6747" t="s">
        <v>9474</v>
      </c>
      <c r="H6747" t="s">
        <v>27347</v>
      </c>
      <c r="J6747" t="s">
        <v>765</v>
      </c>
      <c r="K6747" t="s">
        <v>766</v>
      </c>
      <c r="L6747">
        <v>3</v>
      </c>
      <c r="M6747" t="s">
        <v>27348</v>
      </c>
      <c r="N6747" t="s">
        <v>27094</v>
      </c>
      <c r="O6747" t="s">
        <v>9477</v>
      </c>
      <c r="P6747" t="s">
        <v>9477</v>
      </c>
      <c r="Y6747" t="s">
        <v>27347</v>
      </c>
    </row>
    <row r="6748" spans="1:25">
      <c r="A6748" t="s">
        <v>27349</v>
      </c>
      <c r="B6748" t="s">
        <v>27350</v>
      </c>
      <c r="D6748" t="s">
        <v>9473</v>
      </c>
      <c r="E6748" t="s">
        <v>9474</v>
      </c>
      <c r="J6748" t="s">
        <v>1571</v>
      </c>
      <c r="K6748" t="s">
        <v>1572</v>
      </c>
      <c r="L6748">
        <v>3</v>
      </c>
      <c r="M6748" t="s">
        <v>27351</v>
      </c>
      <c r="N6748" t="s">
        <v>685</v>
      </c>
      <c r="O6748" t="s">
        <v>9477</v>
      </c>
      <c r="P6748" t="s">
        <v>9477</v>
      </c>
      <c r="Y6748" t="s">
        <v>27352</v>
      </c>
    </row>
    <row r="6749" spans="1:25">
      <c r="A6749" t="s">
        <v>27353</v>
      </c>
      <c r="B6749" t="s">
        <v>27354</v>
      </c>
      <c r="D6749" t="s">
        <v>9473</v>
      </c>
      <c r="E6749" t="s">
        <v>9474</v>
      </c>
      <c r="H6749" t="s">
        <v>27355</v>
      </c>
      <c r="J6749" t="s">
        <v>5964</v>
      </c>
      <c r="K6749" t="s">
        <v>5965</v>
      </c>
      <c r="L6749">
        <v>3</v>
      </c>
      <c r="M6749" t="s">
        <v>27356</v>
      </c>
      <c r="N6749" t="s">
        <v>27098</v>
      </c>
      <c r="O6749" t="s">
        <v>9477</v>
      </c>
      <c r="P6749" t="s">
        <v>9477</v>
      </c>
      <c r="Y6749" t="s">
        <v>27355</v>
      </c>
    </row>
    <row r="6750" spans="1:25">
      <c r="A6750" t="s">
        <v>27357</v>
      </c>
      <c r="B6750" t="s">
        <v>27358</v>
      </c>
      <c r="D6750" t="s">
        <v>9473</v>
      </c>
      <c r="E6750" t="s">
        <v>9474</v>
      </c>
      <c r="J6750" t="s">
        <v>2948</v>
      </c>
      <c r="K6750" t="s">
        <v>2949</v>
      </c>
      <c r="L6750">
        <v>3</v>
      </c>
      <c r="M6750" t="s">
        <v>27359</v>
      </c>
      <c r="N6750" t="s">
        <v>27094</v>
      </c>
      <c r="O6750" t="s">
        <v>9477</v>
      </c>
      <c r="P6750" t="s">
        <v>9477</v>
      </c>
      <c r="Y6750" t="s">
        <v>27360</v>
      </c>
    </row>
    <row r="6751" spans="1:25">
      <c r="A6751" t="s">
        <v>27361</v>
      </c>
      <c r="B6751" t="s">
        <v>27362</v>
      </c>
      <c r="D6751" t="s">
        <v>9473</v>
      </c>
      <c r="E6751" t="s">
        <v>9474</v>
      </c>
      <c r="H6751" t="s">
        <v>27363</v>
      </c>
      <c r="J6751" t="s">
        <v>5844</v>
      </c>
      <c r="K6751" t="s">
        <v>5845</v>
      </c>
      <c r="L6751">
        <v>3</v>
      </c>
      <c r="M6751" t="s">
        <v>27364</v>
      </c>
      <c r="N6751" t="s">
        <v>27115</v>
      </c>
      <c r="O6751" t="s">
        <v>9477</v>
      </c>
      <c r="P6751" t="s">
        <v>9477</v>
      </c>
      <c r="Y6751" t="s">
        <v>27363</v>
      </c>
    </row>
    <row r="6752" spans="1:25">
      <c r="A6752" t="s">
        <v>27365</v>
      </c>
      <c r="B6752" t="s">
        <v>27366</v>
      </c>
      <c r="D6752" t="s">
        <v>9473</v>
      </c>
      <c r="E6752" t="s">
        <v>9474</v>
      </c>
      <c r="J6752" t="s">
        <v>497</v>
      </c>
      <c r="K6752" t="s">
        <v>498</v>
      </c>
      <c r="L6752">
        <v>2</v>
      </c>
      <c r="M6752" t="s">
        <v>27367</v>
      </c>
      <c r="N6752" t="s">
        <v>685</v>
      </c>
      <c r="O6752" t="s">
        <v>9477</v>
      </c>
      <c r="P6752" t="s">
        <v>9477</v>
      </c>
      <c r="Y6752" t="s">
        <v>27368</v>
      </c>
    </row>
    <row r="6753" spans="1:25">
      <c r="A6753" t="s">
        <v>27369</v>
      </c>
      <c r="B6753" t="s">
        <v>27370</v>
      </c>
      <c r="D6753" t="s">
        <v>9473</v>
      </c>
      <c r="E6753" t="s">
        <v>9474</v>
      </c>
      <c r="J6753" t="s">
        <v>765</v>
      </c>
      <c r="K6753" t="s">
        <v>766</v>
      </c>
      <c r="L6753">
        <v>3</v>
      </c>
      <c r="M6753" t="s">
        <v>27371</v>
      </c>
      <c r="N6753" t="s">
        <v>290</v>
      </c>
      <c r="O6753" t="s">
        <v>9477</v>
      </c>
      <c r="P6753" t="s">
        <v>9477</v>
      </c>
      <c r="Y6753" t="s">
        <v>27372</v>
      </c>
    </row>
    <row r="6754" spans="1:25">
      <c r="A6754" t="s">
        <v>27373</v>
      </c>
      <c r="B6754" t="s">
        <v>27374</v>
      </c>
      <c r="D6754" t="s">
        <v>9473</v>
      </c>
      <c r="E6754" t="s">
        <v>9474</v>
      </c>
      <c r="J6754" t="s">
        <v>683</v>
      </c>
      <c r="K6754" t="s">
        <v>684</v>
      </c>
      <c r="L6754">
        <v>3</v>
      </c>
      <c r="M6754" t="s">
        <v>27375</v>
      </c>
      <c r="N6754" t="s">
        <v>27094</v>
      </c>
      <c r="O6754" t="s">
        <v>9477</v>
      </c>
      <c r="P6754" t="s">
        <v>9477</v>
      </c>
      <c r="Y6754" t="s">
        <v>27376</v>
      </c>
    </row>
    <row r="6755" spans="1:25">
      <c r="A6755" t="s">
        <v>27377</v>
      </c>
      <c r="B6755" t="s">
        <v>27378</v>
      </c>
      <c r="D6755" t="s">
        <v>9473</v>
      </c>
      <c r="E6755" t="s">
        <v>9474</v>
      </c>
      <c r="J6755" t="s">
        <v>2948</v>
      </c>
      <c r="K6755" t="s">
        <v>2949</v>
      </c>
      <c r="L6755">
        <v>3</v>
      </c>
      <c r="M6755" t="s">
        <v>27379</v>
      </c>
      <c r="N6755" t="s">
        <v>27074</v>
      </c>
      <c r="O6755" t="s">
        <v>9477</v>
      </c>
      <c r="P6755" t="s">
        <v>9477</v>
      </c>
      <c r="Y6755" t="s">
        <v>27380</v>
      </c>
    </row>
    <row r="6756" spans="1:25">
      <c r="A6756" t="s">
        <v>27381</v>
      </c>
      <c r="B6756" t="s">
        <v>27382</v>
      </c>
      <c r="D6756" t="s">
        <v>9473</v>
      </c>
      <c r="E6756" t="s">
        <v>9474</v>
      </c>
      <c r="H6756" t="s">
        <v>27383</v>
      </c>
      <c r="J6756" t="s">
        <v>927</v>
      </c>
      <c r="K6756" t="s">
        <v>928</v>
      </c>
      <c r="L6756">
        <v>3</v>
      </c>
      <c r="M6756" t="s">
        <v>27384</v>
      </c>
      <c r="N6756" t="s">
        <v>27094</v>
      </c>
      <c r="O6756" t="s">
        <v>9477</v>
      </c>
      <c r="P6756" t="s">
        <v>9477</v>
      </c>
      <c r="Y6756" t="s">
        <v>27383</v>
      </c>
    </row>
    <row r="6757" spans="1:25">
      <c r="A6757" t="s">
        <v>27385</v>
      </c>
      <c r="B6757" t="s">
        <v>27386</v>
      </c>
      <c r="D6757" t="s">
        <v>9473</v>
      </c>
      <c r="E6757" t="s">
        <v>9474</v>
      </c>
      <c r="J6757" t="s">
        <v>5964</v>
      </c>
      <c r="K6757" t="s">
        <v>5965</v>
      </c>
      <c r="L6757">
        <v>3</v>
      </c>
      <c r="M6757" t="s">
        <v>27387</v>
      </c>
      <c r="N6757" t="s">
        <v>685</v>
      </c>
      <c r="O6757" t="s">
        <v>9477</v>
      </c>
      <c r="P6757" t="s">
        <v>9477</v>
      </c>
      <c r="Y6757" t="s">
        <v>27388</v>
      </c>
    </row>
    <row r="6758" spans="1:25">
      <c r="A6758" t="s">
        <v>27389</v>
      </c>
      <c r="B6758" t="s">
        <v>27390</v>
      </c>
      <c r="D6758" t="s">
        <v>9473</v>
      </c>
      <c r="E6758" t="s">
        <v>9474</v>
      </c>
      <c r="J6758" t="s">
        <v>927</v>
      </c>
      <c r="K6758" t="s">
        <v>928</v>
      </c>
      <c r="L6758">
        <v>3</v>
      </c>
      <c r="M6758" t="s">
        <v>27391</v>
      </c>
      <c r="N6758" t="s">
        <v>27094</v>
      </c>
      <c r="O6758" t="s">
        <v>9477</v>
      </c>
      <c r="P6758" t="s">
        <v>9477</v>
      </c>
      <c r="Y6758" t="s">
        <v>27392</v>
      </c>
    </row>
    <row r="6759" spans="1:25">
      <c r="A6759" t="s">
        <v>27393</v>
      </c>
      <c r="B6759" t="s">
        <v>27394</v>
      </c>
      <c r="D6759" t="s">
        <v>9473</v>
      </c>
      <c r="E6759" t="s">
        <v>9474</v>
      </c>
      <c r="H6759" t="s">
        <v>27395</v>
      </c>
      <c r="J6759" t="s">
        <v>497</v>
      </c>
      <c r="K6759" t="s">
        <v>498</v>
      </c>
      <c r="L6759">
        <v>3</v>
      </c>
      <c r="M6759" t="s">
        <v>27396</v>
      </c>
      <c r="N6759" t="s">
        <v>685</v>
      </c>
      <c r="O6759" t="s">
        <v>9477</v>
      </c>
      <c r="P6759" t="s">
        <v>9477</v>
      </c>
      <c r="Y6759" t="s">
        <v>27395</v>
      </c>
    </row>
    <row r="6760" spans="1:25">
      <c r="A6760" t="s">
        <v>27397</v>
      </c>
      <c r="B6760" t="s">
        <v>27398</v>
      </c>
      <c r="D6760" t="s">
        <v>9473</v>
      </c>
      <c r="E6760" t="s">
        <v>9474</v>
      </c>
      <c r="J6760" t="s">
        <v>287</v>
      </c>
      <c r="K6760" t="s">
        <v>288</v>
      </c>
      <c r="L6760">
        <v>6</v>
      </c>
      <c r="M6760" t="s">
        <v>27399</v>
      </c>
      <c r="N6760" t="s">
        <v>27115</v>
      </c>
      <c r="O6760" t="s">
        <v>9477</v>
      </c>
      <c r="P6760" t="s">
        <v>9477</v>
      </c>
      <c r="Y6760" t="s">
        <v>27400</v>
      </c>
    </row>
    <row r="6761" spans="1:25">
      <c r="A6761" t="s">
        <v>27401</v>
      </c>
      <c r="B6761" t="s">
        <v>27402</v>
      </c>
      <c r="D6761" t="s">
        <v>9473</v>
      </c>
      <c r="E6761" t="s">
        <v>9474</v>
      </c>
      <c r="J6761" t="s">
        <v>497</v>
      </c>
      <c r="K6761" t="s">
        <v>498</v>
      </c>
      <c r="L6761">
        <v>3</v>
      </c>
      <c r="M6761" t="s">
        <v>27403</v>
      </c>
      <c r="N6761" t="s">
        <v>27074</v>
      </c>
      <c r="O6761" t="s">
        <v>9477</v>
      </c>
      <c r="P6761" t="s">
        <v>9477</v>
      </c>
      <c r="Y6761" t="s">
        <v>27404</v>
      </c>
    </row>
    <row r="6762" spans="1:25">
      <c r="A6762" t="s">
        <v>27405</v>
      </c>
      <c r="B6762" t="s">
        <v>27406</v>
      </c>
      <c r="D6762" t="s">
        <v>9473</v>
      </c>
      <c r="E6762" t="s">
        <v>9474</v>
      </c>
      <c r="J6762" t="s">
        <v>765</v>
      </c>
      <c r="K6762" t="s">
        <v>766</v>
      </c>
      <c r="L6762">
        <v>3</v>
      </c>
      <c r="M6762" t="s">
        <v>27407</v>
      </c>
      <c r="N6762" t="s">
        <v>27094</v>
      </c>
      <c r="O6762" t="s">
        <v>9477</v>
      </c>
      <c r="P6762" t="s">
        <v>9477</v>
      </c>
      <c r="Y6762" t="s">
        <v>27408</v>
      </c>
    </row>
    <row r="6763" spans="1:25">
      <c r="A6763" t="s">
        <v>27409</v>
      </c>
      <c r="B6763" t="s">
        <v>27410</v>
      </c>
      <c r="D6763" t="s">
        <v>9473</v>
      </c>
      <c r="E6763" t="s">
        <v>9474</v>
      </c>
      <c r="H6763" t="s">
        <v>27411</v>
      </c>
      <c r="J6763" t="s">
        <v>765</v>
      </c>
      <c r="K6763" t="s">
        <v>766</v>
      </c>
      <c r="L6763">
        <v>3</v>
      </c>
      <c r="M6763" t="s">
        <v>27412</v>
      </c>
      <c r="N6763" t="s">
        <v>27098</v>
      </c>
      <c r="O6763" t="s">
        <v>9477</v>
      </c>
      <c r="P6763" t="s">
        <v>9477</v>
      </c>
      <c r="Y6763" t="s">
        <v>27411</v>
      </c>
    </row>
    <row r="6764" spans="1:25">
      <c r="A6764" t="s">
        <v>27413</v>
      </c>
      <c r="B6764" t="s">
        <v>27414</v>
      </c>
      <c r="D6764" t="s">
        <v>9473</v>
      </c>
      <c r="E6764" t="s">
        <v>9474</v>
      </c>
      <c r="J6764" t="s">
        <v>765</v>
      </c>
      <c r="K6764" t="s">
        <v>766</v>
      </c>
      <c r="L6764">
        <v>3</v>
      </c>
      <c r="M6764" t="s">
        <v>27415</v>
      </c>
      <c r="N6764" t="s">
        <v>685</v>
      </c>
      <c r="O6764" t="s">
        <v>9477</v>
      </c>
      <c r="P6764" t="s">
        <v>9477</v>
      </c>
      <c r="Y6764" t="s">
        <v>27416</v>
      </c>
    </row>
    <row r="6765" spans="1:25">
      <c r="A6765" t="s">
        <v>27417</v>
      </c>
      <c r="B6765" t="s">
        <v>27418</v>
      </c>
      <c r="D6765" t="s">
        <v>9473</v>
      </c>
      <c r="E6765" t="s">
        <v>9474</v>
      </c>
      <c r="J6765" t="s">
        <v>765</v>
      </c>
      <c r="K6765" t="s">
        <v>766</v>
      </c>
      <c r="L6765">
        <v>3</v>
      </c>
      <c r="M6765" t="s">
        <v>27419</v>
      </c>
      <c r="N6765" t="s">
        <v>685</v>
      </c>
      <c r="O6765" t="s">
        <v>9477</v>
      </c>
      <c r="P6765" t="s">
        <v>9477</v>
      </c>
      <c r="Y6765" t="s">
        <v>27420</v>
      </c>
    </row>
    <row r="6766" spans="1:25">
      <c r="A6766" t="s">
        <v>27421</v>
      </c>
      <c r="B6766" t="s">
        <v>27422</v>
      </c>
      <c r="D6766" t="s">
        <v>9473</v>
      </c>
      <c r="E6766" t="s">
        <v>9474</v>
      </c>
      <c r="J6766" t="s">
        <v>927</v>
      </c>
      <c r="K6766" t="s">
        <v>928</v>
      </c>
      <c r="L6766">
        <v>3</v>
      </c>
      <c r="M6766" t="s">
        <v>27423</v>
      </c>
      <c r="N6766" t="s">
        <v>27098</v>
      </c>
      <c r="O6766" t="s">
        <v>9477</v>
      </c>
      <c r="P6766" t="s">
        <v>9477</v>
      </c>
      <c r="Y6766" t="s">
        <v>27424</v>
      </c>
    </row>
    <row r="6767" spans="1:25">
      <c r="A6767" t="s">
        <v>27425</v>
      </c>
      <c r="B6767" t="s">
        <v>27426</v>
      </c>
      <c r="D6767" t="s">
        <v>9473</v>
      </c>
      <c r="E6767" t="s">
        <v>9474</v>
      </c>
      <c r="J6767" t="s">
        <v>765</v>
      </c>
      <c r="K6767" t="s">
        <v>766</v>
      </c>
      <c r="L6767">
        <v>3</v>
      </c>
      <c r="M6767" t="s">
        <v>27427</v>
      </c>
      <c r="N6767" t="s">
        <v>27094</v>
      </c>
      <c r="O6767" t="s">
        <v>9477</v>
      </c>
      <c r="P6767" t="s">
        <v>9477</v>
      </c>
      <c r="Y6767" t="s">
        <v>27428</v>
      </c>
    </row>
    <row r="6768" spans="1:25">
      <c r="A6768" t="s">
        <v>27429</v>
      </c>
      <c r="B6768" t="s">
        <v>27430</v>
      </c>
      <c r="D6768" t="s">
        <v>9473</v>
      </c>
      <c r="E6768" t="s">
        <v>9474</v>
      </c>
      <c r="H6768" t="s">
        <v>27431</v>
      </c>
      <c r="J6768" t="s">
        <v>497</v>
      </c>
      <c r="K6768" t="s">
        <v>498</v>
      </c>
      <c r="L6768">
        <v>3</v>
      </c>
      <c r="M6768" t="s">
        <v>27432</v>
      </c>
      <c r="N6768" t="s">
        <v>685</v>
      </c>
      <c r="O6768" t="s">
        <v>9477</v>
      </c>
      <c r="P6768" t="s">
        <v>9477</v>
      </c>
      <c r="Y6768" t="s">
        <v>27431</v>
      </c>
    </row>
    <row r="6769" spans="1:25">
      <c r="A6769" t="s">
        <v>27433</v>
      </c>
      <c r="B6769" t="s">
        <v>27434</v>
      </c>
      <c r="D6769" t="s">
        <v>9473</v>
      </c>
      <c r="E6769" t="s">
        <v>9474</v>
      </c>
      <c r="H6769" t="s">
        <v>27435</v>
      </c>
      <c r="J6769" t="s">
        <v>765</v>
      </c>
      <c r="K6769" t="s">
        <v>766</v>
      </c>
      <c r="L6769">
        <v>3</v>
      </c>
      <c r="M6769" t="s">
        <v>27436</v>
      </c>
      <c r="N6769" t="s">
        <v>27094</v>
      </c>
      <c r="O6769" t="s">
        <v>9477</v>
      </c>
      <c r="P6769" t="s">
        <v>9477</v>
      </c>
      <c r="Y6769" t="s">
        <v>27435</v>
      </c>
    </row>
    <row r="6770" spans="1:25">
      <c r="A6770" t="s">
        <v>27437</v>
      </c>
      <c r="B6770" t="s">
        <v>27438</v>
      </c>
      <c r="D6770" t="s">
        <v>9473</v>
      </c>
      <c r="E6770" t="s">
        <v>9474</v>
      </c>
      <c r="H6770" t="s">
        <v>27439</v>
      </c>
      <c r="J6770" t="s">
        <v>927</v>
      </c>
      <c r="K6770" t="s">
        <v>928</v>
      </c>
      <c r="L6770">
        <v>3</v>
      </c>
      <c r="M6770" t="s">
        <v>27440</v>
      </c>
      <c r="N6770" t="s">
        <v>135</v>
      </c>
      <c r="O6770" t="s">
        <v>9477</v>
      </c>
      <c r="P6770" t="s">
        <v>9477</v>
      </c>
      <c r="Y6770" t="s">
        <v>27439</v>
      </c>
    </row>
    <row r="6771" spans="1:25">
      <c r="A6771" t="s">
        <v>27441</v>
      </c>
      <c r="B6771" t="s">
        <v>27442</v>
      </c>
      <c r="D6771" t="s">
        <v>9473</v>
      </c>
      <c r="E6771" t="s">
        <v>9474</v>
      </c>
      <c r="H6771" t="s">
        <v>27443</v>
      </c>
      <c r="J6771" t="s">
        <v>390</v>
      </c>
      <c r="K6771" t="s">
        <v>390</v>
      </c>
      <c r="L6771">
        <v>3</v>
      </c>
      <c r="M6771" t="s">
        <v>27444</v>
      </c>
      <c r="N6771" t="s">
        <v>685</v>
      </c>
      <c r="O6771" t="s">
        <v>9477</v>
      </c>
      <c r="P6771" t="s">
        <v>9477</v>
      </c>
      <c r="Y6771" t="s">
        <v>27443</v>
      </c>
    </row>
    <row r="6772" spans="1:25">
      <c r="A6772" t="s">
        <v>27445</v>
      </c>
      <c r="B6772" t="s">
        <v>27446</v>
      </c>
      <c r="D6772" t="s">
        <v>9473</v>
      </c>
      <c r="E6772" t="s">
        <v>9474</v>
      </c>
      <c r="J6772" t="s">
        <v>5844</v>
      </c>
      <c r="K6772" t="s">
        <v>5845</v>
      </c>
      <c r="L6772">
        <v>3</v>
      </c>
      <c r="M6772" t="s">
        <v>27447</v>
      </c>
      <c r="N6772" t="s">
        <v>27094</v>
      </c>
      <c r="O6772" t="s">
        <v>9477</v>
      </c>
      <c r="P6772" t="s">
        <v>9477</v>
      </c>
      <c r="Y6772" t="s">
        <v>27448</v>
      </c>
    </row>
    <row r="6773" spans="1:25">
      <c r="A6773" t="s">
        <v>27449</v>
      </c>
      <c r="B6773" t="s">
        <v>27450</v>
      </c>
      <c r="D6773" t="s">
        <v>9473</v>
      </c>
      <c r="E6773" t="s">
        <v>9474</v>
      </c>
      <c r="J6773" t="s">
        <v>2948</v>
      </c>
      <c r="K6773" t="s">
        <v>2949</v>
      </c>
      <c r="L6773">
        <v>3</v>
      </c>
      <c r="M6773" t="s">
        <v>27451</v>
      </c>
      <c r="N6773" t="s">
        <v>27074</v>
      </c>
      <c r="O6773" t="s">
        <v>9477</v>
      </c>
      <c r="P6773" t="s">
        <v>9477</v>
      </c>
      <c r="Y6773" t="s">
        <v>27452</v>
      </c>
    </row>
    <row r="6774" spans="1:25">
      <c r="A6774" t="s">
        <v>27453</v>
      </c>
      <c r="B6774" t="s">
        <v>27454</v>
      </c>
      <c r="D6774" t="s">
        <v>9473</v>
      </c>
      <c r="E6774" t="s">
        <v>9474</v>
      </c>
      <c r="J6774" t="s">
        <v>497</v>
      </c>
      <c r="K6774" t="s">
        <v>498</v>
      </c>
      <c r="L6774">
        <v>3</v>
      </c>
      <c r="M6774" t="s">
        <v>27455</v>
      </c>
      <c r="N6774" t="s">
        <v>685</v>
      </c>
      <c r="O6774" t="s">
        <v>9477</v>
      </c>
      <c r="P6774" t="s">
        <v>9477</v>
      </c>
      <c r="Y6774" t="s">
        <v>27456</v>
      </c>
    </row>
    <row r="6775" spans="1:25">
      <c r="A6775" t="s">
        <v>27457</v>
      </c>
      <c r="B6775" t="s">
        <v>27458</v>
      </c>
      <c r="D6775" t="s">
        <v>9473</v>
      </c>
      <c r="E6775" t="s">
        <v>9474</v>
      </c>
      <c r="J6775" t="s">
        <v>765</v>
      </c>
      <c r="K6775" t="s">
        <v>766</v>
      </c>
      <c r="L6775">
        <v>3</v>
      </c>
      <c r="M6775" t="s">
        <v>27459</v>
      </c>
      <c r="N6775" t="s">
        <v>27094</v>
      </c>
      <c r="O6775" t="s">
        <v>9477</v>
      </c>
      <c r="P6775" t="s">
        <v>9477</v>
      </c>
      <c r="Y6775" t="s">
        <v>27460</v>
      </c>
    </row>
    <row r="6776" spans="1:25">
      <c r="A6776" t="s">
        <v>27461</v>
      </c>
      <c r="B6776" t="s">
        <v>27462</v>
      </c>
      <c r="D6776" t="s">
        <v>9473</v>
      </c>
      <c r="E6776" t="s">
        <v>9474</v>
      </c>
      <c r="H6776" t="s">
        <v>27463</v>
      </c>
      <c r="J6776" t="s">
        <v>497</v>
      </c>
      <c r="K6776" t="s">
        <v>498</v>
      </c>
      <c r="L6776">
        <v>3</v>
      </c>
      <c r="M6776" t="s">
        <v>27464</v>
      </c>
      <c r="N6776" t="s">
        <v>27094</v>
      </c>
      <c r="O6776" t="s">
        <v>9477</v>
      </c>
      <c r="P6776" t="s">
        <v>9477</v>
      </c>
      <c r="Y6776" t="s">
        <v>27463</v>
      </c>
    </row>
    <row r="6777" spans="1:25">
      <c r="A6777" t="s">
        <v>27465</v>
      </c>
      <c r="B6777" t="s">
        <v>27466</v>
      </c>
      <c r="D6777" t="s">
        <v>9473</v>
      </c>
      <c r="E6777" t="s">
        <v>9474</v>
      </c>
      <c r="H6777" t="s">
        <v>27467</v>
      </c>
      <c r="J6777" t="s">
        <v>2328</v>
      </c>
      <c r="K6777" t="s">
        <v>2329</v>
      </c>
      <c r="L6777">
        <v>3</v>
      </c>
      <c r="M6777" t="s">
        <v>27468</v>
      </c>
      <c r="N6777" t="s">
        <v>27152</v>
      </c>
      <c r="O6777" t="s">
        <v>9477</v>
      </c>
      <c r="P6777" t="s">
        <v>9477</v>
      </c>
      <c r="Y6777" t="s">
        <v>27467</v>
      </c>
    </row>
    <row r="6778" spans="1:25">
      <c r="A6778" t="s">
        <v>27469</v>
      </c>
      <c r="B6778" t="s">
        <v>27470</v>
      </c>
      <c r="D6778" t="s">
        <v>9473</v>
      </c>
      <c r="E6778" t="s">
        <v>9474</v>
      </c>
      <c r="H6778" t="s">
        <v>27471</v>
      </c>
      <c r="J6778" t="s">
        <v>5844</v>
      </c>
      <c r="K6778" t="s">
        <v>5845</v>
      </c>
      <c r="L6778">
        <v>3</v>
      </c>
      <c r="M6778" t="s">
        <v>27472</v>
      </c>
      <c r="N6778" t="s">
        <v>27074</v>
      </c>
      <c r="O6778" t="s">
        <v>9477</v>
      </c>
      <c r="P6778" t="s">
        <v>9477</v>
      </c>
      <c r="Y6778" t="s">
        <v>27471</v>
      </c>
    </row>
    <row r="6779" spans="1:25">
      <c r="A6779" t="s">
        <v>27473</v>
      </c>
      <c r="B6779" t="s">
        <v>27474</v>
      </c>
      <c r="D6779" t="s">
        <v>9473</v>
      </c>
      <c r="E6779" t="s">
        <v>9474</v>
      </c>
      <c r="J6779" t="s">
        <v>765</v>
      </c>
      <c r="K6779" t="s">
        <v>766</v>
      </c>
      <c r="L6779">
        <v>3</v>
      </c>
      <c r="M6779" t="s">
        <v>27475</v>
      </c>
      <c r="N6779" t="s">
        <v>27094</v>
      </c>
      <c r="O6779" t="s">
        <v>9477</v>
      </c>
      <c r="P6779" t="s">
        <v>9477</v>
      </c>
      <c r="Y6779" t="s">
        <v>27476</v>
      </c>
    </row>
    <row r="6780" spans="1:25">
      <c r="A6780" t="s">
        <v>27477</v>
      </c>
      <c r="B6780" t="s">
        <v>27478</v>
      </c>
      <c r="D6780" t="s">
        <v>9473</v>
      </c>
      <c r="E6780" t="s">
        <v>9474</v>
      </c>
      <c r="H6780" t="s">
        <v>27479</v>
      </c>
      <c r="J6780" t="s">
        <v>5844</v>
      </c>
      <c r="K6780" t="s">
        <v>5845</v>
      </c>
      <c r="L6780">
        <v>3</v>
      </c>
      <c r="M6780" t="s">
        <v>27480</v>
      </c>
      <c r="N6780" t="s">
        <v>27115</v>
      </c>
      <c r="O6780" t="s">
        <v>9477</v>
      </c>
      <c r="P6780" t="s">
        <v>9477</v>
      </c>
      <c r="Y6780" t="s">
        <v>27479</v>
      </c>
    </row>
    <row r="6781" spans="1:25">
      <c r="A6781" t="s">
        <v>27481</v>
      </c>
      <c r="B6781" t="s">
        <v>27482</v>
      </c>
      <c r="D6781" t="s">
        <v>9473</v>
      </c>
      <c r="E6781" t="s">
        <v>9474</v>
      </c>
      <c r="H6781" t="s">
        <v>27483</v>
      </c>
      <c r="J6781" t="s">
        <v>2328</v>
      </c>
      <c r="K6781" t="s">
        <v>2329</v>
      </c>
      <c r="L6781">
        <v>4</v>
      </c>
      <c r="M6781" t="s">
        <v>27484</v>
      </c>
      <c r="N6781" t="s">
        <v>27152</v>
      </c>
      <c r="O6781" t="s">
        <v>9477</v>
      </c>
      <c r="P6781" t="s">
        <v>9477</v>
      </c>
      <c r="Y6781" t="s">
        <v>27483</v>
      </c>
    </row>
    <row r="6782" spans="1:25">
      <c r="A6782" t="s">
        <v>27485</v>
      </c>
      <c r="B6782" t="s">
        <v>27486</v>
      </c>
      <c r="D6782" t="s">
        <v>9473</v>
      </c>
      <c r="E6782" t="s">
        <v>9474</v>
      </c>
      <c r="J6782" t="s">
        <v>765</v>
      </c>
      <c r="K6782" t="s">
        <v>766</v>
      </c>
      <c r="L6782">
        <v>3</v>
      </c>
      <c r="M6782" t="s">
        <v>27487</v>
      </c>
      <c r="N6782" t="s">
        <v>27094</v>
      </c>
      <c r="O6782" t="s">
        <v>9477</v>
      </c>
      <c r="P6782" t="s">
        <v>9477</v>
      </c>
      <c r="Y6782" t="s">
        <v>27488</v>
      </c>
    </row>
    <row r="6783" spans="1:25">
      <c r="A6783" t="s">
        <v>27489</v>
      </c>
      <c r="B6783" t="s">
        <v>27490</v>
      </c>
      <c r="D6783" t="s">
        <v>9473</v>
      </c>
      <c r="E6783" t="s">
        <v>9474</v>
      </c>
      <c r="J6783" t="s">
        <v>927</v>
      </c>
      <c r="K6783" t="s">
        <v>928</v>
      </c>
      <c r="L6783">
        <v>3</v>
      </c>
      <c r="M6783" t="s">
        <v>27491</v>
      </c>
      <c r="N6783" t="s">
        <v>290</v>
      </c>
      <c r="O6783" t="s">
        <v>9477</v>
      </c>
      <c r="P6783" t="s">
        <v>9477</v>
      </c>
      <c r="Y6783" t="s">
        <v>27492</v>
      </c>
    </row>
    <row r="6784" spans="1:25">
      <c r="A6784" t="s">
        <v>27493</v>
      </c>
      <c r="B6784" t="s">
        <v>27494</v>
      </c>
      <c r="D6784" t="s">
        <v>9473</v>
      </c>
      <c r="E6784" t="s">
        <v>9474</v>
      </c>
      <c r="J6784" t="s">
        <v>1571</v>
      </c>
      <c r="K6784" t="s">
        <v>1572</v>
      </c>
      <c r="L6784">
        <v>3</v>
      </c>
      <c r="M6784" t="s">
        <v>27495</v>
      </c>
      <c r="N6784" t="s">
        <v>27098</v>
      </c>
      <c r="O6784" t="s">
        <v>9477</v>
      </c>
      <c r="P6784" t="s">
        <v>9477</v>
      </c>
      <c r="Y6784" t="s">
        <v>27496</v>
      </c>
    </row>
    <row r="6785" spans="1:25">
      <c r="A6785" t="s">
        <v>27497</v>
      </c>
      <c r="B6785" t="s">
        <v>27498</v>
      </c>
      <c r="D6785" t="s">
        <v>9473</v>
      </c>
      <c r="E6785" t="s">
        <v>9474</v>
      </c>
      <c r="J6785" t="s">
        <v>497</v>
      </c>
      <c r="K6785" t="s">
        <v>498</v>
      </c>
      <c r="L6785">
        <v>3</v>
      </c>
      <c r="M6785" t="s">
        <v>27499</v>
      </c>
      <c r="N6785" t="s">
        <v>685</v>
      </c>
      <c r="O6785" t="s">
        <v>9477</v>
      </c>
      <c r="P6785" t="s">
        <v>9477</v>
      </c>
      <c r="Y6785" t="s">
        <v>27500</v>
      </c>
    </row>
    <row r="6786" spans="1:25">
      <c r="A6786" t="s">
        <v>27501</v>
      </c>
      <c r="B6786" t="s">
        <v>27502</v>
      </c>
      <c r="D6786" t="s">
        <v>9473</v>
      </c>
      <c r="E6786" t="s">
        <v>9474</v>
      </c>
      <c r="J6786" t="s">
        <v>765</v>
      </c>
      <c r="K6786" t="s">
        <v>766</v>
      </c>
      <c r="L6786">
        <v>3</v>
      </c>
      <c r="M6786" t="s">
        <v>27503</v>
      </c>
      <c r="N6786" t="s">
        <v>290</v>
      </c>
      <c r="O6786" t="s">
        <v>9477</v>
      </c>
      <c r="P6786" t="s">
        <v>9477</v>
      </c>
      <c r="Y6786" t="s">
        <v>27504</v>
      </c>
    </row>
    <row r="6787" spans="1:25">
      <c r="A6787" t="s">
        <v>27505</v>
      </c>
      <c r="B6787" t="s">
        <v>27506</v>
      </c>
      <c r="D6787" t="s">
        <v>9473</v>
      </c>
      <c r="E6787" t="s">
        <v>9474</v>
      </c>
      <c r="J6787" t="s">
        <v>9759</v>
      </c>
      <c r="K6787" t="s">
        <v>9760</v>
      </c>
      <c r="L6787">
        <v>4</v>
      </c>
      <c r="M6787" t="s">
        <v>27507</v>
      </c>
      <c r="N6787" t="s">
        <v>47</v>
      </c>
      <c r="O6787" t="s">
        <v>9477</v>
      </c>
      <c r="P6787" t="s">
        <v>9477</v>
      </c>
      <c r="Y6787" t="s">
        <v>27508</v>
      </c>
    </row>
    <row r="6788" spans="1:25">
      <c r="A6788" t="s">
        <v>27509</v>
      </c>
      <c r="B6788" t="s">
        <v>27510</v>
      </c>
      <c r="D6788" t="s">
        <v>9473</v>
      </c>
      <c r="E6788" t="s">
        <v>9474</v>
      </c>
      <c r="J6788" t="s">
        <v>765</v>
      </c>
      <c r="K6788" t="s">
        <v>766</v>
      </c>
      <c r="L6788">
        <v>3</v>
      </c>
      <c r="M6788" t="s">
        <v>27511</v>
      </c>
      <c r="N6788" t="s">
        <v>27098</v>
      </c>
      <c r="O6788" t="s">
        <v>9477</v>
      </c>
      <c r="P6788" t="s">
        <v>9477</v>
      </c>
      <c r="Y6788" t="s">
        <v>27512</v>
      </c>
    </row>
    <row r="6789" spans="1:25">
      <c r="A6789" t="s">
        <v>27513</v>
      </c>
      <c r="B6789" t="s">
        <v>27514</v>
      </c>
      <c r="D6789" t="s">
        <v>9473</v>
      </c>
      <c r="E6789" t="s">
        <v>9474</v>
      </c>
      <c r="J6789" t="s">
        <v>765</v>
      </c>
      <c r="K6789" t="s">
        <v>766</v>
      </c>
      <c r="L6789">
        <v>3</v>
      </c>
      <c r="M6789" t="s">
        <v>27515</v>
      </c>
      <c r="N6789" t="s">
        <v>27094</v>
      </c>
      <c r="O6789" t="s">
        <v>9477</v>
      </c>
      <c r="P6789" t="s">
        <v>9477</v>
      </c>
      <c r="Y6789" t="s">
        <v>27516</v>
      </c>
    </row>
    <row r="6790" spans="1:25">
      <c r="A6790" t="s">
        <v>27517</v>
      </c>
      <c r="B6790" t="s">
        <v>27518</v>
      </c>
      <c r="D6790" t="s">
        <v>9473</v>
      </c>
      <c r="E6790" t="s">
        <v>9474</v>
      </c>
      <c r="H6790" t="s">
        <v>27519</v>
      </c>
      <c r="J6790" t="s">
        <v>497</v>
      </c>
      <c r="K6790" t="s">
        <v>498</v>
      </c>
      <c r="L6790">
        <v>3</v>
      </c>
      <c r="M6790" t="s">
        <v>27520</v>
      </c>
      <c r="N6790" t="s">
        <v>685</v>
      </c>
      <c r="O6790" t="s">
        <v>9477</v>
      </c>
      <c r="P6790" t="s">
        <v>9477</v>
      </c>
      <c r="Y6790" t="s">
        <v>27519</v>
      </c>
    </row>
    <row r="6791" spans="1:25">
      <c r="A6791" t="s">
        <v>27521</v>
      </c>
      <c r="B6791" t="s">
        <v>27522</v>
      </c>
      <c r="D6791" t="s">
        <v>9473</v>
      </c>
      <c r="E6791" t="s">
        <v>9474</v>
      </c>
      <c r="J6791" t="s">
        <v>765</v>
      </c>
      <c r="K6791" t="s">
        <v>766</v>
      </c>
      <c r="L6791">
        <v>3</v>
      </c>
      <c r="M6791" t="s">
        <v>27523</v>
      </c>
      <c r="N6791" t="s">
        <v>27098</v>
      </c>
      <c r="O6791" t="s">
        <v>9477</v>
      </c>
      <c r="P6791" t="s">
        <v>9477</v>
      </c>
      <c r="Y6791" t="s">
        <v>27524</v>
      </c>
    </row>
    <row r="6792" spans="1:25">
      <c r="A6792" t="s">
        <v>27525</v>
      </c>
      <c r="B6792" t="s">
        <v>27526</v>
      </c>
      <c r="D6792" t="s">
        <v>9473</v>
      </c>
      <c r="E6792" t="s">
        <v>9474</v>
      </c>
      <c r="J6792" t="s">
        <v>765</v>
      </c>
      <c r="K6792" t="s">
        <v>766</v>
      </c>
      <c r="L6792">
        <v>3</v>
      </c>
      <c r="M6792" t="s">
        <v>27527</v>
      </c>
      <c r="N6792" t="s">
        <v>685</v>
      </c>
      <c r="O6792" t="s">
        <v>9477</v>
      </c>
      <c r="P6792" t="s">
        <v>9477</v>
      </c>
      <c r="Y6792" t="s">
        <v>27528</v>
      </c>
    </row>
    <row r="6793" spans="1:25">
      <c r="A6793" t="s">
        <v>27529</v>
      </c>
      <c r="B6793" t="s">
        <v>27530</v>
      </c>
      <c r="D6793" t="s">
        <v>9473</v>
      </c>
      <c r="E6793" t="s">
        <v>9474</v>
      </c>
      <c r="H6793" t="s">
        <v>27531</v>
      </c>
      <c r="J6793" t="s">
        <v>497</v>
      </c>
      <c r="K6793" t="s">
        <v>498</v>
      </c>
      <c r="L6793">
        <v>3</v>
      </c>
      <c r="M6793" t="s">
        <v>27532</v>
      </c>
      <c r="N6793" t="s">
        <v>685</v>
      </c>
      <c r="O6793" t="s">
        <v>9477</v>
      </c>
      <c r="P6793" t="s">
        <v>9477</v>
      </c>
      <c r="Y6793" t="s">
        <v>27531</v>
      </c>
    </row>
    <row r="6794" spans="1:25">
      <c r="A6794" t="s">
        <v>27533</v>
      </c>
      <c r="B6794" t="s">
        <v>27534</v>
      </c>
      <c r="D6794" t="s">
        <v>9473</v>
      </c>
      <c r="E6794" t="s">
        <v>9474</v>
      </c>
      <c r="J6794" t="s">
        <v>2328</v>
      </c>
      <c r="K6794" t="s">
        <v>2329</v>
      </c>
      <c r="L6794">
        <v>3</v>
      </c>
      <c r="M6794" t="s">
        <v>27535</v>
      </c>
      <c r="N6794" t="s">
        <v>27152</v>
      </c>
      <c r="O6794" t="s">
        <v>9477</v>
      </c>
      <c r="P6794" t="s">
        <v>9477</v>
      </c>
      <c r="Y6794" t="s">
        <v>27536</v>
      </c>
    </row>
    <row r="6795" spans="1:25">
      <c r="A6795" t="s">
        <v>27537</v>
      </c>
      <c r="B6795" t="s">
        <v>27538</v>
      </c>
      <c r="D6795" t="s">
        <v>9473</v>
      </c>
      <c r="E6795" t="s">
        <v>9474</v>
      </c>
      <c r="J6795" t="s">
        <v>2948</v>
      </c>
      <c r="K6795" t="s">
        <v>2949</v>
      </c>
      <c r="L6795">
        <v>3</v>
      </c>
      <c r="M6795" t="s">
        <v>27539</v>
      </c>
      <c r="N6795" t="s">
        <v>27074</v>
      </c>
      <c r="O6795" t="s">
        <v>9477</v>
      </c>
      <c r="P6795" t="s">
        <v>9477</v>
      </c>
      <c r="Y6795" t="s">
        <v>27540</v>
      </c>
    </row>
    <row r="6796" spans="1:25">
      <c r="A6796" t="s">
        <v>27541</v>
      </c>
      <c r="B6796" t="s">
        <v>27542</v>
      </c>
      <c r="D6796" t="s">
        <v>9473</v>
      </c>
      <c r="E6796" t="s">
        <v>9474</v>
      </c>
      <c r="H6796" t="s">
        <v>27543</v>
      </c>
      <c r="J6796" t="s">
        <v>765</v>
      </c>
      <c r="K6796" t="s">
        <v>766</v>
      </c>
      <c r="L6796">
        <v>3</v>
      </c>
      <c r="M6796" t="s">
        <v>27544</v>
      </c>
      <c r="N6796" t="s">
        <v>685</v>
      </c>
      <c r="O6796" t="s">
        <v>9477</v>
      </c>
      <c r="P6796" t="s">
        <v>9477</v>
      </c>
      <c r="Y6796" t="s">
        <v>27543</v>
      </c>
    </row>
    <row r="6797" spans="1:25">
      <c r="A6797" t="s">
        <v>27545</v>
      </c>
      <c r="B6797" t="s">
        <v>27546</v>
      </c>
      <c r="D6797" t="s">
        <v>9473</v>
      </c>
      <c r="E6797" t="s">
        <v>9474</v>
      </c>
      <c r="J6797" t="s">
        <v>765</v>
      </c>
      <c r="K6797" t="s">
        <v>766</v>
      </c>
      <c r="L6797">
        <v>3</v>
      </c>
      <c r="M6797" t="s">
        <v>27547</v>
      </c>
      <c r="N6797" t="s">
        <v>290</v>
      </c>
      <c r="O6797" t="s">
        <v>9477</v>
      </c>
      <c r="P6797" t="s">
        <v>9477</v>
      </c>
      <c r="Y6797" t="s">
        <v>27548</v>
      </c>
    </row>
    <row r="6798" spans="1:25">
      <c r="A6798" t="s">
        <v>27549</v>
      </c>
      <c r="B6798" t="s">
        <v>27550</v>
      </c>
      <c r="D6798" t="s">
        <v>9473</v>
      </c>
      <c r="E6798" t="s">
        <v>9474</v>
      </c>
      <c r="J6798" t="s">
        <v>2328</v>
      </c>
      <c r="K6798" t="s">
        <v>2329</v>
      </c>
      <c r="L6798">
        <v>4</v>
      </c>
      <c r="M6798" t="s">
        <v>27551</v>
      </c>
      <c r="N6798" t="s">
        <v>27152</v>
      </c>
      <c r="O6798" t="s">
        <v>9477</v>
      </c>
      <c r="P6798" t="s">
        <v>9477</v>
      </c>
      <c r="Y6798" t="s">
        <v>27552</v>
      </c>
    </row>
    <row r="6799" spans="1:25">
      <c r="A6799" t="s">
        <v>27553</v>
      </c>
      <c r="B6799" t="s">
        <v>27554</v>
      </c>
      <c r="D6799" t="s">
        <v>9473</v>
      </c>
      <c r="E6799" t="s">
        <v>9474</v>
      </c>
      <c r="H6799" t="s">
        <v>27555</v>
      </c>
      <c r="J6799" t="s">
        <v>9719</v>
      </c>
      <c r="K6799" t="s">
        <v>9720</v>
      </c>
      <c r="L6799">
        <v>3</v>
      </c>
      <c r="M6799" t="s">
        <v>27556</v>
      </c>
      <c r="N6799" t="s">
        <v>685</v>
      </c>
      <c r="O6799" t="s">
        <v>9477</v>
      </c>
      <c r="P6799" t="s">
        <v>9477</v>
      </c>
      <c r="Y6799" t="s">
        <v>27555</v>
      </c>
    </row>
    <row r="6800" spans="1:25">
      <c r="A6800" t="s">
        <v>27557</v>
      </c>
      <c r="B6800" t="s">
        <v>27558</v>
      </c>
      <c r="D6800" t="s">
        <v>9473</v>
      </c>
      <c r="E6800" t="s">
        <v>9474</v>
      </c>
      <c r="J6800" t="s">
        <v>5964</v>
      </c>
      <c r="K6800" t="s">
        <v>5965</v>
      </c>
      <c r="L6800">
        <v>3</v>
      </c>
      <c r="M6800" t="s">
        <v>27559</v>
      </c>
      <c r="N6800" t="s">
        <v>27098</v>
      </c>
      <c r="O6800" t="s">
        <v>9477</v>
      </c>
      <c r="P6800" t="s">
        <v>9477</v>
      </c>
      <c r="Y6800" t="s">
        <v>27560</v>
      </c>
    </row>
    <row r="6801" spans="1:25">
      <c r="A6801" t="s">
        <v>27561</v>
      </c>
      <c r="B6801" t="s">
        <v>27562</v>
      </c>
      <c r="D6801" t="s">
        <v>9473</v>
      </c>
      <c r="E6801" t="s">
        <v>9474</v>
      </c>
      <c r="H6801" t="s">
        <v>27563</v>
      </c>
      <c r="J6801" t="s">
        <v>765</v>
      </c>
      <c r="K6801" t="s">
        <v>766</v>
      </c>
      <c r="L6801">
        <v>3</v>
      </c>
      <c r="M6801" t="s">
        <v>27564</v>
      </c>
      <c r="N6801" t="s">
        <v>27098</v>
      </c>
      <c r="O6801" t="s">
        <v>9477</v>
      </c>
      <c r="P6801" t="s">
        <v>9477</v>
      </c>
      <c r="Y6801" t="s">
        <v>27563</v>
      </c>
    </row>
    <row r="6802" spans="1:25">
      <c r="A6802" t="s">
        <v>27565</v>
      </c>
      <c r="B6802" t="s">
        <v>27566</v>
      </c>
      <c r="D6802" t="s">
        <v>9473</v>
      </c>
      <c r="E6802" t="s">
        <v>9474</v>
      </c>
      <c r="J6802" t="s">
        <v>5844</v>
      </c>
      <c r="K6802" t="s">
        <v>5845</v>
      </c>
      <c r="L6802">
        <v>3</v>
      </c>
      <c r="M6802" t="s">
        <v>27567</v>
      </c>
      <c r="N6802" t="s">
        <v>27094</v>
      </c>
      <c r="O6802" t="s">
        <v>9477</v>
      </c>
      <c r="P6802" t="s">
        <v>9477</v>
      </c>
      <c r="Y6802" t="s">
        <v>27568</v>
      </c>
    </row>
    <row r="6803" spans="1:25">
      <c r="A6803" t="s">
        <v>27569</v>
      </c>
      <c r="B6803" t="s">
        <v>27570</v>
      </c>
      <c r="D6803" t="s">
        <v>9473</v>
      </c>
      <c r="E6803" t="s">
        <v>9474</v>
      </c>
      <c r="H6803" t="s">
        <v>27571</v>
      </c>
      <c r="J6803" t="s">
        <v>27091</v>
      </c>
      <c r="K6803" t="s">
        <v>27092</v>
      </c>
      <c r="L6803">
        <v>3</v>
      </c>
      <c r="M6803" t="s">
        <v>27572</v>
      </c>
      <c r="N6803" t="s">
        <v>27094</v>
      </c>
      <c r="O6803" t="s">
        <v>9477</v>
      </c>
      <c r="P6803" t="s">
        <v>9477</v>
      </c>
      <c r="Y6803" t="s">
        <v>27571</v>
      </c>
    </row>
    <row r="6804" spans="1:25">
      <c r="A6804" t="s">
        <v>27573</v>
      </c>
      <c r="B6804" t="s">
        <v>27574</v>
      </c>
      <c r="D6804" t="s">
        <v>9473</v>
      </c>
      <c r="E6804" t="s">
        <v>9474</v>
      </c>
      <c r="J6804" t="s">
        <v>2328</v>
      </c>
      <c r="K6804" t="s">
        <v>2329</v>
      </c>
      <c r="L6804">
        <v>4</v>
      </c>
      <c r="M6804" t="s">
        <v>27575</v>
      </c>
      <c r="N6804" t="s">
        <v>27152</v>
      </c>
      <c r="O6804" t="s">
        <v>9477</v>
      </c>
      <c r="P6804" t="s">
        <v>9477</v>
      </c>
      <c r="Y6804" t="s">
        <v>27576</v>
      </c>
    </row>
    <row r="6805" spans="1:25">
      <c r="A6805" t="s">
        <v>27577</v>
      </c>
      <c r="B6805" t="s">
        <v>27578</v>
      </c>
      <c r="D6805" t="s">
        <v>9473</v>
      </c>
      <c r="E6805" t="s">
        <v>9474</v>
      </c>
      <c r="J6805" t="s">
        <v>497</v>
      </c>
      <c r="K6805" t="s">
        <v>498</v>
      </c>
      <c r="L6805">
        <v>3</v>
      </c>
      <c r="M6805" t="s">
        <v>27579</v>
      </c>
      <c r="N6805" t="s">
        <v>27098</v>
      </c>
      <c r="O6805" t="s">
        <v>9477</v>
      </c>
      <c r="P6805" t="s">
        <v>9477</v>
      </c>
      <c r="Y6805" t="s">
        <v>27580</v>
      </c>
    </row>
    <row r="6806" spans="1:25">
      <c r="A6806" t="s">
        <v>27581</v>
      </c>
      <c r="B6806" t="s">
        <v>27582</v>
      </c>
      <c r="D6806" t="s">
        <v>9473</v>
      </c>
      <c r="E6806" t="s">
        <v>9474</v>
      </c>
      <c r="J6806" t="s">
        <v>2328</v>
      </c>
      <c r="K6806" t="s">
        <v>2329</v>
      </c>
      <c r="L6806">
        <v>3</v>
      </c>
      <c r="M6806" t="s">
        <v>27583</v>
      </c>
      <c r="N6806" t="s">
        <v>27152</v>
      </c>
      <c r="O6806" t="s">
        <v>9477</v>
      </c>
      <c r="P6806" t="s">
        <v>9477</v>
      </c>
      <c r="Y6806" t="s">
        <v>27584</v>
      </c>
    </row>
    <row r="6807" spans="1:25">
      <c r="A6807" t="s">
        <v>27585</v>
      </c>
      <c r="B6807" t="s">
        <v>27586</v>
      </c>
      <c r="D6807" t="s">
        <v>9473</v>
      </c>
      <c r="E6807" t="s">
        <v>9474</v>
      </c>
      <c r="J6807" t="s">
        <v>2328</v>
      </c>
      <c r="K6807" t="s">
        <v>2329</v>
      </c>
      <c r="L6807">
        <v>3</v>
      </c>
      <c r="M6807" t="s">
        <v>27587</v>
      </c>
      <c r="N6807" t="s">
        <v>27152</v>
      </c>
      <c r="O6807" t="s">
        <v>9477</v>
      </c>
      <c r="P6807" t="s">
        <v>9477</v>
      </c>
      <c r="Y6807" t="s">
        <v>27588</v>
      </c>
    </row>
    <row r="6808" spans="1:25">
      <c r="A6808" t="s">
        <v>27589</v>
      </c>
      <c r="B6808" t="s">
        <v>27590</v>
      </c>
      <c r="D6808" t="s">
        <v>9473</v>
      </c>
      <c r="E6808" t="s">
        <v>9474</v>
      </c>
      <c r="H6808" t="s">
        <v>27591</v>
      </c>
      <c r="J6808" t="s">
        <v>497</v>
      </c>
      <c r="K6808" t="s">
        <v>498</v>
      </c>
      <c r="L6808">
        <v>3</v>
      </c>
      <c r="M6808" t="s">
        <v>27592</v>
      </c>
      <c r="N6808" t="s">
        <v>27094</v>
      </c>
      <c r="O6808" t="s">
        <v>9477</v>
      </c>
      <c r="P6808" t="s">
        <v>9477</v>
      </c>
      <c r="Y6808" t="s">
        <v>27591</v>
      </c>
    </row>
    <row r="6809" spans="1:25">
      <c r="A6809" t="s">
        <v>27593</v>
      </c>
      <c r="B6809" t="s">
        <v>27594</v>
      </c>
      <c r="D6809" t="s">
        <v>9473</v>
      </c>
      <c r="E6809" t="s">
        <v>9474</v>
      </c>
      <c r="J6809" t="s">
        <v>765</v>
      </c>
      <c r="K6809" t="s">
        <v>766</v>
      </c>
      <c r="L6809">
        <v>3</v>
      </c>
      <c r="M6809" t="s">
        <v>27595</v>
      </c>
      <c r="N6809" t="s">
        <v>27098</v>
      </c>
      <c r="O6809" t="s">
        <v>9477</v>
      </c>
      <c r="P6809" t="s">
        <v>9477</v>
      </c>
      <c r="Y6809" t="s">
        <v>27596</v>
      </c>
    </row>
    <row r="6810" spans="1:25">
      <c r="A6810" t="s">
        <v>27597</v>
      </c>
      <c r="B6810" t="s">
        <v>27598</v>
      </c>
      <c r="D6810" t="s">
        <v>9473</v>
      </c>
      <c r="E6810" t="s">
        <v>9474</v>
      </c>
      <c r="J6810" t="s">
        <v>2948</v>
      </c>
      <c r="K6810" t="s">
        <v>2949</v>
      </c>
      <c r="L6810">
        <v>3</v>
      </c>
      <c r="M6810" t="s">
        <v>27599</v>
      </c>
      <c r="N6810" t="s">
        <v>27074</v>
      </c>
      <c r="O6810" t="s">
        <v>9477</v>
      </c>
      <c r="P6810" t="s">
        <v>9477</v>
      </c>
      <c r="Y6810" t="s">
        <v>27600</v>
      </c>
    </row>
    <row r="6811" spans="1:25">
      <c r="A6811" t="s">
        <v>27601</v>
      </c>
      <c r="B6811" t="s">
        <v>27602</v>
      </c>
      <c r="D6811" t="s">
        <v>9473</v>
      </c>
      <c r="E6811" t="s">
        <v>9474</v>
      </c>
      <c r="J6811" t="s">
        <v>2328</v>
      </c>
      <c r="K6811" t="s">
        <v>2329</v>
      </c>
      <c r="L6811">
        <v>3</v>
      </c>
      <c r="M6811" t="s">
        <v>27603</v>
      </c>
      <c r="N6811" t="s">
        <v>27074</v>
      </c>
      <c r="O6811" t="s">
        <v>9477</v>
      </c>
      <c r="P6811" t="s">
        <v>9477</v>
      </c>
      <c r="Y6811" t="s">
        <v>27604</v>
      </c>
    </row>
    <row r="6812" spans="1:25">
      <c r="A6812" t="s">
        <v>27605</v>
      </c>
      <c r="B6812" t="s">
        <v>27606</v>
      </c>
      <c r="D6812" t="s">
        <v>9473</v>
      </c>
      <c r="E6812" t="s">
        <v>9474</v>
      </c>
      <c r="J6812" t="s">
        <v>5964</v>
      </c>
      <c r="K6812" t="s">
        <v>5965</v>
      </c>
      <c r="L6812">
        <v>3</v>
      </c>
      <c r="M6812" t="s">
        <v>27607</v>
      </c>
      <c r="N6812" t="s">
        <v>685</v>
      </c>
      <c r="O6812" t="s">
        <v>9477</v>
      </c>
      <c r="P6812" t="s">
        <v>9477</v>
      </c>
      <c r="Y6812" t="s">
        <v>27608</v>
      </c>
    </row>
    <row r="6813" spans="1:25">
      <c r="A6813" t="s">
        <v>27609</v>
      </c>
      <c r="B6813" t="s">
        <v>27610</v>
      </c>
      <c r="D6813" t="s">
        <v>9473</v>
      </c>
      <c r="E6813" t="s">
        <v>9474</v>
      </c>
      <c r="J6813" t="s">
        <v>2328</v>
      </c>
      <c r="K6813" t="s">
        <v>2329</v>
      </c>
      <c r="L6813">
        <v>3</v>
      </c>
      <c r="M6813" t="s">
        <v>27611</v>
      </c>
      <c r="N6813" t="s">
        <v>27152</v>
      </c>
      <c r="O6813" t="s">
        <v>9477</v>
      </c>
      <c r="P6813" t="s">
        <v>9477</v>
      </c>
      <c r="Y6813" t="s">
        <v>27612</v>
      </c>
    </row>
    <row r="6814" spans="1:25">
      <c r="A6814" t="s">
        <v>27613</v>
      </c>
      <c r="B6814" t="s">
        <v>27614</v>
      </c>
      <c r="D6814" t="s">
        <v>9473</v>
      </c>
      <c r="E6814" t="s">
        <v>9474</v>
      </c>
      <c r="J6814" t="s">
        <v>9719</v>
      </c>
      <c r="K6814" t="s">
        <v>9720</v>
      </c>
      <c r="L6814">
        <v>3</v>
      </c>
      <c r="M6814" t="s">
        <v>27615</v>
      </c>
      <c r="N6814" t="s">
        <v>27094</v>
      </c>
      <c r="O6814" t="s">
        <v>9477</v>
      </c>
      <c r="P6814" t="s">
        <v>9477</v>
      </c>
      <c r="Y6814" t="s">
        <v>27616</v>
      </c>
    </row>
    <row r="6815" spans="1:25">
      <c r="A6815" t="s">
        <v>27617</v>
      </c>
      <c r="B6815" t="s">
        <v>27618</v>
      </c>
      <c r="D6815" t="s">
        <v>9473</v>
      </c>
      <c r="E6815" t="s">
        <v>9474</v>
      </c>
      <c r="H6815" t="s">
        <v>27619</v>
      </c>
      <c r="J6815" t="s">
        <v>9759</v>
      </c>
      <c r="K6815" t="s">
        <v>9760</v>
      </c>
      <c r="L6815">
        <v>4</v>
      </c>
      <c r="M6815" t="s">
        <v>27620</v>
      </c>
      <c r="N6815" t="s">
        <v>47</v>
      </c>
      <c r="O6815" t="s">
        <v>9477</v>
      </c>
      <c r="P6815" t="s">
        <v>9477</v>
      </c>
      <c r="Y6815" t="s">
        <v>27619</v>
      </c>
    </row>
    <row r="6816" spans="1:25">
      <c r="A6816" t="s">
        <v>27621</v>
      </c>
      <c r="B6816" t="s">
        <v>27622</v>
      </c>
      <c r="D6816" t="s">
        <v>9473</v>
      </c>
      <c r="E6816" t="s">
        <v>9474</v>
      </c>
      <c r="J6816" t="s">
        <v>765</v>
      </c>
      <c r="K6816" t="s">
        <v>766</v>
      </c>
      <c r="L6816">
        <v>3</v>
      </c>
      <c r="M6816" t="s">
        <v>27623</v>
      </c>
      <c r="N6816" t="s">
        <v>27094</v>
      </c>
      <c r="O6816" t="s">
        <v>9477</v>
      </c>
      <c r="P6816" t="s">
        <v>9477</v>
      </c>
      <c r="Y6816" t="s">
        <v>27624</v>
      </c>
    </row>
    <row r="6817" spans="1:25">
      <c r="A6817" t="s">
        <v>27625</v>
      </c>
      <c r="B6817" t="s">
        <v>27626</v>
      </c>
      <c r="D6817" t="s">
        <v>9473</v>
      </c>
      <c r="E6817" t="s">
        <v>9474</v>
      </c>
      <c r="J6817" t="s">
        <v>2328</v>
      </c>
      <c r="K6817" t="s">
        <v>2329</v>
      </c>
      <c r="L6817">
        <v>3</v>
      </c>
      <c r="M6817" t="s">
        <v>27627</v>
      </c>
      <c r="N6817" t="s">
        <v>27152</v>
      </c>
      <c r="O6817" t="s">
        <v>9477</v>
      </c>
      <c r="P6817" t="s">
        <v>9477</v>
      </c>
      <c r="Y6817" t="s">
        <v>27628</v>
      </c>
    </row>
    <row r="6818" spans="1:25">
      <c r="A6818" t="s">
        <v>27629</v>
      </c>
      <c r="B6818" t="s">
        <v>27630</v>
      </c>
      <c r="D6818" t="s">
        <v>9473</v>
      </c>
      <c r="E6818" t="s">
        <v>9474</v>
      </c>
      <c r="J6818" t="s">
        <v>2328</v>
      </c>
      <c r="K6818" t="s">
        <v>2329</v>
      </c>
      <c r="L6818">
        <v>3</v>
      </c>
      <c r="M6818" t="s">
        <v>27631</v>
      </c>
      <c r="N6818" t="s">
        <v>27074</v>
      </c>
      <c r="O6818" t="s">
        <v>9477</v>
      </c>
      <c r="P6818" t="s">
        <v>9477</v>
      </c>
      <c r="Y6818" t="s">
        <v>27632</v>
      </c>
    </row>
    <row r="6819" spans="1:25">
      <c r="A6819" t="s">
        <v>27633</v>
      </c>
      <c r="B6819" t="s">
        <v>27634</v>
      </c>
      <c r="D6819" t="s">
        <v>9473</v>
      </c>
      <c r="E6819" t="s">
        <v>9474</v>
      </c>
      <c r="J6819" t="s">
        <v>2328</v>
      </c>
      <c r="K6819" t="s">
        <v>2329</v>
      </c>
      <c r="L6819">
        <v>3</v>
      </c>
      <c r="M6819" t="s">
        <v>27635</v>
      </c>
      <c r="N6819" t="s">
        <v>27152</v>
      </c>
      <c r="O6819" t="s">
        <v>9477</v>
      </c>
      <c r="P6819" t="s">
        <v>9477</v>
      </c>
      <c r="Y6819" t="s">
        <v>27636</v>
      </c>
    </row>
    <row r="6820" spans="1:25">
      <c r="A6820" t="s">
        <v>27637</v>
      </c>
      <c r="B6820" t="s">
        <v>27638</v>
      </c>
      <c r="D6820" t="s">
        <v>9473</v>
      </c>
      <c r="E6820" t="s">
        <v>9474</v>
      </c>
      <c r="J6820" t="s">
        <v>497</v>
      </c>
      <c r="K6820" t="s">
        <v>498</v>
      </c>
      <c r="L6820">
        <v>3</v>
      </c>
      <c r="M6820" t="s">
        <v>27639</v>
      </c>
      <c r="N6820" t="s">
        <v>685</v>
      </c>
      <c r="O6820" t="s">
        <v>9477</v>
      </c>
      <c r="P6820" t="s">
        <v>9477</v>
      </c>
      <c r="Y6820" t="s">
        <v>27640</v>
      </c>
    </row>
    <row r="6821" spans="1:25">
      <c r="A6821" t="s">
        <v>27641</v>
      </c>
      <c r="B6821" t="s">
        <v>27642</v>
      </c>
      <c r="D6821" t="s">
        <v>9473</v>
      </c>
      <c r="E6821" t="s">
        <v>9474</v>
      </c>
      <c r="J6821" t="s">
        <v>2328</v>
      </c>
      <c r="K6821" t="s">
        <v>2329</v>
      </c>
      <c r="L6821">
        <v>3</v>
      </c>
      <c r="M6821" t="s">
        <v>27643</v>
      </c>
      <c r="N6821" t="s">
        <v>27152</v>
      </c>
      <c r="O6821" t="s">
        <v>9477</v>
      </c>
      <c r="P6821" t="s">
        <v>9477</v>
      </c>
      <c r="Y6821" t="s">
        <v>27644</v>
      </c>
    </row>
    <row r="6822" spans="1:25">
      <c r="A6822" t="s">
        <v>27645</v>
      </c>
      <c r="B6822" t="s">
        <v>27646</v>
      </c>
      <c r="D6822" t="s">
        <v>9473</v>
      </c>
      <c r="E6822" t="s">
        <v>9474</v>
      </c>
      <c r="H6822" t="s">
        <v>27647</v>
      </c>
      <c r="J6822" t="s">
        <v>10083</v>
      </c>
      <c r="K6822" t="s">
        <v>10084</v>
      </c>
      <c r="L6822">
        <v>3</v>
      </c>
      <c r="M6822" t="s">
        <v>27648</v>
      </c>
      <c r="N6822" t="s">
        <v>27115</v>
      </c>
      <c r="O6822" t="s">
        <v>9477</v>
      </c>
      <c r="P6822" t="s">
        <v>9477</v>
      </c>
      <c r="Y6822" t="s">
        <v>27647</v>
      </c>
    </row>
    <row r="6823" spans="1:25">
      <c r="A6823" t="s">
        <v>27649</v>
      </c>
      <c r="B6823" t="s">
        <v>27650</v>
      </c>
      <c r="D6823" t="s">
        <v>9473</v>
      </c>
      <c r="E6823" t="s">
        <v>9474</v>
      </c>
      <c r="J6823" t="s">
        <v>497</v>
      </c>
      <c r="K6823" t="s">
        <v>498</v>
      </c>
      <c r="L6823">
        <v>3</v>
      </c>
      <c r="M6823" t="s">
        <v>27651</v>
      </c>
      <c r="N6823" t="s">
        <v>685</v>
      </c>
      <c r="O6823" t="s">
        <v>9477</v>
      </c>
      <c r="P6823" t="s">
        <v>9477</v>
      </c>
      <c r="Y6823" t="s">
        <v>27652</v>
      </c>
    </row>
    <row r="6824" spans="1:25">
      <c r="A6824" t="s">
        <v>27653</v>
      </c>
      <c r="B6824" t="s">
        <v>27654</v>
      </c>
      <c r="D6824" t="s">
        <v>9473</v>
      </c>
      <c r="E6824" t="s">
        <v>9474</v>
      </c>
      <c r="J6824" t="s">
        <v>2328</v>
      </c>
      <c r="K6824" t="s">
        <v>2329</v>
      </c>
      <c r="L6824">
        <v>3</v>
      </c>
      <c r="M6824" t="s">
        <v>27655</v>
      </c>
      <c r="N6824" t="s">
        <v>27152</v>
      </c>
      <c r="O6824" t="s">
        <v>9477</v>
      </c>
      <c r="P6824" t="s">
        <v>9477</v>
      </c>
      <c r="Y6824" t="s">
        <v>27656</v>
      </c>
    </row>
    <row r="6825" spans="1:25">
      <c r="A6825" t="s">
        <v>27657</v>
      </c>
      <c r="B6825" t="s">
        <v>27658</v>
      </c>
      <c r="D6825" t="s">
        <v>9473</v>
      </c>
      <c r="E6825" t="s">
        <v>9474</v>
      </c>
      <c r="H6825" t="s">
        <v>27659</v>
      </c>
      <c r="J6825" t="s">
        <v>497</v>
      </c>
      <c r="K6825" t="s">
        <v>498</v>
      </c>
      <c r="L6825">
        <v>3</v>
      </c>
      <c r="M6825" t="s">
        <v>27660</v>
      </c>
      <c r="N6825" t="s">
        <v>290</v>
      </c>
      <c r="O6825" t="s">
        <v>9477</v>
      </c>
      <c r="P6825" t="s">
        <v>9477</v>
      </c>
      <c r="Y6825" t="s">
        <v>27659</v>
      </c>
    </row>
    <row r="6826" spans="1:25">
      <c r="A6826" t="s">
        <v>27661</v>
      </c>
      <c r="B6826" t="s">
        <v>27662</v>
      </c>
      <c r="D6826" t="s">
        <v>9473</v>
      </c>
      <c r="E6826" t="s">
        <v>9474</v>
      </c>
      <c r="J6826" t="s">
        <v>765</v>
      </c>
      <c r="K6826" t="s">
        <v>766</v>
      </c>
      <c r="L6826">
        <v>3</v>
      </c>
      <c r="M6826" t="s">
        <v>27663</v>
      </c>
      <c r="N6826" t="s">
        <v>685</v>
      </c>
      <c r="O6826" t="s">
        <v>9477</v>
      </c>
      <c r="P6826" t="s">
        <v>9477</v>
      </c>
      <c r="Y6826" t="s">
        <v>27664</v>
      </c>
    </row>
    <row r="6827" spans="1:25">
      <c r="A6827" t="s">
        <v>27665</v>
      </c>
      <c r="B6827" t="s">
        <v>27666</v>
      </c>
      <c r="D6827" t="s">
        <v>9473</v>
      </c>
      <c r="E6827" t="s">
        <v>9474</v>
      </c>
      <c r="H6827" t="s">
        <v>27667</v>
      </c>
      <c r="J6827" t="s">
        <v>765</v>
      </c>
      <c r="K6827" t="s">
        <v>766</v>
      </c>
      <c r="L6827">
        <v>3</v>
      </c>
      <c r="M6827" t="s">
        <v>27668</v>
      </c>
      <c r="N6827" t="s">
        <v>685</v>
      </c>
      <c r="O6827" t="s">
        <v>9477</v>
      </c>
      <c r="P6827" t="s">
        <v>9477</v>
      </c>
      <c r="Y6827" t="s">
        <v>27667</v>
      </c>
    </row>
    <row r="6828" spans="1:25">
      <c r="A6828" t="s">
        <v>27669</v>
      </c>
      <c r="B6828" t="s">
        <v>27670</v>
      </c>
      <c r="D6828" t="s">
        <v>9473</v>
      </c>
      <c r="E6828" t="s">
        <v>9474</v>
      </c>
      <c r="J6828" t="s">
        <v>9759</v>
      </c>
      <c r="K6828" t="s">
        <v>9760</v>
      </c>
      <c r="L6828">
        <v>4</v>
      </c>
      <c r="M6828" t="s">
        <v>27671</v>
      </c>
      <c r="N6828" t="s">
        <v>47</v>
      </c>
      <c r="O6828" t="s">
        <v>9477</v>
      </c>
      <c r="P6828" t="s">
        <v>9477</v>
      </c>
      <c r="Y6828" t="s">
        <v>27672</v>
      </c>
    </row>
    <row r="6829" spans="1:25">
      <c r="A6829" t="s">
        <v>27673</v>
      </c>
      <c r="B6829" t="s">
        <v>27674</v>
      </c>
      <c r="D6829" t="s">
        <v>9473</v>
      </c>
      <c r="E6829" t="s">
        <v>9474</v>
      </c>
      <c r="J6829" t="s">
        <v>765</v>
      </c>
      <c r="K6829" t="s">
        <v>766</v>
      </c>
      <c r="L6829">
        <v>3</v>
      </c>
      <c r="M6829" t="s">
        <v>27675</v>
      </c>
      <c r="N6829" t="s">
        <v>27094</v>
      </c>
      <c r="O6829" t="s">
        <v>9477</v>
      </c>
      <c r="P6829" t="s">
        <v>9477</v>
      </c>
      <c r="Y6829" t="s">
        <v>27676</v>
      </c>
    </row>
    <row r="6830" spans="1:25">
      <c r="A6830" t="s">
        <v>27677</v>
      </c>
      <c r="B6830" t="s">
        <v>27678</v>
      </c>
      <c r="D6830" t="s">
        <v>9473</v>
      </c>
      <c r="E6830" t="s">
        <v>9474</v>
      </c>
      <c r="J6830" t="s">
        <v>765</v>
      </c>
      <c r="K6830" t="s">
        <v>766</v>
      </c>
      <c r="L6830">
        <v>3</v>
      </c>
      <c r="M6830" t="s">
        <v>27679</v>
      </c>
      <c r="N6830" t="s">
        <v>685</v>
      </c>
      <c r="O6830" t="s">
        <v>9477</v>
      </c>
      <c r="P6830" t="s">
        <v>9477</v>
      </c>
      <c r="Y6830" t="s">
        <v>27680</v>
      </c>
    </row>
    <row r="6831" spans="1:25">
      <c r="A6831" t="s">
        <v>27681</v>
      </c>
      <c r="B6831" t="s">
        <v>27682</v>
      </c>
      <c r="D6831" t="s">
        <v>9473</v>
      </c>
      <c r="E6831" t="s">
        <v>9474</v>
      </c>
      <c r="J6831" t="s">
        <v>9719</v>
      </c>
      <c r="K6831" t="s">
        <v>9720</v>
      </c>
      <c r="L6831">
        <v>2</v>
      </c>
      <c r="M6831" t="s">
        <v>27683</v>
      </c>
      <c r="N6831" t="s">
        <v>27098</v>
      </c>
      <c r="O6831" t="s">
        <v>9477</v>
      </c>
      <c r="P6831" t="s">
        <v>9477</v>
      </c>
      <c r="Y6831" t="s">
        <v>27684</v>
      </c>
    </row>
    <row r="6832" spans="1:25">
      <c r="A6832" t="s">
        <v>27685</v>
      </c>
      <c r="B6832" t="s">
        <v>27686</v>
      </c>
      <c r="D6832" t="s">
        <v>9473</v>
      </c>
      <c r="E6832" t="s">
        <v>9474</v>
      </c>
      <c r="J6832" t="s">
        <v>927</v>
      </c>
      <c r="K6832" t="s">
        <v>928</v>
      </c>
      <c r="L6832">
        <v>3</v>
      </c>
      <c r="M6832" t="s">
        <v>27687</v>
      </c>
      <c r="N6832" t="s">
        <v>27094</v>
      </c>
      <c r="O6832" t="s">
        <v>9477</v>
      </c>
      <c r="P6832" t="s">
        <v>9477</v>
      </c>
      <c r="Y6832" t="s">
        <v>27688</v>
      </c>
    </row>
    <row r="6833" spans="1:25">
      <c r="A6833" t="s">
        <v>27689</v>
      </c>
      <c r="B6833" t="s">
        <v>27690</v>
      </c>
      <c r="D6833" t="s">
        <v>9473</v>
      </c>
      <c r="E6833" t="s">
        <v>9474</v>
      </c>
      <c r="H6833" t="s">
        <v>27691</v>
      </c>
      <c r="J6833" t="s">
        <v>5844</v>
      </c>
      <c r="K6833" t="s">
        <v>5845</v>
      </c>
      <c r="L6833">
        <v>3</v>
      </c>
      <c r="M6833" t="s">
        <v>27692</v>
      </c>
      <c r="N6833" t="s">
        <v>27115</v>
      </c>
      <c r="O6833" t="s">
        <v>9477</v>
      </c>
      <c r="P6833" t="s">
        <v>9477</v>
      </c>
      <c r="Y6833" t="s">
        <v>27691</v>
      </c>
    </row>
    <row r="6834" spans="1:25">
      <c r="A6834" t="s">
        <v>27693</v>
      </c>
      <c r="B6834" t="s">
        <v>27694</v>
      </c>
      <c r="D6834" t="s">
        <v>9473</v>
      </c>
      <c r="E6834" t="s">
        <v>9474</v>
      </c>
      <c r="H6834" t="s">
        <v>27695</v>
      </c>
      <c r="J6834" t="s">
        <v>765</v>
      </c>
      <c r="K6834" t="s">
        <v>766</v>
      </c>
      <c r="L6834">
        <v>3</v>
      </c>
      <c r="M6834" t="s">
        <v>27696</v>
      </c>
      <c r="N6834" t="s">
        <v>27094</v>
      </c>
      <c r="O6834" t="s">
        <v>9477</v>
      </c>
      <c r="P6834" t="s">
        <v>9477</v>
      </c>
      <c r="Y6834" t="s">
        <v>27695</v>
      </c>
    </row>
    <row r="6835" spans="1:25">
      <c r="A6835" t="s">
        <v>27697</v>
      </c>
      <c r="B6835" t="s">
        <v>27698</v>
      </c>
      <c r="D6835" t="s">
        <v>9473</v>
      </c>
      <c r="E6835" t="s">
        <v>9474</v>
      </c>
      <c r="J6835" t="s">
        <v>9719</v>
      </c>
      <c r="K6835" t="s">
        <v>9720</v>
      </c>
      <c r="L6835">
        <v>3</v>
      </c>
      <c r="M6835" t="s">
        <v>27699</v>
      </c>
      <c r="N6835" t="s">
        <v>685</v>
      </c>
      <c r="O6835" t="s">
        <v>9477</v>
      </c>
      <c r="P6835" t="s">
        <v>9477</v>
      </c>
      <c r="Y6835" t="s">
        <v>27700</v>
      </c>
    </row>
    <row r="6836" spans="1:25">
      <c r="A6836" t="s">
        <v>27701</v>
      </c>
      <c r="B6836" t="s">
        <v>27702</v>
      </c>
      <c r="D6836" t="s">
        <v>9473</v>
      </c>
      <c r="E6836" t="s">
        <v>9474</v>
      </c>
      <c r="J6836" t="s">
        <v>765</v>
      </c>
      <c r="K6836" t="s">
        <v>766</v>
      </c>
      <c r="L6836">
        <v>3</v>
      </c>
      <c r="M6836" t="s">
        <v>27703</v>
      </c>
      <c r="N6836" t="s">
        <v>290</v>
      </c>
      <c r="O6836" t="s">
        <v>9477</v>
      </c>
      <c r="P6836" t="s">
        <v>9477</v>
      </c>
      <c r="Y6836" t="s">
        <v>27704</v>
      </c>
    </row>
    <row r="6837" spans="1:25">
      <c r="A6837" t="s">
        <v>27705</v>
      </c>
      <c r="B6837" t="s">
        <v>27706</v>
      </c>
      <c r="D6837" t="s">
        <v>9473</v>
      </c>
      <c r="E6837" t="s">
        <v>9474</v>
      </c>
      <c r="J6837" t="s">
        <v>2948</v>
      </c>
      <c r="K6837" t="s">
        <v>2949</v>
      </c>
      <c r="L6837">
        <v>3</v>
      </c>
      <c r="M6837" t="s">
        <v>27707</v>
      </c>
      <c r="N6837" t="s">
        <v>27074</v>
      </c>
      <c r="O6837" t="s">
        <v>9477</v>
      </c>
      <c r="P6837" t="s">
        <v>9477</v>
      </c>
      <c r="Y6837" t="s">
        <v>27708</v>
      </c>
    </row>
    <row r="6838" spans="1:25">
      <c r="A6838" t="s">
        <v>27709</v>
      </c>
      <c r="B6838" t="s">
        <v>27710</v>
      </c>
      <c r="D6838" t="s">
        <v>9473</v>
      </c>
      <c r="E6838" t="s">
        <v>9474</v>
      </c>
      <c r="J6838" t="s">
        <v>765</v>
      </c>
      <c r="K6838" t="s">
        <v>766</v>
      </c>
      <c r="L6838">
        <v>3</v>
      </c>
      <c r="M6838" t="s">
        <v>27711</v>
      </c>
      <c r="N6838" t="s">
        <v>290</v>
      </c>
      <c r="O6838" t="s">
        <v>9477</v>
      </c>
      <c r="P6838" t="s">
        <v>9477</v>
      </c>
      <c r="Y6838" t="s">
        <v>27712</v>
      </c>
    </row>
    <row r="6839" spans="1:25">
      <c r="A6839" t="s">
        <v>27713</v>
      </c>
      <c r="B6839" t="s">
        <v>27714</v>
      </c>
      <c r="D6839" t="s">
        <v>9473</v>
      </c>
      <c r="E6839" t="s">
        <v>9474</v>
      </c>
      <c r="J6839" t="s">
        <v>9759</v>
      </c>
      <c r="K6839" t="s">
        <v>9760</v>
      </c>
      <c r="L6839">
        <v>4</v>
      </c>
      <c r="M6839" t="s">
        <v>27711</v>
      </c>
      <c r="N6839" t="s">
        <v>27094</v>
      </c>
      <c r="O6839" t="s">
        <v>9477</v>
      </c>
      <c r="P6839" t="s">
        <v>9477</v>
      </c>
      <c r="Y6839" t="s">
        <v>27715</v>
      </c>
    </row>
    <row r="6840" spans="1:25">
      <c r="A6840" t="s">
        <v>27716</v>
      </c>
      <c r="B6840" t="s">
        <v>27717</v>
      </c>
      <c r="D6840" t="s">
        <v>9473</v>
      </c>
      <c r="E6840" t="s">
        <v>9474</v>
      </c>
      <c r="J6840" t="s">
        <v>927</v>
      </c>
      <c r="K6840" t="s">
        <v>928</v>
      </c>
      <c r="L6840">
        <v>3</v>
      </c>
      <c r="M6840" t="s">
        <v>27718</v>
      </c>
      <c r="N6840" t="s">
        <v>27098</v>
      </c>
      <c r="O6840" t="s">
        <v>9477</v>
      </c>
      <c r="P6840" t="s">
        <v>9477</v>
      </c>
      <c r="Y6840" t="s">
        <v>27719</v>
      </c>
    </row>
    <row r="6841" spans="1:25">
      <c r="A6841" t="s">
        <v>27720</v>
      </c>
      <c r="B6841" t="s">
        <v>27721</v>
      </c>
      <c r="D6841" t="s">
        <v>9473</v>
      </c>
      <c r="E6841" t="s">
        <v>9474</v>
      </c>
      <c r="J6841" t="s">
        <v>765</v>
      </c>
      <c r="K6841" t="s">
        <v>766</v>
      </c>
      <c r="L6841">
        <v>3</v>
      </c>
      <c r="M6841" t="s">
        <v>27722</v>
      </c>
      <c r="N6841" t="s">
        <v>685</v>
      </c>
      <c r="O6841" t="s">
        <v>9477</v>
      </c>
      <c r="P6841" t="s">
        <v>9477</v>
      </c>
      <c r="Y6841" t="s">
        <v>27723</v>
      </c>
    </row>
    <row r="6842" spans="1:25">
      <c r="A6842" t="s">
        <v>27724</v>
      </c>
      <c r="B6842" t="s">
        <v>27725</v>
      </c>
      <c r="D6842" t="s">
        <v>9473</v>
      </c>
      <c r="E6842" t="s">
        <v>9474</v>
      </c>
      <c r="J6842" t="s">
        <v>765</v>
      </c>
      <c r="K6842" t="s">
        <v>766</v>
      </c>
      <c r="L6842">
        <v>3</v>
      </c>
      <c r="M6842" t="s">
        <v>27726</v>
      </c>
      <c r="N6842" t="s">
        <v>290</v>
      </c>
      <c r="O6842" t="s">
        <v>9477</v>
      </c>
      <c r="P6842" t="s">
        <v>9477</v>
      </c>
      <c r="Y6842" t="s">
        <v>27727</v>
      </c>
    </row>
    <row r="6843" spans="1:25">
      <c r="A6843" t="s">
        <v>27728</v>
      </c>
      <c r="B6843" t="s">
        <v>27729</v>
      </c>
      <c r="D6843" t="s">
        <v>9473</v>
      </c>
      <c r="E6843" t="s">
        <v>9474</v>
      </c>
      <c r="J6843" t="s">
        <v>2328</v>
      </c>
      <c r="K6843" t="s">
        <v>2329</v>
      </c>
      <c r="L6843">
        <v>3</v>
      </c>
      <c r="M6843" t="s">
        <v>27730</v>
      </c>
      <c r="N6843" t="s">
        <v>27152</v>
      </c>
      <c r="O6843" t="s">
        <v>9477</v>
      </c>
      <c r="P6843" t="s">
        <v>9477</v>
      </c>
      <c r="Y6843" t="s">
        <v>27731</v>
      </c>
    </row>
    <row r="6844" spans="1:25">
      <c r="A6844" t="s">
        <v>27732</v>
      </c>
      <c r="B6844" t="s">
        <v>27733</v>
      </c>
      <c r="D6844" t="s">
        <v>9473</v>
      </c>
      <c r="E6844" t="s">
        <v>9474</v>
      </c>
      <c r="H6844" t="s">
        <v>27734</v>
      </c>
      <c r="J6844" t="s">
        <v>765</v>
      </c>
      <c r="K6844" t="s">
        <v>766</v>
      </c>
      <c r="L6844">
        <v>3</v>
      </c>
      <c r="M6844" t="s">
        <v>27735</v>
      </c>
      <c r="N6844" t="s">
        <v>290</v>
      </c>
      <c r="O6844" t="s">
        <v>9477</v>
      </c>
      <c r="P6844" t="s">
        <v>9477</v>
      </c>
      <c r="Y6844" t="s">
        <v>27734</v>
      </c>
    </row>
    <row r="6845" spans="1:25">
      <c r="A6845" t="s">
        <v>27736</v>
      </c>
      <c r="B6845" t="s">
        <v>27737</v>
      </c>
      <c r="D6845" t="s">
        <v>9473</v>
      </c>
      <c r="E6845" t="s">
        <v>9474</v>
      </c>
      <c r="H6845" t="s">
        <v>27738</v>
      </c>
      <c r="J6845" t="s">
        <v>765</v>
      </c>
      <c r="K6845" t="s">
        <v>766</v>
      </c>
      <c r="L6845">
        <v>3</v>
      </c>
      <c r="M6845" t="s">
        <v>27739</v>
      </c>
      <c r="N6845" t="s">
        <v>27094</v>
      </c>
      <c r="O6845" t="s">
        <v>9477</v>
      </c>
      <c r="P6845" t="s">
        <v>9477</v>
      </c>
      <c r="Y6845" t="s">
        <v>27738</v>
      </c>
    </row>
    <row r="6846" spans="1:25">
      <c r="A6846" t="s">
        <v>27740</v>
      </c>
      <c r="B6846" t="s">
        <v>27741</v>
      </c>
      <c r="D6846" t="s">
        <v>9473</v>
      </c>
      <c r="E6846" t="s">
        <v>9474</v>
      </c>
      <c r="J6846" t="s">
        <v>765</v>
      </c>
      <c r="K6846" t="s">
        <v>766</v>
      </c>
      <c r="L6846">
        <v>3</v>
      </c>
      <c r="M6846" t="s">
        <v>27742</v>
      </c>
      <c r="N6846" t="s">
        <v>685</v>
      </c>
      <c r="O6846" t="s">
        <v>9477</v>
      </c>
      <c r="P6846" t="s">
        <v>9477</v>
      </c>
      <c r="Y6846" t="s">
        <v>27743</v>
      </c>
    </row>
    <row r="6847" spans="1:25">
      <c r="A6847" t="s">
        <v>27744</v>
      </c>
      <c r="B6847" t="s">
        <v>27745</v>
      </c>
      <c r="D6847" t="s">
        <v>9473</v>
      </c>
      <c r="E6847" t="s">
        <v>9474</v>
      </c>
      <c r="J6847" t="s">
        <v>2328</v>
      </c>
      <c r="K6847" t="s">
        <v>2329</v>
      </c>
      <c r="L6847">
        <v>3</v>
      </c>
      <c r="M6847" t="s">
        <v>27746</v>
      </c>
      <c r="N6847" t="s">
        <v>27152</v>
      </c>
      <c r="O6847" t="s">
        <v>9477</v>
      </c>
      <c r="P6847" t="s">
        <v>9477</v>
      </c>
      <c r="Y6847" t="s">
        <v>27747</v>
      </c>
    </row>
    <row r="6848" spans="1:25">
      <c r="A6848" t="s">
        <v>27748</v>
      </c>
      <c r="B6848" t="s">
        <v>27749</v>
      </c>
      <c r="D6848" t="s">
        <v>9473</v>
      </c>
      <c r="E6848" t="s">
        <v>9474</v>
      </c>
      <c r="J6848" t="s">
        <v>497</v>
      </c>
      <c r="K6848" t="s">
        <v>498</v>
      </c>
      <c r="L6848">
        <v>3</v>
      </c>
      <c r="M6848" t="s">
        <v>27750</v>
      </c>
      <c r="N6848" t="s">
        <v>27074</v>
      </c>
      <c r="O6848" t="s">
        <v>9477</v>
      </c>
      <c r="P6848" t="s">
        <v>9477</v>
      </c>
      <c r="Y6848" t="s">
        <v>27751</v>
      </c>
    </row>
    <row r="6849" spans="1:25">
      <c r="A6849" t="s">
        <v>27752</v>
      </c>
      <c r="B6849" t="s">
        <v>27753</v>
      </c>
      <c r="D6849" t="s">
        <v>9473</v>
      </c>
      <c r="E6849" t="s">
        <v>9474</v>
      </c>
      <c r="J6849" t="s">
        <v>765</v>
      </c>
      <c r="K6849" t="s">
        <v>766</v>
      </c>
      <c r="L6849">
        <v>3</v>
      </c>
      <c r="M6849" t="s">
        <v>27754</v>
      </c>
      <c r="N6849" t="s">
        <v>685</v>
      </c>
      <c r="O6849" t="s">
        <v>9477</v>
      </c>
      <c r="P6849" t="s">
        <v>9477</v>
      </c>
      <c r="Y6849" t="s">
        <v>27755</v>
      </c>
    </row>
    <row r="6850" spans="1:25">
      <c r="A6850" t="s">
        <v>27756</v>
      </c>
      <c r="B6850" t="s">
        <v>27757</v>
      </c>
      <c r="D6850" t="s">
        <v>9473</v>
      </c>
      <c r="E6850" t="s">
        <v>9474</v>
      </c>
      <c r="J6850" t="s">
        <v>5844</v>
      </c>
      <c r="K6850" t="s">
        <v>5845</v>
      </c>
      <c r="L6850">
        <v>3</v>
      </c>
      <c r="M6850" t="s">
        <v>27758</v>
      </c>
      <c r="N6850" t="s">
        <v>685</v>
      </c>
      <c r="O6850" t="s">
        <v>9477</v>
      </c>
      <c r="P6850" t="s">
        <v>9477</v>
      </c>
      <c r="Y6850" t="s">
        <v>27759</v>
      </c>
    </row>
    <row r="6851" spans="1:25">
      <c r="A6851" t="s">
        <v>27760</v>
      </c>
      <c r="B6851" t="s">
        <v>27761</v>
      </c>
      <c r="D6851" t="s">
        <v>9473</v>
      </c>
      <c r="E6851" t="s">
        <v>9474</v>
      </c>
      <c r="J6851" t="s">
        <v>765</v>
      </c>
      <c r="K6851" t="s">
        <v>766</v>
      </c>
      <c r="L6851">
        <v>3</v>
      </c>
      <c r="M6851" t="s">
        <v>27762</v>
      </c>
      <c r="N6851" t="s">
        <v>27098</v>
      </c>
      <c r="O6851" t="s">
        <v>9477</v>
      </c>
      <c r="P6851" t="s">
        <v>9477</v>
      </c>
      <c r="Y6851" t="s">
        <v>27763</v>
      </c>
    </row>
    <row r="6852" spans="1:25">
      <c r="A6852" t="s">
        <v>27764</v>
      </c>
      <c r="B6852" t="s">
        <v>27765</v>
      </c>
      <c r="D6852" t="s">
        <v>9473</v>
      </c>
      <c r="E6852" t="s">
        <v>9474</v>
      </c>
      <c r="H6852" t="s">
        <v>27766</v>
      </c>
      <c r="J6852" t="s">
        <v>765</v>
      </c>
      <c r="K6852" t="s">
        <v>766</v>
      </c>
      <c r="L6852">
        <v>3</v>
      </c>
      <c r="M6852" t="s">
        <v>27767</v>
      </c>
      <c r="N6852" t="s">
        <v>27094</v>
      </c>
      <c r="O6852" t="s">
        <v>9477</v>
      </c>
      <c r="P6852" t="s">
        <v>9477</v>
      </c>
      <c r="Y6852" t="s">
        <v>27766</v>
      </c>
    </row>
    <row r="6853" spans="1:25">
      <c r="A6853" t="s">
        <v>27768</v>
      </c>
      <c r="B6853" t="s">
        <v>27769</v>
      </c>
      <c r="D6853" t="s">
        <v>9473</v>
      </c>
      <c r="E6853" t="s">
        <v>9474</v>
      </c>
      <c r="J6853" t="s">
        <v>927</v>
      </c>
      <c r="K6853" t="s">
        <v>928</v>
      </c>
      <c r="L6853">
        <v>2</v>
      </c>
      <c r="M6853" t="s">
        <v>27770</v>
      </c>
      <c r="N6853" t="s">
        <v>27115</v>
      </c>
      <c r="O6853" t="s">
        <v>9477</v>
      </c>
      <c r="P6853" t="s">
        <v>9477</v>
      </c>
      <c r="Y6853" t="s">
        <v>27771</v>
      </c>
    </row>
    <row r="6854" spans="1:25">
      <c r="A6854" t="s">
        <v>27772</v>
      </c>
      <c r="B6854" t="s">
        <v>27773</v>
      </c>
      <c r="D6854" t="s">
        <v>9473</v>
      </c>
      <c r="E6854" t="s">
        <v>9474</v>
      </c>
      <c r="J6854" t="s">
        <v>497</v>
      </c>
      <c r="K6854" t="s">
        <v>498</v>
      </c>
      <c r="L6854">
        <v>3</v>
      </c>
      <c r="M6854" t="s">
        <v>27774</v>
      </c>
      <c r="N6854" t="s">
        <v>27098</v>
      </c>
      <c r="O6854" t="s">
        <v>9477</v>
      </c>
      <c r="P6854" t="s">
        <v>9477</v>
      </c>
      <c r="Y6854" t="s">
        <v>27775</v>
      </c>
    </row>
    <row r="6855" spans="1:25">
      <c r="A6855" t="s">
        <v>27776</v>
      </c>
      <c r="B6855" t="s">
        <v>27777</v>
      </c>
      <c r="D6855" t="s">
        <v>9473</v>
      </c>
      <c r="E6855" t="s">
        <v>9474</v>
      </c>
      <c r="H6855" t="s">
        <v>27778</v>
      </c>
      <c r="J6855" t="s">
        <v>927</v>
      </c>
      <c r="K6855" t="s">
        <v>928</v>
      </c>
      <c r="L6855">
        <v>3</v>
      </c>
      <c r="M6855" t="s">
        <v>27779</v>
      </c>
      <c r="N6855" t="s">
        <v>27115</v>
      </c>
      <c r="O6855" t="s">
        <v>9477</v>
      </c>
      <c r="P6855" t="s">
        <v>9477</v>
      </c>
      <c r="Y6855" t="s">
        <v>27778</v>
      </c>
    </row>
    <row r="6856" spans="1:25">
      <c r="A6856" t="s">
        <v>27780</v>
      </c>
      <c r="B6856" t="s">
        <v>27781</v>
      </c>
      <c r="D6856" t="s">
        <v>9473</v>
      </c>
      <c r="E6856" t="s">
        <v>9474</v>
      </c>
      <c r="J6856" t="s">
        <v>497</v>
      </c>
      <c r="K6856" t="s">
        <v>498</v>
      </c>
      <c r="L6856">
        <v>3</v>
      </c>
      <c r="M6856" t="s">
        <v>27782</v>
      </c>
      <c r="N6856" t="s">
        <v>685</v>
      </c>
      <c r="O6856" t="s">
        <v>9477</v>
      </c>
      <c r="P6856" t="s">
        <v>9477</v>
      </c>
      <c r="Y6856" t="s">
        <v>27783</v>
      </c>
    </row>
    <row r="6857" spans="1:25">
      <c r="A6857" t="s">
        <v>27784</v>
      </c>
      <c r="B6857" t="s">
        <v>27785</v>
      </c>
      <c r="D6857" t="s">
        <v>9473</v>
      </c>
      <c r="E6857" t="s">
        <v>9474</v>
      </c>
      <c r="J6857" t="s">
        <v>497</v>
      </c>
      <c r="K6857" t="s">
        <v>498</v>
      </c>
      <c r="L6857">
        <v>3</v>
      </c>
      <c r="M6857" t="s">
        <v>27786</v>
      </c>
      <c r="N6857" t="s">
        <v>27074</v>
      </c>
      <c r="O6857" t="s">
        <v>9477</v>
      </c>
      <c r="P6857" t="s">
        <v>9477</v>
      </c>
      <c r="Y6857" t="s">
        <v>27787</v>
      </c>
    </row>
    <row r="6858" spans="1:25">
      <c r="A6858" t="s">
        <v>27788</v>
      </c>
      <c r="B6858" t="s">
        <v>27789</v>
      </c>
      <c r="D6858" t="s">
        <v>9473</v>
      </c>
      <c r="E6858" t="s">
        <v>9474</v>
      </c>
      <c r="J6858" t="s">
        <v>5964</v>
      </c>
      <c r="K6858" t="s">
        <v>5965</v>
      </c>
      <c r="L6858">
        <v>3</v>
      </c>
      <c r="M6858" t="s">
        <v>27790</v>
      </c>
      <c r="N6858" t="s">
        <v>27094</v>
      </c>
      <c r="O6858" t="s">
        <v>9477</v>
      </c>
      <c r="P6858" t="s">
        <v>9477</v>
      </c>
      <c r="Y6858" t="s">
        <v>27791</v>
      </c>
    </row>
    <row r="6859" spans="1:25">
      <c r="A6859" t="s">
        <v>27792</v>
      </c>
      <c r="B6859" t="s">
        <v>27793</v>
      </c>
      <c r="D6859" t="s">
        <v>9473</v>
      </c>
      <c r="E6859" t="s">
        <v>9474</v>
      </c>
      <c r="J6859" t="s">
        <v>10083</v>
      </c>
      <c r="K6859" t="s">
        <v>10084</v>
      </c>
      <c r="L6859">
        <v>4</v>
      </c>
      <c r="M6859" t="s">
        <v>27794</v>
      </c>
      <c r="N6859" t="s">
        <v>27152</v>
      </c>
      <c r="O6859" t="s">
        <v>9477</v>
      </c>
      <c r="P6859" t="s">
        <v>9477</v>
      </c>
      <c r="Y6859" t="s">
        <v>27795</v>
      </c>
    </row>
    <row r="6860" spans="1:25">
      <c r="A6860" t="s">
        <v>27796</v>
      </c>
      <c r="B6860" t="s">
        <v>27797</v>
      </c>
      <c r="D6860" t="s">
        <v>9473</v>
      </c>
      <c r="E6860" t="s">
        <v>9474</v>
      </c>
      <c r="H6860" t="s">
        <v>27798</v>
      </c>
      <c r="J6860" t="s">
        <v>765</v>
      </c>
      <c r="K6860" t="s">
        <v>766</v>
      </c>
      <c r="L6860">
        <v>4</v>
      </c>
      <c r="M6860" t="s">
        <v>27799</v>
      </c>
      <c r="N6860" t="s">
        <v>27098</v>
      </c>
      <c r="O6860" t="s">
        <v>9477</v>
      </c>
      <c r="P6860" t="s">
        <v>9477</v>
      </c>
      <c r="Y6860" t="s">
        <v>27798</v>
      </c>
    </row>
    <row r="6861" spans="1:25">
      <c r="A6861" t="s">
        <v>27800</v>
      </c>
      <c r="B6861" t="s">
        <v>27801</v>
      </c>
      <c r="D6861" t="s">
        <v>9473</v>
      </c>
      <c r="E6861" t="s">
        <v>9474</v>
      </c>
      <c r="J6861" t="s">
        <v>9719</v>
      </c>
      <c r="K6861" t="s">
        <v>9720</v>
      </c>
      <c r="L6861">
        <v>3</v>
      </c>
      <c r="M6861" t="s">
        <v>27802</v>
      </c>
      <c r="N6861" t="s">
        <v>685</v>
      </c>
      <c r="O6861" t="s">
        <v>9477</v>
      </c>
      <c r="P6861" t="s">
        <v>9477</v>
      </c>
      <c r="Y6861" t="s">
        <v>27803</v>
      </c>
    </row>
    <row r="6862" spans="1:25">
      <c r="A6862" t="s">
        <v>27804</v>
      </c>
      <c r="B6862" t="s">
        <v>27805</v>
      </c>
      <c r="D6862" t="s">
        <v>9473</v>
      </c>
      <c r="E6862" t="s">
        <v>9474</v>
      </c>
      <c r="J6862" t="s">
        <v>2948</v>
      </c>
      <c r="K6862" t="s">
        <v>2949</v>
      </c>
      <c r="L6862">
        <v>3</v>
      </c>
      <c r="M6862" t="s">
        <v>27806</v>
      </c>
      <c r="N6862" t="s">
        <v>27074</v>
      </c>
      <c r="O6862" t="s">
        <v>9477</v>
      </c>
      <c r="P6862" t="s">
        <v>9477</v>
      </c>
      <c r="Y6862" t="s">
        <v>27807</v>
      </c>
    </row>
    <row r="6863" spans="1:25">
      <c r="A6863" t="s">
        <v>27808</v>
      </c>
      <c r="B6863" t="s">
        <v>27809</v>
      </c>
      <c r="D6863" t="s">
        <v>9473</v>
      </c>
      <c r="E6863" t="s">
        <v>9474</v>
      </c>
      <c r="J6863" t="s">
        <v>765</v>
      </c>
      <c r="K6863" t="s">
        <v>766</v>
      </c>
      <c r="L6863">
        <v>3</v>
      </c>
      <c r="M6863" t="s">
        <v>27810</v>
      </c>
      <c r="N6863" t="s">
        <v>290</v>
      </c>
      <c r="O6863" t="s">
        <v>9477</v>
      </c>
      <c r="P6863" t="s">
        <v>9477</v>
      </c>
      <c r="Y6863" t="s">
        <v>27811</v>
      </c>
    </row>
    <row r="6864" spans="1:25">
      <c r="A6864" t="s">
        <v>27812</v>
      </c>
      <c r="B6864" t="s">
        <v>27813</v>
      </c>
      <c r="D6864" t="s">
        <v>9473</v>
      </c>
      <c r="E6864" t="s">
        <v>9474</v>
      </c>
      <c r="J6864" t="s">
        <v>497</v>
      </c>
      <c r="K6864" t="s">
        <v>498</v>
      </c>
      <c r="L6864">
        <v>3</v>
      </c>
      <c r="M6864" t="s">
        <v>27814</v>
      </c>
      <c r="N6864" t="s">
        <v>685</v>
      </c>
      <c r="O6864" t="s">
        <v>9477</v>
      </c>
      <c r="P6864" t="s">
        <v>9477</v>
      </c>
      <c r="Y6864" t="s">
        <v>27815</v>
      </c>
    </row>
    <row r="6865" spans="1:25">
      <c r="A6865" t="s">
        <v>27816</v>
      </c>
      <c r="B6865" t="s">
        <v>27817</v>
      </c>
      <c r="D6865" t="s">
        <v>9473</v>
      </c>
      <c r="E6865" t="s">
        <v>9474</v>
      </c>
      <c r="J6865" t="s">
        <v>497</v>
      </c>
      <c r="K6865" t="s">
        <v>498</v>
      </c>
      <c r="L6865">
        <v>2</v>
      </c>
      <c r="M6865" t="s">
        <v>27818</v>
      </c>
      <c r="N6865" t="s">
        <v>27098</v>
      </c>
      <c r="O6865" t="s">
        <v>9477</v>
      </c>
      <c r="P6865" t="s">
        <v>9477</v>
      </c>
      <c r="Y6865" t="s">
        <v>27819</v>
      </c>
    </row>
    <row r="6866" spans="1:25">
      <c r="A6866" t="s">
        <v>27820</v>
      </c>
      <c r="B6866" t="s">
        <v>27821</v>
      </c>
      <c r="D6866" t="s">
        <v>9473</v>
      </c>
      <c r="E6866" t="s">
        <v>9474</v>
      </c>
      <c r="J6866" t="s">
        <v>765</v>
      </c>
      <c r="K6866" t="s">
        <v>766</v>
      </c>
      <c r="L6866">
        <v>3</v>
      </c>
      <c r="M6866" t="s">
        <v>27822</v>
      </c>
      <c r="N6866" t="s">
        <v>685</v>
      </c>
      <c r="O6866" t="s">
        <v>9477</v>
      </c>
      <c r="P6866" t="s">
        <v>9477</v>
      </c>
      <c r="Y6866" t="s">
        <v>27823</v>
      </c>
    </row>
    <row r="6867" spans="1:25">
      <c r="A6867" t="s">
        <v>27824</v>
      </c>
      <c r="B6867" t="s">
        <v>27825</v>
      </c>
      <c r="D6867" t="s">
        <v>9473</v>
      </c>
      <c r="E6867" t="s">
        <v>9474</v>
      </c>
      <c r="H6867" t="s">
        <v>27826</v>
      </c>
      <c r="J6867" t="s">
        <v>765</v>
      </c>
      <c r="K6867" t="s">
        <v>766</v>
      </c>
      <c r="L6867">
        <v>3</v>
      </c>
      <c r="M6867" t="s">
        <v>27827</v>
      </c>
      <c r="N6867" t="s">
        <v>27094</v>
      </c>
      <c r="O6867" t="s">
        <v>9477</v>
      </c>
      <c r="P6867" t="s">
        <v>9477</v>
      </c>
      <c r="Y6867" t="s">
        <v>27826</v>
      </c>
    </row>
    <row r="6868" spans="1:25">
      <c r="A6868" t="s">
        <v>27828</v>
      </c>
      <c r="B6868" t="s">
        <v>27829</v>
      </c>
      <c r="D6868" t="s">
        <v>9473</v>
      </c>
      <c r="E6868" t="s">
        <v>9474</v>
      </c>
      <c r="H6868" t="s">
        <v>27830</v>
      </c>
      <c r="J6868" t="s">
        <v>390</v>
      </c>
      <c r="K6868" t="s">
        <v>390</v>
      </c>
      <c r="L6868">
        <v>3</v>
      </c>
      <c r="M6868" t="s">
        <v>27831</v>
      </c>
      <c r="N6868" t="s">
        <v>27094</v>
      </c>
      <c r="O6868" t="s">
        <v>9477</v>
      </c>
      <c r="P6868" t="s">
        <v>9477</v>
      </c>
      <c r="Y6868" t="s">
        <v>27830</v>
      </c>
    </row>
    <row r="6869" spans="1:25">
      <c r="A6869" t="s">
        <v>27832</v>
      </c>
      <c r="B6869" t="s">
        <v>27833</v>
      </c>
      <c r="D6869" t="s">
        <v>9473</v>
      </c>
      <c r="E6869" t="s">
        <v>9474</v>
      </c>
      <c r="J6869" t="s">
        <v>765</v>
      </c>
      <c r="K6869" t="s">
        <v>766</v>
      </c>
      <c r="L6869">
        <v>3</v>
      </c>
      <c r="M6869" t="s">
        <v>27834</v>
      </c>
      <c r="N6869" t="s">
        <v>27094</v>
      </c>
      <c r="O6869" t="s">
        <v>9477</v>
      </c>
      <c r="P6869" t="s">
        <v>9477</v>
      </c>
      <c r="Y6869" t="s">
        <v>27835</v>
      </c>
    </row>
    <row r="6870" spans="1:25">
      <c r="A6870" t="s">
        <v>27836</v>
      </c>
      <c r="B6870" t="s">
        <v>27837</v>
      </c>
      <c r="D6870" t="s">
        <v>9473</v>
      </c>
      <c r="E6870" t="s">
        <v>9474</v>
      </c>
      <c r="J6870" t="s">
        <v>2328</v>
      </c>
      <c r="K6870" t="s">
        <v>2329</v>
      </c>
      <c r="L6870">
        <v>3</v>
      </c>
      <c r="M6870" t="s">
        <v>27838</v>
      </c>
      <c r="N6870" t="s">
        <v>27152</v>
      </c>
      <c r="O6870" t="s">
        <v>9477</v>
      </c>
      <c r="P6870" t="s">
        <v>9477</v>
      </c>
      <c r="Y6870" t="s">
        <v>27839</v>
      </c>
    </row>
    <row r="6871" spans="1:25">
      <c r="A6871" t="s">
        <v>27840</v>
      </c>
      <c r="B6871" t="s">
        <v>27841</v>
      </c>
      <c r="D6871" t="s">
        <v>9473</v>
      </c>
      <c r="E6871" t="s">
        <v>9474</v>
      </c>
      <c r="J6871" t="s">
        <v>497</v>
      </c>
      <c r="K6871" t="s">
        <v>498</v>
      </c>
      <c r="L6871">
        <v>3</v>
      </c>
      <c r="M6871" t="s">
        <v>27842</v>
      </c>
      <c r="N6871" t="s">
        <v>290</v>
      </c>
      <c r="O6871" t="s">
        <v>9477</v>
      </c>
      <c r="P6871" t="s">
        <v>9477</v>
      </c>
      <c r="Y6871" t="s">
        <v>27843</v>
      </c>
    </row>
    <row r="6872" spans="1:25">
      <c r="A6872" t="s">
        <v>27844</v>
      </c>
      <c r="B6872" t="s">
        <v>27845</v>
      </c>
      <c r="D6872" t="s">
        <v>9473</v>
      </c>
      <c r="E6872" t="s">
        <v>9474</v>
      </c>
      <c r="J6872" t="s">
        <v>497</v>
      </c>
      <c r="K6872" t="s">
        <v>498</v>
      </c>
      <c r="L6872">
        <v>3</v>
      </c>
      <c r="M6872" t="s">
        <v>27846</v>
      </c>
      <c r="N6872" t="s">
        <v>27094</v>
      </c>
      <c r="O6872" t="s">
        <v>9477</v>
      </c>
      <c r="P6872" t="s">
        <v>9477</v>
      </c>
      <c r="Y6872" t="s">
        <v>27847</v>
      </c>
    </row>
    <row r="6873" spans="1:25">
      <c r="A6873" t="s">
        <v>27848</v>
      </c>
      <c r="B6873" t="s">
        <v>27849</v>
      </c>
      <c r="D6873" t="s">
        <v>9473</v>
      </c>
      <c r="E6873" t="s">
        <v>9474</v>
      </c>
      <c r="J6873" t="s">
        <v>9719</v>
      </c>
      <c r="K6873" t="s">
        <v>9720</v>
      </c>
      <c r="L6873">
        <v>3</v>
      </c>
      <c r="M6873" t="s">
        <v>27850</v>
      </c>
      <c r="N6873" t="s">
        <v>27074</v>
      </c>
      <c r="O6873" t="s">
        <v>9477</v>
      </c>
      <c r="P6873" t="s">
        <v>9477</v>
      </c>
      <c r="Y6873" t="s">
        <v>27851</v>
      </c>
    </row>
    <row r="6874" spans="1:25">
      <c r="A6874" t="s">
        <v>27852</v>
      </c>
      <c r="B6874" t="s">
        <v>27853</v>
      </c>
      <c r="D6874" t="s">
        <v>9473</v>
      </c>
      <c r="E6874" t="s">
        <v>9474</v>
      </c>
      <c r="J6874" t="s">
        <v>765</v>
      </c>
      <c r="K6874" t="s">
        <v>766</v>
      </c>
      <c r="L6874">
        <v>3</v>
      </c>
      <c r="M6874" t="s">
        <v>27854</v>
      </c>
      <c r="N6874" t="s">
        <v>685</v>
      </c>
      <c r="O6874" t="s">
        <v>9477</v>
      </c>
      <c r="P6874" t="s">
        <v>9477</v>
      </c>
      <c r="Y6874" t="s">
        <v>27855</v>
      </c>
    </row>
    <row r="6875" spans="1:25">
      <c r="A6875" t="s">
        <v>27856</v>
      </c>
      <c r="B6875" t="s">
        <v>27857</v>
      </c>
      <c r="D6875" t="s">
        <v>9473</v>
      </c>
      <c r="E6875" t="s">
        <v>9474</v>
      </c>
      <c r="J6875" t="s">
        <v>683</v>
      </c>
      <c r="K6875" t="s">
        <v>684</v>
      </c>
      <c r="L6875">
        <v>3</v>
      </c>
      <c r="M6875" t="s">
        <v>27858</v>
      </c>
      <c r="N6875" t="s">
        <v>27094</v>
      </c>
      <c r="O6875" t="s">
        <v>9477</v>
      </c>
      <c r="P6875" t="s">
        <v>9477</v>
      </c>
      <c r="Y6875" t="s">
        <v>27859</v>
      </c>
    </row>
    <row r="6876" spans="1:25">
      <c r="A6876" t="s">
        <v>27860</v>
      </c>
      <c r="B6876" t="s">
        <v>27861</v>
      </c>
      <c r="D6876" t="s">
        <v>9473</v>
      </c>
      <c r="E6876" t="s">
        <v>9474</v>
      </c>
      <c r="H6876" t="s">
        <v>27862</v>
      </c>
      <c r="J6876" t="s">
        <v>287</v>
      </c>
      <c r="K6876" t="s">
        <v>288</v>
      </c>
      <c r="L6876">
        <v>6</v>
      </c>
      <c r="M6876" t="s">
        <v>27863</v>
      </c>
      <c r="N6876" t="s">
        <v>27152</v>
      </c>
      <c r="O6876" t="s">
        <v>9477</v>
      </c>
      <c r="P6876" t="s">
        <v>9477</v>
      </c>
      <c r="Y6876" t="s">
        <v>27862</v>
      </c>
    </row>
    <row r="6877" spans="1:25">
      <c r="A6877" t="s">
        <v>27864</v>
      </c>
      <c r="B6877" t="s">
        <v>27865</v>
      </c>
      <c r="D6877" t="s">
        <v>9473</v>
      </c>
      <c r="E6877" t="s">
        <v>9474</v>
      </c>
      <c r="J6877" t="s">
        <v>497</v>
      </c>
      <c r="K6877" t="s">
        <v>498</v>
      </c>
      <c r="L6877">
        <v>2</v>
      </c>
      <c r="M6877" t="s">
        <v>27866</v>
      </c>
      <c r="N6877" t="s">
        <v>27094</v>
      </c>
      <c r="O6877" t="s">
        <v>9477</v>
      </c>
      <c r="P6877" t="s">
        <v>9477</v>
      </c>
      <c r="Y6877" t="s">
        <v>27867</v>
      </c>
    </row>
    <row r="6878" spans="1:25">
      <c r="A6878" t="s">
        <v>27868</v>
      </c>
      <c r="B6878" t="s">
        <v>27869</v>
      </c>
      <c r="D6878" t="s">
        <v>9473</v>
      </c>
      <c r="E6878" t="s">
        <v>9474</v>
      </c>
      <c r="H6878" t="s">
        <v>27870</v>
      </c>
      <c r="J6878" t="s">
        <v>2948</v>
      </c>
      <c r="K6878" t="s">
        <v>2949</v>
      </c>
      <c r="L6878">
        <v>3</v>
      </c>
      <c r="M6878" t="s">
        <v>27871</v>
      </c>
      <c r="N6878" t="s">
        <v>27074</v>
      </c>
      <c r="O6878" t="s">
        <v>9477</v>
      </c>
      <c r="P6878" t="s">
        <v>9477</v>
      </c>
      <c r="Y6878" t="s">
        <v>27870</v>
      </c>
    </row>
    <row r="6879" spans="1:25">
      <c r="A6879" t="s">
        <v>27872</v>
      </c>
      <c r="B6879" t="s">
        <v>27873</v>
      </c>
      <c r="D6879" t="s">
        <v>9473</v>
      </c>
      <c r="E6879" t="s">
        <v>9474</v>
      </c>
      <c r="J6879" t="s">
        <v>765</v>
      </c>
      <c r="K6879" t="s">
        <v>766</v>
      </c>
      <c r="L6879">
        <v>3</v>
      </c>
      <c r="M6879" t="s">
        <v>27874</v>
      </c>
      <c r="N6879" t="s">
        <v>685</v>
      </c>
      <c r="O6879" t="s">
        <v>9477</v>
      </c>
      <c r="P6879" t="s">
        <v>9477</v>
      </c>
      <c r="Y6879" t="s">
        <v>27875</v>
      </c>
    </row>
    <row r="6880" spans="1:25">
      <c r="A6880" t="s">
        <v>27876</v>
      </c>
      <c r="B6880" t="s">
        <v>27877</v>
      </c>
      <c r="D6880" t="s">
        <v>9473</v>
      </c>
      <c r="E6880" t="s">
        <v>9474</v>
      </c>
      <c r="H6880" t="s">
        <v>27878</v>
      </c>
      <c r="J6880" t="s">
        <v>6178</v>
      </c>
      <c r="K6880" t="s">
        <v>6179</v>
      </c>
      <c r="L6880">
        <v>4</v>
      </c>
      <c r="M6880" t="s">
        <v>27879</v>
      </c>
      <c r="N6880" t="s">
        <v>27115</v>
      </c>
      <c r="O6880" t="s">
        <v>9477</v>
      </c>
      <c r="P6880" t="s">
        <v>9477</v>
      </c>
      <c r="Y6880" t="s">
        <v>27878</v>
      </c>
    </row>
    <row r="6881" spans="1:25">
      <c r="A6881" t="s">
        <v>27880</v>
      </c>
      <c r="B6881" t="s">
        <v>27881</v>
      </c>
      <c r="D6881" t="s">
        <v>9473</v>
      </c>
      <c r="E6881" t="s">
        <v>9474</v>
      </c>
      <c r="J6881" t="s">
        <v>497</v>
      </c>
      <c r="K6881" t="s">
        <v>498</v>
      </c>
      <c r="L6881">
        <v>3</v>
      </c>
      <c r="M6881" t="s">
        <v>27882</v>
      </c>
      <c r="N6881" t="s">
        <v>685</v>
      </c>
      <c r="O6881" t="s">
        <v>9477</v>
      </c>
      <c r="P6881" t="s">
        <v>9477</v>
      </c>
      <c r="Y6881" t="s">
        <v>27883</v>
      </c>
    </row>
    <row r="6882" spans="1:25">
      <c r="A6882" t="s">
        <v>27884</v>
      </c>
      <c r="B6882" t="s">
        <v>27885</v>
      </c>
      <c r="D6882" t="s">
        <v>9473</v>
      </c>
      <c r="E6882" t="s">
        <v>9474</v>
      </c>
      <c r="J6882" t="s">
        <v>5844</v>
      </c>
      <c r="K6882" t="s">
        <v>5845</v>
      </c>
      <c r="L6882">
        <v>3</v>
      </c>
      <c r="M6882" t="s">
        <v>27886</v>
      </c>
      <c r="N6882" t="s">
        <v>27074</v>
      </c>
      <c r="O6882" t="s">
        <v>9477</v>
      </c>
      <c r="P6882" t="s">
        <v>9477</v>
      </c>
      <c r="Y6882" t="s">
        <v>27887</v>
      </c>
    </row>
    <row r="6883" spans="1:25">
      <c r="A6883" t="s">
        <v>27888</v>
      </c>
      <c r="B6883" t="s">
        <v>27889</v>
      </c>
      <c r="D6883" t="s">
        <v>9473</v>
      </c>
      <c r="E6883" t="s">
        <v>9474</v>
      </c>
      <c r="H6883" t="s">
        <v>27890</v>
      </c>
      <c r="J6883" t="s">
        <v>9719</v>
      </c>
      <c r="K6883" t="s">
        <v>9720</v>
      </c>
      <c r="L6883">
        <v>3</v>
      </c>
      <c r="M6883" t="s">
        <v>27891</v>
      </c>
      <c r="N6883" t="s">
        <v>27098</v>
      </c>
      <c r="O6883" t="s">
        <v>9477</v>
      </c>
      <c r="P6883" t="s">
        <v>9477</v>
      </c>
      <c r="Y6883" t="s">
        <v>27890</v>
      </c>
    </row>
    <row r="6884" spans="1:25">
      <c r="A6884" t="s">
        <v>27892</v>
      </c>
      <c r="B6884" t="s">
        <v>27893</v>
      </c>
      <c r="D6884" t="s">
        <v>9473</v>
      </c>
      <c r="E6884" t="s">
        <v>9474</v>
      </c>
      <c r="J6884" t="s">
        <v>497</v>
      </c>
      <c r="K6884" t="s">
        <v>498</v>
      </c>
      <c r="L6884">
        <v>3</v>
      </c>
      <c r="M6884" t="s">
        <v>27894</v>
      </c>
      <c r="N6884" t="s">
        <v>27094</v>
      </c>
      <c r="O6884" t="s">
        <v>9477</v>
      </c>
      <c r="P6884" t="s">
        <v>9477</v>
      </c>
      <c r="Y6884" t="s">
        <v>27895</v>
      </c>
    </row>
    <row r="6885" spans="1:25">
      <c r="A6885" t="s">
        <v>27896</v>
      </c>
      <c r="B6885" t="s">
        <v>27897</v>
      </c>
      <c r="D6885" t="s">
        <v>9473</v>
      </c>
      <c r="E6885" t="s">
        <v>9474</v>
      </c>
      <c r="J6885" t="s">
        <v>497</v>
      </c>
      <c r="K6885" t="s">
        <v>498</v>
      </c>
      <c r="L6885">
        <v>3</v>
      </c>
      <c r="M6885" t="s">
        <v>27898</v>
      </c>
      <c r="N6885" t="s">
        <v>27094</v>
      </c>
      <c r="O6885" t="s">
        <v>9477</v>
      </c>
      <c r="P6885" t="s">
        <v>9477</v>
      </c>
      <c r="Y6885" t="s">
        <v>27899</v>
      </c>
    </row>
    <row r="6886" spans="1:25">
      <c r="A6886" t="s">
        <v>27900</v>
      </c>
      <c r="B6886" t="s">
        <v>27901</v>
      </c>
      <c r="D6886" t="s">
        <v>9473</v>
      </c>
      <c r="E6886" t="s">
        <v>9474</v>
      </c>
      <c r="H6886" t="s">
        <v>27902</v>
      </c>
      <c r="J6886" t="s">
        <v>765</v>
      </c>
      <c r="K6886" t="s">
        <v>766</v>
      </c>
      <c r="L6886">
        <v>3</v>
      </c>
      <c r="M6886" t="s">
        <v>27903</v>
      </c>
      <c r="N6886" t="s">
        <v>27098</v>
      </c>
      <c r="O6886" t="s">
        <v>9477</v>
      </c>
      <c r="P6886" t="s">
        <v>9477</v>
      </c>
      <c r="Y6886" t="s">
        <v>27902</v>
      </c>
    </row>
    <row r="6887" spans="1:25">
      <c r="A6887" t="s">
        <v>27904</v>
      </c>
      <c r="B6887" t="s">
        <v>27905</v>
      </c>
      <c r="D6887" t="s">
        <v>9473</v>
      </c>
      <c r="E6887" t="s">
        <v>9474</v>
      </c>
      <c r="J6887" t="s">
        <v>765</v>
      </c>
      <c r="K6887" t="s">
        <v>766</v>
      </c>
      <c r="L6887">
        <v>3</v>
      </c>
      <c r="M6887" t="s">
        <v>27906</v>
      </c>
      <c r="N6887" t="s">
        <v>27094</v>
      </c>
      <c r="O6887" t="s">
        <v>9477</v>
      </c>
      <c r="P6887" t="s">
        <v>9477</v>
      </c>
      <c r="Y6887" t="s">
        <v>27907</v>
      </c>
    </row>
    <row r="6888" spans="1:25">
      <c r="A6888" t="s">
        <v>27908</v>
      </c>
      <c r="B6888" t="s">
        <v>27909</v>
      </c>
      <c r="D6888" t="s">
        <v>9473</v>
      </c>
      <c r="E6888" t="s">
        <v>9474</v>
      </c>
      <c r="J6888" t="s">
        <v>765</v>
      </c>
      <c r="K6888" t="s">
        <v>766</v>
      </c>
      <c r="L6888">
        <v>3</v>
      </c>
      <c r="M6888" t="s">
        <v>27910</v>
      </c>
      <c r="N6888" t="s">
        <v>685</v>
      </c>
      <c r="O6888" t="s">
        <v>9477</v>
      </c>
      <c r="P6888" t="s">
        <v>9477</v>
      </c>
      <c r="Y6888" t="s">
        <v>27911</v>
      </c>
    </row>
    <row r="6889" spans="1:25">
      <c r="A6889" t="s">
        <v>27912</v>
      </c>
      <c r="B6889" t="s">
        <v>27913</v>
      </c>
      <c r="D6889" t="s">
        <v>9473</v>
      </c>
      <c r="E6889" t="s">
        <v>9474</v>
      </c>
      <c r="J6889" t="s">
        <v>765</v>
      </c>
      <c r="K6889" t="s">
        <v>766</v>
      </c>
      <c r="L6889">
        <v>3</v>
      </c>
      <c r="M6889" t="s">
        <v>27914</v>
      </c>
      <c r="N6889" t="s">
        <v>27094</v>
      </c>
      <c r="O6889" t="s">
        <v>9477</v>
      </c>
      <c r="P6889" t="s">
        <v>9477</v>
      </c>
      <c r="Y6889" t="s">
        <v>27915</v>
      </c>
    </row>
    <row r="6890" spans="1:25">
      <c r="A6890" t="s">
        <v>27916</v>
      </c>
      <c r="B6890" t="s">
        <v>27917</v>
      </c>
      <c r="D6890" t="s">
        <v>9473</v>
      </c>
      <c r="E6890" t="s">
        <v>9474</v>
      </c>
      <c r="H6890" t="s">
        <v>27918</v>
      </c>
      <c r="J6890" t="s">
        <v>765</v>
      </c>
      <c r="K6890" t="s">
        <v>766</v>
      </c>
      <c r="L6890">
        <v>3</v>
      </c>
      <c r="M6890" t="s">
        <v>27919</v>
      </c>
      <c r="N6890" t="s">
        <v>27094</v>
      </c>
      <c r="O6890" t="s">
        <v>9477</v>
      </c>
      <c r="P6890" t="s">
        <v>9477</v>
      </c>
      <c r="Y6890" t="s">
        <v>27918</v>
      </c>
    </row>
    <row r="6891" spans="1:25">
      <c r="A6891" t="s">
        <v>27920</v>
      </c>
      <c r="B6891" t="s">
        <v>27921</v>
      </c>
      <c r="D6891" t="s">
        <v>9473</v>
      </c>
      <c r="E6891" t="s">
        <v>9474</v>
      </c>
      <c r="H6891" t="s">
        <v>27922</v>
      </c>
      <c r="J6891" t="s">
        <v>765</v>
      </c>
      <c r="K6891" t="s">
        <v>766</v>
      </c>
      <c r="L6891">
        <v>3</v>
      </c>
      <c r="M6891" t="s">
        <v>27923</v>
      </c>
      <c r="N6891" t="s">
        <v>290</v>
      </c>
      <c r="O6891" t="s">
        <v>9477</v>
      </c>
      <c r="P6891" t="s">
        <v>9477</v>
      </c>
      <c r="Y6891" t="s">
        <v>27922</v>
      </c>
    </row>
    <row r="6892" spans="1:25">
      <c r="A6892" t="s">
        <v>27924</v>
      </c>
      <c r="B6892" t="s">
        <v>27925</v>
      </c>
      <c r="D6892" t="s">
        <v>9473</v>
      </c>
      <c r="E6892" t="s">
        <v>9474</v>
      </c>
      <c r="H6892" t="s">
        <v>27926</v>
      </c>
      <c r="J6892" t="s">
        <v>765</v>
      </c>
      <c r="K6892" t="s">
        <v>766</v>
      </c>
      <c r="L6892">
        <v>3</v>
      </c>
      <c r="M6892" t="s">
        <v>27927</v>
      </c>
      <c r="N6892" t="s">
        <v>27098</v>
      </c>
      <c r="O6892" t="s">
        <v>9477</v>
      </c>
      <c r="P6892" t="s">
        <v>9477</v>
      </c>
      <c r="Y6892" t="s">
        <v>27926</v>
      </c>
    </row>
    <row r="6893" spans="1:25">
      <c r="A6893" t="s">
        <v>27928</v>
      </c>
      <c r="B6893" t="s">
        <v>27929</v>
      </c>
      <c r="D6893" t="s">
        <v>9473</v>
      </c>
      <c r="E6893" t="s">
        <v>9474</v>
      </c>
      <c r="H6893" t="s">
        <v>27930</v>
      </c>
      <c r="J6893" t="s">
        <v>390</v>
      </c>
      <c r="K6893" t="s">
        <v>390</v>
      </c>
      <c r="L6893">
        <v>3</v>
      </c>
      <c r="M6893" t="s">
        <v>27931</v>
      </c>
      <c r="N6893" t="s">
        <v>27074</v>
      </c>
      <c r="O6893" t="s">
        <v>9477</v>
      </c>
      <c r="P6893" t="s">
        <v>9477</v>
      </c>
      <c r="Y6893" t="s">
        <v>27930</v>
      </c>
    </row>
    <row r="6894" spans="1:25">
      <c r="A6894" t="s">
        <v>27932</v>
      </c>
      <c r="B6894" t="s">
        <v>27933</v>
      </c>
      <c r="D6894" t="s">
        <v>9473</v>
      </c>
      <c r="E6894" t="s">
        <v>9474</v>
      </c>
      <c r="H6894" t="s">
        <v>27934</v>
      </c>
      <c r="J6894" t="s">
        <v>765</v>
      </c>
      <c r="K6894" t="s">
        <v>766</v>
      </c>
      <c r="L6894">
        <v>3</v>
      </c>
      <c r="M6894" t="s">
        <v>27935</v>
      </c>
      <c r="N6894" t="s">
        <v>685</v>
      </c>
      <c r="O6894" t="s">
        <v>9477</v>
      </c>
      <c r="P6894" t="s">
        <v>9477</v>
      </c>
      <c r="Y6894" t="s">
        <v>27934</v>
      </c>
    </row>
    <row r="6895" spans="1:25">
      <c r="A6895" t="s">
        <v>27936</v>
      </c>
      <c r="B6895" t="s">
        <v>27937</v>
      </c>
      <c r="D6895" t="s">
        <v>9473</v>
      </c>
      <c r="E6895" t="s">
        <v>9474</v>
      </c>
      <c r="J6895" t="s">
        <v>9719</v>
      </c>
      <c r="K6895" t="s">
        <v>9720</v>
      </c>
      <c r="L6895">
        <v>2</v>
      </c>
      <c r="M6895" t="s">
        <v>27938</v>
      </c>
      <c r="N6895" t="s">
        <v>27098</v>
      </c>
      <c r="O6895" t="s">
        <v>9477</v>
      </c>
      <c r="P6895" t="s">
        <v>9477</v>
      </c>
      <c r="Y6895" t="s">
        <v>27939</v>
      </c>
    </row>
    <row r="6896" spans="1:25">
      <c r="A6896" t="s">
        <v>27940</v>
      </c>
      <c r="B6896" t="s">
        <v>27941</v>
      </c>
      <c r="D6896" t="s">
        <v>9473</v>
      </c>
      <c r="E6896" t="s">
        <v>9474</v>
      </c>
      <c r="J6896" t="s">
        <v>497</v>
      </c>
      <c r="K6896" t="s">
        <v>498</v>
      </c>
      <c r="L6896">
        <v>3</v>
      </c>
      <c r="M6896" t="s">
        <v>27942</v>
      </c>
      <c r="N6896" t="s">
        <v>27098</v>
      </c>
      <c r="O6896" t="s">
        <v>9477</v>
      </c>
      <c r="P6896" t="s">
        <v>9477</v>
      </c>
      <c r="Y6896" t="s">
        <v>27943</v>
      </c>
    </row>
    <row r="6897" spans="1:25">
      <c r="A6897" t="s">
        <v>27944</v>
      </c>
      <c r="B6897" t="s">
        <v>27945</v>
      </c>
      <c r="D6897" t="s">
        <v>9473</v>
      </c>
      <c r="E6897" t="s">
        <v>9474</v>
      </c>
      <c r="H6897" t="s">
        <v>27946</v>
      </c>
      <c r="J6897" t="s">
        <v>9719</v>
      </c>
      <c r="K6897" t="s">
        <v>9720</v>
      </c>
      <c r="L6897">
        <v>3</v>
      </c>
      <c r="M6897" t="s">
        <v>27947</v>
      </c>
      <c r="N6897" t="s">
        <v>27074</v>
      </c>
      <c r="O6897" t="s">
        <v>9477</v>
      </c>
      <c r="P6897" t="s">
        <v>9477</v>
      </c>
      <c r="Y6897" t="s">
        <v>27946</v>
      </c>
    </row>
    <row r="6898" spans="1:25">
      <c r="A6898" t="s">
        <v>27948</v>
      </c>
      <c r="B6898" t="s">
        <v>27949</v>
      </c>
      <c r="D6898" t="s">
        <v>9473</v>
      </c>
      <c r="E6898" t="s">
        <v>9474</v>
      </c>
      <c r="J6898" t="s">
        <v>765</v>
      </c>
      <c r="K6898" t="s">
        <v>766</v>
      </c>
      <c r="L6898">
        <v>3</v>
      </c>
      <c r="M6898" t="s">
        <v>27950</v>
      </c>
      <c r="N6898" t="s">
        <v>27094</v>
      </c>
      <c r="O6898" t="s">
        <v>9477</v>
      </c>
      <c r="P6898" t="s">
        <v>9477</v>
      </c>
      <c r="Y6898" t="s">
        <v>27951</v>
      </c>
    </row>
    <row r="6899" spans="1:25">
      <c r="A6899" t="s">
        <v>27952</v>
      </c>
      <c r="B6899" t="s">
        <v>27953</v>
      </c>
      <c r="D6899" t="s">
        <v>9473</v>
      </c>
      <c r="E6899" t="s">
        <v>9474</v>
      </c>
      <c r="J6899" t="s">
        <v>5844</v>
      </c>
      <c r="K6899" t="s">
        <v>5845</v>
      </c>
      <c r="L6899">
        <v>3</v>
      </c>
      <c r="M6899" t="s">
        <v>27954</v>
      </c>
      <c r="N6899" t="s">
        <v>27094</v>
      </c>
      <c r="O6899" t="s">
        <v>9477</v>
      </c>
      <c r="P6899" t="s">
        <v>9477</v>
      </c>
      <c r="Y6899" t="s">
        <v>27955</v>
      </c>
    </row>
    <row r="6900" spans="1:25">
      <c r="A6900" t="s">
        <v>27956</v>
      </c>
      <c r="B6900" t="s">
        <v>27957</v>
      </c>
      <c r="D6900" t="s">
        <v>9473</v>
      </c>
      <c r="E6900" t="s">
        <v>9474</v>
      </c>
      <c r="J6900" t="s">
        <v>927</v>
      </c>
      <c r="K6900" t="s">
        <v>928</v>
      </c>
      <c r="L6900">
        <v>3</v>
      </c>
      <c r="M6900" t="s">
        <v>27958</v>
      </c>
      <c r="N6900" t="s">
        <v>27074</v>
      </c>
      <c r="O6900" t="s">
        <v>9477</v>
      </c>
      <c r="P6900" t="s">
        <v>9477</v>
      </c>
      <c r="Y6900" t="s">
        <v>27959</v>
      </c>
    </row>
    <row r="6901" spans="1:25">
      <c r="A6901" t="s">
        <v>27960</v>
      </c>
      <c r="B6901" t="s">
        <v>27961</v>
      </c>
      <c r="D6901" t="s">
        <v>9473</v>
      </c>
      <c r="E6901" t="s">
        <v>9474</v>
      </c>
      <c r="J6901" t="s">
        <v>10083</v>
      </c>
      <c r="K6901" t="s">
        <v>10084</v>
      </c>
      <c r="L6901">
        <v>3</v>
      </c>
      <c r="M6901" t="s">
        <v>27962</v>
      </c>
      <c r="N6901" t="s">
        <v>27115</v>
      </c>
      <c r="O6901" t="s">
        <v>9477</v>
      </c>
      <c r="P6901" t="s">
        <v>9477</v>
      </c>
      <c r="Y6901" t="s">
        <v>27963</v>
      </c>
    </row>
    <row r="6902" spans="1:25">
      <c r="A6902" t="s">
        <v>27964</v>
      </c>
      <c r="B6902" t="s">
        <v>27965</v>
      </c>
      <c r="D6902" t="s">
        <v>9473</v>
      </c>
      <c r="E6902" t="s">
        <v>9474</v>
      </c>
      <c r="J6902" t="s">
        <v>1571</v>
      </c>
      <c r="K6902" t="s">
        <v>1572</v>
      </c>
      <c r="L6902">
        <v>3</v>
      </c>
      <c r="M6902" t="s">
        <v>27966</v>
      </c>
      <c r="N6902" t="s">
        <v>685</v>
      </c>
      <c r="O6902" t="s">
        <v>9477</v>
      </c>
      <c r="P6902" t="s">
        <v>9477</v>
      </c>
      <c r="Y6902" t="s">
        <v>27967</v>
      </c>
    </row>
    <row r="6903" spans="1:25">
      <c r="A6903" t="s">
        <v>27968</v>
      </c>
      <c r="B6903" t="s">
        <v>27969</v>
      </c>
      <c r="D6903" t="s">
        <v>9473</v>
      </c>
      <c r="E6903" t="s">
        <v>9474</v>
      </c>
      <c r="J6903" t="s">
        <v>497</v>
      </c>
      <c r="K6903" t="s">
        <v>498</v>
      </c>
      <c r="L6903">
        <v>3</v>
      </c>
      <c r="M6903" t="s">
        <v>27970</v>
      </c>
      <c r="N6903" t="s">
        <v>27098</v>
      </c>
      <c r="O6903" t="s">
        <v>9477</v>
      </c>
      <c r="P6903" t="s">
        <v>9477</v>
      </c>
      <c r="Y6903" t="s">
        <v>27971</v>
      </c>
    </row>
    <row r="6904" spans="1:25">
      <c r="A6904" t="s">
        <v>27972</v>
      </c>
      <c r="B6904" t="s">
        <v>27973</v>
      </c>
      <c r="D6904" t="s">
        <v>9473</v>
      </c>
      <c r="E6904" t="s">
        <v>9474</v>
      </c>
      <c r="J6904" t="s">
        <v>9759</v>
      </c>
      <c r="K6904" t="s">
        <v>9760</v>
      </c>
      <c r="L6904">
        <v>3</v>
      </c>
      <c r="M6904" t="s">
        <v>27974</v>
      </c>
      <c r="N6904" t="s">
        <v>47</v>
      </c>
      <c r="O6904" t="s">
        <v>9477</v>
      </c>
      <c r="P6904" t="s">
        <v>9477</v>
      </c>
      <c r="Y6904" t="s">
        <v>27975</v>
      </c>
    </row>
    <row r="6905" spans="1:25">
      <c r="A6905" t="s">
        <v>27976</v>
      </c>
      <c r="B6905" t="s">
        <v>27977</v>
      </c>
      <c r="D6905" t="s">
        <v>9473</v>
      </c>
      <c r="E6905" t="s">
        <v>9474</v>
      </c>
      <c r="J6905" t="s">
        <v>927</v>
      </c>
      <c r="K6905" t="s">
        <v>928</v>
      </c>
      <c r="L6905">
        <v>2</v>
      </c>
      <c r="M6905" t="s">
        <v>27978</v>
      </c>
      <c r="N6905" t="s">
        <v>27115</v>
      </c>
      <c r="O6905" t="s">
        <v>9477</v>
      </c>
      <c r="P6905" t="s">
        <v>9477</v>
      </c>
      <c r="Y6905" t="s">
        <v>27979</v>
      </c>
    </row>
    <row r="6906" spans="1:25">
      <c r="A6906" t="s">
        <v>27980</v>
      </c>
      <c r="B6906" t="s">
        <v>27981</v>
      </c>
      <c r="D6906" t="s">
        <v>9473</v>
      </c>
      <c r="E6906" t="s">
        <v>9474</v>
      </c>
      <c r="H6906" t="s">
        <v>27982</v>
      </c>
      <c r="J6906" t="s">
        <v>9719</v>
      </c>
      <c r="K6906" t="s">
        <v>9720</v>
      </c>
      <c r="L6906">
        <v>3</v>
      </c>
      <c r="M6906" t="s">
        <v>27983</v>
      </c>
      <c r="N6906" t="s">
        <v>27094</v>
      </c>
      <c r="O6906" t="s">
        <v>9477</v>
      </c>
      <c r="P6906" t="s">
        <v>9477</v>
      </c>
      <c r="Y6906" t="s">
        <v>27982</v>
      </c>
    </row>
    <row r="6907" spans="1:25">
      <c r="A6907" t="s">
        <v>27984</v>
      </c>
      <c r="B6907" t="s">
        <v>27985</v>
      </c>
      <c r="D6907" t="s">
        <v>9473</v>
      </c>
      <c r="E6907" t="s">
        <v>9474</v>
      </c>
      <c r="H6907" t="s">
        <v>27986</v>
      </c>
      <c r="J6907" t="s">
        <v>927</v>
      </c>
      <c r="K6907" t="s">
        <v>928</v>
      </c>
      <c r="L6907">
        <v>3</v>
      </c>
      <c r="M6907" t="s">
        <v>27987</v>
      </c>
      <c r="N6907" t="s">
        <v>27074</v>
      </c>
      <c r="O6907" t="s">
        <v>9477</v>
      </c>
      <c r="P6907" t="s">
        <v>9477</v>
      </c>
      <c r="Y6907" t="s">
        <v>27986</v>
      </c>
    </row>
    <row r="6908" spans="1:25">
      <c r="A6908" t="s">
        <v>27988</v>
      </c>
      <c r="B6908" t="s">
        <v>27989</v>
      </c>
      <c r="D6908" t="s">
        <v>9473</v>
      </c>
      <c r="E6908" t="s">
        <v>9474</v>
      </c>
      <c r="J6908" t="s">
        <v>1571</v>
      </c>
      <c r="K6908" t="s">
        <v>1572</v>
      </c>
      <c r="L6908">
        <v>2</v>
      </c>
      <c r="M6908" t="s">
        <v>27990</v>
      </c>
      <c r="N6908" t="s">
        <v>27152</v>
      </c>
      <c r="O6908" t="s">
        <v>9477</v>
      </c>
      <c r="P6908" t="s">
        <v>9477</v>
      </c>
      <c r="Y6908" t="s">
        <v>27991</v>
      </c>
    </row>
    <row r="6909" spans="1:25">
      <c r="A6909" t="s">
        <v>27992</v>
      </c>
      <c r="B6909" t="s">
        <v>27993</v>
      </c>
      <c r="D6909" t="s">
        <v>9473</v>
      </c>
      <c r="E6909" t="s">
        <v>9474</v>
      </c>
      <c r="H6909" t="s">
        <v>27994</v>
      </c>
      <c r="J6909" t="s">
        <v>497</v>
      </c>
      <c r="K6909" t="s">
        <v>498</v>
      </c>
      <c r="L6909">
        <v>2</v>
      </c>
      <c r="M6909" t="s">
        <v>27995</v>
      </c>
      <c r="N6909" t="s">
        <v>27115</v>
      </c>
      <c r="O6909" t="s">
        <v>9477</v>
      </c>
      <c r="P6909" t="s">
        <v>9477</v>
      </c>
      <c r="Y6909" t="s">
        <v>27994</v>
      </c>
    </row>
    <row r="6910" spans="1:25">
      <c r="A6910" t="s">
        <v>27996</v>
      </c>
      <c r="B6910" t="s">
        <v>27997</v>
      </c>
      <c r="D6910" t="s">
        <v>9473</v>
      </c>
      <c r="E6910" t="s">
        <v>9474</v>
      </c>
      <c r="J6910" t="s">
        <v>9719</v>
      </c>
      <c r="K6910" t="s">
        <v>9720</v>
      </c>
      <c r="L6910">
        <v>2</v>
      </c>
      <c r="M6910" t="s">
        <v>27998</v>
      </c>
      <c r="N6910" t="s">
        <v>27098</v>
      </c>
      <c r="O6910" t="s">
        <v>9477</v>
      </c>
      <c r="P6910" t="s">
        <v>9477</v>
      </c>
      <c r="Y6910" t="s">
        <v>27999</v>
      </c>
    </row>
    <row r="6911" spans="1:25">
      <c r="A6911" t="s">
        <v>28000</v>
      </c>
      <c r="B6911" t="s">
        <v>28001</v>
      </c>
      <c r="D6911" t="s">
        <v>9473</v>
      </c>
      <c r="E6911" t="s">
        <v>9474</v>
      </c>
      <c r="J6911" t="s">
        <v>5844</v>
      </c>
      <c r="K6911" t="s">
        <v>5845</v>
      </c>
      <c r="L6911">
        <v>2</v>
      </c>
      <c r="M6911" t="s">
        <v>28002</v>
      </c>
      <c r="N6911" t="s">
        <v>27115</v>
      </c>
      <c r="O6911" t="s">
        <v>9477</v>
      </c>
      <c r="P6911" t="s">
        <v>9477</v>
      </c>
      <c r="Y6911" t="s">
        <v>28003</v>
      </c>
    </row>
    <row r="6912" spans="1:25">
      <c r="A6912" t="s">
        <v>28004</v>
      </c>
      <c r="B6912" t="s">
        <v>28005</v>
      </c>
      <c r="D6912" t="s">
        <v>9473</v>
      </c>
      <c r="E6912" t="s">
        <v>9474</v>
      </c>
      <c r="J6912" t="s">
        <v>765</v>
      </c>
      <c r="K6912" t="s">
        <v>766</v>
      </c>
      <c r="L6912">
        <v>2</v>
      </c>
      <c r="M6912" t="s">
        <v>28006</v>
      </c>
      <c r="N6912" t="s">
        <v>290</v>
      </c>
      <c r="O6912" t="s">
        <v>9477</v>
      </c>
      <c r="P6912" t="s">
        <v>9477</v>
      </c>
      <c r="Y6912" t="s">
        <v>28007</v>
      </c>
    </row>
    <row r="6913" spans="1:25">
      <c r="A6913" t="s">
        <v>28008</v>
      </c>
      <c r="B6913" t="s">
        <v>28009</v>
      </c>
      <c r="D6913" t="s">
        <v>9473</v>
      </c>
      <c r="E6913" t="s">
        <v>9474</v>
      </c>
      <c r="J6913" t="s">
        <v>2948</v>
      </c>
      <c r="K6913" t="s">
        <v>2949</v>
      </c>
      <c r="L6913">
        <v>2</v>
      </c>
      <c r="M6913" t="s">
        <v>28010</v>
      </c>
      <c r="N6913" t="s">
        <v>27074</v>
      </c>
      <c r="O6913" t="s">
        <v>9477</v>
      </c>
      <c r="P6913" t="s">
        <v>9477</v>
      </c>
      <c r="Y6913" t="s">
        <v>28011</v>
      </c>
    </row>
    <row r="6914" spans="1:25">
      <c r="A6914" t="s">
        <v>28012</v>
      </c>
      <c r="B6914" t="s">
        <v>28013</v>
      </c>
      <c r="D6914" t="s">
        <v>9473</v>
      </c>
      <c r="E6914" t="s">
        <v>9474</v>
      </c>
      <c r="J6914" t="s">
        <v>765</v>
      </c>
      <c r="K6914" t="s">
        <v>766</v>
      </c>
      <c r="L6914">
        <v>3</v>
      </c>
      <c r="M6914" t="s">
        <v>28014</v>
      </c>
      <c r="N6914" t="s">
        <v>27098</v>
      </c>
      <c r="O6914" t="s">
        <v>9477</v>
      </c>
      <c r="P6914" t="s">
        <v>9477</v>
      </c>
      <c r="Y6914" t="s">
        <v>28015</v>
      </c>
    </row>
    <row r="6915" spans="1:25">
      <c r="A6915" t="s">
        <v>28016</v>
      </c>
      <c r="B6915" t="s">
        <v>28017</v>
      </c>
      <c r="D6915" t="s">
        <v>9473</v>
      </c>
      <c r="E6915" t="s">
        <v>9474</v>
      </c>
      <c r="J6915" t="s">
        <v>927</v>
      </c>
      <c r="K6915" t="s">
        <v>928</v>
      </c>
      <c r="L6915">
        <v>2</v>
      </c>
      <c r="M6915" t="s">
        <v>28018</v>
      </c>
      <c r="N6915" t="s">
        <v>27074</v>
      </c>
      <c r="O6915" t="s">
        <v>9477</v>
      </c>
      <c r="P6915" t="s">
        <v>9477</v>
      </c>
      <c r="Y6915" t="s">
        <v>28019</v>
      </c>
    </row>
    <row r="6916" spans="1:25">
      <c r="A6916" t="s">
        <v>28020</v>
      </c>
      <c r="B6916" t="s">
        <v>28021</v>
      </c>
      <c r="D6916" t="s">
        <v>9473</v>
      </c>
      <c r="E6916" t="s">
        <v>9474</v>
      </c>
      <c r="J6916" t="s">
        <v>6178</v>
      </c>
      <c r="K6916" t="s">
        <v>6179</v>
      </c>
      <c r="L6916">
        <v>4</v>
      </c>
      <c r="M6916" t="s">
        <v>28022</v>
      </c>
      <c r="N6916" t="s">
        <v>290</v>
      </c>
      <c r="O6916" t="s">
        <v>9477</v>
      </c>
      <c r="P6916" t="s">
        <v>9477</v>
      </c>
      <c r="Y6916" t="s">
        <v>28023</v>
      </c>
    </row>
    <row r="6917" spans="1:25">
      <c r="A6917" t="s">
        <v>28024</v>
      </c>
      <c r="B6917" t="s">
        <v>28025</v>
      </c>
      <c r="D6917" t="s">
        <v>9473</v>
      </c>
      <c r="E6917" t="s">
        <v>9474</v>
      </c>
      <c r="J6917" t="s">
        <v>765</v>
      </c>
      <c r="K6917" t="s">
        <v>766</v>
      </c>
      <c r="L6917">
        <v>2</v>
      </c>
      <c r="M6917" t="s">
        <v>28026</v>
      </c>
      <c r="N6917" t="s">
        <v>27098</v>
      </c>
      <c r="O6917" t="s">
        <v>9477</v>
      </c>
      <c r="P6917" t="s">
        <v>9477</v>
      </c>
      <c r="Y6917" t="s">
        <v>28027</v>
      </c>
    </row>
    <row r="6918" spans="1:25">
      <c r="A6918" t="s">
        <v>28028</v>
      </c>
      <c r="B6918" t="s">
        <v>28029</v>
      </c>
      <c r="D6918" t="s">
        <v>9473</v>
      </c>
      <c r="E6918" t="s">
        <v>9474</v>
      </c>
      <c r="J6918" t="s">
        <v>390</v>
      </c>
      <c r="K6918" t="s">
        <v>390</v>
      </c>
      <c r="L6918">
        <v>2</v>
      </c>
      <c r="M6918" t="s">
        <v>28030</v>
      </c>
      <c r="N6918" t="s">
        <v>685</v>
      </c>
      <c r="O6918" t="s">
        <v>9477</v>
      </c>
      <c r="P6918" t="s">
        <v>9477</v>
      </c>
      <c r="Y6918" t="s">
        <v>28031</v>
      </c>
    </row>
    <row r="6919" spans="1:25">
      <c r="A6919" t="s">
        <v>28032</v>
      </c>
      <c r="B6919" t="s">
        <v>28033</v>
      </c>
      <c r="D6919" t="s">
        <v>9473</v>
      </c>
      <c r="E6919" t="s">
        <v>9474</v>
      </c>
      <c r="J6919" t="s">
        <v>765</v>
      </c>
      <c r="K6919" t="s">
        <v>766</v>
      </c>
      <c r="L6919">
        <v>2</v>
      </c>
      <c r="M6919" t="s">
        <v>28034</v>
      </c>
      <c r="N6919" t="s">
        <v>685</v>
      </c>
      <c r="O6919" t="s">
        <v>9477</v>
      </c>
      <c r="P6919" t="s">
        <v>9477</v>
      </c>
      <c r="Y6919" t="s">
        <v>28035</v>
      </c>
    </row>
    <row r="6920" spans="1:25">
      <c r="A6920" t="s">
        <v>28036</v>
      </c>
      <c r="B6920" t="s">
        <v>28037</v>
      </c>
      <c r="D6920" t="s">
        <v>9473</v>
      </c>
      <c r="E6920" t="s">
        <v>9474</v>
      </c>
      <c r="J6920" t="s">
        <v>5844</v>
      </c>
      <c r="K6920" t="s">
        <v>5845</v>
      </c>
      <c r="L6920">
        <v>2</v>
      </c>
      <c r="M6920" t="s">
        <v>28038</v>
      </c>
      <c r="N6920" t="s">
        <v>27115</v>
      </c>
      <c r="O6920" t="s">
        <v>9477</v>
      </c>
      <c r="P6920" t="s">
        <v>9477</v>
      </c>
      <c r="Y6920" t="s">
        <v>28039</v>
      </c>
    </row>
    <row r="6921" spans="1:25">
      <c r="A6921" t="s">
        <v>28040</v>
      </c>
      <c r="B6921" t="s">
        <v>28041</v>
      </c>
      <c r="D6921" t="s">
        <v>9473</v>
      </c>
      <c r="E6921" t="s">
        <v>9474</v>
      </c>
      <c r="J6921" t="s">
        <v>765</v>
      </c>
      <c r="K6921" t="s">
        <v>766</v>
      </c>
      <c r="L6921">
        <v>2</v>
      </c>
      <c r="M6921" t="s">
        <v>28042</v>
      </c>
      <c r="N6921" t="s">
        <v>27098</v>
      </c>
      <c r="O6921" t="s">
        <v>9477</v>
      </c>
      <c r="P6921" t="s">
        <v>9477</v>
      </c>
      <c r="Y6921" t="s">
        <v>28043</v>
      </c>
    </row>
    <row r="6922" spans="1:25">
      <c r="A6922" t="s">
        <v>28044</v>
      </c>
      <c r="B6922" t="s">
        <v>28045</v>
      </c>
      <c r="D6922" t="s">
        <v>9473</v>
      </c>
      <c r="E6922" t="s">
        <v>9474</v>
      </c>
      <c r="H6922" t="s">
        <v>28046</v>
      </c>
      <c r="J6922" t="s">
        <v>765</v>
      </c>
      <c r="K6922" t="s">
        <v>766</v>
      </c>
      <c r="L6922">
        <v>3</v>
      </c>
      <c r="M6922" t="s">
        <v>28047</v>
      </c>
      <c r="N6922" t="s">
        <v>27094</v>
      </c>
      <c r="O6922" t="s">
        <v>9477</v>
      </c>
      <c r="P6922" t="s">
        <v>9477</v>
      </c>
      <c r="Y6922" t="s">
        <v>28046</v>
      </c>
    </row>
    <row r="6923" spans="1:25">
      <c r="A6923" t="s">
        <v>28048</v>
      </c>
      <c r="B6923" t="s">
        <v>28049</v>
      </c>
      <c r="D6923" t="s">
        <v>9473</v>
      </c>
      <c r="E6923" t="s">
        <v>9474</v>
      </c>
      <c r="J6923" t="s">
        <v>5844</v>
      </c>
      <c r="K6923" t="s">
        <v>5845</v>
      </c>
      <c r="L6923">
        <v>2</v>
      </c>
      <c r="M6923" t="s">
        <v>28050</v>
      </c>
      <c r="N6923" t="s">
        <v>27115</v>
      </c>
      <c r="O6923" t="s">
        <v>9477</v>
      </c>
      <c r="P6923" t="s">
        <v>9477</v>
      </c>
      <c r="Y6923" t="s">
        <v>28051</v>
      </c>
    </row>
    <row r="6924" spans="1:25">
      <c r="A6924" t="s">
        <v>28052</v>
      </c>
      <c r="B6924" t="s">
        <v>28053</v>
      </c>
      <c r="D6924" t="s">
        <v>9473</v>
      </c>
      <c r="E6924" t="s">
        <v>9474</v>
      </c>
      <c r="J6924" t="s">
        <v>27091</v>
      </c>
      <c r="K6924" t="s">
        <v>27092</v>
      </c>
      <c r="L6924">
        <v>2</v>
      </c>
      <c r="M6924" t="s">
        <v>28054</v>
      </c>
      <c r="N6924" t="s">
        <v>27094</v>
      </c>
      <c r="O6924" t="s">
        <v>9477</v>
      </c>
      <c r="P6924" t="s">
        <v>9477</v>
      </c>
      <c r="Y6924" t="s">
        <v>28055</v>
      </c>
    </row>
    <row r="6925" spans="1:25">
      <c r="A6925" t="s">
        <v>28056</v>
      </c>
      <c r="B6925" t="s">
        <v>28057</v>
      </c>
      <c r="D6925" t="s">
        <v>9473</v>
      </c>
      <c r="E6925" t="s">
        <v>9474</v>
      </c>
      <c r="J6925" t="s">
        <v>927</v>
      </c>
      <c r="K6925" t="s">
        <v>928</v>
      </c>
      <c r="L6925">
        <v>2</v>
      </c>
      <c r="M6925" t="s">
        <v>28058</v>
      </c>
      <c r="N6925" t="s">
        <v>27152</v>
      </c>
      <c r="O6925" t="s">
        <v>9477</v>
      </c>
      <c r="P6925" t="s">
        <v>9477</v>
      </c>
      <c r="Y6925" t="s">
        <v>28059</v>
      </c>
    </row>
    <row r="6926" spans="1:25">
      <c r="A6926" t="s">
        <v>28060</v>
      </c>
      <c r="B6926" t="s">
        <v>28061</v>
      </c>
      <c r="D6926" t="s">
        <v>9473</v>
      </c>
      <c r="E6926" t="s">
        <v>9474</v>
      </c>
      <c r="J6926" t="s">
        <v>497</v>
      </c>
      <c r="K6926" t="s">
        <v>498</v>
      </c>
      <c r="L6926">
        <v>2</v>
      </c>
      <c r="M6926" t="s">
        <v>28062</v>
      </c>
      <c r="N6926" t="s">
        <v>685</v>
      </c>
      <c r="O6926" t="s">
        <v>9477</v>
      </c>
      <c r="P6926" t="s">
        <v>9477</v>
      </c>
      <c r="Y6926" t="s">
        <v>28063</v>
      </c>
    </row>
    <row r="6927" spans="1:25">
      <c r="A6927" t="s">
        <v>28064</v>
      </c>
      <c r="B6927" t="s">
        <v>28065</v>
      </c>
      <c r="D6927" t="s">
        <v>9473</v>
      </c>
      <c r="E6927" t="s">
        <v>9474</v>
      </c>
      <c r="J6927" t="s">
        <v>5844</v>
      </c>
      <c r="K6927" t="s">
        <v>5845</v>
      </c>
      <c r="L6927">
        <v>2</v>
      </c>
      <c r="M6927" t="s">
        <v>28066</v>
      </c>
      <c r="N6927" t="s">
        <v>27074</v>
      </c>
      <c r="O6927" t="s">
        <v>9477</v>
      </c>
      <c r="P6927" t="s">
        <v>9477</v>
      </c>
      <c r="Y6927" t="s">
        <v>28067</v>
      </c>
    </row>
    <row r="6928" spans="1:25">
      <c r="A6928" t="s">
        <v>28068</v>
      </c>
      <c r="B6928" t="s">
        <v>28069</v>
      </c>
      <c r="D6928" t="s">
        <v>9473</v>
      </c>
      <c r="E6928" t="s">
        <v>9474</v>
      </c>
      <c r="H6928" t="s">
        <v>28070</v>
      </c>
      <c r="J6928" t="s">
        <v>1571</v>
      </c>
      <c r="K6928" t="s">
        <v>1572</v>
      </c>
      <c r="L6928">
        <v>4</v>
      </c>
      <c r="M6928" t="s">
        <v>28071</v>
      </c>
      <c r="N6928" t="s">
        <v>135</v>
      </c>
      <c r="O6928" t="s">
        <v>9477</v>
      </c>
      <c r="P6928" t="s">
        <v>9477</v>
      </c>
      <c r="Y6928" t="s">
        <v>28070</v>
      </c>
    </row>
    <row r="6929" spans="1:25">
      <c r="A6929" t="s">
        <v>28072</v>
      </c>
      <c r="B6929" t="s">
        <v>28073</v>
      </c>
      <c r="D6929" t="s">
        <v>9473</v>
      </c>
      <c r="E6929" t="s">
        <v>9474</v>
      </c>
      <c r="H6929" t="s">
        <v>28074</v>
      </c>
      <c r="J6929" t="s">
        <v>765</v>
      </c>
      <c r="K6929" t="s">
        <v>766</v>
      </c>
      <c r="L6929">
        <v>4</v>
      </c>
      <c r="M6929" t="s">
        <v>28075</v>
      </c>
      <c r="N6929" t="s">
        <v>27098</v>
      </c>
      <c r="O6929" t="s">
        <v>9477</v>
      </c>
      <c r="P6929" t="s">
        <v>9477</v>
      </c>
      <c r="Y6929" t="s">
        <v>28074</v>
      </c>
    </row>
    <row r="6930" spans="1:25">
      <c r="A6930" t="s">
        <v>28076</v>
      </c>
      <c r="B6930" t="s">
        <v>28077</v>
      </c>
      <c r="D6930" t="s">
        <v>9473</v>
      </c>
      <c r="E6930" t="s">
        <v>9474</v>
      </c>
      <c r="J6930" t="s">
        <v>9759</v>
      </c>
      <c r="K6930" t="s">
        <v>9760</v>
      </c>
      <c r="L6930">
        <v>3</v>
      </c>
      <c r="M6930" t="s">
        <v>28078</v>
      </c>
      <c r="N6930" t="s">
        <v>47</v>
      </c>
      <c r="O6930" t="s">
        <v>9477</v>
      </c>
      <c r="P6930" t="s">
        <v>9477</v>
      </c>
      <c r="Y6930" t="s">
        <v>28079</v>
      </c>
    </row>
    <row r="6931" spans="1:25">
      <c r="A6931" t="s">
        <v>28080</v>
      </c>
      <c r="B6931" t="s">
        <v>28081</v>
      </c>
      <c r="D6931" t="s">
        <v>9473</v>
      </c>
      <c r="E6931" t="s">
        <v>9474</v>
      </c>
      <c r="J6931" t="s">
        <v>497</v>
      </c>
      <c r="K6931" t="s">
        <v>498</v>
      </c>
      <c r="L6931">
        <v>2</v>
      </c>
      <c r="M6931" t="s">
        <v>28082</v>
      </c>
      <c r="N6931" t="s">
        <v>135</v>
      </c>
      <c r="O6931" t="s">
        <v>9477</v>
      </c>
      <c r="P6931" t="s">
        <v>9477</v>
      </c>
      <c r="Y6931" t="s">
        <v>28083</v>
      </c>
    </row>
    <row r="6932" spans="1:25">
      <c r="A6932" t="s">
        <v>28084</v>
      </c>
      <c r="B6932" t="s">
        <v>28085</v>
      </c>
      <c r="D6932" t="s">
        <v>9473</v>
      </c>
      <c r="E6932" t="s">
        <v>9474</v>
      </c>
      <c r="J6932" t="s">
        <v>927</v>
      </c>
      <c r="K6932" t="s">
        <v>928</v>
      </c>
      <c r="L6932">
        <v>2</v>
      </c>
      <c r="M6932" t="s">
        <v>28086</v>
      </c>
      <c r="N6932" t="s">
        <v>27152</v>
      </c>
      <c r="O6932" t="s">
        <v>9477</v>
      </c>
      <c r="P6932" t="s">
        <v>9477</v>
      </c>
      <c r="Y6932" t="s">
        <v>28087</v>
      </c>
    </row>
    <row r="6933" spans="1:25">
      <c r="A6933" t="s">
        <v>28088</v>
      </c>
      <c r="B6933" t="s">
        <v>28089</v>
      </c>
      <c r="D6933" t="s">
        <v>9473</v>
      </c>
      <c r="E6933" t="s">
        <v>9474</v>
      </c>
      <c r="J6933" t="s">
        <v>2328</v>
      </c>
      <c r="K6933" t="s">
        <v>2329</v>
      </c>
      <c r="L6933">
        <v>2</v>
      </c>
      <c r="M6933" t="s">
        <v>28090</v>
      </c>
      <c r="N6933" t="s">
        <v>27152</v>
      </c>
      <c r="O6933" t="s">
        <v>9477</v>
      </c>
      <c r="P6933" t="s">
        <v>9477</v>
      </c>
      <c r="Y6933" t="s">
        <v>28091</v>
      </c>
    </row>
    <row r="6934" spans="1:25">
      <c r="A6934" t="s">
        <v>28092</v>
      </c>
      <c r="B6934" t="s">
        <v>28093</v>
      </c>
      <c r="D6934" t="s">
        <v>9473</v>
      </c>
      <c r="E6934" t="s">
        <v>9474</v>
      </c>
      <c r="H6934" t="s">
        <v>28094</v>
      </c>
      <c r="J6934" t="s">
        <v>2328</v>
      </c>
      <c r="K6934" t="s">
        <v>2329</v>
      </c>
      <c r="L6934">
        <v>2</v>
      </c>
      <c r="M6934" t="s">
        <v>28095</v>
      </c>
      <c r="N6934" t="s">
        <v>27094</v>
      </c>
      <c r="O6934" t="s">
        <v>9477</v>
      </c>
      <c r="P6934" t="s">
        <v>9477</v>
      </c>
      <c r="Y6934" t="s">
        <v>28094</v>
      </c>
    </row>
    <row r="6935" spans="1:25">
      <c r="A6935" t="s">
        <v>28096</v>
      </c>
      <c r="B6935" t="s">
        <v>28097</v>
      </c>
      <c r="D6935" t="s">
        <v>9473</v>
      </c>
      <c r="E6935" t="s">
        <v>9474</v>
      </c>
      <c r="H6935" t="s">
        <v>28098</v>
      </c>
      <c r="J6935" t="s">
        <v>5844</v>
      </c>
      <c r="K6935" t="s">
        <v>5845</v>
      </c>
      <c r="L6935">
        <v>2</v>
      </c>
      <c r="M6935" t="s">
        <v>28099</v>
      </c>
      <c r="N6935" t="s">
        <v>27094</v>
      </c>
      <c r="O6935" t="s">
        <v>9477</v>
      </c>
      <c r="P6935" t="s">
        <v>9477</v>
      </c>
      <c r="Y6935" t="s">
        <v>28098</v>
      </c>
    </row>
    <row r="6936" spans="1:25">
      <c r="A6936" t="s">
        <v>28100</v>
      </c>
      <c r="B6936" t="s">
        <v>28101</v>
      </c>
      <c r="D6936" t="s">
        <v>9473</v>
      </c>
      <c r="E6936" t="s">
        <v>9474</v>
      </c>
      <c r="H6936" t="s">
        <v>28102</v>
      </c>
      <c r="J6936" t="s">
        <v>927</v>
      </c>
      <c r="K6936" t="s">
        <v>928</v>
      </c>
      <c r="L6936">
        <v>2</v>
      </c>
      <c r="M6936" t="s">
        <v>28103</v>
      </c>
      <c r="N6936" t="s">
        <v>27115</v>
      </c>
      <c r="O6936" t="s">
        <v>9477</v>
      </c>
      <c r="P6936" t="s">
        <v>9477</v>
      </c>
      <c r="Y6936" t="s">
        <v>28102</v>
      </c>
    </row>
    <row r="6937" spans="1:25">
      <c r="A6937" t="s">
        <v>28104</v>
      </c>
      <c r="B6937" t="s">
        <v>28105</v>
      </c>
      <c r="D6937" t="s">
        <v>9473</v>
      </c>
      <c r="E6937" t="s">
        <v>9474</v>
      </c>
      <c r="H6937" t="s">
        <v>28106</v>
      </c>
      <c r="J6937" t="s">
        <v>765</v>
      </c>
      <c r="K6937" t="s">
        <v>766</v>
      </c>
      <c r="L6937">
        <v>2</v>
      </c>
      <c r="M6937" t="s">
        <v>28103</v>
      </c>
      <c r="N6937" t="s">
        <v>27098</v>
      </c>
      <c r="O6937" t="s">
        <v>9477</v>
      </c>
      <c r="P6937" t="s">
        <v>9477</v>
      </c>
      <c r="Y6937" t="s">
        <v>28106</v>
      </c>
    </row>
    <row r="6938" spans="1:25">
      <c r="A6938" t="s">
        <v>28107</v>
      </c>
      <c r="B6938" t="s">
        <v>28108</v>
      </c>
      <c r="D6938" t="s">
        <v>9473</v>
      </c>
      <c r="E6938" t="s">
        <v>9474</v>
      </c>
      <c r="H6938" t="s">
        <v>28109</v>
      </c>
      <c r="J6938" t="s">
        <v>497</v>
      </c>
      <c r="K6938" t="s">
        <v>498</v>
      </c>
      <c r="L6938">
        <v>2</v>
      </c>
      <c r="M6938" t="s">
        <v>28110</v>
      </c>
      <c r="N6938" t="s">
        <v>135</v>
      </c>
      <c r="O6938" t="s">
        <v>9477</v>
      </c>
      <c r="P6938" t="s">
        <v>9477</v>
      </c>
      <c r="Y6938" t="s">
        <v>28109</v>
      </c>
    </row>
    <row r="6939" spans="1:25">
      <c r="A6939" t="s">
        <v>28111</v>
      </c>
      <c r="B6939" t="s">
        <v>28112</v>
      </c>
      <c r="D6939" t="s">
        <v>9473</v>
      </c>
      <c r="E6939" t="s">
        <v>9474</v>
      </c>
      <c r="H6939" t="s">
        <v>28113</v>
      </c>
      <c r="J6939" t="s">
        <v>27091</v>
      </c>
      <c r="K6939" t="s">
        <v>27092</v>
      </c>
      <c r="L6939">
        <v>3</v>
      </c>
      <c r="M6939" t="s">
        <v>28114</v>
      </c>
      <c r="N6939" t="s">
        <v>27094</v>
      </c>
      <c r="O6939" t="s">
        <v>9477</v>
      </c>
      <c r="P6939" t="s">
        <v>9477</v>
      </c>
      <c r="Y6939" t="s">
        <v>28113</v>
      </c>
    </row>
    <row r="6940" spans="1:25">
      <c r="A6940" t="s">
        <v>28115</v>
      </c>
      <c r="B6940" t="s">
        <v>28116</v>
      </c>
      <c r="D6940" t="s">
        <v>9473</v>
      </c>
      <c r="E6940" t="s">
        <v>9474</v>
      </c>
      <c r="J6940" t="s">
        <v>497</v>
      </c>
      <c r="K6940" t="s">
        <v>498</v>
      </c>
      <c r="L6940">
        <v>2</v>
      </c>
      <c r="M6940" t="s">
        <v>28117</v>
      </c>
      <c r="N6940" t="s">
        <v>135</v>
      </c>
      <c r="O6940" t="s">
        <v>9477</v>
      </c>
      <c r="P6940" t="s">
        <v>9477</v>
      </c>
      <c r="Y6940" t="s">
        <v>28118</v>
      </c>
    </row>
    <row r="6941" spans="1:25">
      <c r="A6941" t="s">
        <v>28119</v>
      </c>
      <c r="B6941" t="s">
        <v>28120</v>
      </c>
      <c r="D6941" t="s">
        <v>9473</v>
      </c>
      <c r="E6941" t="s">
        <v>9474</v>
      </c>
      <c r="H6941" t="s">
        <v>28121</v>
      </c>
      <c r="J6941" t="s">
        <v>497</v>
      </c>
      <c r="K6941" t="s">
        <v>498</v>
      </c>
      <c r="L6941">
        <v>2</v>
      </c>
      <c r="M6941" t="s">
        <v>28122</v>
      </c>
      <c r="N6941" t="s">
        <v>27115</v>
      </c>
      <c r="O6941" t="s">
        <v>9477</v>
      </c>
      <c r="P6941" t="s">
        <v>9477</v>
      </c>
      <c r="Y6941" t="s">
        <v>28121</v>
      </c>
    </row>
    <row r="6942" spans="1:25">
      <c r="A6942" t="s">
        <v>28123</v>
      </c>
      <c r="B6942" t="s">
        <v>28124</v>
      </c>
      <c r="D6942" t="s">
        <v>9473</v>
      </c>
      <c r="E6942" t="s">
        <v>9474</v>
      </c>
      <c r="H6942" t="s">
        <v>28125</v>
      </c>
      <c r="J6942" t="s">
        <v>765</v>
      </c>
      <c r="K6942" t="s">
        <v>766</v>
      </c>
      <c r="L6942">
        <v>2</v>
      </c>
      <c r="M6942" t="s">
        <v>28126</v>
      </c>
      <c r="N6942" t="s">
        <v>27094</v>
      </c>
      <c r="O6942" t="s">
        <v>9477</v>
      </c>
      <c r="P6942" t="s">
        <v>9477</v>
      </c>
      <c r="Y6942" t="s">
        <v>28125</v>
      </c>
    </row>
    <row r="6943" spans="1:25">
      <c r="A6943" t="s">
        <v>28127</v>
      </c>
      <c r="B6943" t="s">
        <v>28128</v>
      </c>
      <c r="D6943" t="s">
        <v>9473</v>
      </c>
      <c r="E6943" t="s">
        <v>9474</v>
      </c>
      <c r="J6943" t="s">
        <v>497</v>
      </c>
      <c r="K6943" t="s">
        <v>498</v>
      </c>
      <c r="L6943">
        <v>2</v>
      </c>
      <c r="M6943" t="s">
        <v>28129</v>
      </c>
      <c r="N6943" t="s">
        <v>685</v>
      </c>
      <c r="O6943" t="s">
        <v>9477</v>
      </c>
      <c r="P6943" t="s">
        <v>9477</v>
      </c>
      <c r="Y6943" t="s">
        <v>28130</v>
      </c>
    </row>
    <row r="6944" spans="1:25">
      <c r="A6944" t="s">
        <v>28131</v>
      </c>
      <c r="B6944" t="s">
        <v>28132</v>
      </c>
      <c r="D6944" t="s">
        <v>9473</v>
      </c>
      <c r="E6944" t="s">
        <v>9474</v>
      </c>
      <c r="J6944" t="s">
        <v>5844</v>
      </c>
      <c r="K6944" t="s">
        <v>5845</v>
      </c>
      <c r="L6944">
        <v>2</v>
      </c>
      <c r="M6944" t="s">
        <v>28133</v>
      </c>
      <c r="N6944" t="s">
        <v>27115</v>
      </c>
      <c r="O6944" t="s">
        <v>9477</v>
      </c>
      <c r="P6944" t="s">
        <v>9477</v>
      </c>
      <c r="Y6944" t="s">
        <v>28134</v>
      </c>
    </row>
    <row r="6945" spans="1:25">
      <c r="A6945" t="s">
        <v>28135</v>
      </c>
      <c r="B6945" t="s">
        <v>28136</v>
      </c>
      <c r="D6945" t="s">
        <v>9473</v>
      </c>
      <c r="E6945" t="s">
        <v>9474</v>
      </c>
      <c r="H6945" t="s">
        <v>28137</v>
      </c>
      <c r="J6945" t="s">
        <v>5844</v>
      </c>
      <c r="K6945" t="s">
        <v>5845</v>
      </c>
      <c r="L6945">
        <v>2</v>
      </c>
      <c r="M6945" t="s">
        <v>28138</v>
      </c>
      <c r="N6945" t="s">
        <v>27074</v>
      </c>
      <c r="O6945" t="s">
        <v>9477</v>
      </c>
      <c r="P6945" t="s">
        <v>9477</v>
      </c>
      <c r="Y6945" t="s">
        <v>28137</v>
      </c>
    </row>
    <row r="6946" spans="1:25">
      <c r="A6946" t="s">
        <v>28139</v>
      </c>
      <c r="B6946" t="s">
        <v>28140</v>
      </c>
      <c r="D6946" t="s">
        <v>9473</v>
      </c>
      <c r="E6946" t="s">
        <v>9474</v>
      </c>
      <c r="J6946" t="s">
        <v>497</v>
      </c>
      <c r="K6946" t="s">
        <v>498</v>
      </c>
      <c r="L6946">
        <v>2</v>
      </c>
      <c r="M6946" t="s">
        <v>28141</v>
      </c>
      <c r="N6946" t="s">
        <v>685</v>
      </c>
      <c r="O6946" t="s">
        <v>9477</v>
      </c>
      <c r="P6946" t="s">
        <v>9477</v>
      </c>
      <c r="Y6946" t="s">
        <v>28142</v>
      </c>
    </row>
    <row r="6947" spans="1:25">
      <c r="A6947" t="s">
        <v>28143</v>
      </c>
      <c r="B6947" t="s">
        <v>28144</v>
      </c>
      <c r="D6947" t="s">
        <v>9473</v>
      </c>
      <c r="E6947" t="s">
        <v>9474</v>
      </c>
      <c r="J6947" t="s">
        <v>497</v>
      </c>
      <c r="K6947" t="s">
        <v>498</v>
      </c>
      <c r="L6947">
        <v>2</v>
      </c>
      <c r="M6947" t="s">
        <v>28145</v>
      </c>
      <c r="N6947" t="s">
        <v>685</v>
      </c>
      <c r="O6947" t="s">
        <v>9477</v>
      </c>
      <c r="P6947" t="s">
        <v>9477</v>
      </c>
      <c r="Y6947" t="s">
        <v>28146</v>
      </c>
    </row>
    <row r="6948" spans="1:25">
      <c r="A6948" t="s">
        <v>28147</v>
      </c>
      <c r="B6948" t="s">
        <v>28148</v>
      </c>
      <c r="D6948" t="s">
        <v>9473</v>
      </c>
      <c r="E6948" t="s">
        <v>9474</v>
      </c>
      <c r="J6948" t="s">
        <v>9759</v>
      </c>
      <c r="K6948" t="s">
        <v>9760</v>
      </c>
      <c r="L6948">
        <v>3</v>
      </c>
      <c r="M6948" t="s">
        <v>28149</v>
      </c>
      <c r="N6948" t="s">
        <v>27152</v>
      </c>
      <c r="O6948" t="s">
        <v>9477</v>
      </c>
      <c r="P6948" t="s">
        <v>9477</v>
      </c>
      <c r="Y6948" t="s">
        <v>28150</v>
      </c>
    </row>
    <row r="6949" spans="1:25">
      <c r="A6949" t="s">
        <v>28151</v>
      </c>
      <c r="B6949" t="s">
        <v>28152</v>
      </c>
      <c r="D6949" t="s">
        <v>9473</v>
      </c>
      <c r="E6949" t="s">
        <v>9474</v>
      </c>
      <c r="J6949" t="s">
        <v>2948</v>
      </c>
      <c r="K6949" t="s">
        <v>2949</v>
      </c>
      <c r="L6949">
        <v>2</v>
      </c>
      <c r="M6949" t="s">
        <v>28153</v>
      </c>
      <c r="N6949" t="s">
        <v>135</v>
      </c>
      <c r="O6949" t="s">
        <v>9477</v>
      </c>
      <c r="P6949" t="s">
        <v>9477</v>
      </c>
      <c r="Y6949" t="s">
        <v>28154</v>
      </c>
    </row>
    <row r="6950" spans="1:25">
      <c r="A6950" t="s">
        <v>28155</v>
      </c>
      <c r="B6950" t="s">
        <v>28156</v>
      </c>
      <c r="D6950" t="s">
        <v>9473</v>
      </c>
      <c r="E6950" t="s">
        <v>9474</v>
      </c>
      <c r="J6950" t="s">
        <v>497</v>
      </c>
      <c r="K6950" t="s">
        <v>498</v>
      </c>
      <c r="L6950">
        <v>2</v>
      </c>
      <c r="M6950" t="s">
        <v>28157</v>
      </c>
      <c r="N6950" t="s">
        <v>685</v>
      </c>
      <c r="O6950" t="s">
        <v>9477</v>
      </c>
      <c r="P6950" t="s">
        <v>9477</v>
      </c>
      <c r="Y6950" t="s">
        <v>28158</v>
      </c>
    </row>
    <row r="6951" spans="1:25">
      <c r="A6951" t="s">
        <v>28159</v>
      </c>
      <c r="B6951" t="s">
        <v>28160</v>
      </c>
      <c r="D6951" t="s">
        <v>9473</v>
      </c>
      <c r="E6951" t="s">
        <v>9474</v>
      </c>
      <c r="H6951" t="s">
        <v>28161</v>
      </c>
      <c r="J6951" t="s">
        <v>927</v>
      </c>
      <c r="K6951" t="s">
        <v>928</v>
      </c>
      <c r="L6951">
        <v>2</v>
      </c>
      <c r="M6951" t="s">
        <v>28162</v>
      </c>
      <c r="N6951" t="s">
        <v>135</v>
      </c>
      <c r="O6951" t="s">
        <v>9477</v>
      </c>
      <c r="P6951" t="s">
        <v>9477</v>
      </c>
      <c r="Y6951" t="s">
        <v>28161</v>
      </c>
    </row>
    <row r="6952" spans="1:25">
      <c r="A6952" t="s">
        <v>28163</v>
      </c>
      <c r="B6952" t="s">
        <v>28164</v>
      </c>
      <c r="D6952" t="s">
        <v>9473</v>
      </c>
      <c r="E6952" t="s">
        <v>9474</v>
      </c>
      <c r="H6952" t="s">
        <v>28165</v>
      </c>
      <c r="J6952" t="s">
        <v>497</v>
      </c>
      <c r="K6952" t="s">
        <v>498</v>
      </c>
      <c r="L6952">
        <v>2</v>
      </c>
      <c r="M6952" t="s">
        <v>28166</v>
      </c>
      <c r="N6952" t="s">
        <v>685</v>
      </c>
      <c r="O6952" t="s">
        <v>9477</v>
      </c>
      <c r="P6952" t="s">
        <v>9477</v>
      </c>
      <c r="Y6952" t="s">
        <v>28165</v>
      </c>
    </row>
    <row r="6953" spans="1:25">
      <c r="A6953" t="s">
        <v>28167</v>
      </c>
      <c r="B6953" t="s">
        <v>28168</v>
      </c>
      <c r="D6953" t="s">
        <v>9473</v>
      </c>
      <c r="E6953" t="s">
        <v>9474</v>
      </c>
      <c r="J6953" t="s">
        <v>497</v>
      </c>
      <c r="K6953" t="s">
        <v>498</v>
      </c>
      <c r="L6953">
        <v>2</v>
      </c>
      <c r="M6953" t="s">
        <v>28169</v>
      </c>
      <c r="N6953" t="s">
        <v>27098</v>
      </c>
      <c r="O6953" t="s">
        <v>9477</v>
      </c>
      <c r="P6953" t="s">
        <v>9477</v>
      </c>
      <c r="Y6953" t="s">
        <v>28170</v>
      </c>
    </row>
    <row r="6954" spans="1:25">
      <c r="A6954" t="s">
        <v>28171</v>
      </c>
      <c r="B6954" t="s">
        <v>28172</v>
      </c>
      <c r="D6954" t="s">
        <v>9473</v>
      </c>
      <c r="E6954" t="s">
        <v>9474</v>
      </c>
      <c r="J6954" t="s">
        <v>497</v>
      </c>
      <c r="K6954" t="s">
        <v>498</v>
      </c>
      <c r="L6954">
        <v>2</v>
      </c>
      <c r="M6954" t="s">
        <v>28173</v>
      </c>
      <c r="N6954" t="s">
        <v>685</v>
      </c>
      <c r="O6954" t="s">
        <v>9477</v>
      </c>
      <c r="P6954" t="s">
        <v>9477</v>
      </c>
      <c r="Y6954" t="s">
        <v>28174</v>
      </c>
    </row>
    <row r="6955" spans="1:25">
      <c r="A6955" t="s">
        <v>28175</v>
      </c>
      <c r="B6955" t="s">
        <v>28176</v>
      </c>
      <c r="D6955" t="s">
        <v>9473</v>
      </c>
      <c r="E6955" t="s">
        <v>9474</v>
      </c>
      <c r="H6955" t="s">
        <v>28177</v>
      </c>
      <c r="J6955" t="s">
        <v>497</v>
      </c>
      <c r="K6955" t="s">
        <v>498</v>
      </c>
      <c r="L6955">
        <v>3</v>
      </c>
      <c r="M6955" t="s">
        <v>28178</v>
      </c>
      <c r="N6955" t="s">
        <v>27094</v>
      </c>
      <c r="O6955" t="s">
        <v>9477</v>
      </c>
      <c r="P6955" t="s">
        <v>9477</v>
      </c>
      <c r="Y6955" t="s">
        <v>28177</v>
      </c>
    </row>
    <row r="6956" spans="1:25">
      <c r="A6956" t="s">
        <v>28179</v>
      </c>
      <c r="B6956" t="s">
        <v>28180</v>
      </c>
      <c r="D6956" t="s">
        <v>9473</v>
      </c>
      <c r="E6956" t="s">
        <v>9474</v>
      </c>
      <c r="J6956" t="s">
        <v>9759</v>
      </c>
      <c r="K6956" t="s">
        <v>9760</v>
      </c>
      <c r="L6956">
        <v>3</v>
      </c>
      <c r="M6956" t="s">
        <v>28181</v>
      </c>
      <c r="N6956" t="s">
        <v>47</v>
      </c>
      <c r="O6956" t="s">
        <v>9477</v>
      </c>
      <c r="P6956" t="s">
        <v>9477</v>
      </c>
      <c r="Y6956" t="s">
        <v>28182</v>
      </c>
    </row>
    <row r="6957" spans="1:25">
      <c r="A6957" t="s">
        <v>28183</v>
      </c>
      <c r="B6957" t="s">
        <v>28184</v>
      </c>
      <c r="D6957" t="s">
        <v>9473</v>
      </c>
      <c r="E6957" t="s">
        <v>9474</v>
      </c>
      <c r="H6957" t="s">
        <v>28185</v>
      </c>
      <c r="J6957" t="s">
        <v>765</v>
      </c>
      <c r="K6957" t="s">
        <v>766</v>
      </c>
      <c r="L6957">
        <v>2</v>
      </c>
      <c r="M6957" t="s">
        <v>28186</v>
      </c>
      <c r="N6957" t="s">
        <v>27094</v>
      </c>
      <c r="O6957" t="s">
        <v>9477</v>
      </c>
      <c r="P6957" t="s">
        <v>9477</v>
      </c>
      <c r="Y6957" t="s">
        <v>28185</v>
      </c>
    </row>
    <row r="6958" spans="1:25">
      <c r="A6958" t="s">
        <v>28187</v>
      </c>
      <c r="B6958" t="s">
        <v>28188</v>
      </c>
      <c r="D6958" t="s">
        <v>9473</v>
      </c>
      <c r="E6958" t="s">
        <v>9474</v>
      </c>
      <c r="J6958" t="s">
        <v>765</v>
      </c>
      <c r="K6958" t="s">
        <v>766</v>
      </c>
      <c r="L6958">
        <v>2</v>
      </c>
      <c r="M6958" t="s">
        <v>28186</v>
      </c>
      <c r="N6958" t="s">
        <v>27098</v>
      </c>
      <c r="O6958" t="s">
        <v>9477</v>
      </c>
      <c r="P6958" t="s">
        <v>9477</v>
      </c>
      <c r="Y6958" t="s">
        <v>28189</v>
      </c>
    </row>
    <row r="6959" spans="1:25">
      <c r="A6959" t="s">
        <v>28190</v>
      </c>
      <c r="B6959" t="s">
        <v>28191</v>
      </c>
      <c r="D6959" t="s">
        <v>9473</v>
      </c>
      <c r="E6959" t="s">
        <v>9474</v>
      </c>
      <c r="H6959" t="s">
        <v>28192</v>
      </c>
      <c r="J6959" t="s">
        <v>497</v>
      </c>
      <c r="K6959" t="s">
        <v>498</v>
      </c>
      <c r="L6959">
        <v>2</v>
      </c>
      <c r="M6959" t="s">
        <v>28193</v>
      </c>
      <c r="N6959" t="s">
        <v>135</v>
      </c>
      <c r="O6959" t="s">
        <v>9477</v>
      </c>
      <c r="P6959" t="s">
        <v>9477</v>
      </c>
      <c r="Y6959" t="s">
        <v>28192</v>
      </c>
    </row>
    <row r="6960" spans="1:25">
      <c r="A6960" t="s">
        <v>28194</v>
      </c>
      <c r="B6960" t="s">
        <v>28195</v>
      </c>
      <c r="D6960" t="s">
        <v>9473</v>
      </c>
      <c r="E6960" t="s">
        <v>9474</v>
      </c>
      <c r="J6960" t="s">
        <v>765</v>
      </c>
      <c r="K6960" t="s">
        <v>766</v>
      </c>
      <c r="L6960">
        <v>2</v>
      </c>
      <c r="M6960" t="s">
        <v>28196</v>
      </c>
      <c r="N6960" t="s">
        <v>27098</v>
      </c>
      <c r="O6960" t="s">
        <v>9477</v>
      </c>
      <c r="P6960" t="s">
        <v>9477</v>
      </c>
      <c r="Y6960" t="s">
        <v>28197</v>
      </c>
    </row>
    <row r="6961" spans="1:25">
      <c r="A6961" t="s">
        <v>28198</v>
      </c>
      <c r="B6961" t="s">
        <v>28199</v>
      </c>
      <c r="D6961" t="s">
        <v>9473</v>
      </c>
      <c r="E6961" t="s">
        <v>9474</v>
      </c>
      <c r="J6961" t="s">
        <v>765</v>
      </c>
      <c r="K6961" t="s">
        <v>766</v>
      </c>
      <c r="L6961">
        <v>3</v>
      </c>
      <c r="M6961" t="s">
        <v>28200</v>
      </c>
      <c r="N6961" t="s">
        <v>685</v>
      </c>
      <c r="O6961" t="s">
        <v>9477</v>
      </c>
      <c r="P6961" t="s">
        <v>9477</v>
      </c>
      <c r="Y6961" t="s">
        <v>28201</v>
      </c>
    </row>
    <row r="6962" spans="1:25">
      <c r="A6962" t="s">
        <v>28202</v>
      </c>
      <c r="B6962" t="s">
        <v>28203</v>
      </c>
      <c r="D6962" t="s">
        <v>9473</v>
      </c>
      <c r="E6962" t="s">
        <v>9474</v>
      </c>
      <c r="H6962" t="s">
        <v>28204</v>
      </c>
      <c r="J6962" t="s">
        <v>765</v>
      </c>
      <c r="K6962" t="s">
        <v>766</v>
      </c>
      <c r="L6962">
        <v>3</v>
      </c>
      <c r="M6962" t="s">
        <v>28205</v>
      </c>
      <c r="N6962" t="s">
        <v>27098</v>
      </c>
      <c r="O6962" t="s">
        <v>9477</v>
      </c>
      <c r="P6962" t="s">
        <v>9477</v>
      </c>
      <c r="Y6962" t="s">
        <v>28204</v>
      </c>
    </row>
    <row r="6963" spans="1:25">
      <c r="A6963" t="s">
        <v>28206</v>
      </c>
      <c r="B6963" t="s">
        <v>28207</v>
      </c>
      <c r="D6963" t="s">
        <v>9473</v>
      </c>
      <c r="E6963" t="s">
        <v>9474</v>
      </c>
      <c r="H6963" t="s">
        <v>28208</v>
      </c>
      <c r="J6963" t="s">
        <v>765</v>
      </c>
      <c r="K6963" t="s">
        <v>766</v>
      </c>
      <c r="L6963">
        <v>2</v>
      </c>
      <c r="M6963" t="s">
        <v>28209</v>
      </c>
      <c r="N6963" t="s">
        <v>685</v>
      </c>
      <c r="O6963" t="s">
        <v>9477</v>
      </c>
      <c r="P6963" t="s">
        <v>9477</v>
      </c>
      <c r="Y6963" t="s">
        <v>28208</v>
      </c>
    </row>
    <row r="6964" spans="1:25">
      <c r="A6964" t="s">
        <v>28210</v>
      </c>
      <c r="B6964" t="s">
        <v>28211</v>
      </c>
      <c r="D6964" t="s">
        <v>9473</v>
      </c>
      <c r="E6964" t="s">
        <v>9474</v>
      </c>
      <c r="H6964" t="s">
        <v>28212</v>
      </c>
      <c r="J6964" t="s">
        <v>765</v>
      </c>
      <c r="K6964" t="s">
        <v>766</v>
      </c>
      <c r="L6964">
        <v>3</v>
      </c>
      <c r="M6964" t="s">
        <v>28213</v>
      </c>
      <c r="N6964" t="s">
        <v>27094</v>
      </c>
      <c r="O6964" t="s">
        <v>9477</v>
      </c>
      <c r="P6964" t="s">
        <v>9477</v>
      </c>
      <c r="Y6964" t="s">
        <v>28212</v>
      </c>
    </row>
    <row r="6965" spans="1:25">
      <c r="A6965" t="s">
        <v>28214</v>
      </c>
      <c r="B6965" t="s">
        <v>28215</v>
      </c>
      <c r="D6965" t="s">
        <v>9473</v>
      </c>
      <c r="E6965" t="s">
        <v>9474</v>
      </c>
      <c r="J6965" t="s">
        <v>5964</v>
      </c>
      <c r="K6965" t="s">
        <v>5965</v>
      </c>
      <c r="L6965">
        <v>2</v>
      </c>
      <c r="M6965" t="s">
        <v>28216</v>
      </c>
      <c r="N6965" t="s">
        <v>27074</v>
      </c>
      <c r="O6965" t="s">
        <v>9477</v>
      </c>
      <c r="P6965" t="s">
        <v>9477</v>
      </c>
      <c r="Y6965" t="s">
        <v>28217</v>
      </c>
    </row>
    <row r="6966" spans="1:25">
      <c r="A6966" t="s">
        <v>28218</v>
      </c>
      <c r="B6966" t="s">
        <v>28219</v>
      </c>
      <c r="D6966" t="s">
        <v>9473</v>
      </c>
      <c r="E6966" t="s">
        <v>9474</v>
      </c>
      <c r="J6966" t="s">
        <v>927</v>
      </c>
      <c r="K6966" t="s">
        <v>928</v>
      </c>
      <c r="L6966">
        <v>2</v>
      </c>
      <c r="M6966" t="s">
        <v>28220</v>
      </c>
      <c r="N6966" t="s">
        <v>27098</v>
      </c>
      <c r="O6966" t="s">
        <v>9477</v>
      </c>
      <c r="P6966" t="s">
        <v>9477</v>
      </c>
      <c r="Y6966" t="s">
        <v>28221</v>
      </c>
    </row>
    <row r="6967" spans="1:25">
      <c r="A6967" t="s">
        <v>28222</v>
      </c>
      <c r="B6967" t="s">
        <v>28223</v>
      </c>
      <c r="D6967" t="s">
        <v>9473</v>
      </c>
      <c r="E6967" t="s">
        <v>9474</v>
      </c>
      <c r="H6967" t="s">
        <v>28224</v>
      </c>
      <c r="J6967" t="s">
        <v>2328</v>
      </c>
      <c r="K6967" t="s">
        <v>2329</v>
      </c>
      <c r="L6967">
        <v>2</v>
      </c>
      <c r="M6967" t="s">
        <v>28225</v>
      </c>
      <c r="N6967" t="s">
        <v>27094</v>
      </c>
      <c r="O6967" t="s">
        <v>9477</v>
      </c>
      <c r="P6967" t="s">
        <v>9477</v>
      </c>
      <c r="Y6967" t="s">
        <v>28224</v>
      </c>
    </row>
    <row r="6968" spans="1:25">
      <c r="A6968" t="s">
        <v>28226</v>
      </c>
      <c r="B6968" t="s">
        <v>28227</v>
      </c>
      <c r="D6968" t="s">
        <v>9473</v>
      </c>
      <c r="E6968" t="s">
        <v>9474</v>
      </c>
      <c r="J6968" t="s">
        <v>765</v>
      </c>
      <c r="K6968" t="s">
        <v>766</v>
      </c>
      <c r="L6968">
        <v>2</v>
      </c>
      <c r="M6968" t="s">
        <v>28228</v>
      </c>
      <c r="N6968" t="s">
        <v>27098</v>
      </c>
      <c r="O6968" t="s">
        <v>9477</v>
      </c>
      <c r="P6968" t="s">
        <v>9477</v>
      </c>
      <c r="Y6968" t="s">
        <v>28229</v>
      </c>
    </row>
    <row r="6969" spans="1:25">
      <c r="A6969" t="s">
        <v>28230</v>
      </c>
      <c r="B6969" t="s">
        <v>28231</v>
      </c>
      <c r="D6969" t="s">
        <v>9473</v>
      </c>
      <c r="E6969" t="s">
        <v>9474</v>
      </c>
      <c r="J6969" t="s">
        <v>497</v>
      </c>
      <c r="K6969" t="s">
        <v>498</v>
      </c>
      <c r="L6969">
        <v>2</v>
      </c>
      <c r="M6969" t="s">
        <v>28232</v>
      </c>
      <c r="N6969" t="s">
        <v>27094</v>
      </c>
      <c r="O6969" t="s">
        <v>9477</v>
      </c>
      <c r="P6969" t="s">
        <v>9477</v>
      </c>
      <c r="Y6969" t="s">
        <v>28233</v>
      </c>
    </row>
    <row r="6970" spans="1:25">
      <c r="A6970" t="s">
        <v>28234</v>
      </c>
      <c r="B6970" t="s">
        <v>28235</v>
      </c>
      <c r="D6970" t="s">
        <v>9473</v>
      </c>
      <c r="E6970" t="s">
        <v>9474</v>
      </c>
      <c r="J6970" t="s">
        <v>5844</v>
      </c>
      <c r="K6970" t="s">
        <v>5845</v>
      </c>
      <c r="L6970">
        <v>2</v>
      </c>
      <c r="M6970" t="s">
        <v>28236</v>
      </c>
      <c r="N6970" t="s">
        <v>27074</v>
      </c>
      <c r="O6970" t="s">
        <v>9477</v>
      </c>
      <c r="P6970" t="s">
        <v>9477</v>
      </c>
      <c r="Y6970" t="s">
        <v>28237</v>
      </c>
    </row>
    <row r="6971" spans="1:25">
      <c r="A6971" t="s">
        <v>28238</v>
      </c>
      <c r="B6971" t="s">
        <v>28239</v>
      </c>
      <c r="D6971" t="s">
        <v>9473</v>
      </c>
      <c r="E6971" t="s">
        <v>9474</v>
      </c>
      <c r="J6971" t="s">
        <v>927</v>
      </c>
      <c r="K6971" t="s">
        <v>928</v>
      </c>
      <c r="L6971">
        <v>2</v>
      </c>
      <c r="M6971" t="s">
        <v>28240</v>
      </c>
      <c r="N6971" t="s">
        <v>27115</v>
      </c>
      <c r="O6971" t="s">
        <v>9477</v>
      </c>
      <c r="P6971" t="s">
        <v>9477</v>
      </c>
      <c r="Y6971" t="s">
        <v>28241</v>
      </c>
    </row>
    <row r="6972" spans="1:25">
      <c r="A6972" t="s">
        <v>28242</v>
      </c>
      <c r="B6972" t="s">
        <v>28243</v>
      </c>
      <c r="D6972" t="s">
        <v>9473</v>
      </c>
      <c r="E6972" t="s">
        <v>9474</v>
      </c>
      <c r="J6972" t="s">
        <v>497</v>
      </c>
      <c r="K6972" t="s">
        <v>498</v>
      </c>
      <c r="L6972">
        <v>2</v>
      </c>
      <c r="M6972" t="s">
        <v>28244</v>
      </c>
      <c r="N6972" t="s">
        <v>27094</v>
      </c>
      <c r="O6972" t="s">
        <v>9477</v>
      </c>
      <c r="P6972" t="s">
        <v>9477</v>
      </c>
      <c r="Y6972" t="s">
        <v>28245</v>
      </c>
    </row>
    <row r="6973" spans="1:25">
      <c r="A6973" t="s">
        <v>28246</v>
      </c>
      <c r="B6973" t="s">
        <v>28247</v>
      </c>
      <c r="D6973" t="s">
        <v>9473</v>
      </c>
      <c r="E6973" t="s">
        <v>9474</v>
      </c>
      <c r="J6973" t="s">
        <v>497</v>
      </c>
      <c r="K6973" t="s">
        <v>498</v>
      </c>
      <c r="L6973">
        <v>3</v>
      </c>
      <c r="M6973" t="s">
        <v>28248</v>
      </c>
      <c r="N6973" t="s">
        <v>685</v>
      </c>
      <c r="O6973" t="s">
        <v>9477</v>
      </c>
      <c r="P6973" t="s">
        <v>9477</v>
      </c>
      <c r="Y6973" t="s">
        <v>28249</v>
      </c>
    </row>
    <row r="6974" spans="1:25">
      <c r="A6974" t="s">
        <v>28250</v>
      </c>
      <c r="B6974" t="s">
        <v>28251</v>
      </c>
      <c r="D6974" t="s">
        <v>9473</v>
      </c>
      <c r="E6974" t="s">
        <v>9474</v>
      </c>
      <c r="J6974" t="s">
        <v>765</v>
      </c>
      <c r="K6974" t="s">
        <v>766</v>
      </c>
      <c r="L6974">
        <v>2</v>
      </c>
      <c r="M6974" t="s">
        <v>28252</v>
      </c>
      <c r="N6974" t="s">
        <v>27098</v>
      </c>
      <c r="O6974" t="s">
        <v>9477</v>
      </c>
      <c r="P6974" t="s">
        <v>9477</v>
      </c>
      <c r="Y6974" t="s">
        <v>28253</v>
      </c>
    </row>
    <row r="6975" spans="1:25">
      <c r="A6975" t="s">
        <v>28254</v>
      </c>
      <c r="B6975" t="s">
        <v>28255</v>
      </c>
      <c r="D6975" t="s">
        <v>9473</v>
      </c>
      <c r="E6975" t="s">
        <v>9474</v>
      </c>
      <c r="J6975" t="s">
        <v>765</v>
      </c>
      <c r="K6975" t="s">
        <v>766</v>
      </c>
      <c r="L6975">
        <v>3</v>
      </c>
      <c r="M6975" t="s">
        <v>28256</v>
      </c>
      <c r="N6975" t="s">
        <v>27152</v>
      </c>
      <c r="O6975" t="s">
        <v>9477</v>
      </c>
      <c r="P6975" t="s">
        <v>9477</v>
      </c>
      <c r="Y6975" t="s">
        <v>28257</v>
      </c>
    </row>
    <row r="6976" spans="1:25">
      <c r="A6976" t="s">
        <v>28258</v>
      </c>
      <c r="B6976" t="s">
        <v>28259</v>
      </c>
      <c r="D6976" t="s">
        <v>9473</v>
      </c>
      <c r="E6976" t="s">
        <v>9474</v>
      </c>
      <c r="H6976" t="s">
        <v>28260</v>
      </c>
      <c r="J6976" t="s">
        <v>765</v>
      </c>
      <c r="K6976" t="s">
        <v>766</v>
      </c>
      <c r="L6976">
        <v>2</v>
      </c>
      <c r="M6976" t="s">
        <v>28261</v>
      </c>
      <c r="N6976" t="s">
        <v>27152</v>
      </c>
      <c r="O6976" t="s">
        <v>9477</v>
      </c>
      <c r="P6976" t="s">
        <v>9477</v>
      </c>
      <c r="Y6976" t="s">
        <v>28260</v>
      </c>
    </row>
    <row r="6977" spans="1:25">
      <c r="A6977" t="s">
        <v>28262</v>
      </c>
      <c r="B6977" t="s">
        <v>28263</v>
      </c>
      <c r="D6977" t="s">
        <v>9473</v>
      </c>
      <c r="E6977" t="s">
        <v>9474</v>
      </c>
      <c r="J6977" t="s">
        <v>765</v>
      </c>
      <c r="K6977" t="s">
        <v>766</v>
      </c>
      <c r="L6977">
        <v>2</v>
      </c>
      <c r="M6977" t="s">
        <v>28264</v>
      </c>
      <c r="N6977" t="s">
        <v>27094</v>
      </c>
      <c r="O6977" t="s">
        <v>9477</v>
      </c>
      <c r="P6977" t="s">
        <v>9477</v>
      </c>
      <c r="Y6977" t="s">
        <v>28265</v>
      </c>
    </row>
    <row r="6978" spans="1:25">
      <c r="A6978" t="s">
        <v>28266</v>
      </c>
      <c r="B6978" t="s">
        <v>28267</v>
      </c>
      <c r="D6978" t="s">
        <v>9473</v>
      </c>
      <c r="E6978" t="s">
        <v>9474</v>
      </c>
      <c r="H6978" t="s">
        <v>28268</v>
      </c>
      <c r="J6978" t="s">
        <v>9719</v>
      </c>
      <c r="K6978" t="s">
        <v>9720</v>
      </c>
      <c r="L6978">
        <v>3</v>
      </c>
      <c r="M6978" t="s">
        <v>28269</v>
      </c>
      <c r="N6978" t="s">
        <v>27098</v>
      </c>
      <c r="O6978" t="s">
        <v>9477</v>
      </c>
      <c r="P6978" t="s">
        <v>9477</v>
      </c>
      <c r="Y6978" t="s">
        <v>28268</v>
      </c>
    </row>
    <row r="6979" spans="1:25">
      <c r="A6979" t="s">
        <v>28270</v>
      </c>
      <c r="B6979" t="s">
        <v>28271</v>
      </c>
      <c r="D6979" t="s">
        <v>9473</v>
      </c>
      <c r="E6979" t="s">
        <v>9474</v>
      </c>
      <c r="J6979" t="s">
        <v>927</v>
      </c>
      <c r="K6979" t="s">
        <v>928</v>
      </c>
      <c r="L6979">
        <v>2</v>
      </c>
      <c r="M6979" t="s">
        <v>28272</v>
      </c>
      <c r="N6979" t="s">
        <v>27094</v>
      </c>
      <c r="O6979" t="s">
        <v>9477</v>
      </c>
      <c r="P6979" t="s">
        <v>9477</v>
      </c>
      <c r="Y6979" t="s">
        <v>28273</v>
      </c>
    </row>
    <row r="6980" spans="1:25">
      <c r="A6980" t="s">
        <v>28274</v>
      </c>
      <c r="B6980" t="s">
        <v>28275</v>
      </c>
      <c r="D6980" t="s">
        <v>9473</v>
      </c>
      <c r="E6980" t="s">
        <v>9474</v>
      </c>
      <c r="H6980" t="s">
        <v>28276</v>
      </c>
      <c r="J6980" t="s">
        <v>497</v>
      </c>
      <c r="K6980" t="s">
        <v>498</v>
      </c>
      <c r="L6980">
        <v>2</v>
      </c>
      <c r="M6980" t="s">
        <v>28277</v>
      </c>
      <c r="N6980" t="s">
        <v>27098</v>
      </c>
      <c r="O6980" t="s">
        <v>9477</v>
      </c>
      <c r="P6980" t="s">
        <v>9477</v>
      </c>
      <c r="Y6980" t="s">
        <v>28276</v>
      </c>
    </row>
    <row r="6981" spans="1:25">
      <c r="A6981" t="s">
        <v>28278</v>
      </c>
      <c r="B6981" t="s">
        <v>28279</v>
      </c>
      <c r="D6981" t="s">
        <v>9473</v>
      </c>
      <c r="E6981" t="s">
        <v>9474</v>
      </c>
      <c r="J6981" t="s">
        <v>765</v>
      </c>
      <c r="K6981" t="s">
        <v>766</v>
      </c>
      <c r="L6981">
        <v>2</v>
      </c>
      <c r="M6981" t="s">
        <v>28280</v>
      </c>
      <c r="N6981" t="s">
        <v>27098</v>
      </c>
      <c r="O6981" t="s">
        <v>9477</v>
      </c>
      <c r="P6981" t="s">
        <v>9477</v>
      </c>
      <c r="Y6981" t="s">
        <v>28281</v>
      </c>
    </row>
    <row r="6982" spans="1:25">
      <c r="A6982" t="s">
        <v>28282</v>
      </c>
      <c r="B6982" t="s">
        <v>28283</v>
      </c>
      <c r="D6982" t="s">
        <v>9473</v>
      </c>
      <c r="E6982" t="s">
        <v>9474</v>
      </c>
      <c r="J6982" t="s">
        <v>765</v>
      </c>
      <c r="K6982" t="s">
        <v>766</v>
      </c>
      <c r="L6982">
        <v>2</v>
      </c>
      <c r="M6982" t="s">
        <v>28284</v>
      </c>
      <c r="N6982" t="s">
        <v>27094</v>
      </c>
      <c r="O6982" t="s">
        <v>9477</v>
      </c>
      <c r="P6982" t="s">
        <v>9477</v>
      </c>
      <c r="Y6982" t="s">
        <v>28285</v>
      </c>
    </row>
    <row r="6983" spans="1:25">
      <c r="A6983" t="s">
        <v>28286</v>
      </c>
      <c r="B6983" t="s">
        <v>28287</v>
      </c>
      <c r="D6983" t="s">
        <v>9473</v>
      </c>
      <c r="E6983" t="s">
        <v>9474</v>
      </c>
      <c r="J6983" t="s">
        <v>927</v>
      </c>
      <c r="K6983" t="s">
        <v>928</v>
      </c>
      <c r="L6983">
        <v>2</v>
      </c>
      <c r="M6983" t="s">
        <v>28288</v>
      </c>
      <c r="N6983" t="s">
        <v>27074</v>
      </c>
      <c r="O6983" t="s">
        <v>9477</v>
      </c>
      <c r="P6983" t="s">
        <v>9477</v>
      </c>
      <c r="Y6983" t="s">
        <v>28289</v>
      </c>
    </row>
    <row r="6984" spans="1:25">
      <c r="A6984" t="s">
        <v>28290</v>
      </c>
      <c r="B6984" t="s">
        <v>28291</v>
      </c>
      <c r="D6984" t="s">
        <v>9473</v>
      </c>
      <c r="E6984" t="s">
        <v>9474</v>
      </c>
      <c r="H6984" t="s">
        <v>28292</v>
      </c>
      <c r="J6984" t="s">
        <v>765</v>
      </c>
      <c r="K6984" t="s">
        <v>766</v>
      </c>
      <c r="L6984">
        <v>3</v>
      </c>
      <c r="M6984" t="s">
        <v>28293</v>
      </c>
      <c r="N6984" t="s">
        <v>27152</v>
      </c>
      <c r="O6984" t="s">
        <v>9477</v>
      </c>
      <c r="P6984" t="s">
        <v>9477</v>
      </c>
      <c r="Y6984" t="s">
        <v>28292</v>
      </c>
    </row>
    <row r="6985" spans="1:25">
      <c r="A6985" t="s">
        <v>28294</v>
      </c>
      <c r="B6985" t="s">
        <v>28295</v>
      </c>
      <c r="D6985" t="s">
        <v>9473</v>
      </c>
      <c r="E6985" t="s">
        <v>9474</v>
      </c>
      <c r="J6985" t="s">
        <v>497</v>
      </c>
      <c r="K6985" t="s">
        <v>498</v>
      </c>
      <c r="L6985">
        <v>2</v>
      </c>
      <c r="M6985" t="s">
        <v>28296</v>
      </c>
      <c r="N6985" t="s">
        <v>27094</v>
      </c>
      <c r="O6985" t="s">
        <v>9477</v>
      </c>
      <c r="P6985" t="s">
        <v>9477</v>
      </c>
      <c r="Y6985" t="s">
        <v>28297</v>
      </c>
    </row>
    <row r="6986" spans="1:25">
      <c r="A6986" t="s">
        <v>28298</v>
      </c>
      <c r="B6986" t="s">
        <v>28299</v>
      </c>
      <c r="D6986" t="s">
        <v>9473</v>
      </c>
      <c r="E6986" t="s">
        <v>9474</v>
      </c>
      <c r="J6986" t="s">
        <v>5844</v>
      </c>
      <c r="K6986" t="s">
        <v>5845</v>
      </c>
      <c r="L6986">
        <v>2</v>
      </c>
      <c r="M6986" t="s">
        <v>28300</v>
      </c>
      <c r="N6986" t="s">
        <v>27074</v>
      </c>
      <c r="O6986" t="s">
        <v>9477</v>
      </c>
      <c r="P6986" t="s">
        <v>9477</v>
      </c>
      <c r="Y6986" t="s">
        <v>28301</v>
      </c>
    </row>
    <row r="6987" spans="1:25">
      <c r="A6987" t="s">
        <v>28302</v>
      </c>
      <c r="B6987" t="s">
        <v>28303</v>
      </c>
      <c r="D6987" t="s">
        <v>9473</v>
      </c>
      <c r="E6987" t="s">
        <v>9474</v>
      </c>
      <c r="J6987" t="s">
        <v>927</v>
      </c>
      <c r="K6987" t="s">
        <v>928</v>
      </c>
      <c r="L6987">
        <v>2</v>
      </c>
      <c r="M6987" t="s">
        <v>28304</v>
      </c>
      <c r="N6987" t="s">
        <v>135</v>
      </c>
      <c r="O6987" t="s">
        <v>9477</v>
      </c>
      <c r="P6987" t="s">
        <v>9477</v>
      </c>
      <c r="Y6987" t="s">
        <v>28305</v>
      </c>
    </row>
    <row r="6988" spans="1:25">
      <c r="A6988" t="s">
        <v>28306</v>
      </c>
      <c r="B6988" t="s">
        <v>28307</v>
      </c>
      <c r="D6988" t="s">
        <v>9473</v>
      </c>
      <c r="E6988" t="s">
        <v>9474</v>
      </c>
      <c r="J6988" t="s">
        <v>497</v>
      </c>
      <c r="K6988" t="s">
        <v>498</v>
      </c>
      <c r="L6988">
        <v>2</v>
      </c>
      <c r="M6988" t="s">
        <v>28308</v>
      </c>
      <c r="N6988" t="s">
        <v>27094</v>
      </c>
      <c r="O6988" t="s">
        <v>9477</v>
      </c>
      <c r="P6988" t="s">
        <v>9477</v>
      </c>
      <c r="Y6988" t="s">
        <v>28309</v>
      </c>
    </row>
    <row r="6989" spans="1:25">
      <c r="A6989" t="s">
        <v>28310</v>
      </c>
      <c r="B6989" t="s">
        <v>28311</v>
      </c>
      <c r="D6989" t="s">
        <v>9473</v>
      </c>
      <c r="E6989" t="s">
        <v>9474</v>
      </c>
      <c r="J6989" t="s">
        <v>5844</v>
      </c>
      <c r="K6989" t="s">
        <v>5845</v>
      </c>
      <c r="L6989">
        <v>2</v>
      </c>
      <c r="M6989" t="s">
        <v>28312</v>
      </c>
      <c r="N6989" t="s">
        <v>27115</v>
      </c>
      <c r="O6989" t="s">
        <v>9477</v>
      </c>
      <c r="P6989" t="s">
        <v>9477</v>
      </c>
      <c r="Y6989" t="s">
        <v>28313</v>
      </c>
    </row>
    <row r="6990" spans="1:25">
      <c r="A6990" t="s">
        <v>28314</v>
      </c>
      <c r="B6990" t="s">
        <v>28315</v>
      </c>
      <c r="D6990" t="s">
        <v>9473</v>
      </c>
      <c r="E6990" t="s">
        <v>9474</v>
      </c>
      <c r="J6990" t="s">
        <v>765</v>
      </c>
      <c r="K6990" t="s">
        <v>766</v>
      </c>
      <c r="L6990">
        <v>2</v>
      </c>
      <c r="M6990" t="s">
        <v>28316</v>
      </c>
      <c r="N6990" t="s">
        <v>27152</v>
      </c>
      <c r="O6990" t="s">
        <v>9477</v>
      </c>
      <c r="P6990" t="s">
        <v>9477</v>
      </c>
      <c r="Y6990" t="s">
        <v>28317</v>
      </c>
    </row>
    <row r="6991" spans="1:25">
      <c r="A6991" t="s">
        <v>28318</v>
      </c>
      <c r="B6991" t="s">
        <v>28319</v>
      </c>
      <c r="D6991" t="s">
        <v>9473</v>
      </c>
      <c r="E6991" t="s">
        <v>9474</v>
      </c>
      <c r="J6991" t="s">
        <v>927</v>
      </c>
      <c r="K6991" t="s">
        <v>928</v>
      </c>
      <c r="L6991">
        <v>2</v>
      </c>
      <c r="M6991" t="s">
        <v>28320</v>
      </c>
      <c r="N6991" t="s">
        <v>27094</v>
      </c>
      <c r="O6991" t="s">
        <v>9477</v>
      </c>
      <c r="P6991" t="s">
        <v>9477</v>
      </c>
      <c r="Y6991" t="s">
        <v>28321</v>
      </c>
    </row>
    <row r="6992" spans="1:25">
      <c r="A6992" t="s">
        <v>28322</v>
      </c>
      <c r="B6992" t="s">
        <v>28323</v>
      </c>
      <c r="D6992" t="s">
        <v>9473</v>
      </c>
      <c r="E6992" t="s">
        <v>9474</v>
      </c>
      <c r="J6992" t="s">
        <v>5844</v>
      </c>
      <c r="K6992" t="s">
        <v>5845</v>
      </c>
      <c r="L6992">
        <v>2</v>
      </c>
      <c r="M6992" t="s">
        <v>28324</v>
      </c>
      <c r="N6992" t="s">
        <v>27074</v>
      </c>
      <c r="O6992" t="s">
        <v>9477</v>
      </c>
      <c r="P6992" t="s">
        <v>9477</v>
      </c>
      <c r="Y6992" t="s">
        <v>28325</v>
      </c>
    </row>
    <row r="6993" spans="1:25">
      <c r="A6993" t="s">
        <v>28326</v>
      </c>
      <c r="B6993" t="s">
        <v>28327</v>
      </c>
      <c r="D6993" t="s">
        <v>9473</v>
      </c>
      <c r="E6993" t="s">
        <v>9474</v>
      </c>
      <c r="J6993" t="s">
        <v>927</v>
      </c>
      <c r="K6993" t="s">
        <v>928</v>
      </c>
      <c r="L6993">
        <v>2</v>
      </c>
      <c r="M6993" t="s">
        <v>28328</v>
      </c>
      <c r="N6993" t="s">
        <v>685</v>
      </c>
      <c r="O6993" t="s">
        <v>9477</v>
      </c>
      <c r="P6993" t="s">
        <v>9477</v>
      </c>
      <c r="Y6993" t="s">
        <v>28329</v>
      </c>
    </row>
    <row r="6994" spans="1:25">
      <c r="A6994" t="s">
        <v>28330</v>
      </c>
      <c r="B6994" t="s">
        <v>28331</v>
      </c>
      <c r="D6994" t="s">
        <v>9473</v>
      </c>
      <c r="E6994" t="s">
        <v>9474</v>
      </c>
      <c r="J6994" t="s">
        <v>9719</v>
      </c>
      <c r="K6994" t="s">
        <v>9720</v>
      </c>
      <c r="L6994">
        <v>2</v>
      </c>
      <c r="M6994" t="s">
        <v>28332</v>
      </c>
      <c r="N6994" t="s">
        <v>27094</v>
      </c>
      <c r="O6994" t="s">
        <v>9477</v>
      </c>
      <c r="P6994" t="s">
        <v>9477</v>
      </c>
      <c r="Y6994" t="s">
        <v>28333</v>
      </c>
    </row>
    <row r="6995" spans="1:25">
      <c r="A6995" t="s">
        <v>28334</v>
      </c>
      <c r="B6995" t="s">
        <v>28335</v>
      </c>
      <c r="D6995" t="s">
        <v>9473</v>
      </c>
      <c r="E6995" t="s">
        <v>9474</v>
      </c>
      <c r="J6995" t="s">
        <v>927</v>
      </c>
      <c r="K6995" t="s">
        <v>928</v>
      </c>
      <c r="L6995">
        <v>2</v>
      </c>
      <c r="M6995" t="s">
        <v>28336</v>
      </c>
      <c r="N6995" t="s">
        <v>27115</v>
      </c>
      <c r="O6995" t="s">
        <v>9477</v>
      </c>
      <c r="P6995" t="s">
        <v>9477</v>
      </c>
      <c r="Y6995" t="s">
        <v>28337</v>
      </c>
    </row>
    <row r="6996" spans="1:25">
      <c r="A6996" t="s">
        <v>28338</v>
      </c>
      <c r="B6996" t="s">
        <v>28339</v>
      </c>
      <c r="D6996" t="s">
        <v>9473</v>
      </c>
      <c r="E6996" t="s">
        <v>9474</v>
      </c>
      <c r="H6996" t="s">
        <v>28340</v>
      </c>
      <c r="J6996" t="s">
        <v>2948</v>
      </c>
      <c r="K6996" t="s">
        <v>2949</v>
      </c>
      <c r="L6996">
        <v>3</v>
      </c>
      <c r="M6996" t="s">
        <v>28341</v>
      </c>
      <c r="N6996" t="s">
        <v>685</v>
      </c>
      <c r="O6996" t="s">
        <v>9477</v>
      </c>
      <c r="P6996" t="s">
        <v>9477</v>
      </c>
      <c r="Y6996" t="s">
        <v>28340</v>
      </c>
    </row>
    <row r="6997" spans="1:25">
      <c r="A6997" t="s">
        <v>28342</v>
      </c>
      <c r="B6997" t="s">
        <v>28343</v>
      </c>
      <c r="D6997" t="s">
        <v>9473</v>
      </c>
      <c r="E6997" t="s">
        <v>9474</v>
      </c>
      <c r="J6997" t="s">
        <v>9759</v>
      </c>
      <c r="K6997" t="s">
        <v>9760</v>
      </c>
      <c r="L6997">
        <v>3</v>
      </c>
      <c r="M6997" t="s">
        <v>28344</v>
      </c>
      <c r="N6997" t="s">
        <v>47</v>
      </c>
      <c r="O6997" t="s">
        <v>9477</v>
      </c>
      <c r="P6997" t="s">
        <v>9477</v>
      </c>
      <c r="Y6997" t="s">
        <v>28345</v>
      </c>
    </row>
    <row r="6998" spans="1:25">
      <c r="A6998" t="s">
        <v>28346</v>
      </c>
      <c r="B6998" t="s">
        <v>28347</v>
      </c>
      <c r="D6998" t="s">
        <v>9473</v>
      </c>
      <c r="E6998" t="s">
        <v>9474</v>
      </c>
      <c r="J6998" t="s">
        <v>765</v>
      </c>
      <c r="K6998" t="s">
        <v>766</v>
      </c>
      <c r="L6998">
        <v>2</v>
      </c>
      <c r="M6998" t="s">
        <v>28348</v>
      </c>
      <c r="N6998" t="s">
        <v>27098</v>
      </c>
      <c r="O6998" t="s">
        <v>9477</v>
      </c>
      <c r="P6998" t="s">
        <v>9477</v>
      </c>
      <c r="Y6998" t="s">
        <v>28349</v>
      </c>
    </row>
    <row r="6999" spans="1:25">
      <c r="A6999" t="s">
        <v>28350</v>
      </c>
      <c r="B6999" t="s">
        <v>28351</v>
      </c>
      <c r="D6999" t="s">
        <v>9473</v>
      </c>
      <c r="E6999" t="s">
        <v>9474</v>
      </c>
      <c r="J6999" t="s">
        <v>497</v>
      </c>
      <c r="K6999" t="s">
        <v>498</v>
      </c>
      <c r="L6999">
        <v>2</v>
      </c>
      <c r="M6999" t="s">
        <v>28352</v>
      </c>
      <c r="N6999" t="s">
        <v>685</v>
      </c>
      <c r="O6999" t="s">
        <v>9477</v>
      </c>
      <c r="P6999" t="s">
        <v>9477</v>
      </c>
      <c r="Y6999" t="s">
        <v>28353</v>
      </c>
    </row>
    <row r="7000" spans="1:25">
      <c r="A7000" t="s">
        <v>28354</v>
      </c>
      <c r="B7000" t="s">
        <v>28355</v>
      </c>
      <c r="D7000" t="s">
        <v>9473</v>
      </c>
      <c r="E7000" t="s">
        <v>9474</v>
      </c>
      <c r="J7000" t="s">
        <v>927</v>
      </c>
      <c r="K7000" t="s">
        <v>928</v>
      </c>
      <c r="L7000">
        <v>2</v>
      </c>
      <c r="M7000" t="s">
        <v>28356</v>
      </c>
      <c r="N7000" t="s">
        <v>27074</v>
      </c>
      <c r="O7000" t="s">
        <v>9477</v>
      </c>
      <c r="P7000" t="s">
        <v>9477</v>
      </c>
      <c r="Y7000" t="s">
        <v>28357</v>
      </c>
    </row>
    <row r="7001" spans="1:25">
      <c r="A7001" t="s">
        <v>28358</v>
      </c>
      <c r="B7001" t="s">
        <v>28359</v>
      </c>
      <c r="D7001" t="s">
        <v>9473</v>
      </c>
      <c r="E7001" t="s">
        <v>9474</v>
      </c>
      <c r="J7001" t="s">
        <v>927</v>
      </c>
      <c r="K7001" t="s">
        <v>928</v>
      </c>
      <c r="L7001">
        <v>2</v>
      </c>
      <c r="M7001" t="s">
        <v>28360</v>
      </c>
      <c r="N7001" t="s">
        <v>135</v>
      </c>
      <c r="O7001" t="s">
        <v>9477</v>
      </c>
      <c r="P7001" t="s">
        <v>9477</v>
      </c>
      <c r="Y7001" t="s">
        <v>28361</v>
      </c>
    </row>
    <row r="7002" spans="1:25">
      <c r="A7002" t="s">
        <v>28362</v>
      </c>
      <c r="B7002" t="s">
        <v>28363</v>
      </c>
      <c r="D7002" t="s">
        <v>9473</v>
      </c>
      <c r="E7002" t="s">
        <v>9474</v>
      </c>
      <c r="J7002" t="s">
        <v>765</v>
      </c>
      <c r="K7002" t="s">
        <v>766</v>
      </c>
      <c r="L7002">
        <v>2</v>
      </c>
      <c r="M7002" t="s">
        <v>28364</v>
      </c>
      <c r="N7002" t="s">
        <v>290</v>
      </c>
      <c r="O7002" t="s">
        <v>9477</v>
      </c>
      <c r="P7002" t="s">
        <v>9477</v>
      </c>
      <c r="Y7002" t="s">
        <v>28365</v>
      </c>
    </row>
    <row r="7003" spans="1:25">
      <c r="A7003" t="s">
        <v>28366</v>
      </c>
      <c r="B7003" t="s">
        <v>28367</v>
      </c>
      <c r="D7003" t="s">
        <v>9473</v>
      </c>
      <c r="E7003" t="s">
        <v>9474</v>
      </c>
      <c r="J7003" t="s">
        <v>765</v>
      </c>
      <c r="K7003" t="s">
        <v>766</v>
      </c>
      <c r="L7003">
        <v>2</v>
      </c>
      <c r="M7003" t="s">
        <v>28368</v>
      </c>
      <c r="N7003" t="s">
        <v>27094</v>
      </c>
      <c r="O7003" t="s">
        <v>9477</v>
      </c>
      <c r="P7003" t="s">
        <v>9477</v>
      </c>
      <c r="Y7003" t="s">
        <v>28369</v>
      </c>
    </row>
    <row r="7004" spans="1:25">
      <c r="A7004" t="s">
        <v>28370</v>
      </c>
      <c r="B7004" t="s">
        <v>28371</v>
      </c>
      <c r="D7004" t="s">
        <v>9473</v>
      </c>
      <c r="E7004" t="s">
        <v>9474</v>
      </c>
      <c r="J7004" t="s">
        <v>2948</v>
      </c>
      <c r="K7004" t="s">
        <v>2949</v>
      </c>
      <c r="L7004">
        <v>2</v>
      </c>
      <c r="M7004" t="s">
        <v>28372</v>
      </c>
      <c r="N7004" t="s">
        <v>27152</v>
      </c>
      <c r="O7004" t="s">
        <v>9477</v>
      </c>
      <c r="P7004" t="s">
        <v>9477</v>
      </c>
      <c r="Y7004" t="s">
        <v>28373</v>
      </c>
    </row>
    <row r="7005" spans="1:25">
      <c r="A7005" t="s">
        <v>28374</v>
      </c>
      <c r="B7005" t="s">
        <v>28375</v>
      </c>
      <c r="D7005" t="s">
        <v>9473</v>
      </c>
      <c r="E7005" t="s">
        <v>9474</v>
      </c>
      <c r="H7005" t="s">
        <v>28376</v>
      </c>
      <c r="J7005" t="s">
        <v>765</v>
      </c>
      <c r="K7005" t="s">
        <v>766</v>
      </c>
      <c r="L7005">
        <v>2</v>
      </c>
      <c r="M7005" t="s">
        <v>28377</v>
      </c>
      <c r="N7005" t="s">
        <v>27098</v>
      </c>
      <c r="O7005" t="s">
        <v>9477</v>
      </c>
      <c r="P7005" t="s">
        <v>9477</v>
      </c>
      <c r="Y7005" t="s">
        <v>28376</v>
      </c>
    </row>
    <row r="7006" spans="1:25">
      <c r="A7006" t="s">
        <v>28378</v>
      </c>
      <c r="B7006" t="s">
        <v>28379</v>
      </c>
      <c r="D7006" t="s">
        <v>9473</v>
      </c>
      <c r="E7006" t="s">
        <v>9474</v>
      </c>
      <c r="H7006" t="s">
        <v>28380</v>
      </c>
      <c r="J7006" t="s">
        <v>497</v>
      </c>
      <c r="K7006" t="s">
        <v>498</v>
      </c>
      <c r="L7006">
        <v>2</v>
      </c>
      <c r="M7006" t="s">
        <v>28381</v>
      </c>
      <c r="N7006" t="s">
        <v>685</v>
      </c>
      <c r="O7006" t="s">
        <v>9477</v>
      </c>
      <c r="P7006" t="s">
        <v>9477</v>
      </c>
      <c r="Y7006" t="s">
        <v>28380</v>
      </c>
    </row>
    <row r="7007" spans="1:25">
      <c r="A7007" t="s">
        <v>28382</v>
      </c>
      <c r="B7007" t="s">
        <v>28383</v>
      </c>
      <c r="D7007" t="s">
        <v>9473</v>
      </c>
      <c r="E7007" t="s">
        <v>9474</v>
      </c>
      <c r="J7007" t="s">
        <v>28384</v>
      </c>
      <c r="K7007" t="s">
        <v>28385</v>
      </c>
      <c r="L7007">
        <v>4</v>
      </c>
      <c r="M7007" t="s">
        <v>28386</v>
      </c>
      <c r="N7007" t="s">
        <v>27115</v>
      </c>
      <c r="O7007" t="s">
        <v>9477</v>
      </c>
      <c r="P7007" t="s">
        <v>9477</v>
      </c>
      <c r="Y7007" t="s">
        <v>28387</v>
      </c>
    </row>
    <row r="7008" spans="1:25">
      <c r="A7008" t="s">
        <v>28388</v>
      </c>
      <c r="B7008" t="s">
        <v>28389</v>
      </c>
      <c r="D7008" t="s">
        <v>9473</v>
      </c>
      <c r="E7008" t="s">
        <v>9474</v>
      </c>
      <c r="H7008" t="s">
        <v>28390</v>
      </c>
      <c r="J7008" t="s">
        <v>765</v>
      </c>
      <c r="K7008" t="s">
        <v>766</v>
      </c>
      <c r="L7008">
        <v>3</v>
      </c>
      <c r="M7008" t="s">
        <v>28391</v>
      </c>
      <c r="N7008" t="s">
        <v>27098</v>
      </c>
      <c r="O7008" t="s">
        <v>9477</v>
      </c>
      <c r="P7008" t="s">
        <v>9477</v>
      </c>
      <c r="Y7008" t="s">
        <v>28390</v>
      </c>
    </row>
    <row r="7009" spans="1:25">
      <c r="A7009" t="s">
        <v>28392</v>
      </c>
      <c r="B7009" t="s">
        <v>28393</v>
      </c>
      <c r="D7009" t="s">
        <v>9473</v>
      </c>
      <c r="E7009" t="s">
        <v>9474</v>
      </c>
      <c r="J7009" t="s">
        <v>497</v>
      </c>
      <c r="K7009" t="s">
        <v>498</v>
      </c>
      <c r="L7009">
        <v>3</v>
      </c>
      <c r="M7009" t="s">
        <v>28394</v>
      </c>
      <c r="N7009" t="s">
        <v>290</v>
      </c>
      <c r="O7009" t="s">
        <v>9477</v>
      </c>
      <c r="P7009" t="s">
        <v>9477</v>
      </c>
      <c r="Y7009" t="s">
        <v>28395</v>
      </c>
    </row>
    <row r="7010" spans="1:25">
      <c r="A7010" t="s">
        <v>28396</v>
      </c>
      <c r="B7010" t="s">
        <v>28397</v>
      </c>
      <c r="D7010" t="s">
        <v>9473</v>
      </c>
      <c r="E7010" t="s">
        <v>9474</v>
      </c>
      <c r="J7010" t="s">
        <v>497</v>
      </c>
      <c r="K7010" t="s">
        <v>498</v>
      </c>
      <c r="L7010">
        <v>2</v>
      </c>
      <c r="M7010" t="s">
        <v>28398</v>
      </c>
      <c r="N7010" t="s">
        <v>27094</v>
      </c>
      <c r="O7010" t="s">
        <v>9477</v>
      </c>
      <c r="P7010" t="s">
        <v>9477</v>
      </c>
      <c r="Y7010" t="s">
        <v>28399</v>
      </c>
    </row>
    <row r="7011" spans="1:25">
      <c r="A7011" t="s">
        <v>28400</v>
      </c>
      <c r="B7011" t="s">
        <v>28401</v>
      </c>
      <c r="D7011" t="s">
        <v>9473</v>
      </c>
      <c r="E7011" t="s">
        <v>9474</v>
      </c>
      <c r="J7011" t="s">
        <v>765</v>
      </c>
      <c r="K7011" t="s">
        <v>766</v>
      </c>
      <c r="L7011">
        <v>2</v>
      </c>
      <c r="M7011" t="s">
        <v>28402</v>
      </c>
      <c r="N7011" t="s">
        <v>27094</v>
      </c>
      <c r="O7011" t="s">
        <v>9477</v>
      </c>
      <c r="P7011" t="s">
        <v>9477</v>
      </c>
      <c r="Y7011" t="s">
        <v>28403</v>
      </c>
    </row>
    <row r="7012" spans="1:25">
      <c r="A7012" t="s">
        <v>28404</v>
      </c>
      <c r="B7012" t="s">
        <v>28405</v>
      </c>
      <c r="D7012" t="s">
        <v>9473</v>
      </c>
      <c r="E7012" t="s">
        <v>9474</v>
      </c>
      <c r="J7012" t="s">
        <v>2948</v>
      </c>
      <c r="K7012" t="s">
        <v>2949</v>
      </c>
      <c r="L7012">
        <v>2</v>
      </c>
      <c r="M7012" t="s">
        <v>28406</v>
      </c>
      <c r="N7012" t="s">
        <v>685</v>
      </c>
      <c r="O7012" t="s">
        <v>9477</v>
      </c>
      <c r="P7012" t="s">
        <v>9477</v>
      </c>
      <c r="Y7012" t="s">
        <v>28407</v>
      </c>
    </row>
    <row r="7013" spans="1:25">
      <c r="A7013" t="s">
        <v>28408</v>
      </c>
      <c r="B7013" t="s">
        <v>28409</v>
      </c>
      <c r="D7013" t="s">
        <v>9473</v>
      </c>
      <c r="E7013" t="s">
        <v>9474</v>
      </c>
      <c r="J7013" t="s">
        <v>765</v>
      </c>
      <c r="K7013" t="s">
        <v>766</v>
      </c>
      <c r="L7013">
        <v>2</v>
      </c>
      <c r="M7013" t="s">
        <v>28410</v>
      </c>
      <c r="N7013" t="s">
        <v>290</v>
      </c>
      <c r="O7013" t="s">
        <v>9477</v>
      </c>
      <c r="P7013" t="s">
        <v>9477</v>
      </c>
      <c r="Y7013" t="s">
        <v>28411</v>
      </c>
    </row>
    <row r="7014" spans="1:25">
      <c r="A7014" t="s">
        <v>28412</v>
      </c>
      <c r="B7014" t="s">
        <v>28413</v>
      </c>
      <c r="D7014" t="s">
        <v>9473</v>
      </c>
      <c r="E7014" t="s">
        <v>9474</v>
      </c>
      <c r="H7014" t="s">
        <v>28414</v>
      </c>
      <c r="J7014" t="s">
        <v>765</v>
      </c>
      <c r="K7014" t="s">
        <v>766</v>
      </c>
      <c r="L7014">
        <v>3</v>
      </c>
      <c r="M7014" t="s">
        <v>28415</v>
      </c>
      <c r="N7014" t="s">
        <v>27152</v>
      </c>
      <c r="O7014" t="s">
        <v>9477</v>
      </c>
      <c r="P7014" t="s">
        <v>9477</v>
      </c>
      <c r="Y7014" t="s">
        <v>28414</v>
      </c>
    </row>
    <row r="7015" spans="1:25">
      <c r="A7015" t="s">
        <v>28416</v>
      </c>
      <c r="B7015" t="s">
        <v>28417</v>
      </c>
      <c r="D7015" t="s">
        <v>9473</v>
      </c>
      <c r="E7015" t="s">
        <v>9474</v>
      </c>
      <c r="J7015" t="s">
        <v>927</v>
      </c>
      <c r="K7015" t="s">
        <v>928</v>
      </c>
      <c r="L7015">
        <v>2</v>
      </c>
      <c r="M7015" t="s">
        <v>28418</v>
      </c>
      <c r="N7015" t="s">
        <v>685</v>
      </c>
      <c r="O7015" t="s">
        <v>9477</v>
      </c>
      <c r="P7015" t="s">
        <v>9477</v>
      </c>
      <c r="Y7015" t="s">
        <v>28419</v>
      </c>
    </row>
    <row r="7016" spans="1:25">
      <c r="A7016" t="s">
        <v>28420</v>
      </c>
      <c r="B7016" t="s">
        <v>28421</v>
      </c>
      <c r="D7016" t="s">
        <v>9473</v>
      </c>
      <c r="E7016" t="s">
        <v>9474</v>
      </c>
      <c r="J7016" t="s">
        <v>927</v>
      </c>
      <c r="K7016" t="s">
        <v>928</v>
      </c>
      <c r="L7016">
        <v>2</v>
      </c>
      <c r="M7016" t="s">
        <v>28422</v>
      </c>
      <c r="N7016" t="s">
        <v>135</v>
      </c>
      <c r="O7016" t="s">
        <v>9477</v>
      </c>
      <c r="P7016" t="s">
        <v>9477</v>
      </c>
      <c r="Y7016" t="s">
        <v>28423</v>
      </c>
    </row>
    <row r="7017" spans="1:25">
      <c r="A7017" t="s">
        <v>28424</v>
      </c>
      <c r="B7017" t="s">
        <v>28425</v>
      </c>
      <c r="D7017" t="s">
        <v>9473</v>
      </c>
      <c r="E7017" t="s">
        <v>9474</v>
      </c>
      <c r="J7017" t="s">
        <v>497</v>
      </c>
      <c r="K7017" t="s">
        <v>498</v>
      </c>
      <c r="L7017">
        <v>2</v>
      </c>
      <c r="M7017" t="s">
        <v>28426</v>
      </c>
      <c r="N7017" t="s">
        <v>27094</v>
      </c>
      <c r="O7017" t="s">
        <v>9477</v>
      </c>
      <c r="P7017" t="s">
        <v>9477</v>
      </c>
      <c r="Y7017" t="s">
        <v>28427</v>
      </c>
    </row>
    <row r="7018" spans="1:25">
      <c r="A7018" t="s">
        <v>28428</v>
      </c>
      <c r="B7018" t="s">
        <v>28429</v>
      </c>
      <c r="D7018" t="s">
        <v>9473</v>
      </c>
      <c r="E7018" t="s">
        <v>9474</v>
      </c>
      <c r="J7018" t="s">
        <v>497</v>
      </c>
      <c r="K7018" t="s">
        <v>498</v>
      </c>
      <c r="L7018">
        <v>2</v>
      </c>
      <c r="M7018" t="s">
        <v>28430</v>
      </c>
      <c r="N7018" t="s">
        <v>685</v>
      </c>
      <c r="O7018" t="s">
        <v>9477</v>
      </c>
      <c r="P7018" t="s">
        <v>9477</v>
      </c>
      <c r="Y7018" t="s">
        <v>28431</v>
      </c>
    </row>
    <row r="7019" spans="1:25">
      <c r="A7019" t="s">
        <v>28432</v>
      </c>
      <c r="B7019" t="s">
        <v>28433</v>
      </c>
      <c r="D7019" t="s">
        <v>9473</v>
      </c>
      <c r="E7019" t="s">
        <v>9474</v>
      </c>
      <c r="J7019" t="s">
        <v>497</v>
      </c>
      <c r="K7019" t="s">
        <v>498</v>
      </c>
      <c r="L7019">
        <v>2</v>
      </c>
      <c r="M7019" t="s">
        <v>28434</v>
      </c>
      <c r="N7019" t="s">
        <v>27094</v>
      </c>
      <c r="O7019" t="s">
        <v>9477</v>
      </c>
      <c r="P7019" t="s">
        <v>9477</v>
      </c>
      <c r="Y7019" t="s">
        <v>28435</v>
      </c>
    </row>
    <row r="7020" spans="1:25">
      <c r="A7020" t="s">
        <v>28436</v>
      </c>
      <c r="B7020" t="s">
        <v>28437</v>
      </c>
      <c r="D7020" t="s">
        <v>9473</v>
      </c>
      <c r="E7020" t="s">
        <v>9474</v>
      </c>
      <c r="J7020" t="s">
        <v>2328</v>
      </c>
      <c r="K7020" t="s">
        <v>2329</v>
      </c>
      <c r="L7020">
        <v>2</v>
      </c>
      <c r="M7020" t="s">
        <v>28438</v>
      </c>
      <c r="N7020" t="s">
        <v>27152</v>
      </c>
      <c r="O7020" t="s">
        <v>9477</v>
      </c>
      <c r="P7020" t="s">
        <v>9477</v>
      </c>
      <c r="Y7020" t="s">
        <v>28439</v>
      </c>
    </row>
    <row r="7021" spans="1:25">
      <c r="A7021" t="s">
        <v>28440</v>
      </c>
      <c r="B7021" t="s">
        <v>28441</v>
      </c>
      <c r="D7021" t="s">
        <v>9473</v>
      </c>
      <c r="E7021" t="s">
        <v>9474</v>
      </c>
      <c r="J7021" t="s">
        <v>765</v>
      </c>
      <c r="K7021" t="s">
        <v>766</v>
      </c>
      <c r="L7021">
        <v>2</v>
      </c>
      <c r="M7021" t="s">
        <v>28442</v>
      </c>
      <c r="N7021" t="s">
        <v>685</v>
      </c>
      <c r="O7021" t="s">
        <v>9477</v>
      </c>
      <c r="P7021" t="s">
        <v>9477</v>
      </c>
      <c r="Y7021" t="s">
        <v>28443</v>
      </c>
    </row>
    <row r="7022" spans="1:25">
      <c r="A7022" t="s">
        <v>28444</v>
      </c>
      <c r="B7022" t="s">
        <v>28445</v>
      </c>
      <c r="D7022" t="s">
        <v>9473</v>
      </c>
      <c r="E7022" t="s">
        <v>9474</v>
      </c>
      <c r="H7022" t="s">
        <v>28446</v>
      </c>
      <c r="J7022" t="s">
        <v>765</v>
      </c>
      <c r="K7022" t="s">
        <v>766</v>
      </c>
      <c r="L7022">
        <v>3</v>
      </c>
      <c r="M7022" t="s">
        <v>28447</v>
      </c>
      <c r="N7022" t="s">
        <v>27152</v>
      </c>
      <c r="O7022" t="s">
        <v>9477</v>
      </c>
      <c r="P7022" t="s">
        <v>9477</v>
      </c>
      <c r="Y7022" t="s">
        <v>28446</v>
      </c>
    </row>
    <row r="7023" spans="1:25">
      <c r="A7023" t="s">
        <v>28448</v>
      </c>
      <c r="B7023" t="s">
        <v>28449</v>
      </c>
      <c r="D7023" t="s">
        <v>9473</v>
      </c>
      <c r="E7023" t="s">
        <v>9474</v>
      </c>
      <c r="H7023" t="s">
        <v>28450</v>
      </c>
      <c r="J7023" t="s">
        <v>497</v>
      </c>
      <c r="K7023" t="s">
        <v>498</v>
      </c>
      <c r="L7023">
        <v>3</v>
      </c>
      <c r="M7023" t="s">
        <v>28451</v>
      </c>
      <c r="N7023" t="s">
        <v>27115</v>
      </c>
      <c r="O7023" t="s">
        <v>9477</v>
      </c>
      <c r="P7023" t="s">
        <v>9477</v>
      </c>
      <c r="Y7023" t="s">
        <v>28450</v>
      </c>
    </row>
    <row r="7024" spans="1:25">
      <c r="A7024" t="s">
        <v>28452</v>
      </c>
      <c r="B7024" t="s">
        <v>28453</v>
      </c>
      <c r="D7024" t="s">
        <v>9473</v>
      </c>
      <c r="E7024" t="s">
        <v>9474</v>
      </c>
      <c r="H7024" t="s">
        <v>28454</v>
      </c>
      <c r="J7024" t="s">
        <v>497</v>
      </c>
      <c r="K7024" t="s">
        <v>498</v>
      </c>
      <c r="L7024">
        <v>3</v>
      </c>
      <c r="M7024" t="s">
        <v>28455</v>
      </c>
      <c r="N7024" t="s">
        <v>685</v>
      </c>
      <c r="O7024" t="s">
        <v>9477</v>
      </c>
      <c r="P7024" t="s">
        <v>9477</v>
      </c>
      <c r="Y7024" t="s">
        <v>28454</v>
      </c>
    </row>
    <row r="7025" spans="1:25">
      <c r="A7025" t="s">
        <v>28456</v>
      </c>
      <c r="B7025" t="s">
        <v>28457</v>
      </c>
      <c r="D7025" t="s">
        <v>9473</v>
      </c>
      <c r="E7025" t="s">
        <v>9474</v>
      </c>
      <c r="H7025" t="s">
        <v>28458</v>
      </c>
      <c r="J7025" t="s">
        <v>5844</v>
      </c>
      <c r="K7025" t="s">
        <v>5845</v>
      </c>
      <c r="L7025">
        <v>2</v>
      </c>
      <c r="M7025" t="s">
        <v>28459</v>
      </c>
      <c r="N7025" t="s">
        <v>685</v>
      </c>
      <c r="O7025" t="s">
        <v>9477</v>
      </c>
      <c r="P7025" t="s">
        <v>9477</v>
      </c>
      <c r="Y7025" t="s">
        <v>28458</v>
      </c>
    </row>
    <row r="7026" spans="1:25">
      <c r="A7026" t="s">
        <v>28460</v>
      </c>
      <c r="B7026" t="s">
        <v>28461</v>
      </c>
      <c r="D7026" t="s">
        <v>9473</v>
      </c>
      <c r="E7026" t="s">
        <v>9474</v>
      </c>
      <c r="J7026" t="s">
        <v>765</v>
      </c>
      <c r="K7026" t="s">
        <v>766</v>
      </c>
      <c r="L7026">
        <v>2</v>
      </c>
      <c r="M7026" t="s">
        <v>28462</v>
      </c>
      <c r="N7026" t="s">
        <v>290</v>
      </c>
      <c r="O7026" t="s">
        <v>9477</v>
      </c>
      <c r="P7026" t="s">
        <v>9477</v>
      </c>
      <c r="Y7026" t="s">
        <v>28463</v>
      </c>
    </row>
    <row r="7027" spans="1:25">
      <c r="A7027" t="s">
        <v>28464</v>
      </c>
      <c r="B7027" t="s">
        <v>28465</v>
      </c>
      <c r="D7027" t="s">
        <v>9473</v>
      </c>
      <c r="E7027" t="s">
        <v>9474</v>
      </c>
      <c r="J7027" t="s">
        <v>497</v>
      </c>
      <c r="K7027" t="s">
        <v>498</v>
      </c>
      <c r="L7027">
        <v>2</v>
      </c>
      <c r="M7027" t="s">
        <v>28466</v>
      </c>
      <c r="N7027" t="s">
        <v>685</v>
      </c>
      <c r="O7027" t="s">
        <v>9477</v>
      </c>
      <c r="P7027" t="s">
        <v>9477</v>
      </c>
      <c r="Y7027" t="s">
        <v>28467</v>
      </c>
    </row>
    <row r="7028" spans="1:25">
      <c r="A7028" t="s">
        <v>28468</v>
      </c>
      <c r="B7028" t="s">
        <v>28469</v>
      </c>
      <c r="D7028" t="s">
        <v>9473</v>
      </c>
      <c r="E7028" t="s">
        <v>9474</v>
      </c>
      <c r="J7028" t="s">
        <v>765</v>
      </c>
      <c r="K7028" t="s">
        <v>766</v>
      </c>
      <c r="L7028">
        <v>2</v>
      </c>
      <c r="M7028" t="s">
        <v>28470</v>
      </c>
      <c r="N7028" t="s">
        <v>290</v>
      </c>
      <c r="O7028" t="s">
        <v>9477</v>
      </c>
      <c r="P7028" t="s">
        <v>9477</v>
      </c>
      <c r="Y7028" t="s">
        <v>28471</v>
      </c>
    </row>
    <row r="7029" spans="1:25">
      <c r="A7029" t="s">
        <v>28472</v>
      </c>
      <c r="B7029" t="s">
        <v>28473</v>
      </c>
      <c r="D7029" t="s">
        <v>9473</v>
      </c>
      <c r="E7029" t="s">
        <v>9474</v>
      </c>
      <c r="J7029" t="s">
        <v>2328</v>
      </c>
      <c r="K7029" t="s">
        <v>2329</v>
      </c>
      <c r="L7029">
        <v>2</v>
      </c>
      <c r="M7029" t="s">
        <v>28474</v>
      </c>
      <c r="N7029" t="s">
        <v>27152</v>
      </c>
      <c r="O7029" t="s">
        <v>9477</v>
      </c>
      <c r="P7029" t="s">
        <v>9477</v>
      </c>
      <c r="Y7029" t="s">
        <v>28475</v>
      </c>
    </row>
    <row r="7030" spans="1:25">
      <c r="A7030" t="s">
        <v>28476</v>
      </c>
      <c r="B7030" t="s">
        <v>28477</v>
      </c>
      <c r="D7030" t="s">
        <v>9473</v>
      </c>
      <c r="E7030" t="s">
        <v>9474</v>
      </c>
      <c r="J7030" t="s">
        <v>9759</v>
      </c>
      <c r="K7030" t="s">
        <v>9760</v>
      </c>
      <c r="L7030">
        <v>3</v>
      </c>
      <c r="M7030" t="s">
        <v>28478</v>
      </c>
      <c r="N7030" t="s">
        <v>27115</v>
      </c>
      <c r="O7030" t="s">
        <v>9477</v>
      </c>
      <c r="P7030" t="s">
        <v>9477</v>
      </c>
      <c r="Y7030" t="s">
        <v>28479</v>
      </c>
    </row>
    <row r="7031" spans="1:25">
      <c r="A7031" t="s">
        <v>28480</v>
      </c>
      <c r="B7031" t="s">
        <v>28481</v>
      </c>
      <c r="D7031" t="s">
        <v>9473</v>
      </c>
      <c r="E7031" t="s">
        <v>9474</v>
      </c>
      <c r="J7031" t="s">
        <v>1571</v>
      </c>
      <c r="K7031" t="s">
        <v>1572</v>
      </c>
      <c r="L7031">
        <v>2</v>
      </c>
      <c r="M7031" t="s">
        <v>28482</v>
      </c>
      <c r="N7031" t="s">
        <v>27074</v>
      </c>
      <c r="O7031" t="s">
        <v>9477</v>
      </c>
      <c r="P7031" t="s">
        <v>9477</v>
      </c>
      <c r="Y7031" t="s">
        <v>28483</v>
      </c>
    </row>
    <row r="7032" spans="1:25">
      <c r="A7032" t="s">
        <v>28484</v>
      </c>
      <c r="B7032" t="s">
        <v>28485</v>
      </c>
      <c r="D7032" t="s">
        <v>9473</v>
      </c>
      <c r="E7032" t="s">
        <v>9474</v>
      </c>
      <c r="J7032" t="s">
        <v>27091</v>
      </c>
      <c r="K7032" t="s">
        <v>27092</v>
      </c>
      <c r="L7032">
        <v>2</v>
      </c>
      <c r="M7032" t="s">
        <v>28486</v>
      </c>
      <c r="N7032" t="s">
        <v>27094</v>
      </c>
      <c r="O7032" t="s">
        <v>9477</v>
      </c>
      <c r="P7032" t="s">
        <v>9477</v>
      </c>
      <c r="Y7032" t="s">
        <v>28487</v>
      </c>
    </row>
    <row r="7033" spans="1:25">
      <c r="A7033" t="s">
        <v>28488</v>
      </c>
      <c r="B7033" t="s">
        <v>28489</v>
      </c>
      <c r="D7033" t="s">
        <v>9473</v>
      </c>
      <c r="E7033" t="s">
        <v>9474</v>
      </c>
      <c r="J7033" t="s">
        <v>5844</v>
      </c>
      <c r="K7033" t="s">
        <v>5845</v>
      </c>
      <c r="L7033">
        <v>3</v>
      </c>
      <c r="M7033" t="s">
        <v>28490</v>
      </c>
      <c r="N7033" t="s">
        <v>27115</v>
      </c>
      <c r="O7033" t="s">
        <v>9477</v>
      </c>
      <c r="P7033" t="s">
        <v>9477</v>
      </c>
      <c r="Y7033" t="s">
        <v>28491</v>
      </c>
    </row>
    <row r="7034" spans="1:25">
      <c r="A7034" t="s">
        <v>28492</v>
      </c>
      <c r="B7034" t="s">
        <v>28493</v>
      </c>
      <c r="D7034" t="s">
        <v>9473</v>
      </c>
      <c r="E7034" t="s">
        <v>9474</v>
      </c>
      <c r="J7034" t="s">
        <v>497</v>
      </c>
      <c r="K7034" t="s">
        <v>498</v>
      </c>
      <c r="L7034">
        <v>2</v>
      </c>
      <c r="M7034" t="s">
        <v>28494</v>
      </c>
      <c r="N7034" t="s">
        <v>685</v>
      </c>
      <c r="O7034" t="s">
        <v>9477</v>
      </c>
      <c r="P7034" t="s">
        <v>9477</v>
      </c>
      <c r="Y7034" t="s">
        <v>28495</v>
      </c>
    </row>
    <row r="7035" spans="1:25">
      <c r="A7035" t="s">
        <v>28496</v>
      </c>
      <c r="B7035" t="s">
        <v>28497</v>
      </c>
      <c r="D7035" t="s">
        <v>9473</v>
      </c>
      <c r="E7035" t="s">
        <v>9474</v>
      </c>
      <c r="H7035" t="s">
        <v>28498</v>
      </c>
      <c r="J7035" t="s">
        <v>5844</v>
      </c>
      <c r="K7035" t="s">
        <v>5845</v>
      </c>
      <c r="L7035">
        <v>2</v>
      </c>
      <c r="M7035" t="s">
        <v>28499</v>
      </c>
      <c r="N7035" t="s">
        <v>27115</v>
      </c>
      <c r="O7035" t="s">
        <v>9477</v>
      </c>
      <c r="P7035" t="s">
        <v>9477</v>
      </c>
      <c r="Y7035" t="s">
        <v>28498</v>
      </c>
    </row>
    <row r="7036" spans="1:25">
      <c r="A7036" t="s">
        <v>28500</v>
      </c>
      <c r="B7036" t="s">
        <v>28501</v>
      </c>
      <c r="D7036" t="s">
        <v>9473</v>
      </c>
      <c r="E7036" t="s">
        <v>9474</v>
      </c>
      <c r="J7036" t="s">
        <v>497</v>
      </c>
      <c r="K7036" t="s">
        <v>498</v>
      </c>
      <c r="L7036">
        <v>2</v>
      </c>
      <c r="M7036" t="s">
        <v>28502</v>
      </c>
      <c r="N7036" t="s">
        <v>27094</v>
      </c>
      <c r="O7036" t="s">
        <v>9477</v>
      </c>
      <c r="P7036" t="s">
        <v>9477</v>
      </c>
      <c r="Y7036" t="s">
        <v>28503</v>
      </c>
    </row>
    <row r="7037" spans="1:25">
      <c r="A7037" t="s">
        <v>28504</v>
      </c>
      <c r="B7037" t="s">
        <v>28505</v>
      </c>
      <c r="D7037" t="s">
        <v>9473</v>
      </c>
      <c r="E7037" t="s">
        <v>9474</v>
      </c>
      <c r="J7037" t="s">
        <v>765</v>
      </c>
      <c r="K7037" t="s">
        <v>766</v>
      </c>
      <c r="L7037">
        <v>2</v>
      </c>
      <c r="M7037" t="s">
        <v>28506</v>
      </c>
      <c r="N7037" t="s">
        <v>27094</v>
      </c>
      <c r="O7037" t="s">
        <v>9477</v>
      </c>
      <c r="P7037" t="s">
        <v>9477</v>
      </c>
      <c r="Y7037" t="s">
        <v>28507</v>
      </c>
    </row>
    <row r="7038" spans="1:25">
      <c r="A7038" t="s">
        <v>28508</v>
      </c>
      <c r="B7038" t="s">
        <v>28509</v>
      </c>
      <c r="D7038" t="s">
        <v>9473</v>
      </c>
      <c r="E7038" t="s">
        <v>9474</v>
      </c>
      <c r="H7038" t="s">
        <v>28510</v>
      </c>
      <c r="J7038" t="s">
        <v>497</v>
      </c>
      <c r="K7038" t="s">
        <v>498</v>
      </c>
      <c r="L7038">
        <v>3</v>
      </c>
      <c r="M7038" t="s">
        <v>28511</v>
      </c>
      <c r="N7038" t="s">
        <v>685</v>
      </c>
      <c r="O7038" t="s">
        <v>9477</v>
      </c>
      <c r="P7038" t="s">
        <v>9477</v>
      </c>
      <c r="Y7038" t="s">
        <v>28510</v>
      </c>
    </row>
    <row r="7039" spans="1:25">
      <c r="A7039" t="s">
        <v>28512</v>
      </c>
      <c r="B7039" t="s">
        <v>28513</v>
      </c>
      <c r="D7039" t="s">
        <v>9473</v>
      </c>
      <c r="E7039" t="s">
        <v>9474</v>
      </c>
      <c r="J7039" t="s">
        <v>765</v>
      </c>
      <c r="K7039" t="s">
        <v>766</v>
      </c>
      <c r="L7039">
        <v>2</v>
      </c>
      <c r="M7039" t="s">
        <v>28514</v>
      </c>
      <c r="N7039" t="s">
        <v>685</v>
      </c>
      <c r="O7039" t="s">
        <v>9477</v>
      </c>
      <c r="P7039" t="s">
        <v>9477</v>
      </c>
      <c r="Y7039" t="s">
        <v>28515</v>
      </c>
    </row>
    <row r="7040" spans="1:25">
      <c r="A7040" t="s">
        <v>28516</v>
      </c>
      <c r="B7040" t="s">
        <v>28517</v>
      </c>
      <c r="D7040" t="s">
        <v>9473</v>
      </c>
      <c r="E7040" t="s">
        <v>9474</v>
      </c>
      <c r="J7040" t="s">
        <v>497</v>
      </c>
      <c r="K7040" t="s">
        <v>498</v>
      </c>
      <c r="L7040">
        <v>2</v>
      </c>
      <c r="M7040" t="s">
        <v>28518</v>
      </c>
      <c r="N7040" t="s">
        <v>685</v>
      </c>
      <c r="O7040" t="s">
        <v>9477</v>
      </c>
      <c r="P7040" t="s">
        <v>9477</v>
      </c>
      <c r="Y7040" t="s">
        <v>28519</v>
      </c>
    </row>
    <row r="7041" spans="1:25">
      <c r="A7041" t="s">
        <v>28520</v>
      </c>
      <c r="B7041" t="s">
        <v>28521</v>
      </c>
      <c r="D7041" t="s">
        <v>9473</v>
      </c>
      <c r="E7041" t="s">
        <v>9474</v>
      </c>
      <c r="H7041" t="s">
        <v>28522</v>
      </c>
      <c r="J7041" t="s">
        <v>927</v>
      </c>
      <c r="K7041" t="s">
        <v>928</v>
      </c>
      <c r="L7041">
        <v>3</v>
      </c>
      <c r="M7041" t="s">
        <v>28523</v>
      </c>
      <c r="N7041" t="s">
        <v>27074</v>
      </c>
      <c r="O7041" t="s">
        <v>9477</v>
      </c>
      <c r="P7041" t="s">
        <v>9477</v>
      </c>
      <c r="Y7041" t="s">
        <v>28522</v>
      </c>
    </row>
    <row r="7042" spans="1:25">
      <c r="A7042" t="s">
        <v>28524</v>
      </c>
      <c r="B7042" t="s">
        <v>28525</v>
      </c>
      <c r="D7042" t="s">
        <v>9473</v>
      </c>
      <c r="E7042" t="s">
        <v>9474</v>
      </c>
      <c r="H7042" t="s">
        <v>28526</v>
      </c>
      <c r="J7042" t="s">
        <v>927</v>
      </c>
      <c r="K7042" t="s">
        <v>928</v>
      </c>
      <c r="L7042">
        <v>3</v>
      </c>
      <c r="M7042" t="s">
        <v>28527</v>
      </c>
      <c r="N7042" t="s">
        <v>135</v>
      </c>
      <c r="O7042" t="s">
        <v>9477</v>
      </c>
      <c r="P7042" t="s">
        <v>9477</v>
      </c>
      <c r="Y7042" t="s">
        <v>28526</v>
      </c>
    </row>
    <row r="7043" spans="1:25">
      <c r="A7043" t="s">
        <v>28528</v>
      </c>
      <c r="B7043" t="s">
        <v>28529</v>
      </c>
      <c r="D7043" t="s">
        <v>9473</v>
      </c>
      <c r="E7043" t="s">
        <v>9474</v>
      </c>
      <c r="J7043" t="s">
        <v>497</v>
      </c>
      <c r="K7043" t="s">
        <v>498</v>
      </c>
      <c r="L7043">
        <v>2</v>
      </c>
      <c r="M7043" t="s">
        <v>28530</v>
      </c>
      <c r="N7043" t="s">
        <v>685</v>
      </c>
      <c r="O7043" t="s">
        <v>9477</v>
      </c>
      <c r="P7043" t="s">
        <v>9477</v>
      </c>
      <c r="Y7043" t="s">
        <v>28531</v>
      </c>
    </row>
    <row r="7044" spans="1:25">
      <c r="A7044" t="s">
        <v>28532</v>
      </c>
      <c r="B7044" t="s">
        <v>28533</v>
      </c>
      <c r="D7044" t="s">
        <v>9473</v>
      </c>
      <c r="E7044" t="s">
        <v>9474</v>
      </c>
      <c r="J7044" t="s">
        <v>927</v>
      </c>
      <c r="K7044" t="s">
        <v>928</v>
      </c>
      <c r="L7044">
        <v>2</v>
      </c>
      <c r="M7044" t="s">
        <v>28534</v>
      </c>
      <c r="N7044" t="s">
        <v>135</v>
      </c>
      <c r="O7044" t="s">
        <v>9477</v>
      </c>
      <c r="P7044" t="s">
        <v>9477</v>
      </c>
      <c r="Y7044" t="s">
        <v>28535</v>
      </c>
    </row>
    <row r="7045" spans="1:25">
      <c r="A7045" t="s">
        <v>28536</v>
      </c>
      <c r="B7045" t="s">
        <v>28537</v>
      </c>
      <c r="D7045" t="s">
        <v>9473</v>
      </c>
      <c r="E7045" t="s">
        <v>9474</v>
      </c>
      <c r="G7045" t="s">
        <v>28538</v>
      </c>
      <c r="H7045" t="s">
        <v>28539</v>
      </c>
      <c r="J7045" t="s">
        <v>497</v>
      </c>
      <c r="K7045" t="s">
        <v>498</v>
      </c>
      <c r="L7045">
        <v>3</v>
      </c>
      <c r="M7045" t="s">
        <v>28540</v>
      </c>
      <c r="N7045" t="s">
        <v>27094</v>
      </c>
      <c r="O7045" t="s">
        <v>9477</v>
      </c>
      <c r="P7045" t="s">
        <v>28541</v>
      </c>
      <c r="Y7045" t="s">
        <v>28542</v>
      </c>
    </row>
    <row r="7046" spans="1:25">
      <c r="A7046" t="s">
        <v>28543</v>
      </c>
      <c r="B7046" t="s">
        <v>28544</v>
      </c>
      <c r="D7046" t="s">
        <v>9473</v>
      </c>
      <c r="E7046" t="s">
        <v>9474</v>
      </c>
      <c r="J7046" t="s">
        <v>765</v>
      </c>
      <c r="K7046" t="s">
        <v>766</v>
      </c>
      <c r="L7046">
        <v>2</v>
      </c>
      <c r="M7046" t="s">
        <v>28545</v>
      </c>
      <c r="N7046" t="s">
        <v>290</v>
      </c>
      <c r="O7046" t="s">
        <v>9477</v>
      </c>
      <c r="P7046" t="s">
        <v>9477</v>
      </c>
      <c r="Y7046" t="s">
        <v>28546</v>
      </c>
    </row>
    <row r="7047" spans="1:25">
      <c r="A7047" t="s">
        <v>28547</v>
      </c>
      <c r="B7047" t="s">
        <v>28548</v>
      </c>
      <c r="D7047" t="s">
        <v>9473</v>
      </c>
      <c r="E7047" t="s">
        <v>9474</v>
      </c>
      <c r="H7047" t="s">
        <v>28549</v>
      </c>
      <c r="J7047" t="s">
        <v>10083</v>
      </c>
      <c r="K7047" t="s">
        <v>10084</v>
      </c>
      <c r="L7047">
        <v>4</v>
      </c>
      <c r="M7047" t="s">
        <v>28545</v>
      </c>
      <c r="N7047" t="s">
        <v>685</v>
      </c>
      <c r="O7047" t="s">
        <v>9477</v>
      </c>
      <c r="P7047" t="s">
        <v>9477</v>
      </c>
      <c r="Y7047" t="s">
        <v>28549</v>
      </c>
    </row>
    <row r="7048" spans="1:25">
      <c r="A7048" t="s">
        <v>28550</v>
      </c>
      <c r="B7048" t="s">
        <v>28551</v>
      </c>
      <c r="D7048" t="s">
        <v>9473</v>
      </c>
      <c r="E7048" t="s">
        <v>9474</v>
      </c>
      <c r="H7048" t="s">
        <v>28552</v>
      </c>
      <c r="J7048" t="s">
        <v>765</v>
      </c>
      <c r="K7048" t="s">
        <v>766</v>
      </c>
      <c r="L7048">
        <v>3</v>
      </c>
      <c r="M7048" t="s">
        <v>28553</v>
      </c>
      <c r="N7048" t="s">
        <v>27098</v>
      </c>
      <c r="O7048" t="s">
        <v>9477</v>
      </c>
      <c r="P7048" t="s">
        <v>9477</v>
      </c>
      <c r="Y7048" t="s">
        <v>28552</v>
      </c>
    </row>
    <row r="7049" spans="1:25">
      <c r="A7049" t="s">
        <v>28554</v>
      </c>
      <c r="B7049" t="s">
        <v>28555</v>
      </c>
      <c r="D7049" t="s">
        <v>9473</v>
      </c>
      <c r="E7049" t="s">
        <v>9474</v>
      </c>
      <c r="H7049" t="s">
        <v>28556</v>
      </c>
      <c r="J7049" t="s">
        <v>765</v>
      </c>
      <c r="K7049" t="s">
        <v>766</v>
      </c>
      <c r="L7049">
        <v>2</v>
      </c>
      <c r="M7049" t="s">
        <v>28557</v>
      </c>
      <c r="N7049" t="s">
        <v>290</v>
      </c>
      <c r="O7049" t="s">
        <v>9477</v>
      </c>
      <c r="P7049" t="s">
        <v>9477</v>
      </c>
      <c r="Y7049" t="s">
        <v>28556</v>
      </c>
    </row>
    <row r="7050" spans="1:25">
      <c r="A7050" t="s">
        <v>28558</v>
      </c>
      <c r="B7050" t="s">
        <v>28559</v>
      </c>
      <c r="D7050" t="s">
        <v>9473</v>
      </c>
      <c r="E7050" t="s">
        <v>9474</v>
      </c>
      <c r="J7050" t="s">
        <v>497</v>
      </c>
      <c r="K7050" t="s">
        <v>498</v>
      </c>
      <c r="L7050">
        <v>2</v>
      </c>
      <c r="M7050" t="s">
        <v>28560</v>
      </c>
      <c r="N7050" t="s">
        <v>290</v>
      </c>
      <c r="O7050" t="s">
        <v>9477</v>
      </c>
      <c r="P7050" t="s">
        <v>9477</v>
      </c>
      <c r="Y7050" t="s">
        <v>28561</v>
      </c>
    </row>
    <row r="7051" spans="1:25">
      <c r="A7051" t="s">
        <v>28562</v>
      </c>
      <c r="B7051" t="s">
        <v>28563</v>
      </c>
      <c r="D7051" t="s">
        <v>9473</v>
      </c>
      <c r="E7051" t="s">
        <v>9474</v>
      </c>
      <c r="H7051" t="s">
        <v>28564</v>
      </c>
      <c r="J7051" t="s">
        <v>765</v>
      </c>
      <c r="K7051" t="s">
        <v>766</v>
      </c>
      <c r="L7051">
        <v>2</v>
      </c>
      <c r="M7051" t="s">
        <v>28565</v>
      </c>
      <c r="N7051" t="s">
        <v>27152</v>
      </c>
      <c r="O7051" t="s">
        <v>9477</v>
      </c>
      <c r="P7051" t="s">
        <v>9477</v>
      </c>
      <c r="Y7051" t="s">
        <v>28564</v>
      </c>
    </row>
    <row r="7052" spans="1:25">
      <c r="A7052" t="s">
        <v>28566</v>
      </c>
      <c r="B7052" t="s">
        <v>28567</v>
      </c>
      <c r="D7052" t="s">
        <v>9473</v>
      </c>
      <c r="E7052" t="s">
        <v>9474</v>
      </c>
      <c r="J7052" t="s">
        <v>497</v>
      </c>
      <c r="K7052" t="s">
        <v>498</v>
      </c>
      <c r="L7052">
        <v>2</v>
      </c>
      <c r="M7052" t="s">
        <v>28568</v>
      </c>
      <c r="N7052" t="s">
        <v>27074</v>
      </c>
      <c r="O7052" t="s">
        <v>9477</v>
      </c>
      <c r="P7052" t="s">
        <v>9477</v>
      </c>
      <c r="Y7052" t="s">
        <v>28569</v>
      </c>
    </row>
    <row r="7053" spans="1:25">
      <c r="A7053" t="s">
        <v>28570</v>
      </c>
      <c r="B7053" t="s">
        <v>28571</v>
      </c>
      <c r="D7053" t="s">
        <v>9473</v>
      </c>
      <c r="E7053" t="s">
        <v>9474</v>
      </c>
      <c r="H7053" t="s">
        <v>28572</v>
      </c>
      <c r="J7053" t="s">
        <v>2328</v>
      </c>
      <c r="K7053" t="s">
        <v>2329</v>
      </c>
      <c r="L7053">
        <v>3</v>
      </c>
      <c r="M7053" t="s">
        <v>28573</v>
      </c>
      <c r="N7053" t="s">
        <v>27152</v>
      </c>
      <c r="O7053" t="s">
        <v>9477</v>
      </c>
      <c r="P7053" t="s">
        <v>9477</v>
      </c>
      <c r="Y7053" t="s">
        <v>28572</v>
      </c>
    </row>
    <row r="7054" spans="1:25">
      <c r="A7054" t="s">
        <v>28574</v>
      </c>
      <c r="B7054" t="s">
        <v>28575</v>
      </c>
      <c r="D7054" t="s">
        <v>9473</v>
      </c>
      <c r="E7054" t="s">
        <v>9474</v>
      </c>
      <c r="J7054" t="s">
        <v>765</v>
      </c>
      <c r="K7054" t="s">
        <v>766</v>
      </c>
      <c r="L7054">
        <v>2</v>
      </c>
      <c r="M7054" t="s">
        <v>28576</v>
      </c>
      <c r="N7054" t="s">
        <v>27094</v>
      </c>
      <c r="O7054" t="s">
        <v>9477</v>
      </c>
      <c r="P7054" t="s">
        <v>9477</v>
      </c>
      <c r="Y7054" t="s">
        <v>28577</v>
      </c>
    </row>
    <row r="7055" spans="1:25">
      <c r="A7055" t="s">
        <v>28578</v>
      </c>
      <c r="B7055" t="s">
        <v>28579</v>
      </c>
      <c r="D7055" t="s">
        <v>9473</v>
      </c>
      <c r="E7055" t="s">
        <v>9474</v>
      </c>
      <c r="H7055" t="s">
        <v>28580</v>
      </c>
      <c r="J7055" t="s">
        <v>497</v>
      </c>
      <c r="K7055" t="s">
        <v>498</v>
      </c>
      <c r="L7055">
        <v>2</v>
      </c>
      <c r="M7055" t="s">
        <v>28581</v>
      </c>
      <c r="N7055" t="s">
        <v>685</v>
      </c>
      <c r="O7055" t="s">
        <v>9477</v>
      </c>
      <c r="P7055" t="s">
        <v>9477</v>
      </c>
      <c r="Y7055" t="s">
        <v>28580</v>
      </c>
    </row>
    <row r="7056" spans="1:25">
      <c r="A7056" t="s">
        <v>28582</v>
      </c>
      <c r="B7056" t="s">
        <v>28583</v>
      </c>
      <c r="D7056" t="s">
        <v>9473</v>
      </c>
      <c r="E7056" t="s">
        <v>9474</v>
      </c>
      <c r="J7056" t="s">
        <v>497</v>
      </c>
      <c r="K7056" t="s">
        <v>498</v>
      </c>
      <c r="L7056">
        <v>2</v>
      </c>
      <c r="M7056" t="s">
        <v>28584</v>
      </c>
      <c r="N7056" t="s">
        <v>27094</v>
      </c>
      <c r="O7056" t="s">
        <v>9477</v>
      </c>
      <c r="P7056" t="s">
        <v>9477</v>
      </c>
      <c r="Y7056" t="s">
        <v>28585</v>
      </c>
    </row>
    <row r="7057" spans="1:25">
      <c r="A7057" t="s">
        <v>28586</v>
      </c>
      <c r="B7057" t="s">
        <v>28587</v>
      </c>
      <c r="D7057" t="s">
        <v>9473</v>
      </c>
      <c r="E7057" t="s">
        <v>9474</v>
      </c>
      <c r="J7057" t="s">
        <v>5844</v>
      </c>
      <c r="K7057" t="s">
        <v>5845</v>
      </c>
      <c r="L7057">
        <v>2</v>
      </c>
      <c r="M7057" t="s">
        <v>28588</v>
      </c>
      <c r="N7057" t="s">
        <v>27094</v>
      </c>
      <c r="O7057" t="s">
        <v>9477</v>
      </c>
      <c r="P7057" t="s">
        <v>9477</v>
      </c>
      <c r="Y7057" t="s">
        <v>28589</v>
      </c>
    </row>
    <row r="7058" spans="1:25">
      <c r="A7058" t="s">
        <v>28590</v>
      </c>
      <c r="B7058" t="s">
        <v>28591</v>
      </c>
      <c r="D7058" t="s">
        <v>9473</v>
      </c>
      <c r="E7058" t="s">
        <v>9474</v>
      </c>
      <c r="H7058" t="s">
        <v>28592</v>
      </c>
      <c r="J7058" t="s">
        <v>2605</v>
      </c>
      <c r="K7058" t="s">
        <v>2606</v>
      </c>
      <c r="L7058">
        <v>2</v>
      </c>
      <c r="M7058" t="s">
        <v>28593</v>
      </c>
      <c r="N7058" t="s">
        <v>27098</v>
      </c>
      <c r="O7058" t="s">
        <v>9477</v>
      </c>
      <c r="P7058" t="s">
        <v>9477</v>
      </c>
      <c r="Y7058" t="s">
        <v>28592</v>
      </c>
    </row>
    <row r="7059" spans="1:25">
      <c r="A7059" t="s">
        <v>28594</v>
      </c>
      <c r="B7059" t="s">
        <v>28595</v>
      </c>
      <c r="D7059" t="s">
        <v>9473</v>
      </c>
      <c r="E7059" t="s">
        <v>9474</v>
      </c>
      <c r="J7059" t="s">
        <v>765</v>
      </c>
      <c r="K7059" t="s">
        <v>766</v>
      </c>
      <c r="L7059">
        <v>2</v>
      </c>
      <c r="M7059" t="s">
        <v>28596</v>
      </c>
      <c r="N7059" t="s">
        <v>685</v>
      </c>
      <c r="O7059" t="s">
        <v>9477</v>
      </c>
      <c r="P7059" t="s">
        <v>9477</v>
      </c>
      <c r="Y7059" t="s">
        <v>28597</v>
      </c>
    </row>
    <row r="7060" spans="1:25">
      <c r="A7060" t="s">
        <v>28598</v>
      </c>
      <c r="B7060" t="s">
        <v>28599</v>
      </c>
      <c r="D7060" t="s">
        <v>9473</v>
      </c>
      <c r="E7060" t="s">
        <v>9474</v>
      </c>
      <c r="H7060" t="s">
        <v>28600</v>
      </c>
      <c r="J7060" t="s">
        <v>2328</v>
      </c>
      <c r="K7060" t="s">
        <v>2329</v>
      </c>
      <c r="L7060">
        <v>2</v>
      </c>
      <c r="M7060" t="s">
        <v>28601</v>
      </c>
      <c r="N7060" t="s">
        <v>27152</v>
      </c>
      <c r="O7060" t="s">
        <v>9477</v>
      </c>
      <c r="P7060" t="s">
        <v>9477</v>
      </c>
      <c r="Y7060" t="s">
        <v>28600</v>
      </c>
    </row>
    <row r="7061" spans="1:25">
      <c r="A7061" t="s">
        <v>28602</v>
      </c>
      <c r="B7061" t="s">
        <v>28603</v>
      </c>
      <c r="D7061" t="s">
        <v>9473</v>
      </c>
      <c r="E7061" t="s">
        <v>9474</v>
      </c>
      <c r="H7061" t="s">
        <v>28604</v>
      </c>
      <c r="J7061" t="s">
        <v>5964</v>
      </c>
      <c r="K7061" t="s">
        <v>5965</v>
      </c>
      <c r="L7061">
        <v>2</v>
      </c>
      <c r="M7061" t="s">
        <v>28605</v>
      </c>
      <c r="N7061" t="s">
        <v>27115</v>
      </c>
      <c r="O7061" t="s">
        <v>9477</v>
      </c>
      <c r="P7061" t="s">
        <v>9477</v>
      </c>
      <c r="Y7061" t="s">
        <v>28604</v>
      </c>
    </row>
    <row r="7062" spans="1:25">
      <c r="A7062" t="s">
        <v>28606</v>
      </c>
      <c r="B7062" t="s">
        <v>28607</v>
      </c>
      <c r="D7062" t="s">
        <v>9473</v>
      </c>
      <c r="E7062" t="s">
        <v>9474</v>
      </c>
      <c r="J7062" t="s">
        <v>927</v>
      </c>
      <c r="K7062" t="s">
        <v>928</v>
      </c>
      <c r="L7062">
        <v>2</v>
      </c>
      <c r="M7062" t="s">
        <v>28605</v>
      </c>
      <c r="N7062" t="s">
        <v>27094</v>
      </c>
      <c r="O7062" t="s">
        <v>9477</v>
      </c>
      <c r="P7062" t="s">
        <v>9477</v>
      </c>
      <c r="Y7062" t="s">
        <v>28608</v>
      </c>
    </row>
    <row r="7063" spans="1:25">
      <c r="A7063" t="s">
        <v>28609</v>
      </c>
      <c r="B7063" t="s">
        <v>28610</v>
      </c>
      <c r="D7063" t="s">
        <v>9473</v>
      </c>
      <c r="E7063" t="s">
        <v>9474</v>
      </c>
      <c r="H7063" t="s">
        <v>28611</v>
      </c>
      <c r="J7063" t="s">
        <v>5844</v>
      </c>
      <c r="K7063" t="s">
        <v>5845</v>
      </c>
      <c r="L7063">
        <v>3</v>
      </c>
      <c r="M7063" t="s">
        <v>28612</v>
      </c>
      <c r="N7063" t="s">
        <v>27074</v>
      </c>
      <c r="O7063" t="s">
        <v>9477</v>
      </c>
      <c r="P7063" t="s">
        <v>9477</v>
      </c>
      <c r="Y7063" t="s">
        <v>28611</v>
      </c>
    </row>
    <row r="7064" spans="1:25">
      <c r="A7064" t="s">
        <v>28613</v>
      </c>
      <c r="B7064" t="s">
        <v>28614</v>
      </c>
      <c r="D7064" t="s">
        <v>9473</v>
      </c>
      <c r="E7064" t="s">
        <v>9474</v>
      </c>
      <c r="J7064" t="s">
        <v>927</v>
      </c>
      <c r="K7064" t="s">
        <v>928</v>
      </c>
      <c r="L7064">
        <v>2</v>
      </c>
      <c r="M7064" t="s">
        <v>28615</v>
      </c>
      <c r="N7064" t="s">
        <v>27115</v>
      </c>
      <c r="O7064" t="s">
        <v>9477</v>
      </c>
      <c r="P7064" t="s">
        <v>9477</v>
      </c>
      <c r="Y7064" t="s">
        <v>28616</v>
      </c>
    </row>
    <row r="7065" spans="1:25">
      <c r="A7065" t="s">
        <v>28617</v>
      </c>
      <c r="B7065" t="s">
        <v>28618</v>
      </c>
      <c r="D7065" t="s">
        <v>9473</v>
      </c>
      <c r="E7065" t="s">
        <v>9474</v>
      </c>
      <c r="J7065" t="s">
        <v>497</v>
      </c>
      <c r="K7065" t="s">
        <v>498</v>
      </c>
      <c r="L7065">
        <v>4</v>
      </c>
      <c r="M7065" t="s">
        <v>28619</v>
      </c>
      <c r="N7065" t="s">
        <v>135</v>
      </c>
      <c r="O7065" t="s">
        <v>9477</v>
      </c>
      <c r="P7065" t="s">
        <v>9477</v>
      </c>
      <c r="Y7065" t="s">
        <v>28620</v>
      </c>
    </row>
    <row r="7066" spans="1:25">
      <c r="A7066" t="s">
        <v>28621</v>
      </c>
      <c r="B7066" t="s">
        <v>28622</v>
      </c>
      <c r="D7066" t="s">
        <v>9473</v>
      </c>
      <c r="E7066" t="s">
        <v>9474</v>
      </c>
      <c r="J7066" t="s">
        <v>390</v>
      </c>
      <c r="K7066" t="s">
        <v>390</v>
      </c>
      <c r="L7066">
        <v>2</v>
      </c>
      <c r="M7066" t="s">
        <v>28623</v>
      </c>
      <c r="N7066" t="s">
        <v>27094</v>
      </c>
      <c r="O7066" t="s">
        <v>9477</v>
      </c>
      <c r="P7066" t="s">
        <v>9477</v>
      </c>
      <c r="Y7066" t="s">
        <v>28624</v>
      </c>
    </row>
    <row r="7067" spans="1:25">
      <c r="A7067" t="s">
        <v>28625</v>
      </c>
      <c r="B7067" t="s">
        <v>28626</v>
      </c>
      <c r="D7067" t="s">
        <v>9473</v>
      </c>
      <c r="E7067" t="s">
        <v>9474</v>
      </c>
      <c r="J7067" t="s">
        <v>2328</v>
      </c>
      <c r="K7067" t="s">
        <v>2329</v>
      </c>
      <c r="L7067">
        <v>2</v>
      </c>
      <c r="M7067" t="s">
        <v>28627</v>
      </c>
      <c r="N7067" t="s">
        <v>27152</v>
      </c>
      <c r="O7067" t="s">
        <v>9477</v>
      </c>
      <c r="P7067" t="s">
        <v>9477</v>
      </c>
      <c r="Y7067" t="s">
        <v>28628</v>
      </c>
    </row>
    <row r="7068" spans="1:25">
      <c r="A7068" t="s">
        <v>28629</v>
      </c>
      <c r="B7068" t="s">
        <v>28630</v>
      </c>
      <c r="D7068" t="s">
        <v>9473</v>
      </c>
      <c r="E7068" t="s">
        <v>9474</v>
      </c>
      <c r="J7068" t="s">
        <v>5964</v>
      </c>
      <c r="K7068" t="s">
        <v>5965</v>
      </c>
      <c r="L7068">
        <v>2</v>
      </c>
      <c r="M7068" t="s">
        <v>28631</v>
      </c>
      <c r="N7068" t="s">
        <v>685</v>
      </c>
      <c r="O7068" t="s">
        <v>9477</v>
      </c>
      <c r="P7068" t="s">
        <v>9477</v>
      </c>
      <c r="Y7068" t="s">
        <v>28632</v>
      </c>
    </row>
    <row r="7069" spans="1:25">
      <c r="A7069" t="s">
        <v>28633</v>
      </c>
      <c r="B7069" t="s">
        <v>28634</v>
      </c>
      <c r="D7069" t="s">
        <v>9473</v>
      </c>
      <c r="E7069" t="s">
        <v>9474</v>
      </c>
      <c r="J7069" t="s">
        <v>765</v>
      </c>
      <c r="K7069" t="s">
        <v>766</v>
      </c>
      <c r="L7069">
        <v>2</v>
      </c>
      <c r="M7069" t="s">
        <v>28635</v>
      </c>
      <c r="N7069" t="s">
        <v>27094</v>
      </c>
      <c r="O7069" t="s">
        <v>9477</v>
      </c>
      <c r="P7069" t="s">
        <v>9477</v>
      </c>
      <c r="Y7069" t="s">
        <v>28636</v>
      </c>
    </row>
    <row r="7070" spans="1:25">
      <c r="A7070" t="s">
        <v>28637</v>
      </c>
      <c r="B7070" t="s">
        <v>28638</v>
      </c>
      <c r="D7070" t="s">
        <v>9473</v>
      </c>
      <c r="E7070" t="s">
        <v>9474</v>
      </c>
      <c r="J7070" t="s">
        <v>2328</v>
      </c>
      <c r="K7070" t="s">
        <v>2329</v>
      </c>
      <c r="L7070">
        <v>2</v>
      </c>
      <c r="M7070" t="s">
        <v>28639</v>
      </c>
      <c r="N7070" t="s">
        <v>27152</v>
      </c>
      <c r="O7070" t="s">
        <v>9477</v>
      </c>
      <c r="P7070" t="s">
        <v>9477</v>
      </c>
      <c r="Y7070" t="s">
        <v>28640</v>
      </c>
    </row>
    <row r="7071" spans="1:25">
      <c r="A7071" t="s">
        <v>28641</v>
      </c>
      <c r="B7071" t="s">
        <v>28642</v>
      </c>
      <c r="D7071" t="s">
        <v>9473</v>
      </c>
      <c r="E7071" t="s">
        <v>9474</v>
      </c>
      <c r="H7071" t="s">
        <v>28643</v>
      </c>
      <c r="J7071" t="s">
        <v>765</v>
      </c>
      <c r="K7071" t="s">
        <v>766</v>
      </c>
      <c r="L7071">
        <v>2</v>
      </c>
      <c r="M7071" t="s">
        <v>28644</v>
      </c>
      <c r="N7071" t="s">
        <v>27098</v>
      </c>
      <c r="O7071" t="s">
        <v>9477</v>
      </c>
      <c r="P7071" t="s">
        <v>9477</v>
      </c>
      <c r="Y7071" t="s">
        <v>28643</v>
      </c>
    </row>
    <row r="7072" spans="1:25">
      <c r="A7072" t="s">
        <v>28645</v>
      </c>
      <c r="B7072" t="s">
        <v>28646</v>
      </c>
      <c r="D7072" t="s">
        <v>9473</v>
      </c>
      <c r="E7072" t="s">
        <v>9474</v>
      </c>
      <c r="J7072" t="s">
        <v>765</v>
      </c>
      <c r="K7072" t="s">
        <v>766</v>
      </c>
      <c r="L7072">
        <v>2</v>
      </c>
      <c r="M7072" t="s">
        <v>28647</v>
      </c>
      <c r="N7072" t="s">
        <v>27098</v>
      </c>
      <c r="O7072" t="s">
        <v>9477</v>
      </c>
      <c r="P7072" t="s">
        <v>9477</v>
      </c>
      <c r="Y7072" t="s">
        <v>28648</v>
      </c>
    </row>
    <row r="7073" spans="1:25">
      <c r="A7073" t="s">
        <v>28649</v>
      </c>
      <c r="B7073" t="s">
        <v>28650</v>
      </c>
      <c r="D7073" t="s">
        <v>9473</v>
      </c>
      <c r="E7073" t="s">
        <v>9474</v>
      </c>
      <c r="J7073" t="s">
        <v>765</v>
      </c>
      <c r="K7073" t="s">
        <v>766</v>
      </c>
      <c r="L7073">
        <v>2</v>
      </c>
      <c r="M7073" t="s">
        <v>28651</v>
      </c>
      <c r="N7073" t="s">
        <v>27094</v>
      </c>
      <c r="O7073" t="s">
        <v>9477</v>
      </c>
      <c r="P7073" t="s">
        <v>9477</v>
      </c>
      <c r="Y7073" t="s">
        <v>28652</v>
      </c>
    </row>
    <row r="7074" spans="1:25">
      <c r="A7074" t="s">
        <v>28653</v>
      </c>
      <c r="B7074" t="s">
        <v>28654</v>
      </c>
      <c r="D7074" t="s">
        <v>9473</v>
      </c>
      <c r="E7074" t="s">
        <v>9474</v>
      </c>
      <c r="J7074" t="s">
        <v>5844</v>
      </c>
      <c r="K7074" t="s">
        <v>5845</v>
      </c>
      <c r="L7074">
        <v>2</v>
      </c>
      <c r="M7074" t="s">
        <v>28655</v>
      </c>
      <c r="N7074" t="s">
        <v>27094</v>
      </c>
      <c r="O7074" t="s">
        <v>9477</v>
      </c>
      <c r="P7074" t="s">
        <v>9477</v>
      </c>
      <c r="Y7074" t="s">
        <v>28656</v>
      </c>
    </row>
    <row r="7075" spans="1:25">
      <c r="A7075" t="s">
        <v>28657</v>
      </c>
      <c r="B7075" t="s">
        <v>28658</v>
      </c>
      <c r="D7075" t="s">
        <v>9473</v>
      </c>
      <c r="E7075" t="s">
        <v>9474</v>
      </c>
      <c r="J7075" t="s">
        <v>5844</v>
      </c>
      <c r="K7075" t="s">
        <v>5845</v>
      </c>
      <c r="L7075">
        <v>2</v>
      </c>
      <c r="M7075" t="s">
        <v>28659</v>
      </c>
      <c r="N7075" t="s">
        <v>27115</v>
      </c>
      <c r="O7075" t="s">
        <v>9477</v>
      </c>
      <c r="P7075" t="s">
        <v>9477</v>
      </c>
      <c r="Y7075" t="s">
        <v>28660</v>
      </c>
    </row>
    <row r="7076" spans="1:25">
      <c r="A7076" t="s">
        <v>28661</v>
      </c>
      <c r="B7076" t="s">
        <v>28662</v>
      </c>
      <c r="D7076" t="s">
        <v>9473</v>
      </c>
      <c r="E7076" t="s">
        <v>9474</v>
      </c>
      <c r="J7076" t="s">
        <v>497</v>
      </c>
      <c r="K7076" t="s">
        <v>498</v>
      </c>
      <c r="L7076">
        <v>2</v>
      </c>
      <c r="M7076" t="s">
        <v>28663</v>
      </c>
      <c r="N7076" t="s">
        <v>685</v>
      </c>
      <c r="O7076" t="s">
        <v>9477</v>
      </c>
      <c r="P7076" t="s">
        <v>9477</v>
      </c>
      <c r="Y7076" t="s">
        <v>28664</v>
      </c>
    </row>
    <row r="7077" spans="1:25">
      <c r="A7077" t="s">
        <v>28665</v>
      </c>
      <c r="B7077" t="s">
        <v>28666</v>
      </c>
      <c r="D7077" t="s">
        <v>9473</v>
      </c>
      <c r="E7077" t="s">
        <v>9474</v>
      </c>
      <c r="J7077" t="s">
        <v>2328</v>
      </c>
      <c r="K7077" t="s">
        <v>2329</v>
      </c>
      <c r="L7077">
        <v>2</v>
      </c>
      <c r="M7077" t="s">
        <v>28667</v>
      </c>
      <c r="N7077" t="s">
        <v>27152</v>
      </c>
      <c r="O7077" t="s">
        <v>9477</v>
      </c>
      <c r="P7077" t="s">
        <v>9477</v>
      </c>
      <c r="Y7077" t="s">
        <v>28668</v>
      </c>
    </row>
    <row r="7078" spans="1:25">
      <c r="A7078" t="s">
        <v>28669</v>
      </c>
      <c r="B7078" t="s">
        <v>28670</v>
      </c>
      <c r="D7078" t="s">
        <v>9473</v>
      </c>
      <c r="E7078" t="s">
        <v>9474</v>
      </c>
      <c r="H7078" t="s">
        <v>28671</v>
      </c>
      <c r="J7078" t="s">
        <v>2328</v>
      </c>
      <c r="K7078" t="s">
        <v>2329</v>
      </c>
      <c r="L7078">
        <v>3</v>
      </c>
      <c r="M7078" t="s">
        <v>28672</v>
      </c>
      <c r="N7078" t="s">
        <v>27152</v>
      </c>
      <c r="O7078" t="s">
        <v>9477</v>
      </c>
      <c r="P7078" t="s">
        <v>9477</v>
      </c>
      <c r="Y7078" t="s">
        <v>28671</v>
      </c>
    </row>
    <row r="7079" spans="1:25">
      <c r="A7079" t="s">
        <v>28673</v>
      </c>
      <c r="B7079" t="s">
        <v>28674</v>
      </c>
      <c r="D7079" t="s">
        <v>9473</v>
      </c>
      <c r="E7079" t="s">
        <v>9474</v>
      </c>
      <c r="J7079" t="s">
        <v>10083</v>
      </c>
      <c r="K7079" t="s">
        <v>10084</v>
      </c>
      <c r="L7079">
        <v>3</v>
      </c>
      <c r="M7079" t="s">
        <v>28675</v>
      </c>
      <c r="N7079" t="s">
        <v>685</v>
      </c>
      <c r="O7079" t="s">
        <v>9477</v>
      </c>
      <c r="P7079" t="s">
        <v>9477</v>
      </c>
      <c r="Y7079" t="s">
        <v>28676</v>
      </c>
    </row>
    <row r="7080" spans="1:25">
      <c r="A7080" t="s">
        <v>28677</v>
      </c>
      <c r="B7080" t="s">
        <v>28678</v>
      </c>
      <c r="D7080" t="s">
        <v>9473</v>
      </c>
      <c r="E7080" t="s">
        <v>9474</v>
      </c>
      <c r="H7080" t="s">
        <v>28679</v>
      </c>
      <c r="J7080" t="s">
        <v>765</v>
      </c>
      <c r="K7080" t="s">
        <v>766</v>
      </c>
      <c r="L7080">
        <v>3</v>
      </c>
      <c r="M7080" t="s">
        <v>28680</v>
      </c>
      <c r="N7080" t="s">
        <v>27098</v>
      </c>
      <c r="O7080" t="s">
        <v>9477</v>
      </c>
      <c r="P7080" t="s">
        <v>9477</v>
      </c>
      <c r="Y7080" t="s">
        <v>28679</v>
      </c>
    </row>
    <row r="7081" spans="1:25">
      <c r="A7081" t="s">
        <v>28681</v>
      </c>
      <c r="B7081" t="s">
        <v>28682</v>
      </c>
      <c r="D7081" t="s">
        <v>9473</v>
      </c>
      <c r="E7081" t="s">
        <v>9474</v>
      </c>
      <c r="J7081" t="s">
        <v>683</v>
      </c>
      <c r="K7081" t="s">
        <v>684</v>
      </c>
      <c r="L7081">
        <v>2</v>
      </c>
      <c r="M7081" t="s">
        <v>28683</v>
      </c>
      <c r="N7081" t="s">
        <v>27094</v>
      </c>
      <c r="O7081" t="s">
        <v>9477</v>
      </c>
      <c r="P7081" t="s">
        <v>9477</v>
      </c>
      <c r="Y7081" t="s">
        <v>28684</v>
      </c>
    </row>
    <row r="7082" spans="1:25">
      <c r="A7082" t="s">
        <v>28685</v>
      </c>
      <c r="B7082" t="s">
        <v>28686</v>
      </c>
      <c r="D7082" t="s">
        <v>9473</v>
      </c>
      <c r="E7082" t="s">
        <v>9474</v>
      </c>
      <c r="H7082" t="s">
        <v>28687</v>
      </c>
      <c r="J7082" t="s">
        <v>27091</v>
      </c>
      <c r="K7082" t="s">
        <v>27092</v>
      </c>
      <c r="L7082">
        <v>2</v>
      </c>
      <c r="M7082" t="s">
        <v>28688</v>
      </c>
      <c r="N7082" t="s">
        <v>27094</v>
      </c>
      <c r="O7082" t="s">
        <v>9477</v>
      </c>
      <c r="P7082" t="s">
        <v>9477</v>
      </c>
      <c r="Y7082" t="s">
        <v>28687</v>
      </c>
    </row>
    <row r="7083" spans="1:25">
      <c r="A7083" t="s">
        <v>28689</v>
      </c>
      <c r="B7083" t="s">
        <v>28690</v>
      </c>
      <c r="D7083" t="s">
        <v>9473</v>
      </c>
      <c r="E7083" t="s">
        <v>9474</v>
      </c>
      <c r="J7083" t="s">
        <v>497</v>
      </c>
      <c r="K7083" t="s">
        <v>498</v>
      </c>
      <c r="L7083">
        <v>2</v>
      </c>
      <c r="M7083" t="s">
        <v>28691</v>
      </c>
      <c r="N7083" t="s">
        <v>27094</v>
      </c>
      <c r="O7083" t="s">
        <v>9477</v>
      </c>
      <c r="P7083" t="s">
        <v>9477</v>
      </c>
      <c r="Y7083" t="s">
        <v>28692</v>
      </c>
    </row>
    <row r="7084" spans="1:25">
      <c r="A7084" t="s">
        <v>28693</v>
      </c>
      <c r="B7084" t="s">
        <v>28694</v>
      </c>
      <c r="D7084" t="s">
        <v>9473</v>
      </c>
      <c r="E7084" t="s">
        <v>9474</v>
      </c>
      <c r="H7084" t="s">
        <v>28695</v>
      </c>
      <c r="J7084" t="s">
        <v>5844</v>
      </c>
      <c r="K7084" t="s">
        <v>5845</v>
      </c>
      <c r="L7084">
        <v>2</v>
      </c>
      <c r="M7084" t="s">
        <v>28696</v>
      </c>
      <c r="N7084" t="s">
        <v>27115</v>
      </c>
      <c r="O7084" t="s">
        <v>9477</v>
      </c>
      <c r="P7084" t="s">
        <v>9477</v>
      </c>
      <c r="Y7084" t="s">
        <v>28695</v>
      </c>
    </row>
    <row r="7085" spans="1:25">
      <c r="A7085" t="s">
        <v>28697</v>
      </c>
      <c r="B7085" t="s">
        <v>28698</v>
      </c>
      <c r="D7085" t="s">
        <v>9473</v>
      </c>
      <c r="E7085" t="s">
        <v>9474</v>
      </c>
      <c r="H7085" t="s">
        <v>28699</v>
      </c>
      <c r="J7085" t="s">
        <v>497</v>
      </c>
      <c r="K7085" t="s">
        <v>498</v>
      </c>
      <c r="L7085">
        <v>2</v>
      </c>
      <c r="M7085" t="s">
        <v>28700</v>
      </c>
      <c r="N7085" t="s">
        <v>685</v>
      </c>
      <c r="O7085" t="s">
        <v>9477</v>
      </c>
      <c r="P7085" t="s">
        <v>9477</v>
      </c>
      <c r="Y7085" t="s">
        <v>28699</v>
      </c>
    </row>
    <row r="7086" spans="1:25">
      <c r="A7086" t="s">
        <v>28701</v>
      </c>
      <c r="B7086" t="s">
        <v>28702</v>
      </c>
      <c r="D7086" t="s">
        <v>9473</v>
      </c>
      <c r="E7086" t="s">
        <v>9474</v>
      </c>
      <c r="J7086" t="s">
        <v>497</v>
      </c>
      <c r="K7086" t="s">
        <v>498</v>
      </c>
      <c r="L7086">
        <v>2</v>
      </c>
      <c r="M7086" t="s">
        <v>28703</v>
      </c>
      <c r="N7086" t="s">
        <v>27094</v>
      </c>
      <c r="O7086" t="s">
        <v>9477</v>
      </c>
      <c r="P7086" t="s">
        <v>9477</v>
      </c>
      <c r="Y7086" t="s">
        <v>28704</v>
      </c>
    </row>
    <row r="7087" spans="1:25">
      <c r="A7087" t="s">
        <v>28705</v>
      </c>
      <c r="B7087" t="s">
        <v>28706</v>
      </c>
      <c r="D7087" t="s">
        <v>9473</v>
      </c>
      <c r="E7087" t="s">
        <v>9474</v>
      </c>
      <c r="J7087" t="s">
        <v>9759</v>
      </c>
      <c r="K7087" t="s">
        <v>9760</v>
      </c>
      <c r="L7087">
        <v>3</v>
      </c>
      <c r="M7087" t="s">
        <v>28703</v>
      </c>
      <c r="N7087" t="s">
        <v>47</v>
      </c>
      <c r="O7087" t="s">
        <v>9477</v>
      </c>
      <c r="P7087" t="s">
        <v>9477</v>
      </c>
      <c r="Y7087" t="s">
        <v>28707</v>
      </c>
    </row>
    <row r="7088" spans="1:25">
      <c r="A7088" t="s">
        <v>28708</v>
      </c>
      <c r="B7088" t="s">
        <v>28709</v>
      </c>
      <c r="D7088" t="s">
        <v>9473</v>
      </c>
      <c r="E7088" t="s">
        <v>9474</v>
      </c>
      <c r="J7088" t="s">
        <v>9719</v>
      </c>
      <c r="K7088" t="s">
        <v>9720</v>
      </c>
      <c r="L7088">
        <v>2</v>
      </c>
      <c r="M7088" t="s">
        <v>28710</v>
      </c>
      <c r="N7088" t="s">
        <v>27098</v>
      </c>
      <c r="O7088" t="s">
        <v>9477</v>
      </c>
      <c r="P7088" t="s">
        <v>9477</v>
      </c>
      <c r="Y7088" t="s">
        <v>28711</v>
      </c>
    </row>
    <row r="7089" spans="1:25">
      <c r="A7089" t="s">
        <v>28712</v>
      </c>
      <c r="B7089" t="s">
        <v>28713</v>
      </c>
      <c r="D7089" t="s">
        <v>9473</v>
      </c>
      <c r="E7089" t="s">
        <v>9474</v>
      </c>
      <c r="J7089" t="s">
        <v>927</v>
      </c>
      <c r="K7089" t="s">
        <v>928</v>
      </c>
      <c r="L7089">
        <v>2</v>
      </c>
      <c r="M7089" t="s">
        <v>28714</v>
      </c>
      <c r="N7089" t="s">
        <v>27094</v>
      </c>
      <c r="O7089" t="s">
        <v>9477</v>
      </c>
      <c r="P7089" t="s">
        <v>9477</v>
      </c>
      <c r="Y7089" t="s">
        <v>28715</v>
      </c>
    </row>
    <row r="7090" spans="1:25">
      <c r="A7090" t="s">
        <v>28716</v>
      </c>
      <c r="B7090" t="s">
        <v>28717</v>
      </c>
      <c r="D7090" t="s">
        <v>9473</v>
      </c>
      <c r="E7090" t="s">
        <v>9474</v>
      </c>
      <c r="H7090" t="s">
        <v>28718</v>
      </c>
      <c r="J7090" t="s">
        <v>927</v>
      </c>
      <c r="K7090" t="s">
        <v>928</v>
      </c>
      <c r="L7090">
        <v>2</v>
      </c>
      <c r="M7090" t="s">
        <v>28719</v>
      </c>
      <c r="N7090" t="s">
        <v>27094</v>
      </c>
      <c r="O7090" t="s">
        <v>9477</v>
      </c>
      <c r="P7090" t="s">
        <v>9477</v>
      </c>
      <c r="Y7090" t="s">
        <v>28718</v>
      </c>
    </row>
    <row r="7091" spans="1:25">
      <c r="A7091" t="s">
        <v>28720</v>
      </c>
      <c r="B7091" t="s">
        <v>28721</v>
      </c>
      <c r="D7091" t="s">
        <v>9473</v>
      </c>
      <c r="E7091" t="s">
        <v>9474</v>
      </c>
      <c r="H7091" t="s">
        <v>28722</v>
      </c>
      <c r="J7091" t="s">
        <v>497</v>
      </c>
      <c r="K7091" t="s">
        <v>498</v>
      </c>
      <c r="L7091">
        <v>2</v>
      </c>
      <c r="M7091" t="s">
        <v>28723</v>
      </c>
      <c r="N7091" t="s">
        <v>27074</v>
      </c>
      <c r="O7091" t="s">
        <v>9477</v>
      </c>
      <c r="P7091" t="s">
        <v>9477</v>
      </c>
      <c r="Y7091" t="s">
        <v>28722</v>
      </c>
    </row>
    <row r="7092" spans="1:25">
      <c r="A7092" t="s">
        <v>28724</v>
      </c>
      <c r="B7092" t="s">
        <v>28725</v>
      </c>
      <c r="D7092" t="s">
        <v>9473</v>
      </c>
      <c r="E7092" t="s">
        <v>9474</v>
      </c>
      <c r="J7092" t="s">
        <v>765</v>
      </c>
      <c r="K7092" t="s">
        <v>766</v>
      </c>
      <c r="L7092">
        <v>2</v>
      </c>
      <c r="M7092" t="s">
        <v>28726</v>
      </c>
      <c r="N7092" t="s">
        <v>27098</v>
      </c>
      <c r="O7092" t="s">
        <v>9477</v>
      </c>
      <c r="P7092" t="s">
        <v>9477</v>
      </c>
      <c r="Y7092" t="s">
        <v>28727</v>
      </c>
    </row>
    <row r="7093" spans="1:25">
      <c r="A7093" t="s">
        <v>28728</v>
      </c>
      <c r="B7093" t="s">
        <v>28729</v>
      </c>
      <c r="D7093" t="s">
        <v>9473</v>
      </c>
      <c r="E7093" t="s">
        <v>9474</v>
      </c>
      <c r="H7093" t="s">
        <v>28730</v>
      </c>
      <c r="J7093" t="s">
        <v>765</v>
      </c>
      <c r="K7093" t="s">
        <v>766</v>
      </c>
      <c r="L7093">
        <v>2</v>
      </c>
      <c r="M7093" t="s">
        <v>28731</v>
      </c>
      <c r="N7093" t="s">
        <v>27094</v>
      </c>
      <c r="O7093" t="s">
        <v>9477</v>
      </c>
      <c r="P7093" t="s">
        <v>9477</v>
      </c>
      <c r="Y7093" t="s">
        <v>28730</v>
      </c>
    </row>
    <row r="7094" spans="1:25">
      <c r="A7094" t="s">
        <v>28732</v>
      </c>
      <c r="B7094" t="s">
        <v>28733</v>
      </c>
      <c r="D7094" t="s">
        <v>9473</v>
      </c>
      <c r="E7094" t="s">
        <v>9474</v>
      </c>
      <c r="H7094" t="s">
        <v>28734</v>
      </c>
      <c r="J7094" t="s">
        <v>765</v>
      </c>
      <c r="K7094" t="s">
        <v>766</v>
      </c>
      <c r="L7094">
        <v>2</v>
      </c>
      <c r="M7094" t="s">
        <v>28735</v>
      </c>
      <c r="N7094" t="s">
        <v>27098</v>
      </c>
      <c r="O7094" t="s">
        <v>9477</v>
      </c>
      <c r="P7094" t="s">
        <v>9477</v>
      </c>
      <c r="Y7094" t="s">
        <v>28734</v>
      </c>
    </row>
    <row r="7095" spans="1:25">
      <c r="A7095" t="s">
        <v>28736</v>
      </c>
      <c r="B7095" t="s">
        <v>28737</v>
      </c>
      <c r="D7095" t="s">
        <v>9473</v>
      </c>
      <c r="E7095" t="s">
        <v>9474</v>
      </c>
      <c r="J7095" t="s">
        <v>927</v>
      </c>
      <c r="K7095" t="s">
        <v>928</v>
      </c>
      <c r="L7095">
        <v>2</v>
      </c>
      <c r="M7095" t="s">
        <v>28738</v>
      </c>
      <c r="N7095" t="s">
        <v>27074</v>
      </c>
      <c r="O7095" t="s">
        <v>9477</v>
      </c>
      <c r="P7095" t="s">
        <v>9477</v>
      </c>
      <c r="Y7095" t="s">
        <v>28739</v>
      </c>
    </row>
    <row r="7096" spans="1:25">
      <c r="A7096" t="s">
        <v>28740</v>
      </c>
      <c r="B7096" t="s">
        <v>28741</v>
      </c>
      <c r="D7096" t="s">
        <v>9473</v>
      </c>
      <c r="E7096" t="s">
        <v>9474</v>
      </c>
      <c r="J7096" t="s">
        <v>497</v>
      </c>
      <c r="K7096" t="s">
        <v>498</v>
      </c>
      <c r="L7096">
        <v>3</v>
      </c>
      <c r="M7096" t="s">
        <v>28742</v>
      </c>
      <c r="N7096" t="s">
        <v>685</v>
      </c>
      <c r="O7096" t="s">
        <v>9477</v>
      </c>
      <c r="P7096" t="s">
        <v>9477</v>
      </c>
      <c r="Y7096" t="s">
        <v>28743</v>
      </c>
    </row>
    <row r="7097" spans="1:25">
      <c r="A7097" t="s">
        <v>28744</v>
      </c>
      <c r="B7097" t="s">
        <v>28745</v>
      </c>
      <c r="D7097" t="s">
        <v>9473</v>
      </c>
      <c r="E7097" t="s">
        <v>9474</v>
      </c>
      <c r="J7097" t="s">
        <v>497</v>
      </c>
      <c r="K7097" t="s">
        <v>498</v>
      </c>
      <c r="L7097">
        <v>2</v>
      </c>
      <c r="M7097" t="s">
        <v>28746</v>
      </c>
      <c r="N7097" t="s">
        <v>27115</v>
      </c>
      <c r="O7097" t="s">
        <v>9477</v>
      </c>
      <c r="P7097" t="s">
        <v>9477</v>
      </c>
      <c r="Y7097" t="s">
        <v>28747</v>
      </c>
    </row>
    <row r="7098" spans="1:25">
      <c r="A7098" t="s">
        <v>28748</v>
      </c>
      <c r="B7098" t="s">
        <v>28749</v>
      </c>
      <c r="D7098" t="s">
        <v>9473</v>
      </c>
      <c r="E7098" t="s">
        <v>9474</v>
      </c>
      <c r="H7098" t="s">
        <v>28750</v>
      </c>
      <c r="J7098" t="s">
        <v>765</v>
      </c>
      <c r="K7098" t="s">
        <v>766</v>
      </c>
      <c r="L7098">
        <v>3</v>
      </c>
      <c r="M7098" t="s">
        <v>28751</v>
      </c>
      <c r="N7098" t="s">
        <v>27094</v>
      </c>
      <c r="O7098" t="s">
        <v>9477</v>
      </c>
      <c r="P7098" t="s">
        <v>9477</v>
      </c>
      <c r="Y7098" t="s">
        <v>28750</v>
      </c>
    </row>
    <row r="7099" spans="1:25">
      <c r="A7099" t="s">
        <v>28752</v>
      </c>
      <c r="B7099" t="s">
        <v>28753</v>
      </c>
      <c r="D7099" t="s">
        <v>9473</v>
      </c>
      <c r="E7099" t="s">
        <v>9474</v>
      </c>
      <c r="H7099" t="s">
        <v>28754</v>
      </c>
      <c r="J7099" t="s">
        <v>765</v>
      </c>
      <c r="K7099" t="s">
        <v>766</v>
      </c>
      <c r="L7099">
        <v>2</v>
      </c>
      <c r="M7099" t="s">
        <v>28755</v>
      </c>
      <c r="N7099" t="s">
        <v>685</v>
      </c>
      <c r="O7099" t="s">
        <v>9477</v>
      </c>
      <c r="P7099" t="s">
        <v>9477</v>
      </c>
      <c r="Y7099" t="s">
        <v>28754</v>
      </c>
    </row>
    <row r="7100" spans="1:25">
      <c r="A7100" t="s">
        <v>28756</v>
      </c>
      <c r="B7100" t="s">
        <v>28757</v>
      </c>
      <c r="D7100" t="s">
        <v>9473</v>
      </c>
      <c r="E7100" t="s">
        <v>9474</v>
      </c>
      <c r="J7100" t="s">
        <v>27091</v>
      </c>
      <c r="K7100" t="s">
        <v>27092</v>
      </c>
      <c r="L7100">
        <v>2</v>
      </c>
      <c r="M7100" t="s">
        <v>28758</v>
      </c>
      <c r="N7100" t="s">
        <v>27094</v>
      </c>
      <c r="O7100" t="s">
        <v>9477</v>
      </c>
      <c r="P7100" t="s">
        <v>9477</v>
      </c>
      <c r="Y7100" t="s">
        <v>28759</v>
      </c>
    </row>
    <row r="7101" spans="1:25">
      <c r="A7101" t="s">
        <v>28760</v>
      </c>
      <c r="B7101" t="s">
        <v>28761</v>
      </c>
      <c r="D7101" t="s">
        <v>9473</v>
      </c>
      <c r="E7101" t="s">
        <v>9474</v>
      </c>
      <c r="J7101" t="s">
        <v>497</v>
      </c>
      <c r="K7101" t="s">
        <v>498</v>
      </c>
      <c r="L7101">
        <v>2</v>
      </c>
      <c r="M7101" t="s">
        <v>28762</v>
      </c>
      <c r="N7101" t="s">
        <v>685</v>
      </c>
      <c r="O7101" t="s">
        <v>9477</v>
      </c>
      <c r="P7101" t="s">
        <v>9477</v>
      </c>
      <c r="Y7101" t="s">
        <v>28763</v>
      </c>
    </row>
    <row r="7102" spans="1:25">
      <c r="A7102" t="s">
        <v>28764</v>
      </c>
      <c r="B7102" t="s">
        <v>28765</v>
      </c>
      <c r="D7102" t="s">
        <v>9473</v>
      </c>
      <c r="E7102" t="s">
        <v>9474</v>
      </c>
      <c r="J7102" t="s">
        <v>5964</v>
      </c>
      <c r="K7102" t="s">
        <v>5965</v>
      </c>
      <c r="L7102">
        <v>2</v>
      </c>
      <c r="M7102" t="s">
        <v>28766</v>
      </c>
      <c r="N7102" t="s">
        <v>685</v>
      </c>
      <c r="O7102" t="s">
        <v>9477</v>
      </c>
      <c r="P7102" t="s">
        <v>9477</v>
      </c>
      <c r="Y7102" t="s">
        <v>28767</v>
      </c>
    </row>
    <row r="7103" spans="1:25">
      <c r="A7103" t="s">
        <v>28768</v>
      </c>
      <c r="B7103" t="s">
        <v>28769</v>
      </c>
      <c r="D7103" t="s">
        <v>9473</v>
      </c>
      <c r="E7103" t="s">
        <v>9474</v>
      </c>
      <c r="J7103" t="s">
        <v>497</v>
      </c>
      <c r="K7103" t="s">
        <v>498</v>
      </c>
      <c r="L7103">
        <v>2</v>
      </c>
      <c r="M7103" t="s">
        <v>28766</v>
      </c>
      <c r="N7103" t="s">
        <v>27094</v>
      </c>
      <c r="O7103" t="s">
        <v>9477</v>
      </c>
      <c r="P7103" t="s">
        <v>9477</v>
      </c>
      <c r="Y7103" t="s">
        <v>28770</v>
      </c>
    </row>
    <row r="7104" spans="1:25">
      <c r="A7104" t="s">
        <v>28771</v>
      </c>
      <c r="B7104" t="s">
        <v>28772</v>
      </c>
      <c r="D7104" t="s">
        <v>9473</v>
      </c>
      <c r="E7104" t="s">
        <v>9474</v>
      </c>
      <c r="J7104" t="s">
        <v>927</v>
      </c>
      <c r="K7104" t="s">
        <v>928</v>
      </c>
      <c r="L7104">
        <v>3</v>
      </c>
      <c r="M7104" t="s">
        <v>28773</v>
      </c>
      <c r="N7104" t="s">
        <v>27115</v>
      </c>
      <c r="O7104" t="s">
        <v>9477</v>
      </c>
      <c r="P7104" t="s">
        <v>9477</v>
      </c>
      <c r="Y7104" t="s">
        <v>28774</v>
      </c>
    </row>
    <row r="7105" spans="1:25">
      <c r="A7105" t="s">
        <v>28775</v>
      </c>
      <c r="B7105" t="s">
        <v>28776</v>
      </c>
      <c r="D7105" t="s">
        <v>9473</v>
      </c>
      <c r="E7105" t="s">
        <v>9474</v>
      </c>
      <c r="J7105" t="s">
        <v>9759</v>
      </c>
      <c r="K7105" t="s">
        <v>9760</v>
      </c>
      <c r="L7105">
        <v>3</v>
      </c>
      <c r="M7105" t="s">
        <v>28777</v>
      </c>
      <c r="N7105" t="s">
        <v>27094</v>
      </c>
      <c r="O7105" t="s">
        <v>9477</v>
      </c>
      <c r="P7105" t="s">
        <v>9477</v>
      </c>
      <c r="Y7105" t="s">
        <v>28778</v>
      </c>
    </row>
    <row r="7106" spans="1:25">
      <c r="A7106" t="s">
        <v>28779</v>
      </c>
      <c r="B7106" t="s">
        <v>28780</v>
      </c>
      <c r="D7106" t="s">
        <v>9473</v>
      </c>
      <c r="E7106" t="s">
        <v>9474</v>
      </c>
      <c r="J7106" t="s">
        <v>497</v>
      </c>
      <c r="K7106" t="s">
        <v>498</v>
      </c>
      <c r="L7106">
        <v>2</v>
      </c>
      <c r="M7106" t="s">
        <v>28781</v>
      </c>
      <c r="N7106" t="s">
        <v>27098</v>
      </c>
      <c r="O7106" t="s">
        <v>9477</v>
      </c>
      <c r="P7106" t="s">
        <v>9477</v>
      </c>
      <c r="Y7106" t="s">
        <v>28782</v>
      </c>
    </row>
    <row r="7107" spans="1:25">
      <c r="A7107" t="s">
        <v>28783</v>
      </c>
      <c r="B7107" t="s">
        <v>28784</v>
      </c>
      <c r="D7107" t="s">
        <v>9473</v>
      </c>
      <c r="E7107" t="s">
        <v>9474</v>
      </c>
      <c r="H7107" t="s">
        <v>28785</v>
      </c>
      <c r="J7107" t="s">
        <v>27091</v>
      </c>
      <c r="K7107" t="s">
        <v>27092</v>
      </c>
      <c r="L7107">
        <v>2</v>
      </c>
      <c r="M7107" t="s">
        <v>28786</v>
      </c>
      <c r="N7107" t="s">
        <v>27094</v>
      </c>
      <c r="O7107" t="s">
        <v>9477</v>
      </c>
      <c r="P7107" t="s">
        <v>9477</v>
      </c>
      <c r="Y7107" t="s">
        <v>28785</v>
      </c>
    </row>
    <row r="7108" spans="1:25">
      <c r="A7108" t="s">
        <v>28787</v>
      </c>
      <c r="B7108" t="s">
        <v>28788</v>
      </c>
      <c r="D7108" t="s">
        <v>9473</v>
      </c>
      <c r="E7108" t="s">
        <v>9474</v>
      </c>
      <c r="H7108" t="s">
        <v>28789</v>
      </c>
      <c r="J7108" t="s">
        <v>927</v>
      </c>
      <c r="K7108" t="s">
        <v>928</v>
      </c>
      <c r="L7108">
        <v>3</v>
      </c>
      <c r="M7108" t="s">
        <v>28790</v>
      </c>
      <c r="N7108" t="s">
        <v>27115</v>
      </c>
      <c r="O7108" t="s">
        <v>9477</v>
      </c>
      <c r="P7108" t="s">
        <v>9477</v>
      </c>
      <c r="Y7108" t="s">
        <v>28789</v>
      </c>
    </row>
    <row r="7109" spans="1:25">
      <c r="A7109" t="s">
        <v>28791</v>
      </c>
      <c r="B7109" t="s">
        <v>28792</v>
      </c>
      <c r="D7109" t="s">
        <v>9473</v>
      </c>
      <c r="E7109" t="s">
        <v>9474</v>
      </c>
      <c r="J7109" t="s">
        <v>497</v>
      </c>
      <c r="K7109" t="s">
        <v>498</v>
      </c>
      <c r="L7109">
        <v>2</v>
      </c>
      <c r="M7109" t="s">
        <v>28793</v>
      </c>
      <c r="N7109" t="s">
        <v>27098</v>
      </c>
      <c r="O7109" t="s">
        <v>9477</v>
      </c>
      <c r="P7109" t="s">
        <v>9477</v>
      </c>
      <c r="Y7109" t="s">
        <v>28794</v>
      </c>
    </row>
    <row r="7110" spans="1:25">
      <c r="A7110" t="s">
        <v>28795</v>
      </c>
      <c r="B7110" t="s">
        <v>28796</v>
      </c>
      <c r="D7110" t="s">
        <v>9473</v>
      </c>
      <c r="E7110" t="s">
        <v>9474</v>
      </c>
      <c r="J7110" t="s">
        <v>765</v>
      </c>
      <c r="K7110" t="s">
        <v>766</v>
      </c>
      <c r="L7110">
        <v>2</v>
      </c>
      <c r="M7110" t="s">
        <v>28797</v>
      </c>
      <c r="N7110" t="s">
        <v>27094</v>
      </c>
      <c r="O7110" t="s">
        <v>9477</v>
      </c>
      <c r="P7110" t="s">
        <v>9477</v>
      </c>
      <c r="Y7110" t="s">
        <v>28798</v>
      </c>
    </row>
    <row r="7111" spans="1:25">
      <c r="A7111" t="s">
        <v>28799</v>
      </c>
      <c r="B7111" t="s">
        <v>28800</v>
      </c>
      <c r="D7111" t="s">
        <v>9473</v>
      </c>
      <c r="E7111" t="s">
        <v>9474</v>
      </c>
      <c r="H7111" t="s">
        <v>28801</v>
      </c>
      <c r="J7111" t="s">
        <v>765</v>
      </c>
      <c r="K7111" t="s">
        <v>766</v>
      </c>
      <c r="L7111">
        <v>2</v>
      </c>
      <c r="M7111" t="s">
        <v>28802</v>
      </c>
      <c r="N7111" t="s">
        <v>27098</v>
      </c>
      <c r="O7111" t="s">
        <v>9477</v>
      </c>
      <c r="P7111" t="s">
        <v>9477</v>
      </c>
      <c r="Y7111" t="s">
        <v>28801</v>
      </c>
    </row>
    <row r="7112" spans="1:25">
      <c r="A7112" t="s">
        <v>28803</v>
      </c>
      <c r="B7112" t="s">
        <v>28804</v>
      </c>
      <c r="D7112" t="s">
        <v>9473</v>
      </c>
      <c r="E7112" t="s">
        <v>9474</v>
      </c>
      <c r="J7112" t="s">
        <v>9759</v>
      </c>
      <c r="K7112" t="s">
        <v>9760</v>
      </c>
      <c r="L7112">
        <v>3</v>
      </c>
      <c r="M7112" t="s">
        <v>28805</v>
      </c>
      <c r="N7112" t="s">
        <v>47</v>
      </c>
      <c r="O7112" t="s">
        <v>9477</v>
      </c>
      <c r="P7112" t="s">
        <v>9477</v>
      </c>
      <c r="Y7112" t="s">
        <v>28806</v>
      </c>
    </row>
    <row r="7113" spans="1:25">
      <c r="A7113" t="s">
        <v>28807</v>
      </c>
      <c r="B7113" t="s">
        <v>28808</v>
      </c>
      <c r="D7113" t="s">
        <v>9473</v>
      </c>
      <c r="E7113" t="s">
        <v>9474</v>
      </c>
      <c r="J7113" t="s">
        <v>2328</v>
      </c>
      <c r="K7113" t="s">
        <v>2329</v>
      </c>
      <c r="L7113">
        <v>3</v>
      </c>
      <c r="M7113" t="s">
        <v>28809</v>
      </c>
      <c r="N7113" t="s">
        <v>27152</v>
      </c>
      <c r="O7113" t="s">
        <v>9477</v>
      </c>
      <c r="P7113" t="s">
        <v>9477</v>
      </c>
      <c r="Y7113" t="s">
        <v>28810</v>
      </c>
    </row>
    <row r="7114" spans="1:25">
      <c r="A7114" t="s">
        <v>28811</v>
      </c>
      <c r="B7114" t="s">
        <v>28812</v>
      </c>
      <c r="D7114" t="s">
        <v>9473</v>
      </c>
      <c r="E7114" t="s">
        <v>9474</v>
      </c>
      <c r="J7114" t="s">
        <v>27091</v>
      </c>
      <c r="K7114" t="s">
        <v>27092</v>
      </c>
      <c r="L7114">
        <v>2</v>
      </c>
      <c r="M7114" t="s">
        <v>28813</v>
      </c>
      <c r="N7114" t="s">
        <v>27094</v>
      </c>
      <c r="O7114" t="s">
        <v>9477</v>
      </c>
      <c r="P7114" t="s">
        <v>9477</v>
      </c>
      <c r="Y7114" t="s">
        <v>28814</v>
      </c>
    </row>
    <row r="7115" spans="1:25">
      <c r="A7115" t="s">
        <v>28815</v>
      </c>
      <c r="B7115" t="s">
        <v>28816</v>
      </c>
      <c r="D7115" t="s">
        <v>9473</v>
      </c>
      <c r="E7115" t="s">
        <v>9474</v>
      </c>
      <c r="H7115" t="s">
        <v>28817</v>
      </c>
      <c r="J7115" t="s">
        <v>27091</v>
      </c>
      <c r="K7115" t="s">
        <v>27092</v>
      </c>
      <c r="L7115">
        <v>4</v>
      </c>
      <c r="M7115" t="s">
        <v>28818</v>
      </c>
      <c r="N7115" t="s">
        <v>27094</v>
      </c>
      <c r="O7115" t="s">
        <v>9477</v>
      </c>
      <c r="P7115" t="s">
        <v>9477</v>
      </c>
      <c r="Y7115" t="s">
        <v>28817</v>
      </c>
    </row>
    <row r="7116" spans="1:25">
      <c r="A7116" t="s">
        <v>28819</v>
      </c>
      <c r="B7116" t="s">
        <v>28820</v>
      </c>
      <c r="D7116" t="s">
        <v>9473</v>
      </c>
      <c r="E7116" t="s">
        <v>9474</v>
      </c>
      <c r="J7116" t="s">
        <v>497</v>
      </c>
      <c r="K7116" t="s">
        <v>498</v>
      </c>
      <c r="L7116">
        <v>2</v>
      </c>
      <c r="M7116" t="s">
        <v>28821</v>
      </c>
      <c r="N7116" t="s">
        <v>685</v>
      </c>
      <c r="O7116" t="s">
        <v>9477</v>
      </c>
      <c r="P7116" t="s">
        <v>9477</v>
      </c>
      <c r="Y7116" t="s">
        <v>28822</v>
      </c>
    </row>
    <row r="7117" spans="1:25">
      <c r="A7117" t="s">
        <v>28823</v>
      </c>
      <c r="B7117" t="s">
        <v>28824</v>
      </c>
      <c r="D7117" t="s">
        <v>9473</v>
      </c>
      <c r="E7117" t="s">
        <v>9474</v>
      </c>
      <c r="J7117" t="s">
        <v>497</v>
      </c>
      <c r="K7117" t="s">
        <v>498</v>
      </c>
      <c r="L7117">
        <v>2</v>
      </c>
      <c r="M7117" t="s">
        <v>28825</v>
      </c>
      <c r="N7117" t="s">
        <v>135</v>
      </c>
      <c r="O7117" t="s">
        <v>9477</v>
      </c>
      <c r="P7117" t="s">
        <v>9477</v>
      </c>
      <c r="Y7117" t="s">
        <v>28826</v>
      </c>
    </row>
    <row r="7118" spans="1:25">
      <c r="A7118" t="s">
        <v>28827</v>
      </c>
      <c r="B7118" t="s">
        <v>28828</v>
      </c>
      <c r="D7118" t="s">
        <v>9473</v>
      </c>
      <c r="E7118" t="s">
        <v>9474</v>
      </c>
      <c r="J7118" t="s">
        <v>765</v>
      </c>
      <c r="K7118" t="s">
        <v>766</v>
      </c>
      <c r="L7118">
        <v>3</v>
      </c>
      <c r="M7118" t="s">
        <v>28829</v>
      </c>
      <c r="N7118" t="s">
        <v>27098</v>
      </c>
      <c r="O7118" t="s">
        <v>9477</v>
      </c>
      <c r="P7118" t="s">
        <v>9477</v>
      </c>
      <c r="Y7118" t="s">
        <v>28830</v>
      </c>
    </row>
    <row r="7119" spans="1:25">
      <c r="A7119" t="s">
        <v>28831</v>
      </c>
      <c r="B7119" t="s">
        <v>28832</v>
      </c>
      <c r="D7119" t="s">
        <v>9473</v>
      </c>
      <c r="E7119" t="s">
        <v>9474</v>
      </c>
      <c r="J7119" t="s">
        <v>9759</v>
      </c>
      <c r="K7119" t="s">
        <v>9760</v>
      </c>
      <c r="L7119">
        <v>3</v>
      </c>
      <c r="M7119" t="s">
        <v>28833</v>
      </c>
      <c r="N7119" t="s">
        <v>47</v>
      </c>
      <c r="O7119" t="s">
        <v>9477</v>
      </c>
      <c r="P7119" t="s">
        <v>9477</v>
      </c>
      <c r="Y7119" t="s">
        <v>28834</v>
      </c>
    </row>
    <row r="7120" spans="1:25">
      <c r="A7120" t="s">
        <v>28835</v>
      </c>
      <c r="B7120" t="s">
        <v>28836</v>
      </c>
      <c r="D7120" t="s">
        <v>9473</v>
      </c>
      <c r="E7120" t="s">
        <v>9474</v>
      </c>
      <c r="J7120" t="s">
        <v>9719</v>
      </c>
      <c r="K7120" t="s">
        <v>9720</v>
      </c>
      <c r="L7120">
        <v>2</v>
      </c>
      <c r="M7120" t="s">
        <v>28837</v>
      </c>
      <c r="N7120" t="s">
        <v>27115</v>
      </c>
      <c r="O7120" t="s">
        <v>9477</v>
      </c>
      <c r="P7120" t="s">
        <v>9477</v>
      </c>
      <c r="Y7120" t="s">
        <v>28838</v>
      </c>
    </row>
    <row r="7121" spans="1:25">
      <c r="A7121" t="s">
        <v>28839</v>
      </c>
      <c r="B7121" t="s">
        <v>28840</v>
      </c>
      <c r="D7121" t="s">
        <v>9473</v>
      </c>
      <c r="E7121" t="s">
        <v>9474</v>
      </c>
      <c r="J7121" t="s">
        <v>9759</v>
      </c>
      <c r="K7121" t="s">
        <v>9760</v>
      </c>
      <c r="L7121">
        <v>3</v>
      </c>
      <c r="M7121" t="s">
        <v>28841</v>
      </c>
      <c r="N7121" t="s">
        <v>47</v>
      </c>
      <c r="O7121" t="s">
        <v>9477</v>
      </c>
      <c r="P7121" t="s">
        <v>9477</v>
      </c>
      <c r="Y7121" t="s">
        <v>28842</v>
      </c>
    </row>
    <row r="7122" spans="1:25">
      <c r="A7122" t="s">
        <v>28843</v>
      </c>
      <c r="B7122" t="s">
        <v>28844</v>
      </c>
      <c r="D7122" t="s">
        <v>9473</v>
      </c>
      <c r="E7122" t="s">
        <v>9474</v>
      </c>
      <c r="H7122" t="s">
        <v>28845</v>
      </c>
      <c r="J7122" t="s">
        <v>27091</v>
      </c>
      <c r="K7122" t="s">
        <v>27092</v>
      </c>
      <c r="L7122">
        <v>2</v>
      </c>
      <c r="M7122" t="s">
        <v>28846</v>
      </c>
      <c r="N7122" t="s">
        <v>27094</v>
      </c>
      <c r="O7122" t="s">
        <v>9477</v>
      </c>
      <c r="P7122" t="s">
        <v>9477</v>
      </c>
      <c r="Y7122" t="s">
        <v>28845</v>
      </c>
    </row>
    <row r="7123" spans="1:25">
      <c r="A7123" t="s">
        <v>28847</v>
      </c>
      <c r="B7123" t="s">
        <v>28848</v>
      </c>
      <c r="D7123" t="s">
        <v>9473</v>
      </c>
      <c r="E7123" t="s">
        <v>9474</v>
      </c>
      <c r="H7123" t="s">
        <v>28849</v>
      </c>
      <c r="J7123" t="s">
        <v>927</v>
      </c>
      <c r="K7123" t="s">
        <v>928</v>
      </c>
      <c r="L7123">
        <v>2</v>
      </c>
      <c r="M7123" t="s">
        <v>28850</v>
      </c>
      <c r="N7123" t="s">
        <v>135</v>
      </c>
      <c r="O7123" t="s">
        <v>9477</v>
      </c>
      <c r="P7123" t="s">
        <v>9477</v>
      </c>
      <c r="Y7123" t="s">
        <v>28849</v>
      </c>
    </row>
    <row r="7124" spans="1:25">
      <c r="A7124" t="s">
        <v>28851</v>
      </c>
      <c r="B7124" t="s">
        <v>28852</v>
      </c>
      <c r="D7124" t="s">
        <v>9473</v>
      </c>
      <c r="E7124" t="s">
        <v>9474</v>
      </c>
      <c r="J7124" t="s">
        <v>497</v>
      </c>
      <c r="K7124" t="s">
        <v>498</v>
      </c>
      <c r="L7124">
        <v>2</v>
      </c>
      <c r="M7124" t="s">
        <v>28853</v>
      </c>
      <c r="N7124" t="s">
        <v>27074</v>
      </c>
      <c r="O7124" t="s">
        <v>9477</v>
      </c>
      <c r="P7124" t="s">
        <v>9477</v>
      </c>
      <c r="Y7124" t="s">
        <v>28854</v>
      </c>
    </row>
    <row r="7125" spans="1:25">
      <c r="A7125" t="s">
        <v>28855</v>
      </c>
      <c r="B7125" t="s">
        <v>28856</v>
      </c>
      <c r="D7125" t="s">
        <v>9473</v>
      </c>
      <c r="E7125" t="s">
        <v>9474</v>
      </c>
      <c r="H7125" t="s">
        <v>28857</v>
      </c>
      <c r="J7125" t="s">
        <v>765</v>
      </c>
      <c r="K7125" t="s">
        <v>766</v>
      </c>
      <c r="L7125">
        <v>2</v>
      </c>
      <c r="M7125" t="s">
        <v>28858</v>
      </c>
      <c r="N7125" t="s">
        <v>685</v>
      </c>
      <c r="O7125" t="s">
        <v>9477</v>
      </c>
      <c r="P7125" t="s">
        <v>9477</v>
      </c>
      <c r="Y7125" t="s">
        <v>28857</v>
      </c>
    </row>
    <row r="7126" spans="1:25">
      <c r="A7126" t="s">
        <v>28859</v>
      </c>
      <c r="B7126" t="s">
        <v>28860</v>
      </c>
      <c r="D7126" t="s">
        <v>9473</v>
      </c>
      <c r="E7126" t="s">
        <v>9474</v>
      </c>
      <c r="J7126" t="s">
        <v>765</v>
      </c>
      <c r="K7126" t="s">
        <v>766</v>
      </c>
      <c r="L7126">
        <v>2</v>
      </c>
      <c r="M7126" t="s">
        <v>28861</v>
      </c>
      <c r="N7126" t="s">
        <v>27094</v>
      </c>
      <c r="O7126" t="s">
        <v>9477</v>
      </c>
      <c r="P7126" t="s">
        <v>9477</v>
      </c>
      <c r="Y7126" t="s">
        <v>28862</v>
      </c>
    </row>
    <row r="7127" spans="1:25">
      <c r="A7127" t="s">
        <v>28863</v>
      </c>
      <c r="B7127" t="s">
        <v>28864</v>
      </c>
      <c r="D7127" t="s">
        <v>9473</v>
      </c>
      <c r="E7127" t="s">
        <v>9474</v>
      </c>
      <c r="H7127" t="s">
        <v>28865</v>
      </c>
      <c r="J7127" t="s">
        <v>390</v>
      </c>
      <c r="K7127" t="s">
        <v>390</v>
      </c>
      <c r="L7127">
        <v>2</v>
      </c>
      <c r="M7127" t="s">
        <v>28866</v>
      </c>
      <c r="N7127" t="s">
        <v>290</v>
      </c>
      <c r="O7127" t="s">
        <v>9477</v>
      </c>
      <c r="P7127" t="s">
        <v>9477</v>
      </c>
      <c r="Y7127" t="s">
        <v>28865</v>
      </c>
    </row>
    <row r="7128" spans="1:25">
      <c r="A7128" t="s">
        <v>28867</v>
      </c>
      <c r="B7128" t="s">
        <v>28868</v>
      </c>
      <c r="D7128" t="s">
        <v>9473</v>
      </c>
      <c r="E7128" t="s">
        <v>9474</v>
      </c>
      <c r="J7128" t="s">
        <v>5844</v>
      </c>
      <c r="K7128" t="s">
        <v>5845</v>
      </c>
      <c r="L7128">
        <v>2</v>
      </c>
      <c r="M7128" t="s">
        <v>28866</v>
      </c>
      <c r="N7128" t="s">
        <v>685</v>
      </c>
      <c r="O7128" t="s">
        <v>9477</v>
      </c>
      <c r="P7128" t="s">
        <v>9477</v>
      </c>
      <c r="Y7128" t="s">
        <v>28869</v>
      </c>
    </row>
    <row r="7129" spans="1:25">
      <c r="A7129" t="s">
        <v>28870</v>
      </c>
      <c r="B7129" t="s">
        <v>28871</v>
      </c>
      <c r="D7129" t="s">
        <v>9473</v>
      </c>
      <c r="E7129" t="s">
        <v>9474</v>
      </c>
      <c r="J7129" t="s">
        <v>497</v>
      </c>
      <c r="K7129" t="s">
        <v>498</v>
      </c>
      <c r="L7129">
        <v>2</v>
      </c>
      <c r="M7129" t="s">
        <v>28872</v>
      </c>
      <c r="N7129" t="s">
        <v>135</v>
      </c>
      <c r="O7129" t="s">
        <v>9477</v>
      </c>
      <c r="P7129" t="s">
        <v>9477</v>
      </c>
      <c r="Y7129" t="s">
        <v>28873</v>
      </c>
    </row>
    <row r="7130" spans="1:25">
      <c r="A7130" t="s">
        <v>28874</v>
      </c>
      <c r="B7130" t="s">
        <v>28875</v>
      </c>
      <c r="D7130" t="s">
        <v>9473</v>
      </c>
      <c r="E7130" t="s">
        <v>9474</v>
      </c>
      <c r="J7130" t="s">
        <v>27091</v>
      </c>
      <c r="K7130" t="s">
        <v>27092</v>
      </c>
      <c r="L7130">
        <v>2</v>
      </c>
      <c r="M7130" t="s">
        <v>28876</v>
      </c>
      <c r="N7130" t="s">
        <v>27094</v>
      </c>
      <c r="O7130" t="s">
        <v>9477</v>
      </c>
      <c r="P7130" t="s">
        <v>9477</v>
      </c>
      <c r="Y7130" t="s">
        <v>28877</v>
      </c>
    </row>
    <row r="7131" spans="1:25">
      <c r="A7131" t="s">
        <v>28878</v>
      </c>
      <c r="B7131" t="s">
        <v>28879</v>
      </c>
      <c r="D7131" t="s">
        <v>9473</v>
      </c>
      <c r="E7131" t="s">
        <v>9474</v>
      </c>
      <c r="J7131" t="s">
        <v>28880</v>
      </c>
      <c r="K7131" t="s">
        <v>28881</v>
      </c>
      <c r="L7131">
        <v>2</v>
      </c>
      <c r="M7131" t="s">
        <v>28882</v>
      </c>
      <c r="N7131" t="s">
        <v>290</v>
      </c>
      <c r="O7131" t="s">
        <v>9477</v>
      </c>
      <c r="P7131" t="s">
        <v>9477</v>
      </c>
      <c r="Y7131" t="s">
        <v>28883</v>
      </c>
    </row>
    <row r="7132" spans="1:25">
      <c r="A7132" t="s">
        <v>28884</v>
      </c>
      <c r="B7132" t="s">
        <v>28885</v>
      </c>
      <c r="D7132" t="s">
        <v>9473</v>
      </c>
      <c r="E7132" t="s">
        <v>9474</v>
      </c>
      <c r="J7132" t="s">
        <v>927</v>
      </c>
      <c r="K7132" t="s">
        <v>928</v>
      </c>
      <c r="L7132">
        <v>2</v>
      </c>
      <c r="M7132" t="s">
        <v>28886</v>
      </c>
      <c r="N7132" t="s">
        <v>135</v>
      </c>
      <c r="O7132" t="s">
        <v>9477</v>
      </c>
      <c r="P7132" t="s">
        <v>9477</v>
      </c>
      <c r="Y7132" t="s">
        <v>28887</v>
      </c>
    </row>
    <row r="7133" spans="1:25">
      <c r="A7133" t="s">
        <v>28888</v>
      </c>
      <c r="B7133" t="s">
        <v>28889</v>
      </c>
      <c r="D7133" t="s">
        <v>9473</v>
      </c>
      <c r="E7133" t="s">
        <v>9474</v>
      </c>
      <c r="J7133" t="s">
        <v>2328</v>
      </c>
      <c r="K7133" t="s">
        <v>2329</v>
      </c>
      <c r="L7133">
        <v>2</v>
      </c>
      <c r="M7133" t="s">
        <v>28890</v>
      </c>
      <c r="N7133" t="s">
        <v>27152</v>
      </c>
      <c r="O7133" t="s">
        <v>9477</v>
      </c>
      <c r="P7133" t="s">
        <v>9477</v>
      </c>
      <c r="Y7133" t="s">
        <v>28891</v>
      </c>
    </row>
    <row r="7134" spans="1:25">
      <c r="A7134" t="s">
        <v>28892</v>
      </c>
      <c r="B7134" t="s">
        <v>28893</v>
      </c>
      <c r="D7134" t="s">
        <v>9473</v>
      </c>
      <c r="E7134" t="s">
        <v>9474</v>
      </c>
      <c r="H7134" t="s">
        <v>28894</v>
      </c>
      <c r="J7134" t="s">
        <v>497</v>
      </c>
      <c r="K7134" t="s">
        <v>498</v>
      </c>
      <c r="L7134">
        <v>2</v>
      </c>
      <c r="M7134" t="s">
        <v>28895</v>
      </c>
      <c r="N7134" t="s">
        <v>27074</v>
      </c>
      <c r="O7134" t="s">
        <v>9477</v>
      </c>
      <c r="P7134" t="s">
        <v>9477</v>
      </c>
      <c r="Y7134" t="s">
        <v>28894</v>
      </c>
    </row>
    <row r="7135" spans="1:25">
      <c r="A7135" t="s">
        <v>28896</v>
      </c>
      <c r="B7135" t="s">
        <v>28897</v>
      </c>
      <c r="D7135" t="s">
        <v>9473</v>
      </c>
      <c r="E7135" t="s">
        <v>9474</v>
      </c>
      <c r="J7135" t="s">
        <v>927</v>
      </c>
      <c r="K7135" t="s">
        <v>928</v>
      </c>
      <c r="L7135">
        <v>2</v>
      </c>
      <c r="M7135" t="s">
        <v>28898</v>
      </c>
      <c r="N7135" t="s">
        <v>27094</v>
      </c>
      <c r="O7135" t="s">
        <v>9477</v>
      </c>
      <c r="P7135" t="s">
        <v>9477</v>
      </c>
      <c r="Y7135" t="s">
        <v>28899</v>
      </c>
    </row>
    <row r="7136" spans="1:25">
      <c r="A7136" t="s">
        <v>28900</v>
      </c>
      <c r="B7136" t="s">
        <v>28901</v>
      </c>
      <c r="D7136" t="s">
        <v>9473</v>
      </c>
      <c r="E7136" t="s">
        <v>9474</v>
      </c>
      <c r="H7136" t="s">
        <v>28902</v>
      </c>
      <c r="J7136" t="s">
        <v>497</v>
      </c>
      <c r="K7136" t="s">
        <v>498</v>
      </c>
      <c r="L7136">
        <v>2</v>
      </c>
      <c r="M7136" t="s">
        <v>28903</v>
      </c>
      <c r="N7136" t="s">
        <v>135</v>
      </c>
      <c r="O7136" t="s">
        <v>9477</v>
      </c>
      <c r="P7136" t="s">
        <v>9477</v>
      </c>
      <c r="Y7136" t="s">
        <v>28902</v>
      </c>
    </row>
    <row r="7137" spans="1:25">
      <c r="A7137" t="s">
        <v>28904</v>
      </c>
      <c r="B7137" t="s">
        <v>28905</v>
      </c>
      <c r="D7137" t="s">
        <v>9473</v>
      </c>
      <c r="E7137" t="s">
        <v>9474</v>
      </c>
      <c r="J7137" t="s">
        <v>765</v>
      </c>
      <c r="K7137" t="s">
        <v>766</v>
      </c>
      <c r="L7137">
        <v>2</v>
      </c>
      <c r="M7137" t="s">
        <v>28906</v>
      </c>
      <c r="N7137" t="s">
        <v>290</v>
      </c>
      <c r="O7137" t="s">
        <v>9477</v>
      </c>
      <c r="P7137" t="s">
        <v>9477</v>
      </c>
      <c r="Y7137" t="s">
        <v>28907</v>
      </c>
    </row>
    <row r="7138" spans="1:25">
      <c r="A7138" t="s">
        <v>28908</v>
      </c>
      <c r="B7138" t="s">
        <v>28909</v>
      </c>
      <c r="D7138" t="s">
        <v>9473</v>
      </c>
      <c r="E7138" t="s">
        <v>9474</v>
      </c>
      <c r="J7138" t="s">
        <v>5844</v>
      </c>
      <c r="K7138" t="s">
        <v>5845</v>
      </c>
      <c r="L7138">
        <v>2</v>
      </c>
      <c r="M7138" t="s">
        <v>28910</v>
      </c>
      <c r="N7138" t="s">
        <v>27074</v>
      </c>
      <c r="O7138" t="s">
        <v>9477</v>
      </c>
      <c r="P7138" t="s">
        <v>9477</v>
      </c>
      <c r="Y7138" t="s">
        <v>28911</v>
      </c>
    </row>
    <row r="7139" spans="1:25">
      <c r="A7139" t="s">
        <v>28912</v>
      </c>
      <c r="B7139" t="s">
        <v>28913</v>
      </c>
      <c r="D7139" t="s">
        <v>9473</v>
      </c>
      <c r="E7139" t="s">
        <v>9474</v>
      </c>
      <c r="J7139" t="s">
        <v>927</v>
      </c>
      <c r="K7139" t="s">
        <v>928</v>
      </c>
      <c r="L7139">
        <v>2</v>
      </c>
      <c r="M7139" t="s">
        <v>28914</v>
      </c>
      <c r="N7139" t="s">
        <v>135</v>
      </c>
      <c r="O7139" t="s">
        <v>9477</v>
      </c>
      <c r="P7139" t="s">
        <v>9477</v>
      </c>
      <c r="Y7139" t="s">
        <v>28915</v>
      </c>
    </row>
    <row r="7140" spans="1:25">
      <c r="A7140" t="s">
        <v>28916</v>
      </c>
      <c r="B7140" t="s">
        <v>28917</v>
      </c>
      <c r="D7140" t="s">
        <v>9473</v>
      </c>
      <c r="E7140" t="s">
        <v>9474</v>
      </c>
      <c r="J7140" t="s">
        <v>927</v>
      </c>
      <c r="K7140" t="s">
        <v>928</v>
      </c>
      <c r="L7140">
        <v>2</v>
      </c>
      <c r="M7140" t="s">
        <v>28918</v>
      </c>
      <c r="N7140" t="s">
        <v>27074</v>
      </c>
      <c r="O7140" t="s">
        <v>9477</v>
      </c>
      <c r="P7140" t="s">
        <v>9477</v>
      </c>
      <c r="Y7140" t="s">
        <v>28919</v>
      </c>
    </row>
    <row r="7141" spans="1:25">
      <c r="A7141" t="s">
        <v>28920</v>
      </c>
      <c r="B7141" t="s">
        <v>28921</v>
      </c>
      <c r="D7141" t="s">
        <v>9473</v>
      </c>
      <c r="E7141" t="s">
        <v>9474</v>
      </c>
      <c r="J7141" t="s">
        <v>765</v>
      </c>
      <c r="K7141" t="s">
        <v>766</v>
      </c>
      <c r="L7141">
        <v>2</v>
      </c>
      <c r="M7141" t="s">
        <v>28922</v>
      </c>
      <c r="N7141" t="s">
        <v>685</v>
      </c>
      <c r="O7141" t="s">
        <v>9477</v>
      </c>
      <c r="P7141" t="s">
        <v>9477</v>
      </c>
      <c r="Y7141" t="s">
        <v>28923</v>
      </c>
    </row>
    <row r="7142" spans="1:25">
      <c r="A7142" t="s">
        <v>28924</v>
      </c>
      <c r="B7142" t="s">
        <v>28925</v>
      </c>
      <c r="D7142" t="s">
        <v>9473</v>
      </c>
      <c r="E7142" t="s">
        <v>9474</v>
      </c>
      <c r="J7142" t="s">
        <v>9759</v>
      </c>
      <c r="K7142" t="s">
        <v>9760</v>
      </c>
      <c r="L7142">
        <v>3</v>
      </c>
      <c r="M7142" t="s">
        <v>28926</v>
      </c>
      <c r="N7142" t="s">
        <v>27074</v>
      </c>
      <c r="O7142" t="s">
        <v>9477</v>
      </c>
      <c r="P7142" t="s">
        <v>9477</v>
      </c>
      <c r="Y7142" t="s">
        <v>28927</v>
      </c>
    </row>
    <row r="7143" spans="1:25">
      <c r="A7143" t="s">
        <v>28928</v>
      </c>
      <c r="B7143" t="s">
        <v>28929</v>
      </c>
      <c r="D7143" t="s">
        <v>9473</v>
      </c>
      <c r="E7143" t="s">
        <v>9474</v>
      </c>
      <c r="H7143" t="s">
        <v>28930</v>
      </c>
      <c r="J7143" t="s">
        <v>9759</v>
      </c>
      <c r="K7143" t="s">
        <v>9760</v>
      </c>
      <c r="L7143">
        <v>3</v>
      </c>
      <c r="M7143" t="s">
        <v>28926</v>
      </c>
      <c r="N7143" t="s">
        <v>47</v>
      </c>
      <c r="O7143" t="s">
        <v>9477</v>
      </c>
      <c r="P7143" t="s">
        <v>9477</v>
      </c>
      <c r="Y7143" t="s">
        <v>28930</v>
      </c>
    </row>
    <row r="7144" spans="1:25">
      <c r="A7144" t="s">
        <v>28931</v>
      </c>
      <c r="B7144" t="s">
        <v>28932</v>
      </c>
      <c r="D7144" t="s">
        <v>9473</v>
      </c>
      <c r="E7144" t="s">
        <v>9474</v>
      </c>
      <c r="J7144" t="s">
        <v>5844</v>
      </c>
      <c r="K7144" t="s">
        <v>5845</v>
      </c>
      <c r="L7144">
        <v>2</v>
      </c>
      <c r="M7144" t="s">
        <v>28933</v>
      </c>
      <c r="N7144" t="s">
        <v>27094</v>
      </c>
      <c r="O7144" t="s">
        <v>9477</v>
      </c>
      <c r="P7144" t="s">
        <v>9477</v>
      </c>
      <c r="Y7144" t="s">
        <v>28934</v>
      </c>
    </row>
    <row r="7145" spans="1:25">
      <c r="A7145" t="s">
        <v>28935</v>
      </c>
      <c r="B7145" t="s">
        <v>28936</v>
      </c>
      <c r="D7145" t="s">
        <v>9473</v>
      </c>
      <c r="E7145" t="s">
        <v>9474</v>
      </c>
      <c r="H7145" t="s">
        <v>28937</v>
      </c>
      <c r="J7145" t="s">
        <v>927</v>
      </c>
      <c r="K7145" t="s">
        <v>928</v>
      </c>
      <c r="L7145">
        <v>2</v>
      </c>
      <c r="M7145" t="s">
        <v>28938</v>
      </c>
      <c r="N7145" t="s">
        <v>27115</v>
      </c>
      <c r="O7145" t="s">
        <v>9477</v>
      </c>
      <c r="P7145" t="s">
        <v>9477</v>
      </c>
      <c r="Y7145" t="s">
        <v>28937</v>
      </c>
    </row>
    <row r="7146" spans="1:25">
      <c r="A7146" t="s">
        <v>28939</v>
      </c>
      <c r="B7146" t="s">
        <v>28940</v>
      </c>
      <c r="D7146" t="s">
        <v>9473</v>
      </c>
      <c r="E7146" t="s">
        <v>9474</v>
      </c>
      <c r="J7146" t="s">
        <v>497</v>
      </c>
      <c r="K7146" t="s">
        <v>498</v>
      </c>
      <c r="L7146">
        <v>2</v>
      </c>
      <c r="M7146" t="s">
        <v>28941</v>
      </c>
      <c r="N7146" t="s">
        <v>685</v>
      </c>
      <c r="O7146" t="s">
        <v>9477</v>
      </c>
      <c r="P7146" t="s">
        <v>9477</v>
      </c>
      <c r="Y7146" t="s">
        <v>28942</v>
      </c>
    </row>
    <row r="7147" spans="1:25">
      <c r="A7147" t="s">
        <v>28943</v>
      </c>
      <c r="B7147" t="s">
        <v>28944</v>
      </c>
      <c r="D7147" t="s">
        <v>9473</v>
      </c>
      <c r="E7147" t="s">
        <v>9474</v>
      </c>
      <c r="H7147" t="s">
        <v>28945</v>
      </c>
      <c r="J7147" t="s">
        <v>5964</v>
      </c>
      <c r="K7147" t="s">
        <v>5965</v>
      </c>
      <c r="L7147">
        <v>2</v>
      </c>
      <c r="M7147" t="s">
        <v>28946</v>
      </c>
      <c r="N7147" t="s">
        <v>27098</v>
      </c>
      <c r="O7147" t="s">
        <v>9477</v>
      </c>
      <c r="P7147" t="s">
        <v>9477</v>
      </c>
      <c r="Y7147" t="s">
        <v>28945</v>
      </c>
    </row>
    <row r="7148" spans="1:25">
      <c r="A7148" t="s">
        <v>28947</v>
      </c>
      <c r="B7148" t="s">
        <v>28948</v>
      </c>
      <c r="D7148" t="s">
        <v>9473</v>
      </c>
      <c r="E7148" t="s">
        <v>9474</v>
      </c>
      <c r="H7148" t="s">
        <v>28949</v>
      </c>
      <c r="J7148" t="s">
        <v>5964</v>
      </c>
      <c r="K7148" t="s">
        <v>5965</v>
      </c>
      <c r="L7148">
        <v>2</v>
      </c>
      <c r="M7148" t="s">
        <v>28950</v>
      </c>
      <c r="N7148" t="s">
        <v>27094</v>
      </c>
      <c r="O7148" t="s">
        <v>9477</v>
      </c>
      <c r="P7148" t="s">
        <v>9477</v>
      </c>
      <c r="Y7148" t="s">
        <v>28949</v>
      </c>
    </row>
    <row r="7149" spans="1:25">
      <c r="A7149" t="s">
        <v>28951</v>
      </c>
      <c r="B7149" t="s">
        <v>28952</v>
      </c>
      <c r="D7149" t="s">
        <v>9473</v>
      </c>
      <c r="E7149" t="s">
        <v>9474</v>
      </c>
      <c r="J7149" t="s">
        <v>5844</v>
      </c>
      <c r="K7149" t="s">
        <v>5845</v>
      </c>
      <c r="L7149">
        <v>2</v>
      </c>
      <c r="M7149" t="s">
        <v>28953</v>
      </c>
      <c r="N7149" t="s">
        <v>27094</v>
      </c>
      <c r="O7149" t="s">
        <v>9477</v>
      </c>
      <c r="P7149" t="s">
        <v>9477</v>
      </c>
      <c r="Y7149" t="s">
        <v>28954</v>
      </c>
    </row>
    <row r="7150" spans="1:25">
      <c r="A7150" t="s">
        <v>28955</v>
      </c>
      <c r="B7150" t="s">
        <v>28956</v>
      </c>
      <c r="D7150" t="s">
        <v>9473</v>
      </c>
      <c r="E7150" t="s">
        <v>9474</v>
      </c>
      <c r="J7150" t="s">
        <v>25953</v>
      </c>
      <c r="K7150" t="s">
        <v>25954</v>
      </c>
      <c r="L7150">
        <v>2</v>
      </c>
      <c r="M7150" t="s">
        <v>28957</v>
      </c>
      <c r="N7150" t="s">
        <v>27152</v>
      </c>
      <c r="O7150" t="s">
        <v>9477</v>
      </c>
      <c r="P7150" t="s">
        <v>9477</v>
      </c>
      <c r="Y7150" t="s">
        <v>28958</v>
      </c>
    </row>
    <row r="7151" spans="1:25">
      <c r="A7151" t="s">
        <v>28959</v>
      </c>
      <c r="B7151" t="s">
        <v>28960</v>
      </c>
      <c r="D7151" t="s">
        <v>9473</v>
      </c>
      <c r="E7151" t="s">
        <v>9474</v>
      </c>
      <c r="H7151" t="s">
        <v>28961</v>
      </c>
      <c r="J7151" t="s">
        <v>390</v>
      </c>
      <c r="K7151" t="s">
        <v>390</v>
      </c>
      <c r="L7151">
        <v>2</v>
      </c>
      <c r="M7151" t="s">
        <v>28962</v>
      </c>
      <c r="N7151" t="s">
        <v>27094</v>
      </c>
      <c r="O7151" t="s">
        <v>9477</v>
      </c>
      <c r="P7151" t="s">
        <v>9477</v>
      </c>
      <c r="Y7151" t="s">
        <v>28961</v>
      </c>
    </row>
    <row r="7152" spans="1:25">
      <c r="A7152" t="s">
        <v>28963</v>
      </c>
      <c r="B7152" t="s">
        <v>28964</v>
      </c>
      <c r="D7152" t="s">
        <v>9473</v>
      </c>
      <c r="E7152" t="s">
        <v>9474</v>
      </c>
      <c r="J7152" t="s">
        <v>5964</v>
      </c>
      <c r="K7152" t="s">
        <v>5965</v>
      </c>
      <c r="L7152">
        <v>2</v>
      </c>
      <c r="M7152" t="s">
        <v>28965</v>
      </c>
      <c r="N7152" t="s">
        <v>27098</v>
      </c>
      <c r="O7152" t="s">
        <v>9477</v>
      </c>
      <c r="P7152" t="s">
        <v>9477</v>
      </c>
      <c r="Y7152" t="s">
        <v>28966</v>
      </c>
    </row>
    <row r="7153" spans="1:25">
      <c r="A7153" t="s">
        <v>28967</v>
      </c>
      <c r="B7153" t="s">
        <v>28968</v>
      </c>
      <c r="D7153" t="s">
        <v>9473</v>
      </c>
      <c r="E7153" t="s">
        <v>9474</v>
      </c>
      <c r="H7153" t="s">
        <v>28969</v>
      </c>
      <c r="J7153" t="s">
        <v>497</v>
      </c>
      <c r="K7153" t="s">
        <v>498</v>
      </c>
      <c r="L7153">
        <v>2</v>
      </c>
      <c r="M7153" t="s">
        <v>28970</v>
      </c>
      <c r="N7153" t="s">
        <v>685</v>
      </c>
      <c r="O7153" t="s">
        <v>9477</v>
      </c>
      <c r="P7153" t="s">
        <v>9477</v>
      </c>
      <c r="Y7153" t="s">
        <v>28969</v>
      </c>
    </row>
    <row r="7154" spans="1:25">
      <c r="A7154" t="s">
        <v>28971</v>
      </c>
      <c r="B7154" t="s">
        <v>28972</v>
      </c>
      <c r="D7154" t="s">
        <v>9473</v>
      </c>
      <c r="E7154" t="s">
        <v>9474</v>
      </c>
      <c r="H7154" t="s">
        <v>28973</v>
      </c>
      <c r="J7154" t="s">
        <v>927</v>
      </c>
      <c r="K7154" t="s">
        <v>928</v>
      </c>
      <c r="L7154">
        <v>2</v>
      </c>
      <c r="M7154" t="s">
        <v>28974</v>
      </c>
      <c r="N7154" t="s">
        <v>290</v>
      </c>
      <c r="O7154" t="s">
        <v>9477</v>
      </c>
      <c r="P7154" t="s">
        <v>9477</v>
      </c>
      <c r="Y7154" t="s">
        <v>28973</v>
      </c>
    </row>
    <row r="7155" spans="1:25">
      <c r="A7155" t="s">
        <v>28975</v>
      </c>
      <c r="B7155" t="s">
        <v>28976</v>
      </c>
      <c r="D7155" t="s">
        <v>9473</v>
      </c>
      <c r="E7155" t="s">
        <v>9474</v>
      </c>
      <c r="J7155" t="s">
        <v>765</v>
      </c>
      <c r="K7155" t="s">
        <v>766</v>
      </c>
      <c r="L7155">
        <v>2</v>
      </c>
      <c r="M7155" t="s">
        <v>28977</v>
      </c>
      <c r="N7155" t="s">
        <v>290</v>
      </c>
      <c r="O7155" t="s">
        <v>9477</v>
      </c>
      <c r="P7155" t="s">
        <v>9477</v>
      </c>
      <c r="Y7155" t="s">
        <v>28978</v>
      </c>
    </row>
    <row r="7156" spans="1:25">
      <c r="A7156" t="s">
        <v>28979</v>
      </c>
      <c r="B7156" t="s">
        <v>28980</v>
      </c>
      <c r="D7156" t="s">
        <v>9473</v>
      </c>
      <c r="E7156" t="s">
        <v>9474</v>
      </c>
      <c r="J7156" t="s">
        <v>765</v>
      </c>
      <c r="K7156" t="s">
        <v>766</v>
      </c>
      <c r="L7156">
        <v>2</v>
      </c>
      <c r="M7156" t="s">
        <v>28981</v>
      </c>
      <c r="N7156" t="s">
        <v>27094</v>
      </c>
      <c r="O7156" t="s">
        <v>9477</v>
      </c>
      <c r="P7156" t="s">
        <v>9477</v>
      </c>
      <c r="Y7156" t="s">
        <v>28982</v>
      </c>
    </row>
    <row r="7157" spans="1:25">
      <c r="A7157" t="s">
        <v>28983</v>
      </c>
      <c r="B7157" t="s">
        <v>28984</v>
      </c>
      <c r="D7157" t="s">
        <v>9473</v>
      </c>
      <c r="E7157" t="s">
        <v>9474</v>
      </c>
      <c r="J7157" t="s">
        <v>927</v>
      </c>
      <c r="K7157" t="s">
        <v>928</v>
      </c>
      <c r="L7157">
        <v>2</v>
      </c>
      <c r="M7157" t="s">
        <v>28985</v>
      </c>
      <c r="N7157" t="s">
        <v>27094</v>
      </c>
      <c r="O7157" t="s">
        <v>9477</v>
      </c>
      <c r="P7157" t="s">
        <v>9477</v>
      </c>
      <c r="Y7157" t="s">
        <v>28986</v>
      </c>
    </row>
    <row r="7158" spans="1:25">
      <c r="A7158" t="s">
        <v>28987</v>
      </c>
      <c r="B7158" t="s">
        <v>28988</v>
      </c>
      <c r="D7158" t="s">
        <v>9473</v>
      </c>
      <c r="E7158" t="s">
        <v>9474</v>
      </c>
      <c r="J7158" t="s">
        <v>765</v>
      </c>
      <c r="K7158" t="s">
        <v>766</v>
      </c>
      <c r="L7158">
        <v>2</v>
      </c>
      <c r="M7158" t="s">
        <v>28989</v>
      </c>
      <c r="N7158" t="s">
        <v>27098</v>
      </c>
      <c r="O7158" t="s">
        <v>9477</v>
      </c>
      <c r="P7158" t="s">
        <v>9477</v>
      </c>
      <c r="Y7158" t="s">
        <v>28990</v>
      </c>
    </row>
    <row r="7159" spans="1:25">
      <c r="A7159" t="s">
        <v>28991</v>
      </c>
      <c r="B7159" t="s">
        <v>28992</v>
      </c>
      <c r="D7159" t="s">
        <v>9473</v>
      </c>
      <c r="E7159" t="s">
        <v>9474</v>
      </c>
      <c r="J7159" t="s">
        <v>5844</v>
      </c>
      <c r="K7159" t="s">
        <v>5845</v>
      </c>
      <c r="L7159">
        <v>2</v>
      </c>
      <c r="M7159" t="s">
        <v>28993</v>
      </c>
      <c r="N7159" t="s">
        <v>135</v>
      </c>
      <c r="O7159" t="s">
        <v>9477</v>
      </c>
      <c r="P7159" t="s">
        <v>9477</v>
      </c>
      <c r="Y7159" t="s">
        <v>28994</v>
      </c>
    </row>
    <row r="7160" spans="1:25">
      <c r="A7160" t="s">
        <v>28995</v>
      </c>
      <c r="B7160" t="s">
        <v>28996</v>
      </c>
      <c r="D7160" t="s">
        <v>9473</v>
      </c>
      <c r="E7160" t="s">
        <v>9474</v>
      </c>
      <c r="J7160" t="s">
        <v>765</v>
      </c>
      <c r="K7160" t="s">
        <v>766</v>
      </c>
      <c r="L7160">
        <v>2</v>
      </c>
      <c r="M7160" t="s">
        <v>28997</v>
      </c>
      <c r="N7160" t="s">
        <v>27098</v>
      </c>
      <c r="O7160" t="s">
        <v>9477</v>
      </c>
      <c r="P7160" t="s">
        <v>9477</v>
      </c>
      <c r="Y7160" t="s">
        <v>28998</v>
      </c>
    </row>
    <row r="7161" spans="1:25">
      <c r="A7161" t="s">
        <v>28999</v>
      </c>
      <c r="B7161" t="s">
        <v>29000</v>
      </c>
      <c r="D7161" t="s">
        <v>9473</v>
      </c>
      <c r="E7161" t="s">
        <v>9474</v>
      </c>
      <c r="J7161" t="s">
        <v>765</v>
      </c>
      <c r="K7161" t="s">
        <v>766</v>
      </c>
      <c r="L7161">
        <v>2</v>
      </c>
      <c r="M7161" t="s">
        <v>29001</v>
      </c>
      <c r="N7161" t="s">
        <v>27098</v>
      </c>
      <c r="O7161" t="s">
        <v>9477</v>
      </c>
      <c r="P7161" t="s">
        <v>9477</v>
      </c>
      <c r="Y7161" t="s">
        <v>29002</v>
      </c>
    </row>
    <row r="7162" spans="1:25">
      <c r="A7162" t="s">
        <v>29003</v>
      </c>
      <c r="B7162" t="s">
        <v>29004</v>
      </c>
      <c r="D7162" t="s">
        <v>9473</v>
      </c>
      <c r="E7162" t="s">
        <v>9474</v>
      </c>
      <c r="H7162" t="s">
        <v>29005</v>
      </c>
      <c r="J7162" t="s">
        <v>5844</v>
      </c>
      <c r="K7162" t="s">
        <v>5845</v>
      </c>
      <c r="L7162">
        <v>1</v>
      </c>
      <c r="M7162" t="s">
        <v>29006</v>
      </c>
      <c r="N7162" t="s">
        <v>27094</v>
      </c>
      <c r="O7162" t="s">
        <v>9477</v>
      </c>
      <c r="P7162" t="s">
        <v>9477</v>
      </c>
      <c r="Y7162" t="s">
        <v>29005</v>
      </c>
    </row>
    <row r="7163" spans="1:25">
      <c r="A7163" t="s">
        <v>29007</v>
      </c>
      <c r="B7163" t="s">
        <v>29008</v>
      </c>
      <c r="D7163" t="s">
        <v>9473</v>
      </c>
      <c r="E7163" t="s">
        <v>9474</v>
      </c>
      <c r="J7163" t="s">
        <v>927</v>
      </c>
      <c r="K7163" t="s">
        <v>928</v>
      </c>
      <c r="L7163">
        <v>2</v>
      </c>
      <c r="M7163" t="s">
        <v>29009</v>
      </c>
      <c r="N7163" t="s">
        <v>27115</v>
      </c>
      <c r="O7163" t="s">
        <v>9477</v>
      </c>
      <c r="P7163" t="s">
        <v>9477</v>
      </c>
      <c r="Y7163" t="s">
        <v>29010</v>
      </c>
    </row>
    <row r="7164" spans="1:25">
      <c r="A7164" t="s">
        <v>29011</v>
      </c>
      <c r="B7164" t="s">
        <v>29012</v>
      </c>
      <c r="D7164" t="s">
        <v>9473</v>
      </c>
      <c r="E7164" t="s">
        <v>9474</v>
      </c>
      <c r="J7164" t="s">
        <v>497</v>
      </c>
      <c r="K7164" t="s">
        <v>498</v>
      </c>
      <c r="L7164">
        <v>2</v>
      </c>
      <c r="M7164" t="s">
        <v>29013</v>
      </c>
      <c r="N7164" t="s">
        <v>685</v>
      </c>
      <c r="O7164" t="s">
        <v>9477</v>
      </c>
      <c r="P7164" t="s">
        <v>9477</v>
      </c>
      <c r="Y7164" t="s">
        <v>29014</v>
      </c>
    </row>
    <row r="7165" spans="1:25">
      <c r="A7165" t="s">
        <v>29015</v>
      </c>
      <c r="B7165" t="s">
        <v>29016</v>
      </c>
      <c r="D7165" t="s">
        <v>9473</v>
      </c>
      <c r="E7165" t="s">
        <v>9474</v>
      </c>
      <c r="H7165" t="s">
        <v>29017</v>
      </c>
      <c r="J7165" t="s">
        <v>2605</v>
      </c>
      <c r="K7165" t="s">
        <v>2606</v>
      </c>
      <c r="L7165">
        <v>5</v>
      </c>
      <c r="M7165" t="s">
        <v>29018</v>
      </c>
      <c r="N7165" t="s">
        <v>27098</v>
      </c>
      <c r="O7165" t="s">
        <v>9477</v>
      </c>
      <c r="P7165" t="s">
        <v>9477</v>
      </c>
      <c r="Y7165" t="s">
        <v>29017</v>
      </c>
    </row>
    <row r="7166" spans="1:25">
      <c r="A7166" t="s">
        <v>29019</v>
      </c>
      <c r="B7166" t="s">
        <v>29020</v>
      </c>
      <c r="D7166" t="s">
        <v>9473</v>
      </c>
      <c r="E7166" t="s">
        <v>9474</v>
      </c>
      <c r="J7166" t="s">
        <v>927</v>
      </c>
      <c r="K7166" t="s">
        <v>928</v>
      </c>
      <c r="L7166">
        <v>1</v>
      </c>
      <c r="M7166" t="s">
        <v>29021</v>
      </c>
      <c r="N7166" t="s">
        <v>27094</v>
      </c>
      <c r="O7166" t="s">
        <v>9477</v>
      </c>
      <c r="P7166" t="s">
        <v>9477</v>
      </c>
      <c r="Y7166" t="s">
        <v>29022</v>
      </c>
    </row>
    <row r="7167" spans="1:25">
      <c r="A7167" t="s">
        <v>29023</v>
      </c>
      <c r="B7167" t="s">
        <v>29024</v>
      </c>
      <c r="D7167" t="s">
        <v>9473</v>
      </c>
      <c r="E7167" t="s">
        <v>9474</v>
      </c>
      <c r="J7167" t="s">
        <v>27091</v>
      </c>
      <c r="K7167" t="s">
        <v>27092</v>
      </c>
      <c r="L7167">
        <v>1</v>
      </c>
      <c r="M7167" t="s">
        <v>29025</v>
      </c>
      <c r="N7167" t="s">
        <v>27094</v>
      </c>
      <c r="O7167" t="s">
        <v>9477</v>
      </c>
      <c r="P7167" t="s">
        <v>9477</v>
      </c>
      <c r="Y7167" t="s">
        <v>29026</v>
      </c>
    </row>
    <row r="7168" spans="1:25">
      <c r="A7168" t="s">
        <v>29027</v>
      </c>
      <c r="B7168" t="s">
        <v>29028</v>
      </c>
      <c r="D7168" t="s">
        <v>9473</v>
      </c>
      <c r="E7168" t="s">
        <v>9474</v>
      </c>
      <c r="J7168" t="s">
        <v>497</v>
      </c>
      <c r="K7168" t="s">
        <v>498</v>
      </c>
      <c r="L7168">
        <v>1</v>
      </c>
      <c r="M7168" t="s">
        <v>29029</v>
      </c>
      <c r="N7168" t="s">
        <v>135</v>
      </c>
      <c r="O7168" t="s">
        <v>9477</v>
      </c>
      <c r="P7168" t="s">
        <v>9477</v>
      </c>
      <c r="Y7168" t="s">
        <v>29030</v>
      </c>
    </row>
    <row r="7169" spans="1:25">
      <c r="A7169" t="s">
        <v>29031</v>
      </c>
      <c r="B7169" t="s">
        <v>29032</v>
      </c>
      <c r="D7169" t="s">
        <v>9473</v>
      </c>
      <c r="E7169" t="s">
        <v>9474</v>
      </c>
      <c r="H7169" t="s">
        <v>29033</v>
      </c>
      <c r="J7169" t="s">
        <v>765</v>
      </c>
      <c r="K7169" t="s">
        <v>766</v>
      </c>
      <c r="L7169">
        <v>2</v>
      </c>
      <c r="M7169" t="s">
        <v>29034</v>
      </c>
      <c r="N7169" t="s">
        <v>685</v>
      </c>
      <c r="O7169" t="s">
        <v>9477</v>
      </c>
      <c r="P7169" t="s">
        <v>9477</v>
      </c>
      <c r="Y7169" t="s">
        <v>29033</v>
      </c>
    </row>
    <row r="7170" spans="1:25">
      <c r="A7170" t="s">
        <v>29035</v>
      </c>
      <c r="B7170" t="s">
        <v>29036</v>
      </c>
      <c r="D7170" t="s">
        <v>9473</v>
      </c>
      <c r="E7170" t="s">
        <v>9474</v>
      </c>
      <c r="J7170" t="s">
        <v>927</v>
      </c>
      <c r="K7170" t="s">
        <v>928</v>
      </c>
      <c r="L7170">
        <v>2</v>
      </c>
      <c r="M7170" t="s">
        <v>29037</v>
      </c>
      <c r="N7170" t="s">
        <v>27115</v>
      </c>
      <c r="O7170" t="s">
        <v>9477</v>
      </c>
      <c r="P7170" t="s">
        <v>9477</v>
      </c>
      <c r="Y7170" t="s">
        <v>29038</v>
      </c>
    </row>
    <row r="7171" spans="1:25">
      <c r="A7171" t="s">
        <v>29039</v>
      </c>
      <c r="B7171" t="s">
        <v>29040</v>
      </c>
      <c r="D7171" t="s">
        <v>9473</v>
      </c>
      <c r="E7171" t="s">
        <v>9474</v>
      </c>
      <c r="J7171" t="s">
        <v>927</v>
      </c>
      <c r="K7171" t="s">
        <v>928</v>
      </c>
      <c r="L7171">
        <v>1</v>
      </c>
      <c r="M7171" t="s">
        <v>29041</v>
      </c>
      <c r="N7171" t="s">
        <v>27152</v>
      </c>
      <c r="O7171" t="s">
        <v>9477</v>
      </c>
      <c r="P7171" t="s">
        <v>9477</v>
      </c>
      <c r="Y7171" t="s">
        <v>29042</v>
      </c>
    </row>
    <row r="7172" spans="1:25">
      <c r="A7172" t="s">
        <v>29043</v>
      </c>
      <c r="B7172" t="s">
        <v>29044</v>
      </c>
      <c r="D7172" t="s">
        <v>9473</v>
      </c>
      <c r="E7172" t="s">
        <v>9474</v>
      </c>
      <c r="H7172" t="s">
        <v>29045</v>
      </c>
      <c r="J7172" t="s">
        <v>683</v>
      </c>
      <c r="K7172" t="s">
        <v>684</v>
      </c>
      <c r="L7172">
        <v>2</v>
      </c>
      <c r="M7172" t="s">
        <v>29046</v>
      </c>
      <c r="N7172" t="s">
        <v>27074</v>
      </c>
      <c r="O7172" t="s">
        <v>9477</v>
      </c>
      <c r="P7172" t="s">
        <v>9477</v>
      </c>
      <c r="Y7172" t="s">
        <v>29045</v>
      </c>
    </row>
    <row r="7173" spans="1:25">
      <c r="A7173" t="s">
        <v>29047</v>
      </c>
      <c r="B7173" t="s">
        <v>29048</v>
      </c>
      <c r="D7173" t="s">
        <v>9473</v>
      </c>
      <c r="E7173" t="s">
        <v>9474</v>
      </c>
      <c r="J7173" t="s">
        <v>765</v>
      </c>
      <c r="K7173" t="s">
        <v>766</v>
      </c>
      <c r="L7173">
        <v>1</v>
      </c>
      <c r="M7173" t="s">
        <v>29049</v>
      </c>
      <c r="N7173" t="s">
        <v>27098</v>
      </c>
      <c r="O7173" t="s">
        <v>9477</v>
      </c>
      <c r="P7173" t="s">
        <v>9477</v>
      </c>
      <c r="Y7173" t="s">
        <v>29050</v>
      </c>
    </row>
    <row r="7174" spans="1:25">
      <c r="A7174" t="s">
        <v>29051</v>
      </c>
      <c r="B7174" t="s">
        <v>29052</v>
      </c>
      <c r="D7174" t="s">
        <v>9473</v>
      </c>
      <c r="E7174" t="s">
        <v>9474</v>
      </c>
      <c r="H7174" t="s">
        <v>29053</v>
      </c>
      <c r="J7174" t="s">
        <v>9719</v>
      </c>
      <c r="K7174" t="s">
        <v>9720</v>
      </c>
      <c r="L7174">
        <v>1</v>
      </c>
      <c r="M7174" t="s">
        <v>29054</v>
      </c>
      <c r="N7174" t="s">
        <v>685</v>
      </c>
      <c r="O7174" t="s">
        <v>9477</v>
      </c>
      <c r="P7174" t="s">
        <v>9477</v>
      </c>
      <c r="Y7174" t="s">
        <v>29053</v>
      </c>
    </row>
    <row r="7175" spans="1:25">
      <c r="A7175" t="s">
        <v>29055</v>
      </c>
      <c r="B7175" t="s">
        <v>29056</v>
      </c>
      <c r="D7175" t="s">
        <v>9473</v>
      </c>
      <c r="E7175" t="s">
        <v>9474</v>
      </c>
      <c r="H7175" t="s">
        <v>29057</v>
      </c>
      <c r="J7175" t="s">
        <v>5844</v>
      </c>
      <c r="K7175" t="s">
        <v>5845</v>
      </c>
      <c r="L7175">
        <v>1</v>
      </c>
      <c r="M7175" t="s">
        <v>29058</v>
      </c>
      <c r="N7175" t="s">
        <v>27094</v>
      </c>
      <c r="O7175" t="s">
        <v>9477</v>
      </c>
      <c r="P7175" t="s">
        <v>9477</v>
      </c>
      <c r="Y7175" t="s">
        <v>29057</v>
      </c>
    </row>
    <row r="7176" spans="1:25">
      <c r="A7176" t="s">
        <v>29059</v>
      </c>
      <c r="B7176" t="s">
        <v>29060</v>
      </c>
      <c r="D7176" t="s">
        <v>9473</v>
      </c>
      <c r="E7176" t="s">
        <v>9474</v>
      </c>
      <c r="J7176" t="s">
        <v>497</v>
      </c>
      <c r="K7176" t="s">
        <v>498</v>
      </c>
      <c r="L7176">
        <v>1</v>
      </c>
      <c r="M7176" t="s">
        <v>29061</v>
      </c>
      <c r="N7176" t="s">
        <v>685</v>
      </c>
      <c r="O7176" t="s">
        <v>9477</v>
      </c>
      <c r="P7176" t="s">
        <v>9477</v>
      </c>
      <c r="Y7176" t="s">
        <v>29062</v>
      </c>
    </row>
    <row r="7177" spans="1:25">
      <c r="A7177" t="s">
        <v>29063</v>
      </c>
      <c r="B7177" t="s">
        <v>29064</v>
      </c>
      <c r="D7177" t="s">
        <v>9473</v>
      </c>
      <c r="E7177" t="s">
        <v>9474</v>
      </c>
      <c r="J7177" t="s">
        <v>927</v>
      </c>
      <c r="K7177" t="s">
        <v>928</v>
      </c>
      <c r="L7177">
        <v>1</v>
      </c>
      <c r="M7177" t="s">
        <v>29065</v>
      </c>
      <c r="N7177" t="s">
        <v>27152</v>
      </c>
      <c r="O7177" t="s">
        <v>9477</v>
      </c>
      <c r="P7177" t="s">
        <v>9477</v>
      </c>
      <c r="Y7177" t="s">
        <v>29066</v>
      </c>
    </row>
    <row r="7178" spans="1:25">
      <c r="A7178" t="s">
        <v>29067</v>
      </c>
      <c r="B7178" t="s">
        <v>29068</v>
      </c>
      <c r="D7178" t="s">
        <v>9473</v>
      </c>
      <c r="E7178" t="s">
        <v>9474</v>
      </c>
      <c r="J7178" t="s">
        <v>765</v>
      </c>
      <c r="K7178" t="s">
        <v>766</v>
      </c>
      <c r="L7178">
        <v>1</v>
      </c>
      <c r="M7178" t="s">
        <v>29069</v>
      </c>
      <c r="N7178" t="s">
        <v>27098</v>
      </c>
      <c r="O7178" t="s">
        <v>9477</v>
      </c>
      <c r="P7178" t="s">
        <v>9477</v>
      </c>
      <c r="Y7178" t="s">
        <v>29070</v>
      </c>
    </row>
    <row r="7179" spans="1:25">
      <c r="A7179" t="s">
        <v>29071</v>
      </c>
      <c r="B7179" t="s">
        <v>29072</v>
      </c>
      <c r="D7179" t="s">
        <v>9473</v>
      </c>
      <c r="E7179" t="s">
        <v>9474</v>
      </c>
      <c r="J7179" t="s">
        <v>765</v>
      </c>
      <c r="K7179" t="s">
        <v>766</v>
      </c>
      <c r="L7179">
        <v>1</v>
      </c>
      <c r="M7179" t="s">
        <v>29073</v>
      </c>
      <c r="N7179" t="s">
        <v>27152</v>
      </c>
      <c r="O7179" t="s">
        <v>9477</v>
      </c>
      <c r="P7179" t="s">
        <v>9477</v>
      </c>
      <c r="Y7179" t="s">
        <v>29074</v>
      </c>
    </row>
    <row r="7180" spans="1:25">
      <c r="A7180" t="s">
        <v>29075</v>
      </c>
      <c r="B7180" t="s">
        <v>29076</v>
      </c>
      <c r="D7180" t="s">
        <v>9473</v>
      </c>
      <c r="E7180" t="s">
        <v>9474</v>
      </c>
      <c r="J7180" t="s">
        <v>765</v>
      </c>
      <c r="K7180" t="s">
        <v>766</v>
      </c>
      <c r="L7180">
        <v>1</v>
      </c>
      <c r="M7180" t="s">
        <v>29077</v>
      </c>
      <c r="N7180" t="s">
        <v>685</v>
      </c>
      <c r="O7180" t="s">
        <v>9477</v>
      </c>
      <c r="P7180" t="s">
        <v>9477</v>
      </c>
      <c r="Y7180" t="s">
        <v>29078</v>
      </c>
    </row>
    <row r="7181" spans="1:25">
      <c r="A7181" t="s">
        <v>29079</v>
      </c>
      <c r="B7181" t="s">
        <v>29080</v>
      </c>
      <c r="D7181" t="s">
        <v>9473</v>
      </c>
      <c r="E7181" t="s">
        <v>9474</v>
      </c>
      <c r="J7181" t="s">
        <v>9759</v>
      </c>
      <c r="K7181" t="s">
        <v>9760</v>
      </c>
      <c r="L7181">
        <v>2</v>
      </c>
      <c r="M7181" t="s">
        <v>29081</v>
      </c>
      <c r="N7181" t="s">
        <v>27152</v>
      </c>
      <c r="O7181" t="s">
        <v>9477</v>
      </c>
      <c r="P7181" t="s">
        <v>9477</v>
      </c>
      <c r="Y7181" t="s">
        <v>29082</v>
      </c>
    </row>
    <row r="7182" spans="1:25">
      <c r="A7182" t="s">
        <v>29083</v>
      </c>
      <c r="B7182" t="s">
        <v>29084</v>
      </c>
      <c r="D7182" t="s">
        <v>9473</v>
      </c>
      <c r="E7182" t="s">
        <v>9474</v>
      </c>
      <c r="J7182" t="s">
        <v>497</v>
      </c>
      <c r="K7182" t="s">
        <v>498</v>
      </c>
      <c r="L7182">
        <v>1</v>
      </c>
      <c r="M7182" t="s">
        <v>29085</v>
      </c>
      <c r="N7182" t="s">
        <v>685</v>
      </c>
      <c r="O7182" t="s">
        <v>9477</v>
      </c>
      <c r="P7182" t="s">
        <v>9477</v>
      </c>
      <c r="Y7182" t="s">
        <v>29086</v>
      </c>
    </row>
    <row r="7183" spans="1:25">
      <c r="A7183" t="s">
        <v>29087</v>
      </c>
      <c r="B7183" t="s">
        <v>29088</v>
      </c>
      <c r="D7183" t="s">
        <v>9473</v>
      </c>
      <c r="E7183" t="s">
        <v>9474</v>
      </c>
      <c r="J7183" t="s">
        <v>27091</v>
      </c>
      <c r="K7183" t="s">
        <v>27092</v>
      </c>
      <c r="L7183">
        <v>1</v>
      </c>
      <c r="M7183" t="s">
        <v>29089</v>
      </c>
      <c r="N7183" t="s">
        <v>27094</v>
      </c>
      <c r="O7183" t="s">
        <v>9477</v>
      </c>
      <c r="P7183" t="s">
        <v>9477</v>
      </c>
      <c r="Y7183" t="s">
        <v>29090</v>
      </c>
    </row>
    <row r="7184" spans="1:25">
      <c r="A7184" t="s">
        <v>29091</v>
      </c>
      <c r="B7184" t="s">
        <v>29092</v>
      </c>
      <c r="D7184" t="s">
        <v>9473</v>
      </c>
      <c r="E7184" t="s">
        <v>9474</v>
      </c>
      <c r="J7184" t="s">
        <v>765</v>
      </c>
      <c r="K7184" t="s">
        <v>766</v>
      </c>
      <c r="L7184">
        <v>1</v>
      </c>
      <c r="M7184" t="s">
        <v>29093</v>
      </c>
      <c r="N7184" t="s">
        <v>685</v>
      </c>
      <c r="O7184" t="s">
        <v>9477</v>
      </c>
      <c r="P7184" t="s">
        <v>9477</v>
      </c>
      <c r="Y7184" t="s">
        <v>29094</v>
      </c>
    </row>
    <row r="7185" spans="1:25">
      <c r="A7185" t="s">
        <v>29095</v>
      </c>
      <c r="B7185" t="s">
        <v>29096</v>
      </c>
      <c r="D7185" t="s">
        <v>9473</v>
      </c>
      <c r="E7185" t="s">
        <v>9474</v>
      </c>
      <c r="J7185" t="s">
        <v>390</v>
      </c>
      <c r="K7185" t="s">
        <v>390</v>
      </c>
      <c r="L7185">
        <v>1</v>
      </c>
      <c r="M7185" t="s">
        <v>29097</v>
      </c>
      <c r="N7185" t="s">
        <v>27094</v>
      </c>
      <c r="O7185" t="s">
        <v>9477</v>
      </c>
      <c r="P7185" t="s">
        <v>9477</v>
      </c>
      <c r="Y7185" t="s">
        <v>29098</v>
      </c>
    </row>
    <row r="7186" spans="1:25">
      <c r="A7186" t="s">
        <v>29099</v>
      </c>
      <c r="B7186" t="s">
        <v>29100</v>
      </c>
      <c r="D7186" t="s">
        <v>9473</v>
      </c>
      <c r="E7186" t="s">
        <v>9474</v>
      </c>
      <c r="J7186" t="s">
        <v>765</v>
      </c>
      <c r="K7186" t="s">
        <v>766</v>
      </c>
      <c r="L7186">
        <v>2</v>
      </c>
      <c r="M7186" t="s">
        <v>29101</v>
      </c>
      <c r="N7186" t="s">
        <v>27115</v>
      </c>
      <c r="O7186" t="s">
        <v>9477</v>
      </c>
      <c r="P7186" t="s">
        <v>9477</v>
      </c>
      <c r="Y7186" t="s">
        <v>29102</v>
      </c>
    </row>
    <row r="7187" spans="1:25">
      <c r="A7187" t="s">
        <v>29103</v>
      </c>
      <c r="B7187" t="s">
        <v>29104</v>
      </c>
      <c r="D7187" t="s">
        <v>9473</v>
      </c>
      <c r="E7187" t="s">
        <v>9474</v>
      </c>
      <c r="J7187" t="s">
        <v>765</v>
      </c>
      <c r="K7187" t="s">
        <v>766</v>
      </c>
      <c r="L7187">
        <v>1</v>
      </c>
      <c r="M7187" t="s">
        <v>29105</v>
      </c>
      <c r="N7187" t="s">
        <v>685</v>
      </c>
      <c r="O7187" t="s">
        <v>9477</v>
      </c>
      <c r="P7187" t="s">
        <v>9477</v>
      </c>
      <c r="Y7187" t="s">
        <v>29106</v>
      </c>
    </row>
    <row r="7188" spans="1:25">
      <c r="A7188" t="s">
        <v>29107</v>
      </c>
      <c r="B7188" t="s">
        <v>29108</v>
      </c>
      <c r="D7188" t="s">
        <v>9473</v>
      </c>
      <c r="E7188" t="s">
        <v>9474</v>
      </c>
      <c r="J7188" t="s">
        <v>765</v>
      </c>
      <c r="K7188" t="s">
        <v>766</v>
      </c>
      <c r="L7188">
        <v>1</v>
      </c>
      <c r="M7188" t="s">
        <v>29109</v>
      </c>
      <c r="N7188" t="s">
        <v>27152</v>
      </c>
      <c r="O7188" t="s">
        <v>9477</v>
      </c>
      <c r="P7188" t="s">
        <v>9477</v>
      </c>
      <c r="Y7188" t="s">
        <v>29110</v>
      </c>
    </row>
    <row r="7189" spans="1:25">
      <c r="A7189" t="s">
        <v>29111</v>
      </c>
      <c r="B7189" t="s">
        <v>29112</v>
      </c>
      <c r="D7189" t="s">
        <v>9473</v>
      </c>
      <c r="E7189" t="s">
        <v>9474</v>
      </c>
      <c r="J7189" t="s">
        <v>927</v>
      </c>
      <c r="K7189" t="s">
        <v>928</v>
      </c>
      <c r="L7189">
        <v>1</v>
      </c>
      <c r="M7189" t="s">
        <v>29109</v>
      </c>
      <c r="N7189" t="s">
        <v>27098</v>
      </c>
      <c r="O7189" t="s">
        <v>9477</v>
      </c>
      <c r="P7189" t="s">
        <v>9477</v>
      </c>
      <c r="Y7189" t="s">
        <v>29113</v>
      </c>
    </row>
    <row r="7190" spans="1:25">
      <c r="A7190" t="s">
        <v>29114</v>
      </c>
      <c r="B7190" t="s">
        <v>29115</v>
      </c>
      <c r="D7190" t="s">
        <v>9473</v>
      </c>
      <c r="E7190" t="s">
        <v>9474</v>
      </c>
      <c r="J7190" t="s">
        <v>765</v>
      </c>
      <c r="K7190" t="s">
        <v>766</v>
      </c>
      <c r="L7190">
        <v>1</v>
      </c>
      <c r="M7190" t="s">
        <v>29116</v>
      </c>
      <c r="N7190" t="s">
        <v>27152</v>
      </c>
      <c r="O7190" t="s">
        <v>9477</v>
      </c>
      <c r="P7190" t="s">
        <v>9477</v>
      </c>
      <c r="Y7190" t="s">
        <v>29117</v>
      </c>
    </row>
    <row r="7191" spans="1:25">
      <c r="A7191" t="s">
        <v>29118</v>
      </c>
      <c r="B7191" t="s">
        <v>29119</v>
      </c>
      <c r="D7191" t="s">
        <v>9473</v>
      </c>
      <c r="E7191" t="s">
        <v>9474</v>
      </c>
      <c r="J7191" t="s">
        <v>927</v>
      </c>
      <c r="K7191" t="s">
        <v>928</v>
      </c>
      <c r="L7191">
        <v>1</v>
      </c>
      <c r="M7191" t="s">
        <v>29120</v>
      </c>
      <c r="N7191" t="s">
        <v>27094</v>
      </c>
      <c r="O7191" t="s">
        <v>9477</v>
      </c>
      <c r="P7191" t="s">
        <v>9477</v>
      </c>
      <c r="Y7191" t="s">
        <v>29121</v>
      </c>
    </row>
    <row r="7192" spans="1:25">
      <c r="A7192" t="s">
        <v>29122</v>
      </c>
      <c r="B7192" t="s">
        <v>29123</v>
      </c>
      <c r="D7192" t="s">
        <v>9473</v>
      </c>
      <c r="E7192" t="s">
        <v>9474</v>
      </c>
      <c r="J7192" t="s">
        <v>927</v>
      </c>
      <c r="K7192" t="s">
        <v>928</v>
      </c>
      <c r="L7192">
        <v>1</v>
      </c>
      <c r="M7192" t="s">
        <v>29124</v>
      </c>
      <c r="N7192" t="s">
        <v>27098</v>
      </c>
      <c r="O7192" t="s">
        <v>9477</v>
      </c>
      <c r="P7192" t="s">
        <v>9477</v>
      </c>
      <c r="Y7192" t="s">
        <v>29125</v>
      </c>
    </row>
    <row r="7193" spans="1:25">
      <c r="A7193" t="s">
        <v>29126</v>
      </c>
      <c r="B7193" t="s">
        <v>29127</v>
      </c>
      <c r="D7193" t="s">
        <v>9473</v>
      </c>
      <c r="E7193" t="s">
        <v>9474</v>
      </c>
      <c r="J7193" t="s">
        <v>927</v>
      </c>
      <c r="K7193" t="s">
        <v>928</v>
      </c>
      <c r="L7193">
        <v>1</v>
      </c>
      <c r="M7193" t="s">
        <v>29128</v>
      </c>
      <c r="N7193" t="s">
        <v>27115</v>
      </c>
      <c r="O7193" t="s">
        <v>9477</v>
      </c>
      <c r="P7193" t="s">
        <v>9477</v>
      </c>
      <c r="Y7193" t="s">
        <v>29129</v>
      </c>
    </row>
    <row r="7194" spans="1:25">
      <c r="A7194" t="s">
        <v>29130</v>
      </c>
      <c r="B7194" t="s">
        <v>29131</v>
      </c>
      <c r="D7194" t="s">
        <v>9473</v>
      </c>
      <c r="E7194" t="s">
        <v>9474</v>
      </c>
      <c r="J7194" t="s">
        <v>765</v>
      </c>
      <c r="K7194" t="s">
        <v>766</v>
      </c>
      <c r="L7194">
        <v>1</v>
      </c>
      <c r="M7194" t="s">
        <v>29132</v>
      </c>
      <c r="N7194" t="s">
        <v>685</v>
      </c>
      <c r="O7194" t="s">
        <v>9477</v>
      </c>
      <c r="P7194" t="s">
        <v>9477</v>
      </c>
      <c r="Y7194" t="s">
        <v>29133</v>
      </c>
    </row>
    <row r="7195" spans="1:25">
      <c r="A7195" t="s">
        <v>29134</v>
      </c>
      <c r="B7195" t="s">
        <v>29135</v>
      </c>
      <c r="D7195" t="s">
        <v>9473</v>
      </c>
      <c r="E7195" t="s">
        <v>9474</v>
      </c>
      <c r="J7195" t="s">
        <v>927</v>
      </c>
      <c r="K7195" t="s">
        <v>928</v>
      </c>
      <c r="L7195">
        <v>1</v>
      </c>
      <c r="M7195" t="s">
        <v>29136</v>
      </c>
      <c r="N7195" t="s">
        <v>27074</v>
      </c>
      <c r="O7195" t="s">
        <v>9477</v>
      </c>
      <c r="P7195" t="s">
        <v>9477</v>
      </c>
      <c r="Y7195" t="s">
        <v>29137</v>
      </c>
    </row>
    <row r="7196" spans="1:25">
      <c r="A7196" t="s">
        <v>29138</v>
      </c>
      <c r="B7196" t="s">
        <v>29139</v>
      </c>
      <c r="D7196" t="s">
        <v>9473</v>
      </c>
      <c r="E7196" t="s">
        <v>9474</v>
      </c>
      <c r="J7196" t="s">
        <v>765</v>
      </c>
      <c r="K7196" t="s">
        <v>766</v>
      </c>
      <c r="L7196">
        <v>1</v>
      </c>
      <c r="M7196" t="s">
        <v>29140</v>
      </c>
      <c r="N7196" t="s">
        <v>27152</v>
      </c>
      <c r="O7196" t="s">
        <v>9477</v>
      </c>
      <c r="P7196" t="s">
        <v>9477</v>
      </c>
      <c r="Y7196" t="s">
        <v>29141</v>
      </c>
    </row>
    <row r="7197" spans="1:25">
      <c r="A7197" t="s">
        <v>29142</v>
      </c>
      <c r="B7197" t="s">
        <v>29143</v>
      </c>
      <c r="D7197" t="s">
        <v>9473</v>
      </c>
      <c r="E7197" t="s">
        <v>9474</v>
      </c>
      <c r="J7197" t="s">
        <v>9719</v>
      </c>
      <c r="K7197" t="s">
        <v>9720</v>
      </c>
      <c r="L7197">
        <v>2</v>
      </c>
      <c r="M7197" t="s">
        <v>29144</v>
      </c>
      <c r="N7197" t="s">
        <v>27115</v>
      </c>
      <c r="O7197" t="s">
        <v>9477</v>
      </c>
      <c r="P7197" t="s">
        <v>9477</v>
      </c>
      <c r="Y7197" t="s">
        <v>29145</v>
      </c>
    </row>
    <row r="7198" spans="1:25">
      <c r="A7198" t="s">
        <v>29146</v>
      </c>
      <c r="B7198" t="s">
        <v>29147</v>
      </c>
      <c r="D7198" t="s">
        <v>9473</v>
      </c>
      <c r="E7198" t="s">
        <v>9474</v>
      </c>
      <c r="J7198" t="s">
        <v>765</v>
      </c>
      <c r="K7198" t="s">
        <v>766</v>
      </c>
      <c r="L7198">
        <v>1</v>
      </c>
      <c r="M7198" t="s">
        <v>29148</v>
      </c>
      <c r="N7198" t="s">
        <v>27152</v>
      </c>
      <c r="O7198" t="s">
        <v>9477</v>
      </c>
      <c r="P7198" t="s">
        <v>9477</v>
      </c>
      <c r="Y7198" t="s">
        <v>29149</v>
      </c>
    </row>
    <row r="7199" spans="1:25">
      <c r="A7199" t="s">
        <v>29150</v>
      </c>
      <c r="B7199" t="s">
        <v>29151</v>
      </c>
      <c r="D7199" t="s">
        <v>9473</v>
      </c>
      <c r="E7199" t="s">
        <v>9474</v>
      </c>
      <c r="J7199" t="s">
        <v>765</v>
      </c>
      <c r="K7199" t="s">
        <v>766</v>
      </c>
      <c r="L7199">
        <v>1</v>
      </c>
      <c r="M7199" t="s">
        <v>29148</v>
      </c>
      <c r="N7199" t="s">
        <v>685</v>
      </c>
      <c r="O7199" t="s">
        <v>9477</v>
      </c>
      <c r="P7199" t="s">
        <v>9477</v>
      </c>
      <c r="Y7199" t="s">
        <v>29152</v>
      </c>
    </row>
    <row r="7200" spans="1:25">
      <c r="A7200" t="s">
        <v>29153</v>
      </c>
      <c r="B7200" t="s">
        <v>29154</v>
      </c>
      <c r="D7200" t="s">
        <v>9473</v>
      </c>
      <c r="E7200" t="s">
        <v>9474</v>
      </c>
      <c r="J7200" t="s">
        <v>765</v>
      </c>
      <c r="K7200" t="s">
        <v>766</v>
      </c>
      <c r="L7200">
        <v>2</v>
      </c>
      <c r="M7200" t="s">
        <v>29155</v>
      </c>
      <c r="N7200" t="s">
        <v>27098</v>
      </c>
      <c r="O7200" t="s">
        <v>9477</v>
      </c>
      <c r="P7200" t="s">
        <v>9477</v>
      </c>
      <c r="Y7200" t="s">
        <v>29156</v>
      </c>
    </row>
    <row r="7201" spans="1:25">
      <c r="A7201" t="s">
        <v>29157</v>
      </c>
      <c r="B7201" t="s">
        <v>29158</v>
      </c>
      <c r="D7201" t="s">
        <v>9473</v>
      </c>
      <c r="E7201" t="s">
        <v>9474</v>
      </c>
      <c r="H7201" t="s">
        <v>29159</v>
      </c>
      <c r="J7201" t="s">
        <v>390</v>
      </c>
      <c r="K7201" t="s">
        <v>390</v>
      </c>
      <c r="L7201">
        <v>1</v>
      </c>
      <c r="M7201" t="s">
        <v>29160</v>
      </c>
      <c r="N7201" t="s">
        <v>27098</v>
      </c>
      <c r="O7201" t="s">
        <v>9477</v>
      </c>
      <c r="P7201" t="s">
        <v>9477</v>
      </c>
      <c r="Y7201" t="s">
        <v>29159</v>
      </c>
    </row>
    <row r="7202" spans="1:25">
      <c r="A7202" t="s">
        <v>29161</v>
      </c>
      <c r="B7202" t="s">
        <v>29162</v>
      </c>
      <c r="D7202" t="s">
        <v>9473</v>
      </c>
      <c r="E7202" t="s">
        <v>9474</v>
      </c>
      <c r="J7202" t="s">
        <v>765</v>
      </c>
      <c r="K7202" t="s">
        <v>766</v>
      </c>
      <c r="L7202">
        <v>1</v>
      </c>
      <c r="M7202" t="s">
        <v>29163</v>
      </c>
      <c r="N7202" t="s">
        <v>27152</v>
      </c>
      <c r="O7202" t="s">
        <v>9477</v>
      </c>
      <c r="P7202" t="s">
        <v>9477</v>
      </c>
      <c r="Y7202" t="s">
        <v>29164</v>
      </c>
    </row>
    <row r="7203" spans="1:25">
      <c r="A7203" t="s">
        <v>29165</v>
      </c>
      <c r="B7203" t="s">
        <v>29166</v>
      </c>
      <c r="D7203" t="s">
        <v>9473</v>
      </c>
      <c r="E7203" t="s">
        <v>9474</v>
      </c>
      <c r="J7203" t="s">
        <v>497</v>
      </c>
      <c r="K7203" t="s">
        <v>498</v>
      </c>
      <c r="L7203">
        <v>1</v>
      </c>
      <c r="M7203" t="s">
        <v>29167</v>
      </c>
      <c r="N7203" t="s">
        <v>685</v>
      </c>
      <c r="O7203" t="s">
        <v>9477</v>
      </c>
      <c r="P7203" t="s">
        <v>9477</v>
      </c>
      <c r="Y7203" t="s">
        <v>29168</v>
      </c>
    </row>
    <row r="7204" spans="1:25">
      <c r="A7204" t="s">
        <v>29169</v>
      </c>
      <c r="B7204" t="s">
        <v>29170</v>
      </c>
      <c r="D7204" t="s">
        <v>9473</v>
      </c>
      <c r="E7204" t="s">
        <v>9474</v>
      </c>
      <c r="J7204" t="s">
        <v>765</v>
      </c>
      <c r="K7204" t="s">
        <v>766</v>
      </c>
      <c r="L7204">
        <v>1</v>
      </c>
      <c r="M7204" t="s">
        <v>29171</v>
      </c>
      <c r="N7204" t="s">
        <v>27152</v>
      </c>
      <c r="O7204" t="s">
        <v>9477</v>
      </c>
      <c r="P7204" t="s">
        <v>9477</v>
      </c>
      <c r="Y7204" t="s">
        <v>29172</v>
      </c>
    </row>
    <row r="7205" spans="1:25">
      <c r="A7205" t="s">
        <v>29173</v>
      </c>
      <c r="B7205" t="s">
        <v>29174</v>
      </c>
      <c r="D7205" t="s">
        <v>9473</v>
      </c>
      <c r="E7205" t="s">
        <v>9474</v>
      </c>
      <c r="H7205" t="s">
        <v>29175</v>
      </c>
      <c r="J7205" t="s">
        <v>10083</v>
      </c>
      <c r="K7205" t="s">
        <v>10084</v>
      </c>
      <c r="L7205">
        <v>2</v>
      </c>
      <c r="M7205" t="s">
        <v>29176</v>
      </c>
      <c r="N7205" t="s">
        <v>27098</v>
      </c>
      <c r="O7205" t="s">
        <v>9477</v>
      </c>
      <c r="P7205" t="s">
        <v>9477</v>
      </c>
      <c r="Y7205" t="s">
        <v>29175</v>
      </c>
    </row>
    <row r="7206" spans="1:25">
      <c r="A7206" t="s">
        <v>29177</v>
      </c>
      <c r="B7206" t="s">
        <v>29178</v>
      </c>
      <c r="D7206" t="s">
        <v>9473</v>
      </c>
      <c r="E7206" t="s">
        <v>9474</v>
      </c>
      <c r="J7206" t="s">
        <v>765</v>
      </c>
      <c r="K7206" t="s">
        <v>766</v>
      </c>
      <c r="L7206">
        <v>1</v>
      </c>
      <c r="M7206" t="s">
        <v>29179</v>
      </c>
      <c r="N7206" t="s">
        <v>27098</v>
      </c>
      <c r="O7206" t="s">
        <v>9477</v>
      </c>
      <c r="P7206" t="s">
        <v>9477</v>
      </c>
      <c r="Y7206" t="s">
        <v>29180</v>
      </c>
    </row>
    <row r="7207" spans="1:25">
      <c r="A7207" t="s">
        <v>29181</v>
      </c>
      <c r="B7207" t="s">
        <v>29182</v>
      </c>
      <c r="D7207" t="s">
        <v>9473</v>
      </c>
      <c r="E7207" t="s">
        <v>9474</v>
      </c>
      <c r="J7207" t="s">
        <v>5964</v>
      </c>
      <c r="K7207" t="s">
        <v>5965</v>
      </c>
      <c r="L7207">
        <v>1</v>
      </c>
      <c r="M7207" t="s">
        <v>29183</v>
      </c>
      <c r="N7207" t="s">
        <v>27152</v>
      </c>
      <c r="O7207" t="s">
        <v>9477</v>
      </c>
      <c r="P7207" t="s">
        <v>9477</v>
      </c>
      <c r="Y7207" t="s">
        <v>29184</v>
      </c>
    </row>
    <row r="7208" spans="1:25">
      <c r="A7208" t="s">
        <v>29185</v>
      </c>
      <c r="B7208" t="s">
        <v>29186</v>
      </c>
      <c r="D7208" t="s">
        <v>9473</v>
      </c>
      <c r="E7208" t="s">
        <v>9474</v>
      </c>
      <c r="H7208" t="s">
        <v>29187</v>
      </c>
      <c r="J7208" t="s">
        <v>27091</v>
      </c>
      <c r="K7208" t="s">
        <v>27092</v>
      </c>
      <c r="L7208">
        <v>1</v>
      </c>
      <c r="M7208" t="s">
        <v>29188</v>
      </c>
      <c r="N7208" t="s">
        <v>27094</v>
      </c>
      <c r="O7208" t="s">
        <v>9477</v>
      </c>
      <c r="P7208" t="s">
        <v>9477</v>
      </c>
      <c r="Y7208" t="s">
        <v>29187</v>
      </c>
    </row>
    <row r="7209" spans="1:25">
      <c r="A7209" t="s">
        <v>29189</v>
      </c>
      <c r="B7209" t="s">
        <v>29190</v>
      </c>
      <c r="D7209" t="s">
        <v>9473</v>
      </c>
      <c r="E7209" t="s">
        <v>9474</v>
      </c>
      <c r="J7209" t="s">
        <v>2948</v>
      </c>
      <c r="K7209" t="s">
        <v>2949</v>
      </c>
      <c r="L7209">
        <v>1</v>
      </c>
      <c r="M7209" t="s">
        <v>29191</v>
      </c>
      <c r="N7209" t="s">
        <v>27152</v>
      </c>
      <c r="O7209" t="s">
        <v>9477</v>
      </c>
      <c r="P7209" t="s">
        <v>9477</v>
      </c>
      <c r="Y7209" t="s">
        <v>29192</v>
      </c>
    </row>
    <row r="7210" spans="1:25">
      <c r="A7210" t="s">
        <v>29193</v>
      </c>
      <c r="B7210" t="s">
        <v>29194</v>
      </c>
      <c r="D7210" t="s">
        <v>9473</v>
      </c>
      <c r="E7210" t="s">
        <v>9474</v>
      </c>
      <c r="H7210" t="s">
        <v>29195</v>
      </c>
      <c r="J7210" t="s">
        <v>683</v>
      </c>
      <c r="K7210" t="s">
        <v>684</v>
      </c>
      <c r="L7210">
        <v>1</v>
      </c>
      <c r="M7210" t="s">
        <v>29196</v>
      </c>
      <c r="N7210" t="s">
        <v>27074</v>
      </c>
      <c r="O7210" t="s">
        <v>9477</v>
      </c>
      <c r="P7210" t="s">
        <v>9477</v>
      </c>
      <c r="Y7210" t="s">
        <v>29195</v>
      </c>
    </row>
    <row r="7211" spans="1:25">
      <c r="A7211" t="s">
        <v>29197</v>
      </c>
      <c r="B7211" t="s">
        <v>29198</v>
      </c>
      <c r="D7211" t="s">
        <v>9473</v>
      </c>
      <c r="E7211" t="s">
        <v>9474</v>
      </c>
      <c r="H7211" t="s">
        <v>29199</v>
      </c>
      <c r="J7211" t="s">
        <v>1571</v>
      </c>
      <c r="K7211" t="s">
        <v>1572</v>
      </c>
      <c r="L7211">
        <v>2</v>
      </c>
      <c r="M7211" t="s">
        <v>29200</v>
      </c>
      <c r="N7211" t="s">
        <v>27098</v>
      </c>
      <c r="O7211" t="s">
        <v>9477</v>
      </c>
      <c r="P7211" t="s">
        <v>9477</v>
      </c>
      <c r="Y7211" t="s">
        <v>29199</v>
      </c>
    </row>
    <row r="7212" spans="1:25">
      <c r="A7212" t="s">
        <v>29201</v>
      </c>
      <c r="B7212" t="s">
        <v>29202</v>
      </c>
      <c r="D7212" t="s">
        <v>9473</v>
      </c>
      <c r="E7212" t="s">
        <v>9474</v>
      </c>
      <c r="J7212" t="s">
        <v>765</v>
      </c>
      <c r="K7212" t="s">
        <v>766</v>
      </c>
      <c r="L7212">
        <v>1</v>
      </c>
      <c r="M7212" t="s">
        <v>29203</v>
      </c>
      <c r="N7212" t="s">
        <v>27098</v>
      </c>
      <c r="O7212" t="s">
        <v>9477</v>
      </c>
      <c r="P7212" t="s">
        <v>9477</v>
      </c>
      <c r="Y7212" t="s">
        <v>29204</v>
      </c>
    </row>
    <row r="7213" spans="1:25">
      <c r="A7213" t="s">
        <v>29205</v>
      </c>
      <c r="B7213" t="s">
        <v>29206</v>
      </c>
      <c r="D7213" t="s">
        <v>9473</v>
      </c>
      <c r="E7213" t="s">
        <v>9474</v>
      </c>
      <c r="H7213" t="s">
        <v>29207</v>
      </c>
      <c r="J7213" t="s">
        <v>927</v>
      </c>
      <c r="K7213" t="s">
        <v>928</v>
      </c>
      <c r="L7213">
        <v>1</v>
      </c>
      <c r="M7213" t="s">
        <v>29208</v>
      </c>
      <c r="N7213" t="s">
        <v>27098</v>
      </c>
      <c r="O7213" t="s">
        <v>9477</v>
      </c>
      <c r="P7213" t="s">
        <v>9477</v>
      </c>
      <c r="Y7213" t="s">
        <v>29207</v>
      </c>
    </row>
    <row r="7214" spans="1:25">
      <c r="A7214" t="s">
        <v>29209</v>
      </c>
      <c r="B7214" t="s">
        <v>29210</v>
      </c>
      <c r="D7214" t="s">
        <v>9473</v>
      </c>
      <c r="E7214" t="s">
        <v>9474</v>
      </c>
      <c r="J7214" t="s">
        <v>765</v>
      </c>
      <c r="K7214" t="s">
        <v>766</v>
      </c>
      <c r="L7214">
        <v>1</v>
      </c>
      <c r="M7214" t="s">
        <v>29211</v>
      </c>
      <c r="N7214" t="s">
        <v>27098</v>
      </c>
      <c r="O7214" t="s">
        <v>9477</v>
      </c>
      <c r="P7214" t="s">
        <v>9477</v>
      </c>
      <c r="Y7214" t="s">
        <v>29212</v>
      </c>
    </row>
    <row r="7215" spans="1:25">
      <c r="A7215" t="s">
        <v>29213</v>
      </c>
      <c r="B7215" t="s">
        <v>29214</v>
      </c>
      <c r="D7215" t="s">
        <v>9473</v>
      </c>
      <c r="E7215" t="s">
        <v>9474</v>
      </c>
      <c r="H7215" t="s">
        <v>29215</v>
      </c>
      <c r="J7215" t="s">
        <v>765</v>
      </c>
      <c r="K7215" t="s">
        <v>766</v>
      </c>
      <c r="L7215">
        <v>1</v>
      </c>
      <c r="M7215" t="s">
        <v>29216</v>
      </c>
      <c r="N7215" t="s">
        <v>27152</v>
      </c>
      <c r="O7215" t="s">
        <v>9477</v>
      </c>
      <c r="P7215" t="s">
        <v>9477</v>
      </c>
      <c r="Y7215" t="s">
        <v>29215</v>
      </c>
    </row>
    <row r="7216" spans="1:25">
      <c r="A7216" t="s">
        <v>29217</v>
      </c>
      <c r="B7216" t="s">
        <v>29218</v>
      </c>
      <c r="D7216" t="s">
        <v>9473</v>
      </c>
      <c r="E7216" t="s">
        <v>9474</v>
      </c>
      <c r="J7216" t="s">
        <v>5844</v>
      </c>
      <c r="K7216" t="s">
        <v>5845</v>
      </c>
      <c r="L7216">
        <v>1</v>
      </c>
      <c r="M7216" t="s">
        <v>29219</v>
      </c>
      <c r="N7216" t="s">
        <v>27115</v>
      </c>
      <c r="O7216" t="s">
        <v>9477</v>
      </c>
      <c r="P7216" t="s">
        <v>9477</v>
      </c>
      <c r="Y7216" t="s">
        <v>29220</v>
      </c>
    </row>
    <row r="7217" spans="1:25">
      <c r="A7217" t="s">
        <v>29221</v>
      </c>
      <c r="B7217" t="s">
        <v>29222</v>
      </c>
      <c r="D7217" t="s">
        <v>9473</v>
      </c>
      <c r="E7217" t="s">
        <v>9474</v>
      </c>
      <c r="J7217" t="s">
        <v>5964</v>
      </c>
      <c r="K7217" t="s">
        <v>5965</v>
      </c>
      <c r="L7217">
        <v>1</v>
      </c>
      <c r="M7217" t="s">
        <v>29223</v>
      </c>
      <c r="N7217" t="s">
        <v>27074</v>
      </c>
      <c r="O7217" t="s">
        <v>9477</v>
      </c>
      <c r="P7217" t="s">
        <v>9477</v>
      </c>
      <c r="Y7217" t="s">
        <v>29224</v>
      </c>
    </row>
    <row r="7218" spans="1:25">
      <c r="A7218" t="s">
        <v>29225</v>
      </c>
      <c r="B7218" t="s">
        <v>29226</v>
      </c>
      <c r="D7218" t="s">
        <v>9473</v>
      </c>
      <c r="E7218" t="s">
        <v>9474</v>
      </c>
      <c r="J7218" t="s">
        <v>765</v>
      </c>
      <c r="K7218" t="s">
        <v>766</v>
      </c>
      <c r="L7218">
        <v>1</v>
      </c>
      <c r="M7218" t="s">
        <v>29227</v>
      </c>
      <c r="N7218" t="s">
        <v>27152</v>
      </c>
      <c r="O7218" t="s">
        <v>9477</v>
      </c>
      <c r="P7218" t="s">
        <v>9477</v>
      </c>
      <c r="Y7218" t="s">
        <v>29228</v>
      </c>
    </row>
    <row r="7219" spans="1:25">
      <c r="A7219" t="s">
        <v>29229</v>
      </c>
      <c r="B7219" t="s">
        <v>29230</v>
      </c>
      <c r="D7219" t="s">
        <v>9473</v>
      </c>
      <c r="E7219" t="s">
        <v>9474</v>
      </c>
      <c r="J7219" t="s">
        <v>497</v>
      </c>
      <c r="K7219" t="s">
        <v>498</v>
      </c>
      <c r="L7219">
        <v>1</v>
      </c>
      <c r="M7219" t="s">
        <v>29231</v>
      </c>
      <c r="N7219" t="s">
        <v>135</v>
      </c>
      <c r="O7219" t="s">
        <v>9477</v>
      </c>
      <c r="P7219" t="s">
        <v>9477</v>
      </c>
      <c r="Y7219" t="s">
        <v>29232</v>
      </c>
    </row>
    <row r="7220" spans="1:25">
      <c r="A7220" t="s">
        <v>29233</v>
      </c>
      <c r="B7220" t="s">
        <v>29234</v>
      </c>
      <c r="D7220" t="s">
        <v>9473</v>
      </c>
      <c r="E7220" t="s">
        <v>9474</v>
      </c>
      <c r="J7220" t="s">
        <v>765</v>
      </c>
      <c r="K7220" t="s">
        <v>766</v>
      </c>
      <c r="L7220">
        <v>1</v>
      </c>
      <c r="M7220" t="s">
        <v>29235</v>
      </c>
      <c r="N7220" t="s">
        <v>290</v>
      </c>
      <c r="O7220" t="s">
        <v>9477</v>
      </c>
      <c r="P7220" t="s">
        <v>9477</v>
      </c>
      <c r="Y7220" t="s">
        <v>29236</v>
      </c>
    </row>
    <row r="7221" spans="1:25">
      <c r="A7221" t="s">
        <v>29237</v>
      </c>
      <c r="B7221" t="s">
        <v>29238</v>
      </c>
      <c r="D7221" t="s">
        <v>9473</v>
      </c>
      <c r="E7221" t="s">
        <v>9474</v>
      </c>
      <c r="J7221" t="s">
        <v>765</v>
      </c>
      <c r="K7221" t="s">
        <v>766</v>
      </c>
      <c r="L7221">
        <v>1</v>
      </c>
      <c r="M7221" t="s">
        <v>29239</v>
      </c>
      <c r="N7221" t="s">
        <v>27152</v>
      </c>
      <c r="O7221" t="s">
        <v>9477</v>
      </c>
      <c r="P7221" t="s">
        <v>9477</v>
      </c>
      <c r="Y7221" t="s">
        <v>29240</v>
      </c>
    </row>
    <row r="7222" spans="1:25">
      <c r="A7222" t="s">
        <v>29241</v>
      </c>
      <c r="B7222" t="s">
        <v>29242</v>
      </c>
      <c r="D7222" t="s">
        <v>9473</v>
      </c>
      <c r="E7222" t="s">
        <v>9474</v>
      </c>
      <c r="J7222" t="s">
        <v>765</v>
      </c>
      <c r="K7222" t="s">
        <v>766</v>
      </c>
      <c r="L7222">
        <v>2</v>
      </c>
      <c r="M7222" t="s">
        <v>29243</v>
      </c>
      <c r="N7222" t="s">
        <v>27152</v>
      </c>
      <c r="O7222" t="s">
        <v>9477</v>
      </c>
      <c r="P7222" t="s">
        <v>9477</v>
      </c>
      <c r="Y7222" t="s">
        <v>29244</v>
      </c>
    </row>
    <row r="7223" spans="1:25">
      <c r="A7223" t="s">
        <v>29245</v>
      </c>
      <c r="B7223" t="s">
        <v>29246</v>
      </c>
      <c r="D7223" t="s">
        <v>9473</v>
      </c>
      <c r="E7223" t="s">
        <v>9474</v>
      </c>
      <c r="J7223" t="s">
        <v>765</v>
      </c>
      <c r="K7223" t="s">
        <v>766</v>
      </c>
      <c r="L7223">
        <v>1</v>
      </c>
      <c r="M7223" t="s">
        <v>29247</v>
      </c>
      <c r="N7223" t="s">
        <v>27094</v>
      </c>
      <c r="O7223" t="s">
        <v>9477</v>
      </c>
      <c r="P7223" t="s">
        <v>9477</v>
      </c>
      <c r="Y7223" t="s">
        <v>29248</v>
      </c>
    </row>
    <row r="7224" spans="1:25">
      <c r="A7224" t="s">
        <v>29249</v>
      </c>
      <c r="B7224" t="s">
        <v>29250</v>
      </c>
      <c r="D7224" t="s">
        <v>9473</v>
      </c>
      <c r="E7224" t="s">
        <v>9474</v>
      </c>
      <c r="J7224" t="s">
        <v>9759</v>
      </c>
      <c r="K7224" t="s">
        <v>9760</v>
      </c>
      <c r="L7224">
        <v>2</v>
      </c>
      <c r="M7224" t="s">
        <v>29247</v>
      </c>
      <c r="N7224" t="s">
        <v>27152</v>
      </c>
      <c r="O7224" t="s">
        <v>9477</v>
      </c>
      <c r="P7224" t="s">
        <v>9477</v>
      </c>
      <c r="Y7224" t="s">
        <v>29251</v>
      </c>
    </row>
    <row r="7225" spans="1:25">
      <c r="A7225" t="s">
        <v>29252</v>
      </c>
      <c r="B7225" t="s">
        <v>29253</v>
      </c>
      <c r="D7225" t="s">
        <v>9473</v>
      </c>
      <c r="E7225" t="s">
        <v>9474</v>
      </c>
      <c r="J7225" t="s">
        <v>765</v>
      </c>
      <c r="K7225" t="s">
        <v>766</v>
      </c>
      <c r="L7225">
        <v>2</v>
      </c>
      <c r="M7225" t="s">
        <v>29254</v>
      </c>
      <c r="N7225" t="s">
        <v>27152</v>
      </c>
      <c r="O7225" t="s">
        <v>9477</v>
      </c>
      <c r="P7225" t="s">
        <v>9477</v>
      </c>
      <c r="Y7225" t="s">
        <v>29255</v>
      </c>
    </row>
    <row r="7226" spans="1:25">
      <c r="A7226" t="s">
        <v>29256</v>
      </c>
      <c r="B7226" t="s">
        <v>29257</v>
      </c>
      <c r="D7226" t="s">
        <v>9473</v>
      </c>
      <c r="E7226" t="s">
        <v>9474</v>
      </c>
      <c r="J7226" t="s">
        <v>497</v>
      </c>
      <c r="K7226" t="s">
        <v>498</v>
      </c>
      <c r="L7226">
        <v>1</v>
      </c>
      <c r="M7226" t="s">
        <v>29258</v>
      </c>
      <c r="N7226" t="s">
        <v>27094</v>
      </c>
      <c r="O7226" t="s">
        <v>9477</v>
      </c>
      <c r="P7226" t="s">
        <v>9477</v>
      </c>
      <c r="Y7226" t="s">
        <v>29259</v>
      </c>
    </row>
    <row r="7227" spans="1:25">
      <c r="A7227" t="s">
        <v>29260</v>
      </c>
      <c r="B7227" t="s">
        <v>29261</v>
      </c>
      <c r="D7227" t="s">
        <v>9473</v>
      </c>
      <c r="E7227" t="s">
        <v>9474</v>
      </c>
      <c r="J7227" t="s">
        <v>765</v>
      </c>
      <c r="K7227" t="s">
        <v>766</v>
      </c>
      <c r="L7227">
        <v>1</v>
      </c>
      <c r="M7227" t="s">
        <v>29262</v>
      </c>
      <c r="N7227" t="s">
        <v>27152</v>
      </c>
      <c r="O7227" t="s">
        <v>9477</v>
      </c>
      <c r="P7227" t="s">
        <v>9477</v>
      </c>
      <c r="Y7227" t="s">
        <v>29263</v>
      </c>
    </row>
    <row r="7228" spans="1:25">
      <c r="A7228" t="s">
        <v>29264</v>
      </c>
      <c r="B7228" t="s">
        <v>29265</v>
      </c>
      <c r="D7228" t="s">
        <v>9473</v>
      </c>
      <c r="E7228" t="s">
        <v>9474</v>
      </c>
      <c r="J7228" t="s">
        <v>5844</v>
      </c>
      <c r="K7228" t="s">
        <v>5845</v>
      </c>
      <c r="L7228">
        <v>1</v>
      </c>
      <c r="M7228" t="s">
        <v>29266</v>
      </c>
      <c r="N7228" t="s">
        <v>27094</v>
      </c>
      <c r="O7228" t="s">
        <v>9477</v>
      </c>
      <c r="P7228" t="s">
        <v>9477</v>
      </c>
      <c r="Y7228" t="s">
        <v>29267</v>
      </c>
    </row>
    <row r="7229" spans="1:25">
      <c r="A7229" t="s">
        <v>29268</v>
      </c>
      <c r="B7229" t="s">
        <v>29269</v>
      </c>
      <c r="D7229" t="s">
        <v>9473</v>
      </c>
      <c r="E7229" t="s">
        <v>9474</v>
      </c>
      <c r="J7229" t="s">
        <v>390</v>
      </c>
      <c r="K7229" t="s">
        <v>390</v>
      </c>
      <c r="L7229">
        <v>1</v>
      </c>
      <c r="M7229" t="s">
        <v>29270</v>
      </c>
      <c r="N7229" t="s">
        <v>27094</v>
      </c>
      <c r="O7229" t="s">
        <v>9477</v>
      </c>
      <c r="P7229" t="s">
        <v>9477</v>
      </c>
      <c r="Y7229" t="s">
        <v>29271</v>
      </c>
    </row>
    <row r="7230" spans="1:25">
      <c r="A7230" t="s">
        <v>29272</v>
      </c>
      <c r="B7230" t="s">
        <v>29273</v>
      </c>
      <c r="D7230" t="s">
        <v>9473</v>
      </c>
      <c r="E7230" t="s">
        <v>9474</v>
      </c>
      <c r="H7230" t="s">
        <v>29274</v>
      </c>
      <c r="J7230" t="s">
        <v>765</v>
      </c>
      <c r="K7230" t="s">
        <v>766</v>
      </c>
      <c r="L7230">
        <v>1</v>
      </c>
      <c r="M7230" t="s">
        <v>29275</v>
      </c>
      <c r="N7230" t="s">
        <v>27152</v>
      </c>
      <c r="O7230" t="s">
        <v>9477</v>
      </c>
      <c r="P7230" t="s">
        <v>9477</v>
      </c>
      <c r="Y7230" t="s">
        <v>29274</v>
      </c>
    </row>
    <row r="7231" spans="1:25">
      <c r="A7231" t="s">
        <v>29276</v>
      </c>
      <c r="B7231" t="s">
        <v>29277</v>
      </c>
      <c r="D7231" t="s">
        <v>9473</v>
      </c>
      <c r="E7231" t="s">
        <v>9474</v>
      </c>
      <c r="H7231" t="s">
        <v>29278</v>
      </c>
      <c r="J7231" t="s">
        <v>9719</v>
      </c>
      <c r="K7231" t="s">
        <v>9720</v>
      </c>
      <c r="L7231">
        <v>2</v>
      </c>
      <c r="M7231" t="s">
        <v>29279</v>
      </c>
      <c r="N7231" t="s">
        <v>685</v>
      </c>
      <c r="O7231" t="s">
        <v>9477</v>
      </c>
      <c r="P7231" t="s">
        <v>9477</v>
      </c>
      <c r="Y7231" t="s">
        <v>29278</v>
      </c>
    </row>
    <row r="7232" spans="1:25">
      <c r="A7232" t="s">
        <v>29280</v>
      </c>
      <c r="B7232" t="s">
        <v>29281</v>
      </c>
      <c r="D7232" t="s">
        <v>9473</v>
      </c>
      <c r="E7232" t="s">
        <v>9474</v>
      </c>
      <c r="J7232" t="s">
        <v>927</v>
      </c>
      <c r="K7232" t="s">
        <v>928</v>
      </c>
      <c r="L7232">
        <v>1</v>
      </c>
      <c r="M7232" t="s">
        <v>29282</v>
      </c>
      <c r="N7232" t="s">
        <v>27094</v>
      </c>
      <c r="O7232" t="s">
        <v>9477</v>
      </c>
      <c r="P7232" t="s">
        <v>9477</v>
      </c>
      <c r="Y7232" t="s">
        <v>29283</v>
      </c>
    </row>
    <row r="7233" spans="1:25">
      <c r="A7233" t="s">
        <v>29284</v>
      </c>
      <c r="B7233" t="s">
        <v>29285</v>
      </c>
      <c r="D7233" t="s">
        <v>9473</v>
      </c>
      <c r="E7233" t="s">
        <v>9474</v>
      </c>
      <c r="J7233" t="s">
        <v>927</v>
      </c>
      <c r="K7233" t="s">
        <v>928</v>
      </c>
      <c r="L7233">
        <v>1</v>
      </c>
      <c r="M7233" t="s">
        <v>29286</v>
      </c>
      <c r="N7233" t="s">
        <v>27152</v>
      </c>
      <c r="O7233" t="s">
        <v>9477</v>
      </c>
      <c r="P7233" t="s">
        <v>9477</v>
      </c>
      <c r="Y7233" t="s">
        <v>29287</v>
      </c>
    </row>
    <row r="7234" spans="1:25">
      <c r="A7234" t="s">
        <v>29288</v>
      </c>
      <c r="B7234" t="s">
        <v>29289</v>
      </c>
      <c r="D7234" t="s">
        <v>9473</v>
      </c>
      <c r="E7234" t="s">
        <v>9474</v>
      </c>
      <c r="J7234" t="s">
        <v>765</v>
      </c>
      <c r="K7234" t="s">
        <v>766</v>
      </c>
      <c r="L7234">
        <v>1</v>
      </c>
      <c r="M7234" t="s">
        <v>29290</v>
      </c>
      <c r="N7234" t="s">
        <v>685</v>
      </c>
      <c r="O7234" t="s">
        <v>9477</v>
      </c>
      <c r="P7234" t="s">
        <v>9477</v>
      </c>
      <c r="Y7234" t="s">
        <v>29291</v>
      </c>
    </row>
    <row r="7235" spans="1:25">
      <c r="A7235" t="s">
        <v>29292</v>
      </c>
      <c r="B7235" t="s">
        <v>29293</v>
      </c>
      <c r="D7235" t="s">
        <v>9473</v>
      </c>
      <c r="E7235" t="s">
        <v>9474</v>
      </c>
      <c r="H7235" t="s">
        <v>29294</v>
      </c>
      <c r="J7235" t="s">
        <v>9719</v>
      </c>
      <c r="K7235" t="s">
        <v>9720</v>
      </c>
      <c r="L7235">
        <v>1</v>
      </c>
      <c r="M7235" t="s">
        <v>29295</v>
      </c>
      <c r="N7235" t="s">
        <v>27098</v>
      </c>
      <c r="O7235" t="s">
        <v>9477</v>
      </c>
      <c r="P7235" t="s">
        <v>9477</v>
      </c>
      <c r="Y7235" t="s">
        <v>29294</v>
      </c>
    </row>
    <row r="7236" spans="1:25">
      <c r="A7236" t="s">
        <v>29296</v>
      </c>
      <c r="B7236" t="s">
        <v>29297</v>
      </c>
      <c r="D7236" t="s">
        <v>9473</v>
      </c>
      <c r="E7236" t="s">
        <v>9474</v>
      </c>
      <c r="J7236" t="s">
        <v>765</v>
      </c>
      <c r="K7236" t="s">
        <v>766</v>
      </c>
      <c r="L7236">
        <v>1</v>
      </c>
      <c r="M7236" t="s">
        <v>29298</v>
      </c>
      <c r="N7236" t="s">
        <v>685</v>
      </c>
      <c r="O7236" t="s">
        <v>9477</v>
      </c>
      <c r="P7236" t="s">
        <v>9477</v>
      </c>
      <c r="Y7236" t="s">
        <v>29299</v>
      </c>
    </row>
    <row r="7237" spans="1:25">
      <c r="A7237" t="s">
        <v>29300</v>
      </c>
      <c r="B7237" t="s">
        <v>29301</v>
      </c>
      <c r="D7237" t="s">
        <v>9473</v>
      </c>
      <c r="E7237" t="s">
        <v>9474</v>
      </c>
      <c r="J7237" t="s">
        <v>765</v>
      </c>
      <c r="K7237" t="s">
        <v>766</v>
      </c>
      <c r="L7237">
        <v>1</v>
      </c>
      <c r="M7237" t="s">
        <v>29302</v>
      </c>
      <c r="N7237" t="s">
        <v>27098</v>
      </c>
      <c r="O7237" t="s">
        <v>9477</v>
      </c>
      <c r="P7237" t="s">
        <v>9477</v>
      </c>
      <c r="Y7237" t="s">
        <v>29303</v>
      </c>
    </row>
    <row r="7238" spans="1:25">
      <c r="A7238" t="s">
        <v>29304</v>
      </c>
      <c r="B7238" t="s">
        <v>29305</v>
      </c>
      <c r="D7238" t="s">
        <v>9473</v>
      </c>
      <c r="E7238" t="s">
        <v>9474</v>
      </c>
      <c r="J7238" t="s">
        <v>765</v>
      </c>
      <c r="K7238" t="s">
        <v>766</v>
      </c>
      <c r="L7238">
        <v>1</v>
      </c>
      <c r="M7238" t="s">
        <v>29306</v>
      </c>
      <c r="N7238" t="s">
        <v>27094</v>
      </c>
      <c r="O7238" t="s">
        <v>9477</v>
      </c>
      <c r="P7238" t="s">
        <v>9477</v>
      </c>
      <c r="Y7238" t="s">
        <v>29307</v>
      </c>
    </row>
    <row r="7239" spans="1:25">
      <c r="A7239" t="s">
        <v>29308</v>
      </c>
      <c r="B7239" t="s">
        <v>29309</v>
      </c>
      <c r="D7239" t="s">
        <v>9473</v>
      </c>
      <c r="E7239" t="s">
        <v>9474</v>
      </c>
      <c r="J7239" t="s">
        <v>927</v>
      </c>
      <c r="K7239" t="s">
        <v>928</v>
      </c>
      <c r="L7239">
        <v>1</v>
      </c>
      <c r="M7239" t="s">
        <v>29310</v>
      </c>
      <c r="N7239" t="s">
        <v>685</v>
      </c>
      <c r="O7239" t="s">
        <v>9477</v>
      </c>
      <c r="P7239" t="s">
        <v>9477</v>
      </c>
      <c r="Y7239" t="s">
        <v>29311</v>
      </c>
    </row>
    <row r="7240" spans="1:25">
      <c r="A7240" t="s">
        <v>29312</v>
      </c>
      <c r="B7240" t="s">
        <v>29313</v>
      </c>
      <c r="D7240" t="s">
        <v>9473</v>
      </c>
      <c r="E7240" t="s">
        <v>9474</v>
      </c>
      <c r="J7240" t="s">
        <v>927</v>
      </c>
      <c r="K7240" t="s">
        <v>928</v>
      </c>
      <c r="L7240">
        <v>1</v>
      </c>
      <c r="M7240" t="s">
        <v>29314</v>
      </c>
      <c r="N7240" t="s">
        <v>27152</v>
      </c>
      <c r="O7240" t="s">
        <v>9477</v>
      </c>
      <c r="P7240" t="s">
        <v>9477</v>
      </c>
      <c r="Y7240" t="s">
        <v>29315</v>
      </c>
    </row>
    <row r="7241" spans="1:25">
      <c r="A7241" t="s">
        <v>29316</v>
      </c>
      <c r="B7241" t="s">
        <v>29317</v>
      </c>
      <c r="D7241" t="s">
        <v>9473</v>
      </c>
      <c r="E7241" t="s">
        <v>9474</v>
      </c>
      <c r="J7241" t="s">
        <v>927</v>
      </c>
      <c r="K7241" t="s">
        <v>928</v>
      </c>
      <c r="L7241">
        <v>1</v>
      </c>
      <c r="M7241" t="s">
        <v>29318</v>
      </c>
      <c r="N7241" t="s">
        <v>685</v>
      </c>
      <c r="O7241" t="s">
        <v>9477</v>
      </c>
      <c r="P7241" t="s">
        <v>9477</v>
      </c>
      <c r="Y7241" t="s">
        <v>29319</v>
      </c>
    </row>
    <row r="7242" spans="1:25">
      <c r="A7242" t="s">
        <v>29320</v>
      </c>
      <c r="B7242" t="s">
        <v>29321</v>
      </c>
      <c r="D7242" t="s">
        <v>9473</v>
      </c>
      <c r="E7242" t="s">
        <v>9474</v>
      </c>
      <c r="J7242" t="s">
        <v>2948</v>
      </c>
      <c r="K7242" t="s">
        <v>2949</v>
      </c>
      <c r="L7242">
        <v>1</v>
      </c>
      <c r="M7242" t="s">
        <v>29322</v>
      </c>
      <c r="N7242" t="s">
        <v>27094</v>
      </c>
      <c r="O7242" t="s">
        <v>9477</v>
      </c>
      <c r="P7242" t="s">
        <v>9477</v>
      </c>
      <c r="Y7242" t="s">
        <v>29323</v>
      </c>
    </row>
    <row r="7243" spans="1:25">
      <c r="A7243" t="s">
        <v>29324</v>
      </c>
      <c r="B7243" t="s">
        <v>29325</v>
      </c>
      <c r="D7243" t="s">
        <v>9473</v>
      </c>
      <c r="E7243" t="s">
        <v>9474</v>
      </c>
      <c r="J7243" t="s">
        <v>765</v>
      </c>
      <c r="K7243" t="s">
        <v>766</v>
      </c>
      <c r="L7243">
        <v>1</v>
      </c>
      <c r="M7243" t="s">
        <v>29326</v>
      </c>
      <c r="N7243" t="s">
        <v>685</v>
      </c>
      <c r="O7243" t="s">
        <v>9477</v>
      </c>
      <c r="P7243" t="s">
        <v>9477</v>
      </c>
      <c r="Y7243" t="s">
        <v>29327</v>
      </c>
    </row>
    <row r="7244" spans="1:25">
      <c r="A7244" t="s">
        <v>29328</v>
      </c>
      <c r="B7244" t="s">
        <v>29329</v>
      </c>
      <c r="D7244" t="s">
        <v>9473</v>
      </c>
      <c r="E7244" t="s">
        <v>9474</v>
      </c>
      <c r="J7244" t="s">
        <v>497</v>
      </c>
      <c r="K7244" t="s">
        <v>498</v>
      </c>
      <c r="L7244">
        <v>1</v>
      </c>
      <c r="M7244" t="s">
        <v>29330</v>
      </c>
      <c r="N7244" t="s">
        <v>685</v>
      </c>
      <c r="O7244" t="s">
        <v>9477</v>
      </c>
      <c r="P7244" t="s">
        <v>9477</v>
      </c>
      <c r="Y7244" t="s">
        <v>29331</v>
      </c>
    </row>
    <row r="7245" spans="1:25">
      <c r="A7245" t="s">
        <v>29332</v>
      </c>
      <c r="B7245" t="s">
        <v>29333</v>
      </c>
      <c r="D7245" t="s">
        <v>9473</v>
      </c>
      <c r="E7245" t="s">
        <v>9474</v>
      </c>
      <c r="J7245" t="s">
        <v>765</v>
      </c>
      <c r="K7245" t="s">
        <v>766</v>
      </c>
      <c r="L7245">
        <v>1</v>
      </c>
      <c r="M7245" t="s">
        <v>29334</v>
      </c>
      <c r="N7245" t="s">
        <v>27098</v>
      </c>
      <c r="O7245" t="s">
        <v>9477</v>
      </c>
      <c r="P7245" t="s">
        <v>9477</v>
      </c>
      <c r="Y7245" t="s">
        <v>29335</v>
      </c>
    </row>
    <row r="7246" spans="1:25">
      <c r="A7246" t="s">
        <v>29336</v>
      </c>
      <c r="B7246" t="s">
        <v>29337</v>
      </c>
      <c r="D7246" t="s">
        <v>9473</v>
      </c>
      <c r="E7246" t="s">
        <v>9474</v>
      </c>
      <c r="J7246" t="s">
        <v>497</v>
      </c>
      <c r="K7246" t="s">
        <v>498</v>
      </c>
      <c r="L7246">
        <v>1</v>
      </c>
      <c r="M7246" t="s">
        <v>29338</v>
      </c>
      <c r="N7246" t="s">
        <v>685</v>
      </c>
      <c r="O7246" t="s">
        <v>9477</v>
      </c>
      <c r="P7246" t="s">
        <v>9477</v>
      </c>
      <c r="Y7246" t="s">
        <v>29339</v>
      </c>
    </row>
    <row r="7247" spans="1:25">
      <c r="A7247" t="s">
        <v>29340</v>
      </c>
      <c r="B7247" t="s">
        <v>29341</v>
      </c>
      <c r="D7247" t="s">
        <v>9473</v>
      </c>
      <c r="E7247" t="s">
        <v>9474</v>
      </c>
      <c r="J7247" t="s">
        <v>765</v>
      </c>
      <c r="K7247" t="s">
        <v>766</v>
      </c>
      <c r="L7247">
        <v>1</v>
      </c>
      <c r="M7247" t="s">
        <v>29342</v>
      </c>
      <c r="N7247" t="s">
        <v>27098</v>
      </c>
      <c r="O7247" t="s">
        <v>9477</v>
      </c>
      <c r="P7247" t="s">
        <v>9477</v>
      </c>
      <c r="Y7247" t="s">
        <v>29343</v>
      </c>
    </row>
    <row r="7248" spans="1:25">
      <c r="A7248" t="s">
        <v>29344</v>
      </c>
      <c r="B7248" t="s">
        <v>29345</v>
      </c>
      <c r="D7248" t="s">
        <v>9473</v>
      </c>
      <c r="E7248" t="s">
        <v>9474</v>
      </c>
      <c r="H7248" t="s">
        <v>29346</v>
      </c>
      <c r="J7248" t="s">
        <v>765</v>
      </c>
      <c r="K7248" t="s">
        <v>766</v>
      </c>
      <c r="L7248">
        <v>2</v>
      </c>
      <c r="M7248" t="s">
        <v>29347</v>
      </c>
      <c r="N7248" t="s">
        <v>27152</v>
      </c>
      <c r="O7248" t="s">
        <v>9477</v>
      </c>
      <c r="P7248" t="s">
        <v>9477</v>
      </c>
      <c r="Y7248" t="s">
        <v>29346</v>
      </c>
    </row>
    <row r="7249" spans="1:25">
      <c r="A7249" t="s">
        <v>29348</v>
      </c>
      <c r="B7249" t="s">
        <v>29349</v>
      </c>
      <c r="D7249" t="s">
        <v>9473</v>
      </c>
      <c r="E7249" t="s">
        <v>9474</v>
      </c>
      <c r="J7249" t="s">
        <v>9759</v>
      </c>
      <c r="K7249" t="s">
        <v>9760</v>
      </c>
      <c r="L7249">
        <v>2</v>
      </c>
      <c r="M7249" t="s">
        <v>29350</v>
      </c>
      <c r="N7249" t="s">
        <v>47</v>
      </c>
      <c r="O7249" t="s">
        <v>9477</v>
      </c>
      <c r="P7249" t="s">
        <v>9477</v>
      </c>
      <c r="Y7249" t="s">
        <v>29351</v>
      </c>
    </row>
    <row r="7250" spans="1:25">
      <c r="A7250" t="s">
        <v>29352</v>
      </c>
      <c r="B7250" t="s">
        <v>29353</v>
      </c>
      <c r="D7250" t="s">
        <v>9473</v>
      </c>
      <c r="E7250" t="s">
        <v>9474</v>
      </c>
      <c r="H7250" t="s">
        <v>29354</v>
      </c>
      <c r="J7250" t="s">
        <v>765</v>
      </c>
      <c r="K7250" t="s">
        <v>766</v>
      </c>
      <c r="L7250">
        <v>2</v>
      </c>
      <c r="M7250" t="s">
        <v>29355</v>
      </c>
      <c r="N7250" t="s">
        <v>27098</v>
      </c>
      <c r="O7250" t="s">
        <v>9477</v>
      </c>
      <c r="P7250" t="s">
        <v>9477</v>
      </c>
      <c r="Y7250" t="s">
        <v>29354</v>
      </c>
    </row>
    <row r="7251" spans="1:25">
      <c r="A7251" t="s">
        <v>29356</v>
      </c>
      <c r="B7251" t="s">
        <v>29357</v>
      </c>
      <c r="D7251" t="s">
        <v>9473</v>
      </c>
      <c r="E7251" t="s">
        <v>9474</v>
      </c>
      <c r="J7251" t="s">
        <v>497</v>
      </c>
      <c r="K7251" t="s">
        <v>498</v>
      </c>
      <c r="L7251">
        <v>1</v>
      </c>
      <c r="M7251" t="s">
        <v>29358</v>
      </c>
      <c r="N7251" t="s">
        <v>685</v>
      </c>
      <c r="O7251" t="s">
        <v>9477</v>
      </c>
      <c r="P7251" t="s">
        <v>9477</v>
      </c>
      <c r="Y7251" t="s">
        <v>29359</v>
      </c>
    </row>
    <row r="7252" spans="1:25">
      <c r="A7252" t="s">
        <v>29360</v>
      </c>
      <c r="B7252" t="s">
        <v>29361</v>
      </c>
      <c r="D7252" t="s">
        <v>9473</v>
      </c>
      <c r="E7252" t="s">
        <v>9474</v>
      </c>
      <c r="J7252" t="s">
        <v>5964</v>
      </c>
      <c r="K7252" t="s">
        <v>5965</v>
      </c>
      <c r="L7252">
        <v>1</v>
      </c>
      <c r="M7252" t="s">
        <v>29362</v>
      </c>
      <c r="N7252" t="s">
        <v>27115</v>
      </c>
      <c r="O7252" t="s">
        <v>9477</v>
      </c>
      <c r="P7252" t="s">
        <v>9477</v>
      </c>
      <c r="Y7252" t="s">
        <v>29363</v>
      </c>
    </row>
    <row r="7253" spans="1:25">
      <c r="A7253" t="s">
        <v>29364</v>
      </c>
      <c r="B7253" t="s">
        <v>29365</v>
      </c>
      <c r="D7253" t="s">
        <v>9473</v>
      </c>
      <c r="E7253" t="s">
        <v>9474</v>
      </c>
      <c r="J7253" t="s">
        <v>927</v>
      </c>
      <c r="K7253" t="s">
        <v>928</v>
      </c>
      <c r="L7253">
        <v>1</v>
      </c>
      <c r="M7253" t="s">
        <v>29366</v>
      </c>
      <c r="N7253" t="s">
        <v>27098</v>
      </c>
      <c r="O7253" t="s">
        <v>9477</v>
      </c>
      <c r="P7253" t="s">
        <v>9477</v>
      </c>
      <c r="Y7253" t="s">
        <v>29367</v>
      </c>
    </row>
    <row r="7254" spans="1:25">
      <c r="A7254" t="s">
        <v>29368</v>
      </c>
      <c r="B7254" t="s">
        <v>29369</v>
      </c>
      <c r="D7254" t="s">
        <v>9473</v>
      </c>
      <c r="E7254" t="s">
        <v>9474</v>
      </c>
      <c r="H7254" t="s">
        <v>29370</v>
      </c>
      <c r="J7254" t="s">
        <v>765</v>
      </c>
      <c r="K7254" t="s">
        <v>766</v>
      </c>
      <c r="L7254">
        <v>2</v>
      </c>
      <c r="M7254" t="s">
        <v>29371</v>
      </c>
      <c r="N7254" t="s">
        <v>27074</v>
      </c>
      <c r="O7254" t="s">
        <v>9477</v>
      </c>
      <c r="P7254" t="s">
        <v>9477</v>
      </c>
      <c r="Y7254" t="s">
        <v>29370</v>
      </c>
    </row>
    <row r="7255" spans="1:25">
      <c r="A7255" t="s">
        <v>29372</v>
      </c>
      <c r="B7255" t="s">
        <v>29373</v>
      </c>
      <c r="D7255" t="s">
        <v>9473</v>
      </c>
      <c r="E7255" t="s">
        <v>9474</v>
      </c>
      <c r="H7255" t="s">
        <v>29374</v>
      </c>
      <c r="J7255" t="s">
        <v>390</v>
      </c>
      <c r="K7255" t="s">
        <v>390</v>
      </c>
      <c r="L7255">
        <v>1</v>
      </c>
      <c r="M7255" t="s">
        <v>29375</v>
      </c>
      <c r="N7255" t="s">
        <v>290</v>
      </c>
      <c r="O7255" t="s">
        <v>9477</v>
      </c>
      <c r="P7255" t="s">
        <v>9477</v>
      </c>
      <c r="Y7255" t="s">
        <v>29374</v>
      </c>
    </row>
    <row r="7256" spans="1:25">
      <c r="A7256" t="s">
        <v>29376</v>
      </c>
      <c r="B7256" t="s">
        <v>29377</v>
      </c>
      <c r="D7256" t="s">
        <v>9473</v>
      </c>
      <c r="E7256" t="s">
        <v>9474</v>
      </c>
      <c r="J7256" t="s">
        <v>497</v>
      </c>
      <c r="K7256" t="s">
        <v>498</v>
      </c>
      <c r="L7256">
        <v>1</v>
      </c>
      <c r="M7256" t="s">
        <v>29378</v>
      </c>
      <c r="N7256" t="s">
        <v>27074</v>
      </c>
      <c r="O7256" t="s">
        <v>9477</v>
      </c>
      <c r="P7256" t="s">
        <v>9477</v>
      </c>
      <c r="Y7256" t="s">
        <v>29379</v>
      </c>
    </row>
    <row r="7257" spans="1:25">
      <c r="A7257" t="s">
        <v>29380</v>
      </c>
      <c r="B7257" t="s">
        <v>29381</v>
      </c>
      <c r="D7257" t="s">
        <v>9473</v>
      </c>
      <c r="E7257" t="s">
        <v>9474</v>
      </c>
      <c r="J7257" t="s">
        <v>497</v>
      </c>
      <c r="K7257" t="s">
        <v>498</v>
      </c>
      <c r="L7257">
        <v>1</v>
      </c>
      <c r="M7257" t="s">
        <v>29382</v>
      </c>
      <c r="N7257" t="s">
        <v>27074</v>
      </c>
      <c r="O7257" t="s">
        <v>9477</v>
      </c>
      <c r="P7257" t="s">
        <v>9477</v>
      </c>
      <c r="Y7257" t="s">
        <v>29383</v>
      </c>
    </row>
    <row r="7258" spans="1:25">
      <c r="A7258" t="s">
        <v>29384</v>
      </c>
      <c r="B7258" t="s">
        <v>29385</v>
      </c>
      <c r="D7258" t="s">
        <v>9473</v>
      </c>
      <c r="E7258" t="s">
        <v>9474</v>
      </c>
      <c r="J7258" t="s">
        <v>5844</v>
      </c>
      <c r="K7258" t="s">
        <v>5845</v>
      </c>
      <c r="L7258">
        <v>1</v>
      </c>
      <c r="M7258" t="s">
        <v>29382</v>
      </c>
      <c r="N7258" t="s">
        <v>135</v>
      </c>
      <c r="O7258" t="s">
        <v>9477</v>
      </c>
      <c r="P7258" t="s">
        <v>9477</v>
      </c>
      <c r="Y7258" t="s">
        <v>29386</v>
      </c>
    </row>
    <row r="7259" spans="1:25">
      <c r="A7259" t="s">
        <v>29387</v>
      </c>
      <c r="B7259" t="s">
        <v>29388</v>
      </c>
      <c r="D7259" t="s">
        <v>9473</v>
      </c>
      <c r="E7259" t="s">
        <v>9474</v>
      </c>
      <c r="J7259" t="s">
        <v>765</v>
      </c>
      <c r="K7259" t="s">
        <v>766</v>
      </c>
      <c r="L7259">
        <v>1</v>
      </c>
      <c r="M7259" t="s">
        <v>29389</v>
      </c>
      <c r="N7259" t="s">
        <v>27152</v>
      </c>
      <c r="O7259" t="s">
        <v>9477</v>
      </c>
      <c r="P7259" t="s">
        <v>9477</v>
      </c>
      <c r="Y7259" t="s">
        <v>29390</v>
      </c>
    </row>
    <row r="7260" spans="1:25">
      <c r="A7260" t="s">
        <v>29391</v>
      </c>
      <c r="B7260" t="s">
        <v>29392</v>
      </c>
      <c r="D7260" t="s">
        <v>9473</v>
      </c>
      <c r="E7260" t="s">
        <v>9474</v>
      </c>
      <c r="J7260" t="s">
        <v>765</v>
      </c>
      <c r="K7260" t="s">
        <v>766</v>
      </c>
      <c r="L7260">
        <v>1</v>
      </c>
      <c r="M7260" t="s">
        <v>29393</v>
      </c>
      <c r="N7260" t="s">
        <v>290</v>
      </c>
      <c r="O7260" t="s">
        <v>9477</v>
      </c>
      <c r="P7260" t="s">
        <v>9477</v>
      </c>
      <c r="Y7260" t="s">
        <v>29394</v>
      </c>
    </row>
    <row r="7261" spans="1:25">
      <c r="A7261" t="s">
        <v>29395</v>
      </c>
      <c r="B7261" t="s">
        <v>29396</v>
      </c>
      <c r="D7261" t="s">
        <v>9473</v>
      </c>
      <c r="E7261" t="s">
        <v>9474</v>
      </c>
      <c r="J7261" t="s">
        <v>497</v>
      </c>
      <c r="K7261" t="s">
        <v>498</v>
      </c>
      <c r="L7261">
        <v>1</v>
      </c>
      <c r="M7261" t="s">
        <v>29397</v>
      </c>
      <c r="N7261" t="s">
        <v>685</v>
      </c>
      <c r="O7261" t="s">
        <v>9477</v>
      </c>
      <c r="P7261" t="s">
        <v>9477</v>
      </c>
      <c r="Y7261" t="s">
        <v>29398</v>
      </c>
    </row>
    <row r="7262" spans="1:25">
      <c r="A7262" t="s">
        <v>29399</v>
      </c>
      <c r="B7262" t="s">
        <v>29400</v>
      </c>
      <c r="D7262" t="s">
        <v>9473</v>
      </c>
      <c r="E7262" t="s">
        <v>9474</v>
      </c>
      <c r="J7262" t="s">
        <v>497</v>
      </c>
      <c r="K7262" t="s">
        <v>498</v>
      </c>
      <c r="L7262">
        <v>1</v>
      </c>
      <c r="M7262" t="s">
        <v>29401</v>
      </c>
      <c r="N7262" t="s">
        <v>685</v>
      </c>
      <c r="O7262" t="s">
        <v>9477</v>
      </c>
      <c r="P7262" t="s">
        <v>9477</v>
      </c>
      <c r="Y7262" t="s">
        <v>29402</v>
      </c>
    </row>
    <row r="7263" spans="1:25">
      <c r="A7263" t="s">
        <v>29403</v>
      </c>
      <c r="B7263" t="s">
        <v>29404</v>
      </c>
      <c r="D7263" t="s">
        <v>9473</v>
      </c>
      <c r="E7263" t="s">
        <v>9474</v>
      </c>
      <c r="H7263" t="s">
        <v>29405</v>
      </c>
      <c r="J7263" t="s">
        <v>2605</v>
      </c>
      <c r="K7263" t="s">
        <v>2606</v>
      </c>
      <c r="L7263">
        <v>1</v>
      </c>
      <c r="M7263" t="s">
        <v>29406</v>
      </c>
      <c r="N7263" t="s">
        <v>685</v>
      </c>
      <c r="O7263" t="s">
        <v>9477</v>
      </c>
      <c r="P7263" t="s">
        <v>9477</v>
      </c>
      <c r="Y7263" t="s">
        <v>29405</v>
      </c>
    </row>
    <row r="7264" spans="1:25">
      <c r="A7264" t="s">
        <v>29407</v>
      </c>
      <c r="B7264" t="s">
        <v>29408</v>
      </c>
      <c r="D7264" t="s">
        <v>9473</v>
      </c>
      <c r="E7264" t="s">
        <v>9474</v>
      </c>
      <c r="J7264" t="s">
        <v>497</v>
      </c>
      <c r="K7264" t="s">
        <v>498</v>
      </c>
      <c r="L7264">
        <v>1</v>
      </c>
      <c r="M7264" t="s">
        <v>29409</v>
      </c>
      <c r="N7264" t="s">
        <v>27115</v>
      </c>
      <c r="O7264" t="s">
        <v>9477</v>
      </c>
      <c r="P7264" t="s">
        <v>9477</v>
      </c>
      <c r="Y7264" t="s">
        <v>29410</v>
      </c>
    </row>
    <row r="7265" spans="1:25">
      <c r="A7265" t="s">
        <v>29411</v>
      </c>
      <c r="B7265" t="s">
        <v>29412</v>
      </c>
      <c r="D7265" t="s">
        <v>9473</v>
      </c>
      <c r="E7265" t="s">
        <v>9474</v>
      </c>
      <c r="J7265" t="s">
        <v>765</v>
      </c>
      <c r="K7265" t="s">
        <v>766</v>
      </c>
      <c r="L7265">
        <v>1</v>
      </c>
      <c r="M7265" t="s">
        <v>29413</v>
      </c>
      <c r="N7265" t="s">
        <v>27152</v>
      </c>
      <c r="O7265" t="s">
        <v>9477</v>
      </c>
      <c r="P7265" t="s">
        <v>9477</v>
      </c>
      <c r="Y7265" t="s">
        <v>29414</v>
      </c>
    </row>
    <row r="7266" spans="1:25">
      <c r="A7266" t="s">
        <v>29415</v>
      </c>
      <c r="B7266" t="s">
        <v>29416</v>
      </c>
      <c r="D7266" t="s">
        <v>9473</v>
      </c>
      <c r="E7266" t="s">
        <v>9474</v>
      </c>
      <c r="H7266" t="s">
        <v>29417</v>
      </c>
      <c r="J7266" t="s">
        <v>765</v>
      </c>
      <c r="K7266" t="s">
        <v>766</v>
      </c>
      <c r="L7266">
        <v>1</v>
      </c>
      <c r="M7266" t="s">
        <v>29418</v>
      </c>
      <c r="N7266" t="s">
        <v>27152</v>
      </c>
      <c r="O7266" t="s">
        <v>9477</v>
      </c>
      <c r="P7266" t="s">
        <v>9477</v>
      </c>
      <c r="Y7266" t="s">
        <v>29417</v>
      </c>
    </row>
    <row r="7267" spans="1:25">
      <c r="A7267" t="s">
        <v>29419</v>
      </c>
      <c r="B7267" t="s">
        <v>29420</v>
      </c>
      <c r="D7267" t="s">
        <v>9473</v>
      </c>
      <c r="E7267" t="s">
        <v>9474</v>
      </c>
      <c r="J7267" t="s">
        <v>497</v>
      </c>
      <c r="K7267" t="s">
        <v>498</v>
      </c>
      <c r="L7267">
        <v>1</v>
      </c>
      <c r="M7267" t="s">
        <v>29418</v>
      </c>
      <c r="N7267" t="s">
        <v>27094</v>
      </c>
      <c r="O7267" t="s">
        <v>9477</v>
      </c>
      <c r="P7267" t="s">
        <v>9477</v>
      </c>
      <c r="Y7267" t="s">
        <v>29421</v>
      </c>
    </row>
    <row r="7268" spans="1:25">
      <c r="A7268" t="s">
        <v>29422</v>
      </c>
      <c r="B7268" t="s">
        <v>29423</v>
      </c>
      <c r="D7268" t="s">
        <v>9473</v>
      </c>
      <c r="E7268" t="s">
        <v>9474</v>
      </c>
      <c r="J7268" t="s">
        <v>5964</v>
      </c>
      <c r="K7268" t="s">
        <v>5965</v>
      </c>
      <c r="L7268">
        <v>1</v>
      </c>
      <c r="M7268" t="s">
        <v>29424</v>
      </c>
      <c r="N7268" t="s">
        <v>685</v>
      </c>
      <c r="O7268" t="s">
        <v>9477</v>
      </c>
      <c r="P7268" t="s">
        <v>9477</v>
      </c>
      <c r="Y7268" t="s">
        <v>29425</v>
      </c>
    </row>
    <row r="7269" spans="1:25">
      <c r="A7269" t="s">
        <v>29426</v>
      </c>
      <c r="B7269" t="s">
        <v>29427</v>
      </c>
      <c r="D7269" t="s">
        <v>9473</v>
      </c>
      <c r="E7269" t="s">
        <v>9474</v>
      </c>
      <c r="J7269" t="s">
        <v>927</v>
      </c>
      <c r="K7269" t="s">
        <v>928</v>
      </c>
      <c r="L7269">
        <v>1</v>
      </c>
      <c r="M7269" t="s">
        <v>29428</v>
      </c>
      <c r="N7269" t="s">
        <v>135</v>
      </c>
      <c r="O7269" t="s">
        <v>9477</v>
      </c>
      <c r="P7269" t="s">
        <v>9477</v>
      </c>
      <c r="Y7269" t="s">
        <v>29429</v>
      </c>
    </row>
    <row r="7270" spans="1:25">
      <c r="A7270" t="s">
        <v>29430</v>
      </c>
      <c r="B7270" t="s">
        <v>29431</v>
      </c>
      <c r="D7270" t="s">
        <v>9473</v>
      </c>
      <c r="E7270" t="s">
        <v>9474</v>
      </c>
      <c r="J7270" t="s">
        <v>765</v>
      </c>
      <c r="K7270" t="s">
        <v>766</v>
      </c>
      <c r="L7270">
        <v>1</v>
      </c>
      <c r="M7270" t="s">
        <v>29432</v>
      </c>
      <c r="N7270" t="s">
        <v>27094</v>
      </c>
      <c r="O7270" t="s">
        <v>9477</v>
      </c>
      <c r="P7270" t="s">
        <v>9477</v>
      </c>
      <c r="Y7270" t="s">
        <v>29433</v>
      </c>
    </row>
    <row r="7271" spans="1:25">
      <c r="A7271" t="s">
        <v>29434</v>
      </c>
      <c r="B7271" t="s">
        <v>29435</v>
      </c>
      <c r="D7271" t="s">
        <v>9473</v>
      </c>
      <c r="E7271" t="s">
        <v>9474</v>
      </c>
      <c r="J7271" t="s">
        <v>497</v>
      </c>
      <c r="K7271" t="s">
        <v>498</v>
      </c>
      <c r="L7271">
        <v>1</v>
      </c>
      <c r="M7271" t="s">
        <v>29436</v>
      </c>
      <c r="N7271" t="s">
        <v>685</v>
      </c>
      <c r="O7271" t="s">
        <v>9477</v>
      </c>
      <c r="P7271" t="s">
        <v>9477</v>
      </c>
      <c r="Y7271" t="s">
        <v>29437</v>
      </c>
    </row>
    <row r="7272" spans="1:25">
      <c r="A7272" t="s">
        <v>29438</v>
      </c>
      <c r="B7272" t="s">
        <v>29439</v>
      </c>
      <c r="D7272" t="s">
        <v>9473</v>
      </c>
      <c r="E7272" t="s">
        <v>9474</v>
      </c>
      <c r="J7272" t="s">
        <v>497</v>
      </c>
      <c r="K7272" t="s">
        <v>498</v>
      </c>
      <c r="L7272">
        <v>1</v>
      </c>
      <c r="M7272" t="s">
        <v>29440</v>
      </c>
      <c r="N7272" t="s">
        <v>27094</v>
      </c>
      <c r="O7272" t="s">
        <v>9477</v>
      </c>
      <c r="P7272" t="s">
        <v>9477</v>
      </c>
      <c r="Y7272" t="s">
        <v>29441</v>
      </c>
    </row>
    <row r="7273" spans="1:25">
      <c r="A7273" t="s">
        <v>29442</v>
      </c>
      <c r="B7273" t="s">
        <v>29443</v>
      </c>
      <c r="D7273" t="s">
        <v>9473</v>
      </c>
      <c r="E7273" t="s">
        <v>9474</v>
      </c>
      <c r="J7273" t="s">
        <v>927</v>
      </c>
      <c r="K7273" t="s">
        <v>928</v>
      </c>
      <c r="L7273">
        <v>1</v>
      </c>
      <c r="M7273" t="s">
        <v>29444</v>
      </c>
      <c r="N7273" t="s">
        <v>290</v>
      </c>
      <c r="O7273" t="s">
        <v>9477</v>
      </c>
      <c r="P7273" t="s">
        <v>9477</v>
      </c>
      <c r="Y7273" t="s">
        <v>29445</v>
      </c>
    </row>
    <row r="7274" spans="1:25">
      <c r="A7274" t="s">
        <v>29446</v>
      </c>
      <c r="B7274" t="s">
        <v>29447</v>
      </c>
      <c r="D7274" t="s">
        <v>9473</v>
      </c>
      <c r="E7274" t="s">
        <v>9474</v>
      </c>
      <c r="H7274" t="s">
        <v>29448</v>
      </c>
      <c r="J7274" t="s">
        <v>765</v>
      </c>
      <c r="K7274" t="s">
        <v>766</v>
      </c>
      <c r="L7274">
        <v>1</v>
      </c>
      <c r="M7274" t="s">
        <v>29449</v>
      </c>
      <c r="N7274" t="s">
        <v>27152</v>
      </c>
      <c r="O7274" t="s">
        <v>9477</v>
      </c>
      <c r="P7274" t="s">
        <v>9477</v>
      </c>
      <c r="Y7274" t="s">
        <v>29448</v>
      </c>
    </row>
    <row r="7275" spans="1:25">
      <c r="A7275" t="s">
        <v>29450</v>
      </c>
      <c r="B7275" t="s">
        <v>29451</v>
      </c>
      <c r="D7275" t="s">
        <v>9473</v>
      </c>
      <c r="E7275" t="s">
        <v>9474</v>
      </c>
      <c r="J7275" t="s">
        <v>765</v>
      </c>
      <c r="K7275" t="s">
        <v>766</v>
      </c>
      <c r="L7275">
        <v>1</v>
      </c>
      <c r="M7275" t="s">
        <v>29452</v>
      </c>
      <c r="N7275" t="s">
        <v>27094</v>
      </c>
      <c r="O7275" t="s">
        <v>9477</v>
      </c>
      <c r="P7275" t="s">
        <v>9477</v>
      </c>
      <c r="Y7275" t="s">
        <v>29453</v>
      </c>
    </row>
    <row r="7276" spans="1:25">
      <c r="A7276" t="s">
        <v>29454</v>
      </c>
      <c r="B7276" t="s">
        <v>29455</v>
      </c>
      <c r="D7276" t="s">
        <v>9473</v>
      </c>
      <c r="E7276" t="s">
        <v>9474</v>
      </c>
      <c r="H7276" t="s">
        <v>29456</v>
      </c>
      <c r="J7276" t="s">
        <v>10083</v>
      </c>
      <c r="K7276" t="s">
        <v>10084</v>
      </c>
      <c r="L7276">
        <v>3</v>
      </c>
      <c r="M7276" t="s">
        <v>29457</v>
      </c>
      <c r="N7276" t="s">
        <v>290</v>
      </c>
      <c r="O7276" t="s">
        <v>9477</v>
      </c>
      <c r="P7276" t="s">
        <v>9477</v>
      </c>
      <c r="Y7276" t="s">
        <v>29456</v>
      </c>
    </row>
    <row r="7277" spans="1:25">
      <c r="A7277" t="s">
        <v>29458</v>
      </c>
      <c r="B7277" t="s">
        <v>29459</v>
      </c>
      <c r="D7277" t="s">
        <v>9473</v>
      </c>
      <c r="E7277" t="s">
        <v>9474</v>
      </c>
      <c r="J7277" t="s">
        <v>3829</v>
      </c>
      <c r="K7277" t="s">
        <v>3830</v>
      </c>
      <c r="L7277">
        <v>1</v>
      </c>
      <c r="M7277" t="s">
        <v>29460</v>
      </c>
      <c r="N7277" t="s">
        <v>685</v>
      </c>
      <c r="O7277" t="s">
        <v>9477</v>
      </c>
      <c r="P7277" t="s">
        <v>9477</v>
      </c>
      <c r="Y7277" t="s">
        <v>29461</v>
      </c>
    </row>
    <row r="7278" spans="1:25">
      <c r="A7278" t="s">
        <v>29462</v>
      </c>
      <c r="B7278" t="s">
        <v>29463</v>
      </c>
      <c r="D7278" t="s">
        <v>9473</v>
      </c>
      <c r="E7278" t="s">
        <v>9474</v>
      </c>
      <c r="J7278" t="s">
        <v>765</v>
      </c>
      <c r="K7278" t="s">
        <v>766</v>
      </c>
      <c r="L7278">
        <v>1</v>
      </c>
      <c r="M7278" t="s">
        <v>29464</v>
      </c>
      <c r="N7278" t="s">
        <v>27152</v>
      </c>
      <c r="O7278" t="s">
        <v>9477</v>
      </c>
      <c r="P7278" t="s">
        <v>9477</v>
      </c>
      <c r="Y7278" t="s">
        <v>29465</v>
      </c>
    </row>
    <row r="7279" spans="1:25">
      <c r="A7279" t="s">
        <v>29466</v>
      </c>
      <c r="B7279" t="s">
        <v>29467</v>
      </c>
      <c r="D7279" t="s">
        <v>9473</v>
      </c>
      <c r="E7279" t="s">
        <v>9474</v>
      </c>
      <c r="J7279" t="s">
        <v>9719</v>
      </c>
      <c r="K7279" t="s">
        <v>9720</v>
      </c>
      <c r="L7279">
        <v>1</v>
      </c>
      <c r="M7279" t="s">
        <v>29468</v>
      </c>
      <c r="N7279" t="s">
        <v>27098</v>
      </c>
      <c r="O7279" t="s">
        <v>9477</v>
      </c>
      <c r="P7279" t="s">
        <v>9477</v>
      </c>
      <c r="Y7279" t="s">
        <v>29469</v>
      </c>
    </row>
    <row r="7280" spans="1:25">
      <c r="A7280" t="s">
        <v>29470</v>
      </c>
      <c r="B7280" t="s">
        <v>29471</v>
      </c>
      <c r="D7280" t="s">
        <v>9473</v>
      </c>
      <c r="E7280" t="s">
        <v>9474</v>
      </c>
      <c r="H7280" t="s">
        <v>29472</v>
      </c>
      <c r="J7280" t="s">
        <v>5844</v>
      </c>
      <c r="K7280" t="s">
        <v>5845</v>
      </c>
      <c r="L7280">
        <v>1</v>
      </c>
      <c r="M7280" t="s">
        <v>29473</v>
      </c>
      <c r="N7280" t="s">
        <v>27094</v>
      </c>
      <c r="O7280" t="s">
        <v>9477</v>
      </c>
      <c r="P7280" t="s">
        <v>9477</v>
      </c>
      <c r="Y7280" t="s">
        <v>29472</v>
      </c>
    </row>
    <row r="7281" spans="1:25">
      <c r="A7281" t="s">
        <v>29474</v>
      </c>
      <c r="B7281" t="s">
        <v>29475</v>
      </c>
      <c r="D7281" t="s">
        <v>9473</v>
      </c>
      <c r="E7281" t="s">
        <v>9474</v>
      </c>
      <c r="J7281" t="s">
        <v>765</v>
      </c>
      <c r="K7281" t="s">
        <v>766</v>
      </c>
      <c r="L7281">
        <v>2</v>
      </c>
      <c r="M7281" t="s">
        <v>29476</v>
      </c>
      <c r="N7281" t="s">
        <v>27152</v>
      </c>
      <c r="O7281" t="s">
        <v>9477</v>
      </c>
      <c r="P7281" t="s">
        <v>9477</v>
      </c>
      <c r="Y7281" t="s">
        <v>29477</v>
      </c>
    </row>
    <row r="7282" spans="1:25">
      <c r="A7282" t="s">
        <v>29478</v>
      </c>
      <c r="B7282" t="s">
        <v>29479</v>
      </c>
      <c r="D7282" t="s">
        <v>9473</v>
      </c>
      <c r="E7282" t="s">
        <v>9474</v>
      </c>
      <c r="J7282" t="s">
        <v>765</v>
      </c>
      <c r="K7282" t="s">
        <v>766</v>
      </c>
      <c r="L7282">
        <v>1</v>
      </c>
      <c r="M7282" t="s">
        <v>29480</v>
      </c>
      <c r="N7282" t="s">
        <v>685</v>
      </c>
      <c r="O7282" t="s">
        <v>9477</v>
      </c>
      <c r="P7282" t="s">
        <v>9477</v>
      </c>
      <c r="Y7282" t="s">
        <v>29481</v>
      </c>
    </row>
    <row r="7283" spans="1:25">
      <c r="A7283" t="s">
        <v>29482</v>
      </c>
      <c r="B7283" t="s">
        <v>29483</v>
      </c>
      <c r="D7283" t="s">
        <v>9473</v>
      </c>
      <c r="E7283" t="s">
        <v>9474</v>
      </c>
      <c r="J7283" t="s">
        <v>497</v>
      </c>
      <c r="K7283" t="s">
        <v>498</v>
      </c>
      <c r="L7283">
        <v>1</v>
      </c>
      <c r="M7283" t="s">
        <v>29484</v>
      </c>
      <c r="N7283" t="s">
        <v>27094</v>
      </c>
      <c r="O7283" t="s">
        <v>9477</v>
      </c>
      <c r="P7283" t="s">
        <v>9477</v>
      </c>
      <c r="Y7283" t="s">
        <v>29485</v>
      </c>
    </row>
    <row r="7284" spans="1:25">
      <c r="A7284" t="s">
        <v>29486</v>
      </c>
      <c r="B7284" t="s">
        <v>29487</v>
      </c>
      <c r="D7284" t="s">
        <v>9473</v>
      </c>
      <c r="E7284" t="s">
        <v>9474</v>
      </c>
      <c r="J7284" t="s">
        <v>683</v>
      </c>
      <c r="K7284" t="s">
        <v>684</v>
      </c>
      <c r="L7284">
        <v>1</v>
      </c>
      <c r="M7284" t="s">
        <v>29488</v>
      </c>
      <c r="N7284" t="s">
        <v>27074</v>
      </c>
      <c r="O7284" t="s">
        <v>9477</v>
      </c>
      <c r="P7284" t="s">
        <v>9477</v>
      </c>
      <c r="Y7284" t="s">
        <v>29489</v>
      </c>
    </row>
    <row r="7285" spans="1:25">
      <c r="A7285" t="s">
        <v>29490</v>
      </c>
      <c r="B7285" t="s">
        <v>29491</v>
      </c>
      <c r="D7285" t="s">
        <v>9473</v>
      </c>
      <c r="E7285" t="s">
        <v>9474</v>
      </c>
      <c r="H7285" t="s">
        <v>29492</v>
      </c>
      <c r="J7285" t="s">
        <v>765</v>
      </c>
      <c r="K7285" t="s">
        <v>766</v>
      </c>
      <c r="L7285">
        <v>1</v>
      </c>
      <c r="M7285" t="s">
        <v>29493</v>
      </c>
      <c r="N7285" t="s">
        <v>27152</v>
      </c>
      <c r="O7285" t="s">
        <v>9477</v>
      </c>
      <c r="P7285" t="s">
        <v>9477</v>
      </c>
      <c r="Y7285" t="s">
        <v>29492</v>
      </c>
    </row>
    <row r="7286" spans="1:25">
      <c r="A7286" t="s">
        <v>29494</v>
      </c>
      <c r="B7286" t="s">
        <v>29495</v>
      </c>
      <c r="D7286" t="s">
        <v>9473</v>
      </c>
      <c r="E7286" t="s">
        <v>9474</v>
      </c>
      <c r="H7286" t="s">
        <v>29496</v>
      </c>
      <c r="J7286" t="s">
        <v>927</v>
      </c>
      <c r="K7286" t="s">
        <v>928</v>
      </c>
      <c r="L7286">
        <v>2</v>
      </c>
      <c r="M7286" t="s">
        <v>29497</v>
      </c>
      <c r="N7286" t="s">
        <v>135</v>
      </c>
      <c r="O7286" t="s">
        <v>9477</v>
      </c>
      <c r="P7286" t="s">
        <v>9477</v>
      </c>
      <c r="Y7286" t="s">
        <v>29496</v>
      </c>
    </row>
    <row r="7287" spans="1:25">
      <c r="A7287" t="s">
        <v>29498</v>
      </c>
      <c r="B7287" t="s">
        <v>29499</v>
      </c>
      <c r="D7287" t="s">
        <v>9473</v>
      </c>
      <c r="E7287" t="s">
        <v>9474</v>
      </c>
      <c r="J7287" t="s">
        <v>9759</v>
      </c>
      <c r="K7287" t="s">
        <v>9760</v>
      </c>
      <c r="L7287">
        <v>2</v>
      </c>
      <c r="M7287" t="s">
        <v>29500</v>
      </c>
      <c r="N7287" t="s">
        <v>685</v>
      </c>
      <c r="O7287" t="s">
        <v>9477</v>
      </c>
      <c r="P7287" t="s">
        <v>9477</v>
      </c>
      <c r="Y7287" t="s">
        <v>29501</v>
      </c>
    </row>
    <row r="7288" spans="1:25">
      <c r="A7288" t="s">
        <v>29502</v>
      </c>
      <c r="B7288" t="s">
        <v>29503</v>
      </c>
      <c r="D7288" t="s">
        <v>9473</v>
      </c>
      <c r="E7288" t="s">
        <v>9474</v>
      </c>
      <c r="J7288" t="s">
        <v>1571</v>
      </c>
      <c r="K7288" t="s">
        <v>1572</v>
      </c>
      <c r="L7288">
        <v>2</v>
      </c>
      <c r="M7288" t="s">
        <v>29504</v>
      </c>
      <c r="N7288" t="s">
        <v>685</v>
      </c>
      <c r="O7288" t="s">
        <v>9477</v>
      </c>
      <c r="P7288" t="s">
        <v>9477</v>
      </c>
      <c r="Y7288" t="s">
        <v>29505</v>
      </c>
    </row>
    <row r="7289" spans="1:25">
      <c r="A7289" t="s">
        <v>29506</v>
      </c>
      <c r="B7289" t="s">
        <v>29507</v>
      </c>
      <c r="D7289" t="s">
        <v>9473</v>
      </c>
      <c r="E7289" t="s">
        <v>9474</v>
      </c>
      <c r="J7289" t="s">
        <v>927</v>
      </c>
      <c r="K7289" t="s">
        <v>928</v>
      </c>
      <c r="L7289">
        <v>1</v>
      </c>
      <c r="M7289" t="s">
        <v>29508</v>
      </c>
      <c r="N7289" t="s">
        <v>27074</v>
      </c>
      <c r="O7289" t="s">
        <v>9477</v>
      </c>
      <c r="P7289" t="s">
        <v>9477</v>
      </c>
      <c r="Y7289" t="s">
        <v>29509</v>
      </c>
    </row>
    <row r="7290" spans="1:25">
      <c r="A7290" t="s">
        <v>29510</v>
      </c>
      <c r="B7290" t="s">
        <v>29511</v>
      </c>
      <c r="D7290" t="s">
        <v>9473</v>
      </c>
      <c r="E7290" t="s">
        <v>9474</v>
      </c>
      <c r="J7290" t="s">
        <v>497</v>
      </c>
      <c r="K7290" t="s">
        <v>498</v>
      </c>
      <c r="L7290">
        <v>1</v>
      </c>
      <c r="M7290" t="s">
        <v>29512</v>
      </c>
      <c r="N7290" t="s">
        <v>685</v>
      </c>
      <c r="O7290" t="s">
        <v>9477</v>
      </c>
      <c r="P7290" t="s">
        <v>9477</v>
      </c>
      <c r="Y7290" t="s">
        <v>29513</v>
      </c>
    </row>
    <row r="7291" spans="1:25">
      <c r="A7291" t="s">
        <v>29514</v>
      </c>
      <c r="B7291" t="s">
        <v>29515</v>
      </c>
      <c r="D7291" t="s">
        <v>9473</v>
      </c>
      <c r="E7291" t="s">
        <v>9474</v>
      </c>
      <c r="J7291" t="s">
        <v>497</v>
      </c>
      <c r="K7291" t="s">
        <v>498</v>
      </c>
      <c r="L7291">
        <v>1</v>
      </c>
      <c r="M7291" t="s">
        <v>29516</v>
      </c>
      <c r="N7291" t="s">
        <v>27094</v>
      </c>
      <c r="O7291" t="s">
        <v>9477</v>
      </c>
      <c r="P7291" t="s">
        <v>9477</v>
      </c>
      <c r="Y7291" t="s">
        <v>29517</v>
      </c>
    </row>
    <row r="7292" spans="1:25">
      <c r="A7292" t="s">
        <v>29518</v>
      </c>
      <c r="B7292" t="s">
        <v>29519</v>
      </c>
      <c r="D7292" t="s">
        <v>9473</v>
      </c>
      <c r="E7292" t="s">
        <v>9474</v>
      </c>
      <c r="J7292" t="s">
        <v>765</v>
      </c>
      <c r="K7292" t="s">
        <v>766</v>
      </c>
      <c r="L7292">
        <v>1</v>
      </c>
      <c r="M7292" t="s">
        <v>29520</v>
      </c>
      <c r="N7292" t="s">
        <v>27152</v>
      </c>
      <c r="O7292" t="s">
        <v>9477</v>
      </c>
      <c r="P7292" t="s">
        <v>9477</v>
      </c>
      <c r="Y7292" t="s">
        <v>29521</v>
      </c>
    </row>
    <row r="7293" spans="1:25">
      <c r="A7293" t="s">
        <v>29522</v>
      </c>
      <c r="B7293" t="s">
        <v>29523</v>
      </c>
      <c r="D7293" t="s">
        <v>9473</v>
      </c>
      <c r="E7293" t="s">
        <v>9474</v>
      </c>
      <c r="J7293" t="s">
        <v>765</v>
      </c>
      <c r="K7293" t="s">
        <v>766</v>
      </c>
      <c r="L7293">
        <v>1</v>
      </c>
      <c r="M7293" t="s">
        <v>29524</v>
      </c>
      <c r="N7293" t="s">
        <v>27152</v>
      </c>
      <c r="O7293" t="s">
        <v>9477</v>
      </c>
      <c r="P7293" t="s">
        <v>9477</v>
      </c>
      <c r="Y7293" t="s">
        <v>29525</v>
      </c>
    </row>
    <row r="7294" spans="1:25">
      <c r="A7294" t="s">
        <v>29526</v>
      </c>
      <c r="B7294" t="s">
        <v>29527</v>
      </c>
      <c r="D7294" t="s">
        <v>9473</v>
      </c>
      <c r="E7294" t="s">
        <v>9474</v>
      </c>
      <c r="H7294" t="s">
        <v>29528</v>
      </c>
      <c r="J7294" t="s">
        <v>765</v>
      </c>
      <c r="K7294" t="s">
        <v>766</v>
      </c>
      <c r="L7294">
        <v>1</v>
      </c>
      <c r="M7294" t="s">
        <v>29529</v>
      </c>
      <c r="N7294" t="s">
        <v>290</v>
      </c>
      <c r="O7294" t="s">
        <v>9477</v>
      </c>
      <c r="P7294" t="s">
        <v>9477</v>
      </c>
      <c r="Y7294" t="s">
        <v>29528</v>
      </c>
    </row>
    <row r="7295" spans="1:25">
      <c r="A7295" t="s">
        <v>29530</v>
      </c>
      <c r="B7295" t="s">
        <v>29531</v>
      </c>
      <c r="D7295" t="s">
        <v>9473</v>
      </c>
      <c r="E7295" t="s">
        <v>9474</v>
      </c>
      <c r="J7295" t="s">
        <v>765</v>
      </c>
      <c r="K7295" t="s">
        <v>766</v>
      </c>
      <c r="L7295">
        <v>1</v>
      </c>
      <c r="M7295" t="s">
        <v>29532</v>
      </c>
      <c r="N7295" t="s">
        <v>27152</v>
      </c>
      <c r="O7295" t="s">
        <v>9477</v>
      </c>
      <c r="P7295" t="s">
        <v>9477</v>
      </c>
      <c r="Y7295" t="s">
        <v>29533</v>
      </c>
    </row>
    <row r="7296" spans="1:25">
      <c r="A7296" t="s">
        <v>29534</v>
      </c>
      <c r="B7296" t="s">
        <v>29535</v>
      </c>
      <c r="D7296" t="s">
        <v>9473</v>
      </c>
      <c r="E7296" t="s">
        <v>9474</v>
      </c>
      <c r="J7296" t="s">
        <v>497</v>
      </c>
      <c r="K7296" t="s">
        <v>498</v>
      </c>
      <c r="L7296">
        <v>1</v>
      </c>
      <c r="M7296" t="s">
        <v>29536</v>
      </c>
      <c r="N7296" t="s">
        <v>27098</v>
      </c>
      <c r="O7296" t="s">
        <v>9477</v>
      </c>
      <c r="P7296" t="s">
        <v>9477</v>
      </c>
      <c r="Y7296" t="s">
        <v>29537</v>
      </c>
    </row>
    <row r="7297" spans="1:25">
      <c r="A7297" t="s">
        <v>29538</v>
      </c>
      <c r="B7297" t="s">
        <v>29539</v>
      </c>
      <c r="D7297" t="s">
        <v>9473</v>
      </c>
      <c r="E7297" t="s">
        <v>9474</v>
      </c>
      <c r="J7297" t="s">
        <v>765</v>
      </c>
      <c r="K7297" t="s">
        <v>766</v>
      </c>
      <c r="L7297">
        <v>1</v>
      </c>
      <c r="M7297" t="s">
        <v>29540</v>
      </c>
      <c r="N7297" t="s">
        <v>27152</v>
      </c>
      <c r="O7297" t="s">
        <v>9477</v>
      </c>
      <c r="P7297" t="s">
        <v>9477</v>
      </c>
      <c r="Y7297" t="s">
        <v>29541</v>
      </c>
    </row>
    <row r="7298" spans="1:25">
      <c r="A7298" t="s">
        <v>29542</v>
      </c>
      <c r="B7298" t="s">
        <v>29543</v>
      </c>
      <c r="D7298" t="s">
        <v>9473</v>
      </c>
      <c r="E7298" t="s">
        <v>9474</v>
      </c>
      <c r="J7298" t="s">
        <v>497</v>
      </c>
      <c r="K7298" t="s">
        <v>498</v>
      </c>
      <c r="L7298">
        <v>1</v>
      </c>
      <c r="M7298" t="s">
        <v>29544</v>
      </c>
      <c r="N7298" t="s">
        <v>27094</v>
      </c>
      <c r="O7298" t="s">
        <v>9477</v>
      </c>
      <c r="P7298" t="s">
        <v>9477</v>
      </c>
      <c r="Y7298" t="s">
        <v>29545</v>
      </c>
    </row>
    <row r="7299" spans="1:25">
      <c r="A7299" t="s">
        <v>29546</v>
      </c>
      <c r="B7299" t="s">
        <v>29547</v>
      </c>
      <c r="D7299" t="s">
        <v>9473</v>
      </c>
      <c r="E7299" t="s">
        <v>9474</v>
      </c>
      <c r="J7299" t="s">
        <v>765</v>
      </c>
      <c r="K7299" t="s">
        <v>766</v>
      </c>
      <c r="L7299">
        <v>1</v>
      </c>
      <c r="M7299" t="s">
        <v>29548</v>
      </c>
      <c r="N7299" t="s">
        <v>27152</v>
      </c>
      <c r="O7299" t="s">
        <v>9477</v>
      </c>
      <c r="P7299" t="s">
        <v>9477</v>
      </c>
      <c r="Y7299" t="s">
        <v>29549</v>
      </c>
    </row>
    <row r="7300" spans="1:25">
      <c r="A7300" t="s">
        <v>29550</v>
      </c>
      <c r="B7300" t="s">
        <v>29551</v>
      </c>
      <c r="D7300" t="s">
        <v>9473</v>
      </c>
      <c r="E7300" t="s">
        <v>9474</v>
      </c>
      <c r="J7300" t="s">
        <v>765</v>
      </c>
      <c r="K7300" t="s">
        <v>766</v>
      </c>
      <c r="L7300">
        <v>1</v>
      </c>
      <c r="M7300" t="s">
        <v>29552</v>
      </c>
      <c r="N7300" t="s">
        <v>27152</v>
      </c>
      <c r="O7300" t="s">
        <v>9477</v>
      </c>
      <c r="P7300" t="s">
        <v>9477</v>
      </c>
      <c r="Y7300" t="s">
        <v>29553</v>
      </c>
    </row>
    <row r="7301" spans="1:25">
      <c r="A7301" t="s">
        <v>29554</v>
      </c>
      <c r="B7301" t="s">
        <v>29555</v>
      </c>
      <c r="D7301" t="s">
        <v>9473</v>
      </c>
      <c r="E7301" t="s">
        <v>9474</v>
      </c>
      <c r="J7301" t="s">
        <v>927</v>
      </c>
      <c r="K7301" t="s">
        <v>928</v>
      </c>
      <c r="L7301">
        <v>1</v>
      </c>
      <c r="M7301" t="s">
        <v>29556</v>
      </c>
      <c r="N7301" t="s">
        <v>135</v>
      </c>
      <c r="O7301" t="s">
        <v>9477</v>
      </c>
      <c r="P7301" t="s">
        <v>9477</v>
      </c>
      <c r="Y7301" t="s">
        <v>29557</v>
      </c>
    </row>
    <row r="7302" spans="1:25">
      <c r="A7302" t="s">
        <v>29558</v>
      </c>
      <c r="B7302" t="s">
        <v>29559</v>
      </c>
      <c r="D7302" t="s">
        <v>9473</v>
      </c>
      <c r="E7302" t="s">
        <v>9474</v>
      </c>
      <c r="J7302" t="s">
        <v>10083</v>
      </c>
      <c r="K7302" t="s">
        <v>10084</v>
      </c>
      <c r="L7302">
        <v>2</v>
      </c>
      <c r="M7302" t="s">
        <v>29560</v>
      </c>
      <c r="N7302" t="s">
        <v>27152</v>
      </c>
      <c r="O7302" t="s">
        <v>9477</v>
      </c>
      <c r="P7302" t="s">
        <v>9477</v>
      </c>
      <c r="Y7302" t="s">
        <v>29561</v>
      </c>
    </row>
    <row r="7303" spans="1:25">
      <c r="A7303" t="s">
        <v>29562</v>
      </c>
      <c r="B7303" t="s">
        <v>29563</v>
      </c>
      <c r="D7303" t="s">
        <v>9473</v>
      </c>
      <c r="E7303" t="s">
        <v>9474</v>
      </c>
      <c r="J7303" t="s">
        <v>927</v>
      </c>
      <c r="K7303" t="s">
        <v>928</v>
      </c>
      <c r="L7303">
        <v>1</v>
      </c>
      <c r="M7303" t="s">
        <v>29564</v>
      </c>
      <c r="N7303" t="s">
        <v>135</v>
      </c>
      <c r="O7303" t="s">
        <v>9477</v>
      </c>
      <c r="P7303" t="s">
        <v>9477</v>
      </c>
      <c r="Y7303" t="s">
        <v>29565</v>
      </c>
    </row>
    <row r="7304" spans="1:25">
      <c r="A7304" t="s">
        <v>29566</v>
      </c>
      <c r="B7304" t="s">
        <v>29567</v>
      </c>
      <c r="D7304" t="s">
        <v>9473</v>
      </c>
      <c r="E7304" t="s">
        <v>9474</v>
      </c>
      <c r="J7304" t="s">
        <v>765</v>
      </c>
      <c r="K7304" t="s">
        <v>766</v>
      </c>
      <c r="L7304">
        <v>1</v>
      </c>
      <c r="M7304" t="s">
        <v>29568</v>
      </c>
      <c r="N7304" t="s">
        <v>27152</v>
      </c>
      <c r="O7304" t="s">
        <v>9477</v>
      </c>
      <c r="P7304" t="s">
        <v>9477</v>
      </c>
      <c r="Y7304" t="s">
        <v>29569</v>
      </c>
    </row>
    <row r="7305" spans="1:25">
      <c r="A7305" t="s">
        <v>29570</v>
      </c>
      <c r="B7305" t="s">
        <v>29571</v>
      </c>
      <c r="D7305" t="s">
        <v>9473</v>
      </c>
      <c r="E7305" t="s">
        <v>9474</v>
      </c>
      <c r="J7305" t="s">
        <v>765</v>
      </c>
      <c r="K7305" t="s">
        <v>766</v>
      </c>
      <c r="L7305">
        <v>1</v>
      </c>
      <c r="M7305" t="s">
        <v>29572</v>
      </c>
      <c r="N7305" t="s">
        <v>27152</v>
      </c>
      <c r="O7305" t="s">
        <v>9477</v>
      </c>
      <c r="P7305" t="s">
        <v>9477</v>
      </c>
      <c r="Y7305" t="s">
        <v>29573</v>
      </c>
    </row>
    <row r="7306" spans="1:25">
      <c r="A7306" t="s">
        <v>29574</v>
      </c>
      <c r="B7306" t="s">
        <v>29575</v>
      </c>
      <c r="D7306" t="s">
        <v>9473</v>
      </c>
      <c r="E7306" t="s">
        <v>9474</v>
      </c>
      <c r="H7306" t="s">
        <v>29576</v>
      </c>
      <c r="J7306" t="s">
        <v>765</v>
      </c>
      <c r="K7306" t="s">
        <v>766</v>
      </c>
      <c r="L7306">
        <v>2</v>
      </c>
      <c r="M7306" t="s">
        <v>29577</v>
      </c>
      <c r="N7306" t="s">
        <v>290</v>
      </c>
      <c r="O7306" t="s">
        <v>9477</v>
      </c>
      <c r="P7306" t="s">
        <v>9477</v>
      </c>
      <c r="Y7306" t="s">
        <v>29576</v>
      </c>
    </row>
    <row r="7307" spans="1:25">
      <c r="A7307" t="s">
        <v>29578</v>
      </c>
      <c r="B7307" t="s">
        <v>29579</v>
      </c>
      <c r="D7307" t="s">
        <v>9473</v>
      </c>
      <c r="E7307" t="s">
        <v>9474</v>
      </c>
      <c r="J7307" t="s">
        <v>765</v>
      </c>
      <c r="K7307" t="s">
        <v>766</v>
      </c>
      <c r="L7307">
        <v>1</v>
      </c>
      <c r="M7307" t="s">
        <v>29580</v>
      </c>
      <c r="N7307" t="s">
        <v>27098</v>
      </c>
      <c r="O7307" t="s">
        <v>9477</v>
      </c>
      <c r="P7307" t="s">
        <v>9477</v>
      </c>
      <c r="Y7307" t="s">
        <v>29581</v>
      </c>
    </row>
    <row r="7308" spans="1:25">
      <c r="A7308" t="s">
        <v>29582</v>
      </c>
      <c r="B7308" t="s">
        <v>29583</v>
      </c>
      <c r="D7308" t="s">
        <v>9473</v>
      </c>
      <c r="E7308" t="s">
        <v>9474</v>
      </c>
      <c r="J7308" t="s">
        <v>683</v>
      </c>
      <c r="K7308" t="s">
        <v>684</v>
      </c>
      <c r="L7308">
        <v>2</v>
      </c>
      <c r="M7308" t="s">
        <v>29584</v>
      </c>
      <c r="N7308" t="s">
        <v>27074</v>
      </c>
      <c r="O7308" t="s">
        <v>9477</v>
      </c>
      <c r="P7308" t="s">
        <v>9477</v>
      </c>
      <c r="Y7308" t="s">
        <v>29585</v>
      </c>
    </row>
    <row r="7309" spans="1:25">
      <c r="A7309" t="s">
        <v>29586</v>
      </c>
      <c r="B7309" t="s">
        <v>29587</v>
      </c>
      <c r="D7309" t="s">
        <v>9473</v>
      </c>
      <c r="E7309" t="s">
        <v>9474</v>
      </c>
      <c r="J7309" t="s">
        <v>765</v>
      </c>
      <c r="K7309" t="s">
        <v>766</v>
      </c>
      <c r="L7309">
        <v>1</v>
      </c>
      <c r="M7309" t="s">
        <v>29588</v>
      </c>
      <c r="N7309" t="s">
        <v>27152</v>
      </c>
      <c r="O7309" t="s">
        <v>9477</v>
      </c>
      <c r="P7309" t="s">
        <v>9477</v>
      </c>
      <c r="Y7309" t="s">
        <v>29589</v>
      </c>
    </row>
    <row r="7310" spans="1:25">
      <c r="A7310" t="s">
        <v>29590</v>
      </c>
      <c r="B7310" t="s">
        <v>29591</v>
      </c>
      <c r="D7310" t="s">
        <v>9473</v>
      </c>
      <c r="E7310" t="s">
        <v>9474</v>
      </c>
      <c r="J7310" t="s">
        <v>765</v>
      </c>
      <c r="K7310" t="s">
        <v>766</v>
      </c>
      <c r="L7310">
        <v>1</v>
      </c>
      <c r="M7310" t="s">
        <v>29592</v>
      </c>
      <c r="N7310" t="s">
        <v>27098</v>
      </c>
      <c r="O7310" t="s">
        <v>9477</v>
      </c>
      <c r="P7310" t="s">
        <v>9477</v>
      </c>
      <c r="Y7310" t="s">
        <v>29593</v>
      </c>
    </row>
    <row r="7311" spans="1:25">
      <c r="A7311" t="s">
        <v>29594</v>
      </c>
      <c r="B7311" t="s">
        <v>29595</v>
      </c>
      <c r="D7311" t="s">
        <v>9473</v>
      </c>
      <c r="E7311" t="s">
        <v>9474</v>
      </c>
      <c r="J7311" t="s">
        <v>2948</v>
      </c>
      <c r="K7311" t="s">
        <v>2949</v>
      </c>
      <c r="L7311">
        <v>1</v>
      </c>
      <c r="M7311" t="s">
        <v>29596</v>
      </c>
      <c r="N7311" t="s">
        <v>27152</v>
      </c>
      <c r="O7311" t="s">
        <v>9477</v>
      </c>
      <c r="P7311" t="s">
        <v>9477</v>
      </c>
      <c r="Y7311" t="s">
        <v>29597</v>
      </c>
    </row>
    <row r="7312" spans="1:25">
      <c r="A7312" t="s">
        <v>29598</v>
      </c>
      <c r="B7312" t="s">
        <v>29599</v>
      </c>
      <c r="D7312" t="s">
        <v>9473</v>
      </c>
      <c r="E7312" t="s">
        <v>9474</v>
      </c>
      <c r="J7312" t="s">
        <v>765</v>
      </c>
      <c r="K7312" t="s">
        <v>766</v>
      </c>
      <c r="L7312">
        <v>1</v>
      </c>
      <c r="M7312" t="s">
        <v>29600</v>
      </c>
      <c r="N7312" t="s">
        <v>685</v>
      </c>
      <c r="O7312" t="s">
        <v>9477</v>
      </c>
      <c r="P7312" t="s">
        <v>9477</v>
      </c>
      <c r="Y7312" t="s">
        <v>29601</v>
      </c>
    </row>
    <row r="7313" spans="1:25">
      <c r="A7313" t="s">
        <v>29602</v>
      </c>
      <c r="B7313" t="s">
        <v>29603</v>
      </c>
      <c r="D7313" t="s">
        <v>9473</v>
      </c>
      <c r="E7313" t="s">
        <v>9474</v>
      </c>
      <c r="J7313" t="s">
        <v>765</v>
      </c>
      <c r="K7313" t="s">
        <v>766</v>
      </c>
      <c r="L7313">
        <v>1</v>
      </c>
      <c r="M7313" t="s">
        <v>29604</v>
      </c>
      <c r="N7313" t="s">
        <v>685</v>
      </c>
      <c r="O7313" t="s">
        <v>9477</v>
      </c>
      <c r="P7313" t="s">
        <v>9477</v>
      </c>
      <c r="Y7313" t="s">
        <v>29605</v>
      </c>
    </row>
    <row r="7314" spans="1:25">
      <c r="A7314" t="s">
        <v>29606</v>
      </c>
      <c r="B7314" t="s">
        <v>29607</v>
      </c>
      <c r="D7314" t="s">
        <v>9473</v>
      </c>
      <c r="E7314" t="s">
        <v>9474</v>
      </c>
      <c r="J7314" t="s">
        <v>765</v>
      </c>
      <c r="K7314" t="s">
        <v>766</v>
      </c>
      <c r="L7314">
        <v>1</v>
      </c>
      <c r="M7314" t="s">
        <v>29608</v>
      </c>
      <c r="N7314" t="s">
        <v>27152</v>
      </c>
      <c r="O7314" t="s">
        <v>9477</v>
      </c>
      <c r="P7314" t="s">
        <v>9477</v>
      </c>
      <c r="Y7314" t="s">
        <v>29609</v>
      </c>
    </row>
    <row r="7315" spans="1:25">
      <c r="A7315" t="s">
        <v>29610</v>
      </c>
      <c r="B7315" t="s">
        <v>29611</v>
      </c>
      <c r="D7315" t="s">
        <v>9473</v>
      </c>
      <c r="E7315" t="s">
        <v>9474</v>
      </c>
      <c r="J7315" t="s">
        <v>497</v>
      </c>
      <c r="K7315" t="s">
        <v>498</v>
      </c>
      <c r="L7315">
        <v>1</v>
      </c>
      <c r="M7315" t="s">
        <v>29612</v>
      </c>
      <c r="N7315" t="s">
        <v>685</v>
      </c>
      <c r="O7315" t="s">
        <v>9477</v>
      </c>
      <c r="P7315" t="s">
        <v>9477</v>
      </c>
      <c r="Y7315" t="s">
        <v>29613</v>
      </c>
    </row>
    <row r="7316" spans="1:25">
      <c r="A7316" t="s">
        <v>29614</v>
      </c>
      <c r="B7316" t="s">
        <v>29615</v>
      </c>
      <c r="D7316" t="s">
        <v>9473</v>
      </c>
      <c r="E7316" t="s">
        <v>9474</v>
      </c>
      <c r="J7316" t="s">
        <v>927</v>
      </c>
      <c r="K7316" t="s">
        <v>928</v>
      </c>
      <c r="L7316">
        <v>1</v>
      </c>
      <c r="M7316" t="s">
        <v>29616</v>
      </c>
      <c r="N7316" t="s">
        <v>290</v>
      </c>
      <c r="O7316" t="s">
        <v>9477</v>
      </c>
      <c r="P7316" t="s">
        <v>9477</v>
      </c>
      <c r="Y7316" t="s">
        <v>29617</v>
      </c>
    </row>
    <row r="7317" spans="1:25">
      <c r="A7317" t="s">
        <v>29618</v>
      </c>
      <c r="B7317" t="s">
        <v>29619</v>
      </c>
      <c r="D7317" t="s">
        <v>9473</v>
      </c>
      <c r="E7317" t="s">
        <v>9474</v>
      </c>
      <c r="J7317" t="s">
        <v>5844</v>
      </c>
      <c r="K7317" t="s">
        <v>5845</v>
      </c>
      <c r="L7317">
        <v>1</v>
      </c>
      <c r="M7317" t="s">
        <v>29620</v>
      </c>
      <c r="N7317" t="s">
        <v>27074</v>
      </c>
      <c r="O7317" t="s">
        <v>9477</v>
      </c>
      <c r="P7317" t="s">
        <v>9477</v>
      </c>
      <c r="Y7317" t="s">
        <v>29621</v>
      </c>
    </row>
    <row r="7318" spans="1:25">
      <c r="A7318" t="s">
        <v>29622</v>
      </c>
      <c r="B7318" t="s">
        <v>29623</v>
      </c>
      <c r="D7318" t="s">
        <v>9473</v>
      </c>
      <c r="E7318" t="s">
        <v>9474</v>
      </c>
      <c r="J7318" t="s">
        <v>927</v>
      </c>
      <c r="K7318" t="s">
        <v>928</v>
      </c>
      <c r="L7318">
        <v>1</v>
      </c>
      <c r="M7318" t="s">
        <v>29624</v>
      </c>
      <c r="N7318" t="s">
        <v>27115</v>
      </c>
      <c r="O7318" t="s">
        <v>9477</v>
      </c>
      <c r="P7318" t="s">
        <v>9477</v>
      </c>
      <c r="Y7318" t="s">
        <v>29625</v>
      </c>
    </row>
    <row r="7319" spans="1:25">
      <c r="A7319" t="s">
        <v>29626</v>
      </c>
      <c r="B7319" t="s">
        <v>29627</v>
      </c>
      <c r="D7319" t="s">
        <v>9473</v>
      </c>
      <c r="E7319" t="s">
        <v>9474</v>
      </c>
      <c r="H7319" t="s">
        <v>29628</v>
      </c>
      <c r="J7319" t="s">
        <v>497</v>
      </c>
      <c r="K7319" t="s">
        <v>498</v>
      </c>
      <c r="L7319">
        <v>1</v>
      </c>
      <c r="M7319" t="s">
        <v>29629</v>
      </c>
      <c r="N7319" t="s">
        <v>27074</v>
      </c>
      <c r="O7319" t="s">
        <v>9477</v>
      </c>
      <c r="P7319" t="s">
        <v>9477</v>
      </c>
      <c r="Y7319" t="s">
        <v>29628</v>
      </c>
    </row>
    <row r="7320" spans="1:25">
      <c r="A7320" t="s">
        <v>29630</v>
      </c>
      <c r="B7320" t="s">
        <v>29631</v>
      </c>
      <c r="D7320" t="s">
        <v>9473</v>
      </c>
      <c r="E7320" t="s">
        <v>9474</v>
      </c>
      <c r="J7320" t="s">
        <v>5964</v>
      </c>
      <c r="K7320" t="s">
        <v>5965</v>
      </c>
      <c r="L7320">
        <v>1</v>
      </c>
      <c r="M7320" t="s">
        <v>29632</v>
      </c>
      <c r="N7320" t="s">
        <v>290</v>
      </c>
      <c r="O7320" t="s">
        <v>9477</v>
      </c>
      <c r="P7320" t="s">
        <v>9477</v>
      </c>
      <c r="Y7320" t="s">
        <v>29633</v>
      </c>
    </row>
    <row r="7321" spans="1:25">
      <c r="A7321" t="s">
        <v>29634</v>
      </c>
      <c r="B7321" t="s">
        <v>29635</v>
      </c>
      <c r="D7321" t="s">
        <v>9473</v>
      </c>
      <c r="E7321" t="s">
        <v>9474</v>
      </c>
      <c r="J7321" t="s">
        <v>765</v>
      </c>
      <c r="K7321" t="s">
        <v>766</v>
      </c>
      <c r="L7321">
        <v>1</v>
      </c>
      <c r="M7321" t="s">
        <v>29636</v>
      </c>
      <c r="N7321" t="s">
        <v>685</v>
      </c>
      <c r="O7321" t="s">
        <v>9477</v>
      </c>
      <c r="P7321" t="s">
        <v>9477</v>
      </c>
      <c r="Y7321" t="s">
        <v>29637</v>
      </c>
    </row>
    <row r="7322" spans="1:25">
      <c r="A7322" t="s">
        <v>29638</v>
      </c>
      <c r="B7322" t="s">
        <v>29639</v>
      </c>
      <c r="D7322" t="s">
        <v>9473</v>
      </c>
      <c r="E7322" t="s">
        <v>9474</v>
      </c>
      <c r="J7322" t="s">
        <v>5844</v>
      </c>
      <c r="K7322" t="s">
        <v>5845</v>
      </c>
      <c r="L7322">
        <v>1</v>
      </c>
      <c r="M7322" t="s">
        <v>29640</v>
      </c>
      <c r="N7322" t="s">
        <v>27074</v>
      </c>
      <c r="O7322" t="s">
        <v>9477</v>
      </c>
      <c r="P7322" t="s">
        <v>9477</v>
      </c>
      <c r="Y7322" t="s">
        <v>29641</v>
      </c>
    </row>
    <row r="7323" spans="1:25">
      <c r="A7323" t="s">
        <v>29642</v>
      </c>
      <c r="B7323" t="s">
        <v>29643</v>
      </c>
      <c r="D7323" t="s">
        <v>9473</v>
      </c>
      <c r="E7323" t="s">
        <v>9474</v>
      </c>
      <c r="H7323" t="s">
        <v>29644</v>
      </c>
      <c r="J7323" t="s">
        <v>497</v>
      </c>
      <c r="K7323" t="s">
        <v>498</v>
      </c>
      <c r="L7323">
        <v>3</v>
      </c>
      <c r="M7323" t="s">
        <v>29645</v>
      </c>
      <c r="N7323" t="s">
        <v>27098</v>
      </c>
      <c r="O7323" t="s">
        <v>9477</v>
      </c>
      <c r="P7323" t="s">
        <v>9477</v>
      </c>
      <c r="Y7323" t="s">
        <v>29644</v>
      </c>
    </row>
    <row r="7324" spans="1:25">
      <c r="A7324" t="s">
        <v>29646</v>
      </c>
      <c r="B7324" t="s">
        <v>29647</v>
      </c>
      <c r="D7324" t="s">
        <v>9473</v>
      </c>
      <c r="E7324" t="s">
        <v>9474</v>
      </c>
      <c r="J7324" t="s">
        <v>497</v>
      </c>
      <c r="K7324" t="s">
        <v>498</v>
      </c>
      <c r="L7324">
        <v>1</v>
      </c>
      <c r="M7324" t="s">
        <v>29648</v>
      </c>
      <c r="N7324" t="s">
        <v>135</v>
      </c>
      <c r="O7324" t="s">
        <v>9477</v>
      </c>
      <c r="P7324" t="s">
        <v>9477</v>
      </c>
      <c r="Y7324" t="s">
        <v>29649</v>
      </c>
    </row>
    <row r="7325" spans="1:25">
      <c r="A7325" t="s">
        <v>29650</v>
      </c>
      <c r="B7325" t="s">
        <v>29651</v>
      </c>
      <c r="D7325" t="s">
        <v>9473</v>
      </c>
      <c r="E7325" t="s">
        <v>9474</v>
      </c>
      <c r="J7325" t="s">
        <v>497</v>
      </c>
      <c r="K7325" t="s">
        <v>498</v>
      </c>
      <c r="L7325">
        <v>1</v>
      </c>
      <c r="M7325" t="s">
        <v>29648</v>
      </c>
      <c r="N7325" t="s">
        <v>27074</v>
      </c>
      <c r="O7325" t="s">
        <v>9477</v>
      </c>
      <c r="P7325" t="s">
        <v>9477</v>
      </c>
      <c r="Y7325" t="s">
        <v>29652</v>
      </c>
    </row>
    <row r="7326" spans="1:25">
      <c r="A7326" t="s">
        <v>29653</v>
      </c>
      <c r="B7326" t="s">
        <v>29654</v>
      </c>
      <c r="D7326" t="s">
        <v>9473</v>
      </c>
      <c r="E7326" t="s">
        <v>9474</v>
      </c>
      <c r="J7326" t="s">
        <v>3829</v>
      </c>
      <c r="K7326" t="s">
        <v>3830</v>
      </c>
      <c r="L7326">
        <v>1</v>
      </c>
      <c r="M7326" t="s">
        <v>29655</v>
      </c>
      <c r="N7326" t="s">
        <v>27074</v>
      </c>
      <c r="O7326" t="s">
        <v>9477</v>
      </c>
      <c r="P7326" t="s">
        <v>9477</v>
      </c>
      <c r="Y7326" t="s">
        <v>29656</v>
      </c>
    </row>
    <row r="7327" spans="1:25">
      <c r="A7327" t="s">
        <v>29657</v>
      </c>
      <c r="B7327" t="s">
        <v>29658</v>
      </c>
      <c r="D7327" t="s">
        <v>9473</v>
      </c>
      <c r="E7327" t="s">
        <v>9474</v>
      </c>
      <c r="J7327" t="s">
        <v>927</v>
      </c>
      <c r="K7327" t="s">
        <v>928</v>
      </c>
      <c r="L7327">
        <v>1</v>
      </c>
      <c r="M7327" t="s">
        <v>29659</v>
      </c>
      <c r="N7327" t="s">
        <v>135</v>
      </c>
      <c r="O7327" t="s">
        <v>9477</v>
      </c>
      <c r="P7327" t="s">
        <v>9477</v>
      </c>
      <c r="Y7327" t="s">
        <v>29660</v>
      </c>
    </row>
    <row r="7328" spans="1:25">
      <c r="A7328" t="s">
        <v>29661</v>
      </c>
      <c r="B7328" t="s">
        <v>29662</v>
      </c>
      <c r="D7328" t="s">
        <v>9473</v>
      </c>
      <c r="E7328" t="s">
        <v>9474</v>
      </c>
      <c r="J7328" t="s">
        <v>765</v>
      </c>
      <c r="K7328" t="s">
        <v>766</v>
      </c>
      <c r="L7328">
        <v>1</v>
      </c>
      <c r="M7328" t="s">
        <v>29663</v>
      </c>
      <c r="N7328" t="s">
        <v>27098</v>
      </c>
      <c r="O7328" t="s">
        <v>9477</v>
      </c>
      <c r="P7328" t="s">
        <v>9477</v>
      </c>
      <c r="Y7328" t="s">
        <v>29664</v>
      </c>
    </row>
    <row r="7329" spans="1:25">
      <c r="A7329" t="s">
        <v>29665</v>
      </c>
      <c r="B7329" t="s">
        <v>29666</v>
      </c>
      <c r="D7329" t="s">
        <v>9473</v>
      </c>
      <c r="E7329" t="s">
        <v>9474</v>
      </c>
      <c r="J7329" t="s">
        <v>497</v>
      </c>
      <c r="K7329" t="s">
        <v>498</v>
      </c>
      <c r="L7329">
        <v>1</v>
      </c>
      <c r="M7329" t="s">
        <v>29667</v>
      </c>
      <c r="N7329" t="s">
        <v>27074</v>
      </c>
      <c r="O7329" t="s">
        <v>9477</v>
      </c>
      <c r="P7329" t="s">
        <v>9477</v>
      </c>
      <c r="Y7329" t="s">
        <v>29668</v>
      </c>
    </row>
    <row r="7330" spans="1:25">
      <c r="A7330" t="s">
        <v>29669</v>
      </c>
      <c r="B7330" t="s">
        <v>29670</v>
      </c>
      <c r="D7330" t="s">
        <v>9473</v>
      </c>
      <c r="E7330" t="s">
        <v>9474</v>
      </c>
      <c r="J7330" t="s">
        <v>765</v>
      </c>
      <c r="K7330" t="s">
        <v>766</v>
      </c>
      <c r="L7330">
        <v>1</v>
      </c>
      <c r="M7330" t="s">
        <v>29671</v>
      </c>
      <c r="N7330" t="s">
        <v>27094</v>
      </c>
      <c r="O7330" t="s">
        <v>9477</v>
      </c>
      <c r="P7330" t="s">
        <v>9477</v>
      </c>
      <c r="Y7330" t="s">
        <v>29672</v>
      </c>
    </row>
    <row r="7331" spans="1:25">
      <c r="A7331" t="s">
        <v>29673</v>
      </c>
      <c r="B7331" t="s">
        <v>29674</v>
      </c>
      <c r="D7331" t="s">
        <v>9473</v>
      </c>
      <c r="E7331" t="s">
        <v>9474</v>
      </c>
      <c r="J7331" t="s">
        <v>765</v>
      </c>
      <c r="K7331" t="s">
        <v>766</v>
      </c>
      <c r="L7331">
        <v>1</v>
      </c>
      <c r="M7331" t="s">
        <v>29675</v>
      </c>
      <c r="N7331" t="s">
        <v>290</v>
      </c>
      <c r="O7331" t="s">
        <v>9477</v>
      </c>
      <c r="P7331" t="s">
        <v>9477</v>
      </c>
      <c r="Y7331" t="s">
        <v>29676</v>
      </c>
    </row>
    <row r="7332" spans="1:25">
      <c r="A7332" t="s">
        <v>29677</v>
      </c>
      <c r="B7332" t="s">
        <v>29678</v>
      </c>
      <c r="D7332" t="s">
        <v>9473</v>
      </c>
      <c r="E7332" t="s">
        <v>9474</v>
      </c>
      <c r="J7332" t="s">
        <v>27091</v>
      </c>
      <c r="K7332" t="s">
        <v>27092</v>
      </c>
      <c r="L7332">
        <v>1</v>
      </c>
      <c r="M7332" t="s">
        <v>29679</v>
      </c>
      <c r="N7332" t="s">
        <v>27094</v>
      </c>
      <c r="O7332" t="s">
        <v>9477</v>
      </c>
      <c r="P7332" t="s">
        <v>9477</v>
      </c>
      <c r="Y7332" t="s">
        <v>29680</v>
      </c>
    </row>
    <row r="7333" spans="1:25">
      <c r="A7333" t="s">
        <v>29681</v>
      </c>
      <c r="B7333" t="s">
        <v>29682</v>
      </c>
      <c r="D7333" t="s">
        <v>9473</v>
      </c>
      <c r="E7333" t="s">
        <v>9474</v>
      </c>
      <c r="J7333" t="s">
        <v>27091</v>
      </c>
      <c r="K7333" t="s">
        <v>27092</v>
      </c>
      <c r="L7333">
        <v>1</v>
      </c>
      <c r="M7333" t="s">
        <v>29683</v>
      </c>
      <c r="N7333" t="s">
        <v>27094</v>
      </c>
      <c r="O7333" t="s">
        <v>9477</v>
      </c>
      <c r="P7333" t="s">
        <v>9477</v>
      </c>
      <c r="Y7333" t="s">
        <v>29684</v>
      </c>
    </row>
    <row r="7334" spans="1:25">
      <c r="A7334" t="s">
        <v>29685</v>
      </c>
      <c r="B7334" t="s">
        <v>29686</v>
      </c>
      <c r="D7334" t="s">
        <v>9473</v>
      </c>
      <c r="E7334" t="s">
        <v>9474</v>
      </c>
      <c r="H7334" t="s">
        <v>29687</v>
      </c>
      <c r="J7334" t="s">
        <v>765</v>
      </c>
      <c r="K7334" t="s">
        <v>766</v>
      </c>
      <c r="L7334">
        <v>1</v>
      </c>
      <c r="M7334" t="s">
        <v>29688</v>
      </c>
      <c r="N7334" t="s">
        <v>27098</v>
      </c>
      <c r="O7334" t="s">
        <v>9477</v>
      </c>
      <c r="P7334" t="s">
        <v>9477</v>
      </c>
      <c r="Y7334" t="s">
        <v>29687</v>
      </c>
    </row>
    <row r="7335" spans="1:25">
      <c r="A7335" t="s">
        <v>29689</v>
      </c>
      <c r="B7335" t="s">
        <v>29690</v>
      </c>
      <c r="D7335" t="s">
        <v>9473</v>
      </c>
      <c r="E7335" t="s">
        <v>9474</v>
      </c>
      <c r="J7335" t="s">
        <v>765</v>
      </c>
      <c r="K7335" t="s">
        <v>766</v>
      </c>
      <c r="L7335">
        <v>1</v>
      </c>
      <c r="M7335" t="s">
        <v>29691</v>
      </c>
      <c r="N7335" t="s">
        <v>290</v>
      </c>
      <c r="O7335" t="s">
        <v>9477</v>
      </c>
      <c r="P7335" t="s">
        <v>9477</v>
      </c>
      <c r="Y7335" t="s">
        <v>29692</v>
      </c>
    </row>
    <row r="7336" spans="1:25">
      <c r="A7336" t="s">
        <v>29693</v>
      </c>
      <c r="B7336" t="s">
        <v>29694</v>
      </c>
      <c r="D7336" t="s">
        <v>9473</v>
      </c>
      <c r="E7336" t="s">
        <v>9474</v>
      </c>
      <c r="J7336" t="s">
        <v>765</v>
      </c>
      <c r="K7336" t="s">
        <v>766</v>
      </c>
      <c r="L7336">
        <v>1</v>
      </c>
      <c r="M7336" t="s">
        <v>29695</v>
      </c>
      <c r="N7336" t="s">
        <v>290</v>
      </c>
      <c r="O7336" t="s">
        <v>9477</v>
      </c>
      <c r="P7336" t="s">
        <v>9477</v>
      </c>
      <c r="Y7336" t="s">
        <v>29696</v>
      </c>
    </row>
    <row r="7337" spans="1:25">
      <c r="A7337" t="s">
        <v>29697</v>
      </c>
      <c r="B7337" t="s">
        <v>29698</v>
      </c>
      <c r="D7337" t="s">
        <v>9473</v>
      </c>
      <c r="E7337" t="s">
        <v>9474</v>
      </c>
      <c r="J7337" t="s">
        <v>497</v>
      </c>
      <c r="K7337" t="s">
        <v>498</v>
      </c>
      <c r="L7337">
        <v>1</v>
      </c>
      <c r="M7337" t="s">
        <v>29699</v>
      </c>
      <c r="N7337" t="s">
        <v>27094</v>
      </c>
      <c r="O7337" t="s">
        <v>9477</v>
      </c>
      <c r="P7337" t="s">
        <v>9477</v>
      </c>
      <c r="Y7337" t="s">
        <v>29700</v>
      </c>
    </row>
    <row r="7338" spans="1:25">
      <c r="A7338" t="s">
        <v>29701</v>
      </c>
      <c r="B7338" t="s">
        <v>29702</v>
      </c>
      <c r="D7338" t="s">
        <v>9473</v>
      </c>
      <c r="E7338" t="s">
        <v>9474</v>
      </c>
      <c r="J7338" t="s">
        <v>765</v>
      </c>
      <c r="K7338" t="s">
        <v>766</v>
      </c>
      <c r="L7338">
        <v>1</v>
      </c>
      <c r="M7338" t="s">
        <v>29703</v>
      </c>
      <c r="N7338" t="s">
        <v>27098</v>
      </c>
      <c r="O7338" t="s">
        <v>9477</v>
      </c>
      <c r="P7338" t="s">
        <v>9477</v>
      </c>
      <c r="Y7338" t="s">
        <v>29704</v>
      </c>
    </row>
    <row r="7339" spans="1:25">
      <c r="A7339" t="s">
        <v>29705</v>
      </c>
      <c r="B7339" t="s">
        <v>29706</v>
      </c>
      <c r="D7339" t="s">
        <v>9473</v>
      </c>
      <c r="E7339" t="s">
        <v>9474</v>
      </c>
      <c r="J7339" t="s">
        <v>765</v>
      </c>
      <c r="K7339" t="s">
        <v>766</v>
      </c>
      <c r="L7339">
        <v>1</v>
      </c>
      <c r="M7339" t="s">
        <v>29707</v>
      </c>
      <c r="N7339" t="s">
        <v>27094</v>
      </c>
      <c r="O7339" t="s">
        <v>9477</v>
      </c>
      <c r="P7339" t="s">
        <v>9477</v>
      </c>
      <c r="Y7339" t="s">
        <v>29708</v>
      </c>
    </row>
    <row r="7340" spans="1:25">
      <c r="A7340" t="s">
        <v>29709</v>
      </c>
      <c r="B7340" t="s">
        <v>29710</v>
      </c>
      <c r="D7340" t="s">
        <v>9473</v>
      </c>
      <c r="E7340" t="s">
        <v>9474</v>
      </c>
      <c r="J7340" t="s">
        <v>5844</v>
      </c>
      <c r="K7340" t="s">
        <v>5845</v>
      </c>
      <c r="L7340">
        <v>1</v>
      </c>
      <c r="M7340" t="s">
        <v>29711</v>
      </c>
      <c r="N7340" t="s">
        <v>27094</v>
      </c>
      <c r="O7340" t="s">
        <v>9477</v>
      </c>
      <c r="P7340" t="s">
        <v>9477</v>
      </c>
      <c r="Y7340" t="s">
        <v>29712</v>
      </c>
    </row>
    <row r="7341" spans="1:25">
      <c r="A7341" t="s">
        <v>29713</v>
      </c>
      <c r="B7341" t="s">
        <v>29714</v>
      </c>
      <c r="D7341" t="s">
        <v>9473</v>
      </c>
      <c r="E7341" t="s">
        <v>9474</v>
      </c>
      <c r="J7341" t="s">
        <v>765</v>
      </c>
      <c r="K7341" t="s">
        <v>766</v>
      </c>
      <c r="L7341">
        <v>1</v>
      </c>
      <c r="M7341" t="s">
        <v>29715</v>
      </c>
      <c r="N7341" t="s">
        <v>290</v>
      </c>
      <c r="O7341" t="s">
        <v>9477</v>
      </c>
      <c r="P7341" t="s">
        <v>9477</v>
      </c>
      <c r="Y7341" t="s">
        <v>29716</v>
      </c>
    </row>
    <row r="7342" spans="1:25">
      <c r="A7342" t="s">
        <v>29717</v>
      </c>
      <c r="B7342" t="s">
        <v>29718</v>
      </c>
      <c r="D7342" t="s">
        <v>9473</v>
      </c>
      <c r="E7342" t="s">
        <v>9474</v>
      </c>
      <c r="J7342" t="s">
        <v>497</v>
      </c>
      <c r="K7342" t="s">
        <v>498</v>
      </c>
      <c r="L7342">
        <v>1</v>
      </c>
      <c r="M7342" t="s">
        <v>29719</v>
      </c>
      <c r="N7342" t="s">
        <v>27094</v>
      </c>
      <c r="O7342" t="s">
        <v>9477</v>
      </c>
      <c r="P7342" t="s">
        <v>9477</v>
      </c>
      <c r="Y7342" t="s">
        <v>29720</v>
      </c>
    </row>
    <row r="7343" spans="1:25">
      <c r="A7343" t="s">
        <v>29721</v>
      </c>
      <c r="B7343" t="s">
        <v>29722</v>
      </c>
      <c r="D7343" t="s">
        <v>9473</v>
      </c>
      <c r="E7343" t="s">
        <v>9474</v>
      </c>
      <c r="J7343" t="s">
        <v>765</v>
      </c>
      <c r="K7343" t="s">
        <v>766</v>
      </c>
      <c r="L7343">
        <v>1</v>
      </c>
      <c r="M7343" t="s">
        <v>29723</v>
      </c>
      <c r="N7343" t="s">
        <v>685</v>
      </c>
      <c r="O7343" t="s">
        <v>9477</v>
      </c>
      <c r="P7343" t="s">
        <v>9477</v>
      </c>
      <c r="Y7343" t="s">
        <v>29724</v>
      </c>
    </row>
    <row r="7344" spans="1:25">
      <c r="A7344" t="s">
        <v>29725</v>
      </c>
      <c r="B7344" t="s">
        <v>29726</v>
      </c>
      <c r="D7344" t="s">
        <v>9473</v>
      </c>
      <c r="E7344" t="s">
        <v>9474</v>
      </c>
      <c r="H7344" t="s">
        <v>29727</v>
      </c>
      <c r="J7344" t="s">
        <v>683</v>
      </c>
      <c r="K7344" t="s">
        <v>684</v>
      </c>
      <c r="L7344">
        <v>1</v>
      </c>
      <c r="M7344" t="s">
        <v>29728</v>
      </c>
      <c r="N7344" t="s">
        <v>290</v>
      </c>
      <c r="O7344" t="s">
        <v>9477</v>
      </c>
      <c r="P7344" t="s">
        <v>9477</v>
      </c>
      <c r="Y7344" t="s">
        <v>29727</v>
      </c>
    </row>
    <row r="7345" spans="1:25">
      <c r="A7345" t="s">
        <v>29729</v>
      </c>
      <c r="B7345" t="s">
        <v>29730</v>
      </c>
      <c r="D7345" t="s">
        <v>9473</v>
      </c>
      <c r="E7345" t="s">
        <v>9474</v>
      </c>
      <c r="J7345" t="s">
        <v>765</v>
      </c>
      <c r="K7345" t="s">
        <v>766</v>
      </c>
      <c r="L7345">
        <v>1</v>
      </c>
      <c r="M7345" t="s">
        <v>29731</v>
      </c>
      <c r="N7345" t="s">
        <v>27094</v>
      </c>
      <c r="O7345" t="s">
        <v>9477</v>
      </c>
      <c r="P7345" t="s">
        <v>9477</v>
      </c>
      <c r="Y7345" t="s">
        <v>29732</v>
      </c>
    </row>
    <row r="7346" spans="1:25">
      <c r="A7346" t="s">
        <v>29733</v>
      </c>
      <c r="B7346" t="s">
        <v>29734</v>
      </c>
      <c r="D7346" t="s">
        <v>9473</v>
      </c>
      <c r="E7346" t="s">
        <v>9474</v>
      </c>
      <c r="J7346" t="s">
        <v>497</v>
      </c>
      <c r="K7346" t="s">
        <v>498</v>
      </c>
      <c r="L7346">
        <v>1</v>
      </c>
      <c r="M7346" t="s">
        <v>29735</v>
      </c>
      <c r="N7346" t="s">
        <v>685</v>
      </c>
      <c r="O7346" t="s">
        <v>9477</v>
      </c>
      <c r="P7346" t="s">
        <v>9477</v>
      </c>
      <c r="Y7346" t="s">
        <v>29736</v>
      </c>
    </row>
    <row r="7347" spans="1:25">
      <c r="A7347" t="s">
        <v>29737</v>
      </c>
      <c r="B7347" t="s">
        <v>29738</v>
      </c>
      <c r="D7347" t="s">
        <v>9473</v>
      </c>
      <c r="E7347" t="s">
        <v>9474</v>
      </c>
      <c r="J7347" t="s">
        <v>497</v>
      </c>
      <c r="K7347" t="s">
        <v>498</v>
      </c>
      <c r="L7347">
        <v>1</v>
      </c>
      <c r="M7347" t="s">
        <v>29739</v>
      </c>
      <c r="N7347" t="s">
        <v>685</v>
      </c>
      <c r="O7347" t="s">
        <v>9477</v>
      </c>
      <c r="P7347" t="s">
        <v>9477</v>
      </c>
      <c r="Y7347" t="s">
        <v>29740</v>
      </c>
    </row>
    <row r="7348" spans="1:25">
      <c r="A7348" t="s">
        <v>29741</v>
      </c>
      <c r="B7348" t="s">
        <v>29742</v>
      </c>
      <c r="D7348" t="s">
        <v>9473</v>
      </c>
      <c r="E7348" t="s">
        <v>9474</v>
      </c>
      <c r="J7348" t="s">
        <v>497</v>
      </c>
      <c r="K7348" t="s">
        <v>498</v>
      </c>
      <c r="L7348">
        <v>1</v>
      </c>
      <c r="M7348" t="s">
        <v>29743</v>
      </c>
      <c r="N7348" t="s">
        <v>135</v>
      </c>
      <c r="O7348" t="s">
        <v>9477</v>
      </c>
      <c r="P7348" t="s">
        <v>9477</v>
      </c>
      <c r="Y7348" t="s">
        <v>29744</v>
      </c>
    </row>
    <row r="7349" spans="1:25">
      <c r="A7349" t="s">
        <v>29745</v>
      </c>
      <c r="B7349" t="s">
        <v>29746</v>
      </c>
      <c r="D7349" t="s">
        <v>9473</v>
      </c>
      <c r="E7349" t="s">
        <v>9474</v>
      </c>
      <c r="J7349" t="s">
        <v>497</v>
      </c>
      <c r="K7349" t="s">
        <v>498</v>
      </c>
      <c r="L7349">
        <v>1</v>
      </c>
      <c r="M7349" t="s">
        <v>29747</v>
      </c>
      <c r="N7349" t="s">
        <v>685</v>
      </c>
      <c r="O7349" t="s">
        <v>9477</v>
      </c>
      <c r="P7349" t="s">
        <v>9477</v>
      </c>
      <c r="Y7349" t="s">
        <v>29748</v>
      </c>
    </row>
    <row r="7350" spans="1:25">
      <c r="A7350" t="s">
        <v>29749</v>
      </c>
      <c r="B7350" t="s">
        <v>29750</v>
      </c>
      <c r="D7350" t="s">
        <v>9473</v>
      </c>
      <c r="E7350" t="s">
        <v>9474</v>
      </c>
      <c r="J7350" t="s">
        <v>765</v>
      </c>
      <c r="K7350" t="s">
        <v>766</v>
      </c>
      <c r="L7350">
        <v>1</v>
      </c>
      <c r="M7350" t="s">
        <v>29751</v>
      </c>
      <c r="N7350" t="s">
        <v>27152</v>
      </c>
      <c r="O7350" t="s">
        <v>9477</v>
      </c>
      <c r="P7350" t="s">
        <v>9477</v>
      </c>
      <c r="Y7350" t="s">
        <v>29752</v>
      </c>
    </row>
    <row r="7351" spans="1:25">
      <c r="A7351" t="s">
        <v>29753</v>
      </c>
      <c r="B7351" t="s">
        <v>29754</v>
      </c>
      <c r="D7351" t="s">
        <v>9473</v>
      </c>
      <c r="E7351" t="s">
        <v>9474</v>
      </c>
      <c r="J7351" t="s">
        <v>765</v>
      </c>
      <c r="K7351" t="s">
        <v>766</v>
      </c>
      <c r="L7351">
        <v>1</v>
      </c>
      <c r="M7351" t="s">
        <v>29755</v>
      </c>
      <c r="N7351" t="s">
        <v>290</v>
      </c>
      <c r="O7351" t="s">
        <v>9477</v>
      </c>
      <c r="P7351" t="s">
        <v>9477</v>
      </c>
      <c r="Y7351" t="s">
        <v>29756</v>
      </c>
    </row>
    <row r="7352" spans="1:25">
      <c r="A7352" t="s">
        <v>29757</v>
      </c>
      <c r="B7352" t="s">
        <v>29758</v>
      </c>
      <c r="D7352" t="s">
        <v>9473</v>
      </c>
      <c r="E7352" t="s">
        <v>9474</v>
      </c>
      <c r="J7352" t="s">
        <v>390</v>
      </c>
      <c r="K7352" t="s">
        <v>390</v>
      </c>
      <c r="L7352">
        <v>1</v>
      </c>
      <c r="M7352" t="s">
        <v>29759</v>
      </c>
      <c r="N7352" t="s">
        <v>27098</v>
      </c>
      <c r="O7352" t="s">
        <v>9477</v>
      </c>
      <c r="P7352" t="s">
        <v>9477</v>
      </c>
      <c r="Y7352" t="s">
        <v>29760</v>
      </c>
    </row>
    <row r="7353" spans="1:25">
      <c r="A7353" t="s">
        <v>29761</v>
      </c>
      <c r="B7353" t="s">
        <v>29762</v>
      </c>
      <c r="D7353" t="s">
        <v>9473</v>
      </c>
      <c r="E7353" t="s">
        <v>9474</v>
      </c>
      <c r="J7353" t="s">
        <v>765</v>
      </c>
      <c r="K7353" t="s">
        <v>766</v>
      </c>
      <c r="L7353">
        <v>1</v>
      </c>
      <c r="M7353" t="s">
        <v>29763</v>
      </c>
      <c r="N7353" t="s">
        <v>27098</v>
      </c>
      <c r="O7353" t="s">
        <v>9477</v>
      </c>
      <c r="P7353" t="s">
        <v>9477</v>
      </c>
      <c r="Y7353" t="s">
        <v>29764</v>
      </c>
    </row>
    <row r="7354" spans="1:25">
      <c r="A7354" t="s">
        <v>29765</v>
      </c>
      <c r="B7354" t="s">
        <v>29766</v>
      </c>
      <c r="D7354" t="s">
        <v>9473</v>
      </c>
      <c r="E7354" t="s">
        <v>9474</v>
      </c>
      <c r="J7354" t="s">
        <v>765</v>
      </c>
      <c r="K7354" t="s">
        <v>766</v>
      </c>
      <c r="L7354">
        <v>1</v>
      </c>
      <c r="M7354" t="s">
        <v>29767</v>
      </c>
      <c r="N7354" t="s">
        <v>685</v>
      </c>
      <c r="O7354" t="s">
        <v>9477</v>
      </c>
      <c r="P7354" t="s">
        <v>9477</v>
      </c>
      <c r="Y7354" t="s">
        <v>29768</v>
      </c>
    </row>
    <row r="7355" spans="1:25">
      <c r="A7355" t="s">
        <v>29769</v>
      </c>
      <c r="B7355" t="s">
        <v>29770</v>
      </c>
      <c r="D7355" t="s">
        <v>9473</v>
      </c>
      <c r="E7355" t="s">
        <v>9474</v>
      </c>
      <c r="J7355" t="s">
        <v>683</v>
      </c>
      <c r="K7355" t="s">
        <v>684</v>
      </c>
      <c r="L7355">
        <v>1</v>
      </c>
      <c r="M7355" t="s">
        <v>29771</v>
      </c>
      <c r="N7355" t="s">
        <v>29772</v>
      </c>
      <c r="O7355" t="s">
        <v>9477</v>
      </c>
      <c r="P7355" t="s">
        <v>9477</v>
      </c>
      <c r="Y7355" t="s">
        <v>29773</v>
      </c>
    </row>
    <row r="7356" spans="1:25">
      <c r="A7356" t="s">
        <v>29774</v>
      </c>
      <c r="B7356" t="s">
        <v>29775</v>
      </c>
      <c r="D7356" t="s">
        <v>9473</v>
      </c>
      <c r="E7356" t="s">
        <v>9474</v>
      </c>
      <c r="J7356" t="s">
        <v>927</v>
      </c>
      <c r="K7356" t="s">
        <v>928</v>
      </c>
      <c r="L7356">
        <v>1</v>
      </c>
      <c r="M7356" t="s">
        <v>29776</v>
      </c>
      <c r="N7356" t="s">
        <v>27094</v>
      </c>
      <c r="O7356" t="s">
        <v>9477</v>
      </c>
      <c r="P7356" t="s">
        <v>9477</v>
      </c>
      <c r="Y7356" t="s">
        <v>29777</v>
      </c>
    </row>
    <row r="7357" spans="1:25">
      <c r="A7357" t="s">
        <v>29778</v>
      </c>
      <c r="B7357" t="s">
        <v>29779</v>
      </c>
      <c r="D7357" t="s">
        <v>9473</v>
      </c>
      <c r="E7357" t="s">
        <v>9474</v>
      </c>
      <c r="J7357" t="s">
        <v>765</v>
      </c>
      <c r="K7357" t="s">
        <v>766</v>
      </c>
      <c r="L7357">
        <v>1</v>
      </c>
      <c r="M7357" t="s">
        <v>29780</v>
      </c>
      <c r="N7357" t="s">
        <v>27098</v>
      </c>
      <c r="O7357" t="s">
        <v>9477</v>
      </c>
      <c r="P7357" t="s">
        <v>9477</v>
      </c>
      <c r="Y7357" t="s">
        <v>29781</v>
      </c>
    </row>
    <row r="7358" spans="1:25">
      <c r="A7358" t="s">
        <v>29782</v>
      </c>
      <c r="B7358" t="s">
        <v>29783</v>
      </c>
      <c r="D7358" t="s">
        <v>9473</v>
      </c>
      <c r="E7358" t="s">
        <v>9474</v>
      </c>
      <c r="J7358" t="s">
        <v>497</v>
      </c>
      <c r="K7358" t="s">
        <v>498</v>
      </c>
      <c r="L7358">
        <v>1</v>
      </c>
      <c r="M7358" t="s">
        <v>29784</v>
      </c>
      <c r="N7358" t="s">
        <v>685</v>
      </c>
      <c r="O7358" t="s">
        <v>9477</v>
      </c>
      <c r="P7358" t="s">
        <v>9477</v>
      </c>
      <c r="Y7358" t="s">
        <v>29785</v>
      </c>
    </row>
    <row r="7359" spans="1:25">
      <c r="A7359" t="s">
        <v>29786</v>
      </c>
      <c r="B7359" t="s">
        <v>29787</v>
      </c>
      <c r="D7359" t="s">
        <v>9473</v>
      </c>
      <c r="E7359" t="s">
        <v>9474</v>
      </c>
      <c r="J7359" t="s">
        <v>9719</v>
      </c>
      <c r="K7359" t="s">
        <v>9720</v>
      </c>
      <c r="L7359">
        <v>1</v>
      </c>
      <c r="M7359" t="s">
        <v>29788</v>
      </c>
      <c r="N7359" t="s">
        <v>27098</v>
      </c>
      <c r="O7359" t="s">
        <v>9477</v>
      </c>
      <c r="P7359" t="s">
        <v>9477</v>
      </c>
      <c r="Y7359" t="s">
        <v>29789</v>
      </c>
    </row>
    <row r="7360" spans="1:25">
      <c r="A7360" t="s">
        <v>29790</v>
      </c>
      <c r="B7360" t="s">
        <v>29791</v>
      </c>
      <c r="D7360" t="s">
        <v>9473</v>
      </c>
      <c r="E7360" t="s">
        <v>9474</v>
      </c>
      <c r="J7360" t="s">
        <v>927</v>
      </c>
      <c r="K7360" t="s">
        <v>928</v>
      </c>
      <c r="L7360">
        <v>1</v>
      </c>
      <c r="M7360" t="s">
        <v>29792</v>
      </c>
      <c r="N7360" t="s">
        <v>27115</v>
      </c>
      <c r="O7360" t="s">
        <v>9477</v>
      </c>
      <c r="P7360" t="s">
        <v>9477</v>
      </c>
      <c r="Y7360" t="s">
        <v>29793</v>
      </c>
    </row>
    <row r="7361" spans="1:25">
      <c r="A7361" t="s">
        <v>29794</v>
      </c>
      <c r="B7361" t="s">
        <v>29795</v>
      </c>
      <c r="D7361" t="s">
        <v>9473</v>
      </c>
      <c r="E7361" t="s">
        <v>9474</v>
      </c>
      <c r="H7361" t="s">
        <v>29796</v>
      </c>
      <c r="J7361" t="s">
        <v>765</v>
      </c>
      <c r="K7361" t="s">
        <v>766</v>
      </c>
      <c r="L7361">
        <v>1</v>
      </c>
      <c r="M7361" t="s">
        <v>29797</v>
      </c>
      <c r="N7361" t="s">
        <v>685</v>
      </c>
      <c r="O7361" t="s">
        <v>9477</v>
      </c>
      <c r="P7361" t="s">
        <v>9477</v>
      </c>
      <c r="Y7361" t="s">
        <v>29796</v>
      </c>
    </row>
    <row r="7362" spans="1:25">
      <c r="A7362" t="s">
        <v>29798</v>
      </c>
      <c r="B7362" t="s">
        <v>29799</v>
      </c>
      <c r="D7362" t="s">
        <v>9473</v>
      </c>
      <c r="E7362" t="s">
        <v>9474</v>
      </c>
      <c r="J7362" t="s">
        <v>927</v>
      </c>
      <c r="K7362" t="s">
        <v>928</v>
      </c>
      <c r="L7362">
        <v>1</v>
      </c>
      <c r="M7362" t="s">
        <v>29800</v>
      </c>
      <c r="N7362" t="s">
        <v>27094</v>
      </c>
      <c r="O7362" t="s">
        <v>9477</v>
      </c>
      <c r="P7362" t="s">
        <v>9477</v>
      </c>
      <c r="Y7362" t="s">
        <v>29801</v>
      </c>
    </row>
    <row r="7363" spans="1:25">
      <c r="A7363" t="s">
        <v>29802</v>
      </c>
      <c r="B7363" t="s">
        <v>29803</v>
      </c>
      <c r="D7363" t="s">
        <v>9473</v>
      </c>
      <c r="E7363" t="s">
        <v>9474</v>
      </c>
      <c r="J7363" t="s">
        <v>497</v>
      </c>
      <c r="K7363" t="s">
        <v>498</v>
      </c>
      <c r="L7363">
        <v>1</v>
      </c>
      <c r="M7363" t="s">
        <v>29800</v>
      </c>
      <c r="N7363" t="s">
        <v>685</v>
      </c>
      <c r="O7363" t="s">
        <v>9477</v>
      </c>
      <c r="P7363" t="s">
        <v>9477</v>
      </c>
      <c r="Y7363" t="s">
        <v>29804</v>
      </c>
    </row>
    <row r="7364" spans="1:25">
      <c r="A7364" t="s">
        <v>29805</v>
      </c>
      <c r="B7364" t="s">
        <v>29806</v>
      </c>
      <c r="D7364" t="s">
        <v>9473</v>
      </c>
      <c r="E7364" t="s">
        <v>9474</v>
      </c>
      <c r="J7364" t="s">
        <v>927</v>
      </c>
      <c r="K7364" t="s">
        <v>928</v>
      </c>
      <c r="L7364">
        <v>1</v>
      </c>
      <c r="M7364" t="s">
        <v>29807</v>
      </c>
      <c r="N7364" t="s">
        <v>27094</v>
      </c>
      <c r="O7364" t="s">
        <v>9477</v>
      </c>
      <c r="P7364" t="s">
        <v>9477</v>
      </c>
      <c r="Y7364" t="s">
        <v>29808</v>
      </c>
    </row>
    <row r="7365" spans="1:25">
      <c r="A7365" t="s">
        <v>29809</v>
      </c>
      <c r="B7365" t="s">
        <v>29810</v>
      </c>
      <c r="D7365" t="s">
        <v>9473</v>
      </c>
      <c r="E7365" t="s">
        <v>9474</v>
      </c>
      <c r="H7365" t="s">
        <v>29811</v>
      </c>
      <c r="J7365" t="s">
        <v>765</v>
      </c>
      <c r="K7365" t="s">
        <v>766</v>
      </c>
      <c r="L7365">
        <v>2</v>
      </c>
      <c r="M7365" t="s">
        <v>29812</v>
      </c>
      <c r="N7365" t="s">
        <v>27094</v>
      </c>
      <c r="O7365" t="s">
        <v>9477</v>
      </c>
      <c r="P7365" t="s">
        <v>9477</v>
      </c>
      <c r="Y7365" t="s">
        <v>29811</v>
      </c>
    </row>
    <row r="7366" spans="1:25">
      <c r="A7366" t="s">
        <v>29813</v>
      </c>
      <c r="B7366" t="s">
        <v>29814</v>
      </c>
      <c r="D7366" t="s">
        <v>9473</v>
      </c>
      <c r="E7366" t="s">
        <v>9474</v>
      </c>
      <c r="J7366" t="s">
        <v>2948</v>
      </c>
      <c r="K7366" t="s">
        <v>2949</v>
      </c>
      <c r="L7366">
        <v>2</v>
      </c>
      <c r="M7366" t="s">
        <v>29815</v>
      </c>
      <c r="N7366" t="s">
        <v>685</v>
      </c>
      <c r="O7366" t="s">
        <v>9477</v>
      </c>
      <c r="P7366" t="s">
        <v>9477</v>
      </c>
      <c r="Y7366" t="s">
        <v>29816</v>
      </c>
    </row>
    <row r="7367" spans="1:25">
      <c r="A7367" t="s">
        <v>29817</v>
      </c>
      <c r="B7367" t="s">
        <v>29818</v>
      </c>
      <c r="D7367" t="s">
        <v>9473</v>
      </c>
      <c r="E7367" t="s">
        <v>9474</v>
      </c>
      <c r="J7367" t="s">
        <v>9759</v>
      </c>
      <c r="K7367" t="s">
        <v>9760</v>
      </c>
      <c r="L7367">
        <v>2</v>
      </c>
      <c r="M7367" t="s">
        <v>29819</v>
      </c>
      <c r="N7367" t="s">
        <v>47</v>
      </c>
      <c r="O7367" t="s">
        <v>9477</v>
      </c>
      <c r="P7367" t="s">
        <v>9477</v>
      </c>
      <c r="Y7367" t="s">
        <v>29820</v>
      </c>
    </row>
    <row r="7368" spans="1:25">
      <c r="A7368" t="s">
        <v>29821</v>
      </c>
      <c r="B7368" t="s">
        <v>29822</v>
      </c>
      <c r="D7368" t="s">
        <v>9473</v>
      </c>
      <c r="E7368" t="s">
        <v>9474</v>
      </c>
      <c r="J7368" t="s">
        <v>5844</v>
      </c>
      <c r="K7368" t="s">
        <v>5845</v>
      </c>
      <c r="L7368">
        <v>1</v>
      </c>
      <c r="M7368" t="s">
        <v>29819</v>
      </c>
      <c r="N7368" t="s">
        <v>27115</v>
      </c>
      <c r="O7368" t="s">
        <v>9477</v>
      </c>
      <c r="P7368" t="s">
        <v>9477</v>
      </c>
      <c r="Y7368" t="s">
        <v>29823</v>
      </c>
    </row>
    <row r="7369" spans="1:25">
      <c r="A7369" t="s">
        <v>29824</v>
      </c>
      <c r="B7369" t="s">
        <v>29825</v>
      </c>
      <c r="D7369" t="s">
        <v>9473</v>
      </c>
      <c r="E7369" t="s">
        <v>9474</v>
      </c>
      <c r="J7369" t="s">
        <v>9719</v>
      </c>
      <c r="K7369" t="s">
        <v>9720</v>
      </c>
      <c r="L7369">
        <v>1</v>
      </c>
      <c r="M7369" t="s">
        <v>29826</v>
      </c>
      <c r="N7369" t="s">
        <v>27094</v>
      </c>
      <c r="O7369" t="s">
        <v>9477</v>
      </c>
      <c r="P7369" t="s">
        <v>9477</v>
      </c>
      <c r="Y7369" t="s">
        <v>29827</v>
      </c>
    </row>
    <row r="7370" spans="1:25">
      <c r="A7370" t="s">
        <v>29828</v>
      </c>
      <c r="B7370" t="s">
        <v>29829</v>
      </c>
      <c r="D7370" t="s">
        <v>9473</v>
      </c>
      <c r="E7370" t="s">
        <v>9474</v>
      </c>
      <c r="J7370" t="s">
        <v>683</v>
      </c>
      <c r="K7370" t="s">
        <v>684</v>
      </c>
      <c r="L7370">
        <v>1</v>
      </c>
      <c r="M7370" t="s">
        <v>29830</v>
      </c>
      <c r="N7370" t="s">
        <v>685</v>
      </c>
      <c r="O7370" t="s">
        <v>9477</v>
      </c>
      <c r="P7370" t="s">
        <v>9477</v>
      </c>
      <c r="Y7370" t="s">
        <v>29831</v>
      </c>
    </row>
    <row r="7371" spans="1:25">
      <c r="A7371" t="s">
        <v>29832</v>
      </c>
      <c r="B7371" t="s">
        <v>29833</v>
      </c>
      <c r="D7371" t="s">
        <v>9473</v>
      </c>
      <c r="E7371" t="s">
        <v>9474</v>
      </c>
      <c r="J7371" t="s">
        <v>765</v>
      </c>
      <c r="K7371" t="s">
        <v>766</v>
      </c>
      <c r="L7371">
        <v>1</v>
      </c>
      <c r="M7371" t="s">
        <v>29834</v>
      </c>
      <c r="N7371" t="s">
        <v>27098</v>
      </c>
      <c r="O7371" t="s">
        <v>9477</v>
      </c>
      <c r="P7371" t="s">
        <v>9477</v>
      </c>
      <c r="Y7371" t="s">
        <v>29835</v>
      </c>
    </row>
    <row r="7372" spans="1:25">
      <c r="A7372" t="s">
        <v>29836</v>
      </c>
      <c r="B7372" t="s">
        <v>29837</v>
      </c>
      <c r="D7372" t="s">
        <v>9473</v>
      </c>
      <c r="E7372" t="s">
        <v>9474</v>
      </c>
      <c r="J7372" t="s">
        <v>5844</v>
      </c>
      <c r="K7372" t="s">
        <v>5845</v>
      </c>
      <c r="L7372">
        <v>1</v>
      </c>
      <c r="M7372" t="s">
        <v>29838</v>
      </c>
      <c r="N7372" t="s">
        <v>27115</v>
      </c>
      <c r="O7372" t="s">
        <v>9477</v>
      </c>
      <c r="P7372" t="s">
        <v>9477</v>
      </c>
      <c r="Y7372" t="s">
        <v>29839</v>
      </c>
    </row>
    <row r="7373" spans="1:25">
      <c r="A7373" t="s">
        <v>29840</v>
      </c>
      <c r="B7373" t="s">
        <v>29841</v>
      </c>
      <c r="D7373" t="s">
        <v>9473</v>
      </c>
      <c r="E7373" t="s">
        <v>9474</v>
      </c>
      <c r="J7373" t="s">
        <v>765</v>
      </c>
      <c r="K7373" t="s">
        <v>766</v>
      </c>
      <c r="L7373">
        <v>1</v>
      </c>
      <c r="M7373" t="s">
        <v>29842</v>
      </c>
      <c r="N7373" t="s">
        <v>685</v>
      </c>
      <c r="O7373" t="s">
        <v>9477</v>
      </c>
      <c r="P7373" t="s">
        <v>9477</v>
      </c>
      <c r="Y7373" t="s">
        <v>29843</v>
      </c>
    </row>
    <row r="7374" spans="1:25">
      <c r="A7374" t="s">
        <v>29844</v>
      </c>
      <c r="B7374" t="s">
        <v>29845</v>
      </c>
      <c r="D7374" t="s">
        <v>9473</v>
      </c>
      <c r="E7374" t="s">
        <v>9474</v>
      </c>
      <c r="J7374" t="s">
        <v>497</v>
      </c>
      <c r="K7374" t="s">
        <v>498</v>
      </c>
      <c r="L7374">
        <v>1</v>
      </c>
      <c r="M7374" t="s">
        <v>29846</v>
      </c>
      <c r="N7374" t="s">
        <v>27094</v>
      </c>
      <c r="O7374" t="s">
        <v>9477</v>
      </c>
      <c r="P7374" t="s">
        <v>9477</v>
      </c>
      <c r="Y7374" t="s">
        <v>29847</v>
      </c>
    </row>
    <row r="7375" spans="1:25">
      <c r="A7375" t="s">
        <v>29848</v>
      </c>
      <c r="B7375" t="s">
        <v>29849</v>
      </c>
      <c r="D7375" t="s">
        <v>9473</v>
      </c>
      <c r="E7375" t="s">
        <v>9474</v>
      </c>
      <c r="H7375" t="s">
        <v>29850</v>
      </c>
      <c r="J7375" t="s">
        <v>497</v>
      </c>
      <c r="K7375" t="s">
        <v>498</v>
      </c>
      <c r="L7375">
        <v>1</v>
      </c>
      <c r="M7375" t="s">
        <v>29851</v>
      </c>
      <c r="N7375" t="s">
        <v>27115</v>
      </c>
      <c r="O7375" t="s">
        <v>9477</v>
      </c>
      <c r="P7375" t="s">
        <v>9477</v>
      </c>
      <c r="Y7375" t="s">
        <v>29850</v>
      </c>
    </row>
    <row r="7376" spans="1:25">
      <c r="A7376" t="s">
        <v>29852</v>
      </c>
      <c r="B7376" t="s">
        <v>29853</v>
      </c>
      <c r="D7376" t="s">
        <v>9473</v>
      </c>
      <c r="E7376" t="s">
        <v>9474</v>
      </c>
      <c r="H7376" t="s">
        <v>29854</v>
      </c>
      <c r="J7376" t="s">
        <v>765</v>
      </c>
      <c r="K7376" t="s">
        <v>766</v>
      </c>
      <c r="L7376">
        <v>2</v>
      </c>
      <c r="M7376" t="s">
        <v>29855</v>
      </c>
      <c r="N7376" t="s">
        <v>685</v>
      </c>
      <c r="O7376" t="s">
        <v>9477</v>
      </c>
      <c r="P7376" t="s">
        <v>9477</v>
      </c>
      <c r="Y7376" t="s">
        <v>29854</v>
      </c>
    </row>
    <row r="7377" spans="1:25">
      <c r="A7377" t="s">
        <v>29856</v>
      </c>
      <c r="B7377" t="s">
        <v>29857</v>
      </c>
      <c r="D7377" t="s">
        <v>9473</v>
      </c>
      <c r="E7377" t="s">
        <v>9474</v>
      </c>
      <c r="J7377" t="s">
        <v>765</v>
      </c>
      <c r="K7377" t="s">
        <v>766</v>
      </c>
      <c r="L7377">
        <v>1</v>
      </c>
      <c r="M7377" t="s">
        <v>29858</v>
      </c>
      <c r="N7377" t="s">
        <v>27098</v>
      </c>
      <c r="O7377" t="s">
        <v>9477</v>
      </c>
      <c r="P7377" t="s">
        <v>9477</v>
      </c>
      <c r="Y7377" t="s">
        <v>29859</v>
      </c>
    </row>
    <row r="7378" spans="1:25">
      <c r="A7378" t="s">
        <v>29860</v>
      </c>
      <c r="B7378" t="s">
        <v>29861</v>
      </c>
      <c r="D7378" t="s">
        <v>9473</v>
      </c>
      <c r="E7378" t="s">
        <v>9474</v>
      </c>
      <c r="J7378" t="s">
        <v>765</v>
      </c>
      <c r="K7378" t="s">
        <v>766</v>
      </c>
      <c r="L7378">
        <v>1</v>
      </c>
      <c r="M7378" t="s">
        <v>29862</v>
      </c>
      <c r="N7378" t="s">
        <v>27094</v>
      </c>
      <c r="O7378" t="s">
        <v>9477</v>
      </c>
      <c r="P7378" t="s">
        <v>9477</v>
      </c>
      <c r="Y7378" t="s">
        <v>29863</v>
      </c>
    </row>
    <row r="7379" spans="1:25">
      <c r="A7379" t="s">
        <v>29864</v>
      </c>
      <c r="B7379" t="s">
        <v>29865</v>
      </c>
      <c r="D7379" t="s">
        <v>9473</v>
      </c>
      <c r="E7379" t="s">
        <v>9474</v>
      </c>
      <c r="H7379" t="s">
        <v>29866</v>
      </c>
      <c r="J7379" t="s">
        <v>27091</v>
      </c>
      <c r="K7379" t="s">
        <v>27092</v>
      </c>
      <c r="L7379">
        <v>1</v>
      </c>
      <c r="M7379" t="s">
        <v>29867</v>
      </c>
      <c r="N7379" t="s">
        <v>27094</v>
      </c>
      <c r="O7379" t="s">
        <v>9477</v>
      </c>
      <c r="P7379" t="s">
        <v>9477</v>
      </c>
      <c r="Y7379" t="s">
        <v>29866</v>
      </c>
    </row>
    <row r="7380" spans="1:25">
      <c r="A7380" t="s">
        <v>29868</v>
      </c>
      <c r="B7380" t="s">
        <v>29869</v>
      </c>
      <c r="D7380" t="s">
        <v>9473</v>
      </c>
      <c r="E7380" t="s">
        <v>9474</v>
      </c>
      <c r="J7380" t="s">
        <v>765</v>
      </c>
      <c r="K7380" t="s">
        <v>766</v>
      </c>
      <c r="L7380">
        <v>1</v>
      </c>
      <c r="M7380" t="s">
        <v>29870</v>
      </c>
      <c r="N7380" t="s">
        <v>290</v>
      </c>
      <c r="O7380" t="s">
        <v>9477</v>
      </c>
      <c r="P7380" t="s">
        <v>9477</v>
      </c>
      <c r="Y7380" t="s">
        <v>29871</v>
      </c>
    </row>
    <row r="7381" spans="1:25">
      <c r="A7381" t="s">
        <v>29872</v>
      </c>
      <c r="B7381" t="s">
        <v>29873</v>
      </c>
      <c r="D7381" t="s">
        <v>9473</v>
      </c>
      <c r="E7381" t="s">
        <v>9474</v>
      </c>
      <c r="J7381" t="s">
        <v>927</v>
      </c>
      <c r="K7381" t="s">
        <v>928</v>
      </c>
      <c r="L7381">
        <v>1</v>
      </c>
      <c r="M7381" t="s">
        <v>29874</v>
      </c>
      <c r="N7381" t="s">
        <v>27074</v>
      </c>
      <c r="O7381" t="s">
        <v>9477</v>
      </c>
      <c r="P7381" t="s">
        <v>9477</v>
      </c>
      <c r="Y7381" t="s">
        <v>29875</v>
      </c>
    </row>
    <row r="7382" spans="1:25">
      <c r="A7382" t="s">
        <v>29876</v>
      </c>
      <c r="B7382" t="s">
        <v>29877</v>
      </c>
      <c r="D7382" t="s">
        <v>9473</v>
      </c>
      <c r="E7382" t="s">
        <v>9474</v>
      </c>
      <c r="J7382" t="s">
        <v>765</v>
      </c>
      <c r="K7382" t="s">
        <v>766</v>
      </c>
      <c r="L7382">
        <v>1</v>
      </c>
      <c r="M7382" t="s">
        <v>29878</v>
      </c>
      <c r="N7382" t="s">
        <v>27098</v>
      </c>
      <c r="O7382" t="s">
        <v>9477</v>
      </c>
      <c r="P7382" t="s">
        <v>9477</v>
      </c>
      <c r="Y7382" t="s">
        <v>29879</v>
      </c>
    </row>
    <row r="7383" spans="1:25">
      <c r="A7383" t="s">
        <v>29880</v>
      </c>
      <c r="B7383" t="s">
        <v>29881</v>
      </c>
      <c r="D7383" t="s">
        <v>9473</v>
      </c>
      <c r="E7383" t="s">
        <v>9474</v>
      </c>
      <c r="J7383" t="s">
        <v>765</v>
      </c>
      <c r="K7383" t="s">
        <v>766</v>
      </c>
      <c r="L7383">
        <v>1</v>
      </c>
      <c r="M7383" t="s">
        <v>29882</v>
      </c>
      <c r="N7383" t="s">
        <v>27098</v>
      </c>
      <c r="O7383" t="s">
        <v>9477</v>
      </c>
      <c r="P7383" t="s">
        <v>9477</v>
      </c>
      <c r="Y7383" t="s">
        <v>29883</v>
      </c>
    </row>
    <row r="7384" spans="1:25">
      <c r="A7384" t="s">
        <v>29884</v>
      </c>
      <c r="B7384" t="s">
        <v>29885</v>
      </c>
      <c r="D7384" t="s">
        <v>9473</v>
      </c>
      <c r="E7384" t="s">
        <v>9474</v>
      </c>
      <c r="J7384" t="s">
        <v>497</v>
      </c>
      <c r="K7384" t="s">
        <v>498</v>
      </c>
      <c r="L7384">
        <v>1</v>
      </c>
      <c r="M7384" t="s">
        <v>29886</v>
      </c>
      <c r="N7384" t="s">
        <v>27094</v>
      </c>
      <c r="O7384" t="s">
        <v>9477</v>
      </c>
      <c r="P7384" t="s">
        <v>9477</v>
      </c>
      <c r="Y7384" t="s">
        <v>29887</v>
      </c>
    </row>
    <row r="7385" spans="1:25">
      <c r="A7385" t="s">
        <v>29888</v>
      </c>
      <c r="B7385" t="s">
        <v>29889</v>
      </c>
      <c r="D7385" t="s">
        <v>9473</v>
      </c>
      <c r="E7385" t="s">
        <v>9474</v>
      </c>
      <c r="J7385" t="s">
        <v>765</v>
      </c>
      <c r="K7385" t="s">
        <v>766</v>
      </c>
      <c r="L7385">
        <v>1</v>
      </c>
      <c r="M7385" t="s">
        <v>29890</v>
      </c>
      <c r="N7385" t="s">
        <v>290</v>
      </c>
      <c r="O7385" t="s">
        <v>9477</v>
      </c>
      <c r="P7385" t="s">
        <v>9477</v>
      </c>
      <c r="Y7385" t="s">
        <v>29891</v>
      </c>
    </row>
    <row r="7386" spans="1:25">
      <c r="A7386" t="s">
        <v>29892</v>
      </c>
      <c r="B7386" t="s">
        <v>29893</v>
      </c>
      <c r="D7386" t="s">
        <v>9473</v>
      </c>
      <c r="E7386" t="s">
        <v>9474</v>
      </c>
      <c r="J7386" t="s">
        <v>927</v>
      </c>
      <c r="K7386" t="s">
        <v>928</v>
      </c>
      <c r="L7386">
        <v>1</v>
      </c>
      <c r="M7386" t="s">
        <v>29894</v>
      </c>
      <c r="N7386" t="s">
        <v>27094</v>
      </c>
      <c r="O7386" t="s">
        <v>9477</v>
      </c>
      <c r="P7386" t="s">
        <v>9477</v>
      </c>
      <c r="Y7386" t="s">
        <v>29895</v>
      </c>
    </row>
    <row r="7387" spans="1:25">
      <c r="A7387" t="s">
        <v>29896</v>
      </c>
      <c r="B7387" t="s">
        <v>29897</v>
      </c>
      <c r="D7387" t="s">
        <v>9473</v>
      </c>
      <c r="E7387" t="s">
        <v>9474</v>
      </c>
      <c r="J7387" t="s">
        <v>6178</v>
      </c>
      <c r="K7387" t="s">
        <v>6179</v>
      </c>
      <c r="L7387">
        <v>2</v>
      </c>
      <c r="M7387" t="s">
        <v>29898</v>
      </c>
      <c r="N7387" t="s">
        <v>290</v>
      </c>
      <c r="O7387" t="s">
        <v>9477</v>
      </c>
      <c r="P7387" t="s">
        <v>9477</v>
      </c>
      <c r="Y7387" t="s">
        <v>29899</v>
      </c>
    </row>
    <row r="7388" spans="1:25">
      <c r="A7388" t="s">
        <v>29900</v>
      </c>
      <c r="B7388" t="s">
        <v>29901</v>
      </c>
      <c r="D7388" t="s">
        <v>9473</v>
      </c>
      <c r="E7388" t="s">
        <v>9474</v>
      </c>
      <c r="J7388" t="s">
        <v>5844</v>
      </c>
      <c r="K7388" t="s">
        <v>5845</v>
      </c>
      <c r="L7388">
        <v>1</v>
      </c>
      <c r="M7388" t="s">
        <v>29902</v>
      </c>
      <c r="N7388" t="s">
        <v>27094</v>
      </c>
      <c r="O7388" t="s">
        <v>9477</v>
      </c>
      <c r="P7388" t="s">
        <v>9477</v>
      </c>
      <c r="Y7388" t="s">
        <v>29903</v>
      </c>
    </row>
    <row r="7389" spans="1:25">
      <c r="A7389" t="s">
        <v>29904</v>
      </c>
      <c r="B7389" t="s">
        <v>29905</v>
      </c>
      <c r="D7389" t="s">
        <v>9473</v>
      </c>
      <c r="E7389" t="s">
        <v>9474</v>
      </c>
      <c r="J7389" t="s">
        <v>5844</v>
      </c>
      <c r="K7389" t="s">
        <v>5845</v>
      </c>
      <c r="L7389">
        <v>1</v>
      </c>
      <c r="M7389" t="s">
        <v>29906</v>
      </c>
      <c r="N7389" t="s">
        <v>27074</v>
      </c>
      <c r="O7389" t="s">
        <v>9477</v>
      </c>
      <c r="P7389" t="s">
        <v>9477</v>
      </c>
      <c r="Y7389" t="s">
        <v>29907</v>
      </c>
    </row>
    <row r="7390" spans="1:25">
      <c r="A7390" t="s">
        <v>29908</v>
      </c>
      <c r="B7390" t="s">
        <v>29909</v>
      </c>
      <c r="D7390" t="s">
        <v>9473</v>
      </c>
      <c r="E7390" t="s">
        <v>9474</v>
      </c>
      <c r="H7390" t="s">
        <v>29910</v>
      </c>
      <c r="J7390" t="s">
        <v>765</v>
      </c>
      <c r="K7390" t="s">
        <v>766</v>
      </c>
      <c r="L7390">
        <v>2</v>
      </c>
      <c r="M7390" t="s">
        <v>29911</v>
      </c>
      <c r="N7390" t="s">
        <v>27098</v>
      </c>
      <c r="O7390" t="s">
        <v>9477</v>
      </c>
      <c r="P7390" t="s">
        <v>9477</v>
      </c>
      <c r="Y7390" t="s">
        <v>29910</v>
      </c>
    </row>
    <row r="7391" spans="1:25">
      <c r="A7391" t="s">
        <v>29912</v>
      </c>
      <c r="B7391" t="s">
        <v>29913</v>
      </c>
      <c r="D7391" t="s">
        <v>9473</v>
      </c>
      <c r="E7391" t="s">
        <v>9474</v>
      </c>
      <c r="J7391" t="s">
        <v>765</v>
      </c>
      <c r="K7391" t="s">
        <v>766</v>
      </c>
      <c r="L7391">
        <v>2</v>
      </c>
      <c r="M7391" t="s">
        <v>29914</v>
      </c>
      <c r="N7391" t="s">
        <v>685</v>
      </c>
      <c r="O7391" t="s">
        <v>9477</v>
      </c>
      <c r="P7391" t="s">
        <v>9477</v>
      </c>
      <c r="Y7391" t="s">
        <v>29915</v>
      </c>
    </row>
    <row r="7392" spans="1:25">
      <c r="A7392" t="s">
        <v>29916</v>
      </c>
      <c r="B7392" t="s">
        <v>29917</v>
      </c>
      <c r="D7392" t="s">
        <v>9473</v>
      </c>
      <c r="E7392" t="s">
        <v>9474</v>
      </c>
      <c r="J7392" t="s">
        <v>10083</v>
      </c>
      <c r="K7392" t="s">
        <v>10084</v>
      </c>
      <c r="L7392">
        <v>1</v>
      </c>
      <c r="M7392" t="s">
        <v>29918</v>
      </c>
      <c r="N7392" t="s">
        <v>27094</v>
      </c>
      <c r="O7392" t="s">
        <v>9477</v>
      </c>
      <c r="P7392" t="s">
        <v>9477</v>
      </c>
      <c r="Y7392" t="s">
        <v>29919</v>
      </c>
    </row>
    <row r="7393" spans="1:25">
      <c r="A7393" t="s">
        <v>29920</v>
      </c>
      <c r="B7393" t="s">
        <v>29921</v>
      </c>
      <c r="D7393" t="s">
        <v>9473</v>
      </c>
      <c r="E7393" t="s">
        <v>9474</v>
      </c>
      <c r="J7393" t="s">
        <v>5844</v>
      </c>
      <c r="K7393" t="s">
        <v>5845</v>
      </c>
      <c r="L7393">
        <v>1</v>
      </c>
      <c r="M7393" t="s">
        <v>29922</v>
      </c>
      <c r="N7393" t="s">
        <v>27094</v>
      </c>
      <c r="O7393" t="s">
        <v>9477</v>
      </c>
      <c r="P7393" t="s">
        <v>9477</v>
      </c>
      <c r="Y7393" t="s">
        <v>29923</v>
      </c>
    </row>
    <row r="7394" spans="1:25">
      <c r="A7394" t="s">
        <v>29924</v>
      </c>
      <c r="B7394" t="s">
        <v>29925</v>
      </c>
      <c r="D7394" t="s">
        <v>9473</v>
      </c>
      <c r="E7394" t="s">
        <v>9474</v>
      </c>
      <c r="J7394" t="s">
        <v>927</v>
      </c>
      <c r="K7394" t="s">
        <v>928</v>
      </c>
      <c r="L7394">
        <v>1</v>
      </c>
      <c r="M7394" t="s">
        <v>29926</v>
      </c>
      <c r="N7394" t="s">
        <v>685</v>
      </c>
      <c r="O7394" t="s">
        <v>9477</v>
      </c>
      <c r="P7394" t="s">
        <v>9477</v>
      </c>
      <c r="Y7394" t="s">
        <v>29927</v>
      </c>
    </row>
    <row r="7395" spans="1:25">
      <c r="A7395" t="s">
        <v>29928</v>
      </c>
      <c r="B7395" t="s">
        <v>29929</v>
      </c>
      <c r="D7395" t="s">
        <v>9473</v>
      </c>
      <c r="E7395" t="s">
        <v>9474</v>
      </c>
      <c r="J7395" t="s">
        <v>765</v>
      </c>
      <c r="K7395" t="s">
        <v>766</v>
      </c>
      <c r="L7395">
        <v>1</v>
      </c>
      <c r="M7395" t="s">
        <v>29926</v>
      </c>
      <c r="N7395" t="s">
        <v>27098</v>
      </c>
      <c r="O7395" t="s">
        <v>9477</v>
      </c>
      <c r="P7395" t="s">
        <v>9477</v>
      </c>
      <c r="Y7395" t="s">
        <v>29930</v>
      </c>
    </row>
    <row r="7396" spans="1:25">
      <c r="A7396" t="s">
        <v>29931</v>
      </c>
      <c r="B7396" t="s">
        <v>29932</v>
      </c>
      <c r="D7396" t="s">
        <v>9473</v>
      </c>
      <c r="E7396" t="s">
        <v>9474</v>
      </c>
      <c r="J7396" t="s">
        <v>497</v>
      </c>
      <c r="K7396" t="s">
        <v>498</v>
      </c>
      <c r="L7396">
        <v>1</v>
      </c>
      <c r="M7396" t="s">
        <v>29933</v>
      </c>
      <c r="N7396" t="s">
        <v>27094</v>
      </c>
      <c r="O7396" t="s">
        <v>9477</v>
      </c>
      <c r="P7396" t="s">
        <v>9477</v>
      </c>
      <c r="Y7396" t="s">
        <v>29934</v>
      </c>
    </row>
    <row r="7397" spans="1:25">
      <c r="A7397" t="s">
        <v>29935</v>
      </c>
      <c r="B7397" t="s">
        <v>29936</v>
      </c>
      <c r="D7397" t="s">
        <v>9473</v>
      </c>
      <c r="E7397" t="s">
        <v>9474</v>
      </c>
      <c r="J7397" t="s">
        <v>9759</v>
      </c>
      <c r="K7397" t="s">
        <v>9760</v>
      </c>
      <c r="L7397">
        <v>2</v>
      </c>
      <c r="M7397" t="s">
        <v>29937</v>
      </c>
      <c r="N7397" t="s">
        <v>47</v>
      </c>
      <c r="O7397" t="s">
        <v>9477</v>
      </c>
      <c r="P7397" t="s">
        <v>9477</v>
      </c>
      <c r="Y7397" t="s">
        <v>29938</v>
      </c>
    </row>
    <row r="7398" spans="1:25">
      <c r="A7398" t="s">
        <v>29939</v>
      </c>
      <c r="B7398" t="s">
        <v>29940</v>
      </c>
      <c r="D7398" t="s">
        <v>9473</v>
      </c>
      <c r="E7398" t="s">
        <v>9474</v>
      </c>
      <c r="J7398" t="s">
        <v>497</v>
      </c>
      <c r="K7398" t="s">
        <v>498</v>
      </c>
      <c r="L7398">
        <v>1</v>
      </c>
      <c r="M7398" t="s">
        <v>29941</v>
      </c>
      <c r="N7398" t="s">
        <v>685</v>
      </c>
      <c r="O7398" t="s">
        <v>9477</v>
      </c>
      <c r="P7398" t="s">
        <v>9477</v>
      </c>
      <c r="Y7398" t="s">
        <v>29942</v>
      </c>
    </row>
    <row r="7399" spans="1:25">
      <c r="A7399" t="s">
        <v>29943</v>
      </c>
      <c r="B7399" t="s">
        <v>29944</v>
      </c>
      <c r="D7399" t="s">
        <v>9473</v>
      </c>
      <c r="E7399" t="s">
        <v>9474</v>
      </c>
      <c r="J7399" t="s">
        <v>765</v>
      </c>
      <c r="K7399" t="s">
        <v>766</v>
      </c>
      <c r="L7399">
        <v>1</v>
      </c>
      <c r="M7399" t="s">
        <v>29945</v>
      </c>
      <c r="N7399" t="s">
        <v>685</v>
      </c>
      <c r="O7399" t="s">
        <v>9477</v>
      </c>
      <c r="P7399" t="s">
        <v>9477</v>
      </c>
      <c r="Y7399" t="s">
        <v>29946</v>
      </c>
    </row>
    <row r="7400" spans="1:25">
      <c r="A7400" t="s">
        <v>29947</v>
      </c>
      <c r="B7400" t="s">
        <v>29948</v>
      </c>
      <c r="D7400" t="s">
        <v>9473</v>
      </c>
      <c r="E7400" t="s">
        <v>9474</v>
      </c>
      <c r="J7400" t="s">
        <v>765</v>
      </c>
      <c r="K7400" t="s">
        <v>766</v>
      </c>
      <c r="L7400">
        <v>1</v>
      </c>
      <c r="M7400" t="s">
        <v>29949</v>
      </c>
      <c r="N7400" t="s">
        <v>685</v>
      </c>
      <c r="O7400" t="s">
        <v>9477</v>
      </c>
      <c r="P7400" t="s">
        <v>9477</v>
      </c>
      <c r="Y7400" t="s">
        <v>29950</v>
      </c>
    </row>
    <row r="7401" spans="1:25">
      <c r="A7401" t="s">
        <v>29951</v>
      </c>
      <c r="B7401" t="s">
        <v>29952</v>
      </c>
      <c r="D7401" t="s">
        <v>9473</v>
      </c>
      <c r="E7401" t="s">
        <v>9474</v>
      </c>
      <c r="J7401" t="s">
        <v>765</v>
      </c>
      <c r="K7401" t="s">
        <v>766</v>
      </c>
      <c r="L7401">
        <v>1</v>
      </c>
      <c r="M7401" t="s">
        <v>29953</v>
      </c>
      <c r="N7401" t="s">
        <v>27152</v>
      </c>
      <c r="O7401" t="s">
        <v>9477</v>
      </c>
      <c r="P7401" t="s">
        <v>9477</v>
      </c>
      <c r="Y7401" t="s">
        <v>29954</v>
      </c>
    </row>
    <row r="7402" spans="1:25">
      <c r="A7402" t="s">
        <v>29955</v>
      </c>
      <c r="B7402" t="s">
        <v>29956</v>
      </c>
      <c r="D7402" t="s">
        <v>9473</v>
      </c>
      <c r="E7402" t="s">
        <v>9474</v>
      </c>
      <c r="J7402" t="s">
        <v>765</v>
      </c>
      <c r="K7402" t="s">
        <v>766</v>
      </c>
      <c r="L7402">
        <v>1</v>
      </c>
      <c r="M7402" t="s">
        <v>29957</v>
      </c>
      <c r="N7402" t="s">
        <v>685</v>
      </c>
      <c r="O7402" t="s">
        <v>9477</v>
      </c>
      <c r="P7402" t="s">
        <v>9477</v>
      </c>
      <c r="Y7402" t="s">
        <v>29958</v>
      </c>
    </row>
    <row r="7403" spans="1:25">
      <c r="A7403" t="s">
        <v>29959</v>
      </c>
      <c r="B7403" t="s">
        <v>29960</v>
      </c>
      <c r="D7403" t="s">
        <v>9473</v>
      </c>
      <c r="E7403" t="s">
        <v>9474</v>
      </c>
      <c r="J7403" t="s">
        <v>765</v>
      </c>
      <c r="K7403" t="s">
        <v>766</v>
      </c>
      <c r="L7403">
        <v>1</v>
      </c>
      <c r="M7403" t="s">
        <v>29961</v>
      </c>
      <c r="N7403" t="s">
        <v>685</v>
      </c>
      <c r="O7403" t="s">
        <v>9477</v>
      </c>
      <c r="P7403" t="s">
        <v>9477</v>
      </c>
      <c r="Y7403" t="s">
        <v>29962</v>
      </c>
    </row>
    <row r="7404" spans="1:25">
      <c r="A7404" t="s">
        <v>29963</v>
      </c>
      <c r="B7404" t="s">
        <v>29964</v>
      </c>
      <c r="D7404" t="s">
        <v>9473</v>
      </c>
      <c r="E7404" t="s">
        <v>9474</v>
      </c>
      <c r="J7404" t="s">
        <v>765</v>
      </c>
      <c r="K7404" t="s">
        <v>766</v>
      </c>
      <c r="L7404">
        <v>1</v>
      </c>
      <c r="M7404" t="s">
        <v>29965</v>
      </c>
      <c r="N7404" t="s">
        <v>27094</v>
      </c>
      <c r="O7404" t="s">
        <v>9477</v>
      </c>
      <c r="P7404" t="s">
        <v>9477</v>
      </c>
      <c r="Y7404" t="s">
        <v>29966</v>
      </c>
    </row>
    <row r="7405" spans="1:25">
      <c r="A7405" t="s">
        <v>29967</v>
      </c>
      <c r="B7405" t="s">
        <v>29968</v>
      </c>
      <c r="D7405" t="s">
        <v>9473</v>
      </c>
      <c r="E7405" t="s">
        <v>9474</v>
      </c>
      <c r="J7405" t="s">
        <v>2948</v>
      </c>
      <c r="K7405" t="s">
        <v>2949</v>
      </c>
      <c r="L7405">
        <v>1</v>
      </c>
      <c r="M7405" t="s">
        <v>29969</v>
      </c>
      <c r="N7405" t="s">
        <v>27098</v>
      </c>
      <c r="O7405" t="s">
        <v>9477</v>
      </c>
      <c r="P7405" t="s">
        <v>9477</v>
      </c>
      <c r="Y7405" t="s">
        <v>29970</v>
      </c>
    </row>
    <row r="7406" spans="1:25">
      <c r="A7406" t="s">
        <v>29971</v>
      </c>
      <c r="B7406" t="s">
        <v>29972</v>
      </c>
      <c r="D7406" t="s">
        <v>9473</v>
      </c>
      <c r="E7406" t="s">
        <v>9474</v>
      </c>
      <c r="J7406" t="s">
        <v>497</v>
      </c>
      <c r="K7406" t="s">
        <v>498</v>
      </c>
      <c r="L7406">
        <v>1</v>
      </c>
      <c r="M7406" t="s">
        <v>29973</v>
      </c>
      <c r="N7406" t="s">
        <v>685</v>
      </c>
      <c r="O7406" t="s">
        <v>9477</v>
      </c>
      <c r="P7406" t="s">
        <v>9477</v>
      </c>
      <c r="Y7406" t="s">
        <v>29974</v>
      </c>
    </row>
    <row r="7407" spans="1:25">
      <c r="A7407" t="s">
        <v>29975</v>
      </c>
      <c r="B7407" t="s">
        <v>29976</v>
      </c>
      <c r="D7407" t="s">
        <v>9473</v>
      </c>
      <c r="E7407" t="s">
        <v>9474</v>
      </c>
      <c r="H7407" t="s">
        <v>29977</v>
      </c>
      <c r="J7407" t="s">
        <v>497</v>
      </c>
      <c r="K7407" t="s">
        <v>498</v>
      </c>
      <c r="L7407">
        <v>2</v>
      </c>
      <c r="M7407" t="s">
        <v>29978</v>
      </c>
      <c r="N7407" t="s">
        <v>685</v>
      </c>
      <c r="O7407" t="s">
        <v>9477</v>
      </c>
      <c r="P7407" t="s">
        <v>9477</v>
      </c>
      <c r="Y7407" t="s">
        <v>29977</v>
      </c>
    </row>
    <row r="7408" spans="1:25">
      <c r="A7408" t="s">
        <v>29979</v>
      </c>
      <c r="B7408" t="s">
        <v>29980</v>
      </c>
      <c r="D7408" t="s">
        <v>9473</v>
      </c>
      <c r="E7408" t="s">
        <v>9474</v>
      </c>
      <c r="H7408" t="s">
        <v>29981</v>
      </c>
      <c r="J7408" t="s">
        <v>765</v>
      </c>
      <c r="K7408" t="s">
        <v>766</v>
      </c>
      <c r="L7408">
        <v>2</v>
      </c>
      <c r="M7408" t="s">
        <v>29982</v>
      </c>
      <c r="N7408" t="s">
        <v>27094</v>
      </c>
      <c r="O7408" t="s">
        <v>9477</v>
      </c>
      <c r="P7408" t="s">
        <v>9477</v>
      </c>
      <c r="Y7408" t="s">
        <v>29981</v>
      </c>
    </row>
    <row r="7409" spans="1:25">
      <c r="A7409" t="s">
        <v>29983</v>
      </c>
      <c r="B7409" t="s">
        <v>29984</v>
      </c>
      <c r="D7409" t="s">
        <v>9473</v>
      </c>
      <c r="E7409" t="s">
        <v>9474</v>
      </c>
      <c r="J7409" t="s">
        <v>497</v>
      </c>
      <c r="K7409" t="s">
        <v>498</v>
      </c>
      <c r="L7409">
        <v>1</v>
      </c>
      <c r="M7409" t="s">
        <v>29985</v>
      </c>
      <c r="N7409" t="s">
        <v>27098</v>
      </c>
      <c r="O7409" t="s">
        <v>9477</v>
      </c>
      <c r="P7409" t="s">
        <v>9477</v>
      </c>
      <c r="Y7409" t="s">
        <v>29986</v>
      </c>
    </row>
    <row r="7410" spans="1:25">
      <c r="A7410" t="s">
        <v>29987</v>
      </c>
      <c r="B7410" t="s">
        <v>29988</v>
      </c>
      <c r="D7410" t="s">
        <v>9473</v>
      </c>
      <c r="E7410" t="s">
        <v>9474</v>
      </c>
      <c r="J7410" t="s">
        <v>765</v>
      </c>
      <c r="K7410" t="s">
        <v>766</v>
      </c>
      <c r="L7410">
        <v>1</v>
      </c>
      <c r="M7410" t="s">
        <v>29989</v>
      </c>
      <c r="N7410" t="s">
        <v>685</v>
      </c>
      <c r="O7410" t="s">
        <v>9477</v>
      </c>
      <c r="P7410" t="s">
        <v>9477</v>
      </c>
      <c r="Y7410" t="s">
        <v>29990</v>
      </c>
    </row>
    <row r="7411" spans="1:25">
      <c r="A7411" t="s">
        <v>29991</v>
      </c>
      <c r="B7411" t="s">
        <v>29992</v>
      </c>
      <c r="D7411" t="s">
        <v>9473</v>
      </c>
      <c r="E7411" t="s">
        <v>9474</v>
      </c>
      <c r="J7411" t="s">
        <v>497</v>
      </c>
      <c r="K7411" t="s">
        <v>498</v>
      </c>
      <c r="L7411">
        <v>1</v>
      </c>
      <c r="M7411" t="s">
        <v>29993</v>
      </c>
      <c r="N7411" t="s">
        <v>685</v>
      </c>
      <c r="O7411" t="s">
        <v>9477</v>
      </c>
      <c r="P7411" t="s">
        <v>9477</v>
      </c>
      <c r="Y7411" t="s">
        <v>29994</v>
      </c>
    </row>
    <row r="7412" spans="1:25">
      <c r="A7412" t="s">
        <v>29995</v>
      </c>
      <c r="B7412" t="s">
        <v>29996</v>
      </c>
      <c r="D7412" t="s">
        <v>9473</v>
      </c>
      <c r="E7412" t="s">
        <v>9474</v>
      </c>
      <c r="J7412" t="s">
        <v>927</v>
      </c>
      <c r="K7412" t="s">
        <v>928</v>
      </c>
      <c r="L7412">
        <v>1</v>
      </c>
      <c r="M7412" t="s">
        <v>29997</v>
      </c>
      <c r="N7412" t="s">
        <v>27094</v>
      </c>
      <c r="O7412" t="s">
        <v>9477</v>
      </c>
      <c r="P7412" t="s">
        <v>9477</v>
      </c>
      <c r="Y7412" t="s">
        <v>29998</v>
      </c>
    </row>
    <row r="7413" spans="1:25">
      <c r="A7413" t="s">
        <v>29999</v>
      </c>
      <c r="B7413" t="s">
        <v>30000</v>
      </c>
      <c r="D7413" t="s">
        <v>9473</v>
      </c>
      <c r="E7413" t="s">
        <v>9474</v>
      </c>
      <c r="J7413" t="s">
        <v>497</v>
      </c>
      <c r="K7413" t="s">
        <v>498</v>
      </c>
      <c r="L7413">
        <v>1</v>
      </c>
      <c r="M7413" t="s">
        <v>30001</v>
      </c>
      <c r="N7413" t="s">
        <v>685</v>
      </c>
      <c r="O7413" t="s">
        <v>9477</v>
      </c>
      <c r="P7413" t="s">
        <v>9477</v>
      </c>
      <c r="Y7413" t="s">
        <v>30002</v>
      </c>
    </row>
    <row r="7414" spans="1:25">
      <c r="A7414" t="s">
        <v>30003</v>
      </c>
      <c r="B7414" t="s">
        <v>30004</v>
      </c>
      <c r="D7414" t="s">
        <v>9473</v>
      </c>
      <c r="E7414" t="s">
        <v>9474</v>
      </c>
      <c r="J7414" t="s">
        <v>497</v>
      </c>
      <c r="K7414" t="s">
        <v>498</v>
      </c>
      <c r="L7414">
        <v>1</v>
      </c>
      <c r="M7414" t="s">
        <v>30005</v>
      </c>
      <c r="N7414" t="s">
        <v>685</v>
      </c>
      <c r="O7414" t="s">
        <v>9477</v>
      </c>
      <c r="P7414" t="s">
        <v>9477</v>
      </c>
      <c r="Y7414" t="s">
        <v>30006</v>
      </c>
    </row>
    <row r="7415" spans="1:25">
      <c r="A7415" t="s">
        <v>30007</v>
      </c>
      <c r="B7415" t="s">
        <v>30008</v>
      </c>
      <c r="D7415" t="s">
        <v>9473</v>
      </c>
      <c r="E7415" t="s">
        <v>9474</v>
      </c>
      <c r="H7415" t="s">
        <v>30009</v>
      </c>
      <c r="J7415" t="s">
        <v>497</v>
      </c>
      <c r="K7415" t="s">
        <v>498</v>
      </c>
      <c r="L7415">
        <v>1</v>
      </c>
      <c r="M7415" t="s">
        <v>30010</v>
      </c>
      <c r="N7415" t="s">
        <v>27094</v>
      </c>
      <c r="O7415" t="s">
        <v>9477</v>
      </c>
      <c r="P7415" t="s">
        <v>9477</v>
      </c>
      <c r="Y7415" t="s">
        <v>30009</v>
      </c>
    </row>
    <row r="7416" spans="1:25">
      <c r="A7416" t="s">
        <v>30011</v>
      </c>
      <c r="B7416" t="s">
        <v>30012</v>
      </c>
      <c r="D7416" t="s">
        <v>9473</v>
      </c>
      <c r="E7416" t="s">
        <v>9474</v>
      </c>
      <c r="J7416" t="s">
        <v>497</v>
      </c>
      <c r="K7416" t="s">
        <v>498</v>
      </c>
      <c r="L7416">
        <v>1</v>
      </c>
      <c r="M7416" t="s">
        <v>30013</v>
      </c>
      <c r="N7416" t="s">
        <v>685</v>
      </c>
      <c r="O7416" t="s">
        <v>9477</v>
      </c>
      <c r="P7416" t="s">
        <v>9477</v>
      </c>
      <c r="Y7416" t="s">
        <v>30014</v>
      </c>
    </row>
    <row r="7417" spans="1:25">
      <c r="A7417" t="s">
        <v>30015</v>
      </c>
      <c r="B7417" t="s">
        <v>30016</v>
      </c>
      <c r="D7417" t="s">
        <v>9473</v>
      </c>
      <c r="E7417" t="s">
        <v>9474</v>
      </c>
      <c r="J7417" t="s">
        <v>390</v>
      </c>
      <c r="K7417" t="s">
        <v>390</v>
      </c>
      <c r="L7417">
        <v>1</v>
      </c>
      <c r="M7417" t="s">
        <v>30017</v>
      </c>
      <c r="N7417" t="s">
        <v>685</v>
      </c>
      <c r="O7417" t="s">
        <v>9477</v>
      </c>
      <c r="P7417" t="s">
        <v>9477</v>
      </c>
      <c r="Y7417" t="s">
        <v>30018</v>
      </c>
    </row>
    <row r="7418" spans="1:25">
      <c r="A7418" t="s">
        <v>30019</v>
      </c>
      <c r="B7418" t="s">
        <v>30020</v>
      </c>
      <c r="D7418" t="s">
        <v>9473</v>
      </c>
      <c r="E7418" t="s">
        <v>9474</v>
      </c>
      <c r="J7418" t="s">
        <v>2948</v>
      </c>
      <c r="K7418" t="s">
        <v>2949</v>
      </c>
      <c r="L7418">
        <v>1</v>
      </c>
      <c r="M7418" t="s">
        <v>30021</v>
      </c>
      <c r="N7418" t="s">
        <v>27152</v>
      </c>
      <c r="O7418" t="s">
        <v>9477</v>
      </c>
      <c r="P7418" t="s">
        <v>9477</v>
      </c>
      <c r="Y7418" t="s">
        <v>30022</v>
      </c>
    </row>
    <row r="7419" spans="1:25">
      <c r="A7419" t="s">
        <v>30023</v>
      </c>
      <c r="B7419" t="s">
        <v>30024</v>
      </c>
      <c r="D7419" t="s">
        <v>9473</v>
      </c>
      <c r="E7419" t="s">
        <v>9474</v>
      </c>
      <c r="J7419" t="s">
        <v>497</v>
      </c>
      <c r="K7419" t="s">
        <v>498</v>
      </c>
      <c r="L7419">
        <v>1</v>
      </c>
      <c r="M7419" t="s">
        <v>30025</v>
      </c>
      <c r="N7419" t="s">
        <v>685</v>
      </c>
      <c r="O7419" t="s">
        <v>9477</v>
      </c>
      <c r="P7419" t="s">
        <v>9477</v>
      </c>
      <c r="Y7419" t="s">
        <v>30026</v>
      </c>
    </row>
    <row r="7420" spans="1:25">
      <c r="A7420" t="s">
        <v>30027</v>
      </c>
      <c r="B7420" t="s">
        <v>30028</v>
      </c>
      <c r="D7420" t="s">
        <v>9473</v>
      </c>
      <c r="E7420" t="s">
        <v>9474</v>
      </c>
      <c r="J7420" t="s">
        <v>497</v>
      </c>
      <c r="K7420" t="s">
        <v>498</v>
      </c>
      <c r="L7420">
        <v>1</v>
      </c>
      <c r="M7420" t="s">
        <v>30029</v>
      </c>
      <c r="N7420" t="s">
        <v>685</v>
      </c>
      <c r="O7420" t="s">
        <v>9477</v>
      </c>
      <c r="P7420" t="s">
        <v>9477</v>
      </c>
      <c r="Y7420" t="s">
        <v>30030</v>
      </c>
    </row>
    <row r="7421" spans="1:25">
      <c r="A7421" t="s">
        <v>30031</v>
      </c>
      <c r="B7421" t="s">
        <v>30032</v>
      </c>
      <c r="D7421" t="s">
        <v>9473</v>
      </c>
      <c r="E7421" t="s">
        <v>9474</v>
      </c>
      <c r="J7421" t="s">
        <v>10222</v>
      </c>
      <c r="K7421" t="s">
        <v>10223</v>
      </c>
      <c r="L7421">
        <v>1</v>
      </c>
      <c r="M7421" t="s">
        <v>30033</v>
      </c>
      <c r="N7421" t="s">
        <v>27098</v>
      </c>
      <c r="O7421" t="s">
        <v>9477</v>
      </c>
      <c r="P7421" t="s">
        <v>9477</v>
      </c>
      <c r="Y7421" t="s">
        <v>30034</v>
      </c>
    </row>
    <row r="7422" spans="1:25">
      <c r="A7422" t="s">
        <v>30035</v>
      </c>
      <c r="B7422" t="s">
        <v>30036</v>
      </c>
      <c r="D7422" t="s">
        <v>9473</v>
      </c>
      <c r="E7422" t="s">
        <v>9474</v>
      </c>
      <c r="H7422" t="s">
        <v>30037</v>
      </c>
      <c r="J7422" t="s">
        <v>27091</v>
      </c>
      <c r="K7422" t="s">
        <v>27092</v>
      </c>
      <c r="L7422">
        <v>1</v>
      </c>
      <c r="M7422" t="s">
        <v>30038</v>
      </c>
      <c r="N7422" t="s">
        <v>27094</v>
      </c>
      <c r="O7422" t="s">
        <v>9477</v>
      </c>
      <c r="P7422" t="s">
        <v>9477</v>
      </c>
      <c r="Y7422" t="s">
        <v>30037</v>
      </c>
    </row>
    <row r="7423" spans="1:25">
      <c r="A7423" t="s">
        <v>30039</v>
      </c>
      <c r="B7423" t="s">
        <v>30040</v>
      </c>
      <c r="D7423" t="s">
        <v>9473</v>
      </c>
      <c r="E7423" t="s">
        <v>9474</v>
      </c>
      <c r="J7423" t="s">
        <v>765</v>
      </c>
      <c r="K7423" t="s">
        <v>766</v>
      </c>
      <c r="L7423">
        <v>1</v>
      </c>
      <c r="M7423" t="s">
        <v>30041</v>
      </c>
      <c r="N7423" t="s">
        <v>685</v>
      </c>
      <c r="O7423" t="s">
        <v>9477</v>
      </c>
      <c r="P7423" t="s">
        <v>9477</v>
      </c>
      <c r="Y7423" t="s">
        <v>30042</v>
      </c>
    </row>
    <row r="7424" spans="1:25">
      <c r="A7424" t="s">
        <v>30043</v>
      </c>
      <c r="B7424" t="s">
        <v>30044</v>
      </c>
      <c r="D7424" t="s">
        <v>9473</v>
      </c>
      <c r="E7424" t="s">
        <v>9474</v>
      </c>
      <c r="J7424" t="s">
        <v>765</v>
      </c>
      <c r="K7424" t="s">
        <v>766</v>
      </c>
      <c r="L7424">
        <v>1</v>
      </c>
      <c r="M7424" t="s">
        <v>30045</v>
      </c>
      <c r="N7424" t="s">
        <v>27152</v>
      </c>
      <c r="O7424" t="s">
        <v>9477</v>
      </c>
      <c r="P7424" t="s">
        <v>9477</v>
      </c>
      <c r="Y7424" t="s">
        <v>30046</v>
      </c>
    </row>
    <row r="7425" spans="1:25">
      <c r="A7425" t="s">
        <v>30047</v>
      </c>
      <c r="B7425" t="s">
        <v>30048</v>
      </c>
      <c r="D7425" t="s">
        <v>9473</v>
      </c>
      <c r="E7425" t="s">
        <v>9474</v>
      </c>
      <c r="J7425" t="s">
        <v>765</v>
      </c>
      <c r="K7425" t="s">
        <v>766</v>
      </c>
      <c r="L7425">
        <v>1</v>
      </c>
      <c r="M7425" t="s">
        <v>30049</v>
      </c>
      <c r="N7425" t="s">
        <v>27094</v>
      </c>
      <c r="O7425" t="s">
        <v>9477</v>
      </c>
      <c r="P7425" t="s">
        <v>9477</v>
      </c>
      <c r="Y7425" t="s">
        <v>30050</v>
      </c>
    </row>
    <row r="7426" spans="1:25">
      <c r="A7426" t="s">
        <v>30051</v>
      </c>
      <c r="B7426" t="s">
        <v>30052</v>
      </c>
      <c r="D7426" t="s">
        <v>9473</v>
      </c>
      <c r="E7426" t="s">
        <v>9474</v>
      </c>
      <c r="J7426" t="s">
        <v>765</v>
      </c>
      <c r="K7426" t="s">
        <v>766</v>
      </c>
      <c r="L7426">
        <v>1</v>
      </c>
      <c r="M7426" t="s">
        <v>30053</v>
      </c>
      <c r="N7426" t="s">
        <v>27152</v>
      </c>
      <c r="O7426" t="s">
        <v>9477</v>
      </c>
      <c r="P7426" t="s">
        <v>9477</v>
      </c>
      <c r="Y7426" t="s">
        <v>30054</v>
      </c>
    </row>
    <row r="7427" spans="1:25">
      <c r="A7427" t="s">
        <v>30055</v>
      </c>
      <c r="B7427" t="s">
        <v>30056</v>
      </c>
      <c r="D7427" t="s">
        <v>9473</v>
      </c>
      <c r="E7427" t="s">
        <v>9474</v>
      </c>
      <c r="H7427" t="s">
        <v>30057</v>
      </c>
      <c r="J7427" t="s">
        <v>5964</v>
      </c>
      <c r="K7427" t="s">
        <v>5965</v>
      </c>
      <c r="L7427">
        <v>2</v>
      </c>
      <c r="M7427" t="s">
        <v>30058</v>
      </c>
      <c r="N7427" t="s">
        <v>27074</v>
      </c>
      <c r="O7427" t="s">
        <v>9477</v>
      </c>
      <c r="P7427" t="s">
        <v>9477</v>
      </c>
      <c r="Y7427" t="s">
        <v>30057</v>
      </c>
    </row>
    <row r="7428" spans="1:25">
      <c r="A7428" t="s">
        <v>30059</v>
      </c>
      <c r="B7428" t="s">
        <v>30060</v>
      </c>
      <c r="D7428" t="s">
        <v>9473</v>
      </c>
      <c r="E7428" t="s">
        <v>9474</v>
      </c>
      <c r="J7428" t="s">
        <v>5844</v>
      </c>
      <c r="K7428" t="s">
        <v>5845</v>
      </c>
      <c r="L7428">
        <v>1</v>
      </c>
      <c r="M7428" t="s">
        <v>30061</v>
      </c>
      <c r="N7428" t="s">
        <v>27094</v>
      </c>
      <c r="O7428" t="s">
        <v>9477</v>
      </c>
      <c r="P7428" t="s">
        <v>9477</v>
      </c>
      <c r="Y7428" t="s">
        <v>30062</v>
      </c>
    </row>
    <row r="7429" spans="1:25">
      <c r="A7429" t="s">
        <v>30063</v>
      </c>
      <c r="B7429" t="s">
        <v>30064</v>
      </c>
      <c r="D7429" t="s">
        <v>9473</v>
      </c>
      <c r="E7429" t="s">
        <v>9474</v>
      </c>
      <c r="H7429" t="s">
        <v>30065</v>
      </c>
      <c r="J7429" t="s">
        <v>765</v>
      </c>
      <c r="K7429" t="s">
        <v>766</v>
      </c>
      <c r="L7429">
        <v>1</v>
      </c>
      <c r="M7429" t="s">
        <v>30066</v>
      </c>
      <c r="N7429" t="s">
        <v>27152</v>
      </c>
      <c r="O7429" t="s">
        <v>9477</v>
      </c>
      <c r="P7429" t="s">
        <v>9477</v>
      </c>
      <c r="Y7429" t="s">
        <v>30065</v>
      </c>
    </row>
    <row r="7430" spans="1:25">
      <c r="A7430" t="s">
        <v>30067</v>
      </c>
      <c r="B7430" t="s">
        <v>30068</v>
      </c>
      <c r="D7430" t="s">
        <v>9473</v>
      </c>
      <c r="E7430" t="s">
        <v>9474</v>
      </c>
      <c r="H7430" t="s">
        <v>30069</v>
      </c>
      <c r="J7430" t="s">
        <v>765</v>
      </c>
      <c r="K7430" t="s">
        <v>766</v>
      </c>
      <c r="L7430">
        <v>1</v>
      </c>
      <c r="M7430" t="s">
        <v>30070</v>
      </c>
      <c r="N7430" t="s">
        <v>27152</v>
      </c>
      <c r="O7430" t="s">
        <v>9477</v>
      </c>
      <c r="P7430" t="s">
        <v>9477</v>
      </c>
      <c r="Y7430" t="s">
        <v>30069</v>
      </c>
    </row>
    <row r="7431" spans="1:25">
      <c r="A7431" t="s">
        <v>30071</v>
      </c>
      <c r="B7431" t="s">
        <v>30072</v>
      </c>
      <c r="D7431" t="s">
        <v>9473</v>
      </c>
      <c r="E7431" t="s">
        <v>9474</v>
      </c>
      <c r="H7431" t="s">
        <v>30073</v>
      </c>
      <c r="J7431" t="s">
        <v>927</v>
      </c>
      <c r="K7431" t="s">
        <v>928</v>
      </c>
      <c r="L7431">
        <v>1</v>
      </c>
      <c r="M7431" t="s">
        <v>30074</v>
      </c>
      <c r="N7431" t="s">
        <v>27094</v>
      </c>
      <c r="O7431" t="s">
        <v>9477</v>
      </c>
      <c r="P7431" t="s">
        <v>9477</v>
      </c>
      <c r="Y7431" t="s">
        <v>30073</v>
      </c>
    </row>
    <row r="7432" spans="1:25">
      <c r="A7432" t="s">
        <v>30075</v>
      </c>
      <c r="B7432" t="s">
        <v>30076</v>
      </c>
      <c r="D7432" t="s">
        <v>9473</v>
      </c>
      <c r="E7432" t="s">
        <v>9474</v>
      </c>
      <c r="J7432" t="s">
        <v>1571</v>
      </c>
      <c r="K7432" t="s">
        <v>1572</v>
      </c>
      <c r="L7432">
        <v>2</v>
      </c>
      <c r="M7432" t="s">
        <v>30077</v>
      </c>
      <c r="N7432" t="s">
        <v>29772</v>
      </c>
      <c r="O7432" t="s">
        <v>9477</v>
      </c>
      <c r="P7432" t="s">
        <v>9477</v>
      </c>
      <c r="Y7432" t="s">
        <v>30078</v>
      </c>
    </row>
    <row r="7433" spans="1:25">
      <c r="A7433" t="s">
        <v>30079</v>
      </c>
      <c r="B7433" t="s">
        <v>30080</v>
      </c>
      <c r="D7433" t="s">
        <v>9473</v>
      </c>
      <c r="E7433" t="s">
        <v>9474</v>
      </c>
      <c r="J7433" t="s">
        <v>765</v>
      </c>
      <c r="K7433" t="s">
        <v>766</v>
      </c>
      <c r="L7433">
        <v>1</v>
      </c>
      <c r="M7433" t="s">
        <v>30081</v>
      </c>
      <c r="N7433" t="s">
        <v>27152</v>
      </c>
      <c r="O7433" t="s">
        <v>9477</v>
      </c>
      <c r="P7433" t="s">
        <v>9477</v>
      </c>
      <c r="Y7433" t="s">
        <v>30082</v>
      </c>
    </row>
    <row r="7434" spans="1:25">
      <c r="A7434" t="s">
        <v>30083</v>
      </c>
      <c r="B7434" t="s">
        <v>30084</v>
      </c>
      <c r="D7434" t="s">
        <v>9473</v>
      </c>
      <c r="E7434" t="s">
        <v>9474</v>
      </c>
      <c r="J7434" t="s">
        <v>5964</v>
      </c>
      <c r="K7434" t="s">
        <v>5965</v>
      </c>
      <c r="L7434">
        <v>1</v>
      </c>
      <c r="M7434" t="s">
        <v>30085</v>
      </c>
      <c r="N7434" t="s">
        <v>685</v>
      </c>
      <c r="O7434" t="s">
        <v>9477</v>
      </c>
      <c r="P7434" t="s">
        <v>9477</v>
      </c>
      <c r="Y7434" t="s">
        <v>30086</v>
      </c>
    </row>
    <row r="7435" spans="1:25">
      <c r="A7435" t="s">
        <v>30087</v>
      </c>
      <c r="B7435" t="s">
        <v>30088</v>
      </c>
      <c r="D7435" t="s">
        <v>9473</v>
      </c>
      <c r="E7435" t="s">
        <v>9474</v>
      </c>
      <c r="J7435" t="s">
        <v>5844</v>
      </c>
      <c r="K7435" t="s">
        <v>5845</v>
      </c>
      <c r="L7435">
        <v>1</v>
      </c>
      <c r="M7435" t="s">
        <v>30089</v>
      </c>
      <c r="N7435" t="s">
        <v>27074</v>
      </c>
      <c r="O7435" t="s">
        <v>9477</v>
      </c>
      <c r="P7435" t="s">
        <v>9477</v>
      </c>
      <c r="Y7435" t="s">
        <v>30090</v>
      </c>
    </row>
    <row r="7436" spans="1:25">
      <c r="A7436" t="s">
        <v>30091</v>
      </c>
      <c r="B7436" t="s">
        <v>30092</v>
      </c>
      <c r="D7436" t="s">
        <v>9473</v>
      </c>
      <c r="E7436" t="s">
        <v>9474</v>
      </c>
      <c r="J7436" t="s">
        <v>765</v>
      </c>
      <c r="K7436" t="s">
        <v>766</v>
      </c>
      <c r="L7436">
        <v>1</v>
      </c>
      <c r="M7436" t="s">
        <v>30093</v>
      </c>
      <c r="N7436" t="s">
        <v>27098</v>
      </c>
      <c r="O7436" t="s">
        <v>9477</v>
      </c>
      <c r="P7436" t="s">
        <v>9477</v>
      </c>
      <c r="Y7436" t="s">
        <v>30094</v>
      </c>
    </row>
    <row r="7437" spans="1:25">
      <c r="A7437" t="s">
        <v>30095</v>
      </c>
      <c r="B7437" t="s">
        <v>30096</v>
      </c>
      <c r="D7437" t="s">
        <v>9473</v>
      </c>
      <c r="E7437" t="s">
        <v>9474</v>
      </c>
      <c r="J7437" t="s">
        <v>765</v>
      </c>
      <c r="K7437" t="s">
        <v>766</v>
      </c>
      <c r="L7437">
        <v>1</v>
      </c>
      <c r="M7437" t="s">
        <v>30097</v>
      </c>
      <c r="N7437" t="s">
        <v>27098</v>
      </c>
      <c r="O7437" t="s">
        <v>9477</v>
      </c>
      <c r="P7437" t="s">
        <v>9477</v>
      </c>
      <c r="Y7437" t="s">
        <v>30098</v>
      </c>
    </row>
    <row r="7438" spans="1:25">
      <c r="A7438" t="s">
        <v>30099</v>
      </c>
      <c r="B7438" t="s">
        <v>30100</v>
      </c>
      <c r="D7438" t="s">
        <v>9473</v>
      </c>
      <c r="E7438" t="s">
        <v>9474</v>
      </c>
      <c r="H7438" t="s">
        <v>30101</v>
      </c>
      <c r="J7438" t="s">
        <v>5844</v>
      </c>
      <c r="K7438" t="s">
        <v>5845</v>
      </c>
      <c r="L7438">
        <v>1</v>
      </c>
      <c r="M7438" t="s">
        <v>30097</v>
      </c>
      <c r="N7438" t="s">
        <v>135</v>
      </c>
      <c r="O7438" t="s">
        <v>9477</v>
      </c>
      <c r="P7438" t="s">
        <v>9477</v>
      </c>
      <c r="Y7438" t="s">
        <v>30101</v>
      </c>
    </row>
    <row r="7439" spans="1:25">
      <c r="A7439" t="s">
        <v>30102</v>
      </c>
      <c r="B7439" t="s">
        <v>30103</v>
      </c>
      <c r="D7439" t="s">
        <v>9473</v>
      </c>
      <c r="E7439" t="s">
        <v>9474</v>
      </c>
      <c r="J7439" t="s">
        <v>497</v>
      </c>
      <c r="K7439" t="s">
        <v>498</v>
      </c>
      <c r="L7439">
        <v>1</v>
      </c>
      <c r="M7439" t="s">
        <v>30104</v>
      </c>
      <c r="N7439" t="s">
        <v>685</v>
      </c>
      <c r="O7439" t="s">
        <v>9477</v>
      </c>
      <c r="P7439" t="s">
        <v>9477</v>
      </c>
      <c r="Y7439" t="s">
        <v>30105</v>
      </c>
    </row>
    <row r="7440" spans="1:25">
      <c r="A7440" t="s">
        <v>30106</v>
      </c>
      <c r="B7440" t="s">
        <v>30107</v>
      </c>
      <c r="D7440" t="s">
        <v>9473</v>
      </c>
      <c r="E7440" t="s">
        <v>9474</v>
      </c>
      <c r="J7440" t="s">
        <v>497</v>
      </c>
      <c r="K7440" t="s">
        <v>498</v>
      </c>
      <c r="L7440">
        <v>1</v>
      </c>
      <c r="M7440" t="s">
        <v>30108</v>
      </c>
      <c r="N7440" t="s">
        <v>27098</v>
      </c>
      <c r="O7440" t="s">
        <v>9477</v>
      </c>
      <c r="P7440" t="s">
        <v>9477</v>
      </c>
      <c r="Y7440" t="s">
        <v>30109</v>
      </c>
    </row>
    <row r="7441" spans="1:25">
      <c r="A7441" t="s">
        <v>30110</v>
      </c>
      <c r="B7441" t="s">
        <v>30111</v>
      </c>
      <c r="D7441" t="s">
        <v>9473</v>
      </c>
      <c r="E7441" t="s">
        <v>9474</v>
      </c>
      <c r="J7441" t="s">
        <v>765</v>
      </c>
      <c r="K7441" t="s">
        <v>766</v>
      </c>
      <c r="L7441">
        <v>1</v>
      </c>
      <c r="M7441" t="s">
        <v>30112</v>
      </c>
      <c r="N7441" t="s">
        <v>685</v>
      </c>
      <c r="O7441" t="s">
        <v>9477</v>
      </c>
      <c r="P7441" t="s">
        <v>9477</v>
      </c>
      <c r="Y7441" t="s">
        <v>30113</v>
      </c>
    </row>
    <row r="7442" spans="1:25">
      <c r="A7442" t="s">
        <v>30114</v>
      </c>
      <c r="B7442" t="s">
        <v>30115</v>
      </c>
      <c r="D7442" t="s">
        <v>9473</v>
      </c>
      <c r="E7442" t="s">
        <v>9474</v>
      </c>
      <c r="J7442" t="s">
        <v>497</v>
      </c>
      <c r="K7442" t="s">
        <v>498</v>
      </c>
      <c r="L7442">
        <v>1</v>
      </c>
      <c r="M7442" t="s">
        <v>30116</v>
      </c>
      <c r="N7442" t="s">
        <v>27074</v>
      </c>
      <c r="O7442" t="s">
        <v>9477</v>
      </c>
      <c r="P7442" t="s">
        <v>9477</v>
      </c>
      <c r="Y7442" t="s">
        <v>30117</v>
      </c>
    </row>
    <row r="7443" spans="1:25">
      <c r="A7443" t="s">
        <v>30118</v>
      </c>
      <c r="B7443" t="s">
        <v>30119</v>
      </c>
      <c r="D7443" t="s">
        <v>9473</v>
      </c>
      <c r="E7443" t="s">
        <v>9474</v>
      </c>
      <c r="J7443" t="s">
        <v>9759</v>
      </c>
      <c r="K7443" t="s">
        <v>9760</v>
      </c>
      <c r="L7443">
        <v>2</v>
      </c>
      <c r="M7443" t="s">
        <v>30120</v>
      </c>
      <c r="N7443" t="s">
        <v>47</v>
      </c>
      <c r="O7443" t="s">
        <v>9477</v>
      </c>
      <c r="P7443" t="s">
        <v>9477</v>
      </c>
      <c r="Y7443" t="s">
        <v>30121</v>
      </c>
    </row>
    <row r="7444" spans="1:25">
      <c r="A7444" t="s">
        <v>30122</v>
      </c>
      <c r="B7444" t="s">
        <v>30123</v>
      </c>
      <c r="D7444" t="s">
        <v>9473</v>
      </c>
      <c r="E7444" t="s">
        <v>9474</v>
      </c>
      <c r="J7444" t="s">
        <v>765</v>
      </c>
      <c r="K7444" t="s">
        <v>766</v>
      </c>
      <c r="L7444">
        <v>1</v>
      </c>
      <c r="M7444" t="s">
        <v>30124</v>
      </c>
      <c r="N7444" t="s">
        <v>27098</v>
      </c>
      <c r="O7444" t="s">
        <v>9477</v>
      </c>
      <c r="P7444" t="s">
        <v>9477</v>
      </c>
      <c r="Y7444" t="s">
        <v>30125</v>
      </c>
    </row>
    <row r="7445" spans="1:25">
      <c r="A7445" t="s">
        <v>30126</v>
      </c>
      <c r="B7445" t="s">
        <v>30127</v>
      </c>
      <c r="D7445" t="s">
        <v>9473</v>
      </c>
      <c r="E7445" t="s">
        <v>9474</v>
      </c>
      <c r="J7445" t="s">
        <v>765</v>
      </c>
      <c r="K7445" t="s">
        <v>766</v>
      </c>
      <c r="L7445">
        <v>1</v>
      </c>
      <c r="M7445" t="s">
        <v>30128</v>
      </c>
      <c r="N7445" t="s">
        <v>27098</v>
      </c>
      <c r="O7445" t="s">
        <v>9477</v>
      </c>
      <c r="P7445" t="s">
        <v>9477</v>
      </c>
      <c r="Y7445" t="s">
        <v>30129</v>
      </c>
    </row>
    <row r="7446" spans="1:25">
      <c r="A7446" t="s">
        <v>30130</v>
      </c>
      <c r="B7446" t="s">
        <v>30131</v>
      </c>
      <c r="D7446" t="s">
        <v>9473</v>
      </c>
      <c r="E7446" t="s">
        <v>9474</v>
      </c>
      <c r="J7446" t="s">
        <v>765</v>
      </c>
      <c r="K7446" t="s">
        <v>766</v>
      </c>
      <c r="L7446">
        <v>1</v>
      </c>
      <c r="M7446" t="s">
        <v>30132</v>
      </c>
      <c r="N7446" t="s">
        <v>685</v>
      </c>
      <c r="O7446" t="s">
        <v>9477</v>
      </c>
      <c r="P7446" t="s">
        <v>9477</v>
      </c>
      <c r="Y7446" t="s">
        <v>30133</v>
      </c>
    </row>
    <row r="7447" spans="1:25">
      <c r="A7447" t="s">
        <v>30134</v>
      </c>
      <c r="B7447" t="s">
        <v>30135</v>
      </c>
      <c r="D7447" t="s">
        <v>9473</v>
      </c>
      <c r="E7447" t="s">
        <v>9474</v>
      </c>
      <c r="J7447" t="s">
        <v>765</v>
      </c>
      <c r="K7447" t="s">
        <v>766</v>
      </c>
      <c r="L7447">
        <v>1</v>
      </c>
      <c r="M7447" t="s">
        <v>30136</v>
      </c>
      <c r="N7447" t="s">
        <v>27098</v>
      </c>
      <c r="O7447" t="s">
        <v>9477</v>
      </c>
      <c r="P7447" t="s">
        <v>9477</v>
      </c>
      <c r="Y7447" t="s">
        <v>30137</v>
      </c>
    </row>
    <row r="7448" spans="1:25">
      <c r="A7448" t="s">
        <v>30138</v>
      </c>
      <c r="B7448" t="s">
        <v>30139</v>
      </c>
      <c r="D7448" t="s">
        <v>9473</v>
      </c>
      <c r="E7448" t="s">
        <v>9474</v>
      </c>
      <c r="J7448" t="s">
        <v>5844</v>
      </c>
      <c r="K7448" t="s">
        <v>5845</v>
      </c>
      <c r="L7448">
        <v>1</v>
      </c>
      <c r="M7448" t="s">
        <v>30140</v>
      </c>
      <c r="N7448" t="s">
        <v>27074</v>
      </c>
      <c r="O7448" t="s">
        <v>9477</v>
      </c>
      <c r="P7448" t="s">
        <v>9477</v>
      </c>
      <c r="Y7448" t="s">
        <v>30141</v>
      </c>
    </row>
    <row r="7449" spans="1:25">
      <c r="A7449" t="s">
        <v>30142</v>
      </c>
      <c r="B7449" t="s">
        <v>30143</v>
      </c>
      <c r="D7449" t="s">
        <v>9473</v>
      </c>
      <c r="E7449" t="s">
        <v>9474</v>
      </c>
      <c r="J7449" t="s">
        <v>765</v>
      </c>
      <c r="K7449" t="s">
        <v>766</v>
      </c>
      <c r="L7449">
        <v>1</v>
      </c>
      <c r="M7449" t="s">
        <v>30144</v>
      </c>
      <c r="N7449" t="s">
        <v>27098</v>
      </c>
      <c r="O7449" t="s">
        <v>9477</v>
      </c>
      <c r="P7449" t="s">
        <v>9477</v>
      </c>
      <c r="Y7449" t="s">
        <v>30145</v>
      </c>
    </row>
    <row r="7450" spans="1:25">
      <c r="A7450" t="s">
        <v>30146</v>
      </c>
      <c r="B7450" t="s">
        <v>30147</v>
      </c>
      <c r="D7450" t="s">
        <v>9473</v>
      </c>
      <c r="E7450" t="s">
        <v>9474</v>
      </c>
      <c r="J7450" t="s">
        <v>497</v>
      </c>
      <c r="K7450" t="s">
        <v>498</v>
      </c>
      <c r="L7450">
        <v>1</v>
      </c>
      <c r="M7450" t="s">
        <v>30148</v>
      </c>
      <c r="N7450" t="s">
        <v>685</v>
      </c>
      <c r="O7450" t="s">
        <v>9477</v>
      </c>
      <c r="P7450" t="s">
        <v>9477</v>
      </c>
      <c r="Y7450" t="s">
        <v>30149</v>
      </c>
    </row>
    <row r="7451" spans="1:25">
      <c r="A7451" t="s">
        <v>30150</v>
      </c>
      <c r="B7451" t="s">
        <v>30151</v>
      </c>
      <c r="D7451" t="s">
        <v>9473</v>
      </c>
      <c r="E7451" t="s">
        <v>9474</v>
      </c>
      <c r="J7451" t="s">
        <v>2328</v>
      </c>
      <c r="K7451" t="s">
        <v>2329</v>
      </c>
      <c r="L7451">
        <v>1</v>
      </c>
      <c r="M7451" t="s">
        <v>30152</v>
      </c>
      <c r="N7451" t="s">
        <v>29772</v>
      </c>
      <c r="O7451" t="s">
        <v>9477</v>
      </c>
      <c r="P7451" t="s">
        <v>9477</v>
      </c>
      <c r="Y7451" t="s">
        <v>30153</v>
      </c>
    </row>
    <row r="7452" spans="1:25">
      <c r="A7452" t="s">
        <v>30154</v>
      </c>
      <c r="B7452" t="s">
        <v>30155</v>
      </c>
      <c r="D7452" t="s">
        <v>9473</v>
      </c>
      <c r="E7452" t="s">
        <v>9474</v>
      </c>
      <c r="J7452" t="s">
        <v>5844</v>
      </c>
      <c r="K7452" t="s">
        <v>5845</v>
      </c>
      <c r="L7452">
        <v>1</v>
      </c>
      <c r="M7452" t="s">
        <v>30156</v>
      </c>
      <c r="N7452" t="s">
        <v>685</v>
      </c>
      <c r="O7452" t="s">
        <v>9477</v>
      </c>
      <c r="P7452" t="s">
        <v>9477</v>
      </c>
      <c r="Y7452" t="s">
        <v>30157</v>
      </c>
    </row>
    <row r="7453" spans="1:25">
      <c r="A7453" t="s">
        <v>30158</v>
      </c>
      <c r="B7453" t="s">
        <v>30159</v>
      </c>
      <c r="D7453" t="s">
        <v>9473</v>
      </c>
      <c r="E7453" t="s">
        <v>9474</v>
      </c>
      <c r="J7453" t="s">
        <v>5844</v>
      </c>
      <c r="K7453" t="s">
        <v>5845</v>
      </c>
      <c r="L7453">
        <v>1</v>
      </c>
      <c r="M7453" t="s">
        <v>30160</v>
      </c>
      <c r="N7453" t="s">
        <v>27074</v>
      </c>
      <c r="O7453" t="s">
        <v>9477</v>
      </c>
      <c r="P7453" t="s">
        <v>9477</v>
      </c>
      <c r="Y7453" t="s">
        <v>30161</v>
      </c>
    </row>
    <row r="7454" spans="1:25">
      <c r="A7454" t="s">
        <v>30162</v>
      </c>
      <c r="B7454" t="s">
        <v>30163</v>
      </c>
      <c r="D7454" t="s">
        <v>9473</v>
      </c>
      <c r="E7454" t="s">
        <v>9474</v>
      </c>
      <c r="H7454" t="s">
        <v>30164</v>
      </c>
      <c r="J7454" t="s">
        <v>497</v>
      </c>
      <c r="K7454" t="s">
        <v>498</v>
      </c>
      <c r="L7454">
        <v>1</v>
      </c>
      <c r="M7454" t="s">
        <v>30165</v>
      </c>
      <c r="N7454" t="s">
        <v>27098</v>
      </c>
      <c r="O7454" t="s">
        <v>9477</v>
      </c>
      <c r="P7454" t="s">
        <v>9477</v>
      </c>
      <c r="Y7454" t="s">
        <v>30164</v>
      </c>
    </row>
    <row r="7455" spans="1:25">
      <c r="A7455" t="s">
        <v>30166</v>
      </c>
      <c r="B7455" t="s">
        <v>30167</v>
      </c>
      <c r="D7455" t="s">
        <v>9473</v>
      </c>
      <c r="E7455" t="s">
        <v>9474</v>
      </c>
      <c r="H7455" t="s">
        <v>30168</v>
      </c>
      <c r="J7455" t="s">
        <v>497</v>
      </c>
      <c r="K7455" t="s">
        <v>498</v>
      </c>
      <c r="L7455">
        <v>1</v>
      </c>
      <c r="M7455" t="s">
        <v>30169</v>
      </c>
      <c r="N7455" t="s">
        <v>135</v>
      </c>
      <c r="O7455" t="s">
        <v>9477</v>
      </c>
      <c r="P7455" t="s">
        <v>9477</v>
      </c>
      <c r="Y7455" t="s">
        <v>30168</v>
      </c>
    </row>
    <row r="7456" spans="1:25">
      <c r="A7456" t="s">
        <v>30170</v>
      </c>
      <c r="B7456" t="s">
        <v>30171</v>
      </c>
      <c r="D7456" t="s">
        <v>9473</v>
      </c>
      <c r="E7456" t="s">
        <v>9474</v>
      </c>
      <c r="H7456" t="s">
        <v>30172</v>
      </c>
      <c r="J7456" t="s">
        <v>497</v>
      </c>
      <c r="K7456" t="s">
        <v>498</v>
      </c>
      <c r="L7456">
        <v>2</v>
      </c>
      <c r="M7456" t="s">
        <v>30173</v>
      </c>
      <c r="N7456" t="s">
        <v>29772</v>
      </c>
      <c r="O7456" t="s">
        <v>9477</v>
      </c>
      <c r="P7456" t="s">
        <v>9477</v>
      </c>
      <c r="Y7456" t="s">
        <v>30172</v>
      </c>
    </row>
    <row r="7457" spans="1:25">
      <c r="A7457" t="s">
        <v>30174</v>
      </c>
      <c r="B7457" t="s">
        <v>30175</v>
      </c>
      <c r="D7457" t="s">
        <v>9473</v>
      </c>
      <c r="E7457" t="s">
        <v>9474</v>
      </c>
      <c r="J7457" t="s">
        <v>497</v>
      </c>
      <c r="K7457" t="s">
        <v>498</v>
      </c>
      <c r="L7457">
        <v>1</v>
      </c>
      <c r="M7457" t="s">
        <v>30176</v>
      </c>
      <c r="N7457" t="s">
        <v>27098</v>
      </c>
      <c r="O7457" t="s">
        <v>9477</v>
      </c>
      <c r="P7457" t="s">
        <v>9477</v>
      </c>
      <c r="Y7457" t="s">
        <v>30177</v>
      </c>
    </row>
    <row r="7458" spans="1:25">
      <c r="A7458" t="s">
        <v>30178</v>
      </c>
      <c r="B7458" t="s">
        <v>30179</v>
      </c>
      <c r="D7458" t="s">
        <v>9473</v>
      </c>
      <c r="E7458" t="s">
        <v>9474</v>
      </c>
      <c r="J7458" t="s">
        <v>2328</v>
      </c>
      <c r="K7458" t="s">
        <v>2329</v>
      </c>
      <c r="L7458">
        <v>1</v>
      </c>
      <c r="M7458" t="s">
        <v>30180</v>
      </c>
      <c r="N7458" t="s">
        <v>29772</v>
      </c>
      <c r="O7458" t="s">
        <v>9477</v>
      </c>
      <c r="P7458" t="s">
        <v>9477</v>
      </c>
      <c r="Y7458" t="s">
        <v>30181</v>
      </c>
    </row>
    <row r="7459" spans="1:25">
      <c r="A7459" t="s">
        <v>30182</v>
      </c>
      <c r="B7459" t="s">
        <v>30183</v>
      </c>
      <c r="D7459" t="s">
        <v>9473</v>
      </c>
      <c r="E7459" t="s">
        <v>9474</v>
      </c>
      <c r="J7459" t="s">
        <v>765</v>
      </c>
      <c r="K7459" t="s">
        <v>766</v>
      </c>
      <c r="L7459">
        <v>1</v>
      </c>
      <c r="M7459" t="s">
        <v>30184</v>
      </c>
      <c r="N7459" t="s">
        <v>27098</v>
      </c>
      <c r="O7459" t="s">
        <v>9477</v>
      </c>
      <c r="P7459" t="s">
        <v>9477</v>
      </c>
      <c r="Y7459" t="s">
        <v>30185</v>
      </c>
    </row>
    <row r="7460" spans="1:25">
      <c r="A7460" t="s">
        <v>30186</v>
      </c>
      <c r="B7460" t="s">
        <v>30187</v>
      </c>
      <c r="D7460" t="s">
        <v>9473</v>
      </c>
      <c r="E7460" t="s">
        <v>9474</v>
      </c>
      <c r="J7460" t="s">
        <v>927</v>
      </c>
      <c r="K7460" t="s">
        <v>928</v>
      </c>
      <c r="L7460">
        <v>1</v>
      </c>
      <c r="M7460" t="s">
        <v>30188</v>
      </c>
      <c r="N7460" t="s">
        <v>29772</v>
      </c>
      <c r="O7460" t="s">
        <v>9477</v>
      </c>
      <c r="P7460" t="s">
        <v>9477</v>
      </c>
      <c r="Y7460" t="s">
        <v>30189</v>
      </c>
    </row>
    <row r="7461" spans="1:25">
      <c r="A7461" t="s">
        <v>30190</v>
      </c>
      <c r="B7461" t="s">
        <v>30191</v>
      </c>
      <c r="D7461" t="s">
        <v>9473</v>
      </c>
      <c r="E7461" t="s">
        <v>9474</v>
      </c>
      <c r="J7461" t="s">
        <v>497</v>
      </c>
      <c r="K7461" t="s">
        <v>498</v>
      </c>
      <c r="L7461">
        <v>1</v>
      </c>
      <c r="M7461" t="s">
        <v>30188</v>
      </c>
      <c r="N7461" t="s">
        <v>27098</v>
      </c>
      <c r="O7461" t="s">
        <v>9477</v>
      </c>
      <c r="P7461" t="s">
        <v>9477</v>
      </c>
      <c r="Y7461" t="s">
        <v>30192</v>
      </c>
    </row>
    <row r="7462" spans="1:25">
      <c r="A7462" t="s">
        <v>30193</v>
      </c>
      <c r="B7462" t="s">
        <v>30194</v>
      </c>
      <c r="D7462" t="s">
        <v>9473</v>
      </c>
      <c r="E7462" t="s">
        <v>9474</v>
      </c>
      <c r="J7462" t="s">
        <v>9759</v>
      </c>
      <c r="K7462" t="s">
        <v>9760</v>
      </c>
      <c r="L7462">
        <v>2</v>
      </c>
      <c r="M7462" t="s">
        <v>30195</v>
      </c>
      <c r="N7462" t="s">
        <v>47</v>
      </c>
      <c r="O7462" t="s">
        <v>9477</v>
      </c>
      <c r="P7462" t="s">
        <v>9477</v>
      </c>
      <c r="Y7462" t="s">
        <v>30196</v>
      </c>
    </row>
    <row r="7463" spans="1:25">
      <c r="A7463" t="s">
        <v>30197</v>
      </c>
      <c r="B7463" t="s">
        <v>30198</v>
      </c>
      <c r="D7463" t="s">
        <v>9473</v>
      </c>
      <c r="E7463" t="s">
        <v>9474</v>
      </c>
      <c r="J7463" t="s">
        <v>2328</v>
      </c>
      <c r="K7463" t="s">
        <v>2329</v>
      </c>
      <c r="L7463">
        <v>1</v>
      </c>
      <c r="M7463" t="s">
        <v>30199</v>
      </c>
      <c r="N7463" t="s">
        <v>29772</v>
      </c>
      <c r="O7463" t="s">
        <v>9477</v>
      </c>
      <c r="P7463" t="s">
        <v>9477</v>
      </c>
      <c r="Y7463" t="s">
        <v>30200</v>
      </c>
    </row>
    <row r="7464" spans="1:25">
      <c r="A7464" t="s">
        <v>30201</v>
      </c>
      <c r="B7464" t="s">
        <v>30202</v>
      </c>
      <c r="D7464" t="s">
        <v>9473</v>
      </c>
      <c r="E7464" t="s">
        <v>9474</v>
      </c>
      <c r="J7464" t="s">
        <v>497</v>
      </c>
      <c r="K7464" t="s">
        <v>498</v>
      </c>
      <c r="L7464">
        <v>1</v>
      </c>
      <c r="M7464" t="s">
        <v>30203</v>
      </c>
      <c r="N7464" t="s">
        <v>27098</v>
      </c>
      <c r="O7464" t="s">
        <v>9477</v>
      </c>
      <c r="P7464" t="s">
        <v>9477</v>
      </c>
      <c r="Y7464" t="s">
        <v>30204</v>
      </c>
    </row>
    <row r="7465" spans="1:25">
      <c r="A7465" t="s">
        <v>30205</v>
      </c>
      <c r="B7465" t="s">
        <v>30206</v>
      </c>
      <c r="D7465" t="s">
        <v>9473</v>
      </c>
      <c r="E7465" t="s">
        <v>9474</v>
      </c>
      <c r="J7465" t="s">
        <v>5844</v>
      </c>
      <c r="K7465" t="s">
        <v>5845</v>
      </c>
      <c r="L7465">
        <v>1</v>
      </c>
      <c r="M7465" t="s">
        <v>30207</v>
      </c>
      <c r="N7465" t="s">
        <v>27074</v>
      </c>
      <c r="O7465" t="s">
        <v>9477</v>
      </c>
      <c r="P7465" t="s">
        <v>9477</v>
      </c>
      <c r="Y7465" t="s">
        <v>30208</v>
      </c>
    </row>
    <row r="7466" spans="1:25">
      <c r="A7466" t="s">
        <v>30209</v>
      </c>
      <c r="B7466" t="s">
        <v>30210</v>
      </c>
      <c r="D7466" t="s">
        <v>9473</v>
      </c>
      <c r="E7466" t="s">
        <v>9474</v>
      </c>
      <c r="J7466" t="s">
        <v>2328</v>
      </c>
      <c r="K7466" t="s">
        <v>2329</v>
      </c>
      <c r="L7466">
        <v>1</v>
      </c>
      <c r="M7466" t="s">
        <v>30211</v>
      </c>
      <c r="N7466" t="s">
        <v>29772</v>
      </c>
      <c r="O7466" t="s">
        <v>9477</v>
      </c>
      <c r="P7466" t="s">
        <v>9477</v>
      </c>
      <c r="Y7466" t="s">
        <v>30212</v>
      </c>
    </row>
    <row r="7467" spans="1:25">
      <c r="A7467" t="s">
        <v>30213</v>
      </c>
      <c r="B7467" t="s">
        <v>30214</v>
      </c>
      <c r="D7467" t="s">
        <v>9473</v>
      </c>
      <c r="E7467" t="s">
        <v>9474</v>
      </c>
      <c r="J7467" t="s">
        <v>765</v>
      </c>
      <c r="K7467" t="s">
        <v>766</v>
      </c>
      <c r="L7467">
        <v>1</v>
      </c>
      <c r="M7467" t="s">
        <v>30215</v>
      </c>
      <c r="N7467" t="s">
        <v>27098</v>
      </c>
      <c r="O7467" t="s">
        <v>9477</v>
      </c>
      <c r="P7467" t="s">
        <v>9477</v>
      </c>
      <c r="Y7467" t="s">
        <v>30216</v>
      </c>
    </row>
    <row r="7468" spans="1:25">
      <c r="A7468" t="s">
        <v>30217</v>
      </c>
      <c r="B7468" t="s">
        <v>30218</v>
      </c>
      <c r="D7468" t="s">
        <v>9473</v>
      </c>
      <c r="E7468" t="s">
        <v>9474</v>
      </c>
      <c r="J7468" t="s">
        <v>2328</v>
      </c>
      <c r="K7468" t="s">
        <v>2329</v>
      </c>
      <c r="L7468">
        <v>1</v>
      </c>
      <c r="M7468" t="s">
        <v>30219</v>
      </c>
      <c r="N7468" t="s">
        <v>29772</v>
      </c>
      <c r="O7468" t="s">
        <v>9477</v>
      </c>
      <c r="P7468" t="s">
        <v>9477</v>
      </c>
      <c r="Y7468" t="s">
        <v>30220</v>
      </c>
    </row>
    <row r="7469" spans="1:25">
      <c r="A7469" t="s">
        <v>30221</v>
      </c>
      <c r="B7469" t="s">
        <v>30222</v>
      </c>
      <c r="D7469" t="s">
        <v>9473</v>
      </c>
      <c r="E7469" t="s">
        <v>9474</v>
      </c>
      <c r="H7469" t="s">
        <v>30223</v>
      </c>
      <c r="J7469" t="s">
        <v>390</v>
      </c>
      <c r="K7469" t="s">
        <v>390</v>
      </c>
      <c r="L7469">
        <v>1</v>
      </c>
      <c r="M7469" t="s">
        <v>30224</v>
      </c>
      <c r="N7469" t="s">
        <v>27094</v>
      </c>
      <c r="O7469" t="s">
        <v>9477</v>
      </c>
      <c r="P7469" t="s">
        <v>9477</v>
      </c>
      <c r="Y7469" t="s">
        <v>30223</v>
      </c>
    </row>
    <row r="7470" spans="1:25">
      <c r="A7470" t="s">
        <v>30225</v>
      </c>
      <c r="B7470" t="s">
        <v>30226</v>
      </c>
      <c r="D7470" t="s">
        <v>9473</v>
      </c>
      <c r="E7470" t="s">
        <v>9474</v>
      </c>
      <c r="H7470" t="s">
        <v>30227</v>
      </c>
      <c r="J7470" t="s">
        <v>765</v>
      </c>
      <c r="K7470" t="s">
        <v>766</v>
      </c>
      <c r="L7470">
        <v>2</v>
      </c>
      <c r="M7470" t="s">
        <v>30228</v>
      </c>
      <c r="N7470" t="s">
        <v>27094</v>
      </c>
      <c r="O7470" t="s">
        <v>9477</v>
      </c>
      <c r="P7470" t="s">
        <v>9477</v>
      </c>
      <c r="Y7470" t="s">
        <v>30227</v>
      </c>
    </row>
    <row r="7471" spans="1:25">
      <c r="A7471" t="s">
        <v>30229</v>
      </c>
      <c r="B7471" t="s">
        <v>30230</v>
      </c>
      <c r="D7471" t="s">
        <v>9473</v>
      </c>
      <c r="E7471" t="s">
        <v>9474</v>
      </c>
      <c r="J7471" t="s">
        <v>5844</v>
      </c>
      <c r="K7471" t="s">
        <v>5845</v>
      </c>
      <c r="L7471">
        <v>1</v>
      </c>
      <c r="M7471" t="s">
        <v>30231</v>
      </c>
      <c r="N7471" t="s">
        <v>135</v>
      </c>
      <c r="O7471" t="s">
        <v>9477</v>
      </c>
      <c r="P7471" t="s">
        <v>9477</v>
      </c>
      <c r="Y7471" t="s">
        <v>30232</v>
      </c>
    </row>
    <row r="7472" spans="1:25">
      <c r="A7472" t="s">
        <v>30233</v>
      </c>
      <c r="B7472" t="s">
        <v>30234</v>
      </c>
      <c r="D7472" t="s">
        <v>9473</v>
      </c>
      <c r="E7472" t="s">
        <v>9474</v>
      </c>
      <c r="H7472" t="s">
        <v>30235</v>
      </c>
      <c r="J7472" t="s">
        <v>2328</v>
      </c>
      <c r="K7472" t="s">
        <v>2329</v>
      </c>
      <c r="L7472">
        <v>2</v>
      </c>
      <c r="M7472" t="s">
        <v>30236</v>
      </c>
      <c r="N7472" t="s">
        <v>29772</v>
      </c>
      <c r="O7472" t="s">
        <v>9477</v>
      </c>
      <c r="P7472" t="s">
        <v>9477</v>
      </c>
      <c r="Y7472" t="s">
        <v>30235</v>
      </c>
    </row>
    <row r="7473" spans="1:25">
      <c r="A7473" t="s">
        <v>30237</v>
      </c>
      <c r="B7473" t="s">
        <v>30238</v>
      </c>
      <c r="D7473" t="s">
        <v>9473</v>
      </c>
      <c r="E7473" t="s">
        <v>9474</v>
      </c>
      <c r="J7473" t="s">
        <v>765</v>
      </c>
      <c r="K7473" t="s">
        <v>766</v>
      </c>
      <c r="L7473">
        <v>1</v>
      </c>
      <c r="M7473" t="s">
        <v>30239</v>
      </c>
      <c r="N7473" t="s">
        <v>27094</v>
      </c>
      <c r="O7473" t="s">
        <v>9477</v>
      </c>
      <c r="P7473" t="s">
        <v>9477</v>
      </c>
      <c r="Y7473" t="s">
        <v>30240</v>
      </c>
    </row>
    <row r="7474" spans="1:25">
      <c r="A7474" t="s">
        <v>30241</v>
      </c>
      <c r="B7474" t="s">
        <v>30242</v>
      </c>
      <c r="D7474" t="s">
        <v>9473</v>
      </c>
      <c r="E7474" t="s">
        <v>9474</v>
      </c>
      <c r="J7474" t="s">
        <v>765</v>
      </c>
      <c r="K7474" t="s">
        <v>766</v>
      </c>
      <c r="L7474">
        <v>1</v>
      </c>
      <c r="M7474" t="s">
        <v>30243</v>
      </c>
      <c r="N7474" t="s">
        <v>27094</v>
      </c>
      <c r="O7474" t="s">
        <v>9477</v>
      </c>
      <c r="P7474" t="s">
        <v>9477</v>
      </c>
      <c r="Y7474" t="s">
        <v>30244</v>
      </c>
    </row>
    <row r="7475" spans="1:25">
      <c r="A7475" t="s">
        <v>30245</v>
      </c>
      <c r="B7475" t="s">
        <v>30246</v>
      </c>
      <c r="D7475" t="s">
        <v>9473</v>
      </c>
      <c r="E7475" t="s">
        <v>9474</v>
      </c>
      <c r="J7475" t="s">
        <v>497</v>
      </c>
      <c r="K7475" t="s">
        <v>498</v>
      </c>
      <c r="L7475">
        <v>1</v>
      </c>
      <c r="M7475" t="s">
        <v>30247</v>
      </c>
      <c r="N7475" t="s">
        <v>27094</v>
      </c>
      <c r="O7475" t="s">
        <v>9477</v>
      </c>
      <c r="P7475" t="s">
        <v>9477</v>
      </c>
      <c r="Y7475" t="s">
        <v>30248</v>
      </c>
    </row>
    <row r="7476" spans="1:25">
      <c r="A7476" t="s">
        <v>30249</v>
      </c>
      <c r="B7476" t="s">
        <v>30250</v>
      </c>
      <c r="D7476" t="s">
        <v>9473</v>
      </c>
      <c r="E7476" t="s">
        <v>9474</v>
      </c>
      <c r="J7476" t="s">
        <v>497</v>
      </c>
      <c r="K7476" t="s">
        <v>498</v>
      </c>
      <c r="L7476">
        <v>1</v>
      </c>
      <c r="M7476" t="s">
        <v>30251</v>
      </c>
      <c r="N7476" t="s">
        <v>27094</v>
      </c>
      <c r="O7476" t="s">
        <v>9477</v>
      </c>
      <c r="P7476" t="s">
        <v>9477</v>
      </c>
      <c r="Y7476" t="s">
        <v>30252</v>
      </c>
    </row>
    <row r="7477" spans="1:25">
      <c r="A7477" t="s">
        <v>30253</v>
      </c>
      <c r="B7477" t="s">
        <v>30254</v>
      </c>
      <c r="D7477" t="s">
        <v>9473</v>
      </c>
      <c r="E7477" t="s">
        <v>9474</v>
      </c>
      <c r="J7477" t="s">
        <v>30255</v>
      </c>
      <c r="K7477" t="s">
        <v>30256</v>
      </c>
      <c r="L7477">
        <v>1</v>
      </c>
      <c r="M7477" t="s">
        <v>30257</v>
      </c>
      <c r="N7477" t="s">
        <v>27098</v>
      </c>
      <c r="O7477" t="s">
        <v>9477</v>
      </c>
      <c r="P7477" t="s">
        <v>9477</v>
      </c>
      <c r="Y7477" t="s">
        <v>30258</v>
      </c>
    </row>
    <row r="7478" spans="1:25">
      <c r="A7478" t="s">
        <v>30259</v>
      </c>
      <c r="B7478" t="s">
        <v>30260</v>
      </c>
      <c r="D7478" t="s">
        <v>9473</v>
      </c>
      <c r="E7478" t="s">
        <v>9474</v>
      </c>
      <c r="J7478" t="s">
        <v>497</v>
      </c>
      <c r="K7478" t="s">
        <v>498</v>
      </c>
      <c r="L7478">
        <v>1</v>
      </c>
      <c r="M7478" t="s">
        <v>30261</v>
      </c>
      <c r="N7478" t="s">
        <v>29772</v>
      </c>
      <c r="O7478" t="s">
        <v>9477</v>
      </c>
      <c r="P7478" t="s">
        <v>9477</v>
      </c>
      <c r="Y7478" t="s">
        <v>30262</v>
      </c>
    </row>
    <row r="7479" spans="1:25">
      <c r="A7479" t="s">
        <v>30263</v>
      </c>
      <c r="B7479" t="s">
        <v>30264</v>
      </c>
      <c r="D7479" t="s">
        <v>9473</v>
      </c>
      <c r="E7479" t="s">
        <v>9474</v>
      </c>
      <c r="J7479" t="s">
        <v>765</v>
      </c>
      <c r="K7479" t="s">
        <v>766</v>
      </c>
      <c r="L7479">
        <v>1</v>
      </c>
      <c r="M7479" t="s">
        <v>30265</v>
      </c>
      <c r="N7479" t="s">
        <v>29772</v>
      </c>
      <c r="O7479" t="s">
        <v>9477</v>
      </c>
      <c r="P7479" t="s">
        <v>30266</v>
      </c>
      <c r="Y7479" t="s">
        <v>30267</v>
      </c>
    </row>
    <row r="7480" spans="1:25">
      <c r="A7480" t="s">
        <v>30268</v>
      </c>
      <c r="B7480" t="s">
        <v>30269</v>
      </c>
      <c r="D7480" t="s">
        <v>9473</v>
      </c>
      <c r="E7480" t="s">
        <v>9474</v>
      </c>
      <c r="H7480" t="s">
        <v>30270</v>
      </c>
      <c r="J7480" t="s">
        <v>497</v>
      </c>
      <c r="K7480" t="s">
        <v>498</v>
      </c>
      <c r="L7480">
        <v>2</v>
      </c>
      <c r="M7480" t="s">
        <v>30271</v>
      </c>
      <c r="N7480" t="s">
        <v>27094</v>
      </c>
      <c r="O7480" t="s">
        <v>9477</v>
      </c>
      <c r="P7480" t="s">
        <v>9477</v>
      </c>
      <c r="Y7480" t="s">
        <v>30270</v>
      </c>
    </row>
    <row r="7481" spans="1:25">
      <c r="A7481" t="s">
        <v>30272</v>
      </c>
      <c r="B7481" t="s">
        <v>30273</v>
      </c>
      <c r="D7481" t="s">
        <v>9473</v>
      </c>
      <c r="E7481" t="s">
        <v>9474</v>
      </c>
      <c r="J7481" t="s">
        <v>765</v>
      </c>
      <c r="K7481" t="s">
        <v>766</v>
      </c>
      <c r="L7481">
        <v>1</v>
      </c>
      <c r="M7481" t="s">
        <v>30274</v>
      </c>
      <c r="N7481" t="s">
        <v>27152</v>
      </c>
      <c r="O7481" t="s">
        <v>9477</v>
      </c>
      <c r="P7481" t="s">
        <v>9477</v>
      </c>
      <c r="Y7481" t="s">
        <v>30275</v>
      </c>
    </row>
    <row r="7482" spans="1:25">
      <c r="A7482" t="s">
        <v>30276</v>
      </c>
      <c r="B7482" t="s">
        <v>30277</v>
      </c>
      <c r="D7482" t="s">
        <v>9473</v>
      </c>
      <c r="E7482" t="s">
        <v>9474</v>
      </c>
      <c r="J7482" t="s">
        <v>765</v>
      </c>
      <c r="K7482" t="s">
        <v>766</v>
      </c>
      <c r="L7482">
        <v>1</v>
      </c>
      <c r="M7482" t="s">
        <v>30278</v>
      </c>
      <c r="N7482" t="s">
        <v>29772</v>
      </c>
      <c r="O7482" t="s">
        <v>9477</v>
      </c>
      <c r="P7482" t="s">
        <v>9477</v>
      </c>
      <c r="Y7482" t="s">
        <v>30279</v>
      </c>
    </row>
    <row r="7483" spans="1:25">
      <c r="A7483" t="s">
        <v>30280</v>
      </c>
      <c r="B7483" t="s">
        <v>30281</v>
      </c>
      <c r="D7483" t="s">
        <v>9473</v>
      </c>
      <c r="E7483" t="s">
        <v>9474</v>
      </c>
      <c r="J7483" t="s">
        <v>765</v>
      </c>
      <c r="K7483" t="s">
        <v>766</v>
      </c>
      <c r="L7483">
        <v>1</v>
      </c>
      <c r="M7483" t="s">
        <v>30282</v>
      </c>
      <c r="N7483" t="s">
        <v>27094</v>
      </c>
      <c r="O7483" t="s">
        <v>9477</v>
      </c>
      <c r="P7483" t="s">
        <v>9477</v>
      </c>
      <c r="Y7483" t="s">
        <v>30283</v>
      </c>
    </row>
    <row r="7484" spans="1:25">
      <c r="A7484" t="s">
        <v>30284</v>
      </c>
      <c r="B7484" t="s">
        <v>30285</v>
      </c>
      <c r="D7484" t="s">
        <v>40</v>
      </c>
      <c r="E7484" t="s">
        <v>41</v>
      </c>
      <c r="G7484" t="s">
        <v>30286</v>
      </c>
      <c r="H7484" t="s">
        <v>30287</v>
      </c>
      <c r="J7484" t="s">
        <v>9759</v>
      </c>
      <c r="K7484" t="s">
        <v>9760</v>
      </c>
      <c r="L7484">
        <v>1</v>
      </c>
      <c r="O7484" t="s">
        <v>48</v>
      </c>
      <c r="P7484" t="s">
        <v>48</v>
      </c>
      <c r="Y7484" t="s">
        <v>30288</v>
      </c>
    </row>
    <row r="7485" spans="1:25">
      <c r="A7485" t="s">
        <v>30289</v>
      </c>
      <c r="B7485" t="s">
        <v>30290</v>
      </c>
      <c r="D7485" t="s">
        <v>40</v>
      </c>
      <c r="E7485" t="s">
        <v>41</v>
      </c>
      <c r="G7485" t="s">
        <v>30291</v>
      </c>
      <c r="H7485" t="s">
        <v>30292</v>
      </c>
      <c r="J7485" t="s">
        <v>9759</v>
      </c>
      <c r="K7485" t="s">
        <v>9760</v>
      </c>
      <c r="L7485">
        <v>1</v>
      </c>
      <c r="O7485" t="s">
        <v>48</v>
      </c>
      <c r="P7485" t="s">
        <v>48</v>
      </c>
      <c r="Y7485" t="s">
        <v>30293</v>
      </c>
    </row>
    <row r="7486" spans="1:25">
      <c r="A7486" t="s">
        <v>30294</v>
      </c>
      <c r="B7486" t="s">
        <v>30295</v>
      </c>
      <c r="D7486" t="s">
        <v>40</v>
      </c>
      <c r="E7486" t="s">
        <v>41</v>
      </c>
      <c r="G7486" t="s">
        <v>30296</v>
      </c>
      <c r="H7486" t="s">
        <v>30297</v>
      </c>
      <c r="J7486" t="s">
        <v>9759</v>
      </c>
      <c r="K7486" t="s">
        <v>9760</v>
      </c>
      <c r="L7486">
        <v>1</v>
      </c>
      <c r="O7486" t="s">
        <v>48</v>
      </c>
      <c r="P7486" t="s">
        <v>48</v>
      </c>
      <c r="Y7486" t="s">
        <v>30298</v>
      </c>
    </row>
    <row r="7487" spans="1:25">
      <c r="A7487" t="s">
        <v>30299</v>
      </c>
      <c r="B7487" t="s">
        <v>30300</v>
      </c>
      <c r="D7487" t="s">
        <v>40</v>
      </c>
      <c r="E7487" t="s">
        <v>41</v>
      </c>
      <c r="G7487" t="s">
        <v>30301</v>
      </c>
      <c r="H7487" t="s">
        <v>1719</v>
      </c>
      <c r="J7487" t="s">
        <v>9759</v>
      </c>
      <c r="K7487" t="s">
        <v>9760</v>
      </c>
      <c r="L7487">
        <v>1</v>
      </c>
      <c r="O7487" t="s">
        <v>48</v>
      </c>
      <c r="P7487" t="s">
        <v>48</v>
      </c>
      <c r="Y7487" t="s">
        <v>30302</v>
      </c>
    </row>
    <row r="7488" spans="1:25">
      <c r="A7488" t="s">
        <v>30303</v>
      </c>
      <c r="B7488" t="s">
        <v>30304</v>
      </c>
      <c r="D7488" t="s">
        <v>1832</v>
      </c>
      <c r="E7488" t="s">
        <v>41</v>
      </c>
      <c r="J7488" t="s">
        <v>9759</v>
      </c>
      <c r="K7488" t="s">
        <v>9760</v>
      </c>
      <c r="L7488">
        <v>1</v>
      </c>
      <c r="O7488" t="s">
        <v>1835</v>
      </c>
      <c r="P7488" t="s">
        <v>1835</v>
      </c>
      <c r="Y7488" t="s">
        <v>30305</v>
      </c>
    </row>
    <row r="7489" spans="1:25">
      <c r="A7489" t="s">
        <v>30306</v>
      </c>
      <c r="D7489" t="s">
        <v>1832</v>
      </c>
      <c r="E7489" t="s">
        <v>41</v>
      </c>
      <c r="J7489" t="s">
        <v>30307</v>
      </c>
      <c r="K7489" t="s">
        <v>30308</v>
      </c>
      <c r="L7489">
        <v>0</v>
      </c>
      <c r="O7489" t="s">
        <v>1835</v>
      </c>
      <c r="P7489" t="s">
        <v>1835</v>
      </c>
      <c r="Y7489" t="s">
        <v>30309</v>
      </c>
    </row>
    <row r="7490" spans="1:25">
      <c r="A7490" t="s">
        <v>30310</v>
      </c>
      <c r="D7490" t="s">
        <v>1832</v>
      </c>
      <c r="E7490" t="s">
        <v>41</v>
      </c>
      <c r="J7490" t="s">
        <v>30307</v>
      </c>
      <c r="K7490" t="s">
        <v>30308</v>
      </c>
      <c r="L7490">
        <v>0</v>
      </c>
      <c r="O7490" t="s">
        <v>1835</v>
      </c>
      <c r="P7490" t="s">
        <v>1835</v>
      </c>
      <c r="Y7490" t="s">
        <v>30311</v>
      </c>
    </row>
    <row r="7491" spans="1:25">
      <c r="A7491" t="s">
        <v>30312</v>
      </c>
      <c r="B7491" t="s">
        <v>30313</v>
      </c>
      <c r="D7491" t="s">
        <v>9473</v>
      </c>
      <c r="E7491" t="s">
        <v>9474</v>
      </c>
      <c r="J7491" t="s">
        <v>9759</v>
      </c>
      <c r="K7491" t="s">
        <v>9760</v>
      </c>
      <c r="L7491">
        <v>1</v>
      </c>
      <c r="O7491" t="s">
        <v>9477</v>
      </c>
      <c r="P7491" t="s">
        <v>9477</v>
      </c>
      <c r="Y7491" t="s">
        <v>30314</v>
      </c>
    </row>
    <row r="7492" spans="1:25">
      <c r="A7492" t="s">
        <v>30315</v>
      </c>
      <c r="D7492" t="s">
        <v>9473</v>
      </c>
      <c r="E7492" t="s">
        <v>9474</v>
      </c>
      <c r="J7492" t="s">
        <v>30307</v>
      </c>
      <c r="K7492" t="s">
        <v>30308</v>
      </c>
      <c r="L7492">
        <v>0</v>
      </c>
      <c r="O7492" t="s">
        <v>9477</v>
      </c>
      <c r="P7492" t="s">
        <v>9477</v>
      </c>
      <c r="Y7492" t="s">
        <v>30316</v>
      </c>
    </row>
    <row r="7493" spans="1:25">
      <c r="A7493" t="s">
        <v>30317</v>
      </c>
      <c r="B7493" t="s">
        <v>30318</v>
      </c>
      <c r="D7493" t="s">
        <v>9473</v>
      </c>
      <c r="E7493" t="s">
        <v>9474</v>
      </c>
      <c r="J7493" t="s">
        <v>9759</v>
      </c>
      <c r="K7493" t="s">
        <v>9760</v>
      </c>
      <c r="L7493">
        <v>1</v>
      </c>
      <c r="O7493" t="s">
        <v>9477</v>
      </c>
      <c r="P7493" t="s">
        <v>9477</v>
      </c>
      <c r="Y7493" t="s">
        <v>30319</v>
      </c>
    </row>
    <row r="7494" spans="1:25">
      <c r="A7494" t="s">
        <v>30320</v>
      </c>
      <c r="D7494" t="s">
        <v>9473</v>
      </c>
      <c r="E7494" t="s">
        <v>9474</v>
      </c>
      <c r="J7494" t="s">
        <v>30307</v>
      </c>
      <c r="K7494" t="s">
        <v>30308</v>
      </c>
      <c r="L7494">
        <v>0</v>
      </c>
      <c r="O7494" t="s">
        <v>9477</v>
      </c>
      <c r="P7494" t="s">
        <v>9477</v>
      </c>
      <c r="Y7494" t="s">
        <v>30321</v>
      </c>
    </row>
    <row r="7495" spans="1:25">
      <c r="A7495" t="s">
        <v>30322</v>
      </c>
      <c r="B7495" t="s">
        <v>30323</v>
      </c>
      <c r="D7495" t="s">
        <v>9473</v>
      </c>
      <c r="E7495" t="s">
        <v>9474</v>
      </c>
      <c r="J7495" t="s">
        <v>9759</v>
      </c>
      <c r="K7495" t="s">
        <v>9760</v>
      </c>
      <c r="L7495">
        <v>1</v>
      </c>
      <c r="O7495" t="s">
        <v>9477</v>
      </c>
      <c r="P7495" t="s">
        <v>9477</v>
      </c>
      <c r="Y7495" t="s">
        <v>30324</v>
      </c>
    </row>
    <row r="7496" spans="1:25">
      <c r="A7496" t="s">
        <v>30325</v>
      </c>
      <c r="B7496" t="s">
        <v>30326</v>
      </c>
      <c r="D7496" t="s">
        <v>9473</v>
      </c>
      <c r="E7496" t="s">
        <v>9474</v>
      </c>
      <c r="J7496" t="s">
        <v>9759</v>
      </c>
      <c r="K7496" t="s">
        <v>9760</v>
      </c>
      <c r="L7496">
        <v>1</v>
      </c>
      <c r="O7496" t="s">
        <v>9477</v>
      </c>
      <c r="P7496" t="s">
        <v>9477</v>
      </c>
      <c r="Y7496" t="s">
        <v>30327</v>
      </c>
    </row>
    <row r="7497" spans="1:25">
      <c r="A7497" t="s">
        <v>30328</v>
      </c>
      <c r="B7497" t="s">
        <v>30329</v>
      </c>
      <c r="D7497" t="s">
        <v>9473</v>
      </c>
      <c r="E7497" t="s">
        <v>9474</v>
      </c>
      <c r="J7497" t="s">
        <v>9759</v>
      </c>
      <c r="K7497" t="s">
        <v>9760</v>
      </c>
      <c r="L7497">
        <v>1</v>
      </c>
      <c r="O7497" t="s">
        <v>9477</v>
      </c>
      <c r="P7497" t="s">
        <v>9477</v>
      </c>
      <c r="Y7497" t="s">
        <v>30330</v>
      </c>
    </row>
    <row r="7498" spans="1:25">
      <c r="A7498" t="s">
        <v>30331</v>
      </c>
      <c r="D7498" t="s">
        <v>9473</v>
      </c>
      <c r="E7498" t="s">
        <v>9474</v>
      </c>
      <c r="J7498" t="s">
        <v>30307</v>
      </c>
      <c r="K7498" t="s">
        <v>30308</v>
      </c>
      <c r="L7498">
        <v>0</v>
      </c>
      <c r="O7498" t="s">
        <v>9477</v>
      </c>
      <c r="P7498" t="s">
        <v>9477</v>
      </c>
      <c r="Y7498" t="s">
        <v>30332</v>
      </c>
    </row>
    <row r="7499" spans="1:25">
      <c r="A7499" t="s">
        <v>30333</v>
      </c>
      <c r="B7499" t="s">
        <v>30334</v>
      </c>
      <c r="D7499" t="s">
        <v>9473</v>
      </c>
      <c r="E7499" t="s">
        <v>9474</v>
      </c>
      <c r="J7499" t="s">
        <v>9759</v>
      </c>
      <c r="K7499" t="s">
        <v>9760</v>
      </c>
      <c r="L7499">
        <v>1</v>
      </c>
      <c r="O7499" t="s">
        <v>9477</v>
      </c>
      <c r="P7499" t="s">
        <v>9477</v>
      </c>
      <c r="Y7499" t="s">
        <v>30335</v>
      </c>
    </row>
    <row r="7500" spans="1:25">
      <c r="A7500" t="s">
        <v>30336</v>
      </c>
      <c r="D7500" t="s">
        <v>9473</v>
      </c>
      <c r="E7500" t="s">
        <v>9474</v>
      </c>
      <c r="J7500" t="s">
        <v>30307</v>
      </c>
      <c r="K7500" t="s">
        <v>30308</v>
      </c>
      <c r="L7500">
        <v>0</v>
      </c>
      <c r="O7500" t="s">
        <v>9477</v>
      </c>
      <c r="P7500" t="s">
        <v>9477</v>
      </c>
      <c r="Y7500" t="s">
        <v>30337</v>
      </c>
    </row>
    <row r="7501" spans="1:25">
      <c r="A7501" t="s">
        <v>30338</v>
      </c>
      <c r="B7501" t="s">
        <v>30339</v>
      </c>
      <c r="D7501" t="s">
        <v>9473</v>
      </c>
      <c r="E7501" t="s">
        <v>9474</v>
      </c>
      <c r="J7501" t="s">
        <v>9759</v>
      </c>
      <c r="K7501" t="s">
        <v>9760</v>
      </c>
      <c r="L7501">
        <v>1</v>
      </c>
      <c r="O7501" t="s">
        <v>9477</v>
      </c>
      <c r="P7501" t="s">
        <v>9477</v>
      </c>
      <c r="Y7501" t="s">
        <v>30340</v>
      </c>
    </row>
    <row r="7502" spans="1:25">
      <c r="A7502" t="s">
        <v>30341</v>
      </c>
      <c r="B7502" t="s">
        <v>30342</v>
      </c>
      <c r="D7502" t="s">
        <v>9473</v>
      </c>
      <c r="E7502" t="s">
        <v>9474</v>
      </c>
      <c r="J7502" t="s">
        <v>9759</v>
      </c>
      <c r="K7502" t="s">
        <v>9760</v>
      </c>
      <c r="L7502">
        <v>1</v>
      </c>
      <c r="O7502" t="s">
        <v>9477</v>
      </c>
      <c r="P7502" t="s">
        <v>9477</v>
      </c>
      <c r="Y7502" t="s">
        <v>30343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30344</v>
      </c>
    </row>
    <row r="2" spans="1:2">
      <c r="A2" s="2" t="s">
        <v>91</v>
      </c>
      <c r="B2" s="3">
        <v>1849</v>
      </c>
    </row>
    <row r="3" spans="1:2">
      <c r="A3" s="2" t="s">
        <v>45</v>
      </c>
      <c r="B3" s="3">
        <v>1189</v>
      </c>
    </row>
    <row r="4" spans="1:2">
      <c r="A4" s="2" t="s">
        <v>55</v>
      </c>
      <c r="B4" s="3">
        <v>736</v>
      </c>
    </row>
    <row r="5" spans="1:2">
      <c r="A5" s="2" t="s">
        <v>134</v>
      </c>
      <c r="B5" s="3">
        <v>640</v>
      </c>
    </row>
    <row r="6" spans="1:2">
      <c r="A6" s="2" t="s">
        <v>79</v>
      </c>
      <c r="B6" s="3">
        <v>612</v>
      </c>
    </row>
    <row r="7" spans="1:2">
      <c r="A7" s="2" t="s">
        <v>498</v>
      </c>
      <c r="B7" s="3">
        <v>543</v>
      </c>
    </row>
    <row r="8" spans="1:2">
      <c r="A8" s="2" t="s">
        <v>766</v>
      </c>
      <c r="B8" s="3">
        <v>431</v>
      </c>
    </row>
    <row r="9" spans="1:2">
      <c r="A9" s="2" t="s">
        <v>372</v>
      </c>
      <c r="B9" s="3">
        <v>207</v>
      </c>
    </row>
    <row r="10" spans="1:2">
      <c r="A10" s="2" t="s">
        <v>235</v>
      </c>
      <c r="B10" s="3">
        <v>204</v>
      </c>
    </row>
    <row r="11" spans="1:2">
      <c r="A11" s="2" t="s">
        <v>354</v>
      </c>
      <c r="B11" s="3">
        <v>170</v>
      </c>
    </row>
    <row r="12" spans="1:2">
      <c r="A12" s="2" t="s">
        <v>928</v>
      </c>
      <c r="B12" s="3">
        <v>169</v>
      </c>
    </row>
    <row r="13" spans="1:2">
      <c r="A13" s="2" t="s">
        <v>9760</v>
      </c>
      <c r="B13" s="3">
        <v>95</v>
      </c>
    </row>
    <row r="14" spans="1:2">
      <c r="A14" s="2" t="s">
        <v>2329</v>
      </c>
      <c r="B14" s="3">
        <v>87</v>
      </c>
    </row>
    <row r="15" spans="1:2">
      <c r="A15" s="2" t="s">
        <v>5845</v>
      </c>
      <c r="B15" s="3">
        <v>81</v>
      </c>
    </row>
    <row r="16" spans="1:2">
      <c r="A16" s="2" t="s">
        <v>9720</v>
      </c>
      <c r="B16" s="3">
        <v>55</v>
      </c>
    </row>
    <row r="17" spans="1:2">
      <c r="A17" s="2" t="s">
        <v>2949</v>
      </c>
      <c r="B17" s="3">
        <v>49</v>
      </c>
    </row>
    <row r="18" spans="1:2">
      <c r="A18" s="2" t="s">
        <v>542</v>
      </c>
      <c r="B18" s="3">
        <v>49</v>
      </c>
    </row>
    <row r="19" spans="1:2">
      <c r="A19" s="2" t="s">
        <v>288</v>
      </c>
      <c r="B19" s="3">
        <v>49</v>
      </c>
    </row>
    <row r="20" spans="1:2">
      <c r="A20" s="2" t="s">
        <v>1828</v>
      </c>
      <c r="B20" s="3">
        <v>41</v>
      </c>
    </row>
    <row r="21" spans="1:2">
      <c r="A21" s="2" t="s">
        <v>5965</v>
      </c>
      <c r="B21" s="3">
        <v>40</v>
      </c>
    </row>
    <row r="22" spans="1:2">
      <c r="A22" s="2" t="s">
        <v>390</v>
      </c>
      <c r="B22" s="3">
        <v>32</v>
      </c>
    </row>
    <row r="23" spans="1:2">
      <c r="A23" s="2" t="s">
        <v>1572</v>
      </c>
      <c r="B23" s="3">
        <v>25</v>
      </c>
    </row>
    <row r="24" spans="1:2">
      <c r="A24" s="2" t="s">
        <v>2606</v>
      </c>
      <c r="B24" s="3">
        <v>25</v>
      </c>
    </row>
    <row r="25" spans="1:2">
      <c r="A25" s="2" t="s">
        <v>684</v>
      </c>
      <c r="B25" s="3">
        <v>21</v>
      </c>
    </row>
    <row r="26" spans="1:2">
      <c r="A26" s="2" t="s">
        <v>27092</v>
      </c>
      <c r="B26" s="3">
        <v>19</v>
      </c>
    </row>
    <row r="27" spans="1:2">
      <c r="A27" s="2" t="s">
        <v>6595</v>
      </c>
      <c r="B27" s="3">
        <v>15</v>
      </c>
    </row>
    <row r="28" spans="1:2">
      <c r="A28" s="2" t="s">
        <v>10084</v>
      </c>
      <c r="B28" s="3">
        <v>14</v>
      </c>
    </row>
    <row r="29" spans="1:2">
      <c r="A29" s="2" t="s">
        <v>3830</v>
      </c>
      <c r="B29" s="3">
        <v>12</v>
      </c>
    </row>
    <row r="30" spans="1:2">
      <c r="A30" s="2" t="s">
        <v>10322</v>
      </c>
      <c r="B30" s="3">
        <v>9</v>
      </c>
    </row>
    <row r="31" spans="1:2">
      <c r="A31" s="2" t="s">
        <v>7251</v>
      </c>
      <c r="B31" s="3">
        <v>9</v>
      </c>
    </row>
    <row r="32" spans="1:2">
      <c r="A32" s="2" t="s">
        <v>30308</v>
      </c>
      <c r="B32" s="3">
        <v>6</v>
      </c>
    </row>
    <row r="33" spans="1:2">
      <c r="A33" s="2" t="s">
        <v>6179</v>
      </c>
      <c r="B33" s="3">
        <v>5</v>
      </c>
    </row>
    <row r="34" spans="1:2">
      <c r="A34" s="2" t="s">
        <v>10223</v>
      </c>
      <c r="B34" s="3">
        <v>4</v>
      </c>
    </row>
    <row r="35" spans="1:2">
      <c r="A35" s="2" t="s">
        <v>9283</v>
      </c>
      <c r="B35" s="3">
        <v>3</v>
      </c>
    </row>
    <row r="36" spans="1:2">
      <c r="A36" s="2" t="s">
        <v>25954</v>
      </c>
      <c r="B36" s="3">
        <v>2</v>
      </c>
    </row>
    <row r="37" spans="1:2">
      <c r="A37" s="2" t="s">
        <v>27307</v>
      </c>
      <c r="B37" s="3">
        <v>1</v>
      </c>
    </row>
    <row r="38" spans="1:2">
      <c r="A38" s="2" t="s">
        <v>30256</v>
      </c>
      <c r="B38" s="3">
        <v>1</v>
      </c>
    </row>
    <row r="39" spans="1:2">
      <c r="A39" s="2" t="s">
        <v>28881</v>
      </c>
      <c r="B39" s="3">
        <v>1</v>
      </c>
    </row>
    <row r="40" spans="1:2">
      <c r="A40" s="2" t="s">
        <v>28385</v>
      </c>
      <c r="B40" s="3">
        <v>1</v>
      </c>
    </row>
    <row r="41" spans="1:2">
      <c r="A41" s="4" t="s">
        <v>30345</v>
      </c>
      <c r="B41" s="4">
        <v>7501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30346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30347</v>
      </c>
      <c r="C5" s="1" t="s">
        <v>30348</v>
      </c>
      <c r="D5" s="1" t="s">
        <v>30349</v>
      </c>
      <c r="E5" s="1" t="s">
        <v>30348</v>
      </c>
      <c r="F5" s="1" t="s">
        <v>30350</v>
      </c>
      <c r="G5" s="1" t="s">
        <v>30348</v>
      </c>
      <c r="H5" s="1" t="s">
        <v>30351</v>
      </c>
      <c r="I5" s="1" t="s">
        <v>30348</v>
      </c>
    </row>
    <row r="6" spans="1:10">
      <c r="B6" s="2" t="s">
        <v>91</v>
      </c>
      <c r="C6" s="6">
        <f>IFERROR(VLOOKUP("Answering Machine Autodial", Pivot!$A$2:$B$40, 2, FALSE), 0)</f>
        <v>0</v>
      </c>
      <c r="D6" s="2" t="s">
        <v>30363</v>
      </c>
      <c r="E6" s="6">
        <f>IFERROR(VLOOKUP("Sale Made - Completed Mandate", Pivot!$A$2:$B$40, 2, FALSE), 0)</f>
        <v>0</v>
      </c>
      <c r="F6" s="2" t="s">
        <v>2329</v>
      </c>
      <c r="G6" s="6">
        <f>IFERROR(VLOOKUP("Already Contacted", Pivot!$A$2:$B$40, 2, FALSE), 0)</f>
        <v>0</v>
      </c>
      <c r="H6" s="2" t="s">
        <v>134</v>
      </c>
      <c r="I6" s="6">
        <f>IFERROR(VLOOKUP("Client Hung Up", Pivot!$A$2:$B$40, 2, FALSE), 0)</f>
        <v>0</v>
      </c>
    </row>
    <row r="7" spans="1:10">
      <c r="B7" s="2" t="s">
        <v>55</v>
      </c>
      <c r="C7" s="6">
        <f>IFERROR(VLOOKUP("No Answer Autodial", Pivot!$A$2:$B$40, 2, FALSE), 0)</f>
        <v>0</v>
      </c>
      <c r="D7" s="2" t="s">
        <v>30364</v>
      </c>
      <c r="E7" s="6">
        <f>IFERROR(VLOOKUP("Sale Made - Pending Mandate", Pivot!$A$2:$B$40, 2, FALSE), 0)</f>
        <v>0</v>
      </c>
      <c r="F7" s="2" t="s">
        <v>6179</v>
      </c>
      <c r="G7" s="6">
        <f>IFERROR(VLOOKUP("Existing Client", Pivot!$A$2:$B$40, 2, FALSE), 0)</f>
        <v>0</v>
      </c>
      <c r="H7" s="2" t="s">
        <v>30384</v>
      </c>
      <c r="I7" s="6">
        <f>IFERROR(VLOOKUP("CallBack", Pivot!$A$2:$B$40, 2, FALSE), 0)</f>
        <v>0</v>
      </c>
    </row>
    <row r="8" spans="1:10">
      <c r="B8" s="2" t="s">
        <v>45</v>
      </c>
      <c r="C8" s="6">
        <f>IFERROR(VLOOKUP("Auto Engaged", Pivot!$A$2:$B$40, 2, FALSE), 0)</f>
        <v>0</v>
      </c>
      <c r="D8" s="2" t="s">
        <v>1572</v>
      </c>
      <c r="E8" s="6">
        <f>IFERROR(VLOOKUP("Sale Made", Pivot!$A$2:$B$40, 2, FALSE), 0)</f>
        <v>0</v>
      </c>
      <c r="F8" s="2" t="s">
        <v>928</v>
      </c>
      <c r="G8" s="6">
        <f>IFERROR(VLOOKUP("Unemployed", Pivot!$A$2:$B$40, 2, FALSE), 0)</f>
        <v>0</v>
      </c>
      <c r="H8" s="2" t="s">
        <v>766</v>
      </c>
      <c r="I8" s="6">
        <f>IFERROR(VLOOKUP("Not Interested", Pivot!$A$2:$B$40, 2, FALSE), 0)</f>
        <v>0</v>
      </c>
    </row>
    <row r="9" spans="1:10">
      <c r="B9" s="2" t="s">
        <v>30352</v>
      </c>
      <c r="C9" s="6">
        <f>IFERROR(VLOOKUP("Disconnected Number Auto", Pivot!$A$2:$B$40, 2, FALSE), 0)</f>
        <v>0</v>
      </c>
      <c r="D9" s="2" t="s">
        <v>30365</v>
      </c>
      <c r="E9" s="6">
        <f>IFERROR(VLOOKUP("Tyme Bank Account Sale", Pivot!$A$2:$B$40, 2, FALSE), 0)</f>
        <v>0</v>
      </c>
      <c r="F9" s="2" t="s">
        <v>2606</v>
      </c>
      <c r="G9" s="6">
        <f>IFERROR(VLOOKUP("Wrong Number", Pivot!$A$2:$B$40, 2, FALSE), 0)</f>
        <v>0</v>
      </c>
      <c r="H9" s="2" t="s">
        <v>5845</v>
      </c>
      <c r="I9" s="6">
        <f>IFERROR(VLOOKUP("Not Interested Upfront", Pivot!$A$2:$B$40, 2, FALSE), 0)</f>
        <v>0</v>
      </c>
    </row>
    <row r="10" spans="1:10">
      <c r="B10" s="2" t="s">
        <v>354</v>
      </c>
      <c r="C10" s="6">
        <f>IFERROR(VLOOKUP("Answering Machine", Pivot!$A$2:$B$40, 2, FALSE), 0)</f>
        <v>0</v>
      </c>
      <c r="D10" s="2" t="s">
        <v>28385</v>
      </c>
      <c r="E10" s="6">
        <f>IFERROR(VLOOKUP("QA Rework", Pivot!$A$2:$B$40, 2, FALSE), 0)</f>
        <v>0</v>
      </c>
      <c r="F10" s="2" t="s">
        <v>30366</v>
      </c>
      <c r="G10" s="6">
        <f>IFERROR(VLOOKUP("Do Not Call", Pivot!$A$2:$B$40, 2, FALSE), 0)</f>
        <v>0</v>
      </c>
      <c r="H10" s="2" t="s">
        <v>30385</v>
      </c>
      <c r="I10" s="6">
        <f>IFERROR(VLOOKUP("Cannot Afford Premium", Pivot!$A$2:$B$40, 2, FALSE), 0)</f>
        <v>0</v>
      </c>
    </row>
    <row r="11" spans="1:10">
      <c r="B11" s="2" t="s">
        <v>9760</v>
      </c>
      <c r="C11" s="6">
        <f>IFERROR(VLOOKUP("Selected", Pivot!$A$2:$B$40, 2, FALSE), 0)</f>
        <v>0</v>
      </c>
      <c r="F11" s="2" t="s">
        <v>30367</v>
      </c>
      <c r="G11" s="6">
        <f>IFERROR(VLOOKUP("No Smartphones", Pivot!$A$2:$B$40, 2, FALSE), 0)</f>
        <v>0</v>
      </c>
      <c r="H11" s="2" t="s">
        <v>30386</v>
      </c>
      <c r="I11" s="6">
        <f>IFERROR(VLOOKUP("Not interested - Pitched", Pivot!$A$2:$B$40, 2, FALSE), 0)</f>
        <v>0</v>
      </c>
    </row>
    <row r="12" spans="1:10">
      <c r="B12" s="2" t="s">
        <v>288</v>
      </c>
      <c r="C12" s="6">
        <f>IFERROR(VLOOKUP("No Answer", Pivot!$A$2:$B$40, 2, FALSE), 0)</f>
        <v>0</v>
      </c>
      <c r="F12" s="2" t="s">
        <v>25954</v>
      </c>
      <c r="G12" s="6">
        <f>IFERROR(VLOOKUP("Client Deceased", Pivot!$A$2:$B$40, 2, FALSE), 0)</f>
        <v>0</v>
      </c>
      <c r="H12" s="2" t="s">
        <v>30387</v>
      </c>
      <c r="I12" s="6">
        <f>IFERROR(VLOOKUP("Affordability", Pivot!$A$2:$B$40, 2, FALSE), 0)</f>
        <v>0</v>
      </c>
    </row>
    <row r="13" spans="1:10">
      <c r="B13" s="2" t="s">
        <v>6595</v>
      </c>
      <c r="C13" s="6">
        <f>IFERROR(VLOOKUP("Busy Tone", Pivot!$A$2:$B$40, 2, FALSE), 0)</f>
        <v>0</v>
      </c>
      <c r="F13" s="2" t="s">
        <v>3830</v>
      </c>
      <c r="G13" s="6">
        <f>IFERROR(VLOOKUP("Right Party Not Available", Pivot!$A$2:$B$40, 2, FALSE), 0)</f>
        <v>0</v>
      </c>
      <c r="H13" s="2" t="s">
        <v>30388</v>
      </c>
      <c r="I13" s="6">
        <f>IFERROR(VLOOKUP("Quoted Client Not Interested", Pivot!$A$2:$B$40, 2, FALSE), 0)</f>
        <v>0</v>
      </c>
    </row>
    <row r="14" spans="1:10">
      <c r="B14" s="2" t="s">
        <v>79</v>
      </c>
      <c r="C14" s="6">
        <f>IFERROR(VLOOKUP("Dropped", Pivot!$A$2:$B$40, 2, FALSE), 0)</f>
        <v>0</v>
      </c>
      <c r="F14" s="2" t="s">
        <v>30368</v>
      </c>
      <c r="G14" s="6">
        <f>IFERROR(VLOOKUP("Client Overage Limit", Pivot!$A$2:$B$40, 2, FALSE), 0)</f>
        <v>0</v>
      </c>
      <c r="H14" s="2" t="s">
        <v>30389</v>
      </c>
      <c r="I14" s="6">
        <f>IFERROR(VLOOKUP("Not interested business does not use speed point mac", Pivot!$A$2:$B$40, 2, FALSE), 0)</f>
        <v>0</v>
      </c>
    </row>
    <row r="15" spans="1:10">
      <c r="B15" s="2" t="s">
        <v>30308</v>
      </c>
      <c r="C15" s="6">
        <f>IFERROR(VLOOKUP("New", Pivot!$A$2:$B$40, 2, FALSE), 0)</f>
        <v>0</v>
      </c>
      <c r="F15" s="2" t="s">
        <v>9283</v>
      </c>
      <c r="G15" s="6">
        <f>IFERROR(VLOOKUP("Language Barrier", Pivot!$A$2:$B$40, 2, FALSE), 0)</f>
        <v>0</v>
      </c>
      <c r="H15" s="2" t="s">
        <v>30390</v>
      </c>
      <c r="I15" s="6">
        <f>IFERROR(VLOOKUP("Call Back Technical Error", Pivot!$A$2:$B$40, 2, FALSE), 0)</f>
        <v>0</v>
      </c>
    </row>
    <row r="16" spans="1:10">
      <c r="B16" s="2" t="s">
        <v>542</v>
      </c>
      <c r="C16" s="6">
        <f>IFERROR(VLOOKUP("Call Dropped", Pivot!$A$2:$B$40, 2, FALSE), 0)</f>
        <v>0</v>
      </c>
      <c r="F16" s="2" t="s">
        <v>30369</v>
      </c>
      <c r="G16" s="6">
        <f>IFERROR(VLOOKUP("Non SA Citizen", Pivot!$A$2:$B$40, 2, FALSE), 0)</f>
        <v>0</v>
      </c>
      <c r="H16" s="2" t="s">
        <v>30391</v>
      </c>
      <c r="I16" s="6">
        <f>IFERROR(VLOOKUP("Not Interested Transaction Fees", Pivot!$A$2:$B$40, 2, FALSE), 0)</f>
        <v>0</v>
      </c>
    </row>
    <row r="17" spans="2:9">
      <c r="B17" s="2" t="s">
        <v>10322</v>
      </c>
      <c r="C17" s="6">
        <f>IFERROR(VLOOKUP("Inbound After Hours Drop", Pivot!$A$2:$B$40, 2, FALSE), 0)</f>
        <v>0</v>
      </c>
      <c r="F17" s="2" t="s">
        <v>30370</v>
      </c>
      <c r="G17" s="6">
        <f>IFERROR(VLOOKUP("No Bank Account", Pivot!$A$2:$B$40, 2, FALSE), 0)</f>
        <v>0</v>
      </c>
      <c r="H17" s="2" t="s">
        <v>2949</v>
      </c>
      <c r="I17" s="6">
        <f>IFERROR(VLOOKUP("Cannot Afford", Pivot!$A$2:$B$40, 2, FALSE), 0)</f>
        <v>0</v>
      </c>
    </row>
    <row r="18" spans="2:9">
      <c r="B18" s="2" t="s">
        <v>30353</v>
      </c>
      <c r="C18" s="6">
        <f>IFERROR(VLOOKUP("TPS Registered Number", Pivot!$A$2:$B$40, 2, FALSE), 0)</f>
        <v>0</v>
      </c>
      <c r="F18" s="2" t="s">
        <v>30371</v>
      </c>
      <c r="G18" s="6">
        <f>IFERROR(VLOOKUP("Client Underage", Pivot!$A$2:$B$40, 2, FALSE), 0)</f>
        <v>0</v>
      </c>
      <c r="H18" s="2" t="s">
        <v>30392</v>
      </c>
      <c r="I18" s="6">
        <f>IFERROR(VLOOKUP("Not Interested Household Contents", Pivot!$A$2:$B$40, 2, FALSE), 0)</f>
        <v>0</v>
      </c>
    </row>
    <row r="19" spans="2:9">
      <c r="B19" s="2" t="s">
        <v>1828</v>
      </c>
      <c r="C19" s="6">
        <f>IFERROR(VLOOKUP("Temporary Disconnected Number", Pivot!$A$2:$B$40, 2, FALSE), 0)</f>
        <v>0</v>
      </c>
      <c r="F19" s="2" t="s">
        <v>30372</v>
      </c>
      <c r="G19" s="6">
        <f>IFERROR(VLOOKUP("Go To The Branch", Pivot!$A$2:$B$40, 2, FALSE), 0)</f>
        <v>0</v>
      </c>
      <c r="H19" s="2" t="s">
        <v>30393</v>
      </c>
      <c r="I19" s="6">
        <f>IFERROR(VLOOKUP("Call Back Hold", Pivot!$A$2:$B$40, 2, FALSE), 0)</f>
        <v>0</v>
      </c>
    </row>
    <row r="20" spans="2:9">
      <c r="B20" s="2" t="s">
        <v>7251</v>
      </c>
      <c r="C20" s="6">
        <f>IFERROR(VLOOKUP("Bad Line Quality", Pivot!$A$2:$B$40, 2, FALSE), 0)</f>
        <v>0</v>
      </c>
      <c r="F20" s="2" t="s">
        <v>30373</v>
      </c>
      <c r="G20" s="6">
        <f>IFERROR(VLOOKUP("Completed", Pivot!$A$2:$B$40, 2, FALSE), 0)</f>
        <v>0</v>
      </c>
      <c r="H20" s="2" t="s">
        <v>30394</v>
      </c>
      <c r="I20" s="6">
        <f>IFERROR(VLOOKUP("Declined Sale", Pivot!$A$2:$B$40, 2, FALSE), 0)</f>
        <v>0</v>
      </c>
    </row>
    <row r="21" spans="2:9">
      <c r="B21" s="2" t="s">
        <v>235</v>
      </c>
      <c r="C21" s="6">
        <f>IFERROR(VLOOKUP("Inbound Abandon", Pivot!$A$2:$B$40, 2, FALSE), 0)</f>
        <v>0</v>
      </c>
      <c r="F21" s="2" t="s">
        <v>30374</v>
      </c>
      <c r="G21" s="6">
        <f>IFERROR(VLOOKUP("Cannot Afford Upfront Payment", Pivot!$A$2:$B$40, 2, FALSE), 0)</f>
        <v>0</v>
      </c>
    </row>
    <row r="22" spans="2:9">
      <c r="B22" s="2" t="s">
        <v>30354</v>
      </c>
      <c r="C22" s="6">
        <f>IFERROR(VLOOKUP("Outbound Pre-Routing Drop", Pivot!$A$2:$B$40, 2, FALSE), 0)</f>
        <v>0</v>
      </c>
      <c r="F22" s="2" t="s">
        <v>30375</v>
      </c>
      <c r="G22" s="6">
        <f>IFERROR(VLOOKUP("Account Suspended", Pivot!$A$2:$B$40, 2, FALSE), 0)</f>
        <v>0</v>
      </c>
    </row>
    <row r="23" spans="2:9">
      <c r="B23" s="2" t="s">
        <v>30355</v>
      </c>
      <c r="C23" s="6">
        <f>IFERROR(VLOOKUP("Engaged", Pivot!$A$2:$B$40, 2, FALSE), 0)</f>
        <v>0</v>
      </c>
      <c r="F23" s="2" t="s">
        <v>30376</v>
      </c>
      <c r="G23" s="6">
        <f>IFERROR(VLOOKUP("Insured at another company", Pivot!$A$2:$B$40, 2, FALSE), 0)</f>
        <v>0</v>
      </c>
    </row>
    <row r="24" spans="2:9">
      <c r="B24" s="2" t="s">
        <v>30356</v>
      </c>
      <c r="C24" s="6">
        <f>IFERROR(VLOOKUP("Disconnected", Pivot!$A$2:$B$40, 2, FALSE), 0)</f>
        <v>0</v>
      </c>
      <c r="F24" s="2" t="s">
        <v>30377</v>
      </c>
      <c r="G24" s="6">
        <f>IFERROR(VLOOKUP("Scheduled Appointment", Pivot!$A$2:$B$40, 2, FALSE), 0)</f>
        <v>0</v>
      </c>
    </row>
    <row r="25" spans="2:9">
      <c r="B25" s="2" t="s">
        <v>30357</v>
      </c>
      <c r="C25" s="6">
        <f>IFERROR(VLOOKUP("CONGESTED", Pivot!$A$2:$B$40, 2, FALSE), 0)</f>
        <v>0</v>
      </c>
      <c r="F25" s="2" t="s">
        <v>30378</v>
      </c>
      <c r="G25" s="6">
        <f>IFERROR(VLOOKUP("Refund Request", Pivot!$A$2:$B$40, 2, FALSE), 0)</f>
        <v>0</v>
      </c>
    </row>
    <row r="26" spans="2:9">
      <c r="B26" s="2" t="s">
        <v>30358</v>
      </c>
      <c r="C26" s="6">
        <f>IFERROR(VLOOKUP("Flow Inbound Abandon", Pivot!$A$2:$B$40, 2, FALSE), 0)</f>
        <v>0</v>
      </c>
      <c r="F26" s="2" t="s">
        <v>5965</v>
      </c>
      <c r="G26" s="6">
        <f>IFERROR(VLOOKUP("Does Not Qualify", Pivot!$A$2:$B$40, 2, FALSE), 0)</f>
        <v>0</v>
      </c>
    </row>
    <row r="27" spans="2:9">
      <c r="B27" s="2" t="s">
        <v>27092</v>
      </c>
      <c r="C27" s="6">
        <f>IFERROR(VLOOKUP("Multiple Calls", Pivot!$A$2:$B$40, 2, FALSE), 0)</f>
        <v>0</v>
      </c>
      <c r="F27" s="2" t="s">
        <v>30379</v>
      </c>
      <c r="G27" s="6">
        <f>IFERROR(VLOOKUP("Does Not Have a Business", Pivot!$A$2:$B$40, 2, FALSE), 0)</f>
        <v>0</v>
      </c>
    </row>
    <row r="28" spans="2:9">
      <c r="B28" s="2" t="s">
        <v>30359</v>
      </c>
      <c r="C28" s="6">
        <f>IFERROR(VLOOKUP("Missed", Pivot!$A$2:$B$40, 2, FALSE), 0)</f>
        <v>0</v>
      </c>
      <c r="F28" s="2" t="s">
        <v>30380</v>
      </c>
      <c r="G28" s="6">
        <f>IFERROR(VLOOKUP("Refer To Store - Doesn't want to complete online", Pivot!$A$2:$B$40, 2, FALSE), 0)</f>
        <v>0</v>
      </c>
    </row>
    <row r="29" spans="2:9">
      <c r="B29" s="2" t="s">
        <v>30360</v>
      </c>
      <c r="C29" s="6">
        <f>IFERROR(VLOOKUP("Answered", Pivot!$A$2:$B$40, 2, FALSE), 0)</f>
        <v>0</v>
      </c>
      <c r="F29" s="2" t="s">
        <v>30381</v>
      </c>
      <c r="G29" s="6">
        <f>IFERROR(VLOOKUP("Does Not Need It Now", Pivot!$A$2:$B$40, 2, FALSE), 0)</f>
        <v>0</v>
      </c>
    </row>
    <row r="30" spans="2:9">
      <c r="B30" s="2" t="s">
        <v>30361</v>
      </c>
      <c r="C30" s="6">
        <f>IFERROR(VLOOKUP("Customer drop", Pivot!$A$2:$B$40, 2, FALSE), 0)</f>
        <v>0</v>
      </c>
      <c r="F30" s="2" t="s">
        <v>30382</v>
      </c>
      <c r="G30" s="6">
        <f>IFERROR(VLOOKUP("Technical Issue", Pivot!$A$2:$B$40, 2, FALSE), 0)</f>
        <v>0</v>
      </c>
    </row>
    <row r="31" spans="2:9">
      <c r="B31" s="2" t="s">
        <v>372</v>
      </c>
      <c r="C31" s="6">
        <f>IFERROR(VLOOKUP("Auto Dial Disconnected", Pivot!$A$2:$B$40, 2, FALSE), 0)</f>
        <v>0</v>
      </c>
      <c r="F31" s="2" t="s">
        <v>30383</v>
      </c>
      <c r="G31" s="6">
        <f>IFERROR(VLOOKUP("Unsuccessful Application", Pivot!$A$2:$B$40, 2, FALSE), 0)</f>
        <v>0</v>
      </c>
    </row>
    <row r="32" spans="2:9">
      <c r="B32" s="2" t="s">
        <v>30362</v>
      </c>
      <c r="C32" s="6">
        <f>IFERROR(VLOOKUP("Disconnected Number Temporary", Pivot!$A$2:$B$40, 2, FALSE), 0)</f>
        <v>0</v>
      </c>
    </row>
    <row r="35" spans="1:3">
      <c r="A35" s="7" t="s">
        <v>30395</v>
      </c>
      <c r="B35" s="6">
        <f>SUM(C6:C31)+SUM(E6:E9)</f>
        <v>0</v>
      </c>
    </row>
    <row r="37" spans="1:3">
      <c r="A37" s="7" t="s">
        <v>30396</v>
      </c>
    </row>
    <row r="38" spans="1:3">
      <c r="A38" s="2" t="s">
        <v>30350</v>
      </c>
      <c r="B38" s="6">
        <f>SUM(E6:E9)</f>
        <v>0</v>
      </c>
    </row>
    <row r="39" spans="1:3">
      <c r="A39" s="2" t="s">
        <v>30397</v>
      </c>
      <c r="B39" s="6">
        <f>SUM(I6:I19)</f>
        <v>0</v>
      </c>
    </row>
    <row r="40" spans="1:3">
      <c r="A40" s="2" t="s">
        <v>30398</v>
      </c>
      <c r="B40" s="6">
        <f>SUM(G6:G30)</f>
        <v>0</v>
      </c>
    </row>
    <row r="41" spans="1:3">
      <c r="A41" s="2" t="s">
        <v>30399</v>
      </c>
      <c r="B41" s="6">
        <f>E6</f>
        <v>0</v>
      </c>
    </row>
    <row r="42" spans="1:3">
      <c r="A42" s="2" t="s">
        <v>30400</v>
      </c>
      <c r="B42" s="6">
        <f>B38/B37</f>
        <v>0</v>
      </c>
    </row>
    <row r="43" spans="1:3">
      <c r="A43" s="2" t="s">
        <v>30401</v>
      </c>
      <c r="B43" s="6">
        <f>(B37+B38)/B35</f>
        <v>0</v>
      </c>
    </row>
    <row r="47" spans="1:3">
      <c r="A47" s="7" t="s">
        <v>30402</v>
      </c>
      <c r="B47" s="7" t="s">
        <v>30344</v>
      </c>
      <c r="C47" s="7" t="s">
        <v>30403</v>
      </c>
    </row>
    <row r="48" spans="1:3">
      <c r="A48" s="2" t="s">
        <v>91</v>
      </c>
      <c r="B48" s="3">
        <v>1849</v>
      </c>
      <c r="C48" s="8">
        <f>B47/B35</f>
        <v>0</v>
      </c>
    </row>
    <row r="49" spans="1:3">
      <c r="A49" s="2" t="s">
        <v>45</v>
      </c>
      <c r="B49" s="3">
        <v>1189</v>
      </c>
      <c r="C49" s="8">
        <f>B48/B35</f>
        <v>0</v>
      </c>
    </row>
    <row r="50" spans="1:3">
      <c r="A50" s="2" t="s">
        <v>55</v>
      </c>
      <c r="B50" s="3">
        <v>736</v>
      </c>
      <c r="C50" s="8">
        <f>B49/B35</f>
        <v>0</v>
      </c>
    </row>
    <row r="51" spans="1:3">
      <c r="A51" s="2" t="s">
        <v>134</v>
      </c>
      <c r="B51" s="3">
        <v>640</v>
      </c>
      <c r="C51" s="8">
        <f>B50/B35</f>
        <v>0</v>
      </c>
    </row>
    <row r="52" spans="1:3">
      <c r="A52" s="2" t="s">
        <v>79</v>
      </c>
      <c r="B52" s="3">
        <v>612</v>
      </c>
      <c r="C52" s="8">
        <f>B51/B35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2026-06-02T13:23:42Z</dcterms:created>
  <dcterms:modified xsi:type="dcterms:W3CDTF">2026-06-02T13:23:42Z</dcterms:modified>
</cp:coreProperties>
</file>